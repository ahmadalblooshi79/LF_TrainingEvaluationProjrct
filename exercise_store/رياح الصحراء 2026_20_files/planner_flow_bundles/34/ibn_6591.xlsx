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1813BF4-BC16-4FD8-AF81-42CBA6CEA04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12" i="2" s="1"/>
  <c r="G11" i="2"/>
  <c r="H11" i="2" s="1"/>
  <c r="G10" i="2"/>
  <c r="H10" i="2" s="1"/>
  <c r="G9" i="2"/>
  <c r="H9" i="2" s="1"/>
  <c r="G8" i="2"/>
  <c r="H8" i="2" s="1"/>
  <c r="F14" i="2" l="1"/>
  <c r="E14" i="2"/>
  <c r="G6" i="2"/>
  <c r="H6" i="2" s="1"/>
  <c r="G7" i="2"/>
  <c r="H7" i="2" s="1"/>
  <c r="G13" i="2" l="1"/>
  <c r="H13" i="2" s="1"/>
  <c r="E15" i="2" l="1"/>
  <c r="E16" i="2" s="1"/>
</calcChain>
</file>

<file path=xl/sharedStrings.xml><?xml version="1.0" encoding="utf-8"?>
<sst xmlns="http://schemas.openxmlformats.org/spreadsheetml/2006/main" count="101" uniqueCount="79">
  <si>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</si>
  <si>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</si>
  <si>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</si>
  <si>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</si>
  <si>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</si>
  <si>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</si>
  <si>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</si>
  <si>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</si>
  <si>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</si>
  <si>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</si>
  <si>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</si>
  <si>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</si>
  <si>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</si>
  <si>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</si>
  <si>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</si>
  <si>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</si>
  <si>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</si>
  <si>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</si>
  <si>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</si>
  <si>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</si>
  <si>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</si>
  <si>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</si>
  <si>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</si>
  <si>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</si>
  <si>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</si>
  <si>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</si>
  <si>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</si>
  <si>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</si>
  <si>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</si>
  <si>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</si>
  <si>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</si>
  <si>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</si>
  <si>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</si>
  <si>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</si>
  <si>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</si>
  <si>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</si>
  <si>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</si>
  <si>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</si>
  <si>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</si>
  <si>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</si>
  <si>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</si>
  <si>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</si>
  <si>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</si>
  <si>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</si>
  <si>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</si>
  <si>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</si>
  <si>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</si>
  <si>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</si>
  <si>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</si>
  <si>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</si>
  <si>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</si>
  <si>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</si>
  <si>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</si>
  <si>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</si>
  <si>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</si>
  <si>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</si>
  <si>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</si>
  <si>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</si>
  <si>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</si>
  <si>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</si>
  <si>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</si>
  <si>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</si>
  <si>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</si>
  <si>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</si>
  <si>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</si>
  <si>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</si>
  <si>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</si>
  <si>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</si>
  <si>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</si>
  <si>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</si>
  <si>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 xml:space="preserve">1.    أخذ أقرب ساتر. </t>
  </si>
  <si>
    <t>2.    إبلاغ المستوى الأعلى بالموقف.</t>
  </si>
  <si>
    <t xml:space="preserve">3.    تحديد مصدر واتجاه الرماية مع الرد على نيران العدو. </t>
  </si>
  <si>
    <t>4.    إخلاء المصاب إلى موقع آمن.</t>
  </si>
  <si>
    <t>5.    القيام بالإسعافات الأولية للمصاب.</t>
  </si>
  <si>
    <t>6.    حصر الإصابات والخسائر الأخرى.</t>
  </si>
  <si>
    <t>7.    إخلاء المصاب إلى أقرب نقطة إسعاف.</t>
  </si>
  <si>
    <t>8.    إعادة التنظيم.</t>
  </si>
  <si>
    <t>اشتباك الاستطلاع مع جيب للعدو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</si>
</sst>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5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6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83" t="s">
        <v>78</v>
      </c>
      <c r="C1" s="83"/>
      <c r="D1" s="83"/>
      <c r="E1" s="83"/>
      <c r="F1" s="83"/>
      <c r="G1" s="83"/>
      <c r="H1" s="83"/>
      <c r="I1" s="83"/>
      <c r="J1" s="83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9" t="s">
        <v>0</v>
      </c>
      <c r="C3" s="70"/>
      <c r="D3" s="70"/>
      <c r="E3" s="73" t="s">
        <v>1</v>
      </c>
      <c r="F3" s="73"/>
      <c r="G3" s="73"/>
      <c r="H3" s="73"/>
      <c r="I3" s="73" t="s">
        <v>2</v>
      </c>
      <c r="J3" s="74"/>
    </row>
    <row r="4" spans="1:10" ht="24.95" customHeight="1" thickBot="1" x14ac:dyDescent="0.25">
      <c r="A4" s="9"/>
      <c r="B4" s="71"/>
      <c r="C4" s="72"/>
      <c r="D4" s="72"/>
      <c r="E4" s="10" t="s">
        <v>3</v>
      </c>
      <c r="F4" s="10" t="s">
        <v>4</v>
      </c>
      <c r="G4" s="10" t="s">
        <v>19</v>
      </c>
      <c r="H4" s="10" t="s">
        <v>20</v>
      </c>
      <c r="I4" s="75"/>
      <c r="J4" s="76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8" t="s">
        <v>70</v>
      </c>
      <c r="C6" s="49"/>
      <c r="D6" s="49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6"/>
      <c r="J6" s="47"/>
    </row>
    <row r="7" spans="1:10" ht="39.950000000000003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4"/>
      <c r="J7" s="45"/>
    </row>
    <row r="8" spans="1:10" ht="39.950000000000003" customHeight="1" x14ac:dyDescent="0.2">
      <c r="A8" s="9"/>
      <c r="B8" s="42" t="s">
        <v>72</v>
      </c>
      <c r="C8" s="43"/>
      <c r="D8" s="43"/>
      <c r="E8" s="27">
        <v>3</v>
      </c>
      <c r="F8" s="33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4"/>
      <c r="J8" s="45"/>
    </row>
    <row r="9" spans="1:10" ht="39.950000000000003" customHeight="1" x14ac:dyDescent="0.2">
      <c r="A9" s="9"/>
      <c r="B9" s="42" t="s">
        <v>73</v>
      </c>
      <c r="C9" s="43"/>
      <c r="D9" s="43"/>
      <c r="E9" s="27">
        <v>3</v>
      </c>
      <c r="F9" s="33" t="s">
        <v>40</v>
      </c>
      <c r="G9" s="28" t="str">
        <f t="shared" si="0"/>
        <v/>
      </c>
      <c r="H9" s="29" t="str">
        <f t="shared" si="1"/>
        <v/>
      </c>
      <c r="I9" s="44"/>
      <c r="J9" s="45"/>
    </row>
    <row r="10" spans="1:10" ht="39.950000000000003" customHeight="1" x14ac:dyDescent="0.2">
      <c r="A10" s="9"/>
      <c r="B10" s="42" t="s">
        <v>74</v>
      </c>
      <c r="C10" s="43"/>
      <c r="D10" s="43"/>
      <c r="E10" s="27">
        <v>3</v>
      </c>
      <c r="F10" s="33" t="s">
        <v>40</v>
      </c>
      <c r="G10" s="28" t="str">
        <f t="shared" si="0"/>
        <v/>
      </c>
      <c r="H10" s="29" t="str">
        <f t="shared" si="1"/>
        <v/>
      </c>
      <c r="I10" s="44"/>
      <c r="J10" s="45"/>
    </row>
    <row r="11" spans="1:10" ht="39.950000000000003" customHeight="1" x14ac:dyDescent="0.2">
      <c r="A11" s="9"/>
      <c r="B11" s="42" t="s">
        <v>75</v>
      </c>
      <c r="C11" s="43"/>
      <c r="D11" s="43"/>
      <c r="E11" s="27">
        <v>3</v>
      </c>
      <c r="F11" s="33" t="s">
        <v>40</v>
      </c>
      <c r="G11" s="28" t="str">
        <f t="shared" si="0"/>
        <v/>
      </c>
      <c r="H11" s="29" t="str">
        <f t="shared" si="1"/>
        <v/>
      </c>
      <c r="I11" s="44"/>
      <c r="J11" s="45"/>
    </row>
    <row r="12" spans="1:10" ht="39.950000000000003" customHeight="1" x14ac:dyDescent="0.2">
      <c r="A12" s="9"/>
      <c r="B12" s="42" t="s">
        <v>76</v>
      </c>
      <c r="C12" s="43"/>
      <c r="D12" s="43"/>
      <c r="E12" s="27">
        <v>3</v>
      </c>
      <c r="F12" s="33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4"/>
      <c r="J12" s="45"/>
    </row>
    <row r="13" spans="1:10" ht="39.950000000000003" customHeight="1" thickBot="1" x14ac:dyDescent="0.25">
      <c r="A13" s="9"/>
      <c r="B13" s="55" t="s">
        <v>77</v>
      </c>
      <c r="C13" s="56"/>
      <c r="D13" s="56"/>
      <c r="E13" s="27">
        <v>3</v>
      </c>
      <c r="F13" s="33" t="s">
        <v>40</v>
      </c>
      <c r="G13" s="28" t="str">
        <f t="shared" ref="G13" si="2">IFERROR(F13/E13,"")</f>
        <v/>
      </c>
      <c r="H13" s="29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44"/>
      <c r="J13" s="45"/>
    </row>
    <row r="14" spans="1:10" ht="30" customHeight="1" thickBot="1" x14ac:dyDescent="0.25">
      <c r="A14" s="4"/>
      <c r="B14" s="59" t="s">
        <v>5</v>
      </c>
      <c r="C14" s="60"/>
      <c r="D14" s="60"/>
      <c r="E14" s="32">
        <f>SUM(E6:E13)</f>
        <v>24</v>
      </c>
      <c r="F14" s="32">
        <f>SUM(F6:F13)</f>
        <v>0</v>
      </c>
      <c r="G14" s="52"/>
      <c r="H14" s="53"/>
      <c r="I14" s="53"/>
      <c r="J14" s="54"/>
    </row>
    <row r="15" spans="1:10" ht="30" customHeight="1" thickBot="1" x14ac:dyDescent="0.25">
      <c r="A15" s="4"/>
      <c r="B15" s="61" t="s">
        <v>33</v>
      </c>
      <c r="C15" s="62"/>
      <c r="D15" s="62"/>
      <c r="E15" s="77">
        <f>F14/E14/100*100</f>
        <v>0</v>
      </c>
      <c r="F15" s="77"/>
      <c r="G15" s="77"/>
      <c r="H15" s="77"/>
      <c r="I15" s="77"/>
      <c r="J15" s="78"/>
    </row>
    <row r="16" spans="1:10" ht="30" customHeight="1" thickBot="1" x14ac:dyDescent="0.25">
      <c r="A16" s="4"/>
      <c r="B16" s="61" t="s">
        <v>34</v>
      </c>
      <c r="C16" s="62"/>
      <c r="D16" s="62"/>
      <c r="E16" s="81" t="str">
        <f>_xlfn.IFS(E15&gt;=90%,"ممتاز",E15&gt;=80%,"جيد جداً",E15&gt;=70%,"جيد",E15&gt;=60%,"مقبول",E15&lt;60%,"راسب")</f>
        <v>راسب</v>
      </c>
      <c r="F16" s="81"/>
      <c r="G16" s="81"/>
      <c r="H16" s="81"/>
      <c r="I16" s="81"/>
      <c r="J16" s="82"/>
    </row>
    <row r="17" spans="1:10" ht="42" customHeight="1" x14ac:dyDescent="0.2">
      <c r="B17" s="63" t="s">
        <v>44</v>
      </c>
      <c r="C17" s="63"/>
      <c r="D17" s="63"/>
      <c r="E17" s="50" t="s">
        <v>31</v>
      </c>
      <c r="F17" s="50"/>
      <c r="G17" s="79" t="s">
        <v>38</v>
      </c>
      <c r="H17" s="79"/>
      <c r="I17" s="79"/>
      <c r="J17" s="79"/>
    </row>
    <row r="18" spans="1:10" ht="51" customHeight="1" x14ac:dyDescent="0.2">
      <c r="A18" s="5"/>
      <c r="B18" s="64"/>
      <c r="C18" s="64"/>
      <c r="D18" s="64"/>
      <c r="E18" s="51" t="s">
        <v>32</v>
      </c>
      <c r="F18" s="51"/>
      <c r="G18" s="80"/>
      <c r="H18" s="80"/>
      <c r="I18" s="80"/>
      <c r="J18" s="80"/>
    </row>
    <row r="19" spans="1:10" ht="15.75" x14ac:dyDescent="0.2">
      <c r="A19" s="23">
        <v>3</v>
      </c>
      <c r="B19" s="65" t="s">
        <v>41</v>
      </c>
      <c r="C19" s="66"/>
    </row>
    <row r="20" spans="1:10" ht="15.75" x14ac:dyDescent="0.2">
      <c r="A20" s="24">
        <v>2</v>
      </c>
      <c r="B20" s="67" t="s">
        <v>42</v>
      </c>
      <c r="C20" s="68"/>
    </row>
    <row r="21" spans="1:10" ht="15.75" x14ac:dyDescent="0.2">
      <c r="A21" s="25">
        <v>1</v>
      </c>
      <c r="B21" s="57" t="s">
        <v>43</v>
      </c>
      <c r="C21" s="58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E16:J16"/>
    <mergeCell ref="B1:J1"/>
    <mergeCell ref="B3:D4"/>
    <mergeCell ref="E3:H3"/>
    <mergeCell ref="I3:J4"/>
    <mergeCell ref="B21:C21"/>
    <mergeCell ref="B14:D14"/>
    <mergeCell ref="B15:D15"/>
    <mergeCell ref="B16:D16"/>
    <mergeCell ref="B17:D18"/>
    <mergeCell ref="B19:C19"/>
    <mergeCell ref="B20:C20"/>
    <mergeCell ref="E17:F17"/>
    <mergeCell ref="E18:F18"/>
    <mergeCell ref="G14:J14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15:J15"/>
    <mergeCell ref="G17:J17"/>
    <mergeCell ref="G18:J18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6">
    <cfRule type="expression" dxfId="58" priority="206">
      <formula>$E16="راسب"</formula>
    </cfRule>
  </conditionalFormatting>
  <conditionalFormatting sqref="E16:J16">
    <cfRule type="expression" dxfId="57" priority="207">
      <formula>$E16="مقبول"</formula>
    </cfRule>
    <cfRule type="expression" dxfId="56" priority="208">
      <formula>$E16="جيد"</formula>
    </cfRule>
    <cfRule type="expression" dxfId="55" priority="209">
      <formula>$E16="جيد جداً"</formula>
    </cfRule>
    <cfRule type="expression" dxfId="54" priority="210">
      <formula>$E16="ممتاز"</formula>
    </cfRule>
  </conditionalFormatting>
  <conditionalFormatting sqref="F13">
    <cfRule type="containsText" dxfId="53" priority="163" operator="containsText" text="أدخل العلامة">
      <formula>NOT(ISERROR(SEARCH("أدخل العلامة",F13)))</formula>
    </cfRule>
  </conditionalFormatting>
  <conditionalFormatting sqref="G17:J17">
    <cfRule type="containsText" dxfId="50" priority="164" operator="containsText" text="أدخل اسم المحكم">
      <formula>NOT(ISERROR(SEARCH("أدخل اسم المحكم",G17)))</formula>
    </cfRule>
  </conditionalFormatting>
  <conditionalFormatting sqref="H13">
    <cfRule type="containsText" dxfId="49" priority="154" operator="containsText" text="أدخل العلامة">
      <formula>NOT(ISERROR(SEARCH("أدخل العلامة",H13)))</formula>
    </cfRule>
    <cfRule type="containsText" dxfId="48" priority="155" operator="containsText" text="ممتاز">
      <formula>NOT(ISERROR(SEARCH("ممتاز",H13)))</formula>
    </cfRule>
    <cfRule type="containsText" dxfId="47" priority="156" operator="containsText" text="جيد جداً">
      <formula>NOT(ISERROR(SEARCH("جيد جداً",H13)))</formula>
    </cfRule>
    <cfRule type="containsText" dxfId="46" priority="157" operator="containsText" text="جيد">
      <formula>NOT(ISERROR(SEARCH("جيد",H13)))</formula>
    </cfRule>
    <cfRule type="containsText" dxfId="45" priority="158" operator="containsText" text="مقبول">
      <formula>NOT(ISERROR(SEARCH("مقبول",H13)))</formula>
    </cfRule>
    <cfRule type="containsText" dxfId="44" priority="159" operator="containsText" text="راسب">
      <formula>NOT(ISERROR(SEARCH("راسب",H13)))</formula>
    </cfRule>
  </conditionalFormatting>
  <conditionalFormatting sqref="F7">
    <cfRule type="containsText" dxfId="41" priority="126" operator="containsText" text="أدخل العلامة">
      <formula>NOT(ISERROR(SEARCH("أدخل العلامة",F7)))</formula>
    </cfRule>
  </conditionalFormatting>
  <conditionalFormatting sqref="H7">
    <cfRule type="containsText" dxfId="40" priority="120" operator="containsText" text="أدخل العلامة">
      <formula>NOT(ISERROR(SEARCH("أدخل العلامة",H7)))</formula>
    </cfRule>
    <cfRule type="containsText" dxfId="39" priority="121" operator="containsText" text="ممتاز">
      <formula>NOT(ISERROR(SEARCH("ممتاز",H7)))</formula>
    </cfRule>
    <cfRule type="containsText" dxfId="38" priority="122" operator="containsText" text="جيد جداً">
      <formula>NOT(ISERROR(SEARCH("جيد جداً",H7)))</formula>
    </cfRule>
    <cfRule type="containsText" dxfId="37" priority="123" operator="containsText" text="جيد">
      <formula>NOT(ISERROR(SEARCH("جيد",H7)))</formula>
    </cfRule>
    <cfRule type="containsText" dxfId="36" priority="124" operator="containsText" text="مقبول">
      <formula>NOT(ISERROR(SEARCH("مقبول",H7)))</formula>
    </cfRule>
    <cfRule type="containsText" dxfId="35" priority="125" operator="containsText" text="راسب">
      <formula>NOT(ISERROR(SEARCH("راسب",H7)))</formula>
    </cfRule>
  </conditionalFormatting>
  <conditionalFormatting sqref="F6">
    <cfRule type="containsText" dxfId="34" priority="91" operator="containsText" text="أدخل العلامة">
      <formula>NOT(ISERROR(SEARCH("أدخل العلامة",F6)))</formula>
    </cfRule>
  </conditionalFormatting>
  <conditionalFormatting sqref="H6">
    <cfRule type="containsText" dxfId="33" priority="85" operator="containsText" text="أدخل العلامة">
      <formula>NOT(ISERROR(SEARCH("أدخل العلامة",H6)))</formula>
    </cfRule>
    <cfRule type="containsText" dxfId="32" priority="86" operator="containsText" text="ممتاز">
      <formula>NOT(ISERROR(SEARCH("ممتاز",H6)))</formula>
    </cfRule>
    <cfRule type="containsText" dxfId="31" priority="87" operator="containsText" text="جيد جداً">
      <formula>NOT(ISERROR(SEARCH("جيد جداً",H6)))</formula>
    </cfRule>
    <cfRule type="containsText" dxfId="30" priority="88" operator="containsText" text="جيد">
      <formula>NOT(ISERROR(SEARCH("جيد",H6)))</formula>
    </cfRule>
    <cfRule type="containsText" dxfId="29" priority="89" operator="containsText" text="مقبول">
      <formula>NOT(ISERROR(SEARCH("مقبول",H6)))</formula>
    </cfRule>
    <cfRule type="containsText" dxfId="28" priority="90" operator="containsText" text="راسب">
      <formula>NOT(ISERROR(SEARCH("راسب",H6)))</formula>
    </cfRule>
  </conditionalFormatting>
  <conditionalFormatting sqref="F11">
    <cfRule type="containsText" dxfId="27" priority="84" operator="containsText" text="أدخل العلامة">
      <formula>NOT(ISERROR(SEARCH("أدخل العلامة",F11)))</formula>
    </cfRule>
  </conditionalFormatting>
  <conditionalFormatting sqref="H11">
    <cfRule type="containsText" dxfId="26" priority="78" operator="containsText" text="أدخل العلامة">
      <formula>NOT(ISERROR(SEARCH("أدخل العلامة",H11)))</formula>
    </cfRule>
    <cfRule type="containsText" dxfId="25" priority="79" operator="containsText" text="ممتاز">
      <formula>NOT(ISERROR(SEARCH("ممتاز",H11)))</formula>
    </cfRule>
    <cfRule type="containsText" dxfId="24" priority="80" operator="containsText" text="جيد جداً">
      <formula>NOT(ISERROR(SEARCH("جيد جداً",H11)))</formula>
    </cfRule>
    <cfRule type="containsText" dxfId="23" priority="81" operator="containsText" text="جيد">
      <formula>NOT(ISERROR(SEARCH("جيد",H11)))</formula>
    </cfRule>
    <cfRule type="containsText" dxfId="22" priority="82" operator="containsText" text="مقبول">
      <formula>NOT(ISERROR(SEARCH("مقبول",H11)))</formula>
    </cfRule>
    <cfRule type="containsText" dxfId="21" priority="83" operator="containsText" text="راسب">
      <formula>NOT(ISERROR(SEARCH("راسب",H11)))</formula>
    </cfRule>
  </conditionalFormatting>
  <conditionalFormatting sqref="F12">
    <cfRule type="containsText" dxfId="20" priority="77" operator="containsText" text="أدخل العلامة">
      <formula>NOT(ISERROR(SEARCH("أدخل العلامة",F12)))</formula>
    </cfRule>
  </conditionalFormatting>
  <conditionalFormatting sqref="H12">
    <cfRule type="containsText" dxfId="19" priority="71" operator="containsText" text="أدخل العلامة">
      <formula>NOT(ISERROR(SEARCH("أدخل العلامة",H12)))</formula>
    </cfRule>
    <cfRule type="containsText" dxfId="18" priority="72" operator="containsText" text="ممتاز">
      <formula>NOT(ISERROR(SEARCH("ممتاز",H12)))</formula>
    </cfRule>
    <cfRule type="containsText" dxfId="17" priority="73" operator="containsText" text="جيد جداً">
      <formula>NOT(ISERROR(SEARCH("جيد جداً",H12)))</formula>
    </cfRule>
    <cfRule type="containsText" dxfId="16" priority="74" operator="containsText" text="جيد">
      <formula>NOT(ISERROR(SEARCH("جيد",H12)))</formula>
    </cfRule>
    <cfRule type="containsText" dxfId="15" priority="75" operator="containsText" text="مقبول">
      <formula>NOT(ISERROR(SEARCH("مقبول",H12)))</formula>
    </cfRule>
    <cfRule type="containsText" dxfId="14" priority="76" operator="containsText" text="راسب">
      <formula>NOT(ISERROR(SEARCH("راسب",H12)))</formula>
    </cfRule>
  </conditionalFormatting>
  <conditionalFormatting sqref="F9:F10">
    <cfRule type="containsText" dxfId="13" priority="70" operator="containsText" text="أدخل العلامة">
      <formula>NOT(ISERROR(SEARCH("أدخل العلامة",F9)))</formula>
    </cfRule>
  </conditionalFormatting>
  <conditionalFormatting sqref="H9:H10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G17:J17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 F11:F13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2026-09-03T04:43:28Z</dcterms:modified>
</cp:coreProperties>
</file>