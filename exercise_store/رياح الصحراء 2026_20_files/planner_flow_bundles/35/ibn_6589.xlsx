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9BA1D95B-191D-4D8A-8406-9B38A5950601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H12" i="2" s="1"/>
  <c r="G11" i="2"/>
  <c r="H11" i="2" s="1"/>
  <c r="G10" i="2"/>
  <c r="H10" i="2" s="1"/>
  <c r="G9" i="2"/>
  <c r="H9" i="2" s="1"/>
  <c r="G8" i="2"/>
  <c r="H8" i="2" s="1"/>
  <c r="F14" i="2" l="1"/>
  <c r="E14" i="2"/>
  <c r="G7" i="2"/>
  <c r="H7" i="2" s="1"/>
  <c r="G13" i="2" l="1"/>
  <c r="H13" i="2" s="1"/>
  <c r="E15" i="2" l="1"/>
  <c r="E16" i="2" s="1"/>
</calcChain>
</file>

<file path=xl/sharedStrings.xml><?xml version="1.0" encoding="utf-8"?>
<sst xmlns="http://schemas.openxmlformats.org/spreadsheetml/2006/main" count="100" uniqueCount="79">
  <si>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</si>
  <si>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</si>
  <si>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</si>
  <si>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</si>
  <si>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</si>
  <si>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</si>
  <si>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</si>
  <si>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</si>
  <si>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</si>
  <si>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</si>
  <si>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</si>
  <si>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</si>
  <si>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</si>
  <si>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</si>
  <si>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</si>
  <si>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</si>
  <si>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</si>
  <si>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</si>
  <si>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</si>
  <si>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</si>
  <si>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</si>
  <si>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</si>
  <si>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</si>
  <si>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</si>
  <si>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</si>
  <si>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</si>
  <si>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</si>
  <si>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</si>
  <si>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</si>
  <si>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</si>
  <si>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</si>
  <si>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</si>
  <si>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</si>
  <si>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</si>
  <si>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</si>
  <si>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</si>
  <si>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</si>
  <si>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</si>
  <si>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</si>
  <si>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</si>
  <si>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</si>
  <si>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</si>
  <si>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</si>
  <si>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</si>
  <si>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</si>
  <si>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</si>
  <si>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</si>
  <si>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</si>
  <si>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</si>
  <si>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</si>
  <si>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</si>
  <si>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</si>
  <si>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</si>
  <si>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</si>
  <si>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</si>
  <si>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</si>
  <si>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</si>
  <si>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</si>
  <si>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</si>
  <si>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</si>
  <si>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</si>
  <si>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</si>
  <si>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</si>
  <si>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</si>
  <si>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</si>
  <si>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</si>
  <si>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</si>
  <si>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</si>
  <si>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</si>
  <si>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</si>
  <si>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t>اجراءات قيادة اللواء عند حدوث أعاقة الكترونية على النطاقات الترددية:</t>
  </si>
  <si>
    <t>1.    ابلاغ المستوى الاعلى حسب لوحة محادثة المأمور وكلمة سرية متفق عليها.</t>
  </si>
  <si>
    <t>2.    تغيير التردد بين قيادة اللواء والكتائب والوحدات المعينة.</t>
  </si>
  <si>
    <t>3.    تغيير التردد حسب لوحة محادثة المأمور وكلمة سرية متفق عليها.</t>
  </si>
  <si>
    <t>4.    أرسال الأمر الخاص بتغيير التردد مسبقاً ويشمل الأمر ووقت وتاريخ تغيير التردد.</t>
  </si>
  <si>
    <t>5.    توقف جميع الاتصالات التي تعمل على النداءات القديمة والتردد السابق فور سماع الكلمة السرية بتغير التردد.</t>
  </si>
  <si>
    <t>6.    فتح الاتصالات على التردد الجديد وتستعمل مع النداءات الجديدة في الوقت المحدد بالضبط.</t>
  </si>
  <si>
    <t>7.    الانتظار فترة قصيرة قبل فتح الاتصالات بقصد تضليل العدو.</t>
  </si>
  <si>
    <t>رد الفعل على التعرض لإعاقة إلكترونية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</si>
</sst>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164" fontId="13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4" fillId="0" borderId="0" xfId="0" applyFont="1" applyAlignment="1" applyProtection="1">
      <alignment horizontal="center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2" fillId="0" borderId="25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6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83" t="s">
        <v>78</v>
      </c>
      <c r="C1" s="83"/>
      <c r="D1" s="83"/>
      <c r="E1" s="83"/>
      <c r="F1" s="83"/>
      <c r="G1" s="83"/>
      <c r="H1" s="83"/>
      <c r="I1" s="83"/>
      <c r="J1" s="83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9"/>
      <c r="B3" s="69" t="s">
        <v>0</v>
      </c>
      <c r="C3" s="70"/>
      <c r="D3" s="70"/>
      <c r="E3" s="73" t="s">
        <v>1</v>
      </c>
      <c r="F3" s="73"/>
      <c r="G3" s="73"/>
      <c r="H3" s="73"/>
      <c r="I3" s="73" t="s">
        <v>2</v>
      </c>
      <c r="J3" s="74"/>
    </row>
    <row r="4" spans="1:10" ht="24.95" customHeight="1" thickBot="1" x14ac:dyDescent="0.25">
      <c r="A4" s="9"/>
      <c r="B4" s="71"/>
      <c r="C4" s="72"/>
      <c r="D4" s="72"/>
      <c r="E4" s="10" t="s">
        <v>3</v>
      </c>
      <c r="F4" s="10" t="s">
        <v>4</v>
      </c>
      <c r="G4" s="10" t="s">
        <v>19</v>
      </c>
      <c r="H4" s="10" t="s">
        <v>20</v>
      </c>
      <c r="I4" s="75"/>
      <c r="J4" s="76"/>
    </row>
    <row r="5" spans="1:10" ht="24.95" customHeight="1" thickBot="1" x14ac:dyDescent="0.25">
      <c r="A5" s="9"/>
      <c r="B5" s="38" t="s">
        <v>17</v>
      </c>
      <c r="C5" s="39"/>
      <c r="D5" s="39"/>
      <c r="E5" s="26" t="s">
        <v>14</v>
      </c>
      <c r="F5" s="26" t="s">
        <v>15</v>
      </c>
      <c r="G5" s="26" t="s">
        <v>18</v>
      </c>
      <c r="H5" s="26" t="s">
        <v>16</v>
      </c>
      <c r="I5" s="40" t="s">
        <v>21</v>
      </c>
      <c r="J5" s="41"/>
    </row>
    <row r="6" spans="1:10" ht="39.950000000000003" customHeight="1" x14ac:dyDescent="0.2">
      <c r="A6" s="9"/>
      <c r="B6" s="48" t="s">
        <v>70</v>
      </c>
      <c r="C6" s="49"/>
      <c r="D6" s="49"/>
      <c r="E6" s="34"/>
      <c r="F6" s="35"/>
      <c r="G6" s="36"/>
      <c r="H6" s="37"/>
      <c r="I6" s="46"/>
      <c r="J6" s="47"/>
    </row>
    <row r="7" spans="1:10" ht="39.950000000000003" customHeight="1" x14ac:dyDescent="0.2">
      <c r="A7" s="9"/>
      <c r="B7" s="42" t="s">
        <v>71</v>
      </c>
      <c r="C7" s="43"/>
      <c r="D7" s="43"/>
      <c r="E7" s="27">
        <v>3</v>
      </c>
      <c r="F7" s="33" t="s">
        <v>40</v>
      </c>
      <c r="G7" s="28" t="str">
        <f>IFERROR(F7/E7,"")</f>
        <v/>
      </c>
      <c r="H7" s="29" t="str">
        <f>_xlfn.IFS(F7="أدخل العلامة","",F7="لا ينطبق","تم الإلغاء",G7&gt;=90%,"ممتاز",G7&gt;=80%,"جيد جداً",G7&gt;=70%,"جيد",G7&gt;=60%,"مقبول",G7&lt;60%,"راسب")</f>
        <v/>
      </c>
      <c r="I7" s="44"/>
      <c r="J7" s="45"/>
    </row>
    <row r="8" spans="1:10" ht="39.950000000000003" customHeight="1" x14ac:dyDescent="0.2">
      <c r="A8" s="9"/>
      <c r="B8" s="42" t="s">
        <v>72</v>
      </c>
      <c r="C8" s="43"/>
      <c r="D8" s="43"/>
      <c r="E8" s="27">
        <v>3</v>
      </c>
      <c r="F8" s="33" t="s">
        <v>40</v>
      </c>
      <c r="G8" s="28" t="str">
        <f t="shared" ref="G8:G11" si="0">IFERROR(F8/E8,"")</f>
        <v/>
      </c>
      <c r="H8" s="29" t="str">
        <f t="shared" ref="H8:H11" si="1">_xlfn.IFS(F8="أدخل العلامة","",F8="لا ينطبق","تم الإلغاء",G8&gt;=90%,"ممتاز",G8&gt;=80%,"جيد جداً",G8&gt;=70%,"جيد",G8&gt;=60%,"مقبول",G8&lt;60%,"راسب")</f>
        <v/>
      </c>
      <c r="I8" s="44"/>
      <c r="J8" s="45"/>
    </row>
    <row r="9" spans="1:10" ht="39.950000000000003" customHeight="1" x14ac:dyDescent="0.2">
      <c r="A9" s="9"/>
      <c r="B9" s="42" t="s">
        <v>73</v>
      </c>
      <c r="C9" s="43"/>
      <c r="D9" s="43"/>
      <c r="E9" s="27">
        <v>3</v>
      </c>
      <c r="F9" s="33" t="s">
        <v>40</v>
      </c>
      <c r="G9" s="28" t="str">
        <f t="shared" si="0"/>
        <v/>
      </c>
      <c r="H9" s="29" t="str">
        <f t="shared" si="1"/>
        <v/>
      </c>
      <c r="I9" s="44"/>
      <c r="J9" s="45"/>
    </row>
    <row r="10" spans="1:10" ht="39.950000000000003" customHeight="1" x14ac:dyDescent="0.2">
      <c r="A10" s="9"/>
      <c r="B10" s="42" t="s">
        <v>74</v>
      </c>
      <c r="C10" s="43"/>
      <c r="D10" s="43"/>
      <c r="E10" s="27">
        <v>3</v>
      </c>
      <c r="F10" s="33" t="s">
        <v>40</v>
      </c>
      <c r="G10" s="28" t="str">
        <f t="shared" si="0"/>
        <v/>
      </c>
      <c r="H10" s="29" t="str">
        <f t="shared" si="1"/>
        <v/>
      </c>
      <c r="I10" s="44"/>
      <c r="J10" s="45"/>
    </row>
    <row r="11" spans="1:10" ht="39.950000000000003" customHeight="1" x14ac:dyDescent="0.2">
      <c r="A11" s="9"/>
      <c r="B11" s="42" t="s">
        <v>75</v>
      </c>
      <c r="C11" s="43"/>
      <c r="D11" s="43"/>
      <c r="E11" s="27">
        <v>3</v>
      </c>
      <c r="F11" s="33" t="s">
        <v>40</v>
      </c>
      <c r="G11" s="28" t="str">
        <f t="shared" si="0"/>
        <v/>
      </c>
      <c r="H11" s="29" t="str">
        <f t="shared" si="1"/>
        <v/>
      </c>
      <c r="I11" s="44"/>
      <c r="J11" s="45"/>
    </row>
    <row r="12" spans="1:10" ht="39.950000000000003" customHeight="1" x14ac:dyDescent="0.2">
      <c r="A12" s="9"/>
      <c r="B12" s="42" t="s">
        <v>76</v>
      </c>
      <c r="C12" s="43"/>
      <c r="D12" s="43"/>
      <c r="E12" s="27">
        <v>3</v>
      </c>
      <c r="F12" s="33" t="s">
        <v>40</v>
      </c>
      <c r="G12" s="28" t="str">
        <f>IFERROR(F12/E12,"")</f>
        <v/>
      </c>
      <c r="H12" s="29" t="str">
        <f>_xlfn.IFS(F12="أدخل العلامة","",F12="لا ينطبق","تم الإلغاء",G12&gt;=90%,"ممتاز",G12&gt;=80%,"جيد جداً",G12&gt;=70%,"جيد",G12&gt;=60%,"مقبول",G12&lt;60%,"راسب")</f>
        <v/>
      </c>
      <c r="I12" s="44"/>
      <c r="J12" s="45"/>
    </row>
    <row r="13" spans="1:10" ht="39.950000000000003" customHeight="1" thickBot="1" x14ac:dyDescent="0.25">
      <c r="A13" s="9"/>
      <c r="B13" s="55" t="s">
        <v>77</v>
      </c>
      <c r="C13" s="56"/>
      <c r="D13" s="56"/>
      <c r="E13" s="27">
        <v>3</v>
      </c>
      <c r="F13" s="33" t="s">
        <v>40</v>
      </c>
      <c r="G13" s="28" t="str">
        <f t="shared" ref="G13" si="2">IFERROR(F13/E13,"")</f>
        <v/>
      </c>
      <c r="H13" s="29" t="str">
        <f t="shared" ref="H13" si="3">_xlfn.IFS(F13="أدخل العلامة","",F13="لا ينطبق","تم الإلغاء",G13&gt;=90%,"ممتاز",G13&gt;=80%,"جيد جداً",G13&gt;=70%,"جيد",G13&gt;=60%,"مقبول",G13&lt;60%,"راسب")</f>
        <v/>
      </c>
      <c r="I13" s="44"/>
      <c r="J13" s="45"/>
    </row>
    <row r="14" spans="1:10" ht="30" customHeight="1" thickBot="1" x14ac:dyDescent="0.25">
      <c r="A14" s="4"/>
      <c r="B14" s="59" t="s">
        <v>5</v>
      </c>
      <c r="C14" s="60"/>
      <c r="D14" s="60"/>
      <c r="E14" s="32">
        <f>SUM(E6:E13)</f>
        <v>21</v>
      </c>
      <c r="F14" s="32">
        <f>SUM(F6:F13)</f>
        <v>0</v>
      </c>
      <c r="G14" s="52"/>
      <c r="H14" s="53"/>
      <c r="I14" s="53"/>
      <c r="J14" s="54"/>
    </row>
    <row r="15" spans="1:10" ht="30" customHeight="1" thickBot="1" x14ac:dyDescent="0.25">
      <c r="A15" s="4"/>
      <c r="B15" s="61" t="s">
        <v>33</v>
      </c>
      <c r="C15" s="62"/>
      <c r="D15" s="62"/>
      <c r="E15" s="77">
        <f>F14/E14/100*100</f>
        <v>0</v>
      </c>
      <c r="F15" s="77"/>
      <c r="G15" s="77"/>
      <c r="H15" s="77"/>
      <c r="I15" s="77"/>
      <c r="J15" s="78"/>
    </row>
    <row r="16" spans="1:10" ht="30" customHeight="1" thickBot="1" x14ac:dyDescent="0.25">
      <c r="A16" s="4"/>
      <c r="B16" s="61" t="s">
        <v>34</v>
      </c>
      <c r="C16" s="62"/>
      <c r="D16" s="62"/>
      <c r="E16" s="81" t="str">
        <f>_xlfn.IFS(E15&gt;=90%,"ممتاز",E15&gt;=80%,"جيد جداً",E15&gt;=70%,"جيد",E15&gt;=60%,"مقبول",E15&lt;60%,"راسب")</f>
        <v>راسب</v>
      </c>
      <c r="F16" s="81"/>
      <c r="G16" s="81"/>
      <c r="H16" s="81"/>
      <c r="I16" s="81"/>
      <c r="J16" s="82"/>
    </row>
    <row r="17" spans="1:10" ht="42" customHeight="1" x14ac:dyDescent="0.2">
      <c r="B17" s="63" t="s">
        <v>44</v>
      </c>
      <c r="C17" s="63"/>
      <c r="D17" s="63"/>
      <c r="E17" s="50" t="s">
        <v>31</v>
      </c>
      <c r="F17" s="50"/>
      <c r="G17" s="79" t="s">
        <v>38</v>
      </c>
      <c r="H17" s="79"/>
      <c r="I17" s="79"/>
      <c r="J17" s="79"/>
    </row>
    <row r="18" spans="1:10" ht="51" customHeight="1" x14ac:dyDescent="0.2">
      <c r="A18" s="5"/>
      <c r="B18" s="64"/>
      <c r="C18" s="64"/>
      <c r="D18" s="64"/>
      <c r="E18" s="51" t="s">
        <v>32</v>
      </c>
      <c r="F18" s="51"/>
      <c r="G18" s="80"/>
      <c r="H18" s="80"/>
      <c r="I18" s="80"/>
      <c r="J18" s="80"/>
    </row>
    <row r="19" spans="1:10" ht="15.75" x14ac:dyDescent="0.2">
      <c r="A19" s="23">
        <v>3</v>
      </c>
      <c r="B19" s="65" t="s">
        <v>41</v>
      </c>
      <c r="C19" s="66"/>
    </row>
    <row r="20" spans="1:10" ht="15.75" x14ac:dyDescent="0.2">
      <c r="A20" s="24">
        <v>2</v>
      </c>
      <c r="B20" s="67" t="s">
        <v>42</v>
      </c>
      <c r="C20" s="68"/>
    </row>
    <row r="21" spans="1:10" ht="15.75" x14ac:dyDescent="0.2">
      <c r="A21" s="25">
        <v>1</v>
      </c>
      <c r="B21" s="57" t="s">
        <v>43</v>
      </c>
      <c r="C21" s="58"/>
    </row>
  </sheetData>
  <sheetProtection formatCells="0" formatColumns="0" formatRows="0" insertColumns="0" insertRows="0" insertHyperlinks="0" deleteColumns="0" deleteRows="0" selectLockedCells="1" sort="0" autoFilter="0" pivotTables="0"/>
  <mergeCells count="36">
    <mergeCell ref="E16:J16"/>
    <mergeCell ref="B1:J1"/>
    <mergeCell ref="B3:D4"/>
    <mergeCell ref="E3:H3"/>
    <mergeCell ref="I3:J4"/>
    <mergeCell ref="B21:C21"/>
    <mergeCell ref="B14:D14"/>
    <mergeCell ref="B15:D15"/>
    <mergeCell ref="B16:D16"/>
    <mergeCell ref="B17:D18"/>
    <mergeCell ref="B19:C19"/>
    <mergeCell ref="B20:C20"/>
    <mergeCell ref="E17:F17"/>
    <mergeCell ref="E18:F18"/>
    <mergeCell ref="G14:J14"/>
    <mergeCell ref="B13:D13"/>
    <mergeCell ref="B9:D9"/>
    <mergeCell ref="I9:J9"/>
    <mergeCell ref="B10:D10"/>
    <mergeCell ref="I10:J10"/>
    <mergeCell ref="B11:D11"/>
    <mergeCell ref="I11:J11"/>
    <mergeCell ref="B12:D12"/>
    <mergeCell ref="I12:J12"/>
    <mergeCell ref="I13:J13"/>
    <mergeCell ref="E15:J15"/>
    <mergeCell ref="G17:J17"/>
    <mergeCell ref="G18:J18"/>
    <mergeCell ref="B5:D5"/>
    <mergeCell ref="I5:J5"/>
    <mergeCell ref="B7:D7"/>
    <mergeCell ref="B8:D8"/>
    <mergeCell ref="I8:J8"/>
    <mergeCell ref="I6:J6"/>
    <mergeCell ref="B6:D6"/>
    <mergeCell ref="I7:J7"/>
  </mergeCells>
  <conditionalFormatting sqref="E16">
    <cfRule type="expression" dxfId="58" priority="206">
      <formula>$E16="راسب"</formula>
    </cfRule>
  </conditionalFormatting>
  <conditionalFormatting sqref="E16:J16">
    <cfRule type="expression" dxfId="57" priority="207">
      <formula>$E16="مقبول"</formula>
    </cfRule>
    <cfRule type="expression" dxfId="56" priority="208">
      <formula>$E16="جيد"</formula>
    </cfRule>
    <cfRule type="expression" dxfId="55" priority="209">
      <formula>$E16="جيد جداً"</formula>
    </cfRule>
    <cfRule type="expression" dxfId="54" priority="210">
      <formula>$E16="ممتاز"</formula>
    </cfRule>
  </conditionalFormatting>
  <conditionalFormatting sqref="F13">
    <cfRule type="containsText" dxfId="53" priority="163" operator="containsText" text="أدخل العلامة">
      <formula>NOT(ISERROR(SEARCH("أدخل العلامة",F13)))</formula>
    </cfRule>
  </conditionalFormatting>
  <conditionalFormatting sqref="G17:J17">
    <cfRule type="containsText" dxfId="50" priority="164" operator="containsText" text="أدخل اسم المحكم">
      <formula>NOT(ISERROR(SEARCH("أدخل اسم المحكم",G17)))</formula>
    </cfRule>
  </conditionalFormatting>
  <conditionalFormatting sqref="H13">
    <cfRule type="containsText" dxfId="49" priority="154" operator="containsText" text="أدخل العلامة">
      <formula>NOT(ISERROR(SEARCH("أدخل العلامة",H13)))</formula>
    </cfRule>
    <cfRule type="containsText" dxfId="48" priority="155" operator="containsText" text="ممتاز">
      <formula>NOT(ISERROR(SEARCH("ممتاز",H13)))</formula>
    </cfRule>
    <cfRule type="containsText" dxfId="47" priority="156" operator="containsText" text="جيد جداً">
      <formula>NOT(ISERROR(SEARCH("جيد جداً",H13)))</formula>
    </cfRule>
    <cfRule type="containsText" dxfId="46" priority="157" operator="containsText" text="جيد">
      <formula>NOT(ISERROR(SEARCH("جيد",H13)))</formula>
    </cfRule>
    <cfRule type="containsText" dxfId="45" priority="158" operator="containsText" text="مقبول">
      <formula>NOT(ISERROR(SEARCH("مقبول",H13)))</formula>
    </cfRule>
    <cfRule type="containsText" dxfId="44" priority="159" operator="containsText" text="راسب">
      <formula>NOT(ISERROR(SEARCH("راسب",H13)))</formula>
    </cfRule>
  </conditionalFormatting>
  <conditionalFormatting sqref="F7">
    <cfRule type="containsText" dxfId="41" priority="126" operator="containsText" text="أدخل العلامة">
      <formula>NOT(ISERROR(SEARCH("أدخل العلامة",F7)))</formula>
    </cfRule>
  </conditionalFormatting>
  <conditionalFormatting sqref="H7">
    <cfRule type="containsText" dxfId="40" priority="120" operator="containsText" text="أدخل العلامة">
      <formula>NOT(ISERROR(SEARCH("أدخل العلامة",H7)))</formula>
    </cfRule>
    <cfRule type="containsText" dxfId="39" priority="121" operator="containsText" text="ممتاز">
      <formula>NOT(ISERROR(SEARCH("ممتاز",H7)))</formula>
    </cfRule>
    <cfRule type="containsText" dxfId="38" priority="122" operator="containsText" text="جيد جداً">
      <formula>NOT(ISERROR(SEARCH("جيد جداً",H7)))</formula>
    </cfRule>
    <cfRule type="containsText" dxfId="37" priority="123" operator="containsText" text="جيد">
      <formula>NOT(ISERROR(SEARCH("جيد",H7)))</formula>
    </cfRule>
    <cfRule type="containsText" dxfId="36" priority="124" operator="containsText" text="مقبول">
      <formula>NOT(ISERROR(SEARCH("مقبول",H7)))</formula>
    </cfRule>
    <cfRule type="containsText" dxfId="35" priority="125" operator="containsText" text="راسب">
      <formula>NOT(ISERROR(SEARCH("راسب",H7)))</formula>
    </cfRule>
  </conditionalFormatting>
  <conditionalFormatting sqref="F6">
    <cfRule type="containsText" dxfId="34" priority="91" operator="containsText" text="أدخل العلامة">
      <formula>NOT(ISERROR(SEARCH("أدخل العلامة",F6)))</formula>
    </cfRule>
  </conditionalFormatting>
  <conditionalFormatting sqref="H6">
    <cfRule type="containsText" dxfId="33" priority="85" operator="containsText" text="أدخل العلامة">
      <formula>NOT(ISERROR(SEARCH("أدخل العلامة",H6)))</formula>
    </cfRule>
    <cfRule type="containsText" dxfId="32" priority="86" operator="containsText" text="ممتاز">
      <formula>NOT(ISERROR(SEARCH("ممتاز",H6)))</formula>
    </cfRule>
    <cfRule type="containsText" dxfId="31" priority="87" operator="containsText" text="جيد جداً">
      <formula>NOT(ISERROR(SEARCH("جيد جداً",H6)))</formula>
    </cfRule>
    <cfRule type="containsText" dxfId="30" priority="88" operator="containsText" text="جيد">
      <formula>NOT(ISERROR(SEARCH("جيد",H6)))</formula>
    </cfRule>
    <cfRule type="containsText" dxfId="29" priority="89" operator="containsText" text="مقبول">
      <formula>NOT(ISERROR(SEARCH("مقبول",H6)))</formula>
    </cfRule>
    <cfRule type="containsText" dxfId="28" priority="90" operator="containsText" text="راسب">
      <formula>NOT(ISERROR(SEARCH("راسب",H6)))</formula>
    </cfRule>
  </conditionalFormatting>
  <conditionalFormatting sqref="F11">
    <cfRule type="containsText" dxfId="27" priority="84" operator="containsText" text="أدخل العلامة">
      <formula>NOT(ISERROR(SEARCH("أدخل العلامة",F11)))</formula>
    </cfRule>
  </conditionalFormatting>
  <conditionalFormatting sqref="H11">
    <cfRule type="containsText" dxfId="26" priority="78" operator="containsText" text="أدخل العلامة">
      <formula>NOT(ISERROR(SEARCH("أدخل العلامة",H11)))</formula>
    </cfRule>
    <cfRule type="containsText" dxfId="25" priority="79" operator="containsText" text="ممتاز">
      <formula>NOT(ISERROR(SEARCH("ممتاز",H11)))</formula>
    </cfRule>
    <cfRule type="containsText" dxfId="24" priority="80" operator="containsText" text="جيد جداً">
      <formula>NOT(ISERROR(SEARCH("جيد جداً",H11)))</formula>
    </cfRule>
    <cfRule type="containsText" dxfId="23" priority="81" operator="containsText" text="جيد">
      <formula>NOT(ISERROR(SEARCH("جيد",H11)))</formula>
    </cfRule>
    <cfRule type="containsText" dxfId="22" priority="82" operator="containsText" text="مقبول">
      <formula>NOT(ISERROR(SEARCH("مقبول",H11)))</formula>
    </cfRule>
    <cfRule type="containsText" dxfId="21" priority="83" operator="containsText" text="راسب">
      <formula>NOT(ISERROR(SEARCH("راسب",H11)))</formula>
    </cfRule>
  </conditionalFormatting>
  <conditionalFormatting sqref="F12">
    <cfRule type="containsText" dxfId="20" priority="77" operator="containsText" text="أدخل العلامة">
      <formula>NOT(ISERROR(SEARCH("أدخل العلامة",F12)))</formula>
    </cfRule>
  </conditionalFormatting>
  <conditionalFormatting sqref="H12">
    <cfRule type="containsText" dxfId="19" priority="71" operator="containsText" text="أدخل العلامة">
      <formula>NOT(ISERROR(SEARCH("أدخل العلامة",H12)))</formula>
    </cfRule>
    <cfRule type="containsText" dxfId="18" priority="72" operator="containsText" text="ممتاز">
      <formula>NOT(ISERROR(SEARCH("ممتاز",H12)))</formula>
    </cfRule>
    <cfRule type="containsText" dxfId="17" priority="73" operator="containsText" text="جيد جداً">
      <formula>NOT(ISERROR(SEARCH("جيد جداً",H12)))</formula>
    </cfRule>
    <cfRule type="containsText" dxfId="16" priority="74" operator="containsText" text="جيد">
      <formula>NOT(ISERROR(SEARCH("جيد",H12)))</formula>
    </cfRule>
    <cfRule type="containsText" dxfId="15" priority="75" operator="containsText" text="مقبول">
      <formula>NOT(ISERROR(SEARCH("مقبول",H12)))</formula>
    </cfRule>
    <cfRule type="containsText" dxfId="14" priority="76" operator="containsText" text="راسب">
      <formula>NOT(ISERROR(SEARCH("راسب",H12)))</formula>
    </cfRule>
  </conditionalFormatting>
  <conditionalFormatting sqref="F9:F10">
    <cfRule type="containsText" dxfId="13" priority="70" operator="containsText" text="أدخل العلامة">
      <formula>NOT(ISERROR(SEARCH("أدخل العلامة",F9)))</formula>
    </cfRule>
  </conditionalFormatting>
  <conditionalFormatting sqref="H9:H10">
    <cfRule type="containsText" dxfId="12" priority="64" operator="containsText" text="أدخل العلامة">
      <formula>NOT(ISERROR(SEARCH("أدخل العلامة",H9)))</formula>
    </cfRule>
    <cfRule type="containsText" dxfId="11" priority="65" operator="containsText" text="ممتاز">
      <formula>NOT(ISERROR(SEARCH("ممتاز",H9)))</formula>
    </cfRule>
    <cfRule type="containsText" dxfId="10" priority="66" operator="containsText" text="جيد جداً">
      <formula>NOT(ISERROR(SEARCH("جيد جداً",H9)))</formula>
    </cfRule>
    <cfRule type="containsText" dxfId="9" priority="67" operator="containsText" text="جيد">
      <formula>NOT(ISERROR(SEARCH("جيد",H9)))</formula>
    </cfRule>
    <cfRule type="containsText" dxfId="8" priority="68" operator="containsText" text="مقبول">
      <formula>NOT(ISERROR(SEARCH("مقبول",H9)))</formula>
    </cfRule>
    <cfRule type="containsText" dxfId="7" priority="69" operator="containsText" text="راسب">
      <formula>NOT(ISERROR(SEARCH("راسب",H9)))</formula>
    </cfRule>
  </conditionalFormatting>
  <conditionalFormatting sqref="F8">
    <cfRule type="containsText" dxfId="6" priority="63" operator="containsText" text="أدخل العلامة">
      <formula>NOT(ISERROR(SEARCH("أدخل العلامة",F8)))</formula>
    </cfRule>
  </conditionalFormatting>
  <conditionalFormatting sqref="H8">
    <cfRule type="containsText" dxfId="5" priority="57" operator="containsText" text="أدخل العلامة">
      <formula>NOT(ISERROR(SEARCH("أدخل العلامة",H8)))</formula>
    </cfRule>
    <cfRule type="containsText" dxfId="4" priority="58" operator="containsText" text="ممتاز">
      <formula>NOT(ISERROR(SEARCH("ممتاز",H8)))</formula>
    </cfRule>
    <cfRule type="containsText" dxfId="3" priority="59" operator="containsText" text="جيد جداً">
      <formula>NOT(ISERROR(SEARCH("جيد جداً",H8)))</formula>
    </cfRule>
    <cfRule type="containsText" dxfId="2" priority="60" operator="containsText" text="جيد">
      <formula>NOT(ISERROR(SEARCH("جيد",H8)))</formula>
    </cfRule>
    <cfRule type="containsText" dxfId="1" priority="61" operator="containsText" text="مقبول">
      <formula>NOT(ISERROR(SEARCH("مقبول",H8)))</formula>
    </cfRule>
    <cfRule type="containsText" dxfId="0" priority="62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G17:J17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F11:F13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F7:F10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36</v>
      </c>
      <c r="C1" s="2" t="s">
        <v>39</v>
      </c>
    </row>
    <row r="2" spans="1:3" ht="20.100000000000001" customHeight="1" thickBot="1" x14ac:dyDescent="0.25">
      <c r="A2" s="2" t="s">
        <v>47</v>
      </c>
      <c r="C2" s="17"/>
    </row>
    <row r="3" spans="1:3" ht="20.100000000000001" customHeight="1" thickBot="1" x14ac:dyDescent="0.25">
      <c r="A3" s="2" t="s">
        <v>22</v>
      </c>
      <c r="C3" s="17"/>
    </row>
    <row r="4" spans="1:3" ht="20.100000000000001" customHeight="1" thickBot="1" x14ac:dyDescent="0.25">
      <c r="A4" s="2" t="s">
        <v>48</v>
      </c>
      <c r="C4" s="17"/>
    </row>
    <row r="5" spans="1:3" ht="20.100000000000001" customHeight="1" thickBot="1" x14ac:dyDescent="0.25">
      <c r="A5" s="2" t="s">
        <v>49</v>
      </c>
      <c r="C5" s="17"/>
    </row>
    <row r="6" spans="1:3" ht="20.100000000000001" customHeight="1" thickBot="1" x14ac:dyDescent="0.25">
      <c r="A6" s="2" t="s">
        <v>50</v>
      </c>
      <c r="C6" s="17"/>
    </row>
    <row r="7" spans="1:3" ht="20.100000000000001" customHeight="1" thickBot="1" x14ac:dyDescent="0.25">
      <c r="A7" s="2" t="s">
        <v>51</v>
      </c>
      <c r="C7" s="17"/>
    </row>
    <row r="8" spans="1:3" ht="20.100000000000001" customHeight="1" thickBot="1" x14ac:dyDescent="0.25">
      <c r="A8" s="2" t="s">
        <v>52</v>
      </c>
      <c r="C8" s="17"/>
    </row>
    <row r="9" spans="1:3" ht="20.100000000000001" customHeight="1" thickBot="1" x14ac:dyDescent="0.25">
      <c r="A9" s="2" t="s">
        <v>53</v>
      </c>
      <c r="C9" s="17"/>
    </row>
    <row r="10" spans="1:3" ht="20.100000000000001" customHeight="1" thickBot="1" x14ac:dyDescent="0.25">
      <c r="A10" s="2" t="s">
        <v>54</v>
      </c>
      <c r="C10" s="17"/>
    </row>
    <row r="11" spans="1:3" ht="20.100000000000001" customHeight="1" thickBot="1" x14ac:dyDescent="0.25">
      <c r="A11" s="2" t="s">
        <v>55</v>
      </c>
      <c r="C11" s="17"/>
    </row>
    <row r="12" spans="1:3" ht="20.100000000000001" customHeight="1" thickBot="1" x14ac:dyDescent="0.25">
      <c r="A12" s="2" t="s">
        <v>56</v>
      </c>
      <c r="C12" s="17"/>
    </row>
    <row r="13" spans="1:3" ht="20.100000000000001" customHeight="1" thickBot="1" x14ac:dyDescent="0.25">
      <c r="A13" s="2" t="s">
        <v>57</v>
      </c>
      <c r="C13" s="17"/>
    </row>
    <row r="14" spans="1:3" ht="20.100000000000001" customHeight="1" thickBot="1" x14ac:dyDescent="0.25">
      <c r="A14" s="2" t="s">
        <v>58</v>
      </c>
      <c r="C14" s="17"/>
    </row>
    <row r="15" spans="1:3" ht="20.100000000000001" customHeight="1" thickBot="1" x14ac:dyDescent="0.25">
      <c r="A15" s="2" t="s">
        <v>59</v>
      </c>
      <c r="C15" s="17"/>
    </row>
    <row r="16" spans="1:3" ht="20.100000000000001" customHeight="1" thickBot="1" x14ac:dyDescent="0.25">
      <c r="A16" s="2" t="s">
        <v>6</v>
      </c>
      <c r="C16" s="17"/>
    </row>
    <row r="17" spans="1:3" ht="20.100000000000001" customHeight="1" thickBot="1" x14ac:dyDescent="0.25">
      <c r="A17" s="2" t="s">
        <v>23</v>
      </c>
      <c r="C17" s="17"/>
    </row>
    <row r="18" spans="1:3" ht="20.100000000000001" customHeight="1" thickBot="1" x14ac:dyDescent="0.25">
      <c r="A18" s="2" t="s">
        <v>60</v>
      </c>
      <c r="C18" s="17"/>
    </row>
    <row r="19" spans="1:3" ht="20.100000000000001" customHeight="1" thickBot="1" x14ac:dyDescent="0.25">
      <c r="A19" s="2" t="s">
        <v>61</v>
      </c>
      <c r="C19" s="17"/>
    </row>
    <row r="20" spans="1:3" ht="20.100000000000001" customHeight="1" thickBot="1" x14ac:dyDescent="0.25">
      <c r="A20" s="2" t="s">
        <v>62</v>
      </c>
      <c r="C20" s="17"/>
    </row>
    <row r="21" spans="1:3" ht="20.100000000000001" customHeight="1" thickBot="1" x14ac:dyDescent="0.25">
      <c r="A21" s="2" t="s">
        <v>63</v>
      </c>
      <c r="C21" s="17"/>
    </row>
    <row r="22" spans="1:3" ht="20.100000000000001" customHeight="1" thickBot="1" x14ac:dyDescent="0.25">
      <c r="A22" s="2" t="s">
        <v>7</v>
      </c>
      <c r="C22" s="17"/>
    </row>
    <row r="23" spans="1:3" ht="20.100000000000001" customHeight="1" thickBot="1" x14ac:dyDescent="0.25">
      <c r="A23" s="2" t="s">
        <v>8</v>
      </c>
      <c r="C23" s="17"/>
    </row>
    <row r="24" spans="1:3" ht="20.100000000000001" customHeight="1" thickBot="1" x14ac:dyDescent="0.25">
      <c r="A24" s="2" t="s">
        <v>11</v>
      </c>
      <c r="C24" s="17"/>
    </row>
    <row r="25" spans="1:3" ht="20.100000000000001" customHeight="1" thickBot="1" x14ac:dyDescent="0.25">
      <c r="A25" s="2" t="s">
        <v>24</v>
      </c>
      <c r="C25" s="17"/>
    </row>
    <row r="26" spans="1:3" ht="20.100000000000001" customHeight="1" thickBot="1" x14ac:dyDescent="0.25">
      <c r="A26" s="2" t="s">
        <v>25</v>
      </c>
      <c r="C26" s="17"/>
    </row>
    <row r="27" spans="1:3" ht="20.100000000000001" customHeight="1" thickBot="1" x14ac:dyDescent="0.25">
      <c r="A27" s="2" t="s">
        <v>9</v>
      </c>
      <c r="C27" s="17"/>
    </row>
    <row r="28" spans="1:3" ht="20.100000000000001" customHeight="1" thickBot="1" x14ac:dyDescent="0.25">
      <c r="A28" s="2" t="s">
        <v>26</v>
      </c>
      <c r="C28" s="17"/>
    </row>
    <row r="29" spans="1:3" ht="20.100000000000001" customHeight="1" thickBot="1" x14ac:dyDescent="0.25">
      <c r="A29" s="2" t="s">
        <v>27</v>
      </c>
      <c r="C29" s="17"/>
    </row>
    <row r="30" spans="1:3" ht="20.100000000000001" customHeight="1" thickBot="1" x14ac:dyDescent="0.25">
      <c r="A30" s="2" t="s">
        <v>28</v>
      </c>
      <c r="C30" s="17"/>
    </row>
    <row r="31" spans="1:3" ht="20.100000000000001" customHeight="1" thickBot="1" x14ac:dyDescent="0.25">
      <c r="A31" s="2" t="s">
        <v>29</v>
      </c>
      <c r="C31" s="17"/>
    </row>
    <row r="32" spans="1:3" ht="20.100000000000001" customHeight="1" thickBot="1" x14ac:dyDescent="0.25">
      <c r="A32" s="2" t="s">
        <v>12</v>
      </c>
      <c r="C32" s="17"/>
    </row>
    <row r="33" spans="1:9" ht="20.100000000000001" customHeight="1" thickBot="1" x14ac:dyDescent="0.25">
      <c r="A33" s="2" t="s">
        <v>10</v>
      </c>
      <c r="C33" s="17"/>
    </row>
    <row r="34" spans="1:9" ht="20.100000000000001" customHeight="1" thickBot="1" x14ac:dyDescent="0.25">
      <c r="A34" s="2" t="s">
        <v>30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25">
      <c r="A38" s="2" t="s">
        <v>35</v>
      </c>
    </row>
    <row r="39" spans="1:9" ht="20.100000000000001" customHeight="1" thickBot="1" x14ac:dyDescent="0.25">
      <c r="A39" s="11">
        <v>46266</v>
      </c>
    </row>
    <row r="40" spans="1:9" ht="20.100000000000001" customHeight="1" thickBot="1" x14ac:dyDescent="0.25">
      <c r="A40" s="11">
        <v>46267</v>
      </c>
    </row>
    <row r="41" spans="1:9" ht="20.100000000000001" customHeight="1" thickBot="1" x14ac:dyDescent="0.25">
      <c r="A41" s="11">
        <v>46268</v>
      </c>
      <c r="C41" s="30" t="s">
        <v>46</v>
      </c>
    </row>
    <row r="42" spans="1:9" ht="20.100000000000001" customHeight="1" thickBot="1" x14ac:dyDescent="0.25">
      <c r="A42" s="11">
        <v>46269</v>
      </c>
      <c r="C42" s="11" t="s">
        <v>64</v>
      </c>
    </row>
    <row r="43" spans="1:9" ht="20.100000000000001" customHeight="1" thickBot="1" x14ac:dyDescent="0.25">
      <c r="A43" s="11">
        <v>46270</v>
      </c>
      <c r="C43" s="11" t="s">
        <v>65</v>
      </c>
    </row>
    <row r="44" spans="1:9" ht="20.100000000000001" customHeight="1" thickBot="1" x14ac:dyDescent="0.25">
      <c r="A44" s="11">
        <v>46271</v>
      </c>
      <c r="C44" s="11" t="s">
        <v>66</v>
      </c>
    </row>
    <row r="45" spans="1:9" ht="20.100000000000001" customHeight="1" thickBot="1" x14ac:dyDescent="0.25">
      <c r="A45" s="11">
        <v>46272</v>
      </c>
      <c r="C45" s="11" t="s">
        <v>67</v>
      </c>
    </row>
    <row r="46" spans="1:9" ht="20.100000000000001" customHeight="1" thickBot="1" x14ac:dyDescent="0.25">
      <c r="A46" s="11">
        <v>46273</v>
      </c>
      <c r="C46" s="11" t="s">
        <v>68</v>
      </c>
    </row>
    <row r="47" spans="1:9" ht="20.100000000000001" customHeight="1" thickBot="1" x14ac:dyDescent="0.25">
      <c r="A47" s="11">
        <v>46274</v>
      </c>
      <c r="C47" s="11" t="s">
        <v>69</v>
      </c>
    </row>
    <row r="48" spans="1:9" ht="20.100000000000001" customHeight="1" thickBot="1" x14ac:dyDescent="0.25">
      <c r="A48" s="11">
        <v>46275</v>
      </c>
    </row>
    <row r="49" spans="1:3" ht="20.100000000000001" customHeight="1" thickBot="1" x14ac:dyDescent="0.25">
      <c r="A49" s="11">
        <v>46276</v>
      </c>
    </row>
    <row r="50" spans="1:3" ht="20.100000000000001" customHeight="1" thickBot="1" x14ac:dyDescent="0.3">
      <c r="A50" s="11">
        <v>46277</v>
      </c>
      <c r="C50" s="31" t="s">
        <v>45</v>
      </c>
    </row>
    <row r="51" spans="1:3" ht="20.100000000000001" customHeight="1" thickBot="1" x14ac:dyDescent="0.3">
      <c r="A51" s="11">
        <v>46278</v>
      </c>
      <c r="C51" s="31">
        <v>1</v>
      </c>
    </row>
    <row r="52" spans="1:3" ht="20.100000000000001" customHeight="1" thickBot="1" x14ac:dyDescent="0.3">
      <c r="A52" s="11">
        <v>46279</v>
      </c>
      <c r="C52" s="31">
        <v>2</v>
      </c>
    </row>
    <row r="53" spans="1:3" ht="20.100000000000001" customHeight="1" thickBot="1" x14ac:dyDescent="0.3">
      <c r="A53" s="11">
        <v>46280</v>
      </c>
      <c r="C53" s="31">
        <v>3</v>
      </c>
    </row>
    <row r="54" spans="1:3" ht="20.100000000000001" customHeight="1" thickBot="1" x14ac:dyDescent="0.3">
      <c r="A54" s="11">
        <v>46281</v>
      </c>
      <c r="C54" s="31">
        <v>4</v>
      </c>
    </row>
    <row r="55" spans="1:3" ht="20.100000000000001" customHeight="1" thickBot="1" x14ac:dyDescent="0.3">
      <c r="A55" s="11">
        <v>46282</v>
      </c>
      <c r="C55" s="31">
        <v>5</v>
      </c>
    </row>
    <row r="56" spans="1:3" ht="20.100000000000001" customHeight="1" thickBot="1" x14ac:dyDescent="0.3">
      <c r="A56" s="11">
        <v>46283</v>
      </c>
      <c r="C56" s="31">
        <v>6</v>
      </c>
    </row>
    <row r="57" spans="1:3" ht="20.100000000000001" customHeight="1" thickBot="1" x14ac:dyDescent="0.3">
      <c r="A57" s="11">
        <v>46284</v>
      </c>
      <c r="C57" s="31">
        <v>7</v>
      </c>
    </row>
    <row r="58" spans="1:3" ht="20.100000000000001" customHeight="1" thickBot="1" x14ac:dyDescent="0.3">
      <c r="A58" s="11">
        <v>46285</v>
      </c>
      <c r="C58" s="31">
        <v>8</v>
      </c>
    </row>
    <row r="59" spans="1:3" ht="20.100000000000001" customHeight="1" thickBot="1" x14ac:dyDescent="0.3">
      <c r="A59" s="11">
        <v>46286</v>
      </c>
      <c r="C59" s="31">
        <v>9</v>
      </c>
    </row>
    <row r="60" spans="1:3" ht="20.100000000000001" customHeight="1" thickBot="1" x14ac:dyDescent="0.3">
      <c r="A60" s="11">
        <v>46287</v>
      </c>
      <c r="C60" s="31">
        <v>10</v>
      </c>
    </row>
    <row r="61" spans="1:3" ht="20.100000000000001" customHeight="1" thickBot="1" x14ac:dyDescent="0.3">
      <c r="A61" s="11">
        <v>46288</v>
      </c>
      <c r="C61" s="31">
        <v>11</v>
      </c>
    </row>
    <row r="62" spans="1:3" ht="20.100000000000001" customHeight="1" thickBot="1" x14ac:dyDescent="0.3">
      <c r="A62" s="11">
        <v>46289</v>
      </c>
      <c r="C62" s="31">
        <v>12</v>
      </c>
    </row>
    <row r="63" spans="1:3" ht="20.100000000000001" customHeight="1" thickBot="1" x14ac:dyDescent="0.3">
      <c r="A63" s="11">
        <v>46290</v>
      </c>
      <c r="C63" s="31">
        <v>13</v>
      </c>
    </row>
    <row r="64" spans="1:3" ht="20.100000000000001" customHeight="1" thickBot="1" x14ac:dyDescent="0.3">
      <c r="A64" s="11">
        <v>46291</v>
      </c>
      <c r="C64" s="31">
        <v>14</v>
      </c>
    </row>
    <row r="65" spans="1:9" ht="20.100000000000001" customHeight="1" thickBot="1" x14ac:dyDescent="0.3">
      <c r="A65" s="11">
        <v>46292</v>
      </c>
      <c r="C65" s="31">
        <v>15</v>
      </c>
    </row>
    <row r="66" spans="1:9" ht="20.100000000000001" customHeight="1" thickBot="1" x14ac:dyDescent="0.3">
      <c r="A66" s="11">
        <v>46293</v>
      </c>
      <c r="C66" s="31">
        <v>16</v>
      </c>
    </row>
    <row r="67" spans="1:9" ht="20.100000000000001" customHeight="1" thickBot="1" x14ac:dyDescent="0.3">
      <c r="A67" s="11">
        <v>46294</v>
      </c>
      <c r="C67" s="31">
        <v>17</v>
      </c>
    </row>
    <row r="68" spans="1:9" ht="20.100000000000001" customHeight="1" thickBot="1" x14ac:dyDescent="0.3">
      <c r="A68" s="11">
        <v>46295</v>
      </c>
      <c r="C68" s="31">
        <v>18</v>
      </c>
    </row>
    <row r="69" spans="1:9" ht="20.100000000000001" customHeight="1" thickBot="1" x14ac:dyDescent="0.3">
      <c r="A69" s="11">
        <v>46296</v>
      </c>
      <c r="C69" s="31">
        <v>19</v>
      </c>
    </row>
    <row r="70" spans="1:9" ht="20.100000000000001" customHeight="1" x14ac:dyDescent="0.25">
      <c r="A70" s="12"/>
      <c r="C70" s="31">
        <v>20</v>
      </c>
    </row>
    <row r="71" spans="1:9" ht="20.100000000000001" customHeight="1" x14ac:dyDescent="0.25">
      <c r="A71" s="12"/>
      <c r="C71" s="31">
        <v>21</v>
      </c>
    </row>
    <row r="72" spans="1:9" s="15" customFormat="1" ht="20.100000000000001" customHeight="1" x14ac:dyDescent="0.25">
      <c r="A72" s="13"/>
      <c r="B72" s="14"/>
      <c r="C72" s="31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">
      <c r="C73" s="31">
        <v>23</v>
      </c>
    </row>
    <row r="74" spans="1:9" ht="20.100000000000001" customHeight="1" thickBot="1" x14ac:dyDescent="0.3">
      <c r="A74" s="2" t="s">
        <v>40</v>
      </c>
      <c r="C74" s="31">
        <v>24</v>
      </c>
    </row>
    <row r="75" spans="1:9" ht="20.100000000000001" customHeight="1" thickBot="1" x14ac:dyDescent="0.3">
      <c r="A75" s="2" t="s">
        <v>13</v>
      </c>
      <c r="C75" s="31">
        <v>25</v>
      </c>
    </row>
    <row r="76" spans="1:9" ht="20.100000000000001" customHeight="1" thickBot="1" x14ac:dyDescent="0.3">
      <c r="A76" s="2">
        <v>0</v>
      </c>
      <c r="C76" s="31">
        <v>26</v>
      </c>
    </row>
    <row r="77" spans="1:9" ht="20.100000000000001" customHeight="1" thickBot="1" x14ac:dyDescent="0.3">
      <c r="A77" s="2">
        <v>0.25</v>
      </c>
      <c r="C77" s="31">
        <v>27</v>
      </c>
    </row>
    <row r="78" spans="1:9" ht="20.100000000000001" customHeight="1" thickBot="1" x14ac:dyDescent="0.3">
      <c r="A78" s="2">
        <v>0.5</v>
      </c>
      <c r="C78" s="31">
        <v>28</v>
      </c>
    </row>
    <row r="79" spans="1:9" ht="20.100000000000001" customHeight="1" thickBot="1" x14ac:dyDescent="0.3">
      <c r="A79" s="2">
        <v>0.75</v>
      </c>
      <c r="C79" s="31">
        <v>29</v>
      </c>
    </row>
    <row r="80" spans="1:9" ht="20.100000000000001" customHeight="1" thickBot="1" x14ac:dyDescent="0.3">
      <c r="A80" s="2">
        <v>1</v>
      </c>
      <c r="C80" s="31">
        <v>30</v>
      </c>
    </row>
    <row r="81" spans="1:3" ht="20.100000000000001" customHeight="1" thickBot="1" x14ac:dyDescent="0.3">
      <c r="A81" s="2">
        <v>1.25</v>
      </c>
      <c r="C81" s="31">
        <v>31</v>
      </c>
    </row>
    <row r="82" spans="1:3" ht="20.100000000000001" customHeight="1" thickBot="1" x14ac:dyDescent="0.3">
      <c r="A82" s="2">
        <v>1.5</v>
      </c>
      <c r="C82" s="31">
        <v>32</v>
      </c>
    </row>
    <row r="83" spans="1:3" ht="20.100000000000001" customHeight="1" thickBot="1" x14ac:dyDescent="0.3">
      <c r="A83" s="2">
        <v>1.75</v>
      </c>
      <c r="C83" s="31">
        <v>33</v>
      </c>
    </row>
    <row r="84" spans="1:3" ht="20.100000000000001" customHeight="1" thickBot="1" x14ac:dyDescent="0.3">
      <c r="A84" s="2">
        <v>2</v>
      </c>
      <c r="C84" s="31">
        <v>34</v>
      </c>
    </row>
    <row r="85" spans="1:3" ht="20.100000000000001" customHeight="1" thickBot="1" x14ac:dyDescent="0.3">
      <c r="A85" s="2">
        <v>2.25</v>
      </c>
      <c r="C85" s="31">
        <v>35</v>
      </c>
    </row>
    <row r="86" spans="1:3" ht="20.100000000000001" customHeight="1" thickBot="1" x14ac:dyDescent="0.3">
      <c r="A86" s="2">
        <v>2.5</v>
      </c>
      <c r="C86" s="31">
        <v>36</v>
      </c>
    </row>
    <row r="87" spans="1:3" ht="20.100000000000001" customHeight="1" thickBot="1" x14ac:dyDescent="0.3">
      <c r="A87" s="2">
        <v>2.75</v>
      </c>
      <c r="C87" s="31">
        <v>37</v>
      </c>
    </row>
    <row r="88" spans="1:3" ht="20.100000000000001" customHeight="1" thickBot="1" x14ac:dyDescent="0.3">
      <c r="A88" s="2">
        <v>3</v>
      </c>
      <c r="C88" s="31">
        <v>38</v>
      </c>
    </row>
    <row r="89" spans="1:3" ht="20.100000000000001" customHeight="1" thickBot="1" x14ac:dyDescent="0.3">
      <c r="A89" s="2">
        <v>3.25</v>
      </c>
      <c r="C89" s="31">
        <v>39</v>
      </c>
    </row>
    <row r="90" spans="1:3" ht="20.100000000000001" customHeight="1" thickBot="1" x14ac:dyDescent="0.3">
      <c r="A90" s="2">
        <v>3.5</v>
      </c>
      <c r="C90" s="31">
        <v>40</v>
      </c>
    </row>
    <row r="91" spans="1:3" ht="20.100000000000001" customHeight="1" thickBot="1" x14ac:dyDescent="0.3">
      <c r="A91" s="2">
        <v>3.75</v>
      </c>
      <c r="C91" s="31">
        <v>41</v>
      </c>
    </row>
    <row r="92" spans="1:3" ht="20.100000000000001" customHeight="1" thickBot="1" x14ac:dyDescent="0.3">
      <c r="A92" s="2">
        <v>4</v>
      </c>
      <c r="C92" s="31">
        <v>42</v>
      </c>
    </row>
    <row r="93" spans="1:3" ht="20.100000000000001" customHeight="1" thickBot="1" x14ac:dyDescent="0.3">
      <c r="A93" s="2">
        <v>4.25</v>
      </c>
      <c r="C93" s="31">
        <v>43</v>
      </c>
    </row>
    <row r="94" spans="1:3" ht="20.100000000000001" customHeight="1" thickBot="1" x14ac:dyDescent="0.3">
      <c r="A94" s="2">
        <v>4.5</v>
      </c>
      <c r="C94" s="31">
        <v>44</v>
      </c>
    </row>
    <row r="95" spans="1:3" ht="20.100000000000001" customHeight="1" thickBot="1" x14ac:dyDescent="0.3">
      <c r="A95" s="2">
        <v>4.75</v>
      </c>
      <c r="C95" s="31">
        <v>45</v>
      </c>
    </row>
    <row r="96" spans="1:3" ht="20.100000000000001" customHeight="1" thickBot="1" x14ac:dyDescent="0.3">
      <c r="A96" s="2">
        <v>5</v>
      </c>
      <c r="C96" s="31">
        <v>46</v>
      </c>
    </row>
    <row r="97" spans="1:3" ht="20.100000000000001" customHeight="1" thickBot="1" x14ac:dyDescent="0.3">
      <c r="A97" s="2">
        <v>5.25</v>
      </c>
      <c r="C97" s="31">
        <v>47</v>
      </c>
    </row>
    <row r="98" spans="1:3" ht="20.100000000000001" customHeight="1" thickBot="1" x14ac:dyDescent="0.3">
      <c r="A98" s="2">
        <v>5.5</v>
      </c>
      <c r="C98" s="31">
        <v>48</v>
      </c>
    </row>
    <row r="99" spans="1:3" ht="20.100000000000001" customHeight="1" thickBot="1" x14ac:dyDescent="0.3">
      <c r="A99" s="2">
        <v>5.75</v>
      </c>
      <c r="C99" s="31">
        <v>49</v>
      </c>
    </row>
    <row r="100" spans="1:3" ht="20.100000000000001" customHeight="1" thickBot="1" x14ac:dyDescent="0.3">
      <c r="A100" s="2">
        <v>6</v>
      </c>
      <c r="C100" s="31">
        <v>50</v>
      </c>
    </row>
    <row r="101" spans="1:3" ht="20.100000000000001" customHeight="1" thickBot="1" x14ac:dyDescent="0.3">
      <c r="A101" s="2">
        <v>6.25</v>
      </c>
      <c r="C101" s="31">
        <v>51</v>
      </c>
    </row>
    <row r="102" spans="1:3" ht="20.100000000000001" customHeight="1" thickBot="1" x14ac:dyDescent="0.3">
      <c r="A102" s="2">
        <v>6.5</v>
      </c>
      <c r="C102" s="31">
        <v>52</v>
      </c>
    </row>
    <row r="103" spans="1:3" ht="20.100000000000001" customHeight="1" thickBot="1" x14ac:dyDescent="0.3">
      <c r="A103" s="2">
        <v>6.75</v>
      </c>
      <c r="C103" s="31">
        <v>53</v>
      </c>
    </row>
    <row r="104" spans="1:3" ht="20.100000000000001" customHeight="1" thickBot="1" x14ac:dyDescent="0.3">
      <c r="A104" s="2">
        <v>7</v>
      </c>
      <c r="C104" s="31">
        <v>54</v>
      </c>
    </row>
    <row r="105" spans="1:3" ht="20.100000000000001" customHeight="1" thickBot="1" x14ac:dyDescent="0.3">
      <c r="A105" s="2">
        <v>7.25</v>
      </c>
      <c r="C105" s="31">
        <v>55</v>
      </c>
    </row>
    <row r="106" spans="1:3" ht="20.100000000000001" customHeight="1" thickBot="1" x14ac:dyDescent="0.3">
      <c r="A106" s="2">
        <v>7.5</v>
      </c>
      <c r="C106" s="31">
        <v>56</v>
      </c>
    </row>
    <row r="107" spans="1:3" ht="20.100000000000001" customHeight="1" thickBot="1" x14ac:dyDescent="0.3">
      <c r="A107" s="2">
        <v>7.75</v>
      </c>
      <c r="C107" s="31">
        <v>57</v>
      </c>
    </row>
    <row r="108" spans="1:3" ht="20.100000000000001" customHeight="1" thickBot="1" x14ac:dyDescent="0.3">
      <c r="A108" s="2">
        <v>8</v>
      </c>
      <c r="C108" s="31">
        <v>58</v>
      </c>
    </row>
    <row r="109" spans="1:3" ht="20.100000000000001" customHeight="1" thickBot="1" x14ac:dyDescent="0.3">
      <c r="A109" s="2">
        <v>8.25</v>
      </c>
      <c r="C109" s="31">
        <v>59</v>
      </c>
    </row>
    <row r="110" spans="1:3" ht="20.100000000000001" customHeight="1" thickBot="1" x14ac:dyDescent="0.3">
      <c r="A110" s="2">
        <v>8.5</v>
      </c>
      <c r="C110" s="31">
        <v>60</v>
      </c>
    </row>
    <row r="111" spans="1:3" ht="20.100000000000001" customHeight="1" thickBot="1" x14ac:dyDescent="0.3">
      <c r="A111" s="2">
        <v>8.75</v>
      </c>
      <c r="C111" s="31">
        <v>61</v>
      </c>
    </row>
    <row r="112" spans="1:3" ht="20.100000000000001" customHeight="1" thickBot="1" x14ac:dyDescent="0.3">
      <c r="A112" s="2">
        <v>9</v>
      </c>
      <c r="C112" s="31">
        <v>62</v>
      </c>
    </row>
    <row r="113" spans="1:3" ht="20.100000000000001" customHeight="1" thickBot="1" x14ac:dyDescent="0.3">
      <c r="A113" s="2">
        <v>9.25</v>
      </c>
      <c r="C113" s="31">
        <v>63</v>
      </c>
    </row>
    <row r="114" spans="1:3" ht="20.100000000000001" customHeight="1" thickBot="1" x14ac:dyDescent="0.3">
      <c r="A114" s="2">
        <v>9.5</v>
      </c>
      <c r="C114" s="31">
        <v>64</v>
      </c>
    </row>
    <row r="115" spans="1:3" ht="20.100000000000001" customHeight="1" thickBot="1" x14ac:dyDescent="0.3">
      <c r="A115" s="2">
        <v>9.75</v>
      </c>
      <c r="C115" s="31">
        <v>65</v>
      </c>
    </row>
    <row r="116" spans="1:3" ht="20.100000000000001" customHeight="1" thickBot="1" x14ac:dyDescent="0.3">
      <c r="A116" s="2">
        <v>10</v>
      </c>
      <c r="C116" s="31">
        <v>66</v>
      </c>
    </row>
    <row r="117" spans="1:3" ht="20.100000000000001" customHeight="1" thickBot="1" x14ac:dyDescent="0.3">
      <c r="A117" s="2">
        <v>10.25</v>
      </c>
      <c r="C117" s="31">
        <v>67</v>
      </c>
    </row>
    <row r="118" spans="1:3" ht="20.100000000000001" customHeight="1" thickBot="1" x14ac:dyDescent="0.3">
      <c r="A118" s="2">
        <v>10.5</v>
      </c>
      <c r="C118" s="31">
        <v>68</v>
      </c>
    </row>
    <row r="119" spans="1:3" ht="20.100000000000001" customHeight="1" thickBot="1" x14ac:dyDescent="0.3">
      <c r="A119" s="2">
        <v>10.75</v>
      </c>
      <c r="C119" s="31">
        <v>69</v>
      </c>
    </row>
    <row r="120" spans="1:3" ht="20.100000000000001" customHeight="1" thickBot="1" x14ac:dyDescent="0.3">
      <c r="A120" s="2">
        <v>11</v>
      </c>
      <c r="C120" s="31">
        <v>70</v>
      </c>
    </row>
    <row r="121" spans="1:3" ht="20.100000000000001" customHeight="1" thickBot="1" x14ac:dyDescent="0.3">
      <c r="A121" s="2">
        <v>11.25</v>
      </c>
      <c r="C121" s="31">
        <v>71</v>
      </c>
    </row>
    <row r="122" spans="1:3" ht="20.100000000000001" customHeight="1" thickBot="1" x14ac:dyDescent="0.3">
      <c r="A122" s="2">
        <v>11.5</v>
      </c>
      <c r="C122" s="31">
        <v>72</v>
      </c>
    </row>
    <row r="123" spans="1:3" ht="20.100000000000001" customHeight="1" thickBot="1" x14ac:dyDescent="0.3">
      <c r="A123" s="2">
        <v>11.75</v>
      </c>
      <c r="C123" s="31">
        <v>73</v>
      </c>
    </row>
    <row r="124" spans="1:3" ht="20.100000000000001" customHeight="1" thickBot="1" x14ac:dyDescent="0.3">
      <c r="A124" s="2">
        <v>12</v>
      </c>
      <c r="C124" s="31">
        <v>74</v>
      </c>
    </row>
    <row r="125" spans="1:3" ht="20.100000000000001" customHeight="1" thickBot="1" x14ac:dyDescent="0.3">
      <c r="A125" s="2">
        <v>12.25</v>
      </c>
      <c r="C125" s="31">
        <v>75</v>
      </c>
    </row>
    <row r="126" spans="1:3" ht="20.100000000000001" customHeight="1" thickBot="1" x14ac:dyDescent="0.3">
      <c r="A126" s="2">
        <v>12.5</v>
      </c>
      <c r="C126" s="31">
        <v>76</v>
      </c>
    </row>
    <row r="127" spans="1:3" ht="20.100000000000001" customHeight="1" thickBot="1" x14ac:dyDescent="0.3">
      <c r="A127" s="2">
        <v>12.75</v>
      </c>
      <c r="C127" s="31">
        <v>77</v>
      </c>
    </row>
    <row r="128" spans="1:3" ht="20.100000000000001" customHeight="1" thickBot="1" x14ac:dyDescent="0.3">
      <c r="A128" s="2">
        <v>13</v>
      </c>
      <c r="C128" s="31">
        <v>78</v>
      </c>
    </row>
    <row r="129" spans="1:3" ht="20.100000000000001" customHeight="1" thickBot="1" x14ac:dyDescent="0.3">
      <c r="A129" s="2">
        <v>13.25</v>
      </c>
      <c r="C129" s="31">
        <v>79</v>
      </c>
    </row>
    <row r="130" spans="1:3" ht="20.100000000000001" customHeight="1" thickBot="1" x14ac:dyDescent="0.3">
      <c r="A130" s="2">
        <v>13.5</v>
      </c>
      <c r="C130" s="31">
        <v>80</v>
      </c>
    </row>
    <row r="131" spans="1:3" ht="20.100000000000001" customHeight="1" thickBot="1" x14ac:dyDescent="0.3">
      <c r="A131" s="2">
        <v>13.75</v>
      </c>
      <c r="C131" s="31">
        <v>81</v>
      </c>
    </row>
    <row r="132" spans="1:3" ht="20.100000000000001" customHeight="1" thickBot="1" x14ac:dyDescent="0.3">
      <c r="A132" s="2">
        <v>14</v>
      </c>
      <c r="C132" s="31">
        <v>82</v>
      </c>
    </row>
    <row r="133" spans="1:3" ht="20.100000000000001" customHeight="1" thickBot="1" x14ac:dyDescent="0.3">
      <c r="A133" s="2">
        <v>14.25</v>
      </c>
      <c r="C133" s="31">
        <v>83</v>
      </c>
    </row>
    <row r="134" spans="1:3" ht="20.100000000000001" customHeight="1" thickBot="1" x14ac:dyDescent="0.3">
      <c r="A134" s="2">
        <v>14.5</v>
      </c>
      <c r="C134" s="31">
        <v>84</v>
      </c>
    </row>
    <row r="135" spans="1:3" ht="20.100000000000001" customHeight="1" thickBot="1" x14ac:dyDescent="0.3">
      <c r="A135" s="2">
        <v>14.75</v>
      </c>
      <c r="C135" s="31">
        <v>85</v>
      </c>
    </row>
    <row r="136" spans="1:3" ht="20.100000000000001" customHeight="1" thickBot="1" x14ac:dyDescent="0.3">
      <c r="A136" s="2">
        <v>15</v>
      </c>
      <c r="C136" s="31">
        <v>86</v>
      </c>
    </row>
    <row r="137" spans="1:3" ht="20.100000000000001" customHeight="1" thickBot="1" x14ac:dyDescent="0.3">
      <c r="A137" s="2">
        <v>15.25</v>
      </c>
      <c r="C137" s="31">
        <v>87</v>
      </c>
    </row>
    <row r="138" spans="1:3" ht="20.100000000000001" customHeight="1" thickBot="1" x14ac:dyDescent="0.3">
      <c r="A138" s="2">
        <v>15.5</v>
      </c>
      <c r="C138" s="31">
        <v>88</v>
      </c>
    </row>
    <row r="139" spans="1:3" ht="20.100000000000001" customHeight="1" thickBot="1" x14ac:dyDescent="0.3">
      <c r="A139" s="2">
        <v>15.75</v>
      </c>
      <c r="C139" s="31">
        <v>89</v>
      </c>
    </row>
    <row r="140" spans="1:3" ht="20.100000000000001" customHeight="1" thickBot="1" x14ac:dyDescent="0.3">
      <c r="A140" s="2">
        <v>16</v>
      </c>
      <c r="C140" s="31">
        <v>90</v>
      </c>
    </row>
    <row r="141" spans="1:3" ht="20.100000000000001" customHeight="1" thickBot="1" x14ac:dyDescent="0.3">
      <c r="A141" s="2">
        <v>16.25</v>
      </c>
      <c r="C141" s="31">
        <v>91</v>
      </c>
    </row>
    <row r="142" spans="1:3" ht="20.100000000000001" customHeight="1" thickBot="1" x14ac:dyDescent="0.3">
      <c r="A142" s="2">
        <v>16.5</v>
      </c>
      <c r="C142" s="31">
        <v>92</v>
      </c>
    </row>
    <row r="143" spans="1:3" ht="20.100000000000001" customHeight="1" thickBot="1" x14ac:dyDescent="0.3">
      <c r="A143" s="2">
        <v>16.75</v>
      </c>
      <c r="C143" s="31">
        <v>93</v>
      </c>
    </row>
    <row r="144" spans="1:3" ht="20.100000000000001" customHeight="1" thickBot="1" x14ac:dyDescent="0.3">
      <c r="A144" s="2">
        <v>17</v>
      </c>
      <c r="C144" s="31">
        <v>94</v>
      </c>
    </row>
    <row r="145" spans="1:3" ht="20.100000000000001" customHeight="1" thickBot="1" x14ac:dyDescent="0.3">
      <c r="A145" s="2">
        <v>17.25</v>
      </c>
      <c r="C145" s="31">
        <v>95</v>
      </c>
    </row>
    <row r="146" spans="1:3" ht="20.100000000000001" customHeight="1" thickBot="1" x14ac:dyDescent="0.3">
      <c r="A146" s="2">
        <v>17.5</v>
      </c>
      <c r="C146" s="31">
        <v>96</v>
      </c>
    </row>
    <row r="147" spans="1:3" ht="20.100000000000001" customHeight="1" thickBot="1" x14ac:dyDescent="0.3">
      <c r="A147" s="2">
        <v>17.75</v>
      </c>
      <c r="C147" s="31">
        <v>97</v>
      </c>
    </row>
    <row r="148" spans="1:3" ht="20.100000000000001" customHeight="1" thickBot="1" x14ac:dyDescent="0.3">
      <c r="A148" s="2">
        <v>18</v>
      </c>
      <c r="C148" s="31">
        <v>98</v>
      </c>
    </row>
    <row r="149" spans="1:3" ht="20.100000000000001" customHeight="1" thickBot="1" x14ac:dyDescent="0.3">
      <c r="A149" s="2">
        <v>18.25</v>
      </c>
      <c r="C149" s="31">
        <v>99</v>
      </c>
    </row>
    <row r="150" spans="1:3" ht="20.100000000000001" customHeight="1" thickBot="1" x14ac:dyDescent="0.3">
      <c r="A150" s="2">
        <v>18.5</v>
      </c>
      <c r="C150" s="31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38</v>
      </c>
    </row>
    <row r="162" spans="1:1" ht="20.100000000000001" customHeight="1" x14ac:dyDescent="0.2">
      <c r="A162" s="18"/>
    </row>
    <row r="163" spans="1:1" ht="20.100000000000001" customHeight="1" x14ac:dyDescent="0.2">
      <c r="A163" s="18"/>
    </row>
    <row r="164" spans="1:1" ht="20.100000000000001" customHeight="1" x14ac:dyDescent="0.2">
      <c r="A164" s="18"/>
    </row>
    <row r="165" spans="1:1" ht="20.100000000000001" customHeight="1" x14ac:dyDescent="0.2">
      <c r="A165" s="18"/>
    </row>
    <row r="166" spans="1:1" ht="20.100000000000001" customHeight="1" x14ac:dyDescent="0.2">
      <c r="A166" s="18"/>
    </row>
    <row r="167" spans="1:1" ht="20.100000000000001" customHeight="1" x14ac:dyDescent="0.2">
      <c r="A167" s="18"/>
    </row>
    <row r="168" spans="1:1" ht="20.100000000000001" customHeight="1" x14ac:dyDescent="0.2">
      <c r="A168" s="18"/>
    </row>
    <row r="169" spans="1:1" ht="20.100000000000001" customHeight="1" x14ac:dyDescent="0.2">
      <c r="A169" s="18"/>
    </row>
    <row r="170" spans="1:1" ht="20.100000000000001" customHeight="1" x14ac:dyDescent="0.2">
      <c r="A170" s="18"/>
    </row>
    <row r="171" spans="1:1" ht="20.100000000000001" customHeight="1" x14ac:dyDescent="0.2">
      <c r="A171" s="19"/>
    </row>
    <row r="172" spans="1:1" ht="20.100000000000001" customHeight="1" x14ac:dyDescent="0.2">
      <c r="A172" s="19"/>
    </row>
    <row r="173" spans="1:1" ht="20.100000000000001" customHeight="1" x14ac:dyDescent="0.2">
      <c r="A173" s="18"/>
    </row>
    <row r="174" spans="1:1" ht="20.100000000000001" customHeight="1" x14ac:dyDescent="0.2">
      <c r="A174" s="18"/>
    </row>
    <row r="175" spans="1:1" ht="20.100000000000001" customHeight="1" x14ac:dyDescent="0.2">
      <c r="A175" s="18"/>
    </row>
    <row r="176" spans="1:1" ht="20.100000000000001" customHeight="1" x14ac:dyDescent="0.2">
      <c r="A176" s="18"/>
    </row>
    <row r="177" spans="1:1" ht="20.100000000000001" customHeight="1" x14ac:dyDescent="0.2">
      <c r="A177" s="18"/>
    </row>
    <row r="178" spans="1:1" ht="20.100000000000001" customHeight="1" x14ac:dyDescent="0.2">
      <c r="A178" s="18"/>
    </row>
    <row r="179" spans="1:1" ht="20.100000000000001" customHeight="1" x14ac:dyDescent="0.2">
      <c r="A179" s="18"/>
    </row>
    <row r="180" spans="1:1" ht="20.100000000000001" customHeight="1" x14ac:dyDescent="0.2">
      <c r="A180" s="18"/>
    </row>
    <row r="181" spans="1:1" ht="20.100000000000001" customHeight="1" x14ac:dyDescent="0.2">
      <c r="A181" s="18"/>
    </row>
    <row r="182" spans="1:1" ht="20.100000000000001" customHeight="1" x14ac:dyDescent="0.2">
      <c r="A182" s="18"/>
    </row>
    <row r="183" spans="1:1" ht="20.100000000000001" customHeight="1" x14ac:dyDescent="0.2">
      <c r="A183" s="18"/>
    </row>
    <row r="184" spans="1:1" ht="20.100000000000001" customHeight="1" x14ac:dyDescent="0.2">
      <c r="A184" s="18"/>
    </row>
    <row r="185" spans="1:1" ht="20.100000000000001" customHeight="1" x14ac:dyDescent="0.2">
      <c r="A185" s="18"/>
    </row>
    <row r="186" spans="1:1" ht="20.100000000000001" customHeight="1" x14ac:dyDescent="0.2">
      <c r="A186" s="18"/>
    </row>
    <row r="187" spans="1:1" ht="20.100000000000001" customHeight="1" x14ac:dyDescent="0.2">
      <c r="A187" s="18"/>
    </row>
    <row r="188" spans="1:1" ht="20.100000000000001" customHeight="1" x14ac:dyDescent="0.2">
      <c r="A188" s="18"/>
    </row>
    <row r="189" spans="1:1" ht="20.100000000000001" customHeight="1" x14ac:dyDescent="0.2">
      <c r="A189" s="18"/>
    </row>
    <row r="190" spans="1:1" ht="20.100000000000001" customHeight="1" x14ac:dyDescent="0.2">
      <c r="A190" s="18"/>
    </row>
    <row r="191" spans="1:1" ht="20.100000000000001" customHeight="1" x14ac:dyDescent="0.2">
      <c r="A191" s="18"/>
    </row>
    <row r="192" spans="1:1" ht="20.100000000000001" customHeight="1" x14ac:dyDescent="0.2">
      <c r="A192" s="18"/>
    </row>
    <row r="193" spans="1:1" ht="20.100000000000001" customHeight="1" x14ac:dyDescent="0.2">
      <c r="A193" s="18"/>
    </row>
    <row r="194" spans="1:1" ht="20.100000000000001" customHeight="1" x14ac:dyDescent="0.2">
      <c r="A194" s="18"/>
    </row>
    <row r="195" spans="1:1" ht="20.100000000000001" customHeight="1" x14ac:dyDescent="0.2">
      <c r="A195" s="18"/>
    </row>
    <row r="196" spans="1:1" ht="20.100000000000001" customHeight="1" x14ac:dyDescent="0.2">
      <c r="A196" s="18"/>
    </row>
    <row r="197" spans="1:1" ht="20.100000000000001" customHeight="1" x14ac:dyDescent="0.2">
      <c r="A197" s="18"/>
    </row>
    <row r="198" spans="1:1" ht="20.100000000000001" customHeight="1" x14ac:dyDescent="0.2">
      <c r="A198" s="20"/>
    </row>
    <row r="199" spans="1:1" ht="20.100000000000001" customHeight="1" x14ac:dyDescent="0.2">
      <c r="A199" s="18"/>
    </row>
    <row r="200" spans="1:1" ht="20.100000000000001" customHeight="1" x14ac:dyDescent="0.2">
      <c r="A200" s="18"/>
    </row>
    <row r="201" spans="1:1" ht="20.100000000000001" customHeight="1" x14ac:dyDescent="0.2">
      <c r="A201" s="18"/>
    </row>
    <row r="202" spans="1:1" ht="20.100000000000001" customHeight="1" x14ac:dyDescent="0.2">
      <c r="A202" s="18"/>
    </row>
    <row r="203" spans="1:1" ht="20.100000000000001" customHeight="1" x14ac:dyDescent="0.2">
      <c r="A203" s="18"/>
    </row>
    <row r="204" spans="1:1" ht="20.100000000000001" customHeight="1" x14ac:dyDescent="0.2">
      <c r="A204" s="18"/>
    </row>
    <row r="205" spans="1:1" ht="20.100000000000001" customHeight="1" x14ac:dyDescent="0.2">
      <c r="A205" s="18"/>
    </row>
    <row r="206" spans="1:1" ht="20.100000000000001" customHeight="1" x14ac:dyDescent="0.2">
      <c r="A206" s="18"/>
    </row>
    <row r="207" spans="1:1" ht="20.100000000000001" customHeight="1" x14ac:dyDescent="0.2">
      <c r="A207" s="18"/>
    </row>
    <row r="208" spans="1:1" ht="20.100000000000001" customHeight="1" x14ac:dyDescent="0.2">
      <c r="A208" s="18"/>
    </row>
    <row r="209" spans="1:1" ht="20.100000000000001" customHeight="1" x14ac:dyDescent="0.2">
      <c r="A209" s="18"/>
    </row>
    <row r="210" spans="1:1" ht="20.100000000000001" customHeight="1" x14ac:dyDescent="0.2">
      <c r="A210" s="18"/>
    </row>
    <row r="211" spans="1:1" ht="20.100000000000001" customHeight="1" x14ac:dyDescent="0.2">
      <c r="A211" s="18"/>
    </row>
    <row r="212" spans="1:1" ht="20.100000000000001" customHeight="1" x14ac:dyDescent="0.2">
      <c r="A212" s="18"/>
    </row>
    <row r="213" spans="1:1" ht="20.100000000000001" customHeight="1" x14ac:dyDescent="0.2">
      <c r="A213" s="20"/>
    </row>
    <row r="214" spans="1:1" ht="20.100000000000001" customHeight="1" x14ac:dyDescent="0.2">
      <c r="A214" s="21"/>
    </row>
    <row r="215" spans="1:1" ht="20.100000000000001" customHeight="1" x14ac:dyDescent="0.2">
      <c r="A215" s="18"/>
    </row>
    <row r="216" spans="1:1" ht="20.100000000000001" customHeight="1" x14ac:dyDescent="0.2">
      <c r="A216" s="18"/>
    </row>
    <row r="217" spans="1:1" ht="20.100000000000001" customHeight="1" x14ac:dyDescent="0.2">
      <c r="A217" s="22"/>
    </row>
    <row r="218" spans="1:1" ht="20.100000000000001" customHeight="1" x14ac:dyDescent="0.2">
      <c r="A218" s="22"/>
    </row>
    <row r="219" spans="1:1" ht="20.100000000000001" customHeight="1" x14ac:dyDescent="0.2">
      <c r="A219" s="21"/>
    </row>
    <row r="220" spans="1:1" ht="20.100000000000001" customHeight="1" x14ac:dyDescent="0.2">
      <c r="A220" s="18"/>
    </row>
    <row r="221" spans="1:1" ht="20.100000000000001" customHeight="1" x14ac:dyDescent="0.2">
      <c r="A221" s="21"/>
    </row>
    <row r="222" spans="1:1" ht="20.100000000000001" customHeight="1" x14ac:dyDescent="0.2">
      <c r="A222" s="18"/>
    </row>
    <row r="223" spans="1:1" ht="20.100000000000001" customHeight="1" x14ac:dyDescent="0.2">
      <c r="A223" s="21"/>
    </row>
    <row r="224" spans="1:1" ht="20.100000000000001" customHeight="1" x14ac:dyDescent="0.2">
      <c r="A224" s="18"/>
    </row>
    <row r="225" spans="1:1" ht="20.100000000000001" customHeight="1" x14ac:dyDescent="0.2">
      <c r="A225" s="18"/>
    </row>
    <row r="226" spans="1:1" ht="20.100000000000001" customHeight="1" x14ac:dyDescent="0.2">
      <c r="A226" s="21"/>
    </row>
    <row r="227" spans="1:1" ht="20.100000000000001" customHeight="1" x14ac:dyDescent="0.2">
      <c r="A227" s="21"/>
    </row>
    <row r="228" spans="1:1" ht="20.100000000000001" customHeight="1" x14ac:dyDescent="0.2">
      <c r="A228" s="21"/>
    </row>
    <row r="229" spans="1:1" ht="20.100000000000001" customHeight="1" x14ac:dyDescent="0.2">
      <c r="A229" s="18"/>
    </row>
    <row r="230" spans="1:1" ht="20.100000000000001" customHeight="1" x14ac:dyDescent="0.2">
      <c r="A230" s="18"/>
    </row>
    <row r="231" spans="1:1" ht="20.100000000000001" customHeight="1" x14ac:dyDescent="0.2">
      <c r="A231" s="18"/>
    </row>
    <row r="232" spans="1:1" ht="20.100000000000001" customHeight="1" x14ac:dyDescent="0.2">
      <c r="A232" s="18"/>
    </row>
    <row r="233" spans="1:1" ht="20.100000000000001" customHeight="1" x14ac:dyDescent="0.2">
      <c r="A233" s="21"/>
    </row>
    <row r="234" spans="1:1" ht="20.100000000000001" customHeight="1" x14ac:dyDescent="0.2">
      <c r="A234" s="21"/>
    </row>
    <row r="235" spans="1:1" ht="20.100000000000001" customHeight="1" x14ac:dyDescent="0.2">
      <c r="A235" s="18"/>
    </row>
    <row r="236" spans="1:1" ht="20.100000000000001" customHeight="1" x14ac:dyDescent="0.2">
      <c r="A236" s="21"/>
    </row>
    <row r="237" spans="1:1" ht="20.100000000000001" customHeight="1" x14ac:dyDescent="0.2">
      <c r="A237" s="21"/>
    </row>
    <row r="238" spans="1:1" ht="20.100000000000001" customHeight="1" x14ac:dyDescent="0.2">
      <c r="A238" s="18"/>
    </row>
    <row r="239" spans="1:1" ht="20.100000000000001" customHeight="1" x14ac:dyDescent="0.2">
      <c r="A239" s="18"/>
    </row>
    <row r="240" spans="1:1" ht="20.100000000000001" customHeight="1" x14ac:dyDescent="0.2">
      <c r="A240" s="21"/>
    </row>
    <row r="241" spans="1:1" ht="20.100000000000001" customHeight="1" x14ac:dyDescent="0.2">
      <c r="A241" s="18"/>
    </row>
    <row r="242" spans="1:1" ht="20.100000000000001" customHeight="1" x14ac:dyDescent="0.2">
      <c r="A242" s="18"/>
    </row>
    <row r="243" spans="1:1" ht="20.100000000000001" customHeight="1" x14ac:dyDescent="0.2">
      <c r="A243" s="18"/>
    </row>
    <row r="244" spans="1:1" ht="20.100000000000001" customHeight="1" x14ac:dyDescent="0.2">
      <c r="A244" s="18"/>
    </row>
    <row r="245" spans="1:1" ht="20.100000000000001" customHeight="1" x14ac:dyDescent="0.2">
      <c r="A245" s="21"/>
    </row>
    <row r="246" spans="1:1" ht="20.100000000000001" customHeight="1" x14ac:dyDescent="0.2">
      <c r="A246" s="21"/>
    </row>
    <row r="247" spans="1:1" ht="20.100000000000001" customHeight="1" x14ac:dyDescent="0.2">
      <c r="A247" s="21"/>
    </row>
    <row r="248" spans="1:1" ht="20.100000000000001" customHeight="1" thickBot="1" x14ac:dyDescent="0.25">
      <c r="A248" s="18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37</v>
      </c>
    </row>
    <row r="288" spans="1:1" ht="20.100000000000001" customHeight="1" thickBot="1" x14ac:dyDescent="0.25">
      <c r="A288" s="2" t="s">
        <v>37</v>
      </c>
    </row>
    <row r="289" spans="1:1" ht="20.100000000000001" customHeight="1" thickBot="1" x14ac:dyDescent="0.25">
      <c r="A289" s="2" t="s">
        <v>37</v>
      </c>
    </row>
    <row r="290" spans="1:1" ht="20.100000000000001" customHeight="1" thickBot="1" x14ac:dyDescent="0.25">
      <c r="A290" s="2" t="s">
        <v>37</v>
      </c>
    </row>
    <row r="291" spans="1:1" ht="20.100000000000001" customHeight="1" thickBot="1" x14ac:dyDescent="0.25">
      <c r="A291" s="2" t="s">
        <v>37</v>
      </c>
    </row>
    <row r="292" spans="1:1" ht="20.100000000000001" customHeight="1" thickBot="1" x14ac:dyDescent="0.25">
      <c r="A292" s="2" t="s">
        <v>37</v>
      </c>
    </row>
    <row r="293" spans="1:1" ht="20.100000000000001" customHeight="1" thickBot="1" x14ac:dyDescent="0.25">
      <c r="A293" s="2" t="s">
        <v>37</v>
      </c>
    </row>
    <row r="294" spans="1:1" ht="20.100000000000001" customHeight="1" thickBot="1" x14ac:dyDescent="0.25">
      <c r="A294" s="2" t="s">
        <v>37</v>
      </c>
    </row>
    <row r="295" spans="1:1" ht="20.100000000000001" customHeight="1" thickBot="1" x14ac:dyDescent="0.25">
      <c r="A295" s="2" t="s">
        <v>37</v>
      </c>
    </row>
    <row r="296" spans="1:1" ht="20.100000000000001" customHeight="1" thickBot="1" x14ac:dyDescent="0.25">
      <c r="A296" s="2" t="s">
        <v>37</v>
      </c>
    </row>
    <row r="297" spans="1:1" ht="20.100000000000001" customHeight="1" thickBot="1" x14ac:dyDescent="0.25">
      <c r="A297" s="2" t="s">
        <v>37</v>
      </c>
    </row>
    <row r="298" spans="1:1" ht="20.100000000000001" customHeight="1" thickBot="1" x14ac:dyDescent="0.25">
      <c r="A298" s="2" t="s">
        <v>37</v>
      </c>
    </row>
    <row r="299" spans="1:1" ht="20.100000000000001" customHeight="1" thickBot="1" x14ac:dyDescent="0.25">
      <c r="A299" s="2" t="s">
        <v>37</v>
      </c>
    </row>
    <row r="300" spans="1:1" ht="20.100000000000001" customHeight="1" thickBot="1" x14ac:dyDescent="0.25">
      <c r="A300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2026-09-03T04:43:08Z</dcterms:modified>
</cp:coreProperties>
</file>