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updateLinks="never" codeName="ThisWorkbook"/>
  <xr:revisionPtr revIDLastSave="0" documentId="13_ncr:1_{98E1EB5C-B610-4CC3-97FB-28F098948425}" xr6:coauthVersionLast="36"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externalReferences>
    <externalReference r:id="rId3"/>
  </externalReferences>
  <definedNames>
    <definedName name="_Hlk189049083" localSheetId="0">'قائمة التقييم'!#REF!</definedName>
    <definedName name="_Hlk189049123" localSheetId="0">'قائمة التقييم'!$B$5</definedName>
    <definedName name="_xlnm.Print_Titles" localSheetId="0">'قائمة التقييم'!$10:$10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2" i="2" l="1"/>
  <c r="E42" i="2"/>
  <c r="G35" i="2"/>
  <c r="H35" i="2" s="1"/>
  <c r="G34" i="2"/>
  <c r="H34" i="2" s="1"/>
  <c r="G33" i="2"/>
  <c r="H33" i="2" s="1"/>
  <c r="G32" i="2"/>
  <c r="H32" i="2" s="1"/>
  <c r="G31" i="2"/>
  <c r="H31" i="2" s="1"/>
  <c r="G29" i="2"/>
  <c r="H29" i="2" s="1"/>
  <c r="G28" i="2"/>
  <c r="H28" i="2" s="1"/>
  <c r="G27" i="2"/>
  <c r="H27" i="2" s="1"/>
  <c r="G26" i="2"/>
  <c r="H26" i="2" s="1"/>
  <c r="G24" i="2"/>
  <c r="H24" i="2" s="1"/>
  <c r="G23" i="2"/>
  <c r="H23" i="2" s="1"/>
  <c r="G41" i="2"/>
  <c r="H41" i="2" s="1"/>
  <c r="G40" i="2"/>
  <c r="H40" i="2" s="1"/>
  <c r="G39" i="2"/>
  <c r="H39" i="2" s="1"/>
  <c r="G38" i="2"/>
  <c r="H38" i="2" s="1"/>
  <c r="G17" i="2" l="1"/>
  <c r="H17" i="2" s="1"/>
  <c r="G36" i="2" l="1"/>
  <c r="H36" i="2" s="1"/>
  <c r="G22" i="2"/>
  <c r="H22" i="2" s="1"/>
  <c r="G21" i="2"/>
  <c r="H21" i="2" s="1"/>
  <c r="G20" i="2"/>
  <c r="H20" i="2" s="1"/>
  <c r="G16" i="2" l="1"/>
  <c r="H16" i="2" s="1"/>
  <c r="G15" i="2"/>
  <c r="H15" i="2" s="1"/>
  <c r="G14" i="2"/>
  <c r="H14" i="2" s="1"/>
  <c r="G13" i="2"/>
  <c r="H13" i="2" s="1"/>
  <c r="G12" i="2"/>
  <c r="H12" i="2" s="1"/>
  <c r="G18" i="2" l="1"/>
  <c r="H18" i="2" s="1"/>
  <c r="E43" i="2" l="1"/>
  <c r="E44" i="2" s="1"/>
</calcChain>
</file>

<file path=xl/sharedStrings.xml><?xml version="1.0" encoding="utf-8"?>
<sst xmlns="http://schemas.openxmlformats.org/spreadsheetml/2006/main" count="179" uniqueCount="130">
  <si>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</si>
  <si>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</si>
  <si>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</si>
  <si>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</si>
  <si>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</si>
  <si>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</si>
  <si>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</si>
  <si>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</si>
  <si>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</si>
  <si>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</si>
  <si>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</si>
  <si>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</si>
  <si>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</si>
  <si>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</si>
  <si>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</si>
  <si>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</si>
  <si>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</si>
  <si>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</si>
  <si>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</si>
  <si>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</si>
  <si>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</si>
  <si>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</si>
  <si>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</si>
  <si>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</si>
  <si>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</si>
  <si>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</si>
  <si>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</si>
  <si>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</si>
  <si>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</si>
  <si>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</si>
  <si>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</si>
  <si>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</si>
  <si>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</si>
  <si>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</si>
  <si>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</si>
  <si>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المحكـــــــــم:</t>
  </si>
  <si>
    <t>التوقيــــــــع:</t>
  </si>
  <si>
    <t>النسبــــة العامــــــة</t>
  </si>
  <si>
    <t>التقديــــر العــــــام</t>
  </si>
  <si>
    <t>أدخل الوحدة الخاضعة للتقييم</t>
  </si>
  <si>
    <t>..............................</t>
  </si>
  <si>
    <t>أدخل اسم المحكم</t>
  </si>
  <si>
    <t>أدخل اسم قائد الوحدة الخاضعة للتقييم</t>
  </si>
  <si>
    <t>أدخل العلامة</t>
  </si>
  <si>
    <t>مدرب</t>
  </si>
  <si>
    <t>يحتاج تدريب</t>
  </si>
  <si>
    <t>غير مدرب</t>
  </si>
  <si>
    <r>
      <t>ملاحظـــات</t>
    </r>
    <r>
      <rPr>
        <b/>
        <sz val="12"/>
        <color rgb="FF000000"/>
        <rFont val="Arial"/>
        <family val="2"/>
      </rPr>
      <t xml:space="preserve">: 
</t>
    </r>
    <r>
      <rPr>
        <sz val="12"/>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</si>
  <si>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مجـرى الأحـداث والمعاضل:</t>
  </si>
  <si>
    <t>أدخل مجرى الأحداث والمعاضل</t>
  </si>
  <si>
    <t>اليوم/1</t>
  </si>
  <si>
    <t>اليوم/2</t>
  </si>
  <si>
    <t>اليوم/3</t>
  </si>
  <si>
    <t>اليوم/4</t>
  </si>
  <si>
    <t>اليوم/5</t>
  </si>
  <si>
    <t>اليوم/6</t>
  </si>
  <si>
    <t>نــــــــوع التمريــــــــن:</t>
  </si>
  <si>
    <t>لعبات حرب</t>
  </si>
  <si>
    <t>جاهزية المهمة</t>
  </si>
  <si>
    <t>رقــم المعضلـة :</t>
  </si>
  <si>
    <t xml:space="preserve">أدخل الرقم </t>
  </si>
  <si>
    <t>أدخل نوع التمرين</t>
  </si>
  <si>
    <t>قيادة مجموعة اللواء</t>
  </si>
  <si>
    <t>قيادة كتيبة المشاة الآلية/1</t>
  </si>
  <si>
    <t>كتيبة المشاة الآلية/1 - السرية/1</t>
  </si>
  <si>
    <t>كتيبة المشاة الآلية/1 - السرية/2</t>
  </si>
  <si>
    <t>كتيبة المشاة الآلية/1 - السرية/3</t>
  </si>
  <si>
    <t>قيادة كتيبة المشاة الآلية/2</t>
  </si>
  <si>
    <t>كتيبة المشاة الآلية/2 - السرية/1</t>
  </si>
  <si>
    <t>كتيبة المشاة الآلية/2 - السرية/2</t>
  </si>
  <si>
    <t>كتيبة المشاة الآلية/2 - السرية/3</t>
  </si>
  <si>
    <t>قيادة كتيبة الدبابات/3</t>
  </si>
  <si>
    <t>كتيبة الدبابات/3 - السرية/1</t>
  </si>
  <si>
    <t>كتيبة الدبابات/3 - السرية/2</t>
  </si>
  <si>
    <t>كتيبة الدبابات/3 - السرية/3</t>
  </si>
  <si>
    <t>قيادة كتيبة المدفعية</t>
  </si>
  <si>
    <t>كتيبة المدفعية - السرية/1</t>
  </si>
  <si>
    <t>كتيبة المدفعية - السرية/2</t>
  </si>
  <si>
    <t>كتيبة المدفعية - السرية/3</t>
  </si>
  <si>
    <t>اليوم</t>
  </si>
  <si>
    <t>الشهر</t>
  </si>
  <si>
    <t>السنة</t>
  </si>
  <si>
    <t>اليوم/7</t>
  </si>
  <si>
    <t>اليوم/8</t>
  </si>
  <si>
    <t>اليوم/9</t>
  </si>
  <si>
    <t>اليوم/10</t>
  </si>
  <si>
    <t>اليوم/11</t>
  </si>
  <si>
    <t>اليوم/12</t>
  </si>
  <si>
    <t>اليوم/13</t>
  </si>
  <si>
    <t>اليوم/14</t>
  </si>
  <si>
    <t>اليوم/15</t>
  </si>
  <si>
    <t>اليوم/16</t>
  </si>
  <si>
    <t>اليوم/17</t>
  </si>
  <si>
    <t>اليوم/18</t>
  </si>
  <si>
    <t>اليوم/19</t>
  </si>
  <si>
    <t>اليوم/20</t>
  </si>
  <si>
    <t>اجراءات الحماية قبل التعرض للقصف الصاروخي المعادي:‏</t>
  </si>
  <si>
    <r>
      <t>1.</t>
    </r>
    <r>
      <rPr>
        <sz val="7"/>
        <color theme="1"/>
        <rFont val="Times New Roman"/>
        <family val="1"/>
      </rPr>
      <t xml:space="preserve">         </t>
    </r>
    <r>
      <rPr>
        <sz val="12"/>
        <color theme="1"/>
        <rFont val="Arial"/>
        <family val="2"/>
      </rPr>
      <t xml:space="preserve"> مدى استخدام طرق الكشف والانذار المبكر عن وجود صواريخ معادية.</t>
    </r>
  </si>
  <si>
    <r>
      <t>2.</t>
    </r>
    <r>
      <rPr>
        <sz val="7"/>
        <color theme="1"/>
        <rFont val="Times New Roman"/>
        <family val="1"/>
      </rPr>
      <t xml:space="preserve">         </t>
    </r>
    <r>
      <rPr>
        <sz val="12"/>
        <color theme="1"/>
        <rFont val="Arial"/>
        <family val="2"/>
      </rPr>
      <t xml:space="preserve"> الكشف المبكر للصواريخ من قبل رادارات الدفاع الجوي وابلاغ موقع المدفعية بذلك.</t>
    </r>
  </si>
  <si>
    <r>
      <t>3.</t>
    </r>
    <r>
      <rPr>
        <sz val="7"/>
        <color theme="1"/>
        <rFont val="Times New Roman"/>
        <family val="1"/>
      </rPr>
      <t xml:space="preserve">         </t>
    </r>
    <r>
      <rPr>
        <sz val="12"/>
        <color theme="1"/>
        <rFont val="Arial"/>
        <family val="2"/>
      </rPr>
      <t xml:space="preserve"> الانفتاح بجبهة واسعة وانتشار مناسب وحسب متطلبات الموقف التعبوي وطبيعة الارض.</t>
    </r>
  </si>
  <si>
    <r>
      <t>4.</t>
    </r>
    <r>
      <rPr>
        <sz val="7"/>
        <color theme="1"/>
        <rFont val="Times New Roman"/>
        <family val="1"/>
      </rPr>
      <t xml:space="preserve">         </t>
    </r>
    <r>
      <rPr>
        <sz val="12"/>
        <color theme="1"/>
        <rFont val="Arial"/>
        <family val="2"/>
      </rPr>
      <t xml:space="preserve"> استخدام اسلوب التخفية والتمويه والتستر واستخدام جميع اجراءات الدفاع الجوي السلبي.</t>
    </r>
  </si>
  <si>
    <r>
      <t>5.</t>
    </r>
    <r>
      <rPr>
        <sz val="7"/>
        <color theme="1"/>
        <rFont val="Times New Roman"/>
        <family val="1"/>
      </rPr>
      <t xml:space="preserve">         </t>
    </r>
    <r>
      <rPr>
        <sz val="12"/>
        <color theme="1"/>
        <rFont val="Arial"/>
        <family val="2"/>
      </rPr>
      <t xml:space="preserve"> الارتباط الوثيق مع مصادر المعلومات في الوحدات الصديقة المجاورة لتلقي المعلومات الاستخبارية بسرعة.</t>
    </r>
  </si>
  <si>
    <r>
      <t>6.</t>
    </r>
    <r>
      <rPr>
        <sz val="7"/>
        <color theme="1"/>
        <rFont val="Times New Roman"/>
        <family val="1"/>
      </rPr>
      <t xml:space="preserve">         </t>
    </r>
    <r>
      <rPr>
        <sz val="12"/>
        <color theme="1"/>
        <rFont val="Arial"/>
        <family val="2"/>
      </rPr>
      <t xml:space="preserve"> وجود طرق فعالة للكشف والتعامل مع الصواريخ بشكل خاص.</t>
    </r>
  </si>
  <si>
    <t>الاجراءات عند التعرض للقصف الصاروخي المعادي:</t>
  </si>
  <si>
    <r>
      <t>1.</t>
    </r>
    <r>
      <rPr>
        <sz val="7"/>
        <color theme="1"/>
        <rFont val="Times New Roman"/>
        <family val="1"/>
      </rPr>
      <t xml:space="preserve">         </t>
    </r>
    <r>
      <rPr>
        <sz val="12"/>
        <color theme="1"/>
        <rFont val="Arial"/>
        <family val="2"/>
      </rPr>
      <t xml:space="preserve"> الخروج السريع والانتشار من المدافع والاليات والاختباء بالخنادق والملاجئ ان وجدت لحين انتهاء القصف.</t>
    </r>
  </si>
  <si>
    <r>
      <t>2.</t>
    </r>
    <r>
      <rPr>
        <sz val="7"/>
        <color theme="1"/>
        <rFont val="Times New Roman"/>
        <family val="1"/>
      </rPr>
      <t xml:space="preserve">         </t>
    </r>
    <r>
      <rPr>
        <sz val="12"/>
        <color theme="1"/>
        <rFont val="Arial"/>
        <family val="2"/>
      </rPr>
      <t>ابلاغ القيادة الاعلى عن المنطقة المقصوفة.</t>
    </r>
  </si>
  <si>
    <r>
      <t>3.</t>
    </r>
    <r>
      <rPr>
        <sz val="7"/>
        <color theme="1"/>
        <rFont val="Times New Roman"/>
        <family val="1"/>
      </rPr>
      <t xml:space="preserve">         </t>
    </r>
    <r>
      <rPr>
        <sz val="12"/>
        <color theme="1"/>
        <rFont val="Arial"/>
        <family val="2"/>
      </rPr>
      <t>استخدام اجراءات الدفاع الجوي الايجابية بفعالية.</t>
    </r>
  </si>
  <si>
    <r>
      <t>4.</t>
    </r>
    <r>
      <rPr>
        <sz val="7"/>
        <color theme="1"/>
        <rFont val="Times New Roman"/>
        <family val="1"/>
      </rPr>
      <t xml:space="preserve">         </t>
    </r>
    <r>
      <rPr>
        <sz val="12"/>
        <color theme="1"/>
        <rFont val="Arial"/>
        <family val="2"/>
      </rPr>
      <t xml:space="preserve"> رد الفعل والاجراءات من القادة والجنود حسب التدريب والاوامر المستديمة.</t>
    </r>
  </si>
  <si>
    <r>
      <t>5.</t>
    </r>
    <r>
      <rPr>
        <sz val="7"/>
        <color theme="1"/>
        <rFont val="Times New Roman"/>
        <family val="1"/>
      </rPr>
      <t xml:space="preserve">         </t>
    </r>
    <r>
      <rPr>
        <sz val="12"/>
        <color theme="1"/>
        <rFont val="Arial"/>
        <family val="2"/>
      </rPr>
      <t>عدم اظهار أي حركة عند التعرض للقصف.</t>
    </r>
  </si>
  <si>
    <t>الاجراءات بعد انتهاء القصف الصاروخي المعادي:</t>
  </si>
  <si>
    <r>
      <t>1.</t>
    </r>
    <r>
      <rPr>
        <sz val="7"/>
        <color theme="1"/>
        <rFont val="Times New Roman"/>
        <family val="1"/>
      </rPr>
      <t xml:space="preserve">         </t>
    </r>
    <r>
      <rPr>
        <sz val="12"/>
        <color theme="1"/>
        <rFont val="Arial"/>
        <family val="2"/>
      </rPr>
      <t xml:space="preserve"> اعادة التنظيم للموقع الجديد بعد انتهاء القصف الصاروخي.</t>
    </r>
  </si>
  <si>
    <r>
      <t>2.</t>
    </r>
    <r>
      <rPr>
        <sz val="7"/>
        <color theme="1"/>
        <rFont val="Times New Roman"/>
        <family val="1"/>
      </rPr>
      <t xml:space="preserve">         </t>
    </r>
    <r>
      <rPr>
        <sz val="12"/>
        <color theme="1"/>
        <rFont val="Arial"/>
        <family val="2"/>
      </rPr>
      <t xml:space="preserve"> رفع تقرير مفصل عن تعرض الوحدة للقصف واحصاء الخسائر وجميع الاجراءات المتخذة لمعالجة الموقف.</t>
    </r>
  </si>
  <si>
    <r>
      <t>3.</t>
    </r>
    <r>
      <rPr>
        <sz val="7"/>
        <color theme="1"/>
        <rFont val="Times New Roman"/>
        <family val="1"/>
      </rPr>
      <t xml:space="preserve">         </t>
    </r>
    <r>
      <rPr>
        <sz val="12"/>
        <color theme="1"/>
        <rFont val="Arial"/>
        <family val="2"/>
      </rPr>
      <t>تقييم مدى فعالية اجراءات الدفاع الجوي السلبي المتخذة.</t>
    </r>
  </si>
  <si>
    <r>
      <t>4.</t>
    </r>
    <r>
      <rPr>
        <sz val="7"/>
        <color theme="1"/>
        <rFont val="Times New Roman"/>
        <family val="1"/>
      </rPr>
      <t xml:space="preserve">         </t>
    </r>
    <r>
      <rPr>
        <sz val="12"/>
        <color theme="1"/>
        <rFont val="Arial"/>
        <family val="2"/>
      </rPr>
      <t xml:space="preserve"> الاستعداد لمتابعة تقديم الاسناد المدفعي لوحدات المناورة او الحركة لموقع جديد حسب الاوامر المتخذة.</t>
    </r>
  </si>
  <si>
    <t>اجراءات التعامل مع الإصابات:</t>
  </si>
  <si>
    <r>
      <t>1.</t>
    </r>
    <r>
      <rPr>
        <sz val="7"/>
        <color theme="1"/>
        <rFont val="Times New Roman"/>
        <family val="1"/>
      </rPr>
      <t xml:space="preserve">         </t>
    </r>
    <r>
      <rPr>
        <sz val="12"/>
        <color theme="1"/>
        <rFont val="Arial"/>
        <family val="2"/>
      </rPr>
      <t>الاتصال مع القيادة الاعلى وابلاغهم ان الوحدة تعرضت للهجوم مع تحديد عدد الاصابات وانه سيتم الرحيل للموقع البديل.</t>
    </r>
  </si>
  <si>
    <r>
      <t>2.</t>
    </r>
    <r>
      <rPr>
        <sz val="7"/>
        <color theme="1"/>
        <rFont val="Times New Roman"/>
        <family val="1"/>
      </rPr>
      <t xml:space="preserve">         </t>
    </r>
    <r>
      <rPr>
        <sz val="12"/>
        <color theme="1"/>
        <rFont val="Arial"/>
        <family val="2"/>
      </rPr>
      <t>قيام افراد الخدمات الطبية والمسعفين الميدانيين بإجراء الاسعافات الاولية للإصابات.</t>
    </r>
  </si>
  <si>
    <r>
      <t>3.</t>
    </r>
    <r>
      <rPr>
        <sz val="7"/>
        <color theme="1"/>
        <rFont val="Times New Roman"/>
        <family val="1"/>
      </rPr>
      <t xml:space="preserve">         </t>
    </r>
    <r>
      <rPr>
        <sz val="12"/>
        <color theme="1"/>
        <rFont val="Arial"/>
        <family val="2"/>
      </rPr>
      <t>مدى توفر معلومات كافية لدى قيادة موقع المدفعية عن مواقع الوحدات الطبية ونقطة تبادل الاصابات من قبل سيارات الاسعاف.</t>
    </r>
  </si>
  <si>
    <r>
      <t>4.</t>
    </r>
    <r>
      <rPr>
        <sz val="7"/>
        <color theme="1"/>
        <rFont val="Times New Roman"/>
        <family val="1"/>
      </rPr>
      <t xml:space="preserve">         </t>
    </r>
    <r>
      <rPr>
        <sz val="12"/>
        <color theme="1"/>
        <rFont val="Arial"/>
        <family val="2"/>
      </rPr>
      <t>اجراء الاخلاء الارضي للإصابات من قبل الوحدة الى نقطة اسعاف الكتيبة او نقطة اسعاف الوحدة المجاورة من قبل المسعف الميداني باستخدام اليات الوحدة المتوفرة.</t>
    </r>
  </si>
  <si>
    <r>
      <t>5.</t>
    </r>
    <r>
      <rPr>
        <sz val="7"/>
        <color theme="1"/>
        <rFont val="Times New Roman"/>
        <family val="1"/>
      </rPr>
      <t xml:space="preserve">         </t>
    </r>
    <r>
      <rPr>
        <sz val="12"/>
        <color theme="1"/>
        <rFont val="Arial"/>
        <family val="2"/>
      </rPr>
      <t>استخدام نموذج الإخلاء الطبي المكون من (9) أسطر لطلب الاخلاء الطبي الجوي (المرفق) عند احتمالية الموت نتيجة الاصابة او بتر أحد الاعضاء او فقدان البصر.</t>
    </r>
  </si>
  <si>
    <r>
      <t>6.</t>
    </r>
    <r>
      <rPr>
        <sz val="7"/>
        <color theme="1"/>
        <rFont val="Times New Roman"/>
        <family val="1"/>
      </rPr>
      <t xml:space="preserve">         </t>
    </r>
    <r>
      <rPr>
        <sz val="12"/>
        <color theme="1"/>
        <rFont val="Arial"/>
        <family val="2"/>
      </rPr>
      <t>تعبئة نموذج الاصابة مع المصاب والتأكد من حماية معدات الفرد المصاب.</t>
    </r>
  </si>
  <si>
    <t>اجراءات التعامل مع الآليات المدمرة</t>
  </si>
  <si>
    <r>
      <t>1.</t>
    </r>
    <r>
      <rPr>
        <sz val="7"/>
        <color theme="1"/>
        <rFont val="Times New Roman"/>
        <family val="1"/>
      </rPr>
      <t xml:space="preserve">         </t>
    </r>
    <r>
      <rPr>
        <sz val="12"/>
        <color theme="1"/>
        <rFont val="Arial"/>
        <family val="2"/>
      </rPr>
      <t>وفرت آلية الإنقاذ الموجودة في السرية الإسناد اللازم.</t>
    </r>
  </si>
  <si>
    <r>
      <t>2.</t>
    </r>
    <r>
      <rPr>
        <sz val="7"/>
        <color theme="1"/>
        <rFont val="Times New Roman"/>
        <family val="1"/>
      </rPr>
      <t xml:space="preserve">         </t>
    </r>
    <r>
      <rPr>
        <sz val="12"/>
        <color theme="1"/>
        <rFont val="Arial"/>
        <family val="2"/>
      </rPr>
      <t>إخلاء العربة حتى مستوى نقطة جمع وتصنيف الآليات المعطلة.</t>
    </r>
  </si>
  <si>
    <r>
      <t>3.</t>
    </r>
    <r>
      <rPr>
        <sz val="7"/>
        <color theme="1"/>
        <rFont val="Times New Roman"/>
        <family val="1"/>
      </rPr>
      <t xml:space="preserve">         </t>
    </r>
    <r>
      <rPr>
        <sz val="12"/>
        <color theme="1"/>
        <rFont val="Arial"/>
        <family val="2"/>
      </rPr>
      <t>إخلاء العربة حسب أهميتها التعبوية وبأسبقية إخلاء الأعطال التي تستغرق وقت أقل للإصلاح.</t>
    </r>
  </si>
  <si>
    <r>
      <t>4.</t>
    </r>
    <r>
      <rPr>
        <sz val="7"/>
        <color theme="1"/>
        <rFont val="Times New Roman"/>
        <family val="1"/>
      </rPr>
      <t xml:space="preserve">         </t>
    </r>
    <r>
      <rPr>
        <sz val="12"/>
        <color theme="1"/>
        <rFont val="Arial"/>
        <family val="2"/>
      </rPr>
      <t>تقوم آليات الإنقاذ "ب" بتجميع الأعطال التي تحتاج لوقت إصلاح يزيد عن ساعتين إلى نقطة جمع الآليات المعطلة لإصلاحها.</t>
    </r>
  </si>
  <si>
    <r>
      <t>متطلبات تنفيذ المعضلة:</t>
    </r>
    <r>
      <rPr>
        <sz val="14"/>
        <color rgb="FF000000"/>
        <rFont val="Arial"/>
        <family val="2"/>
      </rPr>
      <t xml:space="preserve"> 
1.    قنابل صوتية عدد (3).
2.    فرد من قوة التطبيق لرمي القنابل الصوتية (أو ينفذ بواسطة المحكم).
3.     تفرض المعضلة من قبل المحكم شفهياً في تمارين لعبات الحرب والجاهزية إذا لم تتوفر المعدات اللازمة لتنفيذ المعضلة.</t>
    </r>
  </si>
  <si>
    <r>
      <t>وصف المعضلة:</t>
    </r>
    <r>
      <rPr>
        <sz val="14"/>
        <color rgb="FF000000"/>
        <rFont val="Arial"/>
        <family val="2"/>
      </rPr>
      <t xml:space="preserve"> تقييم إجراءات وحدات المدفعية على معضلة التعرض لهجوم صاروخي معادي.</t>
    </r>
  </si>
  <si>
    <t>تقييم معضلة تعرض كتيبة المدفعية لهجوم صاروخي معادي</t>
  </si>
  <si>
    <r>
      <t>7.</t>
    </r>
    <r>
      <rPr>
        <sz val="7"/>
        <color theme="1"/>
        <rFont val="Times New Roman"/>
        <family val="1"/>
      </rPr>
      <t xml:space="preserve">         </t>
    </r>
    <r>
      <rPr>
        <sz val="12"/>
        <color theme="1"/>
        <rFont val="Arial"/>
        <family val="2"/>
      </rPr>
      <t xml:space="preserve"> جاهزية الأفراد وتدريبهم على مواجهة القصف الصاروخي المعادي.</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</si>
</sst>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20" x14ac:knownFonts="1">
    <font>
      <sz val="11"/>
      <color theme="1"/>
      <name val="Arial"/>
      <family val="2"/>
      <scheme val="minor"/>
    </font>
    <font>
      <b/>
      <u/>
      <sz val="12"/>
      <color rgb="FF000000"/>
      <name val="Arial"/>
      <family val="2"/>
    </font>
    <font>
      <b/>
      <sz val="12"/>
      <color rgb="FF000000"/>
      <name val="Arial"/>
      <family val="2"/>
    </font>
    <font>
      <b/>
      <sz val="12"/>
      <color theme="1"/>
      <name val="Arial"/>
      <family val="2"/>
    </font>
    <font>
      <sz val="14"/>
      <color rgb="FF000000"/>
      <name val="Arial"/>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Arial"/>
      <family val="2"/>
      <scheme val="minor"/>
    </font>
    <font>
      <b/>
      <sz val="12"/>
      <name val="Arial"/>
      <family val="2"/>
    </font>
    <font>
      <b/>
      <sz val="12"/>
      <name val="Arial"/>
      <family val="2"/>
      <scheme val="minor"/>
    </font>
    <font>
      <sz val="12"/>
      <color rgb="FF000000"/>
      <name val="Arial"/>
      <family val="2"/>
    </font>
    <font>
      <sz val="14"/>
      <color rgb="FF000000"/>
      <name val="Arial"/>
      <family val="2"/>
    </font>
    <font>
      <sz val="14"/>
      <color rgb="FFFF0000"/>
      <name val="Arial"/>
      <family val="2"/>
      <scheme val="minor"/>
    </font>
    <font>
      <b/>
      <sz val="14"/>
      <color theme="1"/>
      <name val="Arial"/>
      <family val="2"/>
      <scheme val="minor"/>
    </font>
    <font>
      <b/>
      <sz val="11"/>
      <color theme="1"/>
      <name val="Arial"/>
      <family val="2"/>
      <scheme val="minor"/>
    </font>
    <font>
      <b/>
      <u/>
      <sz val="12"/>
      <color theme="1"/>
      <name val="Arial"/>
      <family val="2"/>
    </font>
    <font>
      <sz val="12"/>
      <color theme="1"/>
      <name val="Arial"/>
      <family val="2"/>
    </font>
    <font>
      <sz val="7"/>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A8D08D"/>
        <bgColor indexed="64"/>
      </patternFill>
    </fill>
  </fills>
  <borders count="29">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1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Border="1" applyAlignment="1">
      <alignment horizontal="center" vertical="center"/>
    </xf>
    <xf numFmtId="0" fontId="3" fillId="0" borderId="3" xfId="0" applyFont="1" applyBorder="1" applyAlignment="1">
      <alignment horizontal="center" vertical="center"/>
    </xf>
    <xf numFmtId="0" fontId="11" fillId="0" borderId="3" xfId="0" applyFont="1" applyBorder="1" applyAlignment="1">
      <alignment horizontal="center" vertical="center"/>
    </xf>
    <xf numFmtId="0" fontId="3" fillId="6" borderId="3" xfId="0" applyFont="1" applyFill="1" applyBorder="1" applyAlignment="1">
      <alignment horizontal="center" vertical="center" wrapText="1" readingOrder="2"/>
    </xf>
    <xf numFmtId="0" fontId="3" fillId="3" borderId="3"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0" fontId="6" fillId="4" borderId="18" xfId="0" applyFont="1" applyFill="1" applyBorder="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164" fontId="14" fillId="0" borderId="2" xfId="0" applyNumberFormat="1" applyFont="1" applyBorder="1" applyAlignment="1" applyProtection="1">
      <alignment horizontal="center" vertical="center" wrapText="1" readingOrder="2"/>
      <protection locked="0"/>
    </xf>
    <xf numFmtId="0" fontId="15" fillId="0" borderId="0" xfId="0" applyFont="1" applyAlignment="1" applyProtection="1">
      <alignment horizontal="center"/>
      <protection locked="0"/>
    </xf>
    <xf numFmtId="0" fontId="6" fillId="0" borderId="3" xfId="0" applyFont="1" applyBorder="1" applyAlignment="1" applyProtection="1">
      <alignment horizontal="center" vertical="center" wrapText="1" readingOrder="2"/>
      <protection locked="0"/>
    </xf>
    <xf numFmtId="0" fontId="2" fillId="0" borderId="21" xfId="0" applyFont="1" applyBorder="1" applyAlignment="1">
      <alignment horizontal="center" vertical="center" wrapText="1" readingOrder="2"/>
    </xf>
    <xf numFmtId="164" fontId="6" fillId="0" borderId="3" xfId="0" applyNumberFormat="1" applyFont="1" applyBorder="1" applyAlignment="1" applyProtection="1">
      <alignment horizontal="center" vertical="center" wrapText="1" readingOrder="2"/>
      <protection locked="0"/>
    </xf>
    <xf numFmtId="0" fontId="6" fillId="0" borderId="15" xfId="0" applyFont="1" applyBorder="1" applyAlignment="1" applyProtection="1">
      <alignment horizontal="center" vertical="center" wrapText="1" readingOrder="2"/>
      <protection locked="0"/>
    </xf>
    <xf numFmtId="0" fontId="16" fillId="0" borderId="0" xfId="0" applyFont="1" applyAlignment="1" applyProtection="1">
      <alignment horizontal="center" readingOrder="2"/>
      <protection locked="0"/>
    </xf>
    <xf numFmtId="49" fontId="6" fillId="0" borderId="3" xfId="0" applyNumberFormat="1" applyFont="1" applyBorder="1" applyAlignment="1" applyProtection="1">
      <alignment horizontal="center" vertical="center" wrapText="1" readingOrder="2"/>
      <protection locked="0"/>
    </xf>
    <xf numFmtId="164" fontId="4" fillId="0" borderId="0" xfId="0" applyNumberFormat="1" applyFont="1" applyFill="1" applyAlignment="1" applyProtection="1">
      <alignment horizontal="center" vertical="center" wrapText="1" readingOrder="2"/>
      <protection locked="0"/>
    </xf>
    <xf numFmtId="0" fontId="0" fillId="0" borderId="0" xfId="0" applyFill="1" applyProtection="1">
      <protection locked="0"/>
    </xf>
    <xf numFmtId="0" fontId="0" fillId="0" borderId="0" xfId="0" applyFill="1"/>
    <xf numFmtId="0" fontId="3" fillId="0" borderId="12"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6" fillId="4" borderId="15" xfId="0" applyFont="1" applyFill="1" applyBorder="1" applyAlignment="1" applyProtection="1">
      <alignment vertical="center" wrapText="1" readingOrder="2"/>
      <protection locked="0"/>
    </xf>
    <xf numFmtId="0" fontId="6" fillId="4" borderId="16" xfId="0" applyFont="1" applyFill="1" applyBorder="1" applyAlignment="1" applyProtection="1">
      <alignment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2"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0" fontId="2" fillId="0" borderId="24" xfId="0"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49" fontId="5" fillId="0" borderId="0" xfId="0" applyNumberFormat="1" applyFont="1" applyBorder="1" applyAlignment="1" applyProtection="1">
      <alignment horizontal="right" vertical="center" wrapText="1" readingOrder="2"/>
      <protection locked="0"/>
    </xf>
    <xf numFmtId="0" fontId="3" fillId="5" borderId="15" xfId="0" applyFont="1" applyFill="1" applyBorder="1" applyAlignment="1">
      <alignment horizontal="center" vertical="center" wrapText="1" readingOrder="2"/>
    </xf>
    <xf numFmtId="0" fontId="3" fillId="5" borderId="16" xfId="0" applyFont="1" applyFill="1" applyBorder="1" applyAlignment="1">
      <alignment horizontal="center" vertical="center" wrapText="1" readingOrder="2"/>
    </xf>
    <xf numFmtId="0" fontId="6" fillId="4" borderId="20"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3" fillId="6" borderId="15" xfId="0" applyFont="1" applyFill="1" applyBorder="1" applyAlignment="1">
      <alignment horizontal="center" vertical="center" wrapText="1" readingOrder="2"/>
    </xf>
    <xf numFmtId="0" fontId="3" fillId="6" borderId="16" xfId="0" applyFont="1" applyFill="1" applyBorder="1" applyAlignment="1">
      <alignment horizontal="center" vertical="center" wrapText="1" readingOrder="2"/>
    </xf>
    <xf numFmtId="0" fontId="3" fillId="3" borderId="15" xfId="0" applyFont="1" applyFill="1" applyBorder="1" applyAlignment="1">
      <alignment horizontal="center" vertical="center" wrapText="1" readingOrder="2"/>
    </xf>
    <xf numFmtId="0" fontId="3" fillId="3" borderId="16" xfId="0" applyFont="1" applyFill="1" applyBorder="1" applyAlignment="1">
      <alignment horizontal="center" vertical="center" wrapText="1" readingOrder="2"/>
    </xf>
    <xf numFmtId="49" fontId="5" fillId="0" borderId="0" xfId="0" applyNumberFormat="1" applyFont="1" applyAlignment="1" applyProtection="1">
      <alignment horizontal="center"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49" fontId="6" fillId="0" borderId="3" xfId="0" applyNumberFormat="1" applyFont="1" applyBorder="1" applyAlignment="1" applyProtection="1">
      <alignment horizontal="center" vertical="center" wrapText="1" readingOrder="2"/>
      <protection locked="0"/>
    </xf>
    <xf numFmtId="0" fontId="6" fillId="4" borderId="15" xfId="0" applyFont="1" applyFill="1" applyBorder="1" applyAlignment="1" applyProtection="1">
      <alignment horizontal="center" vertical="center" wrapText="1" readingOrder="2"/>
      <protection locked="0"/>
    </xf>
    <xf numFmtId="0" fontId="6" fillId="4" borderId="26" xfId="0" applyFont="1" applyFill="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17" fillId="0" borderId="5" xfId="0" applyFont="1" applyBorder="1" applyAlignment="1">
      <alignment horizontal="right" vertical="center" wrapText="1"/>
    </xf>
    <xf numFmtId="0" fontId="17" fillId="0" borderId="4" xfId="0" applyFont="1" applyBorder="1" applyAlignment="1">
      <alignment horizontal="right" vertical="center" wrapText="1"/>
    </xf>
    <xf numFmtId="0" fontId="18" fillId="0" borderId="25" xfId="0" applyFont="1" applyBorder="1" applyAlignment="1">
      <alignment horizontal="right" vertical="center" wrapText="1" readingOrder="2"/>
    </xf>
    <xf numFmtId="0" fontId="18" fillId="0" borderId="3" xfId="0" applyFont="1" applyBorder="1" applyAlignment="1">
      <alignment horizontal="right" vertical="center" wrapText="1" readingOrder="2"/>
    </xf>
    <xf numFmtId="0" fontId="18" fillId="0" borderId="11" xfId="0" applyFont="1" applyBorder="1" applyAlignment="1">
      <alignment horizontal="right" vertical="center" wrapText="1" readingOrder="2"/>
    </xf>
    <xf numFmtId="0" fontId="18" fillId="0" borderId="12" xfId="0" applyFont="1" applyBorder="1" applyAlignment="1">
      <alignment horizontal="right" vertical="center" wrapText="1" readingOrder="2"/>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8" fillId="0" borderId="27" xfId="0" applyFont="1" applyBorder="1" applyAlignment="1">
      <alignment horizontal="right" vertical="center" wrapText="1" readingOrder="2"/>
    </xf>
    <xf numFmtId="0" fontId="18" fillId="0" borderId="14" xfId="0" applyFont="1" applyBorder="1" applyAlignment="1">
      <alignment horizontal="right" vertical="center" wrapText="1" readingOrder="2"/>
    </xf>
    <xf numFmtId="0" fontId="2" fillId="0" borderId="14" xfId="0" applyFont="1" applyBorder="1" applyAlignment="1">
      <alignment horizontal="center" vertical="center" wrapText="1" readingOrder="2"/>
    </xf>
    <xf numFmtId="0" fontId="3" fillId="0" borderId="14" xfId="0" applyFont="1" applyBorder="1" applyAlignment="1" applyProtection="1">
      <alignment horizontal="center" vertical="center" wrapText="1" readingOrder="2"/>
      <protection locked="0"/>
    </xf>
    <xf numFmtId="9" fontId="3" fillId="0" borderId="14" xfId="0" applyNumberFormat="1" applyFont="1" applyBorder="1" applyAlignment="1">
      <alignment horizontal="center" vertical="center" wrapText="1" readingOrder="2"/>
    </xf>
    <xf numFmtId="0" fontId="2" fillId="0" borderId="14" xfId="0" applyFont="1" applyBorder="1" applyAlignment="1">
      <alignment horizontal="center" vertical="center" wrapText="1" readingOrder="1"/>
    </xf>
    <xf numFmtId="0" fontId="3" fillId="0" borderId="14" xfId="0" applyFont="1" applyBorder="1" applyAlignment="1" applyProtection="1">
      <alignment horizontal="center" vertical="center" wrapText="1" readingOrder="2"/>
      <protection locked="0"/>
    </xf>
    <xf numFmtId="0" fontId="3" fillId="0" borderId="28" xfId="0" applyFont="1" applyBorder="1" applyAlignment="1" applyProtection="1">
      <alignment horizontal="center" vertical="center" wrapText="1" readingOrder="2"/>
      <protection locked="0"/>
    </xf>
  </cellXfs>
  <cellStyles count="1">
    <cellStyle name="Normal" xfId="0" builtinId="0"/>
  </cellStyles>
  <dxfs count="250">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10User/Desktop/&#1578;&#1605;&#1575;&#1585;&#1610;&#1606;%202026/1.%20&#1578;&#1605;&#1585;&#1610;&#1606;%20&#1604;&#1593;&#1576;&#1575;&#1578;%20&#1575;&#1604;&#1581;&#1585;&#1576;%20&#1608;&#1575;&#1604;&#1580;&#1575;&#1607;&#1586;&#1610;&#1577;%202026/&#1578;&#1605;&#1585;&#1610;&#1606;%20&#1604;&#1593;&#1576;&#1575;&#1578;%20&#1575;&#1604;&#1581;&#1585;&#1576;%202026/7.%20&#1576;&#1606;&#1603;%20&#1575;&#1604;&#1605;&#1593;&#1575;&#1590;&#1604;/&#1593;&#1576;&#1608;&#1577;%20&#1606;&#1575;&#1587;&#1601;&#1577;%20-%20&#1575;&#1587;&#1578;&#1591;&#1604;&#1575;&#159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بيانات التقييم"/>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9"/>
  <sheetViews>
    <sheetView rightToLeft="1" tabSelected="1" view="pageBreakPreview" zoomScale="136" zoomScaleNormal="100" zoomScaleSheetLayoutView="136" workbookViewId="0">
      <selection activeCell="B38" sqref="B38:D38"/>
    </sheetView>
  </sheetViews>
  <sheetFormatPr defaultColWidth="9" defaultRowHeight="14.25" x14ac:dyDescent="0.2"/>
  <cols>
    <col min="1" max="1" width="5.125" style="1" customWidth="1"/>
    <col min="2" max="2" width="12.125" style="1" customWidth="1"/>
    <col min="3" max="3" width="9" style="1"/>
    <col min="4" max="4" width="28.125" style="1" customWidth="1"/>
    <col min="5" max="7" width="9.25" style="1" customWidth="1"/>
    <col min="8" max="8" width="9.25" style="3" customWidth="1"/>
    <col min="9" max="9" width="9.25" style="1" customWidth="1"/>
    <col min="10" max="10" width="15.5" style="1" customWidth="1"/>
    <col min="11" max="16384" width="9" style="1"/>
  </cols>
  <sheetData>
    <row r="1" spans="1:10" ht="45" customHeight="1" x14ac:dyDescent="0.2">
      <c r="B1" s="79" t="s">
        <v>128</v>
      </c>
      <c r="C1" s="79"/>
      <c r="D1" s="79"/>
      <c r="E1" s="79"/>
      <c r="F1" s="79"/>
      <c r="G1" s="79"/>
      <c r="H1" s="79"/>
      <c r="I1" s="79"/>
      <c r="J1" s="79"/>
    </row>
    <row r="2" spans="1:10" ht="45" customHeight="1" x14ac:dyDescent="0.2">
      <c r="B2" s="66" t="s">
        <v>127</v>
      </c>
      <c r="C2" s="66"/>
      <c r="D2" s="66"/>
      <c r="E2" s="66"/>
      <c r="F2" s="66"/>
      <c r="G2" s="66"/>
      <c r="H2" s="66"/>
      <c r="I2" s="66"/>
      <c r="J2" s="66"/>
    </row>
    <row r="3" spans="1:10" ht="83.25" customHeight="1" x14ac:dyDescent="0.2">
      <c r="B3" s="66" t="s">
        <v>126</v>
      </c>
      <c r="C3" s="66"/>
      <c r="D3" s="66"/>
      <c r="E3" s="66"/>
      <c r="F3" s="66"/>
      <c r="G3" s="66"/>
      <c r="H3" s="66"/>
      <c r="I3" s="66"/>
      <c r="J3" s="66"/>
    </row>
    <row r="4" spans="1:10" ht="30" customHeight="1" x14ac:dyDescent="0.2">
      <c r="B4" s="11" t="s">
        <v>8</v>
      </c>
      <c r="C4" s="84" t="s">
        <v>39</v>
      </c>
      <c r="D4" s="84"/>
      <c r="E4" s="11" t="s">
        <v>7</v>
      </c>
      <c r="F4" s="90" t="s">
        <v>79</v>
      </c>
      <c r="G4" s="90"/>
      <c r="H4" s="90" t="s">
        <v>80</v>
      </c>
      <c r="I4" s="90"/>
      <c r="J4" s="41" t="s">
        <v>81</v>
      </c>
    </row>
    <row r="5" spans="1:10" ht="30" customHeight="1" x14ac:dyDescent="0.2">
      <c r="B5" s="11" t="s">
        <v>9</v>
      </c>
      <c r="C5" s="84" t="s">
        <v>42</v>
      </c>
      <c r="D5" s="84"/>
      <c r="E5" s="11" t="s">
        <v>6</v>
      </c>
      <c r="F5" s="84" t="s">
        <v>41</v>
      </c>
      <c r="G5" s="84"/>
      <c r="H5" s="84"/>
      <c r="I5" s="84"/>
      <c r="J5" s="84"/>
    </row>
    <row r="6" spans="1:10" ht="30" customHeight="1" x14ac:dyDescent="0.2">
      <c r="B6" s="89" t="s">
        <v>48</v>
      </c>
      <c r="C6" s="89"/>
      <c r="D6" s="36" t="s">
        <v>49</v>
      </c>
      <c r="E6" s="91" t="s">
        <v>59</v>
      </c>
      <c r="F6" s="92"/>
      <c r="G6" s="39" t="s">
        <v>60</v>
      </c>
      <c r="H6" s="47" t="s">
        <v>56</v>
      </c>
      <c r="I6" s="48"/>
      <c r="J6" s="38" t="s">
        <v>61</v>
      </c>
    </row>
    <row r="7" spans="1:10" ht="30" customHeight="1" thickBot="1" x14ac:dyDescent="0.25">
      <c r="B7" s="6"/>
      <c r="C7" s="7"/>
      <c r="D7" s="7"/>
      <c r="E7" s="6"/>
      <c r="F7" s="7"/>
      <c r="G7" s="7"/>
      <c r="H7" s="8"/>
      <c r="I7" s="7"/>
      <c r="J7" s="7"/>
    </row>
    <row r="8" spans="1:10" ht="24.95" customHeight="1" x14ac:dyDescent="0.2">
      <c r="A8" s="9"/>
      <c r="B8" s="80" t="s">
        <v>0</v>
      </c>
      <c r="C8" s="81"/>
      <c r="D8" s="81"/>
      <c r="E8" s="85" t="s">
        <v>1</v>
      </c>
      <c r="F8" s="85"/>
      <c r="G8" s="85"/>
      <c r="H8" s="85"/>
      <c r="I8" s="85" t="s">
        <v>2</v>
      </c>
      <c r="J8" s="86"/>
    </row>
    <row r="9" spans="1:10" ht="24.95" customHeight="1" thickBot="1" x14ac:dyDescent="0.25">
      <c r="A9" s="9"/>
      <c r="B9" s="82"/>
      <c r="C9" s="83"/>
      <c r="D9" s="83"/>
      <c r="E9" s="10" t="s">
        <v>3</v>
      </c>
      <c r="F9" s="10" t="s">
        <v>4</v>
      </c>
      <c r="G9" s="10" t="s">
        <v>23</v>
      </c>
      <c r="H9" s="10" t="s">
        <v>24</v>
      </c>
      <c r="I9" s="87"/>
      <c r="J9" s="88"/>
    </row>
    <row r="10" spans="1:10" ht="24.95" customHeight="1" thickBot="1" x14ac:dyDescent="0.25">
      <c r="A10" s="9"/>
      <c r="B10" s="53" t="s">
        <v>21</v>
      </c>
      <c r="C10" s="54"/>
      <c r="D10" s="54"/>
      <c r="E10" s="27" t="s">
        <v>18</v>
      </c>
      <c r="F10" s="27" t="s">
        <v>19</v>
      </c>
      <c r="G10" s="27" t="s">
        <v>22</v>
      </c>
      <c r="H10" s="27" t="s">
        <v>20</v>
      </c>
      <c r="I10" s="55" t="s">
        <v>25</v>
      </c>
      <c r="J10" s="56"/>
    </row>
    <row r="11" spans="1:10" ht="39.950000000000003" customHeight="1" x14ac:dyDescent="0.2">
      <c r="A11" s="9"/>
      <c r="B11" s="95" t="s">
        <v>96</v>
      </c>
      <c r="C11" s="96"/>
      <c r="D11" s="96"/>
      <c r="E11" s="101"/>
      <c r="F11" s="102"/>
      <c r="G11" s="103"/>
      <c r="H11" s="104"/>
      <c r="I11" s="105"/>
      <c r="J11" s="106"/>
    </row>
    <row r="12" spans="1:10" ht="39.950000000000003" customHeight="1" x14ac:dyDescent="0.2">
      <c r="A12" s="9"/>
      <c r="B12" s="97" t="s">
        <v>97</v>
      </c>
      <c r="C12" s="98"/>
      <c r="D12" s="98"/>
      <c r="E12" s="28">
        <v>3</v>
      </c>
      <c r="F12" s="46" t="s">
        <v>43</v>
      </c>
      <c r="G12" s="29" t="str">
        <f t="shared" ref="G12:G15" si="0">IFERROR(F12/E12,"")</f>
        <v/>
      </c>
      <c r="H12" s="30" t="str">
        <f t="shared" ref="H12:H15" si="1">_xlfn.IFS(F12="أدخل العلامة","",F12="لا ينطبق","تم الإلغاء",G12&gt;=90%,"ممتاز",G12&gt;=80%,"جيد جداً",G12&gt;=70%,"جيد",G12&gt;=60%,"مقبول",G12&lt;60%,"راسب")</f>
        <v/>
      </c>
      <c r="I12" s="49"/>
      <c r="J12" s="50"/>
    </row>
    <row r="13" spans="1:10" ht="39.950000000000003" customHeight="1" x14ac:dyDescent="0.2">
      <c r="A13" s="9"/>
      <c r="B13" s="97" t="s">
        <v>98</v>
      </c>
      <c r="C13" s="98"/>
      <c r="D13" s="98"/>
      <c r="E13" s="28">
        <v>3</v>
      </c>
      <c r="F13" s="46" t="s">
        <v>43</v>
      </c>
      <c r="G13" s="29" t="str">
        <f t="shared" si="0"/>
        <v/>
      </c>
      <c r="H13" s="30" t="str">
        <f t="shared" si="1"/>
        <v/>
      </c>
      <c r="I13" s="49"/>
      <c r="J13" s="50"/>
    </row>
    <row r="14" spans="1:10" ht="39.950000000000003" customHeight="1" x14ac:dyDescent="0.2">
      <c r="A14" s="9"/>
      <c r="B14" s="97" t="s">
        <v>99</v>
      </c>
      <c r="C14" s="98"/>
      <c r="D14" s="98"/>
      <c r="E14" s="28">
        <v>3</v>
      </c>
      <c r="F14" s="46" t="s">
        <v>43</v>
      </c>
      <c r="G14" s="29" t="str">
        <f t="shared" si="0"/>
        <v/>
      </c>
      <c r="H14" s="30" t="str">
        <f t="shared" si="1"/>
        <v/>
      </c>
      <c r="I14" s="49"/>
      <c r="J14" s="50"/>
    </row>
    <row r="15" spans="1:10" ht="39.950000000000003" customHeight="1" x14ac:dyDescent="0.2">
      <c r="A15" s="9"/>
      <c r="B15" s="97" t="s">
        <v>100</v>
      </c>
      <c r="C15" s="98"/>
      <c r="D15" s="98"/>
      <c r="E15" s="28">
        <v>3</v>
      </c>
      <c r="F15" s="46" t="s">
        <v>43</v>
      </c>
      <c r="G15" s="29" t="str">
        <f t="shared" si="0"/>
        <v/>
      </c>
      <c r="H15" s="30" t="str">
        <f t="shared" si="1"/>
        <v/>
      </c>
      <c r="I15" s="49"/>
      <c r="J15" s="50"/>
    </row>
    <row r="16" spans="1:10" ht="39.950000000000003" customHeight="1" x14ac:dyDescent="0.2">
      <c r="A16" s="9"/>
      <c r="B16" s="97" t="s">
        <v>101</v>
      </c>
      <c r="C16" s="98"/>
      <c r="D16" s="98"/>
      <c r="E16" s="28">
        <v>3</v>
      </c>
      <c r="F16" s="46" t="s">
        <v>43</v>
      </c>
      <c r="G16" s="29" t="str">
        <f>IFERROR(F16/E16,"")</f>
        <v/>
      </c>
      <c r="H16" s="30" t="str">
        <f>_xlfn.IFS(F16="أدخل العلامة","",F16="لا ينطبق","تم الإلغاء",G16&gt;=90%,"ممتاز",G16&gt;=80%,"جيد جداً",G16&gt;=70%,"جيد",G16&gt;=60%,"مقبول",G16&lt;60%,"راسب")</f>
        <v/>
      </c>
      <c r="I16" s="49"/>
      <c r="J16" s="50"/>
    </row>
    <row r="17" spans="1:10" ht="39.950000000000003" customHeight="1" x14ac:dyDescent="0.2">
      <c r="A17" s="9"/>
      <c r="B17" s="97" t="s">
        <v>102</v>
      </c>
      <c r="C17" s="98"/>
      <c r="D17" s="98"/>
      <c r="E17" s="28">
        <v>3</v>
      </c>
      <c r="F17" s="46" t="s">
        <v>43</v>
      </c>
      <c r="G17" s="29" t="str">
        <f>IFERROR(F17/E17,"")</f>
        <v/>
      </c>
      <c r="H17" s="30" t="str">
        <f>_xlfn.IFS(F17="أدخل العلامة","",F17="لا ينطبق","تم الإلغاء",G17&gt;=90%,"ممتاز",G17&gt;=80%,"جيد جداً",G17&gt;=70%,"جيد",G17&gt;=60%,"مقبول",G17&lt;60%,"راسب")</f>
        <v/>
      </c>
      <c r="I17" s="49"/>
      <c r="J17" s="50"/>
    </row>
    <row r="18" spans="1:10" ht="39.950000000000003" customHeight="1" thickBot="1" x14ac:dyDescent="0.25">
      <c r="A18" s="9"/>
      <c r="B18" s="107" t="s">
        <v>129</v>
      </c>
      <c r="C18" s="108"/>
      <c r="D18" s="108"/>
      <c r="E18" s="109">
        <v>3</v>
      </c>
      <c r="F18" s="110" t="s">
        <v>43</v>
      </c>
      <c r="G18" s="111" t="str">
        <f t="shared" ref="G18" si="2">IFERROR(F18/E18,"")</f>
        <v/>
      </c>
      <c r="H18" s="112" t="str">
        <f t="shared" ref="H18" si="3">_xlfn.IFS(F18="أدخل العلامة","",F18="لا ينطبق","تم الإلغاء",G18&gt;=90%,"ممتاز",G18&gt;=80%,"جيد جداً",G18&gt;=70%,"جيد",G18&gt;=60%,"مقبول",G18&lt;60%,"راسب")</f>
        <v/>
      </c>
      <c r="I18" s="113"/>
      <c r="J18" s="114"/>
    </row>
    <row r="19" spans="1:10" ht="39.950000000000003" customHeight="1" x14ac:dyDescent="0.2">
      <c r="A19" s="9"/>
      <c r="B19" s="95" t="s">
        <v>103</v>
      </c>
      <c r="C19" s="96"/>
      <c r="D19" s="96"/>
      <c r="E19" s="101"/>
      <c r="F19" s="102"/>
      <c r="G19" s="103"/>
      <c r="H19" s="104"/>
      <c r="I19" s="105"/>
      <c r="J19" s="106"/>
    </row>
    <row r="20" spans="1:10" ht="39.950000000000003" customHeight="1" x14ac:dyDescent="0.2">
      <c r="A20" s="9"/>
      <c r="B20" s="97" t="s">
        <v>104</v>
      </c>
      <c r="C20" s="98"/>
      <c r="D20" s="98"/>
      <c r="E20" s="28">
        <v>3</v>
      </c>
      <c r="F20" s="46" t="s">
        <v>43</v>
      </c>
      <c r="G20" s="29" t="str">
        <f>IFERROR(F20/E20,"")</f>
        <v/>
      </c>
      <c r="H20" s="30" t="str">
        <f>_xlfn.IFS(F20="أدخل العلامة","",F20="لا ينطبق","تم الإلغاء",G20&gt;=90%,"ممتاز",G20&gt;=80%,"جيد جداً",G20&gt;=70%,"جيد",G20&gt;=60%,"مقبول",G20&lt;60%,"راسب")</f>
        <v/>
      </c>
      <c r="I20" s="49"/>
      <c r="J20" s="50"/>
    </row>
    <row r="21" spans="1:10" ht="39.950000000000003" customHeight="1" x14ac:dyDescent="0.2">
      <c r="A21" s="9"/>
      <c r="B21" s="97" t="s">
        <v>105</v>
      </c>
      <c r="C21" s="98"/>
      <c r="D21" s="98"/>
      <c r="E21" s="28">
        <v>3</v>
      </c>
      <c r="F21" s="46" t="s">
        <v>43</v>
      </c>
      <c r="G21" s="29" t="str">
        <f t="shared" ref="G21:G36" si="4">IFERROR(F21/E21,"")</f>
        <v/>
      </c>
      <c r="H21" s="30" t="str">
        <f t="shared" ref="H21:H36" si="5">_xlfn.IFS(F21="أدخل العلامة","",F21="لا ينطبق","تم الإلغاء",G21&gt;=90%,"ممتاز",G21&gt;=80%,"جيد جداً",G21&gt;=70%,"جيد",G21&gt;=60%,"مقبول",G21&lt;60%,"راسب")</f>
        <v/>
      </c>
      <c r="I21" s="49"/>
      <c r="J21" s="50"/>
    </row>
    <row r="22" spans="1:10" ht="39.950000000000003" customHeight="1" x14ac:dyDescent="0.2">
      <c r="A22" s="9"/>
      <c r="B22" s="97" t="s">
        <v>106</v>
      </c>
      <c r="C22" s="98"/>
      <c r="D22" s="98"/>
      <c r="E22" s="28">
        <v>3</v>
      </c>
      <c r="F22" s="46" t="s">
        <v>43</v>
      </c>
      <c r="G22" s="29" t="str">
        <f t="shared" si="4"/>
        <v/>
      </c>
      <c r="H22" s="30" t="str">
        <f t="shared" si="5"/>
        <v/>
      </c>
      <c r="I22" s="49"/>
      <c r="J22" s="50"/>
    </row>
    <row r="23" spans="1:10" ht="39.950000000000003" customHeight="1" x14ac:dyDescent="0.2">
      <c r="A23" s="9"/>
      <c r="B23" s="97" t="s">
        <v>107</v>
      </c>
      <c r="C23" s="98"/>
      <c r="D23" s="98"/>
      <c r="E23" s="28">
        <v>3</v>
      </c>
      <c r="F23" s="46" t="s">
        <v>43</v>
      </c>
      <c r="G23" s="29" t="str">
        <f>IFERROR(F23/E23,"")</f>
        <v/>
      </c>
      <c r="H23" s="30" t="str">
        <f>_xlfn.IFS(F23="أدخل العلامة","",F23="لا ينطبق","تم الإلغاء",G23&gt;=90%,"ممتاز",G23&gt;=80%,"جيد جداً",G23&gt;=70%,"جيد",G23&gt;=60%,"مقبول",G23&lt;60%,"راسب")</f>
        <v/>
      </c>
      <c r="I23" s="49"/>
      <c r="J23" s="50"/>
    </row>
    <row r="24" spans="1:10" ht="39.950000000000003" customHeight="1" thickBot="1" x14ac:dyDescent="0.25">
      <c r="A24" s="9"/>
      <c r="B24" s="107" t="s">
        <v>108</v>
      </c>
      <c r="C24" s="108"/>
      <c r="D24" s="108"/>
      <c r="E24" s="109">
        <v>3</v>
      </c>
      <c r="F24" s="110" t="s">
        <v>43</v>
      </c>
      <c r="G24" s="111" t="str">
        <f t="shared" ref="G24:G27" si="6">IFERROR(F24/E24,"")</f>
        <v/>
      </c>
      <c r="H24" s="112" t="str">
        <f t="shared" ref="H24:H27" si="7">_xlfn.IFS(F24="أدخل العلامة","",F24="لا ينطبق","تم الإلغاء",G24&gt;=90%,"ممتاز",G24&gt;=80%,"جيد جداً",G24&gt;=70%,"جيد",G24&gt;=60%,"مقبول",G24&lt;60%,"راسب")</f>
        <v/>
      </c>
      <c r="I24" s="113"/>
      <c r="J24" s="114"/>
    </row>
    <row r="25" spans="1:10" ht="39.950000000000003" customHeight="1" x14ac:dyDescent="0.2">
      <c r="A25" s="9"/>
      <c r="B25" s="95" t="s">
        <v>109</v>
      </c>
      <c r="C25" s="96"/>
      <c r="D25" s="96"/>
      <c r="E25" s="101"/>
      <c r="F25" s="102"/>
      <c r="G25" s="103"/>
      <c r="H25" s="104"/>
      <c r="I25" s="105"/>
      <c r="J25" s="106"/>
    </row>
    <row r="26" spans="1:10" ht="39.950000000000003" customHeight="1" x14ac:dyDescent="0.2">
      <c r="A26" s="9"/>
      <c r="B26" s="97" t="s">
        <v>110</v>
      </c>
      <c r="C26" s="98"/>
      <c r="D26" s="98"/>
      <c r="E26" s="28">
        <v>3</v>
      </c>
      <c r="F26" s="46" t="s">
        <v>43</v>
      </c>
      <c r="G26" s="29" t="str">
        <f t="shared" si="6"/>
        <v/>
      </c>
      <c r="H26" s="30" t="str">
        <f t="shared" si="7"/>
        <v/>
      </c>
      <c r="I26" s="49"/>
      <c r="J26" s="50"/>
    </row>
    <row r="27" spans="1:10" ht="39.950000000000003" customHeight="1" x14ac:dyDescent="0.2">
      <c r="A27" s="9"/>
      <c r="B27" s="97" t="s">
        <v>111</v>
      </c>
      <c r="C27" s="98"/>
      <c r="D27" s="98"/>
      <c r="E27" s="28">
        <v>3</v>
      </c>
      <c r="F27" s="46" t="s">
        <v>43</v>
      </c>
      <c r="G27" s="29" t="str">
        <f t="shared" si="6"/>
        <v/>
      </c>
      <c r="H27" s="30" t="str">
        <f t="shared" si="7"/>
        <v/>
      </c>
      <c r="I27" s="49"/>
      <c r="J27" s="50"/>
    </row>
    <row r="28" spans="1:10" ht="39.950000000000003" customHeight="1" x14ac:dyDescent="0.2">
      <c r="A28" s="9"/>
      <c r="B28" s="97" t="s">
        <v>112</v>
      </c>
      <c r="C28" s="98"/>
      <c r="D28" s="98"/>
      <c r="E28" s="28">
        <v>3</v>
      </c>
      <c r="F28" s="46" t="s">
        <v>43</v>
      </c>
      <c r="G28" s="29" t="str">
        <f>IFERROR(F28/E28,"")</f>
        <v/>
      </c>
      <c r="H28" s="30" t="str">
        <f>_xlfn.IFS(F28="أدخل العلامة","",F28="لا ينطبق","تم الإلغاء",G28&gt;=90%,"ممتاز",G28&gt;=80%,"جيد جداً",G28&gt;=70%,"جيد",G28&gt;=60%,"مقبول",G28&lt;60%,"راسب")</f>
        <v/>
      </c>
      <c r="I28" s="49"/>
      <c r="J28" s="50"/>
    </row>
    <row r="29" spans="1:10" ht="39.950000000000003" customHeight="1" thickBot="1" x14ac:dyDescent="0.25">
      <c r="A29" s="9"/>
      <c r="B29" s="107" t="s">
        <v>113</v>
      </c>
      <c r="C29" s="108"/>
      <c r="D29" s="108"/>
      <c r="E29" s="109">
        <v>3</v>
      </c>
      <c r="F29" s="110" t="s">
        <v>43</v>
      </c>
      <c r="G29" s="111" t="str">
        <f>IFERROR(F29/E29,"")</f>
        <v/>
      </c>
      <c r="H29" s="112" t="str">
        <f>_xlfn.IFS(F29="أدخل العلامة","",F29="لا ينطبق","تم الإلغاء",G29&gt;=90%,"ممتاز",G29&gt;=80%,"جيد جداً",G29&gt;=70%,"جيد",G29&gt;=60%,"مقبول",G29&lt;60%,"راسب")</f>
        <v/>
      </c>
      <c r="I29" s="113"/>
      <c r="J29" s="114"/>
    </row>
    <row r="30" spans="1:10" ht="39.950000000000003" customHeight="1" x14ac:dyDescent="0.2">
      <c r="A30" s="9"/>
      <c r="B30" s="95" t="s">
        <v>114</v>
      </c>
      <c r="C30" s="96"/>
      <c r="D30" s="96"/>
      <c r="E30" s="101"/>
      <c r="F30" s="102"/>
      <c r="G30" s="103"/>
      <c r="H30" s="104"/>
      <c r="I30" s="105"/>
      <c r="J30" s="106"/>
    </row>
    <row r="31" spans="1:10" ht="39.950000000000003" customHeight="1" x14ac:dyDescent="0.2">
      <c r="A31" s="9"/>
      <c r="B31" s="97" t="s">
        <v>115</v>
      </c>
      <c r="C31" s="98"/>
      <c r="D31" s="98"/>
      <c r="E31" s="28">
        <v>3</v>
      </c>
      <c r="F31" s="46" t="s">
        <v>43</v>
      </c>
      <c r="G31" s="29" t="str">
        <f>IFERROR(F31/E31,"")</f>
        <v/>
      </c>
      <c r="H31" s="30" t="str">
        <f>_xlfn.IFS(F31="أدخل العلامة","",F31="لا ينطبق","تم الإلغاء",G31&gt;=90%,"ممتاز",G31&gt;=80%,"جيد جداً",G31&gt;=70%,"جيد",G31&gt;=60%,"مقبول",G31&lt;60%,"راسب")</f>
        <v/>
      </c>
      <c r="I31" s="49"/>
      <c r="J31" s="50"/>
    </row>
    <row r="32" spans="1:10" ht="39.950000000000003" customHeight="1" x14ac:dyDescent="0.2">
      <c r="A32" s="9"/>
      <c r="B32" s="97" t="s">
        <v>116</v>
      </c>
      <c r="C32" s="98"/>
      <c r="D32" s="98"/>
      <c r="E32" s="28">
        <v>3</v>
      </c>
      <c r="F32" s="46" t="s">
        <v>43</v>
      </c>
      <c r="G32" s="29" t="str">
        <f>IFERROR(F32/E32,"")</f>
        <v/>
      </c>
      <c r="H32" s="30" t="str">
        <f>_xlfn.IFS(F32="أدخل العلامة","",F32="لا ينطبق","تم الإلغاء",G32&gt;=90%,"ممتاز",G32&gt;=80%,"جيد جداً",G32&gt;=70%,"جيد",G32&gt;=60%,"مقبول",G32&lt;60%,"راسب")</f>
        <v/>
      </c>
      <c r="I32" s="49"/>
      <c r="J32" s="50"/>
    </row>
    <row r="33" spans="1:10" ht="39.950000000000003" customHeight="1" x14ac:dyDescent="0.2">
      <c r="A33" s="9"/>
      <c r="B33" s="97" t="s">
        <v>117</v>
      </c>
      <c r="C33" s="98"/>
      <c r="D33" s="98"/>
      <c r="E33" s="28">
        <v>3</v>
      </c>
      <c r="F33" s="46" t="s">
        <v>43</v>
      </c>
      <c r="G33" s="29" t="str">
        <f t="shared" ref="G33:G35" si="8">IFERROR(F33/E33,"")</f>
        <v/>
      </c>
      <c r="H33" s="30" t="str">
        <f t="shared" ref="H33:H35" si="9">_xlfn.IFS(F33="أدخل العلامة","",F33="لا ينطبق","تم الإلغاء",G33&gt;=90%,"ممتاز",G33&gt;=80%,"جيد جداً",G33&gt;=70%,"جيد",G33&gt;=60%,"مقبول",G33&lt;60%,"راسب")</f>
        <v/>
      </c>
      <c r="I33" s="49"/>
      <c r="J33" s="50"/>
    </row>
    <row r="34" spans="1:10" ht="57" customHeight="1" x14ac:dyDescent="0.2">
      <c r="A34" s="9"/>
      <c r="B34" s="97" t="s">
        <v>118</v>
      </c>
      <c r="C34" s="98"/>
      <c r="D34" s="98"/>
      <c r="E34" s="28">
        <v>3</v>
      </c>
      <c r="F34" s="46" t="s">
        <v>43</v>
      </c>
      <c r="G34" s="29" t="str">
        <f t="shared" si="8"/>
        <v/>
      </c>
      <c r="H34" s="30" t="str">
        <f t="shared" si="9"/>
        <v/>
      </c>
      <c r="I34" s="49"/>
      <c r="J34" s="50"/>
    </row>
    <row r="35" spans="1:10" ht="53.25" customHeight="1" x14ac:dyDescent="0.2">
      <c r="A35" s="9"/>
      <c r="B35" s="97" t="s">
        <v>119</v>
      </c>
      <c r="C35" s="98"/>
      <c r="D35" s="98"/>
      <c r="E35" s="28">
        <v>3</v>
      </c>
      <c r="F35" s="46" t="s">
        <v>43</v>
      </c>
      <c r="G35" s="29" t="str">
        <f t="shared" si="8"/>
        <v/>
      </c>
      <c r="H35" s="30" t="str">
        <f t="shared" si="9"/>
        <v/>
      </c>
      <c r="I35" s="49"/>
      <c r="J35" s="50"/>
    </row>
    <row r="36" spans="1:10" ht="39.950000000000003" customHeight="1" thickBot="1" x14ac:dyDescent="0.25">
      <c r="A36" s="9"/>
      <c r="B36" s="107" t="s">
        <v>120</v>
      </c>
      <c r="C36" s="108"/>
      <c r="D36" s="108"/>
      <c r="E36" s="109">
        <v>3</v>
      </c>
      <c r="F36" s="110" t="s">
        <v>43</v>
      </c>
      <c r="G36" s="111" t="str">
        <f t="shared" si="4"/>
        <v/>
      </c>
      <c r="H36" s="112" t="str">
        <f t="shared" si="5"/>
        <v/>
      </c>
      <c r="I36" s="113"/>
      <c r="J36" s="114"/>
    </row>
    <row r="37" spans="1:10" ht="39.950000000000003" customHeight="1" x14ac:dyDescent="0.2">
      <c r="A37" s="9"/>
      <c r="B37" s="95" t="s">
        <v>121</v>
      </c>
      <c r="C37" s="96"/>
      <c r="D37" s="96"/>
      <c r="E37" s="101"/>
      <c r="F37" s="102"/>
      <c r="G37" s="103"/>
      <c r="H37" s="104"/>
      <c r="I37" s="105"/>
      <c r="J37" s="106"/>
    </row>
    <row r="38" spans="1:10" ht="39.950000000000003" customHeight="1" x14ac:dyDescent="0.2">
      <c r="A38" s="9"/>
      <c r="B38" s="97" t="s">
        <v>122</v>
      </c>
      <c r="C38" s="98"/>
      <c r="D38" s="98"/>
      <c r="E38" s="28">
        <v>3</v>
      </c>
      <c r="F38" s="46" t="s">
        <v>43</v>
      </c>
      <c r="G38" s="29" t="str">
        <f t="shared" ref="G38:G41" si="10">IFERROR(F38/E38,"")</f>
        <v/>
      </c>
      <c r="H38" s="30" t="str">
        <f t="shared" ref="H38:H41" si="11">_xlfn.IFS(F38="أدخل العلامة","",F38="لا ينطبق","تم الإلغاء",G38&gt;=90%,"ممتاز",G38&gt;=80%,"جيد جداً",G38&gt;=70%,"جيد",G38&gt;=60%,"مقبول",G38&lt;60%,"راسب")</f>
        <v/>
      </c>
      <c r="I38" s="49"/>
      <c r="J38" s="50"/>
    </row>
    <row r="39" spans="1:10" ht="39.950000000000003" customHeight="1" x14ac:dyDescent="0.2">
      <c r="A39" s="9"/>
      <c r="B39" s="97" t="s">
        <v>123</v>
      </c>
      <c r="C39" s="98"/>
      <c r="D39" s="98"/>
      <c r="E39" s="28">
        <v>3</v>
      </c>
      <c r="F39" s="46" t="s">
        <v>43</v>
      </c>
      <c r="G39" s="29" t="str">
        <f t="shared" si="10"/>
        <v/>
      </c>
      <c r="H39" s="30" t="str">
        <f t="shared" si="11"/>
        <v/>
      </c>
      <c r="I39" s="49"/>
      <c r="J39" s="50"/>
    </row>
    <row r="40" spans="1:10" ht="39.950000000000003" customHeight="1" x14ac:dyDescent="0.2">
      <c r="A40" s="9"/>
      <c r="B40" s="97" t="s">
        <v>124</v>
      </c>
      <c r="C40" s="98"/>
      <c r="D40" s="98"/>
      <c r="E40" s="28">
        <v>3</v>
      </c>
      <c r="F40" s="46" t="s">
        <v>43</v>
      </c>
      <c r="G40" s="29" t="str">
        <f t="shared" si="10"/>
        <v/>
      </c>
      <c r="H40" s="30" t="str">
        <f t="shared" si="11"/>
        <v/>
      </c>
      <c r="I40" s="49"/>
      <c r="J40" s="50"/>
    </row>
    <row r="41" spans="1:10" ht="39.950000000000003" customHeight="1" thickBot="1" x14ac:dyDescent="0.25">
      <c r="A41" s="9"/>
      <c r="B41" s="99" t="s">
        <v>125</v>
      </c>
      <c r="C41" s="100"/>
      <c r="D41" s="100"/>
      <c r="E41" s="31">
        <v>3</v>
      </c>
      <c r="F41" s="45" t="s">
        <v>43</v>
      </c>
      <c r="G41" s="32" t="str">
        <f t="shared" si="10"/>
        <v/>
      </c>
      <c r="H41" s="33" t="str">
        <f t="shared" si="11"/>
        <v/>
      </c>
      <c r="I41" s="51"/>
      <c r="J41" s="52"/>
    </row>
    <row r="42" spans="1:10" ht="30" customHeight="1" thickBot="1" x14ac:dyDescent="0.25">
      <c r="A42" s="4"/>
      <c r="B42" s="69" t="s">
        <v>5</v>
      </c>
      <c r="C42" s="70"/>
      <c r="D42" s="70"/>
      <c r="E42" s="37">
        <f>SUM(E11:E41)</f>
        <v>78</v>
      </c>
      <c r="F42" s="37">
        <f>SUM(F11:F41)</f>
        <v>0</v>
      </c>
      <c r="G42" s="59"/>
      <c r="H42" s="60"/>
      <c r="I42" s="60"/>
      <c r="J42" s="61"/>
    </row>
    <row r="43" spans="1:10" ht="30" customHeight="1" thickBot="1" x14ac:dyDescent="0.25">
      <c r="A43" s="4"/>
      <c r="B43" s="71" t="s">
        <v>37</v>
      </c>
      <c r="C43" s="72"/>
      <c r="D43" s="72"/>
      <c r="E43" s="62">
        <f>F42/E42/100*100</f>
        <v>0</v>
      </c>
      <c r="F43" s="62"/>
      <c r="G43" s="62"/>
      <c r="H43" s="62"/>
      <c r="I43" s="62"/>
      <c r="J43" s="63"/>
    </row>
    <row r="44" spans="1:10" ht="30" customHeight="1" thickBot="1" x14ac:dyDescent="0.25">
      <c r="A44" s="4"/>
      <c r="B44" s="71" t="s">
        <v>38</v>
      </c>
      <c r="C44" s="72"/>
      <c r="D44" s="72"/>
      <c r="E44" s="93" t="str">
        <f>_xlfn.IFS(E43&gt;=90%,"ممتاز",E43&gt;=80%,"جيد جداً",E43&gt;=70%,"جيد",E43&gt;=60%,"مقبول",E43&lt;60%,"راسب")</f>
        <v>راسب</v>
      </c>
      <c r="F44" s="93"/>
      <c r="G44" s="93"/>
      <c r="H44" s="93"/>
      <c r="I44" s="93"/>
      <c r="J44" s="94"/>
    </row>
    <row r="45" spans="1:10" ht="42" customHeight="1" x14ac:dyDescent="0.2">
      <c r="B45" s="73" t="s">
        <v>47</v>
      </c>
      <c r="C45" s="73"/>
      <c r="D45" s="73"/>
      <c r="E45" s="57" t="s">
        <v>35</v>
      </c>
      <c r="F45" s="57"/>
      <c r="G45" s="64" t="s">
        <v>41</v>
      </c>
      <c r="H45" s="64"/>
      <c r="I45" s="64"/>
      <c r="J45" s="64"/>
    </row>
    <row r="46" spans="1:10" ht="51" customHeight="1" x14ac:dyDescent="0.2">
      <c r="A46" s="5"/>
      <c r="B46" s="74"/>
      <c r="C46" s="74"/>
      <c r="D46" s="74"/>
      <c r="E46" s="58" t="s">
        <v>36</v>
      </c>
      <c r="F46" s="58"/>
      <c r="G46" s="65"/>
      <c r="H46" s="65"/>
      <c r="I46" s="65"/>
      <c r="J46" s="65"/>
    </row>
    <row r="47" spans="1:10" ht="15.75" x14ac:dyDescent="0.2">
      <c r="A47" s="24">
        <v>3</v>
      </c>
      <c r="B47" s="75" t="s">
        <v>44</v>
      </c>
      <c r="C47" s="76"/>
    </row>
    <row r="48" spans="1:10" ht="15.75" x14ac:dyDescent="0.2">
      <c r="A48" s="25">
        <v>2</v>
      </c>
      <c r="B48" s="77" t="s">
        <v>45</v>
      </c>
      <c r="C48" s="78"/>
    </row>
    <row r="49" spans="1:3" ht="15.75" x14ac:dyDescent="0.2">
      <c r="A49" s="26">
        <v>1</v>
      </c>
      <c r="B49" s="67" t="s">
        <v>46</v>
      </c>
      <c r="C49" s="68"/>
    </row>
  </sheetData>
  <sheetProtection formatCells="0" formatColumns="0" formatRows="0" insertColumns="0" insertRows="0" insertHyperlinks="0" deleteColumns="0" deleteRows="0" selectLockedCells="1" sort="0" autoFilter="0" pivotTables="0"/>
  <mergeCells count="92">
    <mergeCell ref="B3:J3"/>
    <mergeCell ref="B49:C49"/>
    <mergeCell ref="B42:D42"/>
    <mergeCell ref="B43:D43"/>
    <mergeCell ref="B44:D44"/>
    <mergeCell ref="B45:D46"/>
    <mergeCell ref="B47:C47"/>
    <mergeCell ref="B48:C48"/>
    <mergeCell ref="B1:J1"/>
    <mergeCell ref="B8:D9"/>
    <mergeCell ref="C4:D4"/>
    <mergeCell ref="C5:D5"/>
    <mergeCell ref="F5:J5"/>
    <mergeCell ref="E8:H8"/>
    <mergeCell ref="I8:J9"/>
    <mergeCell ref="B2:J2"/>
    <mergeCell ref="B6:C6"/>
    <mergeCell ref="F4:G4"/>
    <mergeCell ref="H4:I4"/>
    <mergeCell ref="E6:F6"/>
    <mergeCell ref="B17:D17"/>
    <mergeCell ref="I17:J17"/>
    <mergeCell ref="E44:J44"/>
    <mergeCell ref="B18:D18"/>
    <mergeCell ref="E45:F45"/>
    <mergeCell ref="E46:F46"/>
    <mergeCell ref="G42:J42"/>
    <mergeCell ref="B13:D13"/>
    <mergeCell ref="I13:J13"/>
    <mergeCell ref="B14:D14"/>
    <mergeCell ref="I14:J14"/>
    <mergeCell ref="B15:D15"/>
    <mergeCell ref="I15:J15"/>
    <mergeCell ref="B16:D16"/>
    <mergeCell ref="I16:J16"/>
    <mergeCell ref="E43:J43"/>
    <mergeCell ref="G45:J45"/>
    <mergeCell ref="G46:J46"/>
    <mergeCell ref="B19:D19"/>
    <mergeCell ref="I19:J19"/>
    <mergeCell ref="B20:D20"/>
    <mergeCell ref="I20:J20"/>
    <mergeCell ref="B21:D21"/>
    <mergeCell ref="I21:J21"/>
    <mergeCell ref="B22:D22"/>
    <mergeCell ref="I22:J22"/>
    <mergeCell ref="B36:D36"/>
    <mergeCell ref="I36:J36"/>
    <mergeCell ref="B37:D37"/>
    <mergeCell ref="I37:J37"/>
    <mergeCell ref="B38:D38"/>
    <mergeCell ref="I38:J38"/>
    <mergeCell ref="B10:D10"/>
    <mergeCell ref="I10:J10"/>
    <mergeCell ref="B11:D11"/>
    <mergeCell ref="B12:D12"/>
    <mergeCell ref="I12:J12"/>
    <mergeCell ref="I11:J11"/>
    <mergeCell ref="I23:J23"/>
    <mergeCell ref="B24:D24"/>
    <mergeCell ref="I24:J24"/>
    <mergeCell ref="I18:J18"/>
    <mergeCell ref="B39:D39"/>
    <mergeCell ref="I39:J39"/>
    <mergeCell ref="B40:D40"/>
    <mergeCell ref="I40:J40"/>
    <mergeCell ref="B41:D41"/>
    <mergeCell ref="I41:J41"/>
    <mergeCell ref="H6:I6"/>
    <mergeCell ref="B33:D33"/>
    <mergeCell ref="I33:J33"/>
    <mergeCell ref="B34:D34"/>
    <mergeCell ref="I34:J34"/>
    <mergeCell ref="B35:D35"/>
    <mergeCell ref="I35:J35"/>
    <mergeCell ref="B30:D30"/>
    <mergeCell ref="I30:J30"/>
    <mergeCell ref="B31:D31"/>
    <mergeCell ref="I31:J31"/>
    <mergeCell ref="B32:D32"/>
    <mergeCell ref="I32:J32"/>
    <mergeCell ref="B28:D28"/>
    <mergeCell ref="I28:J28"/>
    <mergeCell ref="B29:D29"/>
    <mergeCell ref="I29:J29"/>
    <mergeCell ref="B25:D25"/>
    <mergeCell ref="I25:J25"/>
    <mergeCell ref="B26:D26"/>
    <mergeCell ref="I26:J26"/>
    <mergeCell ref="B27:D27"/>
    <mergeCell ref="I27:J27"/>
    <mergeCell ref="B23:D23"/>
  </mergeCells>
  <conditionalFormatting sqref="C4:D4">
    <cfRule type="containsText" dxfId="249" priority="364" operator="containsText" text="أدخل الوحدة الخاضعة للتقييم">
      <formula>NOT(ISERROR(SEARCH("أدخل الوحدة الخاضعة للتقييم",C4)))</formula>
    </cfRule>
  </conditionalFormatting>
  <conditionalFormatting sqref="C5:D5 D6">
    <cfRule type="containsText" dxfId="248" priority="363" operator="containsText" text="أدخل أسم قائد الوحدة الخاضعة للتقييم">
      <formula>NOT(ISERROR(SEARCH("أدخل أسم قائد الوحدة الخاضعة للتقييم",C5)))</formula>
    </cfRule>
  </conditionalFormatting>
  <conditionalFormatting sqref="E44">
    <cfRule type="expression" dxfId="247" priority="403">
      <formula>$E44="راسب"</formula>
    </cfRule>
  </conditionalFormatting>
  <conditionalFormatting sqref="E44:J44">
    <cfRule type="expression" dxfId="246" priority="404">
      <formula>$E44="مقبول"</formula>
    </cfRule>
    <cfRule type="expression" dxfId="245" priority="405">
      <formula>$E44="جيد"</formula>
    </cfRule>
    <cfRule type="expression" dxfId="244" priority="406">
      <formula>$E44="جيد جداً"</formula>
    </cfRule>
    <cfRule type="expression" dxfId="243" priority="407">
      <formula>$E44="ممتاز"</formula>
    </cfRule>
  </conditionalFormatting>
  <conditionalFormatting sqref="F4">
    <cfRule type="containsText" dxfId="242" priority="365" operator="containsText" text="أدخل التاريخ">
      <formula>NOT(ISERROR(SEARCH("أدخل التاريخ",F4)))</formula>
    </cfRule>
  </conditionalFormatting>
  <conditionalFormatting sqref="F5:J5">
    <cfRule type="containsText" dxfId="241" priority="362" operator="containsText" text="أدخل أسم المحكم">
      <formula>NOT(ISERROR(SEARCH("أدخل أسم المحكم",F5)))</formula>
    </cfRule>
  </conditionalFormatting>
  <conditionalFormatting sqref="G45:J45">
    <cfRule type="containsText" dxfId="240" priority="361" operator="containsText" text="أدخل اسم المحكم">
      <formula>NOT(ISERROR(SEARCH("أدخل اسم المحكم",G45)))</formula>
    </cfRule>
  </conditionalFormatting>
  <conditionalFormatting sqref="D6">
    <cfRule type="containsText" dxfId="239" priority="346" operator="containsText" text="أدخل مجرى الأحداث والمعاضل">
      <formula>NOT(ISERROR(SEARCH("أدخل مجرى الأحداث والمعاضل",D6)))</formula>
    </cfRule>
  </conditionalFormatting>
  <conditionalFormatting sqref="F11">
    <cfRule type="containsText" dxfId="238" priority="323" operator="containsText" text="أدخل العلامة">
      <formula>NOT(ISERROR(SEARCH("أدخل العلامة",F11)))</formula>
    </cfRule>
  </conditionalFormatting>
  <conditionalFormatting sqref="H11">
    <cfRule type="containsText" dxfId="237" priority="317" operator="containsText" text="أدخل العلامة">
      <formula>NOT(ISERROR(SEARCH("أدخل العلامة",H11)))</formula>
    </cfRule>
    <cfRule type="containsText" dxfId="236" priority="318" operator="containsText" text="ممتاز">
      <formula>NOT(ISERROR(SEARCH("ممتاز",H11)))</formula>
    </cfRule>
    <cfRule type="containsText" dxfId="235" priority="319" operator="containsText" text="جيد جداً">
      <formula>NOT(ISERROR(SEARCH("جيد جداً",H11)))</formula>
    </cfRule>
    <cfRule type="containsText" dxfId="234" priority="320" operator="containsText" text="جيد">
      <formula>NOT(ISERROR(SEARCH("جيد",H11)))</formula>
    </cfRule>
    <cfRule type="containsText" dxfId="233" priority="321" operator="containsText" text="مقبول">
      <formula>NOT(ISERROR(SEARCH("مقبول",H11)))</formula>
    </cfRule>
    <cfRule type="containsText" dxfId="232" priority="322" operator="containsText" text="راسب">
      <formula>NOT(ISERROR(SEARCH("راسب",H11)))</formula>
    </cfRule>
  </conditionalFormatting>
  <conditionalFormatting sqref="F18">
    <cfRule type="containsText" dxfId="231" priority="295" operator="containsText" text="أدخل العلامة">
      <formula>NOT(ISERROR(SEARCH("أدخل العلامة",F18)))</formula>
    </cfRule>
  </conditionalFormatting>
  <conditionalFormatting sqref="H18">
    <cfRule type="containsText" dxfId="230" priority="289" operator="containsText" text="أدخل العلامة">
      <formula>NOT(ISERROR(SEARCH("أدخل العلامة",H18)))</formula>
    </cfRule>
    <cfRule type="containsText" dxfId="229" priority="290" operator="containsText" text="ممتاز">
      <formula>NOT(ISERROR(SEARCH("ممتاز",H18)))</formula>
    </cfRule>
    <cfRule type="containsText" dxfId="228" priority="291" operator="containsText" text="جيد جداً">
      <formula>NOT(ISERROR(SEARCH("جيد جداً",H18)))</formula>
    </cfRule>
    <cfRule type="containsText" dxfId="227" priority="292" operator="containsText" text="جيد">
      <formula>NOT(ISERROR(SEARCH("جيد",H18)))</formula>
    </cfRule>
    <cfRule type="containsText" dxfId="226" priority="293" operator="containsText" text="مقبول">
      <formula>NOT(ISERROR(SEARCH("مقبول",H18)))</formula>
    </cfRule>
    <cfRule type="containsText" dxfId="225" priority="294" operator="containsText" text="راسب">
      <formula>NOT(ISERROR(SEARCH("راسب",H18)))</formula>
    </cfRule>
  </conditionalFormatting>
  <conditionalFormatting sqref="F15">
    <cfRule type="containsText" dxfId="224" priority="281" operator="containsText" text="أدخل العلامة">
      <formula>NOT(ISERROR(SEARCH("أدخل العلامة",F15)))</formula>
    </cfRule>
  </conditionalFormatting>
  <conditionalFormatting sqref="H15">
    <cfRule type="containsText" dxfId="223" priority="275" operator="containsText" text="أدخل العلامة">
      <formula>NOT(ISERROR(SEARCH("أدخل العلامة",H15)))</formula>
    </cfRule>
    <cfRule type="containsText" dxfId="222" priority="276" operator="containsText" text="ممتاز">
      <formula>NOT(ISERROR(SEARCH("ممتاز",H15)))</formula>
    </cfRule>
    <cfRule type="containsText" dxfId="221" priority="277" operator="containsText" text="جيد جداً">
      <formula>NOT(ISERROR(SEARCH("جيد جداً",H15)))</formula>
    </cfRule>
    <cfRule type="containsText" dxfId="220" priority="278" operator="containsText" text="جيد">
      <formula>NOT(ISERROR(SEARCH("جيد",H15)))</formula>
    </cfRule>
    <cfRule type="containsText" dxfId="219" priority="279" operator="containsText" text="مقبول">
      <formula>NOT(ISERROR(SEARCH("مقبول",H15)))</formula>
    </cfRule>
    <cfRule type="containsText" dxfId="218" priority="280" operator="containsText" text="راسب">
      <formula>NOT(ISERROR(SEARCH("راسب",H15)))</formula>
    </cfRule>
  </conditionalFormatting>
  <conditionalFormatting sqref="F16">
    <cfRule type="containsText" dxfId="217" priority="274" operator="containsText" text="أدخل العلامة">
      <formula>NOT(ISERROR(SEARCH("أدخل العلامة",F16)))</formula>
    </cfRule>
  </conditionalFormatting>
  <conditionalFormatting sqref="H16">
    <cfRule type="containsText" dxfId="216" priority="268" operator="containsText" text="أدخل العلامة">
      <formula>NOT(ISERROR(SEARCH("أدخل العلامة",H16)))</formula>
    </cfRule>
    <cfRule type="containsText" dxfId="215" priority="269" operator="containsText" text="ممتاز">
      <formula>NOT(ISERROR(SEARCH("ممتاز",H16)))</formula>
    </cfRule>
    <cfRule type="containsText" dxfId="214" priority="270" operator="containsText" text="جيد جداً">
      <formula>NOT(ISERROR(SEARCH("جيد جداً",H16)))</formula>
    </cfRule>
    <cfRule type="containsText" dxfId="213" priority="271" operator="containsText" text="جيد">
      <formula>NOT(ISERROR(SEARCH("جيد",H16)))</formula>
    </cfRule>
    <cfRule type="containsText" dxfId="212" priority="272" operator="containsText" text="مقبول">
      <formula>NOT(ISERROR(SEARCH("مقبول",H16)))</formula>
    </cfRule>
    <cfRule type="containsText" dxfId="211" priority="273" operator="containsText" text="راسب">
      <formula>NOT(ISERROR(SEARCH("راسب",H16)))</formula>
    </cfRule>
  </conditionalFormatting>
  <conditionalFormatting sqref="F13:F14">
    <cfRule type="containsText" dxfId="210" priority="267" operator="containsText" text="أدخل العلامة">
      <formula>NOT(ISERROR(SEARCH("أدخل العلامة",F13)))</formula>
    </cfRule>
  </conditionalFormatting>
  <conditionalFormatting sqref="H13:H14">
    <cfRule type="containsText" dxfId="209" priority="261" operator="containsText" text="أدخل العلامة">
      <formula>NOT(ISERROR(SEARCH("أدخل العلامة",H13)))</formula>
    </cfRule>
    <cfRule type="containsText" dxfId="208" priority="262" operator="containsText" text="ممتاز">
      <formula>NOT(ISERROR(SEARCH("ممتاز",H13)))</formula>
    </cfRule>
    <cfRule type="containsText" dxfId="207" priority="263" operator="containsText" text="جيد جداً">
      <formula>NOT(ISERROR(SEARCH("جيد جداً",H13)))</formula>
    </cfRule>
    <cfRule type="containsText" dxfId="206" priority="264" operator="containsText" text="جيد">
      <formula>NOT(ISERROR(SEARCH("جيد",H13)))</formula>
    </cfRule>
    <cfRule type="containsText" dxfId="205" priority="265" operator="containsText" text="مقبول">
      <formula>NOT(ISERROR(SEARCH("مقبول",H13)))</formula>
    </cfRule>
    <cfRule type="containsText" dxfId="204" priority="266" operator="containsText" text="راسب">
      <formula>NOT(ISERROR(SEARCH("راسب",H13)))</formula>
    </cfRule>
  </conditionalFormatting>
  <conditionalFormatting sqref="F12">
    <cfRule type="containsText" dxfId="203" priority="260" operator="containsText" text="أدخل العلامة">
      <formula>NOT(ISERROR(SEARCH("أدخل العلامة",F12)))</formula>
    </cfRule>
  </conditionalFormatting>
  <conditionalFormatting sqref="H12">
    <cfRule type="containsText" dxfId="202" priority="254" operator="containsText" text="أدخل العلامة">
      <formula>NOT(ISERROR(SEARCH("أدخل العلامة",H12)))</formula>
    </cfRule>
    <cfRule type="containsText" dxfId="201" priority="255" operator="containsText" text="ممتاز">
      <formula>NOT(ISERROR(SEARCH("ممتاز",H12)))</formula>
    </cfRule>
    <cfRule type="containsText" dxfId="200" priority="256" operator="containsText" text="جيد جداً">
      <formula>NOT(ISERROR(SEARCH("جيد جداً",H12)))</formula>
    </cfRule>
    <cfRule type="containsText" dxfId="199" priority="257" operator="containsText" text="جيد">
      <formula>NOT(ISERROR(SEARCH("جيد",H12)))</formula>
    </cfRule>
    <cfRule type="containsText" dxfId="198" priority="258" operator="containsText" text="مقبول">
      <formula>NOT(ISERROR(SEARCH("مقبول",H12)))</formula>
    </cfRule>
    <cfRule type="containsText" dxfId="197" priority="259" operator="containsText" text="راسب">
      <formula>NOT(ISERROR(SEARCH("راسب",H12)))</formula>
    </cfRule>
  </conditionalFormatting>
  <conditionalFormatting sqref="F20">
    <cfRule type="containsText" dxfId="196" priority="246" operator="containsText" text="أدخل العلامة">
      <formula>NOT(ISERROR(SEARCH("أدخل العلامة",F20)))</formula>
    </cfRule>
  </conditionalFormatting>
  <conditionalFormatting sqref="H20">
    <cfRule type="containsText" dxfId="195" priority="240" operator="containsText" text="أدخل العلامة">
      <formula>NOT(ISERROR(SEARCH("أدخل العلامة",H20)))</formula>
    </cfRule>
    <cfRule type="containsText" dxfId="194" priority="241" operator="containsText" text="ممتاز">
      <formula>NOT(ISERROR(SEARCH("ممتاز",H20)))</formula>
    </cfRule>
    <cfRule type="containsText" dxfId="193" priority="242" operator="containsText" text="جيد جداً">
      <formula>NOT(ISERROR(SEARCH("جيد جداً",H20)))</formula>
    </cfRule>
    <cfRule type="containsText" dxfId="192" priority="243" operator="containsText" text="جيد">
      <formula>NOT(ISERROR(SEARCH("جيد",H20)))</formula>
    </cfRule>
    <cfRule type="containsText" dxfId="191" priority="244" operator="containsText" text="مقبول">
      <formula>NOT(ISERROR(SEARCH("مقبول",H20)))</formula>
    </cfRule>
    <cfRule type="containsText" dxfId="190" priority="245" operator="containsText" text="راسب">
      <formula>NOT(ISERROR(SEARCH("راسب",H20)))</formula>
    </cfRule>
  </conditionalFormatting>
  <conditionalFormatting sqref="F19">
    <cfRule type="containsText" dxfId="189" priority="232" operator="containsText" text="أدخل العلامة">
      <formula>NOT(ISERROR(SEARCH("أدخل العلامة",F19)))</formula>
    </cfRule>
  </conditionalFormatting>
  <conditionalFormatting sqref="H19">
    <cfRule type="containsText" dxfId="188" priority="226" operator="containsText" text="أدخل العلامة">
      <formula>NOT(ISERROR(SEARCH("أدخل العلامة",H19)))</formula>
    </cfRule>
    <cfRule type="containsText" dxfId="187" priority="227" operator="containsText" text="ممتاز">
      <formula>NOT(ISERROR(SEARCH("ممتاز",H19)))</formula>
    </cfRule>
    <cfRule type="containsText" dxfId="186" priority="228" operator="containsText" text="جيد جداً">
      <formula>NOT(ISERROR(SEARCH("جيد جداً",H19)))</formula>
    </cfRule>
    <cfRule type="containsText" dxfId="185" priority="229" operator="containsText" text="جيد">
      <formula>NOT(ISERROR(SEARCH("جيد",H19)))</formula>
    </cfRule>
    <cfRule type="containsText" dxfId="184" priority="230" operator="containsText" text="مقبول">
      <formula>NOT(ISERROR(SEARCH("مقبول",H19)))</formula>
    </cfRule>
    <cfRule type="containsText" dxfId="183" priority="231" operator="containsText" text="راسب">
      <formula>NOT(ISERROR(SEARCH("راسب",H19)))</formula>
    </cfRule>
  </conditionalFormatting>
  <conditionalFormatting sqref="F22 F36">
    <cfRule type="containsText" dxfId="182" priority="211" operator="containsText" text="أدخل العلامة">
      <formula>NOT(ISERROR(SEARCH("أدخل العلامة",F22)))</formula>
    </cfRule>
  </conditionalFormatting>
  <conditionalFormatting sqref="H22 H36">
    <cfRule type="containsText" dxfId="181" priority="205" operator="containsText" text="أدخل العلامة">
      <formula>NOT(ISERROR(SEARCH("أدخل العلامة",H22)))</formula>
    </cfRule>
    <cfRule type="containsText" dxfId="180" priority="206" operator="containsText" text="ممتاز">
      <formula>NOT(ISERROR(SEARCH("ممتاز",H22)))</formula>
    </cfRule>
    <cfRule type="containsText" dxfId="179" priority="207" operator="containsText" text="جيد جداً">
      <formula>NOT(ISERROR(SEARCH("جيد جداً",H22)))</formula>
    </cfRule>
    <cfRule type="containsText" dxfId="178" priority="208" operator="containsText" text="جيد">
      <formula>NOT(ISERROR(SEARCH("جيد",H22)))</formula>
    </cfRule>
    <cfRule type="containsText" dxfId="177" priority="209" operator="containsText" text="مقبول">
      <formula>NOT(ISERROR(SEARCH("مقبول",H22)))</formula>
    </cfRule>
    <cfRule type="containsText" dxfId="176" priority="210" operator="containsText" text="راسب">
      <formula>NOT(ISERROR(SEARCH("راسب",H22)))</formula>
    </cfRule>
  </conditionalFormatting>
  <conditionalFormatting sqref="F21">
    <cfRule type="containsText" dxfId="175" priority="204" operator="containsText" text="أدخل العلامة">
      <formula>NOT(ISERROR(SEARCH("أدخل العلامة",F21)))</formula>
    </cfRule>
  </conditionalFormatting>
  <conditionalFormatting sqref="H21">
    <cfRule type="containsText" dxfId="174" priority="198" operator="containsText" text="أدخل العلامة">
      <formula>NOT(ISERROR(SEARCH("أدخل العلامة",H21)))</formula>
    </cfRule>
    <cfRule type="containsText" dxfId="173" priority="199" operator="containsText" text="ممتاز">
      <formula>NOT(ISERROR(SEARCH("ممتاز",H21)))</formula>
    </cfRule>
    <cfRule type="containsText" dxfId="172" priority="200" operator="containsText" text="جيد جداً">
      <formula>NOT(ISERROR(SEARCH("جيد جداً",H21)))</formula>
    </cfRule>
    <cfRule type="containsText" dxfId="171" priority="201" operator="containsText" text="جيد">
      <formula>NOT(ISERROR(SEARCH("جيد",H21)))</formula>
    </cfRule>
    <cfRule type="containsText" dxfId="170" priority="202" operator="containsText" text="مقبول">
      <formula>NOT(ISERROR(SEARCH("مقبول",H21)))</formula>
    </cfRule>
    <cfRule type="containsText" dxfId="169" priority="203" operator="containsText" text="راسب">
      <formula>NOT(ISERROR(SEARCH("راسب",H21)))</formula>
    </cfRule>
  </conditionalFormatting>
  <conditionalFormatting sqref="F17">
    <cfRule type="containsText" dxfId="168" priority="197" operator="containsText" text="أدخل العلامة">
      <formula>NOT(ISERROR(SEARCH("أدخل العلامة",F17)))</formula>
    </cfRule>
  </conditionalFormatting>
  <conditionalFormatting sqref="H17">
    <cfRule type="containsText" dxfId="167" priority="191" operator="containsText" text="أدخل العلامة">
      <formula>NOT(ISERROR(SEARCH("أدخل العلامة",H17)))</formula>
    </cfRule>
    <cfRule type="containsText" dxfId="166" priority="192" operator="containsText" text="ممتاز">
      <formula>NOT(ISERROR(SEARCH("ممتاز",H17)))</formula>
    </cfRule>
    <cfRule type="containsText" dxfId="165" priority="193" operator="containsText" text="جيد جداً">
      <formula>NOT(ISERROR(SEARCH("جيد جداً",H17)))</formula>
    </cfRule>
    <cfRule type="containsText" dxfId="164" priority="194" operator="containsText" text="جيد">
      <formula>NOT(ISERROR(SEARCH("جيد",H17)))</formula>
    </cfRule>
    <cfRule type="containsText" dxfId="163" priority="195" operator="containsText" text="مقبول">
      <formula>NOT(ISERROR(SEARCH("مقبول",H17)))</formula>
    </cfRule>
    <cfRule type="containsText" dxfId="162" priority="196" operator="containsText" text="راسب">
      <formula>NOT(ISERROR(SEARCH("راسب",H17)))</formula>
    </cfRule>
  </conditionalFormatting>
  <conditionalFormatting sqref="F37">
    <cfRule type="containsText" dxfId="161" priority="183" operator="containsText" text="أدخل العلامة">
      <formula>NOT(ISERROR(SEARCH("أدخل العلامة",F37)))</formula>
    </cfRule>
  </conditionalFormatting>
  <conditionalFormatting sqref="H37">
    <cfRule type="containsText" dxfId="160" priority="177" operator="containsText" text="أدخل العلامة">
      <formula>NOT(ISERROR(SEARCH("أدخل العلامة",H37)))</formula>
    </cfRule>
    <cfRule type="containsText" dxfId="159" priority="178" operator="containsText" text="ممتاز">
      <formula>NOT(ISERROR(SEARCH("ممتاز",H37)))</formula>
    </cfRule>
    <cfRule type="containsText" dxfId="158" priority="179" operator="containsText" text="جيد جداً">
      <formula>NOT(ISERROR(SEARCH("جيد جداً",H37)))</formula>
    </cfRule>
    <cfRule type="containsText" dxfId="157" priority="180" operator="containsText" text="جيد">
      <formula>NOT(ISERROR(SEARCH("جيد",H37)))</formula>
    </cfRule>
    <cfRule type="containsText" dxfId="156" priority="181" operator="containsText" text="مقبول">
      <formula>NOT(ISERROR(SEARCH("مقبول",H37)))</formula>
    </cfRule>
    <cfRule type="containsText" dxfId="155" priority="182" operator="containsText" text="راسب">
      <formula>NOT(ISERROR(SEARCH("راسب",H37)))</formula>
    </cfRule>
  </conditionalFormatting>
  <conditionalFormatting sqref="F41">
    <cfRule type="containsText" dxfId="147" priority="162" operator="containsText" text="أدخل العلامة">
      <formula>NOT(ISERROR(SEARCH("أدخل العلامة",F41)))</formula>
    </cfRule>
  </conditionalFormatting>
  <conditionalFormatting sqref="H41">
    <cfRule type="containsText" dxfId="146" priority="156" operator="containsText" text="أدخل العلامة">
      <formula>NOT(ISERROR(SEARCH("أدخل العلامة",H41)))</formula>
    </cfRule>
    <cfRule type="containsText" dxfId="145" priority="157" operator="containsText" text="ممتاز">
      <formula>NOT(ISERROR(SEARCH("ممتاز",H41)))</formula>
    </cfRule>
    <cfRule type="containsText" dxfId="144" priority="158" operator="containsText" text="جيد جداً">
      <formula>NOT(ISERROR(SEARCH("جيد جداً",H41)))</formula>
    </cfRule>
    <cfRule type="containsText" dxfId="143" priority="159" operator="containsText" text="جيد">
      <formula>NOT(ISERROR(SEARCH("جيد",H41)))</formula>
    </cfRule>
    <cfRule type="containsText" dxfId="142" priority="160" operator="containsText" text="مقبول">
      <formula>NOT(ISERROR(SEARCH("مقبول",H41)))</formula>
    </cfRule>
    <cfRule type="containsText" dxfId="141" priority="161" operator="containsText" text="راسب">
      <formula>NOT(ISERROR(SEARCH("راسب",H41)))</formula>
    </cfRule>
  </conditionalFormatting>
  <conditionalFormatting sqref="F39:F40">
    <cfRule type="containsText" dxfId="133" priority="148" operator="containsText" text="أدخل العلامة">
      <formula>NOT(ISERROR(SEARCH("أدخل العلامة",F39)))</formula>
    </cfRule>
  </conditionalFormatting>
  <conditionalFormatting sqref="H39:H40">
    <cfRule type="containsText" dxfId="132" priority="142" operator="containsText" text="أدخل العلامة">
      <formula>NOT(ISERROR(SEARCH("أدخل العلامة",H39)))</formula>
    </cfRule>
    <cfRule type="containsText" dxfId="131" priority="143" operator="containsText" text="ممتاز">
      <formula>NOT(ISERROR(SEARCH("ممتاز",H39)))</formula>
    </cfRule>
    <cfRule type="containsText" dxfId="130" priority="144" operator="containsText" text="جيد جداً">
      <formula>NOT(ISERROR(SEARCH("جيد جداً",H39)))</formula>
    </cfRule>
    <cfRule type="containsText" dxfId="129" priority="145" operator="containsText" text="جيد">
      <formula>NOT(ISERROR(SEARCH("جيد",H39)))</formula>
    </cfRule>
    <cfRule type="containsText" dxfId="128" priority="146" operator="containsText" text="مقبول">
      <formula>NOT(ISERROR(SEARCH("مقبول",H39)))</formula>
    </cfRule>
    <cfRule type="containsText" dxfId="127" priority="147" operator="containsText" text="راسب">
      <formula>NOT(ISERROR(SEARCH("راسب",H39)))</formula>
    </cfRule>
  </conditionalFormatting>
  <conditionalFormatting sqref="F38">
    <cfRule type="containsText" dxfId="126" priority="141" operator="containsText" text="أدخل العلامة">
      <formula>NOT(ISERROR(SEARCH("أدخل العلامة",F38)))</formula>
    </cfRule>
  </conditionalFormatting>
  <conditionalFormatting sqref="H38">
    <cfRule type="containsText" dxfId="125" priority="135" operator="containsText" text="أدخل العلامة">
      <formula>NOT(ISERROR(SEARCH("أدخل العلامة",H38)))</formula>
    </cfRule>
    <cfRule type="containsText" dxfId="124" priority="136" operator="containsText" text="ممتاز">
      <formula>NOT(ISERROR(SEARCH("ممتاز",H38)))</formula>
    </cfRule>
    <cfRule type="containsText" dxfId="123" priority="137" operator="containsText" text="جيد جداً">
      <formula>NOT(ISERROR(SEARCH("جيد جداً",H38)))</formula>
    </cfRule>
    <cfRule type="containsText" dxfId="122" priority="138" operator="containsText" text="جيد">
      <formula>NOT(ISERROR(SEARCH("جيد",H38)))</formula>
    </cfRule>
    <cfRule type="containsText" dxfId="121" priority="139" operator="containsText" text="مقبول">
      <formula>NOT(ISERROR(SEARCH("مقبول",H38)))</formula>
    </cfRule>
    <cfRule type="containsText" dxfId="120" priority="140" operator="containsText" text="راسب">
      <formula>NOT(ISERROR(SEARCH("راسب",H38)))</formula>
    </cfRule>
  </conditionalFormatting>
  <conditionalFormatting sqref="F23">
    <cfRule type="containsText" dxfId="84" priority="92" operator="containsText" text="أدخل العلامة">
      <formula>NOT(ISERROR(SEARCH("أدخل العلامة",F23)))</formula>
    </cfRule>
  </conditionalFormatting>
  <conditionalFormatting sqref="H23">
    <cfRule type="containsText" dxfId="83" priority="86" operator="containsText" text="أدخل العلامة">
      <formula>NOT(ISERROR(SEARCH("أدخل العلامة",H23)))</formula>
    </cfRule>
    <cfRule type="containsText" dxfId="82" priority="87" operator="containsText" text="ممتاز">
      <formula>NOT(ISERROR(SEARCH("ممتاز",H23)))</formula>
    </cfRule>
    <cfRule type="containsText" dxfId="81" priority="88" operator="containsText" text="جيد جداً">
      <formula>NOT(ISERROR(SEARCH("جيد جداً",H23)))</formula>
    </cfRule>
    <cfRule type="containsText" dxfId="80" priority="89" operator="containsText" text="جيد">
      <formula>NOT(ISERROR(SEARCH("جيد",H23)))</formula>
    </cfRule>
    <cfRule type="containsText" dxfId="79" priority="90" operator="containsText" text="مقبول">
      <formula>NOT(ISERROR(SEARCH("مقبول",H23)))</formula>
    </cfRule>
    <cfRule type="containsText" dxfId="78" priority="91" operator="containsText" text="راسب">
      <formula>NOT(ISERROR(SEARCH("راسب",H23)))</formula>
    </cfRule>
  </conditionalFormatting>
  <conditionalFormatting sqref="F30">
    <cfRule type="containsText" dxfId="77" priority="85" operator="containsText" text="أدخل العلامة">
      <formula>NOT(ISERROR(SEARCH("أدخل العلامة",F30)))</formula>
    </cfRule>
  </conditionalFormatting>
  <conditionalFormatting sqref="H30">
    <cfRule type="containsText" dxfId="76" priority="79" operator="containsText" text="أدخل العلامة">
      <formula>NOT(ISERROR(SEARCH("أدخل العلامة",H30)))</formula>
    </cfRule>
    <cfRule type="containsText" dxfId="75" priority="80" operator="containsText" text="ممتاز">
      <formula>NOT(ISERROR(SEARCH("ممتاز",H30)))</formula>
    </cfRule>
    <cfRule type="containsText" dxfId="74" priority="81" operator="containsText" text="جيد جداً">
      <formula>NOT(ISERROR(SEARCH("جيد جداً",H30)))</formula>
    </cfRule>
    <cfRule type="containsText" dxfId="73" priority="82" operator="containsText" text="جيد">
      <formula>NOT(ISERROR(SEARCH("جيد",H30)))</formula>
    </cfRule>
    <cfRule type="containsText" dxfId="72" priority="83" operator="containsText" text="مقبول">
      <formula>NOT(ISERROR(SEARCH("مقبول",H30)))</formula>
    </cfRule>
    <cfRule type="containsText" dxfId="71" priority="84" operator="containsText" text="راسب">
      <formula>NOT(ISERROR(SEARCH("راسب",H30)))</formula>
    </cfRule>
  </conditionalFormatting>
  <conditionalFormatting sqref="F27">
    <cfRule type="containsText" dxfId="70" priority="71" operator="containsText" text="أدخل العلامة">
      <formula>NOT(ISERROR(SEARCH("أدخل العلامة",F27)))</formula>
    </cfRule>
  </conditionalFormatting>
  <conditionalFormatting sqref="H27">
    <cfRule type="containsText" dxfId="69" priority="65" operator="containsText" text="أدخل العلامة">
      <formula>NOT(ISERROR(SEARCH("أدخل العلامة",H27)))</formula>
    </cfRule>
    <cfRule type="containsText" dxfId="68" priority="66" operator="containsText" text="ممتاز">
      <formula>NOT(ISERROR(SEARCH("ممتاز",H27)))</formula>
    </cfRule>
    <cfRule type="containsText" dxfId="67" priority="67" operator="containsText" text="جيد جداً">
      <formula>NOT(ISERROR(SEARCH("جيد جداً",H27)))</formula>
    </cfRule>
    <cfRule type="containsText" dxfId="66" priority="68" operator="containsText" text="جيد">
      <formula>NOT(ISERROR(SEARCH("جيد",H27)))</formula>
    </cfRule>
    <cfRule type="containsText" dxfId="65" priority="69" operator="containsText" text="مقبول">
      <formula>NOT(ISERROR(SEARCH("مقبول",H27)))</formula>
    </cfRule>
    <cfRule type="containsText" dxfId="64" priority="70" operator="containsText" text="راسب">
      <formula>NOT(ISERROR(SEARCH("راسب",H27)))</formula>
    </cfRule>
  </conditionalFormatting>
  <conditionalFormatting sqref="F28">
    <cfRule type="containsText" dxfId="63" priority="64" operator="containsText" text="أدخل العلامة">
      <formula>NOT(ISERROR(SEARCH("أدخل العلامة",F28)))</formula>
    </cfRule>
  </conditionalFormatting>
  <conditionalFormatting sqref="H28">
    <cfRule type="containsText" dxfId="62" priority="58" operator="containsText" text="أدخل العلامة">
      <formula>NOT(ISERROR(SEARCH("أدخل العلامة",H28)))</formula>
    </cfRule>
    <cfRule type="containsText" dxfId="61" priority="59" operator="containsText" text="ممتاز">
      <formula>NOT(ISERROR(SEARCH("ممتاز",H28)))</formula>
    </cfRule>
    <cfRule type="containsText" dxfId="60" priority="60" operator="containsText" text="جيد جداً">
      <formula>NOT(ISERROR(SEARCH("جيد جداً",H28)))</formula>
    </cfRule>
    <cfRule type="containsText" dxfId="59" priority="61" operator="containsText" text="جيد">
      <formula>NOT(ISERROR(SEARCH("جيد",H28)))</formula>
    </cfRule>
    <cfRule type="containsText" dxfId="58" priority="62" operator="containsText" text="مقبول">
      <formula>NOT(ISERROR(SEARCH("مقبول",H28)))</formula>
    </cfRule>
    <cfRule type="containsText" dxfId="57" priority="63" operator="containsText" text="راسب">
      <formula>NOT(ISERROR(SEARCH("راسب",H28)))</formula>
    </cfRule>
  </conditionalFormatting>
  <conditionalFormatting sqref="F25:F26">
    <cfRule type="containsText" dxfId="56" priority="57" operator="containsText" text="أدخل العلامة">
      <formula>NOT(ISERROR(SEARCH("أدخل العلامة",F25)))</formula>
    </cfRule>
  </conditionalFormatting>
  <conditionalFormatting sqref="H25:H26">
    <cfRule type="containsText" dxfId="55" priority="51" operator="containsText" text="أدخل العلامة">
      <formula>NOT(ISERROR(SEARCH("أدخل العلامة",H25)))</formula>
    </cfRule>
    <cfRule type="containsText" dxfId="54" priority="52" operator="containsText" text="ممتاز">
      <formula>NOT(ISERROR(SEARCH("ممتاز",H25)))</formula>
    </cfRule>
    <cfRule type="containsText" dxfId="53" priority="53" operator="containsText" text="جيد جداً">
      <formula>NOT(ISERROR(SEARCH("جيد جداً",H25)))</formula>
    </cfRule>
    <cfRule type="containsText" dxfId="52" priority="54" operator="containsText" text="جيد">
      <formula>NOT(ISERROR(SEARCH("جيد",H25)))</formula>
    </cfRule>
    <cfRule type="containsText" dxfId="51" priority="55" operator="containsText" text="مقبول">
      <formula>NOT(ISERROR(SEARCH("مقبول",H25)))</formula>
    </cfRule>
    <cfRule type="containsText" dxfId="50" priority="56" operator="containsText" text="راسب">
      <formula>NOT(ISERROR(SEARCH("راسب",H25)))</formula>
    </cfRule>
  </conditionalFormatting>
  <conditionalFormatting sqref="F24">
    <cfRule type="containsText" dxfId="49" priority="50" operator="containsText" text="أدخل العلامة">
      <formula>NOT(ISERROR(SEARCH("أدخل العلامة",F24)))</formula>
    </cfRule>
  </conditionalFormatting>
  <conditionalFormatting sqref="H24">
    <cfRule type="containsText" dxfId="48" priority="44" operator="containsText" text="أدخل العلامة">
      <formula>NOT(ISERROR(SEARCH("أدخل العلامة",H24)))</formula>
    </cfRule>
    <cfRule type="containsText" dxfId="47" priority="45" operator="containsText" text="ممتاز">
      <formula>NOT(ISERROR(SEARCH("ممتاز",H24)))</formula>
    </cfRule>
    <cfRule type="containsText" dxfId="46" priority="46" operator="containsText" text="جيد جداً">
      <formula>NOT(ISERROR(SEARCH("جيد جداً",H24)))</formula>
    </cfRule>
    <cfRule type="containsText" dxfId="45" priority="47" operator="containsText" text="جيد">
      <formula>NOT(ISERROR(SEARCH("جيد",H24)))</formula>
    </cfRule>
    <cfRule type="containsText" dxfId="44" priority="48" operator="containsText" text="مقبول">
      <formula>NOT(ISERROR(SEARCH("مقبول",H24)))</formula>
    </cfRule>
    <cfRule type="containsText" dxfId="43" priority="49" operator="containsText" text="راسب">
      <formula>NOT(ISERROR(SEARCH("راسب",H24)))</formula>
    </cfRule>
  </conditionalFormatting>
  <conditionalFormatting sqref="F32">
    <cfRule type="containsText" dxfId="42" priority="43" operator="containsText" text="أدخل العلامة">
      <formula>NOT(ISERROR(SEARCH("أدخل العلامة",F32)))</formula>
    </cfRule>
  </conditionalFormatting>
  <conditionalFormatting sqref="H32">
    <cfRule type="containsText" dxfId="41" priority="37" operator="containsText" text="أدخل العلامة">
      <formula>NOT(ISERROR(SEARCH("أدخل العلامة",H32)))</formula>
    </cfRule>
    <cfRule type="containsText" dxfId="40" priority="38" operator="containsText" text="ممتاز">
      <formula>NOT(ISERROR(SEARCH("ممتاز",H32)))</formula>
    </cfRule>
    <cfRule type="containsText" dxfId="39" priority="39" operator="containsText" text="جيد جداً">
      <formula>NOT(ISERROR(SEARCH("جيد جداً",H32)))</formula>
    </cfRule>
    <cfRule type="containsText" dxfId="38" priority="40" operator="containsText" text="جيد">
      <formula>NOT(ISERROR(SEARCH("جيد",H32)))</formula>
    </cfRule>
    <cfRule type="containsText" dxfId="37" priority="41" operator="containsText" text="مقبول">
      <formula>NOT(ISERROR(SEARCH("مقبول",H32)))</formula>
    </cfRule>
    <cfRule type="containsText" dxfId="36" priority="42" operator="containsText" text="راسب">
      <formula>NOT(ISERROR(SEARCH("راسب",H32)))</formula>
    </cfRule>
  </conditionalFormatting>
  <conditionalFormatting sqref="F31">
    <cfRule type="containsText" dxfId="35" priority="36" operator="containsText" text="أدخل العلامة">
      <formula>NOT(ISERROR(SEARCH("أدخل العلامة",F31)))</formula>
    </cfRule>
  </conditionalFormatting>
  <conditionalFormatting sqref="H31">
    <cfRule type="containsText" dxfId="34" priority="30" operator="containsText" text="أدخل العلامة">
      <formula>NOT(ISERROR(SEARCH("أدخل العلامة",H31)))</formula>
    </cfRule>
    <cfRule type="containsText" dxfId="33" priority="31" operator="containsText" text="ممتاز">
      <formula>NOT(ISERROR(SEARCH("ممتاز",H31)))</formula>
    </cfRule>
    <cfRule type="containsText" dxfId="32" priority="32" operator="containsText" text="جيد جداً">
      <formula>NOT(ISERROR(SEARCH("جيد جداً",H31)))</formula>
    </cfRule>
    <cfRule type="containsText" dxfId="31" priority="33" operator="containsText" text="جيد">
      <formula>NOT(ISERROR(SEARCH("جيد",H31)))</formula>
    </cfRule>
    <cfRule type="containsText" dxfId="30" priority="34" operator="containsText" text="مقبول">
      <formula>NOT(ISERROR(SEARCH("مقبول",H31)))</formula>
    </cfRule>
    <cfRule type="containsText" dxfId="29" priority="35" operator="containsText" text="راسب">
      <formula>NOT(ISERROR(SEARCH("راسب",H31)))</formula>
    </cfRule>
  </conditionalFormatting>
  <conditionalFormatting sqref="F34:F35">
    <cfRule type="containsText" dxfId="28" priority="29" operator="containsText" text="أدخل العلامة">
      <formula>NOT(ISERROR(SEARCH("أدخل العلامة",F34)))</formula>
    </cfRule>
  </conditionalFormatting>
  <conditionalFormatting sqref="H34:H35">
    <cfRule type="containsText" dxfId="27" priority="23" operator="containsText" text="أدخل العلامة">
      <formula>NOT(ISERROR(SEARCH("أدخل العلامة",H34)))</formula>
    </cfRule>
    <cfRule type="containsText" dxfId="26" priority="24" operator="containsText" text="ممتاز">
      <formula>NOT(ISERROR(SEARCH("ممتاز",H34)))</formula>
    </cfRule>
    <cfRule type="containsText" dxfId="25" priority="25" operator="containsText" text="جيد جداً">
      <formula>NOT(ISERROR(SEARCH("جيد جداً",H34)))</formula>
    </cfRule>
    <cfRule type="containsText" dxfId="24" priority="26" operator="containsText" text="جيد">
      <formula>NOT(ISERROR(SEARCH("جيد",H34)))</formula>
    </cfRule>
    <cfRule type="containsText" dxfId="23" priority="27" operator="containsText" text="مقبول">
      <formula>NOT(ISERROR(SEARCH("مقبول",H34)))</formula>
    </cfRule>
    <cfRule type="containsText" dxfId="22" priority="28" operator="containsText" text="راسب">
      <formula>NOT(ISERROR(SEARCH("راسب",H34)))</formula>
    </cfRule>
  </conditionalFormatting>
  <conditionalFormatting sqref="F33">
    <cfRule type="containsText" dxfId="21" priority="22" operator="containsText" text="أدخل العلامة">
      <formula>NOT(ISERROR(SEARCH("أدخل العلامة",F33)))</formula>
    </cfRule>
  </conditionalFormatting>
  <conditionalFormatting sqref="H33">
    <cfRule type="containsText" dxfId="20" priority="16" operator="containsText" text="أدخل العلامة">
      <formula>NOT(ISERROR(SEARCH("أدخل العلامة",H33)))</formula>
    </cfRule>
    <cfRule type="containsText" dxfId="19" priority="17" operator="containsText" text="ممتاز">
      <formula>NOT(ISERROR(SEARCH("ممتاز",H33)))</formula>
    </cfRule>
    <cfRule type="containsText" dxfId="18" priority="18" operator="containsText" text="جيد جداً">
      <formula>NOT(ISERROR(SEARCH("جيد جداً",H33)))</formula>
    </cfRule>
    <cfRule type="containsText" dxfId="17" priority="19" operator="containsText" text="جيد">
      <formula>NOT(ISERROR(SEARCH("جيد",H33)))</formula>
    </cfRule>
    <cfRule type="containsText" dxfId="16" priority="20" operator="containsText" text="مقبول">
      <formula>NOT(ISERROR(SEARCH("مقبول",H33)))</formula>
    </cfRule>
    <cfRule type="containsText" dxfId="15" priority="21" operator="containsText" text="راسب">
      <formula>NOT(ISERROR(SEARCH("راسب",H33)))</formula>
    </cfRule>
  </conditionalFormatting>
  <conditionalFormatting sqref="F29">
    <cfRule type="containsText" dxfId="14" priority="15" operator="containsText" text="أدخل العلامة">
      <formula>NOT(ISERROR(SEARCH("أدخل العلامة",F29)))</formula>
    </cfRule>
  </conditionalFormatting>
  <conditionalFormatting sqref="H29">
    <cfRule type="containsText" dxfId="13" priority="9" operator="containsText" text="أدخل العلامة">
      <formula>NOT(ISERROR(SEARCH("أدخل العلامة",H29)))</formula>
    </cfRule>
    <cfRule type="containsText" dxfId="12" priority="10" operator="containsText" text="ممتاز">
      <formula>NOT(ISERROR(SEARCH("ممتاز",H29)))</formula>
    </cfRule>
    <cfRule type="containsText" dxfId="11" priority="11" operator="containsText" text="جيد جداً">
      <formula>NOT(ISERROR(SEARCH("جيد جداً",H29)))</formula>
    </cfRule>
    <cfRule type="containsText" dxfId="10" priority="12" operator="containsText" text="جيد">
      <formula>NOT(ISERROR(SEARCH("جيد",H29)))</formula>
    </cfRule>
    <cfRule type="containsText" dxfId="9" priority="13" operator="containsText" text="مقبول">
      <formula>NOT(ISERROR(SEARCH("مقبول",H29)))</formula>
    </cfRule>
    <cfRule type="containsText" dxfId="8" priority="14" operator="containsText" text="راسب">
      <formula>NOT(ISERROR(SEARCH("راسب",H29)))</formula>
    </cfRule>
  </conditionalFormatting>
  <conditionalFormatting sqref="G6">
    <cfRule type="containsText" dxfId="7" priority="5" operator="containsText" text="أدخل الرقم ">
      <formula>NOT(ISERROR(SEARCH("أدخل الرقم ",G6)))</formula>
    </cfRule>
    <cfRule type="containsText" dxfId="6" priority="8" operator="containsText" text="أدخل أسم المحكم">
      <formula>NOT(ISERROR(SEARCH("أدخل أسم المحكم",G6)))</formula>
    </cfRule>
  </conditionalFormatting>
  <conditionalFormatting sqref="G6">
    <cfRule type="containsText" dxfId="5" priority="7" operator="containsText" text="أدخل رقم المعضلة">
      <formula>NOT(ISERROR(SEARCH("أدخل رقم المعضلة",G6)))</formula>
    </cfRule>
  </conditionalFormatting>
  <conditionalFormatting sqref="J6">
    <cfRule type="containsText" dxfId="4" priority="4" operator="containsText" text="أدخل نوع التمرين">
      <formula>NOT(ISERROR(SEARCH("أدخل نوع التمرين",J6)))</formula>
    </cfRule>
    <cfRule type="containsText" dxfId="3" priority="6" operator="containsText" text="أدخل التاريخ">
      <formula>NOT(ISERROR(SEARCH("أدخل التاريخ",J6)))</formula>
    </cfRule>
  </conditionalFormatting>
  <conditionalFormatting sqref="F4:G4">
    <cfRule type="containsText" dxfId="2" priority="3" operator="containsText" text="اليوم">
      <formula>NOT(ISERROR(SEARCH("اليوم",F4)))</formula>
    </cfRule>
  </conditionalFormatting>
  <conditionalFormatting sqref="H4:I4">
    <cfRule type="containsText" dxfId="1" priority="2" operator="containsText" text="الشهر">
      <formula>NOT(ISERROR(SEARCH("الشهر",H4)))</formula>
    </cfRule>
  </conditionalFormatting>
  <conditionalFormatting sqref="J4">
    <cfRule type="containsText" dxfId="0" priority="1" operator="containsText" text="السنة">
      <formula>NOT(ISERROR(SEARCH("السنة",J4)))</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1" manualBreakCount="1">
    <brk id="24" max="16383" man="1"/>
  </rowBreaks>
  <extLst>
    <ext xmlns:x14="http://schemas.microsoft.com/office/spreadsheetml/2009/9/main" uri="{CCE6A557-97BC-4b89-ADB6-D9C93CAAB3DF}">
      <x14:dataValidations xmlns:xm="http://schemas.microsoft.com/office/excel/2006/main" count="9">
        <x14:dataValidation type="list" allowBlank="1" showInputMessage="1" showErrorMessage="1" xr:uid="{55D9C459-379A-4EA3-86D6-AC6DD3AFB3C4}">
          <x14:formula1>
            <xm:f>'بيانات التقييم'!$A$1:$A$34</xm:f>
          </x14:formula1>
          <xm:sqref>C4:D4</xm:sqref>
        </x14:dataValidation>
        <x14:dataValidation type="list" allowBlank="1" showInputMessage="1" showErrorMessage="1" xr:uid="{1939A6AE-2C19-4014-8C58-E46FD55CABCD}">
          <x14:formula1>
            <xm:f>'بيانات التقييم'!$A$74:$A$88</xm:f>
          </x14:formula1>
          <xm:sqref>F27:F29 F15:F17 F41 F31</xm:sqref>
        </x14:dataValidation>
        <x14:dataValidation type="list" allowBlank="1" showInputMessage="1" showErrorMessage="1" xr:uid="{58CE3459-45CE-4663-998C-88FB1B38926D}">
          <x14:formula1>
            <xm:f>'بيانات التقييم'!$C$26:$C$46</xm:f>
          </x14:formula1>
          <xm:sqref>D6</xm:sqref>
        </x14:dataValidation>
        <x14:dataValidation type="list" allowBlank="1" showInputMessage="1" showErrorMessage="1" xr:uid="{EE63C107-4C00-44FE-B2A2-85A590F081DA}">
          <x14:formula1>
            <xm:f>'بيانات التقييم'!$C$50:$C$150</xm:f>
          </x14:formula1>
          <xm:sqref>G6</xm:sqref>
        </x14:dataValidation>
        <x14:dataValidation type="list" allowBlank="1" showInputMessage="1" showErrorMessage="1" xr:uid="{6D59B68F-C749-4B9B-ADEE-3388669C4FFD}">
          <x14:formula1>
            <xm:f>'C:\Users\W10User\Desktop\تمارين 2026\1. تمرين لعبات الحرب والجاهزية 2026\تمرين لعبات الحرب 2026\7. بنك المعاضل\[عبوة ناسفة - استطلاع.xlsx]بيانات التقييم'!#REF!</xm:f>
          </x14:formula1>
          <xm:sqref>F26 F18 F20:F24 F12:F14 F32:F36 F38:F40</xm:sqref>
        </x14:dataValidation>
        <x14:dataValidation type="list" allowBlank="1" showInputMessage="1" showErrorMessage="1" xr:uid="{8B6F6508-5B6C-4422-9824-77B28B79004E}">
          <x14:formula1>
            <xm:f>'بيانات التقييم'!$F$1:$F$3</xm:f>
          </x14:formula1>
          <xm:sqref>J6</xm:sqref>
        </x14:dataValidation>
        <x14:dataValidation type="list" allowBlank="1" showInputMessage="1" showErrorMessage="1" xr:uid="{C7AEDE7D-3DAA-4132-8045-7A6B98B31BF9}">
          <x14:formula1>
            <xm:f>'بيانات التقييم'!$G$40:$G$71</xm:f>
          </x14:formula1>
          <xm:sqref>F4:G4</xm:sqref>
        </x14:dataValidation>
        <x14:dataValidation type="list" allowBlank="1" showInputMessage="1" showErrorMessage="1" xr:uid="{745334DF-5E70-4050-9EB1-1B5E0968A14D}">
          <x14:formula1>
            <xm:f>'بيانات التقييم'!$H$40:$H$52</xm:f>
          </x14:formula1>
          <xm:sqref>H4:I4</xm:sqref>
        </x14:dataValidation>
        <x14:dataValidation type="list" allowBlank="1" showInputMessage="1" showErrorMessage="1" xr:uid="{29881FA9-06AF-4BA3-9377-B81A80982A47}">
          <x14:formula1>
            <xm:f>'بيانات التقييم'!$I$40:$I$55</xm:f>
          </x14:formula1>
          <xm:sqref>J4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00"/>
  <sheetViews>
    <sheetView rightToLeft="1" workbookViewId="0">
      <selection activeCell="C31" sqref="C31"/>
    </sheetView>
  </sheetViews>
  <sheetFormatPr defaultRowHeight="20.100000000000001" customHeight="1" x14ac:dyDescent="0.2"/>
  <cols>
    <col min="1" max="1" width="42.5" style="1" customWidth="1"/>
    <col min="2" max="2" width="24.875" style="1" customWidth="1"/>
    <col min="3" max="3" width="59.875" style="1" customWidth="1"/>
    <col min="4" max="9" width="9" style="1"/>
  </cols>
  <sheetData>
    <row r="1" spans="1:6" ht="20.100000000000001" customHeight="1" thickBot="1" x14ac:dyDescent="0.25">
      <c r="A1" s="2" t="s">
        <v>39</v>
      </c>
      <c r="C1" s="2" t="s">
        <v>42</v>
      </c>
      <c r="F1" s="1" t="s">
        <v>61</v>
      </c>
    </row>
    <row r="2" spans="1:6" ht="20.100000000000001" customHeight="1" thickBot="1" x14ac:dyDescent="0.25">
      <c r="A2" s="2" t="s">
        <v>62</v>
      </c>
      <c r="C2" s="18"/>
      <c r="F2" s="1" t="s">
        <v>58</v>
      </c>
    </row>
    <row r="3" spans="1:6" ht="20.100000000000001" customHeight="1" thickBot="1" x14ac:dyDescent="0.25">
      <c r="A3" s="2" t="s">
        <v>26</v>
      </c>
      <c r="C3" s="18"/>
      <c r="F3" s="1" t="s">
        <v>57</v>
      </c>
    </row>
    <row r="4" spans="1:6" ht="20.100000000000001" customHeight="1" thickBot="1" x14ac:dyDescent="0.25">
      <c r="A4" s="2" t="s">
        <v>63</v>
      </c>
      <c r="C4" s="18"/>
    </row>
    <row r="5" spans="1:6" ht="20.100000000000001" customHeight="1" thickBot="1" x14ac:dyDescent="0.25">
      <c r="A5" s="2" t="s">
        <v>64</v>
      </c>
      <c r="C5" s="18"/>
    </row>
    <row r="6" spans="1:6" ht="20.100000000000001" customHeight="1" thickBot="1" x14ac:dyDescent="0.25">
      <c r="A6" s="2" t="s">
        <v>65</v>
      </c>
      <c r="C6" s="18"/>
    </row>
    <row r="7" spans="1:6" ht="20.100000000000001" customHeight="1" thickBot="1" x14ac:dyDescent="0.25">
      <c r="A7" s="2" t="s">
        <v>66</v>
      </c>
      <c r="C7" s="18"/>
    </row>
    <row r="8" spans="1:6" ht="20.100000000000001" customHeight="1" thickBot="1" x14ac:dyDescent="0.25">
      <c r="A8" s="2" t="s">
        <v>67</v>
      </c>
      <c r="C8" s="18"/>
    </row>
    <row r="9" spans="1:6" ht="20.100000000000001" customHeight="1" thickBot="1" x14ac:dyDescent="0.25">
      <c r="A9" s="2" t="s">
        <v>68</v>
      </c>
      <c r="C9" s="18"/>
    </row>
    <row r="10" spans="1:6" ht="20.100000000000001" customHeight="1" thickBot="1" x14ac:dyDescent="0.25">
      <c r="A10" s="2" t="s">
        <v>69</v>
      </c>
      <c r="C10" s="18"/>
    </row>
    <row r="11" spans="1:6" ht="20.100000000000001" customHeight="1" thickBot="1" x14ac:dyDescent="0.25">
      <c r="A11" s="2" t="s">
        <v>70</v>
      </c>
      <c r="C11" s="18"/>
    </row>
    <row r="12" spans="1:6" ht="20.100000000000001" customHeight="1" thickBot="1" x14ac:dyDescent="0.25">
      <c r="A12" s="2" t="s">
        <v>71</v>
      </c>
      <c r="C12" s="18"/>
    </row>
    <row r="13" spans="1:6" ht="20.100000000000001" customHeight="1" thickBot="1" x14ac:dyDescent="0.25">
      <c r="A13" s="2" t="s">
        <v>72</v>
      </c>
      <c r="C13" s="18"/>
    </row>
    <row r="14" spans="1:6" ht="20.100000000000001" customHeight="1" thickBot="1" x14ac:dyDescent="0.25">
      <c r="A14" s="2" t="s">
        <v>73</v>
      </c>
      <c r="C14" s="18"/>
    </row>
    <row r="15" spans="1:6" ht="20.100000000000001" customHeight="1" thickBot="1" x14ac:dyDescent="0.25">
      <c r="A15" s="2" t="s">
        <v>74</v>
      </c>
      <c r="C15" s="18"/>
    </row>
    <row r="16" spans="1:6" ht="20.100000000000001" customHeight="1" thickBot="1" x14ac:dyDescent="0.25">
      <c r="A16" s="2" t="s">
        <v>10</v>
      </c>
      <c r="C16" s="18"/>
    </row>
    <row r="17" spans="1:3" ht="20.100000000000001" customHeight="1" thickBot="1" x14ac:dyDescent="0.25">
      <c r="A17" s="2" t="s">
        <v>27</v>
      </c>
      <c r="C17" s="18"/>
    </row>
    <row r="18" spans="1:3" ht="20.100000000000001" customHeight="1" thickBot="1" x14ac:dyDescent="0.25">
      <c r="A18" s="2" t="s">
        <v>75</v>
      </c>
      <c r="C18" s="18"/>
    </row>
    <row r="19" spans="1:3" ht="20.100000000000001" customHeight="1" thickBot="1" x14ac:dyDescent="0.25">
      <c r="A19" s="2" t="s">
        <v>76</v>
      </c>
      <c r="C19" s="18"/>
    </row>
    <row r="20" spans="1:3" ht="20.100000000000001" customHeight="1" thickBot="1" x14ac:dyDescent="0.25">
      <c r="A20" s="2" t="s">
        <v>77</v>
      </c>
      <c r="C20" s="18"/>
    </row>
    <row r="21" spans="1:3" ht="20.100000000000001" customHeight="1" thickBot="1" x14ac:dyDescent="0.25">
      <c r="A21" s="2" t="s">
        <v>78</v>
      </c>
      <c r="C21" s="18"/>
    </row>
    <row r="22" spans="1:3" ht="20.100000000000001" customHeight="1" thickBot="1" x14ac:dyDescent="0.25">
      <c r="A22" s="2" t="s">
        <v>11</v>
      </c>
      <c r="C22" s="18"/>
    </row>
    <row r="23" spans="1:3" ht="20.100000000000001" customHeight="1" thickBot="1" x14ac:dyDescent="0.25">
      <c r="A23" s="2" t="s">
        <v>12</v>
      </c>
      <c r="C23" s="18"/>
    </row>
    <row r="24" spans="1:3" ht="20.100000000000001" customHeight="1" thickBot="1" x14ac:dyDescent="0.25">
      <c r="A24" s="2" t="s">
        <v>15</v>
      </c>
      <c r="C24" s="18"/>
    </row>
    <row r="25" spans="1:3" ht="20.100000000000001" customHeight="1" thickBot="1" x14ac:dyDescent="0.25">
      <c r="A25" s="2" t="s">
        <v>28</v>
      </c>
      <c r="C25" s="18"/>
    </row>
    <row r="26" spans="1:3" ht="20.100000000000001" customHeight="1" thickBot="1" x14ac:dyDescent="0.25">
      <c r="A26" s="2" t="s">
        <v>29</v>
      </c>
      <c r="C26" s="34" t="s">
        <v>49</v>
      </c>
    </row>
    <row r="27" spans="1:3" ht="20.100000000000001" customHeight="1" thickBot="1" x14ac:dyDescent="0.25">
      <c r="A27" s="2" t="s">
        <v>13</v>
      </c>
      <c r="C27" s="12" t="s">
        <v>50</v>
      </c>
    </row>
    <row r="28" spans="1:3" ht="20.100000000000001" customHeight="1" thickBot="1" x14ac:dyDescent="0.25">
      <c r="A28" s="2" t="s">
        <v>30</v>
      </c>
      <c r="C28" s="12" t="s">
        <v>51</v>
      </c>
    </row>
    <row r="29" spans="1:3" ht="20.100000000000001" customHeight="1" thickBot="1" x14ac:dyDescent="0.25">
      <c r="A29" s="2" t="s">
        <v>31</v>
      </c>
      <c r="C29" s="12" t="s">
        <v>52</v>
      </c>
    </row>
    <row r="30" spans="1:3" ht="20.100000000000001" customHeight="1" thickBot="1" x14ac:dyDescent="0.25">
      <c r="A30" s="2" t="s">
        <v>32</v>
      </c>
      <c r="C30" s="12" t="s">
        <v>53</v>
      </c>
    </row>
    <row r="31" spans="1:3" ht="20.100000000000001" customHeight="1" thickBot="1" x14ac:dyDescent="0.25">
      <c r="A31" s="2" t="s">
        <v>33</v>
      </c>
      <c r="C31" s="12" t="s">
        <v>54</v>
      </c>
    </row>
    <row r="32" spans="1:3" ht="20.100000000000001" customHeight="1" thickBot="1" x14ac:dyDescent="0.25">
      <c r="A32" s="2" t="s">
        <v>16</v>
      </c>
      <c r="C32" s="12" t="s">
        <v>55</v>
      </c>
    </row>
    <row r="33" spans="1:9" ht="20.100000000000001" customHeight="1" thickBot="1" x14ac:dyDescent="0.25">
      <c r="A33" s="2" t="s">
        <v>14</v>
      </c>
      <c r="C33" s="12" t="s">
        <v>82</v>
      </c>
    </row>
    <row r="34" spans="1:9" ht="20.100000000000001" customHeight="1" thickBot="1" x14ac:dyDescent="0.25">
      <c r="A34" s="2" t="s">
        <v>34</v>
      </c>
      <c r="C34" s="12" t="s">
        <v>83</v>
      </c>
    </row>
    <row r="35" spans="1:9" ht="20.100000000000001" customHeight="1" thickBot="1" x14ac:dyDescent="0.25">
      <c r="A35" s="17"/>
      <c r="C35" s="12" t="s">
        <v>84</v>
      </c>
    </row>
    <row r="36" spans="1:9" s="44" customFormat="1" ht="20.100000000000001" customHeight="1" thickBot="1" x14ac:dyDescent="0.25">
      <c r="A36" s="42"/>
      <c r="B36" s="43"/>
      <c r="C36" s="12" t="s">
        <v>85</v>
      </c>
      <c r="D36" s="43"/>
      <c r="E36" s="43"/>
      <c r="F36" s="43"/>
      <c r="G36" s="43"/>
      <c r="H36" s="43"/>
      <c r="I36" s="43"/>
    </row>
    <row r="37" spans="1:9" ht="20.100000000000001" customHeight="1" thickBot="1" x14ac:dyDescent="0.25">
      <c r="C37" s="12" t="s">
        <v>86</v>
      </c>
    </row>
    <row r="38" spans="1:9" ht="20.100000000000001" customHeight="1" thickBot="1" x14ac:dyDescent="0.25">
      <c r="A38" s="2"/>
      <c r="C38" s="12" t="s">
        <v>87</v>
      </c>
    </row>
    <row r="39" spans="1:9" ht="20.100000000000001" customHeight="1" thickBot="1" x14ac:dyDescent="0.25">
      <c r="A39" s="12"/>
      <c r="C39" s="12" t="s">
        <v>88</v>
      </c>
    </row>
    <row r="40" spans="1:9" ht="20.100000000000001" customHeight="1" thickBot="1" x14ac:dyDescent="0.3">
      <c r="A40" s="12"/>
      <c r="C40" s="12" t="s">
        <v>89</v>
      </c>
      <c r="G40" s="40" t="s">
        <v>79</v>
      </c>
      <c r="H40" s="40" t="s">
        <v>80</v>
      </c>
      <c r="I40" s="40" t="s">
        <v>81</v>
      </c>
    </row>
    <row r="41" spans="1:9" ht="20.100000000000001" customHeight="1" thickBot="1" x14ac:dyDescent="0.25">
      <c r="A41" s="12"/>
      <c r="C41" s="12" t="s">
        <v>90</v>
      </c>
      <c r="G41" s="3">
        <v>1</v>
      </c>
      <c r="H41" s="3">
        <v>1</v>
      </c>
      <c r="I41" s="3">
        <v>2026</v>
      </c>
    </row>
    <row r="42" spans="1:9" ht="20.100000000000001" customHeight="1" thickBot="1" x14ac:dyDescent="0.25">
      <c r="A42" s="12"/>
      <c r="C42" s="12" t="s">
        <v>91</v>
      </c>
      <c r="G42" s="3">
        <v>2</v>
      </c>
      <c r="H42" s="3">
        <v>2</v>
      </c>
      <c r="I42" s="3">
        <v>2027</v>
      </c>
    </row>
    <row r="43" spans="1:9" ht="20.100000000000001" customHeight="1" thickBot="1" x14ac:dyDescent="0.25">
      <c r="A43" s="12"/>
      <c r="C43" s="12" t="s">
        <v>92</v>
      </c>
      <c r="G43" s="3">
        <v>3</v>
      </c>
      <c r="H43" s="3">
        <v>3</v>
      </c>
      <c r="I43" s="3">
        <v>2028</v>
      </c>
    </row>
    <row r="44" spans="1:9" ht="20.100000000000001" customHeight="1" thickBot="1" x14ac:dyDescent="0.25">
      <c r="A44" s="12"/>
      <c r="C44" s="12" t="s">
        <v>93</v>
      </c>
      <c r="G44" s="3">
        <v>4</v>
      </c>
      <c r="H44" s="3">
        <v>4</v>
      </c>
      <c r="I44" s="3">
        <v>2029</v>
      </c>
    </row>
    <row r="45" spans="1:9" ht="20.100000000000001" customHeight="1" thickBot="1" x14ac:dyDescent="0.25">
      <c r="A45" s="12"/>
      <c r="C45" s="12" t="s">
        <v>94</v>
      </c>
      <c r="G45" s="3">
        <v>5</v>
      </c>
      <c r="H45" s="3">
        <v>5</v>
      </c>
      <c r="I45" s="3">
        <v>2030</v>
      </c>
    </row>
    <row r="46" spans="1:9" ht="20.100000000000001" customHeight="1" thickBot="1" x14ac:dyDescent="0.25">
      <c r="A46" s="12"/>
      <c r="C46" s="12" t="s">
        <v>95</v>
      </c>
      <c r="G46" s="3">
        <v>6</v>
      </c>
      <c r="H46" s="3">
        <v>6</v>
      </c>
      <c r="I46" s="3">
        <v>2031</v>
      </c>
    </row>
    <row r="47" spans="1:9" ht="20.100000000000001" customHeight="1" thickBot="1" x14ac:dyDescent="0.25">
      <c r="A47" s="12"/>
      <c r="C47" s="12"/>
      <c r="G47" s="3">
        <v>7</v>
      </c>
      <c r="H47" s="3">
        <v>7</v>
      </c>
      <c r="I47" s="3">
        <v>2032</v>
      </c>
    </row>
    <row r="48" spans="1:9" ht="20.100000000000001" customHeight="1" thickBot="1" x14ac:dyDescent="0.25">
      <c r="A48" s="12"/>
      <c r="G48" s="3">
        <v>8</v>
      </c>
      <c r="H48" s="3">
        <v>8</v>
      </c>
      <c r="I48" s="3">
        <v>2033</v>
      </c>
    </row>
    <row r="49" spans="1:9" ht="20.100000000000001" customHeight="1" thickBot="1" x14ac:dyDescent="0.25">
      <c r="A49" s="12"/>
      <c r="G49" s="3">
        <v>9</v>
      </c>
      <c r="H49" s="3">
        <v>9</v>
      </c>
      <c r="I49" s="3">
        <v>2034</v>
      </c>
    </row>
    <row r="50" spans="1:9" ht="20.100000000000001" customHeight="1" thickBot="1" x14ac:dyDescent="0.3">
      <c r="A50" s="12"/>
      <c r="C50" s="35" t="s">
        <v>60</v>
      </c>
      <c r="G50" s="3">
        <v>10</v>
      </c>
      <c r="H50" s="3">
        <v>10</v>
      </c>
      <c r="I50" s="3">
        <v>2035</v>
      </c>
    </row>
    <row r="51" spans="1:9" ht="20.100000000000001" customHeight="1" thickBot="1" x14ac:dyDescent="0.3">
      <c r="A51" s="12"/>
      <c r="C51" s="35">
        <v>1</v>
      </c>
      <c r="G51" s="3">
        <v>11</v>
      </c>
      <c r="H51" s="3">
        <v>11</v>
      </c>
      <c r="I51" s="3">
        <v>2036</v>
      </c>
    </row>
    <row r="52" spans="1:9" ht="20.100000000000001" customHeight="1" thickBot="1" x14ac:dyDescent="0.3">
      <c r="A52" s="12"/>
      <c r="C52" s="35">
        <v>2</v>
      </c>
      <c r="G52" s="3">
        <v>12</v>
      </c>
      <c r="H52" s="3">
        <v>12</v>
      </c>
      <c r="I52" s="3">
        <v>2037</v>
      </c>
    </row>
    <row r="53" spans="1:9" ht="20.100000000000001" customHeight="1" thickBot="1" x14ac:dyDescent="0.3">
      <c r="A53" s="12"/>
      <c r="C53" s="35">
        <v>3</v>
      </c>
      <c r="G53" s="3">
        <v>13</v>
      </c>
      <c r="I53" s="3">
        <v>2038</v>
      </c>
    </row>
    <row r="54" spans="1:9" ht="20.100000000000001" customHeight="1" thickBot="1" x14ac:dyDescent="0.3">
      <c r="A54" s="12"/>
      <c r="C54" s="35">
        <v>4</v>
      </c>
      <c r="G54" s="3">
        <v>14</v>
      </c>
      <c r="I54" s="3">
        <v>2039</v>
      </c>
    </row>
    <row r="55" spans="1:9" ht="20.100000000000001" customHeight="1" thickBot="1" x14ac:dyDescent="0.3">
      <c r="A55" s="12"/>
      <c r="C55" s="35">
        <v>5</v>
      </c>
      <c r="G55" s="3">
        <v>15</v>
      </c>
      <c r="I55" s="3">
        <v>2040</v>
      </c>
    </row>
    <row r="56" spans="1:9" ht="20.100000000000001" customHeight="1" thickBot="1" x14ac:dyDescent="0.3">
      <c r="A56" s="12"/>
      <c r="C56" s="35">
        <v>6</v>
      </c>
      <c r="G56" s="3">
        <v>16</v>
      </c>
    </row>
    <row r="57" spans="1:9" ht="20.100000000000001" customHeight="1" thickBot="1" x14ac:dyDescent="0.3">
      <c r="A57" s="12"/>
      <c r="C57" s="35">
        <v>7</v>
      </c>
      <c r="G57" s="3">
        <v>17</v>
      </c>
    </row>
    <row r="58" spans="1:9" ht="20.100000000000001" customHeight="1" thickBot="1" x14ac:dyDescent="0.3">
      <c r="A58" s="12"/>
      <c r="C58" s="35">
        <v>8</v>
      </c>
      <c r="G58" s="3">
        <v>18</v>
      </c>
    </row>
    <row r="59" spans="1:9" ht="20.100000000000001" customHeight="1" thickBot="1" x14ac:dyDescent="0.3">
      <c r="A59" s="12"/>
      <c r="C59" s="35">
        <v>9</v>
      </c>
      <c r="G59" s="3">
        <v>19</v>
      </c>
    </row>
    <row r="60" spans="1:9" ht="20.100000000000001" customHeight="1" thickBot="1" x14ac:dyDescent="0.3">
      <c r="A60" s="12"/>
      <c r="C60" s="35">
        <v>10</v>
      </c>
      <c r="G60" s="3">
        <v>20</v>
      </c>
    </row>
    <row r="61" spans="1:9" ht="20.100000000000001" customHeight="1" thickBot="1" x14ac:dyDescent="0.3">
      <c r="A61" s="12"/>
      <c r="C61" s="35">
        <v>11</v>
      </c>
      <c r="G61" s="3">
        <v>21</v>
      </c>
    </row>
    <row r="62" spans="1:9" ht="20.100000000000001" customHeight="1" thickBot="1" x14ac:dyDescent="0.3">
      <c r="A62" s="12"/>
      <c r="C62" s="35">
        <v>12</v>
      </c>
      <c r="G62" s="3">
        <v>22</v>
      </c>
    </row>
    <row r="63" spans="1:9" ht="20.100000000000001" customHeight="1" thickBot="1" x14ac:dyDescent="0.3">
      <c r="A63" s="12"/>
      <c r="C63" s="35">
        <v>13</v>
      </c>
      <c r="G63" s="3">
        <v>23</v>
      </c>
    </row>
    <row r="64" spans="1:9" ht="20.100000000000001" customHeight="1" thickBot="1" x14ac:dyDescent="0.3">
      <c r="A64" s="12"/>
      <c r="C64" s="35">
        <v>14</v>
      </c>
      <c r="G64" s="3">
        <v>24</v>
      </c>
    </row>
    <row r="65" spans="1:9" ht="20.100000000000001" customHeight="1" thickBot="1" x14ac:dyDescent="0.3">
      <c r="A65" s="12"/>
      <c r="C65" s="35">
        <v>15</v>
      </c>
      <c r="G65" s="3">
        <v>25</v>
      </c>
    </row>
    <row r="66" spans="1:9" ht="20.100000000000001" customHeight="1" thickBot="1" x14ac:dyDescent="0.3">
      <c r="A66" s="12"/>
      <c r="C66" s="35">
        <v>16</v>
      </c>
      <c r="G66" s="3">
        <v>26</v>
      </c>
    </row>
    <row r="67" spans="1:9" ht="20.100000000000001" customHeight="1" thickBot="1" x14ac:dyDescent="0.3">
      <c r="A67" s="12"/>
      <c r="C67" s="35">
        <v>17</v>
      </c>
      <c r="G67" s="3">
        <v>27</v>
      </c>
    </row>
    <row r="68" spans="1:9" ht="20.100000000000001" customHeight="1" thickBot="1" x14ac:dyDescent="0.3">
      <c r="A68" s="12"/>
      <c r="C68" s="35">
        <v>18</v>
      </c>
      <c r="G68" s="3">
        <v>28</v>
      </c>
    </row>
    <row r="69" spans="1:9" ht="20.100000000000001" customHeight="1" thickBot="1" x14ac:dyDescent="0.3">
      <c r="A69" s="12"/>
      <c r="C69" s="35">
        <v>19</v>
      </c>
      <c r="G69" s="3">
        <v>29</v>
      </c>
    </row>
    <row r="70" spans="1:9" ht="20.100000000000001" customHeight="1" x14ac:dyDescent="0.25">
      <c r="A70" s="13"/>
      <c r="C70" s="35">
        <v>20</v>
      </c>
      <c r="G70" s="3">
        <v>30</v>
      </c>
    </row>
    <row r="71" spans="1:9" ht="20.100000000000001" customHeight="1" x14ac:dyDescent="0.25">
      <c r="A71" s="13"/>
      <c r="C71" s="35">
        <v>21</v>
      </c>
      <c r="G71" s="3">
        <v>31</v>
      </c>
    </row>
    <row r="72" spans="1:9" s="16" customFormat="1" ht="20.100000000000001" customHeight="1" x14ac:dyDescent="0.25">
      <c r="A72" s="14"/>
      <c r="B72" s="15"/>
      <c r="C72" s="35">
        <v>22</v>
      </c>
      <c r="D72" s="15"/>
      <c r="E72" s="15"/>
      <c r="F72" s="15"/>
      <c r="G72" s="15"/>
      <c r="H72" s="15"/>
      <c r="I72" s="15"/>
    </row>
    <row r="73" spans="1:9" ht="20.100000000000001" customHeight="1" thickBot="1" x14ac:dyDescent="0.3">
      <c r="C73" s="35">
        <v>23</v>
      </c>
    </row>
    <row r="74" spans="1:9" ht="20.100000000000001" customHeight="1" thickBot="1" x14ac:dyDescent="0.3">
      <c r="A74" s="2" t="s">
        <v>43</v>
      </c>
      <c r="C74" s="35">
        <v>24</v>
      </c>
    </row>
    <row r="75" spans="1:9" ht="20.100000000000001" customHeight="1" thickBot="1" x14ac:dyDescent="0.3">
      <c r="A75" s="2" t="s">
        <v>17</v>
      </c>
      <c r="C75" s="35">
        <v>25</v>
      </c>
    </row>
    <row r="76" spans="1:9" ht="20.100000000000001" customHeight="1" thickBot="1" x14ac:dyDescent="0.3">
      <c r="A76" s="2">
        <v>0</v>
      </c>
      <c r="C76" s="35">
        <v>26</v>
      </c>
    </row>
    <row r="77" spans="1:9" ht="20.100000000000001" customHeight="1" thickBot="1" x14ac:dyDescent="0.3">
      <c r="A77" s="2">
        <v>0.25</v>
      </c>
      <c r="C77" s="35">
        <v>27</v>
      </c>
    </row>
    <row r="78" spans="1:9" ht="20.100000000000001" customHeight="1" thickBot="1" x14ac:dyDescent="0.3">
      <c r="A78" s="2">
        <v>0.5</v>
      </c>
      <c r="C78" s="35">
        <v>28</v>
      </c>
    </row>
    <row r="79" spans="1:9" ht="20.100000000000001" customHeight="1" thickBot="1" x14ac:dyDescent="0.3">
      <c r="A79" s="2">
        <v>0.75</v>
      </c>
      <c r="C79" s="35">
        <v>29</v>
      </c>
    </row>
    <row r="80" spans="1:9" ht="20.100000000000001" customHeight="1" thickBot="1" x14ac:dyDescent="0.3">
      <c r="A80" s="2">
        <v>1</v>
      </c>
      <c r="C80" s="35">
        <v>30</v>
      </c>
    </row>
    <row r="81" spans="1:3" ht="20.100000000000001" customHeight="1" thickBot="1" x14ac:dyDescent="0.3">
      <c r="A81" s="2">
        <v>1.25</v>
      </c>
      <c r="C81" s="35">
        <v>31</v>
      </c>
    </row>
    <row r="82" spans="1:3" ht="20.100000000000001" customHeight="1" thickBot="1" x14ac:dyDescent="0.3">
      <c r="A82" s="2">
        <v>1.5</v>
      </c>
      <c r="C82" s="35">
        <v>32</v>
      </c>
    </row>
    <row r="83" spans="1:3" ht="20.100000000000001" customHeight="1" thickBot="1" x14ac:dyDescent="0.3">
      <c r="A83" s="2">
        <v>1.75</v>
      </c>
      <c r="C83" s="35">
        <v>33</v>
      </c>
    </row>
    <row r="84" spans="1:3" ht="20.100000000000001" customHeight="1" thickBot="1" x14ac:dyDescent="0.3">
      <c r="A84" s="2">
        <v>2</v>
      </c>
      <c r="C84" s="35">
        <v>34</v>
      </c>
    </row>
    <row r="85" spans="1:3" ht="20.100000000000001" customHeight="1" thickBot="1" x14ac:dyDescent="0.3">
      <c r="A85" s="2">
        <v>2.25</v>
      </c>
      <c r="C85" s="35">
        <v>35</v>
      </c>
    </row>
    <row r="86" spans="1:3" ht="20.100000000000001" customHeight="1" thickBot="1" x14ac:dyDescent="0.3">
      <c r="A86" s="2">
        <v>2.5</v>
      </c>
      <c r="C86" s="35">
        <v>36</v>
      </c>
    </row>
    <row r="87" spans="1:3" ht="20.100000000000001" customHeight="1" thickBot="1" x14ac:dyDescent="0.3">
      <c r="A87" s="2">
        <v>2.75</v>
      </c>
      <c r="C87" s="35">
        <v>37</v>
      </c>
    </row>
    <row r="88" spans="1:3" ht="20.100000000000001" customHeight="1" thickBot="1" x14ac:dyDescent="0.3">
      <c r="A88" s="2">
        <v>3</v>
      </c>
      <c r="C88" s="35">
        <v>38</v>
      </c>
    </row>
    <row r="89" spans="1:3" ht="20.100000000000001" customHeight="1" thickBot="1" x14ac:dyDescent="0.3">
      <c r="A89" s="2">
        <v>3.25</v>
      </c>
      <c r="C89" s="35">
        <v>39</v>
      </c>
    </row>
    <row r="90" spans="1:3" ht="20.100000000000001" customHeight="1" thickBot="1" x14ac:dyDescent="0.3">
      <c r="A90" s="2">
        <v>3.5</v>
      </c>
      <c r="C90" s="35">
        <v>40</v>
      </c>
    </row>
    <row r="91" spans="1:3" ht="20.100000000000001" customHeight="1" thickBot="1" x14ac:dyDescent="0.3">
      <c r="A91" s="2">
        <v>3.75</v>
      </c>
      <c r="C91" s="35">
        <v>41</v>
      </c>
    </row>
    <row r="92" spans="1:3" ht="20.100000000000001" customHeight="1" thickBot="1" x14ac:dyDescent="0.3">
      <c r="A92" s="2">
        <v>4</v>
      </c>
      <c r="C92" s="35">
        <v>42</v>
      </c>
    </row>
    <row r="93" spans="1:3" ht="20.100000000000001" customHeight="1" thickBot="1" x14ac:dyDescent="0.3">
      <c r="A93" s="2">
        <v>4.25</v>
      </c>
      <c r="C93" s="35">
        <v>43</v>
      </c>
    </row>
    <row r="94" spans="1:3" ht="20.100000000000001" customHeight="1" thickBot="1" x14ac:dyDescent="0.3">
      <c r="A94" s="2">
        <v>4.5</v>
      </c>
      <c r="C94" s="35">
        <v>44</v>
      </c>
    </row>
    <row r="95" spans="1:3" ht="20.100000000000001" customHeight="1" thickBot="1" x14ac:dyDescent="0.3">
      <c r="A95" s="2">
        <v>4.75</v>
      </c>
      <c r="C95" s="35">
        <v>45</v>
      </c>
    </row>
    <row r="96" spans="1:3" ht="20.100000000000001" customHeight="1" thickBot="1" x14ac:dyDescent="0.3">
      <c r="A96" s="2">
        <v>5</v>
      </c>
      <c r="C96" s="35">
        <v>46</v>
      </c>
    </row>
    <row r="97" spans="1:3" ht="20.100000000000001" customHeight="1" thickBot="1" x14ac:dyDescent="0.3">
      <c r="A97" s="2">
        <v>5.25</v>
      </c>
      <c r="C97" s="35">
        <v>47</v>
      </c>
    </row>
    <row r="98" spans="1:3" ht="20.100000000000001" customHeight="1" thickBot="1" x14ac:dyDescent="0.3">
      <c r="A98" s="2">
        <v>5.5</v>
      </c>
      <c r="C98" s="35">
        <v>48</v>
      </c>
    </row>
    <row r="99" spans="1:3" ht="20.100000000000001" customHeight="1" thickBot="1" x14ac:dyDescent="0.3">
      <c r="A99" s="2">
        <v>5.75</v>
      </c>
      <c r="C99" s="35">
        <v>49</v>
      </c>
    </row>
    <row r="100" spans="1:3" ht="20.100000000000001" customHeight="1" thickBot="1" x14ac:dyDescent="0.3">
      <c r="A100" s="2">
        <v>6</v>
      </c>
      <c r="C100" s="35">
        <v>50</v>
      </c>
    </row>
    <row r="101" spans="1:3" ht="20.100000000000001" customHeight="1" thickBot="1" x14ac:dyDescent="0.3">
      <c r="A101" s="2">
        <v>6.25</v>
      </c>
      <c r="C101" s="35">
        <v>51</v>
      </c>
    </row>
    <row r="102" spans="1:3" ht="20.100000000000001" customHeight="1" thickBot="1" x14ac:dyDescent="0.3">
      <c r="A102" s="2">
        <v>6.5</v>
      </c>
      <c r="C102" s="35">
        <v>52</v>
      </c>
    </row>
    <row r="103" spans="1:3" ht="20.100000000000001" customHeight="1" thickBot="1" x14ac:dyDescent="0.3">
      <c r="A103" s="2">
        <v>6.75</v>
      </c>
      <c r="C103" s="35">
        <v>53</v>
      </c>
    </row>
    <row r="104" spans="1:3" ht="20.100000000000001" customHeight="1" thickBot="1" x14ac:dyDescent="0.3">
      <c r="A104" s="2">
        <v>7</v>
      </c>
      <c r="C104" s="35">
        <v>54</v>
      </c>
    </row>
    <row r="105" spans="1:3" ht="20.100000000000001" customHeight="1" thickBot="1" x14ac:dyDescent="0.3">
      <c r="A105" s="2">
        <v>7.25</v>
      </c>
      <c r="C105" s="35">
        <v>55</v>
      </c>
    </row>
    <row r="106" spans="1:3" ht="20.100000000000001" customHeight="1" thickBot="1" x14ac:dyDescent="0.3">
      <c r="A106" s="2">
        <v>7.5</v>
      </c>
      <c r="C106" s="35">
        <v>56</v>
      </c>
    </row>
    <row r="107" spans="1:3" ht="20.100000000000001" customHeight="1" thickBot="1" x14ac:dyDescent="0.3">
      <c r="A107" s="2">
        <v>7.75</v>
      </c>
      <c r="C107" s="35">
        <v>57</v>
      </c>
    </row>
    <row r="108" spans="1:3" ht="20.100000000000001" customHeight="1" thickBot="1" x14ac:dyDescent="0.3">
      <c r="A108" s="2">
        <v>8</v>
      </c>
      <c r="C108" s="35">
        <v>58</v>
      </c>
    </row>
    <row r="109" spans="1:3" ht="20.100000000000001" customHeight="1" thickBot="1" x14ac:dyDescent="0.3">
      <c r="A109" s="2">
        <v>8.25</v>
      </c>
      <c r="C109" s="35">
        <v>59</v>
      </c>
    </row>
    <row r="110" spans="1:3" ht="20.100000000000001" customHeight="1" thickBot="1" x14ac:dyDescent="0.3">
      <c r="A110" s="2">
        <v>8.5</v>
      </c>
      <c r="C110" s="35">
        <v>60</v>
      </c>
    </row>
    <row r="111" spans="1:3" ht="20.100000000000001" customHeight="1" thickBot="1" x14ac:dyDescent="0.3">
      <c r="A111" s="2">
        <v>8.75</v>
      </c>
      <c r="C111" s="35">
        <v>61</v>
      </c>
    </row>
    <row r="112" spans="1:3" ht="20.100000000000001" customHeight="1" thickBot="1" x14ac:dyDescent="0.3">
      <c r="A112" s="2">
        <v>9</v>
      </c>
      <c r="C112" s="35">
        <v>62</v>
      </c>
    </row>
    <row r="113" spans="1:3" ht="20.100000000000001" customHeight="1" thickBot="1" x14ac:dyDescent="0.3">
      <c r="A113" s="2">
        <v>9.25</v>
      </c>
      <c r="C113" s="35">
        <v>63</v>
      </c>
    </row>
    <row r="114" spans="1:3" ht="20.100000000000001" customHeight="1" thickBot="1" x14ac:dyDescent="0.3">
      <c r="A114" s="2">
        <v>9.5</v>
      </c>
      <c r="C114" s="35">
        <v>64</v>
      </c>
    </row>
    <row r="115" spans="1:3" ht="20.100000000000001" customHeight="1" thickBot="1" x14ac:dyDescent="0.3">
      <c r="A115" s="2">
        <v>9.75</v>
      </c>
      <c r="C115" s="35">
        <v>65</v>
      </c>
    </row>
    <row r="116" spans="1:3" ht="20.100000000000001" customHeight="1" thickBot="1" x14ac:dyDescent="0.3">
      <c r="A116" s="2">
        <v>10</v>
      </c>
      <c r="C116" s="35">
        <v>66</v>
      </c>
    </row>
    <row r="117" spans="1:3" ht="20.100000000000001" customHeight="1" thickBot="1" x14ac:dyDescent="0.3">
      <c r="A117" s="2">
        <v>10.25</v>
      </c>
      <c r="C117" s="35">
        <v>67</v>
      </c>
    </row>
    <row r="118" spans="1:3" ht="20.100000000000001" customHeight="1" thickBot="1" x14ac:dyDescent="0.3">
      <c r="A118" s="2">
        <v>10.5</v>
      </c>
      <c r="C118" s="35">
        <v>68</v>
      </c>
    </row>
    <row r="119" spans="1:3" ht="20.100000000000001" customHeight="1" thickBot="1" x14ac:dyDescent="0.3">
      <c r="A119" s="2">
        <v>10.75</v>
      </c>
      <c r="C119" s="35">
        <v>69</v>
      </c>
    </row>
    <row r="120" spans="1:3" ht="20.100000000000001" customHeight="1" thickBot="1" x14ac:dyDescent="0.3">
      <c r="A120" s="2">
        <v>11</v>
      </c>
      <c r="C120" s="35">
        <v>70</v>
      </c>
    </row>
    <row r="121" spans="1:3" ht="20.100000000000001" customHeight="1" thickBot="1" x14ac:dyDescent="0.3">
      <c r="A121" s="2">
        <v>11.25</v>
      </c>
      <c r="C121" s="35">
        <v>71</v>
      </c>
    </row>
    <row r="122" spans="1:3" ht="20.100000000000001" customHeight="1" thickBot="1" x14ac:dyDescent="0.3">
      <c r="A122" s="2">
        <v>11.5</v>
      </c>
      <c r="C122" s="35">
        <v>72</v>
      </c>
    </row>
    <row r="123" spans="1:3" ht="20.100000000000001" customHeight="1" thickBot="1" x14ac:dyDescent="0.3">
      <c r="A123" s="2">
        <v>11.75</v>
      </c>
      <c r="C123" s="35">
        <v>73</v>
      </c>
    </row>
    <row r="124" spans="1:3" ht="20.100000000000001" customHeight="1" thickBot="1" x14ac:dyDescent="0.3">
      <c r="A124" s="2">
        <v>12</v>
      </c>
      <c r="C124" s="35">
        <v>74</v>
      </c>
    </row>
    <row r="125" spans="1:3" ht="20.100000000000001" customHeight="1" thickBot="1" x14ac:dyDescent="0.3">
      <c r="A125" s="2">
        <v>12.25</v>
      </c>
      <c r="C125" s="35">
        <v>75</v>
      </c>
    </row>
    <row r="126" spans="1:3" ht="20.100000000000001" customHeight="1" thickBot="1" x14ac:dyDescent="0.3">
      <c r="A126" s="2">
        <v>12.5</v>
      </c>
      <c r="C126" s="35">
        <v>76</v>
      </c>
    </row>
    <row r="127" spans="1:3" ht="20.100000000000001" customHeight="1" thickBot="1" x14ac:dyDescent="0.3">
      <c r="A127" s="2">
        <v>12.75</v>
      </c>
      <c r="C127" s="35">
        <v>77</v>
      </c>
    </row>
    <row r="128" spans="1:3" ht="20.100000000000001" customHeight="1" thickBot="1" x14ac:dyDescent="0.3">
      <c r="A128" s="2">
        <v>13</v>
      </c>
      <c r="C128" s="35">
        <v>78</v>
      </c>
    </row>
    <row r="129" spans="1:3" ht="20.100000000000001" customHeight="1" thickBot="1" x14ac:dyDescent="0.3">
      <c r="A129" s="2">
        <v>13.25</v>
      </c>
      <c r="C129" s="35">
        <v>79</v>
      </c>
    </row>
    <row r="130" spans="1:3" ht="20.100000000000001" customHeight="1" thickBot="1" x14ac:dyDescent="0.3">
      <c r="A130" s="2">
        <v>13.5</v>
      </c>
      <c r="C130" s="35">
        <v>80</v>
      </c>
    </row>
    <row r="131" spans="1:3" ht="20.100000000000001" customHeight="1" thickBot="1" x14ac:dyDescent="0.3">
      <c r="A131" s="2">
        <v>13.75</v>
      </c>
      <c r="C131" s="35">
        <v>81</v>
      </c>
    </row>
    <row r="132" spans="1:3" ht="20.100000000000001" customHeight="1" thickBot="1" x14ac:dyDescent="0.3">
      <c r="A132" s="2">
        <v>14</v>
      </c>
      <c r="C132" s="35">
        <v>82</v>
      </c>
    </row>
    <row r="133" spans="1:3" ht="20.100000000000001" customHeight="1" thickBot="1" x14ac:dyDescent="0.3">
      <c r="A133" s="2">
        <v>14.25</v>
      </c>
      <c r="C133" s="35">
        <v>83</v>
      </c>
    </row>
    <row r="134" spans="1:3" ht="20.100000000000001" customHeight="1" thickBot="1" x14ac:dyDescent="0.3">
      <c r="A134" s="2">
        <v>14.5</v>
      </c>
      <c r="C134" s="35">
        <v>84</v>
      </c>
    </row>
    <row r="135" spans="1:3" ht="20.100000000000001" customHeight="1" thickBot="1" x14ac:dyDescent="0.3">
      <c r="A135" s="2">
        <v>14.75</v>
      </c>
      <c r="C135" s="35">
        <v>85</v>
      </c>
    </row>
    <row r="136" spans="1:3" ht="20.100000000000001" customHeight="1" thickBot="1" x14ac:dyDescent="0.3">
      <c r="A136" s="2">
        <v>15</v>
      </c>
      <c r="C136" s="35">
        <v>86</v>
      </c>
    </row>
    <row r="137" spans="1:3" ht="20.100000000000001" customHeight="1" thickBot="1" x14ac:dyDescent="0.3">
      <c r="A137" s="2">
        <v>15.25</v>
      </c>
      <c r="C137" s="35">
        <v>87</v>
      </c>
    </row>
    <row r="138" spans="1:3" ht="20.100000000000001" customHeight="1" thickBot="1" x14ac:dyDescent="0.3">
      <c r="A138" s="2">
        <v>15.5</v>
      </c>
      <c r="C138" s="35">
        <v>88</v>
      </c>
    </row>
    <row r="139" spans="1:3" ht="20.100000000000001" customHeight="1" thickBot="1" x14ac:dyDescent="0.3">
      <c r="A139" s="2">
        <v>15.75</v>
      </c>
      <c r="C139" s="35">
        <v>89</v>
      </c>
    </row>
    <row r="140" spans="1:3" ht="20.100000000000001" customHeight="1" thickBot="1" x14ac:dyDescent="0.3">
      <c r="A140" s="2">
        <v>16</v>
      </c>
      <c r="C140" s="35">
        <v>90</v>
      </c>
    </row>
    <row r="141" spans="1:3" ht="20.100000000000001" customHeight="1" thickBot="1" x14ac:dyDescent="0.3">
      <c r="A141" s="2">
        <v>16.25</v>
      </c>
      <c r="C141" s="35">
        <v>91</v>
      </c>
    </row>
    <row r="142" spans="1:3" ht="20.100000000000001" customHeight="1" thickBot="1" x14ac:dyDescent="0.3">
      <c r="A142" s="2">
        <v>16.5</v>
      </c>
      <c r="C142" s="35">
        <v>92</v>
      </c>
    </row>
    <row r="143" spans="1:3" ht="20.100000000000001" customHeight="1" thickBot="1" x14ac:dyDescent="0.3">
      <c r="A143" s="2">
        <v>16.75</v>
      </c>
      <c r="C143" s="35">
        <v>93</v>
      </c>
    </row>
    <row r="144" spans="1:3" ht="20.100000000000001" customHeight="1" thickBot="1" x14ac:dyDescent="0.3">
      <c r="A144" s="2">
        <v>17</v>
      </c>
      <c r="C144" s="35">
        <v>94</v>
      </c>
    </row>
    <row r="145" spans="1:3" ht="20.100000000000001" customHeight="1" thickBot="1" x14ac:dyDescent="0.3">
      <c r="A145" s="2">
        <v>17.25</v>
      </c>
      <c r="C145" s="35">
        <v>95</v>
      </c>
    </row>
    <row r="146" spans="1:3" ht="20.100000000000001" customHeight="1" thickBot="1" x14ac:dyDescent="0.3">
      <c r="A146" s="2">
        <v>17.5</v>
      </c>
      <c r="C146" s="35">
        <v>96</v>
      </c>
    </row>
    <row r="147" spans="1:3" ht="20.100000000000001" customHeight="1" thickBot="1" x14ac:dyDescent="0.3">
      <c r="A147" s="2">
        <v>17.75</v>
      </c>
      <c r="C147" s="35">
        <v>97</v>
      </c>
    </row>
    <row r="148" spans="1:3" ht="20.100000000000001" customHeight="1" thickBot="1" x14ac:dyDescent="0.3">
      <c r="A148" s="2">
        <v>18</v>
      </c>
      <c r="C148" s="35">
        <v>98</v>
      </c>
    </row>
    <row r="149" spans="1:3" ht="20.100000000000001" customHeight="1" thickBot="1" x14ac:dyDescent="0.3">
      <c r="A149" s="2">
        <v>18.25</v>
      </c>
      <c r="C149" s="35">
        <v>99</v>
      </c>
    </row>
    <row r="150" spans="1:3" ht="20.100000000000001" customHeight="1" thickBot="1" x14ac:dyDescent="0.3">
      <c r="A150" s="2">
        <v>18.5</v>
      </c>
      <c r="C150" s="35">
        <v>100</v>
      </c>
    </row>
    <row r="151" spans="1:3" ht="20.100000000000001" customHeight="1" thickBot="1" x14ac:dyDescent="0.25">
      <c r="A151" s="2">
        <v>18.75</v>
      </c>
    </row>
    <row r="152" spans="1:3" ht="20.100000000000001" customHeight="1" thickBot="1" x14ac:dyDescent="0.25">
      <c r="A152" s="2">
        <v>19</v>
      </c>
    </row>
    <row r="153" spans="1:3" ht="20.100000000000001" customHeight="1" thickBot="1" x14ac:dyDescent="0.25">
      <c r="A153" s="2">
        <v>19.25</v>
      </c>
    </row>
    <row r="154" spans="1:3" ht="20.100000000000001" customHeight="1" thickBot="1" x14ac:dyDescent="0.25">
      <c r="A154" s="2">
        <v>19.5</v>
      </c>
    </row>
    <row r="155" spans="1:3" ht="20.100000000000001" customHeight="1" thickBot="1" x14ac:dyDescent="0.25">
      <c r="A155" s="2">
        <v>19.75</v>
      </c>
    </row>
    <row r="156" spans="1:3" ht="20.100000000000001" customHeight="1" thickBot="1" x14ac:dyDescent="0.25">
      <c r="A156" s="2">
        <v>20</v>
      </c>
    </row>
    <row r="160" spans="1:3" ht="20.100000000000001" customHeight="1" thickBot="1" x14ac:dyDescent="0.25"/>
    <row r="161" spans="1:1" ht="20.100000000000001" customHeight="1" thickBot="1" x14ac:dyDescent="0.25">
      <c r="A161" s="2" t="s">
        <v>41</v>
      </c>
    </row>
    <row r="162" spans="1:1" ht="20.100000000000001" customHeight="1" x14ac:dyDescent="0.2">
      <c r="A162" s="19"/>
    </row>
    <row r="163" spans="1:1" ht="20.100000000000001" customHeight="1" x14ac:dyDescent="0.2">
      <c r="A163" s="19"/>
    </row>
    <row r="164" spans="1:1" ht="20.100000000000001" customHeight="1" x14ac:dyDescent="0.2">
      <c r="A164" s="19"/>
    </row>
    <row r="165" spans="1:1" ht="20.100000000000001" customHeight="1" x14ac:dyDescent="0.2">
      <c r="A165" s="19"/>
    </row>
    <row r="166" spans="1:1" ht="20.100000000000001" customHeight="1" x14ac:dyDescent="0.2">
      <c r="A166" s="19"/>
    </row>
    <row r="167" spans="1:1" ht="20.100000000000001" customHeight="1" x14ac:dyDescent="0.2">
      <c r="A167" s="19"/>
    </row>
    <row r="168" spans="1:1" ht="20.100000000000001" customHeight="1" x14ac:dyDescent="0.2">
      <c r="A168" s="19"/>
    </row>
    <row r="169" spans="1:1" ht="20.100000000000001" customHeight="1" x14ac:dyDescent="0.2">
      <c r="A169" s="19"/>
    </row>
    <row r="170" spans="1:1" ht="20.100000000000001" customHeight="1" x14ac:dyDescent="0.2">
      <c r="A170" s="19"/>
    </row>
    <row r="171" spans="1:1" ht="20.100000000000001" customHeight="1" x14ac:dyDescent="0.2">
      <c r="A171" s="20"/>
    </row>
    <row r="172" spans="1:1" ht="20.100000000000001" customHeight="1" x14ac:dyDescent="0.2">
      <c r="A172" s="20"/>
    </row>
    <row r="173" spans="1:1" ht="20.100000000000001" customHeight="1" x14ac:dyDescent="0.2">
      <c r="A173" s="19"/>
    </row>
    <row r="174" spans="1:1" ht="20.100000000000001" customHeight="1" x14ac:dyDescent="0.2">
      <c r="A174" s="19"/>
    </row>
    <row r="175" spans="1:1" ht="20.100000000000001" customHeight="1" x14ac:dyDescent="0.2">
      <c r="A175" s="19"/>
    </row>
    <row r="176" spans="1:1" ht="20.100000000000001" customHeight="1" x14ac:dyDescent="0.2">
      <c r="A176" s="19"/>
    </row>
    <row r="177" spans="1:1" ht="20.100000000000001" customHeight="1" x14ac:dyDescent="0.2">
      <c r="A177" s="19"/>
    </row>
    <row r="178" spans="1:1" ht="20.100000000000001" customHeight="1" x14ac:dyDescent="0.2">
      <c r="A178" s="19"/>
    </row>
    <row r="179" spans="1:1" ht="20.100000000000001" customHeight="1" x14ac:dyDescent="0.2">
      <c r="A179" s="19"/>
    </row>
    <row r="180" spans="1:1" ht="20.100000000000001" customHeight="1" x14ac:dyDescent="0.2">
      <c r="A180" s="19"/>
    </row>
    <row r="181" spans="1:1" ht="20.100000000000001" customHeight="1" x14ac:dyDescent="0.2">
      <c r="A181" s="19"/>
    </row>
    <row r="182" spans="1:1" ht="20.100000000000001" customHeight="1" x14ac:dyDescent="0.2">
      <c r="A182" s="19"/>
    </row>
    <row r="183" spans="1:1" ht="20.100000000000001" customHeight="1" x14ac:dyDescent="0.2">
      <c r="A183" s="19"/>
    </row>
    <row r="184" spans="1:1" ht="20.100000000000001" customHeight="1" x14ac:dyDescent="0.2">
      <c r="A184" s="19"/>
    </row>
    <row r="185" spans="1:1" ht="20.100000000000001" customHeight="1" x14ac:dyDescent="0.2">
      <c r="A185" s="19"/>
    </row>
    <row r="186" spans="1:1" ht="20.100000000000001" customHeight="1" x14ac:dyDescent="0.2">
      <c r="A186" s="19"/>
    </row>
    <row r="187" spans="1:1" ht="20.100000000000001" customHeight="1" x14ac:dyDescent="0.2">
      <c r="A187" s="19"/>
    </row>
    <row r="188" spans="1:1" ht="20.100000000000001" customHeight="1" x14ac:dyDescent="0.2">
      <c r="A188" s="19"/>
    </row>
    <row r="189" spans="1:1" ht="20.100000000000001" customHeight="1" x14ac:dyDescent="0.2">
      <c r="A189" s="19"/>
    </row>
    <row r="190" spans="1:1" ht="20.100000000000001" customHeight="1" x14ac:dyDescent="0.2">
      <c r="A190" s="19"/>
    </row>
    <row r="191" spans="1:1" ht="20.100000000000001" customHeight="1" x14ac:dyDescent="0.2">
      <c r="A191" s="19"/>
    </row>
    <row r="192" spans="1:1" ht="20.100000000000001" customHeight="1" x14ac:dyDescent="0.2">
      <c r="A192" s="19"/>
    </row>
    <row r="193" spans="1:1" ht="20.100000000000001" customHeight="1" x14ac:dyDescent="0.2">
      <c r="A193" s="19"/>
    </row>
    <row r="194" spans="1:1" ht="20.100000000000001" customHeight="1" x14ac:dyDescent="0.2">
      <c r="A194" s="19"/>
    </row>
    <row r="195" spans="1:1" ht="20.100000000000001" customHeight="1" x14ac:dyDescent="0.2">
      <c r="A195" s="19"/>
    </row>
    <row r="196" spans="1:1" ht="20.100000000000001" customHeight="1" x14ac:dyDescent="0.2">
      <c r="A196" s="19"/>
    </row>
    <row r="197" spans="1:1" ht="20.100000000000001" customHeight="1" x14ac:dyDescent="0.2">
      <c r="A197" s="19"/>
    </row>
    <row r="198" spans="1:1" ht="20.100000000000001" customHeight="1" x14ac:dyDescent="0.2">
      <c r="A198" s="21"/>
    </row>
    <row r="199" spans="1:1" ht="20.100000000000001" customHeight="1" x14ac:dyDescent="0.2">
      <c r="A199" s="19"/>
    </row>
    <row r="200" spans="1:1" ht="20.100000000000001" customHeight="1" x14ac:dyDescent="0.2">
      <c r="A200" s="19"/>
    </row>
    <row r="201" spans="1:1" ht="20.100000000000001" customHeight="1" x14ac:dyDescent="0.2">
      <c r="A201" s="19"/>
    </row>
    <row r="202" spans="1:1" ht="20.100000000000001" customHeight="1" x14ac:dyDescent="0.2">
      <c r="A202" s="19"/>
    </row>
    <row r="203" spans="1:1" ht="20.100000000000001" customHeight="1" x14ac:dyDescent="0.2">
      <c r="A203" s="19"/>
    </row>
    <row r="204" spans="1:1" ht="20.100000000000001" customHeight="1" x14ac:dyDescent="0.2">
      <c r="A204" s="19"/>
    </row>
    <row r="205" spans="1:1" ht="20.100000000000001" customHeight="1" x14ac:dyDescent="0.2">
      <c r="A205" s="19"/>
    </row>
    <row r="206" spans="1:1" ht="20.100000000000001" customHeight="1" x14ac:dyDescent="0.2">
      <c r="A206" s="19"/>
    </row>
    <row r="207" spans="1:1" ht="20.100000000000001" customHeight="1" x14ac:dyDescent="0.2">
      <c r="A207" s="19"/>
    </row>
    <row r="208" spans="1:1" ht="20.100000000000001" customHeight="1" x14ac:dyDescent="0.2">
      <c r="A208" s="19"/>
    </row>
    <row r="209" spans="1:1" ht="20.100000000000001" customHeight="1" x14ac:dyDescent="0.2">
      <c r="A209" s="19"/>
    </row>
    <row r="210" spans="1:1" ht="20.100000000000001" customHeight="1" x14ac:dyDescent="0.2">
      <c r="A210" s="19"/>
    </row>
    <row r="211" spans="1:1" ht="20.100000000000001" customHeight="1" x14ac:dyDescent="0.2">
      <c r="A211" s="19"/>
    </row>
    <row r="212" spans="1:1" ht="20.100000000000001" customHeight="1" x14ac:dyDescent="0.2">
      <c r="A212" s="19"/>
    </row>
    <row r="213" spans="1:1" ht="20.100000000000001" customHeight="1" x14ac:dyDescent="0.2">
      <c r="A213" s="21"/>
    </row>
    <row r="214" spans="1:1" ht="20.100000000000001" customHeight="1" x14ac:dyDescent="0.2">
      <c r="A214" s="22"/>
    </row>
    <row r="215" spans="1:1" ht="20.100000000000001" customHeight="1" x14ac:dyDescent="0.2">
      <c r="A215" s="19"/>
    </row>
    <row r="216" spans="1:1" ht="20.100000000000001" customHeight="1" x14ac:dyDescent="0.2">
      <c r="A216" s="19"/>
    </row>
    <row r="217" spans="1:1" ht="20.100000000000001" customHeight="1" x14ac:dyDescent="0.2">
      <c r="A217" s="23"/>
    </row>
    <row r="218" spans="1:1" ht="20.100000000000001" customHeight="1" x14ac:dyDescent="0.2">
      <c r="A218" s="23"/>
    </row>
    <row r="219" spans="1:1" ht="20.100000000000001" customHeight="1" x14ac:dyDescent="0.2">
      <c r="A219" s="22"/>
    </row>
    <row r="220" spans="1:1" ht="20.100000000000001" customHeight="1" x14ac:dyDescent="0.2">
      <c r="A220" s="19"/>
    </row>
    <row r="221" spans="1:1" ht="20.100000000000001" customHeight="1" x14ac:dyDescent="0.2">
      <c r="A221" s="22"/>
    </row>
    <row r="222" spans="1:1" ht="20.100000000000001" customHeight="1" x14ac:dyDescent="0.2">
      <c r="A222" s="19"/>
    </row>
    <row r="223" spans="1:1" ht="20.100000000000001" customHeight="1" x14ac:dyDescent="0.2">
      <c r="A223" s="22"/>
    </row>
    <row r="224" spans="1:1" ht="20.100000000000001" customHeight="1" x14ac:dyDescent="0.2">
      <c r="A224" s="19"/>
    </row>
    <row r="225" spans="1:1" ht="20.100000000000001" customHeight="1" x14ac:dyDescent="0.2">
      <c r="A225" s="19"/>
    </row>
    <row r="226" spans="1:1" ht="20.100000000000001" customHeight="1" x14ac:dyDescent="0.2">
      <c r="A226" s="22"/>
    </row>
    <row r="227" spans="1:1" ht="20.100000000000001" customHeight="1" x14ac:dyDescent="0.2">
      <c r="A227" s="22"/>
    </row>
    <row r="228" spans="1:1" ht="20.100000000000001" customHeight="1" x14ac:dyDescent="0.2">
      <c r="A228" s="22"/>
    </row>
    <row r="229" spans="1:1" ht="20.100000000000001" customHeight="1" x14ac:dyDescent="0.2">
      <c r="A229" s="19"/>
    </row>
    <row r="230" spans="1:1" ht="20.100000000000001" customHeight="1" x14ac:dyDescent="0.2">
      <c r="A230" s="19"/>
    </row>
    <row r="231" spans="1:1" ht="20.100000000000001" customHeight="1" x14ac:dyDescent="0.2">
      <c r="A231" s="19"/>
    </row>
    <row r="232" spans="1:1" ht="20.100000000000001" customHeight="1" x14ac:dyDescent="0.2">
      <c r="A232" s="19"/>
    </row>
    <row r="233" spans="1:1" ht="20.100000000000001" customHeight="1" x14ac:dyDescent="0.2">
      <c r="A233" s="22"/>
    </row>
    <row r="234" spans="1:1" ht="20.100000000000001" customHeight="1" x14ac:dyDescent="0.2">
      <c r="A234" s="22"/>
    </row>
    <row r="235" spans="1:1" ht="20.100000000000001" customHeight="1" x14ac:dyDescent="0.2">
      <c r="A235" s="19"/>
    </row>
    <row r="236" spans="1:1" ht="20.100000000000001" customHeight="1" x14ac:dyDescent="0.2">
      <c r="A236" s="22"/>
    </row>
    <row r="237" spans="1:1" ht="20.100000000000001" customHeight="1" x14ac:dyDescent="0.2">
      <c r="A237" s="22"/>
    </row>
    <row r="238" spans="1:1" ht="20.100000000000001" customHeight="1" x14ac:dyDescent="0.2">
      <c r="A238" s="19"/>
    </row>
    <row r="239" spans="1:1" ht="20.100000000000001" customHeight="1" x14ac:dyDescent="0.2">
      <c r="A239" s="19"/>
    </row>
    <row r="240" spans="1:1" ht="20.100000000000001" customHeight="1" x14ac:dyDescent="0.2">
      <c r="A240" s="22"/>
    </row>
    <row r="241" spans="1:1" ht="20.100000000000001" customHeight="1" x14ac:dyDescent="0.2">
      <c r="A241" s="19"/>
    </row>
    <row r="242" spans="1:1" ht="20.100000000000001" customHeight="1" x14ac:dyDescent="0.2">
      <c r="A242" s="19"/>
    </row>
    <row r="243" spans="1:1" ht="20.100000000000001" customHeight="1" x14ac:dyDescent="0.2">
      <c r="A243" s="19"/>
    </row>
    <row r="244" spans="1:1" ht="20.100000000000001" customHeight="1" x14ac:dyDescent="0.2">
      <c r="A244" s="19"/>
    </row>
    <row r="245" spans="1:1" ht="20.100000000000001" customHeight="1" x14ac:dyDescent="0.2">
      <c r="A245" s="22"/>
    </row>
    <row r="246" spans="1:1" ht="20.100000000000001" customHeight="1" x14ac:dyDescent="0.2">
      <c r="A246" s="22"/>
    </row>
    <row r="247" spans="1:1" ht="20.100000000000001" customHeight="1" x14ac:dyDescent="0.2">
      <c r="A247" s="22"/>
    </row>
    <row r="248" spans="1:1" ht="20.100000000000001" customHeight="1" thickBot="1" x14ac:dyDescent="0.25">
      <c r="A248" s="19"/>
    </row>
    <row r="249" spans="1:1" ht="20.100000000000001" customHeight="1" thickBot="1" x14ac:dyDescent="0.25">
      <c r="A249" s="2"/>
    </row>
    <row r="250" spans="1:1" ht="20.100000000000001" customHeight="1" thickBot="1" x14ac:dyDescent="0.25">
      <c r="A250" s="2"/>
    </row>
    <row r="251" spans="1:1" ht="20.100000000000001" customHeight="1" thickBot="1" x14ac:dyDescent="0.25">
      <c r="A251" s="2"/>
    </row>
    <row r="252" spans="1:1" ht="20.100000000000001" customHeight="1" thickBot="1" x14ac:dyDescent="0.25">
      <c r="A252" s="2"/>
    </row>
    <row r="253" spans="1:1" ht="20.100000000000001" customHeight="1" thickBot="1" x14ac:dyDescent="0.25">
      <c r="A253" s="2"/>
    </row>
    <row r="254" spans="1:1" ht="20.100000000000001" customHeight="1" thickBot="1" x14ac:dyDescent="0.25">
      <c r="A254" s="2"/>
    </row>
    <row r="255" spans="1:1" ht="20.100000000000001" customHeight="1" thickBot="1" x14ac:dyDescent="0.25">
      <c r="A255" s="2"/>
    </row>
    <row r="256" spans="1:1" ht="20.100000000000001" customHeight="1" thickBot="1" x14ac:dyDescent="0.25">
      <c r="A256" s="2"/>
    </row>
    <row r="257" spans="1:1" ht="20.100000000000001" customHeight="1" thickBot="1" x14ac:dyDescent="0.25">
      <c r="A257" s="2"/>
    </row>
    <row r="258" spans="1:1" ht="20.100000000000001" customHeight="1" thickBot="1" x14ac:dyDescent="0.25">
      <c r="A258" s="2"/>
    </row>
    <row r="259" spans="1:1" ht="20.100000000000001" customHeight="1" thickBot="1" x14ac:dyDescent="0.25">
      <c r="A259" s="2"/>
    </row>
    <row r="260" spans="1:1" ht="20.100000000000001" customHeight="1" thickBot="1" x14ac:dyDescent="0.25">
      <c r="A260" s="2"/>
    </row>
    <row r="261" spans="1:1" ht="20.100000000000001" customHeight="1" thickBot="1" x14ac:dyDescent="0.25">
      <c r="A261" s="2"/>
    </row>
    <row r="262" spans="1:1" ht="20.100000000000001" customHeight="1" thickBot="1" x14ac:dyDescent="0.25">
      <c r="A262" s="2"/>
    </row>
    <row r="263" spans="1:1" ht="20.100000000000001" customHeight="1" thickBot="1" x14ac:dyDescent="0.25">
      <c r="A263" s="2"/>
    </row>
    <row r="264" spans="1:1" ht="20.100000000000001" customHeight="1" thickBot="1" x14ac:dyDescent="0.25">
      <c r="A264" s="2"/>
    </row>
    <row r="265" spans="1:1" ht="20.100000000000001" customHeight="1" thickBot="1" x14ac:dyDescent="0.25">
      <c r="A265" s="2"/>
    </row>
    <row r="266" spans="1:1" ht="20.100000000000001" customHeight="1" thickBot="1" x14ac:dyDescent="0.25">
      <c r="A266" s="2"/>
    </row>
    <row r="267" spans="1:1" ht="20.100000000000001" customHeight="1" thickBot="1" x14ac:dyDescent="0.25">
      <c r="A267" s="2"/>
    </row>
    <row r="268" spans="1:1" ht="20.100000000000001" customHeight="1" thickBot="1" x14ac:dyDescent="0.25">
      <c r="A268" s="2"/>
    </row>
    <row r="269" spans="1:1" ht="20.100000000000001" customHeight="1" thickBot="1" x14ac:dyDescent="0.25">
      <c r="A269" s="2"/>
    </row>
    <row r="270" spans="1:1" ht="20.100000000000001" customHeight="1" thickBot="1" x14ac:dyDescent="0.25">
      <c r="A270" s="2"/>
    </row>
    <row r="271" spans="1:1" ht="20.100000000000001" customHeight="1" thickBot="1" x14ac:dyDescent="0.25">
      <c r="A271" s="2"/>
    </row>
    <row r="272" spans="1:1" ht="20.100000000000001" customHeight="1" thickBot="1" x14ac:dyDescent="0.25">
      <c r="A272" s="2"/>
    </row>
    <row r="273" spans="1:1" ht="20.100000000000001" customHeight="1" thickBot="1" x14ac:dyDescent="0.25">
      <c r="A273" s="2"/>
    </row>
    <row r="274" spans="1:1" ht="20.100000000000001" customHeight="1" thickBot="1" x14ac:dyDescent="0.25">
      <c r="A274" s="2"/>
    </row>
    <row r="275" spans="1:1" ht="20.100000000000001" customHeight="1" thickBot="1" x14ac:dyDescent="0.25">
      <c r="A275" s="2"/>
    </row>
    <row r="276" spans="1:1" ht="20.100000000000001" customHeight="1" thickBot="1" x14ac:dyDescent="0.25">
      <c r="A276" s="2"/>
    </row>
    <row r="277" spans="1:1" ht="20.100000000000001" customHeight="1" thickBot="1" x14ac:dyDescent="0.25">
      <c r="A277" s="2"/>
    </row>
    <row r="278" spans="1:1" ht="20.100000000000001" customHeight="1" thickBot="1" x14ac:dyDescent="0.25">
      <c r="A278" s="2"/>
    </row>
    <row r="279" spans="1:1" ht="20.100000000000001" customHeight="1" thickBot="1" x14ac:dyDescent="0.25">
      <c r="A279" s="2"/>
    </row>
    <row r="280" spans="1:1" ht="20.100000000000001" customHeight="1" thickBot="1" x14ac:dyDescent="0.25">
      <c r="A280" s="2"/>
    </row>
    <row r="281" spans="1:1" ht="20.100000000000001" customHeight="1" thickBot="1" x14ac:dyDescent="0.25">
      <c r="A281" s="2"/>
    </row>
    <row r="282" spans="1:1" ht="20.100000000000001" customHeight="1" thickBot="1" x14ac:dyDescent="0.25">
      <c r="A282" s="2"/>
    </row>
    <row r="283" spans="1:1" ht="20.100000000000001" customHeight="1" thickBot="1" x14ac:dyDescent="0.25">
      <c r="A283" s="2"/>
    </row>
    <row r="284" spans="1:1" ht="20.100000000000001" customHeight="1" thickBot="1" x14ac:dyDescent="0.25">
      <c r="A284" s="2"/>
    </row>
    <row r="285" spans="1:1" ht="20.100000000000001" customHeight="1" thickBot="1" x14ac:dyDescent="0.25">
      <c r="A285" s="2"/>
    </row>
    <row r="286" spans="1:1" ht="20.100000000000001" customHeight="1" thickBot="1" x14ac:dyDescent="0.25">
      <c r="A286" s="2"/>
    </row>
    <row r="287" spans="1:1" ht="20.100000000000001" customHeight="1" thickBot="1" x14ac:dyDescent="0.25">
      <c r="A287" s="2" t="s">
        <v>40</v>
      </c>
    </row>
    <row r="288" spans="1:1" ht="20.100000000000001" customHeight="1" thickBot="1" x14ac:dyDescent="0.25">
      <c r="A288" s="2" t="s">
        <v>40</v>
      </c>
    </row>
    <row r="289" spans="1:1" ht="20.100000000000001" customHeight="1" thickBot="1" x14ac:dyDescent="0.25">
      <c r="A289" s="2" t="s">
        <v>40</v>
      </c>
    </row>
    <row r="290" spans="1:1" ht="20.100000000000001" customHeight="1" thickBot="1" x14ac:dyDescent="0.25">
      <c r="A290" s="2" t="s">
        <v>40</v>
      </c>
    </row>
    <row r="291" spans="1:1" ht="20.100000000000001" customHeight="1" thickBot="1" x14ac:dyDescent="0.25">
      <c r="A291" s="2" t="s">
        <v>40</v>
      </c>
    </row>
    <row r="292" spans="1:1" ht="20.100000000000001" customHeight="1" thickBot="1" x14ac:dyDescent="0.25">
      <c r="A292" s="2" t="s">
        <v>40</v>
      </c>
    </row>
    <row r="293" spans="1:1" ht="20.100000000000001" customHeight="1" thickBot="1" x14ac:dyDescent="0.25">
      <c r="A293" s="2" t="s">
        <v>40</v>
      </c>
    </row>
    <row r="294" spans="1:1" ht="20.100000000000001" customHeight="1" thickBot="1" x14ac:dyDescent="0.25">
      <c r="A294" s="2" t="s">
        <v>40</v>
      </c>
    </row>
    <row r="295" spans="1:1" ht="20.100000000000001" customHeight="1" thickBot="1" x14ac:dyDescent="0.25">
      <c r="A295" s="2" t="s">
        <v>40</v>
      </c>
    </row>
    <row r="296" spans="1:1" ht="20.100000000000001" customHeight="1" thickBot="1" x14ac:dyDescent="0.25">
      <c r="A296" s="2" t="s">
        <v>40</v>
      </c>
    </row>
    <row r="297" spans="1:1" ht="20.100000000000001" customHeight="1" thickBot="1" x14ac:dyDescent="0.25">
      <c r="A297" s="2" t="s">
        <v>40</v>
      </c>
    </row>
    <row r="298" spans="1:1" ht="20.100000000000001" customHeight="1" thickBot="1" x14ac:dyDescent="0.25">
      <c r="A298" s="2" t="s">
        <v>40</v>
      </c>
    </row>
    <row r="299" spans="1:1" ht="20.100000000000001" customHeight="1" thickBot="1" x14ac:dyDescent="0.25">
      <c r="A299" s="2" t="s">
        <v>40</v>
      </c>
    </row>
    <row r="300" spans="1:1" ht="20.100000000000001" customHeight="1" thickBot="1" x14ac:dyDescent="0.25">
      <c r="A300" s="2" t="s">
        <v>40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قائمة التقييم</vt:lpstr>
      <vt:lpstr>بيانات التقييم</vt:lpstr>
      <vt:lpstr>'قائمة التقييم'!_Hlk189049123</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2026-09-08T06:24:43Z</dcterms:modified>
</cp:coreProperties>
</file>