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التقييم'!$A$1:$J$23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2" l="1"/>
  <c r="F21" i="2" l="1"/>
  <c r="G8" i="2"/>
  <c r="H8" i="2" s="1"/>
  <c r="G20" i="2"/>
  <c r="H20" i="2" s="1"/>
  <c r="G19" i="2"/>
  <c r="H19" i="2" s="1"/>
  <c r="G18" i="2"/>
  <c r="H18" i="2" s="1"/>
  <c r="G11" i="2" l="1"/>
  <c r="H11" i="2" s="1"/>
  <c r="G12" i="2" l="1"/>
  <c r="H12" i="2" s="1"/>
  <c r="G14" i="2"/>
  <c r="H14" i="2" s="1"/>
  <c r="G15" i="2"/>
  <c r="H15" i="2" s="1"/>
  <c r="G16" i="2"/>
  <c r="H16" i="2" s="1"/>
  <c r="G10" i="2" l="1"/>
  <c r="H10" i="2" s="1"/>
  <c r="E22" i="2" l="1"/>
  <c r="E23" i="2" s="1"/>
</calcChain>
</file>

<file path=xl/sharedStrings.xml><?xml version="1.0" encoding="utf-8"?>
<sst xmlns="http://schemas.openxmlformats.org/spreadsheetml/2006/main" count="259" uniqueCount="188">
  <si>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</si>
  <si>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</si>
  <si>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</si>
  <si>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</si>
  <si>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</si>
  <si>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</si>
  <si>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</si>
  <si>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</si>
  <si>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</si>
  <si>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</si>
  <si>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</si>
  <si>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</si>
  <si>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</si>
  <si>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</si>
  <si>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</si>
  <si>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</si>
  <si>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</si>
  <si>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</si>
  <si>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</si>
  <si>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</si>
  <si>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</si>
  <si>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</si>
  <si>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</si>
  <si>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</si>
  <si>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</si>
  <si>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</si>
  <si>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</si>
  <si>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</si>
  <si>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</si>
  <si>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</si>
  <si>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</si>
  <si>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</si>
  <si>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</si>
  <si>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</si>
  <si>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</si>
  <si>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</si>
  <si>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</si>
  <si>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</si>
  <si>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</si>
  <si>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</si>
  <si>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</si>
  <si>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</si>
  <si>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</si>
  <si>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</si>
  <si>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</si>
  <si>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</si>
  <si>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</si>
  <si>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</si>
  <si>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</si>
  <si>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</si>
  <si>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</si>
  <si>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</si>
  <si>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</si>
  <si>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</si>
  <si>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</si>
  <si>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</si>
  <si>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</si>
  <si>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</si>
  <si>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</si>
  <si>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</si>
  <si>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</si>
  <si>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</si>
  <si>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</si>
  <si>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</si>
  <si>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</si>
  <si>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</si>
  <si>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</si>
  <si>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</si>
  <si>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</si>
  <si>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</si>
  <si>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</si>
  <si>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</si>
  <si>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</si>
  <si>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</si>
  <si>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</si>
  <si>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</si>
  <si>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</si>
  <si>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</si>
  <si>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</si>
  <si>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</si>
  <si>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</si>
  <si>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</si>
  <si>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</si>
  <si>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</si>
  <si>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</si>
  <si>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</si>
  <si>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</si>
  <si>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</si>
  <si>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</si>
  <si>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</si>
  <si>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</si>
  <si>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</si>
  <si>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</si>
  <si>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</si>
  <si>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</si>
  <si>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</si>
  <si>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</si>
  <si>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</si>
  <si>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</si>
  <si>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</si>
  <si>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</si>
  <si>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</si>
  <si>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</si>
  <si>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</si>
  <si>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</si>
  <si>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</si>
  <si>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</si>
  <si>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</si>
  <si>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</si>
  <si>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</si>
  <si>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</si>
  <si>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</si>
  <si>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</si>
  <si>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</si>
  <si>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</si>
  <si>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</si>
  <si>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</si>
  <si>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</si>
  <si>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</si>
  <si>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</si>
  <si>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</si>
  <si>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</si>
  <si>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</si>
  <si>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</si>
  <si>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</si>
  <si>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</si>
  <si>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</si>
  <si>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</si>
  <si>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</si>
  <si>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</si>
  <si>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</si>
  <si>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</si>
  <si>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</si>
  <si>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</si>
  <si>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</si>
  <si>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</si>
  <si>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</si>
  <si>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</si>
  <si>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</si>
  <si>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</si>
  <si>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</si>
  <si>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</si>
  <si>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</si>
  <si>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</si>
  <si>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</si>
  <si>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</si>
  <si>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</si>
  <si>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</si>
  <si>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</si>
  <si>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</si>
  <si>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</si>
  <si>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</si>
  <si>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</si>
  <si>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</si>
  <si>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</si>
  <si>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</si>
  <si>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</si>
  <si>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</si>
  <si>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</si>
  <si>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</si>
  <si>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</si>
  <si>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</si>
  <si>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</si>
  <si>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</si>
  <si>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</si>
  <si>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</si>
  <si>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</si>
  <si>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</si>
  <si>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</si>
  <si>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</si>
  <si>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</si>
  <si>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</si>
  <si>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</si>
  <si>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</si>
  <si>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1.   توضيع موقع قيادة السرية.</t>
  </si>
  <si>
    <t>ب.  موقع جماعة أنظمة الطائرات المسيرة المذخرة.</t>
  </si>
  <si>
    <t>جـ.   موقع القسم/2 من فصيلة الـ م/د.</t>
  </si>
  <si>
    <t>3.   توضيع مواقع فصيل الـ م/د.</t>
  </si>
  <si>
    <t>2.   توضيع مواقع فصيل أنظمة الطائرات المسيرة.</t>
  </si>
  <si>
    <t>4.   توضيع مواقع فصيل الحماية.</t>
  </si>
  <si>
    <t>جـ.  موقع جماعة الحرب الإلكترونية.</t>
  </si>
  <si>
    <t>أ.    موقع جماعة أنظمة الطائرات المسيرة الانتحارية.</t>
  </si>
  <si>
    <t>جـ.  موقع توضيع جماعة أنظمة طائرات استطلاع والدعم الوجستي.</t>
  </si>
  <si>
    <t>أ.     موقع قائد فصيلة الـ م/د.</t>
  </si>
  <si>
    <t>ب.   موقع القسم/1 من فصيلة الـ م/د.</t>
  </si>
  <si>
    <t>أ.     موقع جماعة الإستمكان.</t>
  </si>
  <si>
    <t>ب.   موقع جماعة الدفاع جوي (كتف).</t>
  </si>
  <si>
    <t>تقييم توضيع سرية الإسناد القتالي في العمليات التعرضية على الطاولة الرملية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</si>
</sst>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2" borderId="0" xfId="0" applyFont="1" applyFill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5" fillId="4" borderId="11" xfId="0" applyFont="1" applyFill="1" applyBorder="1" applyAlignment="1" applyProtection="1">
      <alignment horizontal="center" vertical="center" wrapText="1" readingOrder="2"/>
      <protection locked="0"/>
    </xf>
    <xf numFmtId="0" fontId="5" fillId="4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Alignment="1" applyProtection="1">
      <alignment horizontal="center" vertical="center" wrapText="1" readingOrder="2"/>
      <protection locked="0"/>
    </xf>
    <xf numFmtId="164" fontId="3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3" fillId="0" borderId="0" xfId="0" applyFont="1" applyAlignment="1" applyProtection="1">
      <alignment horizontal="center" vertical="center" wrapText="1" readingOrder="2"/>
      <protection locked="0"/>
    </xf>
    <xf numFmtId="0" fontId="1" fillId="0" borderId="11" xfId="0" applyFont="1" applyBorder="1" applyAlignment="1">
      <alignment horizontal="center" vertical="center" wrapText="1" readingOrder="2"/>
    </xf>
    <xf numFmtId="0" fontId="5" fillId="4" borderId="15" xfId="0" applyFont="1" applyFill="1" applyBorder="1" applyAlignment="1" applyProtection="1">
      <alignment horizontal="center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9" fontId="2" fillId="0" borderId="11" xfId="0" applyNumberFormat="1" applyFont="1" applyBorder="1" applyAlignment="1">
      <alignment horizontal="center" vertical="center" wrapText="1" readingOrder="2"/>
    </xf>
    <xf numFmtId="0" fontId="1" fillId="0" borderId="11" xfId="0" applyFont="1" applyBorder="1" applyAlignment="1">
      <alignment horizontal="center" vertical="center" wrapText="1" readingOrder="1"/>
    </xf>
    <xf numFmtId="9" fontId="2" fillId="0" borderId="8" xfId="0" applyNumberFormat="1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11" xfId="0" applyFont="1" applyBorder="1" applyAlignment="1" applyProtection="1">
      <alignment horizontal="center" vertical="center" wrapText="1" readingOrder="2"/>
      <protection locked="0"/>
    </xf>
    <xf numFmtId="0" fontId="1" fillId="0" borderId="8" xfId="0" applyFont="1" applyBorder="1" applyAlignment="1">
      <alignment horizontal="center" vertical="center" wrapText="1" readingOrder="1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1" fillId="0" borderId="19" xfId="0" applyFont="1" applyBorder="1" applyAlignment="1">
      <alignment horizontal="center" vertical="center" wrapText="1" readingOrder="2"/>
    </xf>
    <xf numFmtId="0" fontId="2" fillId="0" borderId="19" xfId="0" applyFont="1" applyBorder="1" applyAlignment="1" applyProtection="1">
      <alignment horizontal="center" vertical="center" wrapText="1" readingOrder="2"/>
      <protection locked="0"/>
    </xf>
    <xf numFmtId="9" fontId="2" fillId="0" borderId="19" xfId="0" applyNumberFormat="1" applyFont="1" applyBorder="1" applyAlignment="1">
      <alignment horizontal="center" vertical="center" wrapText="1" readingOrder="2"/>
    </xf>
    <xf numFmtId="0" fontId="1" fillId="0" borderId="19" xfId="0" applyFont="1" applyBorder="1" applyAlignment="1">
      <alignment horizontal="center" vertical="center" wrapText="1" readingOrder="1"/>
    </xf>
    <xf numFmtId="0" fontId="1" fillId="0" borderId="21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2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horizontal="center" vertical="center" wrapText="1" readingOrder="2"/>
      <protection locked="0"/>
    </xf>
    <xf numFmtId="0" fontId="6" fillId="4" borderId="10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5" fillId="4" borderId="3" xfId="0" applyFont="1" applyFill="1" applyBorder="1" applyAlignment="1" applyProtection="1">
      <alignment horizontal="center" vertical="center" wrapText="1" readingOrder="2"/>
      <protection locked="0"/>
    </xf>
    <xf numFmtId="0" fontId="5" fillId="4" borderId="5" xfId="0" applyFont="1" applyFill="1" applyBorder="1" applyAlignment="1" applyProtection="1">
      <alignment horizontal="center" vertical="center" wrapText="1" readingOrder="2"/>
      <protection locked="0"/>
    </xf>
    <xf numFmtId="0" fontId="5" fillId="4" borderId="11" xfId="0" applyFont="1" applyFill="1" applyBorder="1" applyAlignment="1" applyProtection="1">
      <alignment horizontal="center" vertical="center" wrapText="1" readingOrder="2"/>
      <protection locked="0"/>
    </xf>
    <xf numFmtId="0" fontId="5" fillId="4" borderId="12" xfId="0" applyFont="1" applyFill="1" applyBorder="1" applyAlignment="1" applyProtection="1">
      <alignment horizontal="center" vertical="center" wrapText="1" readingOrder="2"/>
      <protection locked="0"/>
    </xf>
    <xf numFmtId="0" fontId="1" fillId="0" borderId="8" xfId="0" applyFont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 wrapText="1" readingOrder="1"/>
    </xf>
    <xf numFmtId="0" fontId="5" fillId="4" borderId="7" xfId="0" applyFont="1" applyFill="1" applyBorder="1" applyAlignment="1" applyProtection="1">
      <alignment horizontal="center" vertical="center" wrapText="1" readingOrder="2"/>
      <protection locked="0"/>
    </xf>
    <xf numFmtId="0" fontId="5" fillId="4" borderId="8" xfId="0" applyFont="1" applyFill="1" applyBorder="1" applyAlignment="1" applyProtection="1">
      <alignment horizontal="center" vertical="center" wrapText="1" readingOrder="2"/>
      <protection locked="0"/>
    </xf>
    <xf numFmtId="0" fontId="1" fillId="0" borderId="17" xfId="0" applyFont="1" applyBorder="1" applyAlignment="1">
      <alignment horizontal="center" vertical="center" wrapText="1" readingOrder="2"/>
    </xf>
    <xf numFmtId="0" fontId="1" fillId="0" borderId="22" xfId="0" applyFont="1" applyBorder="1" applyAlignment="1">
      <alignment horizontal="center" vertical="center" wrapText="1" readingOrder="2"/>
    </xf>
    <xf numFmtId="0" fontId="1" fillId="0" borderId="18" xfId="0" applyFont="1" applyBorder="1" applyAlignment="1">
      <alignment horizontal="center" vertical="center" wrapText="1" readingOrder="2"/>
    </xf>
    <xf numFmtId="10" fontId="1" fillId="0" borderId="8" xfId="0" applyNumberFormat="1" applyFont="1" applyBorder="1" applyAlignment="1">
      <alignment horizontal="center" vertical="center" wrapText="1" readingOrder="2"/>
    </xf>
    <xf numFmtId="10" fontId="1" fillId="0" borderId="9" xfId="0" applyNumberFormat="1" applyFont="1" applyBorder="1" applyAlignment="1">
      <alignment horizontal="center" vertical="center" wrapText="1" readingOrder="2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5" fillId="4" borderId="15" xfId="0" applyFont="1" applyFill="1" applyBorder="1" applyAlignment="1" applyProtection="1">
      <alignment horizontal="center" vertical="center" wrapText="1" readingOrder="2"/>
      <protection locked="0"/>
    </xf>
    <xf numFmtId="0" fontId="5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1" xfId="0" applyFont="1" applyBorder="1" applyAlignment="1" applyProtection="1">
      <alignment horizontal="center" vertical="center" wrapText="1" readingOrder="2"/>
      <protection locked="0"/>
    </xf>
    <xf numFmtId="0" fontId="2" fillId="0" borderId="12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5" fillId="4" borderId="20" xfId="0" applyFont="1" applyFill="1" applyBorder="1" applyAlignment="1" applyProtection="1">
      <alignment horizontal="center" vertical="center" wrapText="1" readingOrder="2"/>
      <protection locked="0"/>
    </xf>
    <xf numFmtId="0" fontId="5" fillId="4" borderId="21" xfId="0" applyFont="1" applyFill="1" applyBorder="1" applyAlignment="1" applyProtection="1">
      <alignment horizontal="center" vertical="center" wrapText="1" readingOrder="2"/>
      <protection locked="0"/>
    </xf>
    <xf numFmtId="0" fontId="7" fillId="0" borderId="13" xfId="0" applyFont="1" applyBorder="1" applyAlignment="1">
      <alignment horizontal="right" vertical="center" wrapText="1" indent="2" readingOrder="2"/>
    </xf>
    <xf numFmtId="0" fontId="7" fillId="0" borderId="2" xfId="0" applyFont="1" applyBorder="1" applyAlignment="1">
      <alignment horizontal="right" vertical="center" wrapText="1" indent="2" readingOrder="2"/>
    </xf>
    <xf numFmtId="0" fontId="7" fillId="0" borderId="10" xfId="0" applyFont="1" applyBorder="1" applyAlignment="1">
      <alignment horizontal="right" vertical="center" wrapText="1" indent="2" readingOrder="2"/>
    </xf>
    <xf numFmtId="0" fontId="7" fillId="0" borderId="11" xfId="0" applyFont="1" applyBorder="1" applyAlignment="1">
      <alignment horizontal="right" vertical="center" wrapText="1" indent="2" readingOrder="2"/>
    </xf>
    <xf numFmtId="0" fontId="1" fillId="0" borderId="25" xfId="0" applyFont="1" applyBorder="1" applyAlignment="1">
      <alignment horizontal="right" vertical="center" wrapText="1" readingOrder="2"/>
    </xf>
    <xf numFmtId="0" fontId="1" fillId="0" borderId="26" xfId="0" applyFont="1" applyBorder="1" applyAlignment="1">
      <alignment horizontal="right" vertical="center" wrapText="1" readingOrder="2"/>
    </xf>
    <xf numFmtId="0" fontId="1" fillId="0" borderId="27" xfId="0" applyFont="1" applyBorder="1" applyAlignment="1">
      <alignment horizontal="right" vertical="center" wrapText="1" readingOrder="2"/>
    </xf>
    <xf numFmtId="0" fontId="1" fillId="0" borderId="7" xfId="0" applyFont="1" applyBorder="1" applyAlignment="1">
      <alignment horizontal="right" vertical="center" wrapText="1" readingOrder="2"/>
    </xf>
    <xf numFmtId="0" fontId="1" fillId="0" borderId="8" xfId="0" applyFont="1" applyBorder="1" applyAlignment="1">
      <alignment horizontal="right" vertical="center" wrapText="1" readingOrder="2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 applyProtection="1">
      <alignment horizontal="center" vertical="center" wrapText="1" readingOrder="2"/>
      <protection locked="0"/>
    </xf>
    <xf numFmtId="0" fontId="2" fillId="0" borderId="24" xfId="0" applyFont="1" applyBorder="1" applyAlignment="1" applyProtection="1">
      <alignment horizontal="center" vertical="center" wrapText="1" readingOrder="2"/>
      <protection locked="0"/>
    </xf>
    <xf numFmtId="0" fontId="7" fillId="0" borderId="23" xfId="0" applyFont="1" applyBorder="1" applyAlignment="1">
      <alignment horizontal="right" vertical="center" wrapText="1" indent="2" readingOrder="2"/>
    </xf>
    <xf numFmtId="0" fontId="7" fillId="0" borderId="19" xfId="0" applyFont="1" applyBorder="1" applyAlignment="1">
      <alignment horizontal="right" vertical="center" wrapText="1" indent="2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  <xf numFmtId="49" fontId="4" fillId="0" borderId="0" xfId="0" applyNumberFormat="1" applyFont="1" applyAlignment="1" applyProtection="1">
      <alignment horizontal="center" vertical="center" readingOrder="2"/>
      <protection locked="0"/>
    </xf>
  </cellXfs>
  <cellStyles count="1">
    <cellStyle name="Normal" xfId="0" builtinId="0"/>
  </cellStyles>
  <dxfs count="3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23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3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87" t="s">
        <v>187</v>
      </c>
      <c r="C1" s="88"/>
      <c r="D1" s="88"/>
      <c r="E1" s="88"/>
      <c r="F1" s="88"/>
      <c r="G1" s="88"/>
      <c r="H1" s="88"/>
      <c r="I1" s="88"/>
      <c r="J1" s="88"/>
    </row>
    <row r="2" spans="1:10" ht="30" customHeight="1" x14ac:dyDescent="0.25">
      <c r="B2" s="11" t="s">
        <v>8</v>
      </c>
      <c r="C2" s="48" t="s">
        <v>55</v>
      </c>
      <c r="D2" s="48"/>
      <c r="E2" s="11" t="s">
        <v>7</v>
      </c>
      <c r="F2" s="43" t="s">
        <v>54</v>
      </c>
      <c r="G2" s="43"/>
      <c r="H2" s="43"/>
      <c r="I2" s="43"/>
      <c r="J2" s="43"/>
    </row>
    <row r="3" spans="1:10" ht="30" customHeight="1" x14ac:dyDescent="0.25">
      <c r="B3" s="11" t="s">
        <v>9</v>
      </c>
      <c r="C3" s="48" t="s">
        <v>58</v>
      </c>
      <c r="D3" s="48"/>
      <c r="E3" s="11" t="s">
        <v>6</v>
      </c>
      <c r="F3" s="48" t="s">
        <v>57</v>
      </c>
      <c r="G3" s="48"/>
      <c r="H3" s="48"/>
      <c r="I3" s="48"/>
      <c r="J3" s="48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44" t="s">
        <v>0</v>
      </c>
      <c r="C5" s="45"/>
      <c r="D5" s="45"/>
      <c r="E5" s="49" t="s">
        <v>1</v>
      </c>
      <c r="F5" s="49"/>
      <c r="G5" s="49"/>
      <c r="H5" s="49"/>
      <c r="I5" s="49" t="s">
        <v>2</v>
      </c>
      <c r="J5" s="50"/>
    </row>
    <row r="6" spans="1:10" ht="24.95" customHeight="1" thickBot="1" x14ac:dyDescent="0.3">
      <c r="A6" s="9"/>
      <c r="B6" s="46"/>
      <c r="C6" s="47"/>
      <c r="D6" s="47"/>
      <c r="E6" s="10" t="s">
        <v>3</v>
      </c>
      <c r="F6" s="10" t="s">
        <v>4</v>
      </c>
      <c r="G6" s="10" t="s">
        <v>23</v>
      </c>
      <c r="H6" s="10" t="s">
        <v>24</v>
      </c>
      <c r="I6" s="51"/>
      <c r="J6" s="52"/>
    </row>
    <row r="7" spans="1:10" ht="24.95" customHeight="1" thickBot="1" x14ac:dyDescent="0.3">
      <c r="A7" s="9"/>
      <c r="B7" s="62" t="s">
        <v>21</v>
      </c>
      <c r="C7" s="63"/>
      <c r="D7" s="63"/>
      <c r="E7" s="19" t="s">
        <v>18</v>
      </c>
      <c r="F7" s="19" t="s">
        <v>19</v>
      </c>
      <c r="G7" s="19" t="s">
        <v>22</v>
      </c>
      <c r="H7" s="19" t="s">
        <v>20</v>
      </c>
      <c r="I7" s="64" t="s">
        <v>25</v>
      </c>
      <c r="J7" s="65"/>
    </row>
    <row r="8" spans="1:10" ht="30" customHeight="1" thickBot="1" x14ac:dyDescent="0.3">
      <c r="A8" s="9"/>
      <c r="B8" s="79" t="s">
        <v>174</v>
      </c>
      <c r="C8" s="80"/>
      <c r="D8" s="80"/>
      <c r="E8" s="25">
        <v>5</v>
      </c>
      <c r="F8" s="35" t="s">
        <v>60</v>
      </c>
      <c r="G8" s="24" t="str">
        <f>IFERROR(F8/E8,"")</f>
        <v/>
      </c>
      <c r="H8" s="34" t="str">
        <f>_xlfn.IFS(F8="أدخل العلامة","",F8="لا ينطبق","تم الإلغاء",G8&gt;=90%,"ممتاز",G8&gt;=80%,"جيد جداً",G8&gt;=70%,"جيد",G8&gt;=60%,"مقبول",G8&lt;60%,"راسب")</f>
        <v/>
      </c>
      <c r="I8" s="81"/>
      <c r="J8" s="82"/>
    </row>
    <row r="9" spans="1:10" ht="30" customHeight="1" x14ac:dyDescent="0.25">
      <c r="A9" s="9"/>
      <c r="B9" s="76" t="s">
        <v>178</v>
      </c>
      <c r="C9" s="77"/>
      <c r="D9" s="77"/>
      <c r="E9" s="77"/>
      <c r="F9" s="77"/>
      <c r="G9" s="77"/>
      <c r="H9" s="77"/>
      <c r="I9" s="77"/>
      <c r="J9" s="78"/>
    </row>
    <row r="10" spans="1:10" ht="30" customHeight="1" x14ac:dyDescent="0.25">
      <c r="A10" s="9"/>
      <c r="B10" s="72" t="s">
        <v>181</v>
      </c>
      <c r="C10" s="73"/>
      <c r="D10" s="73"/>
      <c r="E10" s="41">
        <v>5</v>
      </c>
      <c r="F10" s="32" t="s">
        <v>60</v>
      </c>
      <c r="G10" s="20" t="str">
        <f>IFERROR(F10/E10,"")</f>
        <v/>
      </c>
      <c r="H10" s="21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68"/>
      <c r="J10" s="69"/>
    </row>
    <row r="11" spans="1:10" ht="30" customHeight="1" x14ac:dyDescent="0.25">
      <c r="A11" s="9"/>
      <c r="B11" s="72" t="s">
        <v>175</v>
      </c>
      <c r="C11" s="73"/>
      <c r="D11" s="73"/>
      <c r="E11" s="41">
        <v>5</v>
      </c>
      <c r="F11" s="32" t="s">
        <v>60</v>
      </c>
      <c r="G11" s="20" t="str">
        <f>IFERROR(F11/E11,"")</f>
        <v/>
      </c>
      <c r="H11" s="21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68"/>
      <c r="J11" s="69"/>
    </row>
    <row r="12" spans="1:10" ht="30" customHeight="1" thickBot="1" x14ac:dyDescent="0.3">
      <c r="A12" s="9"/>
      <c r="B12" s="74" t="s">
        <v>182</v>
      </c>
      <c r="C12" s="75"/>
      <c r="D12" s="75"/>
      <c r="E12" s="42">
        <v>5</v>
      </c>
      <c r="F12" s="33" t="s">
        <v>60</v>
      </c>
      <c r="G12" s="22" t="str">
        <f t="shared" ref="G12:G16" si="0">IFERROR(F12/E12,"")</f>
        <v/>
      </c>
      <c r="H12" s="23" t="str">
        <f t="shared" ref="H12:H16" si="1">_xlfn.IFS(F12="أدخل العلامة","",F12="لا ينطبق","تم الإلغاء",G12&gt;=90%,"ممتاز",G12&gt;=80%,"جيد جداً",G12&gt;=70%,"جيد",G12&gt;=60%,"مقبول",G12&lt;60%,"راسب")</f>
        <v/>
      </c>
      <c r="I12" s="66"/>
      <c r="J12" s="67"/>
    </row>
    <row r="13" spans="1:10" ht="30" customHeight="1" x14ac:dyDescent="0.25">
      <c r="A13" s="9"/>
      <c r="B13" s="76" t="s">
        <v>177</v>
      </c>
      <c r="C13" s="77"/>
      <c r="D13" s="77"/>
      <c r="E13" s="77"/>
      <c r="F13" s="77"/>
      <c r="G13" s="77"/>
      <c r="H13" s="77"/>
      <c r="I13" s="77"/>
      <c r="J13" s="78"/>
    </row>
    <row r="14" spans="1:10" ht="30" customHeight="1" x14ac:dyDescent="0.25">
      <c r="A14" s="9"/>
      <c r="B14" s="72" t="s">
        <v>183</v>
      </c>
      <c r="C14" s="73"/>
      <c r="D14" s="73"/>
      <c r="E14" s="8">
        <v>5</v>
      </c>
      <c r="F14" s="32" t="s">
        <v>60</v>
      </c>
      <c r="G14" s="20" t="str">
        <f t="shared" si="0"/>
        <v/>
      </c>
      <c r="H14" s="21" t="str">
        <f t="shared" si="1"/>
        <v/>
      </c>
      <c r="I14" s="68"/>
      <c r="J14" s="69"/>
    </row>
    <row r="15" spans="1:10" ht="30" customHeight="1" x14ac:dyDescent="0.25">
      <c r="A15" s="9"/>
      <c r="B15" s="72" t="s">
        <v>184</v>
      </c>
      <c r="C15" s="73"/>
      <c r="D15" s="73"/>
      <c r="E15" s="8">
        <v>5</v>
      </c>
      <c r="F15" s="32" t="s">
        <v>60</v>
      </c>
      <c r="G15" s="20" t="str">
        <f t="shared" si="0"/>
        <v/>
      </c>
      <c r="H15" s="21" t="str">
        <f t="shared" si="1"/>
        <v/>
      </c>
      <c r="I15" s="68"/>
      <c r="J15" s="69"/>
    </row>
    <row r="16" spans="1:10" ht="30" customHeight="1" thickBot="1" x14ac:dyDescent="0.3">
      <c r="A16" s="9"/>
      <c r="B16" s="85" t="s">
        <v>176</v>
      </c>
      <c r="C16" s="86"/>
      <c r="D16" s="86"/>
      <c r="E16" s="36">
        <v>5</v>
      </c>
      <c r="F16" s="37" t="s">
        <v>60</v>
      </c>
      <c r="G16" s="38" t="str">
        <f t="shared" si="0"/>
        <v/>
      </c>
      <c r="H16" s="39" t="str">
        <f t="shared" si="1"/>
        <v/>
      </c>
      <c r="I16" s="83"/>
      <c r="J16" s="84"/>
    </row>
    <row r="17" spans="1:10" ht="30" customHeight="1" x14ac:dyDescent="0.25">
      <c r="A17" s="9"/>
      <c r="B17" s="76" t="s">
        <v>179</v>
      </c>
      <c r="C17" s="77"/>
      <c r="D17" s="77"/>
      <c r="E17" s="77"/>
      <c r="F17" s="77"/>
      <c r="G17" s="77"/>
      <c r="H17" s="77"/>
      <c r="I17" s="77"/>
      <c r="J17" s="78"/>
    </row>
    <row r="18" spans="1:10" ht="30" customHeight="1" x14ac:dyDescent="0.25">
      <c r="A18" s="9"/>
      <c r="B18" s="72" t="s">
        <v>185</v>
      </c>
      <c r="C18" s="73"/>
      <c r="D18" s="73"/>
      <c r="E18" s="8">
        <v>5</v>
      </c>
      <c r="F18" s="32" t="s">
        <v>60</v>
      </c>
      <c r="G18" s="20" t="str">
        <f t="shared" ref="G18:G20" si="2">IFERROR(F18/E18,"")</f>
        <v/>
      </c>
      <c r="H18" s="21" t="str">
        <f t="shared" ref="H18:H20" si="3">_xlfn.IFS(F18="أدخل العلامة","",F18="لا ينطبق","تم الإلغاء",G18&gt;=90%,"ممتاز",G18&gt;=80%,"جيد جداً",G18&gt;=70%,"جيد",G18&gt;=60%,"مقبول",G18&lt;60%,"راسب")</f>
        <v/>
      </c>
      <c r="I18" s="68"/>
      <c r="J18" s="69"/>
    </row>
    <row r="19" spans="1:10" ht="30" customHeight="1" x14ac:dyDescent="0.25">
      <c r="A19" s="9"/>
      <c r="B19" s="72" t="s">
        <v>186</v>
      </c>
      <c r="C19" s="73"/>
      <c r="D19" s="73"/>
      <c r="E19" s="8">
        <v>5</v>
      </c>
      <c r="F19" s="32" t="s">
        <v>60</v>
      </c>
      <c r="G19" s="20" t="str">
        <f t="shared" si="2"/>
        <v/>
      </c>
      <c r="H19" s="21" t="str">
        <f t="shared" si="3"/>
        <v/>
      </c>
      <c r="I19" s="68"/>
      <c r="J19" s="69"/>
    </row>
    <row r="20" spans="1:10" ht="30" customHeight="1" thickBot="1" x14ac:dyDescent="0.3">
      <c r="A20" s="9"/>
      <c r="B20" s="74" t="s">
        <v>180</v>
      </c>
      <c r="C20" s="75"/>
      <c r="D20" s="75"/>
      <c r="E20" s="18">
        <v>5</v>
      </c>
      <c r="F20" s="33" t="s">
        <v>60</v>
      </c>
      <c r="G20" s="22" t="str">
        <f t="shared" si="2"/>
        <v/>
      </c>
      <c r="H20" s="23" t="str">
        <f t="shared" si="3"/>
        <v/>
      </c>
      <c r="I20" s="66"/>
      <c r="J20" s="67"/>
    </row>
    <row r="21" spans="1:10" ht="30" customHeight="1" thickBot="1" x14ac:dyDescent="0.3">
      <c r="A21" s="4"/>
      <c r="B21" s="70" t="s">
        <v>5</v>
      </c>
      <c r="C21" s="71"/>
      <c r="D21" s="71"/>
      <c r="E21" s="40">
        <f>SUM(E8:E20)</f>
        <v>50</v>
      </c>
      <c r="F21" s="40">
        <f>SUM(F10:F20)</f>
        <v>0</v>
      </c>
      <c r="G21" s="57"/>
      <c r="H21" s="58"/>
      <c r="I21" s="58"/>
      <c r="J21" s="59"/>
    </row>
    <row r="22" spans="1:10" ht="30" customHeight="1" thickBot="1" x14ac:dyDescent="0.3">
      <c r="A22" s="4"/>
      <c r="B22" s="55" t="s">
        <v>52</v>
      </c>
      <c r="C22" s="56"/>
      <c r="D22" s="56"/>
      <c r="E22" s="60">
        <f>F21/E21/100*100</f>
        <v>0</v>
      </c>
      <c r="F22" s="60"/>
      <c r="G22" s="60"/>
      <c r="H22" s="60"/>
      <c r="I22" s="60"/>
      <c r="J22" s="61"/>
    </row>
    <row r="23" spans="1:10" ht="30" customHeight="1" thickBot="1" x14ac:dyDescent="0.3">
      <c r="A23" s="4"/>
      <c r="B23" s="55" t="s">
        <v>53</v>
      </c>
      <c r="C23" s="56"/>
      <c r="D23" s="56"/>
      <c r="E23" s="53" t="str">
        <f>_xlfn.IFS(E22&gt;=90%,"ممتاز",E22&gt;=80%,"جيد جداً",E22&gt;=70%,"جيد",E22&gt;=60%,"مقبول",E22&lt;60%,"راسب")</f>
        <v>راسب</v>
      </c>
      <c r="F23" s="53"/>
      <c r="G23" s="53"/>
      <c r="H23" s="53"/>
      <c r="I23" s="53"/>
      <c r="J23" s="54"/>
    </row>
  </sheetData>
  <sheetProtection formatCells="0" formatColumns="0" formatRows="0" insertColumns="0" insertRows="0" insertHyperlinks="0" deleteColumns="0" deleteRows="0" selectLockedCells="1" sort="0" autoFilter="0" pivotTables="0"/>
  <mergeCells count="39">
    <mergeCell ref="B8:D8"/>
    <mergeCell ref="I8:J8"/>
    <mergeCell ref="B9:J9"/>
    <mergeCell ref="B13:J13"/>
    <mergeCell ref="I16:J16"/>
    <mergeCell ref="B14:D14"/>
    <mergeCell ref="B15:D15"/>
    <mergeCell ref="B16:D16"/>
    <mergeCell ref="B17:J17"/>
    <mergeCell ref="B18:D18"/>
    <mergeCell ref="B19:D19"/>
    <mergeCell ref="B20:D20"/>
    <mergeCell ref="I18:J18"/>
    <mergeCell ref="I19:J19"/>
    <mergeCell ref="I20:J20"/>
    <mergeCell ref="E23:J23"/>
    <mergeCell ref="B23:D23"/>
    <mergeCell ref="G21:J21"/>
    <mergeCell ref="E22:J22"/>
    <mergeCell ref="B7:D7"/>
    <mergeCell ref="I7:J7"/>
    <mergeCell ref="I12:J12"/>
    <mergeCell ref="I10:J10"/>
    <mergeCell ref="B21:D21"/>
    <mergeCell ref="B22:D22"/>
    <mergeCell ref="B10:D10"/>
    <mergeCell ref="I14:J14"/>
    <mergeCell ref="I15:J15"/>
    <mergeCell ref="B11:D11"/>
    <mergeCell ref="I11:J11"/>
    <mergeCell ref="B12:D12"/>
    <mergeCell ref="B1:J1"/>
    <mergeCell ref="F2:J2"/>
    <mergeCell ref="B5:D6"/>
    <mergeCell ref="C2:D2"/>
    <mergeCell ref="C3:D3"/>
    <mergeCell ref="F3:J3"/>
    <mergeCell ref="E5:H5"/>
    <mergeCell ref="I5:J6"/>
  </mergeCells>
  <conditionalFormatting sqref="C2:D2">
    <cfRule type="containsText" dxfId="36" priority="60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35" priority="59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3">
    <cfRule type="expression" dxfId="34" priority="99">
      <formula>$E23="راسب"</formula>
    </cfRule>
  </conditionalFormatting>
  <conditionalFormatting sqref="E23:J23">
    <cfRule type="expression" dxfId="33" priority="100">
      <formula>$E23="مقبول"</formula>
    </cfRule>
    <cfRule type="expression" dxfId="32" priority="101">
      <formula>$E23="جيد"</formula>
    </cfRule>
    <cfRule type="expression" dxfId="31" priority="102">
      <formula>$E23="جيد جداً"</formula>
    </cfRule>
    <cfRule type="expression" dxfId="30" priority="103">
      <formula>$E23="ممتاز"</formula>
    </cfRule>
  </conditionalFormatting>
  <conditionalFormatting sqref="F10:F12">
    <cfRule type="containsText" dxfId="29" priority="46" operator="containsText" text="أدخل العلامة">
      <formula>NOT(ISERROR(SEARCH("أدخل العلامة",F10)))</formula>
    </cfRule>
  </conditionalFormatting>
  <conditionalFormatting sqref="F14:F16">
    <cfRule type="containsText" dxfId="28" priority="56" operator="containsText" text="أدخل العلامة">
      <formula>NOT(ISERROR(SEARCH("أدخل العلامة",F14)))</formula>
    </cfRule>
  </conditionalFormatting>
  <conditionalFormatting sqref="F2:J2">
    <cfRule type="containsText" dxfId="27" priority="61" operator="containsText" text="أدخل التاريخ">
      <formula>NOT(ISERROR(SEARCH("أدخل التاريخ",F2)))</formula>
    </cfRule>
  </conditionalFormatting>
  <conditionalFormatting sqref="F3:J3">
    <cfRule type="containsText" dxfId="26" priority="58" operator="containsText" text="أدخل أسم المحكم">
      <formula>NOT(ISERROR(SEARCH("أدخل أسم المحكم",F3)))</formula>
    </cfRule>
  </conditionalFormatting>
  <conditionalFormatting sqref="H10:H12">
    <cfRule type="containsText" dxfId="25" priority="47" operator="containsText" text="أدخل العلامة">
      <formula>NOT(ISERROR(SEARCH("أدخل العلامة",H10)))</formula>
    </cfRule>
    <cfRule type="containsText" dxfId="24" priority="48" operator="containsText" text="ممتاز">
      <formula>NOT(ISERROR(SEARCH("ممتاز",H10)))</formula>
    </cfRule>
    <cfRule type="containsText" dxfId="23" priority="49" operator="containsText" text="جيد جداً">
      <formula>NOT(ISERROR(SEARCH("جيد جداً",H10)))</formula>
    </cfRule>
    <cfRule type="containsText" dxfId="22" priority="50" operator="containsText" text="جيد">
      <formula>NOT(ISERROR(SEARCH("جيد",H10)))</formula>
    </cfRule>
    <cfRule type="containsText" dxfId="21" priority="51" operator="containsText" text="مقبول">
      <formula>NOT(ISERROR(SEARCH("مقبول",H10)))</formula>
    </cfRule>
    <cfRule type="containsText" dxfId="20" priority="52" operator="containsText" text="راسب">
      <formula>NOT(ISERROR(SEARCH("راسب",H10)))</formula>
    </cfRule>
  </conditionalFormatting>
  <conditionalFormatting sqref="H14:H16">
    <cfRule type="containsText" dxfId="19" priority="80" operator="containsText" text="أدخل العلامة">
      <formula>NOT(ISERROR(SEARCH("أدخل العلامة",H14)))</formula>
    </cfRule>
    <cfRule type="containsText" dxfId="18" priority="81" operator="containsText" text="ممتاز">
      <formula>NOT(ISERROR(SEARCH("ممتاز",H14)))</formula>
    </cfRule>
    <cfRule type="containsText" dxfId="17" priority="82" operator="containsText" text="جيد جداً">
      <formula>NOT(ISERROR(SEARCH("جيد جداً",H14)))</formula>
    </cfRule>
    <cfRule type="containsText" dxfId="16" priority="83" operator="containsText" text="جيد">
      <formula>NOT(ISERROR(SEARCH("جيد",H14)))</formula>
    </cfRule>
    <cfRule type="containsText" dxfId="15" priority="84" operator="containsText" text="مقبول">
      <formula>NOT(ISERROR(SEARCH("مقبول",H14)))</formula>
    </cfRule>
    <cfRule type="containsText" dxfId="14" priority="85" operator="containsText" text="راسب">
      <formula>NOT(ISERROR(SEARCH("راسب",H14)))</formula>
    </cfRule>
  </conditionalFormatting>
  <conditionalFormatting sqref="F18:F20">
    <cfRule type="containsText" dxfId="13" priority="36" operator="containsText" text="أدخل العلامة">
      <formula>NOT(ISERROR(SEARCH("أدخل العلامة",F18)))</formula>
    </cfRule>
  </conditionalFormatting>
  <conditionalFormatting sqref="H18:H20">
    <cfRule type="containsText" dxfId="12" priority="37" operator="containsText" text="أدخل العلامة">
      <formula>NOT(ISERROR(SEARCH("أدخل العلامة",H18)))</formula>
    </cfRule>
    <cfRule type="containsText" dxfId="11" priority="38" operator="containsText" text="ممتاز">
      <formula>NOT(ISERROR(SEARCH("ممتاز",H18)))</formula>
    </cfRule>
    <cfRule type="containsText" dxfId="10" priority="39" operator="containsText" text="جيد جداً">
      <formula>NOT(ISERROR(SEARCH("جيد جداً",H18)))</formula>
    </cfRule>
    <cfRule type="containsText" dxfId="9" priority="40" operator="containsText" text="جيد">
      <formula>NOT(ISERROR(SEARCH("جيد",H18)))</formula>
    </cfRule>
    <cfRule type="containsText" dxfId="8" priority="41" operator="containsText" text="مقبول">
      <formula>NOT(ISERROR(SEARCH("مقبول",H18)))</formula>
    </cfRule>
    <cfRule type="containsText" dxfId="7" priority="42" operator="containsText" text="راسب">
      <formula>NOT(ISERROR(SEARCH("راسب",H18)))</formula>
    </cfRule>
  </conditionalFormatting>
  <conditionalFormatting sqref="F8">
    <cfRule type="containsText" dxfId="6" priority="22" operator="containsText" text="أدخل العلامة">
      <formula>NOT(ISERROR(SEARCH("أدخل العلامة",F8)))</formula>
    </cfRule>
  </conditionalFormatting>
  <conditionalFormatting sqref="H8">
    <cfRule type="containsText" dxfId="5" priority="23" operator="containsText" text="أدخل العلامة">
      <formula>NOT(ISERROR(SEARCH("أدخل العلامة",H8)))</formula>
    </cfRule>
    <cfRule type="containsText" dxfId="4" priority="24" operator="containsText" text="ممتاز">
      <formula>NOT(ISERROR(SEARCH("ممتاز",H8)))</formula>
    </cfRule>
    <cfRule type="containsText" dxfId="3" priority="25" operator="containsText" text="جيد جداً">
      <formula>NOT(ISERROR(SEARCH("جيد جداً",H8)))</formula>
    </cfRule>
    <cfRule type="containsText" dxfId="2" priority="26" operator="containsText" text="جيد">
      <formula>NOT(ISERROR(SEARCH("جيد",H8)))</formula>
    </cfRule>
    <cfRule type="containsText" dxfId="1" priority="27" operator="containsText" text="مقبول">
      <formula>NOT(ISERROR(SEARCH("مقبول",H8)))</formula>
    </cfRule>
    <cfRule type="containsText" dxfId="0" priority="28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'بيانات التقييم'!$A$111:$A$133</xm:f>
          </x14:formula1>
          <xm:sqref>F8 F10:F12 F14:F16 F18:F20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37"/>
  <sheetViews>
    <sheetView rightToLeft="1" topLeftCell="A268" workbookViewId="0">
      <selection activeCell="C2" sqref="C2:C28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55</v>
      </c>
      <c r="C1" s="2" t="s">
        <v>58</v>
      </c>
    </row>
    <row r="2" spans="1:3" ht="20.100000000000001" customHeight="1" thickBot="1" x14ac:dyDescent="0.3">
      <c r="A2" s="2" t="s">
        <v>35</v>
      </c>
      <c r="C2" s="31" t="s">
        <v>147</v>
      </c>
    </row>
    <row r="3" spans="1:3" ht="20.100000000000001" customHeight="1" thickBot="1" x14ac:dyDescent="0.3">
      <c r="A3" s="2" t="s">
        <v>26</v>
      </c>
      <c r="C3" s="31" t="s">
        <v>148</v>
      </c>
    </row>
    <row r="4" spans="1:3" ht="20.100000000000001" customHeight="1" thickBot="1" x14ac:dyDescent="0.3">
      <c r="A4" s="2" t="s">
        <v>36</v>
      </c>
      <c r="C4" s="31" t="s">
        <v>149</v>
      </c>
    </row>
    <row r="5" spans="1:3" ht="20.100000000000001" customHeight="1" thickBot="1" x14ac:dyDescent="0.3">
      <c r="A5" s="2" t="s">
        <v>37</v>
      </c>
      <c r="C5" s="31" t="s">
        <v>150</v>
      </c>
    </row>
    <row r="6" spans="1:3" ht="20.100000000000001" customHeight="1" thickBot="1" x14ac:dyDescent="0.3">
      <c r="A6" s="2" t="s">
        <v>38</v>
      </c>
      <c r="C6" s="31" t="s">
        <v>151</v>
      </c>
    </row>
    <row r="7" spans="1:3" ht="20.100000000000001" customHeight="1" thickBot="1" x14ac:dyDescent="0.3">
      <c r="A7" s="2" t="s">
        <v>39</v>
      </c>
      <c r="C7" s="31" t="s">
        <v>152</v>
      </c>
    </row>
    <row r="8" spans="1:3" ht="20.100000000000001" customHeight="1" thickBot="1" x14ac:dyDescent="0.3">
      <c r="A8" s="2" t="s">
        <v>40</v>
      </c>
      <c r="C8" s="31" t="s">
        <v>153</v>
      </c>
    </row>
    <row r="9" spans="1:3" ht="20.100000000000001" customHeight="1" thickBot="1" x14ac:dyDescent="0.3">
      <c r="A9" s="2" t="s">
        <v>41</v>
      </c>
      <c r="C9" s="31" t="s">
        <v>154</v>
      </c>
    </row>
    <row r="10" spans="1:3" ht="20.100000000000001" customHeight="1" thickBot="1" x14ac:dyDescent="0.3">
      <c r="A10" s="2" t="s">
        <v>42</v>
      </c>
      <c r="C10" s="31" t="s">
        <v>155</v>
      </c>
    </row>
    <row r="11" spans="1:3" ht="20.100000000000001" customHeight="1" thickBot="1" x14ac:dyDescent="0.3">
      <c r="A11" s="2" t="s">
        <v>43</v>
      </c>
      <c r="C11" s="31" t="s">
        <v>156</v>
      </c>
    </row>
    <row r="12" spans="1:3" ht="20.100000000000001" customHeight="1" thickBot="1" x14ac:dyDescent="0.3">
      <c r="A12" s="2" t="s">
        <v>44</v>
      </c>
      <c r="C12" s="31" t="s">
        <v>157</v>
      </c>
    </row>
    <row r="13" spans="1:3" ht="20.100000000000001" customHeight="1" thickBot="1" x14ac:dyDescent="0.3">
      <c r="A13" s="2" t="s">
        <v>45</v>
      </c>
      <c r="C13" s="31" t="s">
        <v>158</v>
      </c>
    </row>
    <row r="14" spans="1:3" ht="20.100000000000001" customHeight="1" thickBot="1" x14ac:dyDescent="0.3">
      <c r="A14" s="2" t="s">
        <v>46</v>
      </c>
      <c r="C14" s="31" t="s">
        <v>159</v>
      </c>
    </row>
    <row r="15" spans="1:3" ht="20.100000000000001" customHeight="1" thickBot="1" x14ac:dyDescent="0.3">
      <c r="A15" s="2" t="s">
        <v>47</v>
      </c>
      <c r="C15" s="31" t="s">
        <v>160</v>
      </c>
    </row>
    <row r="16" spans="1:3" ht="20.100000000000001" customHeight="1" thickBot="1" x14ac:dyDescent="0.3">
      <c r="A16" s="2" t="s">
        <v>10</v>
      </c>
      <c r="C16" s="31" t="s">
        <v>161</v>
      </c>
    </row>
    <row r="17" spans="1:3" ht="20.100000000000001" customHeight="1" thickBot="1" x14ac:dyDescent="0.3">
      <c r="A17" s="2" t="s">
        <v>27</v>
      </c>
      <c r="C17" s="31" t="s">
        <v>162</v>
      </c>
    </row>
    <row r="18" spans="1:3" ht="20.100000000000001" customHeight="1" thickBot="1" x14ac:dyDescent="0.3">
      <c r="A18" s="2" t="s">
        <v>48</v>
      </c>
      <c r="C18" s="31" t="s">
        <v>163</v>
      </c>
    </row>
    <row r="19" spans="1:3" ht="20.100000000000001" customHeight="1" thickBot="1" x14ac:dyDescent="0.3">
      <c r="A19" s="2" t="s">
        <v>49</v>
      </c>
      <c r="C19" s="31" t="s">
        <v>164</v>
      </c>
    </row>
    <row r="20" spans="1:3" ht="20.100000000000001" customHeight="1" thickBot="1" x14ac:dyDescent="0.3">
      <c r="A20" s="2" t="s">
        <v>50</v>
      </c>
      <c r="C20" s="31" t="s">
        <v>165</v>
      </c>
    </row>
    <row r="21" spans="1:3" ht="20.100000000000001" customHeight="1" thickBot="1" x14ac:dyDescent="0.3">
      <c r="A21" s="2" t="s">
        <v>51</v>
      </c>
      <c r="C21" s="31" t="s">
        <v>166</v>
      </c>
    </row>
    <row r="22" spans="1:3" ht="20.100000000000001" customHeight="1" thickBot="1" x14ac:dyDescent="0.3">
      <c r="A22" s="2" t="s">
        <v>11</v>
      </c>
      <c r="C22" s="31" t="s">
        <v>167</v>
      </c>
    </row>
    <row r="23" spans="1:3" ht="20.100000000000001" customHeight="1" thickBot="1" x14ac:dyDescent="0.3">
      <c r="A23" s="2" t="s">
        <v>12</v>
      </c>
      <c r="C23" s="31" t="s">
        <v>168</v>
      </c>
    </row>
    <row r="24" spans="1:3" ht="20.100000000000001" customHeight="1" thickBot="1" x14ac:dyDescent="0.3">
      <c r="A24" s="2" t="s">
        <v>15</v>
      </c>
      <c r="C24" s="31" t="s">
        <v>169</v>
      </c>
    </row>
    <row r="25" spans="1:3" ht="20.100000000000001" customHeight="1" thickBot="1" x14ac:dyDescent="0.3">
      <c r="A25" s="2" t="s">
        <v>28</v>
      </c>
      <c r="C25" s="31" t="s">
        <v>170</v>
      </c>
    </row>
    <row r="26" spans="1:3" ht="20.100000000000001" customHeight="1" thickBot="1" x14ac:dyDescent="0.3">
      <c r="A26" s="2" t="s">
        <v>29</v>
      </c>
      <c r="C26" s="31" t="s">
        <v>171</v>
      </c>
    </row>
    <row r="27" spans="1:3" ht="20.100000000000001" customHeight="1" thickBot="1" x14ac:dyDescent="0.3">
      <c r="A27" s="2" t="s">
        <v>13</v>
      </c>
      <c r="C27" s="31" t="s">
        <v>172</v>
      </c>
    </row>
    <row r="28" spans="1:3" ht="20.100000000000001" customHeight="1" thickBot="1" x14ac:dyDescent="0.3">
      <c r="A28" s="2" t="s">
        <v>30</v>
      </c>
      <c r="C28" s="31" t="s">
        <v>173</v>
      </c>
    </row>
    <row r="29" spans="1:3" ht="20.100000000000001" customHeight="1" thickBot="1" x14ac:dyDescent="0.3">
      <c r="A29" s="2" t="s">
        <v>31</v>
      </c>
      <c r="C29" s="2" t="s">
        <v>59</v>
      </c>
    </row>
    <row r="30" spans="1:3" ht="20.100000000000001" customHeight="1" thickBot="1" x14ac:dyDescent="0.3">
      <c r="A30" s="2" t="s">
        <v>32</v>
      </c>
      <c r="C30" s="2" t="s">
        <v>59</v>
      </c>
    </row>
    <row r="31" spans="1:3" ht="20.100000000000001" customHeight="1" thickBot="1" x14ac:dyDescent="0.3">
      <c r="A31" s="2" t="s">
        <v>33</v>
      </c>
      <c r="C31" s="2" t="s">
        <v>59</v>
      </c>
    </row>
    <row r="32" spans="1:3" ht="20.100000000000001" customHeight="1" thickBot="1" x14ac:dyDescent="0.3">
      <c r="A32" s="2" t="s">
        <v>16</v>
      </c>
      <c r="C32" s="2" t="s">
        <v>59</v>
      </c>
    </row>
    <row r="33" spans="1:9" ht="20.100000000000001" customHeight="1" thickBot="1" x14ac:dyDescent="0.3">
      <c r="A33" s="2" t="s">
        <v>14</v>
      </c>
      <c r="C33" s="2" t="s">
        <v>59</v>
      </c>
    </row>
    <row r="34" spans="1:9" ht="20.100000000000001" customHeight="1" thickBot="1" x14ac:dyDescent="0.3">
      <c r="A34" s="2" t="s">
        <v>34</v>
      </c>
      <c r="C34" s="2" t="s">
        <v>59</v>
      </c>
    </row>
    <row r="35" spans="1:9" ht="20.100000000000001" customHeight="1" x14ac:dyDescent="0.25">
      <c r="A35" s="17"/>
    </row>
    <row r="36" spans="1:9" s="16" customFormat="1" ht="20.100000000000001" customHeight="1" x14ac:dyDescent="0.25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"/>
    <row r="38" spans="1:9" ht="20.100000000000001" customHeight="1" thickBot="1" x14ac:dyDescent="0.3">
      <c r="A38" s="2" t="s">
        <v>54</v>
      </c>
    </row>
    <row r="39" spans="1:9" ht="20.100000000000001" customHeight="1" thickBot="1" x14ac:dyDescent="0.3">
      <c r="A39" s="12">
        <v>45901</v>
      </c>
    </row>
    <row r="40" spans="1:9" ht="20.100000000000001" customHeight="1" thickBot="1" x14ac:dyDescent="0.3">
      <c r="A40" s="12">
        <v>45902</v>
      </c>
    </row>
    <row r="41" spans="1:9" ht="20.100000000000001" customHeight="1" thickBot="1" x14ac:dyDescent="0.3">
      <c r="A41" s="12">
        <v>45903</v>
      </c>
    </row>
    <row r="42" spans="1:9" ht="20.100000000000001" customHeight="1" thickBot="1" x14ac:dyDescent="0.3">
      <c r="A42" s="12">
        <v>45904</v>
      </c>
    </row>
    <row r="43" spans="1:9" ht="20.100000000000001" customHeight="1" thickBot="1" x14ac:dyDescent="0.3">
      <c r="A43" s="12">
        <v>45905</v>
      </c>
    </row>
    <row r="44" spans="1:9" ht="20.100000000000001" customHeight="1" thickBot="1" x14ac:dyDescent="0.3">
      <c r="A44" s="12">
        <v>45906</v>
      </c>
    </row>
    <row r="45" spans="1:9" ht="20.100000000000001" customHeight="1" thickBot="1" x14ac:dyDescent="0.3">
      <c r="A45" s="12">
        <v>45907</v>
      </c>
    </row>
    <row r="46" spans="1:9" ht="20.100000000000001" customHeight="1" thickBot="1" x14ac:dyDescent="0.3">
      <c r="A46" s="12">
        <v>45908</v>
      </c>
    </row>
    <row r="47" spans="1:9" ht="20.100000000000001" customHeight="1" thickBot="1" x14ac:dyDescent="0.3">
      <c r="A47" s="12">
        <v>45909</v>
      </c>
    </row>
    <row r="48" spans="1:9" ht="20.100000000000001" customHeight="1" thickBot="1" x14ac:dyDescent="0.3">
      <c r="A48" s="12">
        <v>45910</v>
      </c>
    </row>
    <row r="49" spans="1:1" ht="20.100000000000001" customHeight="1" thickBot="1" x14ac:dyDescent="0.3">
      <c r="A49" s="12">
        <v>45911</v>
      </c>
    </row>
    <row r="50" spans="1:1" ht="20.100000000000001" customHeight="1" thickBot="1" x14ac:dyDescent="0.3">
      <c r="A50" s="12">
        <v>45912</v>
      </c>
    </row>
    <row r="51" spans="1:1" ht="20.100000000000001" customHeight="1" thickBot="1" x14ac:dyDescent="0.3">
      <c r="A51" s="12">
        <v>45913</v>
      </c>
    </row>
    <row r="52" spans="1:1" ht="20.100000000000001" customHeight="1" thickBot="1" x14ac:dyDescent="0.3">
      <c r="A52" s="12">
        <v>45914</v>
      </c>
    </row>
    <row r="53" spans="1:1" ht="20.100000000000001" customHeight="1" thickBot="1" x14ac:dyDescent="0.3">
      <c r="A53" s="12">
        <v>45915</v>
      </c>
    </row>
    <row r="54" spans="1:1" ht="20.100000000000001" customHeight="1" thickBot="1" x14ac:dyDescent="0.3">
      <c r="A54" s="12">
        <v>45916</v>
      </c>
    </row>
    <row r="55" spans="1:1" ht="20.100000000000001" customHeight="1" thickBot="1" x14ac:dyDescent="0.3">
      <c r="A55" s="12">
        <v>45917</v>
      </c>
    </row>
    <row r="56" spans="1:1" ht="20.100000000000001" customHeight="1" thickBot="1" x14ac:dyDescent="0.3">
      <c r="A56" s="12">
        <v>45918</v>
      </c>
    </row>
    <row r="57" spans="1:1" ht="20.100000000000001" customHeight="1" thickBot="1" x14ac:dyDescent="0.3">
      <c r="A57" s="12">
        <v>45919</v>
      </c>
    </row>
    <row r="58" spans="1:1" ht="20.100000000000001" customHeight="1" thickBot="1" x14ac:dyDescent="0.3">
      <c r="A58" s="12">
        <v>45920</v>
      </c>
    </row>
    <row r="59" spans="1:1" ht="20.100000000000001" customHeight="1" thickBot="1" x14ac:dyDescent="0.3">
      <c r="A59" s="12">
        <v>45921</v>
      </c>
    </row>
    <row r="60" spans="1:1" ht="20.100000000000001" customHeight="1" thickBot="1" x14ac:dyDescent="0.3">
      <c r="A60" s="12">
        <v>45922</v>
      </c>
    </row>
    <row r="61" spans="1:1" ht="20.100000000000001" customHeight="1" thickBot="1" x14ac:dyDescent="0.3">
      <c r="A61" s="12">
        <v>45923</v>
      </c>
    </row>
    <row r="62" spans="1:1" ht="20.100000000000001" customHeight="1" thickBot="1" x14ac:dyDescent="0.3">
      <c r="A62" s="12">
        <v>45924</v>
      </c>
    </row>
    <row r="63" spans="1:1" ht="20.100000000000001" customHeight="1" thickBot="1" x14ac:dyDescent="0.3">
      <c r="A63" s="12">
        <v>45925</v>
      </c>
    </row>
    <row r="64" spans="1:1" ht="20.100000000000001" customHeight="1" thickBot="1" x14ac:dyDescent="0.3">
      <c r="A64" s="12">
        <v>45926</v>
      </c>
    </row>
    <row r="65" spans="1:1" ht="20.100000000000001" customHeight="1" thickBot="1" x14ac:dyDescent="0.3">
      <c r="A65" s="12">
        <v>45927</v>
      </c>
    </row>
    <row r="66" spans="1:1" ht="20.100000000000001" customHeight="1" thickBot="1" x14ac:dyDescent="0.3">
      <c r="A66" s="12">
        <v>45928</v>
      </c>
    </row>
    <row r="67" spans="1:1" ht="20.100000000000001" customHeight="1" thickBot="1" x14ac:dyDescent="0.3">
      <c r="A67" s="12">
        <v>45929</v>
      </c>
    </row>
    <row r="68" spans="1:1" ht="20.100000000000001" customHeight="1" thickBot="1" x14ac:dyDescent="0.3">
      <c r="A68" s="12">
        <v>45930</v>
      </c>
    </row>
    <row r="69" spans="1:1" ht="20.100000000000001" customHeight="1" thickBot="1" x14ac:dyDescent="0.3">
      <c r="A69" s="12">
        <v>45931</v>
      </c>
    </row>
    <row r="70" spans="1:1" ht="20.100000000000001" customHeight="1" thickBot="1" x14ac:dyDescent="0.3">
      <c r="A70" s="12">
        <v>45932</v>
      </c>
    </row>
    <row r="71" spans="1:1" ht="20.100000000000001" customHeight="1" thickBot="1" x14ac:dyDescent="0.3">
      <c r="A71" s="12">
        <v>45933</v>
      </c>
    </row>
    <row r="72" spans="1:1" ht="20.100000000000001" customHeight="1" thickBot="1" x14ac:dyDescent="0.3">
      <c r="A72" s="12">
        <v>45934</v>
      </c>
    </row>
    <row r="73" spans="1:1" ht="20.100000000000001" customHeight="1" thickBot="1" x14ac:dyDescent="0.3">
      <c r="A73" s="12">
        <v>45935</v>
      </c>
    </row>
    <row r="74" spans="1:1" ht="20.100000000000001" customHeight="1" thickBot="1" x14ac:dyDescent="0.3">
      <c r="A74" s="12">
        <v>45936</v>
      </c>
    </row>
    <row r="75" spans="1:1" ht="20.100000000000001" customHeight="1" thickBot="1" x14ac:dyDescent="0.3">
      <c r="A75" s="12">
        <v>45937</v>
      </c>
    </row>
    <row r="76" spans="1:1" ht="20.100000000000001" customHeight="1" thickBot="1" x14ac:dyDescent="0.3">
      <c r="A76" s="12">
        <v>45938</v>
      </c>
    </row>
    <row r="77" spans="1:1" ht="20.100000000000001" customHeight="1" thickBot="1" x14ac:dyDescent="0.3">
      <c r="A77" s="12">
        <v>45939</v>
      </c>
    </row>
    <row r="78" spans="1:1" ht="20.100000000000001" customHeight="1" thickBot="1" x14ac:dyDescent="0.3">
      <c r="A78" s="12">
        <v>45940</v>
      </c>
    </row>
    <row r="79" spans="1:1" ht="20.100000000000001" customHeight="1" thickBot="1" x14ac:dyDescent="0.3">
      <c r="A79" s="12">
        <v>45941</v>
      </c>
    </row>
    <row r="80" spans="1:1" ht="20.100000000000001" customHeight="1" thickBot="1" x14ac:dyDescent="0.3">
      <c r="A80" s="12">
        <v>45942</v>
      </c>
    </row>
    <row r="81" spans="1:1" ht="20.100000000000001" customHeight="1" thickBot="1" x14ac:dyDescent="0.3">
      <c r="A81" s="12">
        <v>45943</v>
      </c>
    </row>
    <row r="82" spans="1:1" ht="20.100000000000001" customHeight="1" thickBot="1" x14ac:dyDescent="0.3">
      <c r="A82" s="12">
        <v>45944</v>
      </c>
    </row>
    <row r="83" spans="1:1" ht="20.100000000000001" customHeight="1" thickBot="1" x14ac:dyDescent="0.3">
      <c r="A83" s="12">
        <v>45945</v>
      </c>
    </row>
    <row r="84" spans="1:1" ht="20.100000000000001" customHeight="1" thickBot="1" x14ac:dyDescent="0.3">
      <c r="A84" s="12">
        <v>45946</v>
      </c>
    </row>
    <row r="85" spans="1:1" ht="20.100000000000001" customHeight="1" thickBot="1" x14ac:dyDescent="0.3">
      <c r="A85" s="12">
        <v>45947</v>
      </c>
    </row>
    <row r="86" spans="1:1" ht="20.100000000000001" customHeight="1" thickBot="1" x14ac:dyDescent="0.3">
      <c r="A86" s="12">
        <v>45948</v>
      </c>
    </row>
    <row r="87" spans="1:1" ht="20.100000000000001" customHeight="1" thickBot="1" x14ac:dyDescent="0.3">
      <c r="A87" s="12">
        <v>45949</v>
      </c>
    </row>
    <row r="88" spans="1:1" ht="20.100000000000001" customHeight="1" thickBot="1" x14ac:dyDescent="0.3">
      <c r="A88" s="12">
        <v>45950</v>
      </c>
    </row>
    <row r="89" spans="1:1" ht="20.100000000000001" customHeight="1" thickBot="1" x14ac:dyDescent="0.3">
      <c r="A89" s="12">
        <v>45951</v>
      </c>
    </row>
    <row r="90" spans="1:1" ht="20.100000000000001" customHeight="1" thickBot="1" x14ac:dyDescent="0.3">
      <c r="A90" s="12">
        <v>45952</v>
      </c>
    </row>
    <row r="91" spans="1:1" ht="20.100000000000001" customHeight="1" thickBot="1" x14ac:dyDescent="0.3">
      <c r="A91" s="12">
        <v>45953</v>
      </c>
    </row>
    <row r="92" spans="1:1" ht="20.100000000000001" customHeight="1" thickBot="1" x14ac:dyDescent="0.3">
      <c r="A92" s="12">
        <v>45954</v>
      </c>
    </row>
    <row r="93" spans="1:1" ht="20.100000000000001" customHeight="1" thickBot="1" x14ac:dyDescent="0.3">
      <c r="A93" s="12">
        <v>45955</v>
      </c>
    </row>
    <row r="94" spans="1:1" ht="20.100000000000001" customHeight="1" thickBot="1" x14ac:dyDescent="0.3">
      <c r="A94" s="12">
        <v>45956</v>
      </c>
    </row>
    <row r="95" spans="1:1" ht="20.100000000000001" customHeight="1" thickBot="1" x14ac:dyDescent="0.3">
      <c r="A95" s="12">
        <v>45957</v>
      </c>
    </row>
    <row r="96" spans="1:1" ht="20.100000000000001" customHeight="1" thickBot="1" x14ac:dyDescent="0.3">
      <c r="A96" s="12">
        <v>45958</v>
      </c>
    </row>
    <row r="97" spans="1:9" ht="20.100000000000001" customHeight="1" thickBot="1" x14ac:dyDescent="0.3">
      <c r="A97" s="12">
        <v>45959</v>
      </c>
    </row>
    <row r="98" spans="1:9" ht="20.100000000000001" customHeight="1" thickBot="1" x14ac:dyDescent="0.3">
      <c r="A98" s="12">
        <v>45960</v>
      </c>
    </row>
    <row r="99" spans="1:9" ht="20.100000000000001" customHeight="1" thickBot="1" x14ac:dyDescent="0.3">
      <c r="A99" s="12">
        <v>45961</v>
      </c>
    </row>
    <row r="100" spans="1:9" ht="20.100000000000001" customHeight="1" thickBot="1" x14ac:dyDescent="0.3">
      <c r="A100" s="12">
        <v>45962</v>
      </c>
    </row>
    <row r="101" spans="1:9" ht="20.100000000000001" customHeight="1" thickBot="1" x14ac:dyDescent="0.3">
      <c r="A101" s="12">
        <v>45963</v>
      </c>
    </row>
    <row r="102" spans="1:9" ht="20.100000000000001" customHeight="1" thickBot="1" x14ac:dyDescent="0.3">
      <c r="A102" s="12">
        <v>45964</v>
      </c>
    </row>
    <row r="103" spans="1:9" ht="20.100000000000001" customHeight="1" thickBot="1" x14ac:dyDescent="0.3">
      <c r="A103" s="12">
        <v>45965</v>
      </c>
    </row>
    <row r="104" spans="1:9" ht="20.100000000000001" customHeight="1" thickBot="1" x14ac:dyDescent="0.3">
      <c r="A104" s="12">
        <v>45966</v>
      </c>
    </row>
    <row r="105" spans="1:9" ht="20.100000000000001" customHeight="1" thickBot="1" x14ac:dyDescent="0.3">
      <c r="A105" s="12">
        <v>45967</v>
      </c>
    </row>
    <row r="106" spans="1:9" ht="20.100000000000001" customHeight="1" thickBot="1" x14ac:dyDescent="0.3">
      <c r="A106" s="12">
        <v>45968</v>
      </c>
    </row>
    <row r="107" spans="1:9" ht="20.100000000000001" customHeight="1" x14ac:dyDescent="0.25">
      <c r="A107" s="13"/>
    </row>
    <row r="108" spans="1:9" ht="20.100000000000001" customHeight="1" x14ac:dyDescent="0.25">
      <c r="A108" s="13"/>
    </row>
    <row r="109" spans="1:9" s="16" customFormat="1" ht="20.100000000000001" customHeight="1" x14ac:dyDescent="0.25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"/>
    <row r="111" spans="1:9" ht="20.100000000000001" customHeight="1" thickBot="1" x14ac:dyDescent="0.3">
      <c r="A111" s="2" t="s">
        <v>60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57</v>
      </c>
    </row>
    <row r="199" spans="1:1" ht="20.100000000000001" customHeight="1" x14ac:dyDescent="0.25">
      <c r="A199" s="26" t="s">
        <v>61</v>
      </c>
    </row>
    <row r="200" spans="1:1" ht="20.100000000000001" customHeight="1" x14ac:dyDescent="0.25">
      <c r="A200" s="26" t="s">
        <v>62</v>
      </c>
    </row>
    <row r="201" spans="1:1" ht="20.100000000000001" customHeight="1" x14ac:dyDescent="0.25">
      <c r="A201" s="26" t="s">
        <v>63</v>
      </c>
    </row>
    <row r="202" spans="1:1" ht="20.100000000000001" customHeight="1" x14ac:dyDescent="0.25">
      <c r="A202" s="26" t="s">
        <v>64</v>
      </c>
    </row>
    <row r="203" spans="1:1" ht="20.100000000000001" customHeight="1" x14ac:dyDescent="0.25">
      <c r="A203" s="26" t="s">
        <v>65</v>
      </c>
    </row>
    <row r="204" spans="1:1" ht="20.100000000000001" customHeight="1" x14ac:dyDescent="0.25">
      <c r="A204" s="26" t="s">
        <v>66</v>
      </c>
    </row>
    <row r="205" spans="1:1" ht="20.100000000000001" customHeight="1" x14ac:dyDescent="0.25">
      <c r="A205" s="26" t="s">
        <v>67</v>
      </c>
    </row>
    <row r="206" spans="1:1" ht="20.100000000000001" customHeight="1" x14ac:dyDescent="0.25">
      <c r="A206" s="26" t="s">
        <v>68</v>
      </c>
    </row>
    <row r="207" spans="1:1" ht="20.100000000000001" customHeight="1" x14ac:dyDescent="0.25">
      <c r="A207" s="26" t="s">
        <v>69</v>
      </c>
    </row>
    <row r="208" spans="1:1" ht="20.100000000000001" customHeight="1" x14ac:dyDescent="0.25">
      <c r="A208" s="27" t="s">
        <v>70</v>
      </c>
    </row>
    <row r="209" spans="1:1" ht="20.100000000000001" customHeight="1" x14ac:dyDescent="0.25">
      <c r="A209" s="27" t="s">
        <v>71</v>
      </c>
    </row>
    <row r="210" spans="1:1" ht="20.100000000000001" customHeight="1" x14ac:dyDescent="0.25">
      <c r="A210" s="26" t="s">
        <v>72</v>
      </c>
    </row>
    <row r="211" spans="1:1" ht="20.100000000000001" customHeight="1" x14ac:dyDescent="0.25">
      <c r="A211" s="26" t="s">
        <v>73</v>
      </c>
    </row>
    <row r="212" spans="1:1" ht="20.100000000000001" customHeight="1" x14ac:dyDescent="0.25">
      <c r="A212" s="26" t="s">
        <v>74</v>
      </c>
    </row>
    <row r="213" spans="1:1" ht="20.100000000000001" customHeight="1" x14ac:dyDescent="0.25">
      <c r="A213" s="26" t="s">
        <v>75</v>
      </c>
    </row>
    <row r="214" spans="1:1" ht="20.100000000000001" customHeight="1" x14ac:dyDescent="0.25">
      <c r="A214" s="26" t="s">
        <v>76</v>
      </c>
    </row>
    <row r="215" spans="1:1" ht="20.100000000000001" customHeight="1" x14ac:dyDescent="0.25">
      <c r="A215" s="26" t="s">
        <v>77</v>
      </c>
    </row>
    <row r="216" spans="1:1" ht="20.100000000000001" customHeight="1" x14ac:dyDescent="0.25">
      <c r="A216" s="26" t="s">
        <v>78</v>
      </c>
    </row>
    <row r="217" spans="1:1" ht="20.100000000000001" customHeight="1" x14ac:dyDescent="0.25">
      <c r="A217" s="26" t="s">
        <v>79</v>
      </c>
    </row>
    <row r="218" spans="1:1" ht="20.100000000000001" customHeight="1" x14ac:dyDescent="0.25">
      <c r="A218" s="26" t="s">
        <v>80</v>
      </c>
    </row>
    <row r="219" spans="1:1" ht="20.100000000000001" customHeight="1" x14ac:dyDescent="0.25">
      <c r="A219" s="26" t="s">
        <v>81</v>
      </c>
    </row>
    <row r="220" spans="1:1" ht="20.100000000000001" customHeight="1" x14ac:dyDescent="0.25">
      <c r="A220" s="26" t="s">
        <v>82</v>
      </c>
    </row>
    <row r="221" spans="1:1" ht="20.100000000000001" customHeight="1" x14ac:dyDescent="0.25">
      <c r="A221" s="26" t="s">
        <v>83</v>
      </c>
    </row>
    <row r="222" spans="1:1" ht="20.100000000000001" customHeight="1" x14ac:dyDescent="0.25">
      <c r="A222" s="26" t="s">
        <v>84</v>
      </c>
    </row>
    <row r="223" spans="1:1" ht="20.100000000000001" customHeight="1" x14ac:dyDescent="0.25">
      <c r="A223" s="26" t="s">
        <v>85</v>
      </c>
    </row>
    <row r="224" spans="1:1" ht="20.100000000000001" customHeight="1" x14ac:dyDescent="0.25">
      <c r="A224" s="26" t="s">
        <v>86</v>
      </c>
    </row>
    <row r="225" spans="1:1" ht="20.100000000000001" customHeight="1" x14ac:dyDescent="0.25">
      <c r="A225" s="26" t="s">
        <v>87</v>
      </c>
    </row>
    <row r="226" spans="1:1" ht="20.100000000000001" customHeight="1" x14ac:dyDescent="0.25">
      <c r="A226" s="26" t="s">
        <v>88</v>
      </c>
    </row>
    <row r="227" spans="1:1" ht="20.100000000000001" customHeight="1" x14ac:dyDescent="0.25">
      <c r="A227" s="26" t="s">
        <v>89</v>
      </c>
    </row>
    <row r="228" spans="1:1" ht="20.100000000000001" customHeight="1" x14ac:dyDescent="0.25">
      <c r="A228" s="26" t="s">
        <v>90</v>
      </c>
    </row>
    <row r="229" spans="1:1" ht="20.100000000000001" customHeight="1" x14ac:dyDescent="0.25">
      <c r="A229" s="26" t="s">
        <v>91</v>
      </c>
    </row>
    <row r="230" spans="1:1" ht="20.100000000000001" customHeight="1" x14ac:dyDescent="0.25">
      <c r="A230" s="26" t="s">
        <v>92</v>
      </c>
    </row>
    <row r="231" spans="1:1" ht="20.100000000000001" customHeight="1" x14ac:dyDescent="0.25">
      <c r="A231" s="26" t="s">
        <v>93</v>
      </c>
    </row>
    <row r="232" spans="1:1" ht="20.100000000000001" customHeight="1" x14ac:dyDescent="0.25">
      <c r="A232" s="26" t="s">
        <v>94</v>
      </c>
    </row>
    <row r="233" spans="1:1" ht="20.100000000000001" customHeight="1" x14ac:dyDescent="0.25">
      <c r="A233" s="26" t="s">
        <v>95</v>
      </c>
    </row>
    <row r="234" spans="1:1" ht="20.100000000000001" customHeight="1" x14ac:dyDescent="0.25">
      <c r="A234" s="26" t="s">
        <v>96</v>
      </c>
    </row>
    <row r="235" spans="1:1" ht="20.100000000000001" customHeight="1" x14ac:dyDescent="0.25">
      <c r="A235" s="28" t="s">
        <v>97</v>
      </c>
    </row>
    <row r="236" spans="1:1" ht="20.100000000000001" customHeight="1" x14ac:dyDescent="0.25">
      <c r="A236" s="26" t="s">
        <v>98</v>
      </c>
    </row>
    <row r="237" spans="1:1" ht="20.100000000000001" customHeight="1" x14ac:dyDescent="0.25">
      <c r="A237" s="26" t="s">
        <v>99</v>
      </c>
    </row>
    <row r="238" spans="1:1" ht="20.100000000000001" customHeight="1" x14ac:dyDescent="0.25">
      <c r="A238" s="26" t="s">
        <v>100</v>
      </c>
    </row>
    <row r="239" spans="1:1" ht="20.100000000000001" customHeight="1" x14ac:dyDescent="0.25">
      <c r="A239" s="26" t="s">
        <v>101</v>
      </c>
    </row>
    <row r="240" spans="1:1" ht="20.100000000000001" customHeight="1" x14ac:dyDescent="0.25">
      <c r="A240" s="26" t="s">
        <v>102</v>
      </c>
    </row>
    <row r="241" spans="1:1" ht="20.100000000000001" customHeight="1" x14ac:dyDescent="0.25">
      <c r="A241" s="26" t="s">
        <v>103</v>
      </c>
    </row>
    <row r="242" spans="1:1" ht="20.100000000000001" customHeight="1" x14ac:dyDescent="0.25">
      <c r="A242" s="26" t="s">
        <v>104</v>
      </c>
    </row>
    <row r="243" spans="1:1" ht="20.100000000000001" customHeight="1" x14ac:dyDescent="0.25">
      <c r="A243" s="26" t="s">
        <v>105</v>
      </c>
    </row>
    <row r="244" spans="1:1" ht="20.100000000000001" customHeight="1" x14ac:dyDescent="0.25">
      <c r="A244" s="26" t="s">
        <v>106</v>
      </c>
    </row>
    <row r="245" spans="1:1" ht="20.100000000000001" customHeight="1" x14ac:dyDescent="0.25">
      <c r="A245" s="26" t="s">
        <v>107</v>
      </c>
    </row>
    <row r="246" spans="1:1" ht="20.100000000000001" customHeight="1" x14ac:dyDescent="0.25">
      <c r="A246" s="26" t="s">
        <v>108</v>
      </c>
    </row>
    <row r="247" spans="1:1" ht="20.100000000000001" customHeight="1" x14ac:dyDescent="0.25">
      <c r="A247" s="26" t="s">
        <v>99</v>
      </c>
    </row>
    <row r="248" spans="1:1" ht="20.100000000000001" customHeight="1" x14ac:dyDescent="0.25">
      <c r="A248" s="26" t="s">
        <v>109</v>
      </c>
    </row>
    <row r="249" spans="1:1" ht="20.100000000000001" customHeight="1" x14ac:dyDescent="0.25">
      <c r="A249" s="26" t="s">
        <v>110</v>
      </c>
    </row>
    <row r="250" spans="1:1" ht="20.100000000000001" customHeight="1" x14ac:dyDescent="0.25">
      <c r="A250" s="28" t="s">
        <v>111</v>
      </c>
    </row>
    <row r="251" spans="1:1" ht="20.100000000000001" customHeight="1" x14ac:dyDescent="0.25">
      <c r="A251" s="29" t="s">
        <v>112</v>
      </c>
    </row>
    <row r="252" spans="1:1" ht="20.100000000000001" customHeight="1" x14ac:dyDescent="0.25">
      <c r="A252" s="26" t="s">
        <v>113</v>
      </c>
    </row>
    <row r="253" spans="1:1" ht="20.100000000000001" customHeight="1" x14ac:dyDescent="0.25">
      <c r="A253" s="26" t="s">
        <v>114</v>
      </c>
    </row>
    <row r="254" spans="1:1" ht="20.100000000000001" customHeight="1" x14ac:dyDescent="0.25">
      <c r="A254" s="30" t="s">
        <v>115</v>
      </c>
    </row>
    <row r="255" spans="1:1" ht="20.100000000000001" customHeight="1" x14ac:dyDescent="0.25">
      <c r="A255" s="30" t="s">
        <v>116</v>
      </c>
    </row>
    <row r="256" spans="1:1" ht="20.100000000000001" customHeight="1" x14ac:dyDescent="0.25">
      <c r="A256" s="29" t="s">
        <v>117</v>
      </c>
    </row>
    <row r="257" spans="1:1" ht="20.100000000000001" customHeight="1" x14ac:dyDescent="0.25">
      <c r="A257" s="26" t="s">
        <v>118</v>
      </c>
    </row>
    <row r="258" spans="1:1" ht="20.100000000000001" customHeight="1" x14ac:dyDescent="0.25">
      <c r="A258" s="29" t="s">
        <v>119</v>
      </c>
    </row>
    <row r="259" spans="1:1" ht="20.100000000000001" customHeight="1" x14ac:dyDescent="0.25">
      <c r="A259" s="26" t="s">
        <v>120</v>
      </c>
    </row>
    <row r="260" spans="1:1" ht="20.100000000000001" customHeight="1" x14ac:dyDescent="0.25">
      <c r="A260" s="29" t="s">
        <v>121</v>
      </c>
    </row>
    <row r="261" spans="1:1" ht="20.100000000000001" customHeight="1" x14ac:dyDescent="0.25">
      <c r="A261" s="26" t="s">
        <v>122</v>
      </c>
    </row>
    <row r="262" spans="1:1" ht="20.100000000000001" customHeight="1" x14ac:dyDescent="0.25">
      <c r="A262" s="26" t="s">
        <v>123</v>
      </c>
    </row>
    <row r="263" spans="1:1" ht="20.100000000000001" customHeight="1" x14ac:dyDescent="0.25">
      <c r="A263" s="29" t="s">
        <v>124</v>
      </c>
    </row>
    <row r="264" spans="1:1" ht="20.100000000000001" customHeight="1" x14ac:dyDescent="0.25">
      <c r="A264" s="29" t="s">
        <v>125</v>
      </c>
    </row>
    <row r="265" spans="1:1" ht="20.100000000000001" customHeight="1" x14ac:dyDescent="0.25">
      <c r="A265" s="29" t="s">
        <v>126</v>
      </c>
    </row>
    <row r="266" spans="1:1" ht="20.100000000000001" customHeight="1" x14ac:dyDescent="0.25">
      <c r="A266" s="26" t="s">
        <v>127</v>
      </c>
    </row>
    <row r="267" spans="1:1" ht="20.100000000000001" customHeight="1" x14ac:dyDescent="0.25">
      <c r="A267" s="26" t="s">
        <v>128</v>
      </c>
    </row>
    <row r="268" spans="1:1" ht="20.100000000000001" customHeight="1" x14ac:dyDescent="0.25">
      <c r="A268" s="26" t="s">
        <v>129</v>
      </c>
    </row>
    <row r="269" spans="1:1" ht="20.100000000000001" customHeight="1" x14ac:dyDescent="0.25">
      <c r="A269" s="26" t="s">
        <v>130</v>
      </c>
    </row>
    <row r="270" spans="1:1" ht="20.100000000000001" customHeight="1" x14ac:dyDescent="0.25">
      <c r="A270" s="29" t="s">
        <v>131</v>
      </c>
    </row>
    <row r="271" spans="1:1" ht="20.100000000000001" customHeight="1" x14ac:dyDescent="0.25">
      <c r="A271" s="29" t="s">
        <v>132</v>
      </c>
    </row>
    <row r="272" spans="1:1" ht="20.100000000000001" customHeight="1" x14ac:dyDescent="0.25">
      <c r="A272" s="26" t="s">
        <v>133</v>
      </c>
    </row>
    <row r="273" spans="1:1" ht="20.100000000000001" customHeight="1" x14ac:dyDescent="0.25">
      <c r="A273" s="29" t="s">
        <v>134</v>
      </c>
    </row>
    <row r="274" spans="1:1" ht="20.100000000000001" customHeight="1" x14ac:dyDescent="0.25">
      <c r="A274" s="29" t="s">
        <v>135</v>
      </c>
    </row>
    <row r="275" spans="1:1" ht="20.100000000000001" customHeight="1" x14ac:dyDescent="0.25">
      <c r="A275" s="26" t="s">
        <v>136</v>
      </c>
    </row>
    <row r="276" spans="1:1" ht="20.100000000000001" customHeight="1" x14ac:dyDescent="0.25">
      <c r="A276" s="26" t="s">
        <v>137</v>
      </c>
    </row>
    <row r="277" spans="1:1" ht="20.100000000000001" customHeight="1" x14ac:dyDescent="0.25">
      <c r="A277" s="29" t="s">
        <v>138</v>
      </c>
    </row>
    <row r="278" spans="1:1" ht="20.100000000000001" customHeight="1" x14ac:dyDescent="0.25">
      <c r="A278" s="26" t="s">
        <v>139</v>
      </c>
    </row>
    <row r="279" spans="1:1" ht="20.100000000000001" customHeight="1" x14ac:dyDescent="0.25">
      <c r="A279" s="26" t="s">
        <v>140</v>
      </c>
    </row>
    <row r="280" spans="1:1" ht="20.100000000000001" customHeight="1" x14ac:dyDescent="0.25">
      <c r="A280" s="26" t="s">
        <v>141</v>
      </c>
    </row>
    <row r="281" spans="1:1" ht="20.100000000000001" customHeight="1" x14ac:dyDescent="0.25">
      <c r="A281" s="26" t="s">
        <v>142</v>
      </c>
    </row>
    <row r="282" spans="1:1" ht="20.100000000000001" customHeight="1" x14ac:dyDescent="0.25">
      <c r="A282" s="29" t="s">
        <v>143</v>
      </c>
    </row>
    <row r="283" spans="1:1" ht="20.100000000000001" customHeight="1" x14ac:dyDescent="0.25">
      <c r="A283" s="29" t="s">
        <v>144</v>
      </c>
    </row>
    <row r="284" spans="1:1" ht="20.100000000000001" customHeight="1" x14ac:dyDescent="0.25">
      <c r="A284" s="29" t="s">
        <v>145</v>
      </c>
    </row>
    <row r="285" spans="1:1" ht="20.100000000000001" customHeight="1" thickBot="1" x14ac:dyDescent="0.3">
      <c r="A285" s="26" t="s">
        <v>146</v>
      </c>
    </row>
    <row r="286" spans="1:1" ht="20.100000000000001" customHeight="1" thickBot="1" x14ac:dyDescent="0.3">
      <c r="A286" s="2" t="s">
        <v>56</v>
      </c>
    </row>
    <row r="287" spans="1:1" ht="20.100000000000001" customHeight="1" thickBot="1" x14ac:dyDescent="0.3">
      <c r="A287" s="2" t="s">
        <v>56</v>
      </c>
    </row>
    <row r="288" spans="1:1" ht="20.100000000000001" customHeight="1" thickBot="1" x14ac:dyDescent="0.3">
      <c r="A288" s="2" t="s">
        <v>56</v>
      </c>
    </row>
    <row r="289" spans="1:1" ht="20.100000000000001" customHeight="1" thickBot="1" x14ac:dyDescent="0.3">
      <c r="A289" s="2" t="s">
        <v>56</v>
      </c>
    </row>
    <row r="290" spans="1:1" ht="20.100000000000001" customHeight="1" thickBot="1" x14ac:dyDescent="0.3">
      <c r="A290" s="2" t="s">
        <v>56</v>
      </c>
    </row>
    <row r="291" spans="1:1" ht="20.100000000000001" customHeight="1" thickBot="1" x14ac:dyDescent="0.3">
      <c r="A291" s="2" t="s">
        <v>56</v>
      </c>
    </row>
    <row r="292" spans="1:1" ht="20.100000000000001" customHeight="1" thickBot="1" x14ac:dyDescent="0.3">
      <c r="A292" s="2" t="s">
        <v>56</v>
      </c>
    </row>
    <row r="293" spans="1:1" ht="20.100000000000001" customHeight="1" thickBot="1" x14ac:dyDescent="0.3">
      <c r="A293" s="2" t="s">
        <v>56</v>
      </c>
    </row>
    <row r="294" spans="1:1" ht="20.100000000000001" customHeight="1" thickBot="1" x14ac:dyDescent="0.3">
      <c r="A294" s="2" t="s">
        <v>56</v>
      </c>
    </row>
    <row r="295" spans="1:1" ht="20.100000000000001" customHeight="1" thickBot="1" x14ac:dyDescent="0.3">
      <c r="A295" s="2" t="s">
        <v>56</v>
      </c>
    </row>
    <row r="296" spans="1:1" ht="20.100000000000001" customHeight="1" thickBot="1" x14ac:dyDescent="0.3">
      <c r="A296" s="2" t="s">
        <v>56</v>
      </c>
    </row>
    <row r="297" spans="1:1" ht="20.100000000000001" customHeight="1" thickBot="1" x14ac:dyDescent="0.3">
      <c r="A297" s="2" t="s">
        <v>56</v>
      </c>
    </row>
    <row r="298" spans="1:1" ht="20.100000000000001" customHeight="1" thickBot="1" x14ac:dyDescent="0.3">
      <c r="A298" s="2" t="s">
        <v>56</v>
      </c>
    </row>
    <row r="299" spans="1:1" ht="20.100000000000001" customHeight="1" thickBot="1" x14ac:dyDescent="0.3">
      <c r="A299" s="2" t="s">
        <v>56</v>
      </c>
    </row>
    <row r="300" spans="1:1" ht="20.100000000000001" customHeight="1" thickBot="1" x14ac:dyDescent="0.3">
      <c r="A300" s="2" t="s">
        <v>56</v>
      </c>
    </row>
    <row r="301" spans="1:1" ht="20.100000000000001" customHeight="1" thickBot="1" x14ac:dyDescent="0.3">
      <c r="A301" s="2" t="s">
        <v>56</v>
      </c>
    </row>
    <row r="302" spans="1:1" ht="20.100000000000001" customHeight="1" thickBot="1" x14ac:dyDescent="0.3">
      <c r="A302" s="2" t="s">
        <v>56</v>
      </c>
    </row>
    <row r="303" spans="1:1" ht="20.100000000000001" customHeight="1" thickBot="1" x14ac:dyDescent="0.3">
      <c r="A303" s="2" t="s">
        <v>56</v>
      </c>
    </row>
    <row r="304" spans="1:1" ht="20.100000000000001" customHeight="1" thickBot="1" x14ac:dyDescent="0.3">
      <c r="A304" s="2" t="s">
        <v>56</v>
      </c>
    </row>
    <row r="305" spans="1:1" ht="20.100000000000001" customHeight="1" thickBot="1" x14ac:dyDescent="0.3">
      <c r="A305" s="2" t="s">
        <v>56</v>
      </c>
    </row>
    <row r="306" spans="1:1" ht="20.100000000000001" customHeight="1" thickBot="1" x14ac:dyDescent="0.3">
      <c r="A306" s="2" t="s">
        <v>56</v>
      </c>
    </row>
    <row r="307" spans="1:1" ht="20.100000000000001" customHeight="1" thickBot="1" x14ac:dyDescent="0.3">
      <c r="A307" s="2" t="s">
        <v>56</v>
      </c>
    </row>
    <row r="308" spans="1:1" ht="20.100000000000001" customHeight="1" thickBot="1" x14ac:dyDescent="0.3">
      <c r="A308" s="2" t="s">
        <v>56</v>
      </c>
    </row>
    <row r="309" spans="1:1" ht="20.100000000000001" customHeight="1" thickBot="1" x14ac:dyDescent="0.3">
      <c r="A309" s="2" t="s">
        <v>56</v>
      </c>
    </row>
    <row r="310" spans="1:1" ht="20.100000000000001" customHeight="1" thickBot="1" x14ac:dyDescent="0.3">
      <c r="A310" s="2" t="s">
        <v>56</v>
      </c>
    </row>
    <row r="311" spans="1:1" ht="20.100000000000001" customHeight="1" thickBot="1" x14ac:dyDescent="0.3">
      <c r="A311" s="2" t="s">
        <v>56</v>
      </c>
    </row>
    <row r="312" spans="1:1" ht="20.100000000000001" customHeight="1" thickBot="1" x14ac:dyDescent="0.3">
      <c r="A312" s="2" t="s">
        <v>56</v>
      </c>
    </row>
    <row r="313" spans="1:1" ht="20.100000000000001" customHeight="1" thickBot="1" x14ac:dyDescent="0.3">
      <c r="A313" s="2" t="s">
        <v>56</v>
      </c>
    </row>
    <row r="314" spans="1:1" ht="20.100000000000001" customHeight="1" thickBot="1" x14ac:dyDescent="0.3">
      <c r="A314" s="2" t="s">
        <v>56</v>
      </c>
    </row>
    <row r="315" spans="1:1" ht="20.100000000000001" customHeight="1" thickBot="1" x14ac:dyDescent="0.3">
      <c r="A315" s="2" t="s">
        <v>56</v>
      </c>
    </row>
    <row r="316" spans="1:1" ht="20.100000000000001" customHeight="1" thickBot="1" x14ac:dyDescent="0.3">
      <c r="A316" s="2" t="s">
        <v>56</v>
      </c>
    </row>
    <row r="317" spans="1:1" ht="20.100000000000001" customHeight="1" thickBot="1" x14ac:dyDescent="0.3">
      <c r="A317" s="2" t="s">
        <v>56</v>
      </c>
    </row>
    <row r="318" spans="1:1" ht="20.100000000000001" customHeight="1" thickBot="1" x14ac:dyDescent="0.3">
      <c r="A318" s="2" t="s">
        <v>56</v>
      </c>
    </row>
    <row r="319" spans="1:1" ht="20.100000000000001" customHeight="1" thickBot="1" x14ac:dyDescent="0.3">
      <c r="A319" s="2" t="s">
        <v>56</v>
      </c>
    </row>
    <row r="320" spans="1:1" ht="20.100000000000001" customHeight="1" thickBot="1" x14ac:dyDescent="0.3">
      <c r="A320" s="2" t="s">
        <v>56</v>
      </c>
    </row>
    <row r="321" spans="1:1" ht="20.100000000000001" customHeight="1" thickBot="1" x14ac:dyDescent="0.3">
      <c r="A321" s="2" t="s">
        <v>56</v>
      </c>
    </row>
    <row r="322" spans="1:1" ht="20.100000000000001" customHeight="1" thickBot="1" x14ac:dyDescent="0.3">
      <c r="A322" s="2" t="s">
        <v>56</v>
      </c>
    </row>
    <row r="323" spans="1:1" ht="20.100000000000001" customHeight="1" thickBot="1" x14ac:dyDescent="0.3">
      <c r="A323" s="2" t="s">
        <v>56</v>
      </c>
    </row>
    <row r="324" spans="1:1" ht="20.100000000000001" customHeight="1" thickBot="1" x14ac:dyDescent="0.3">
      <c r="A324" s="2" t="s">
        <v>56</v>
      </c>
    </row>
    <row r="325" spans="1:1" ht="20.100000000000001" customHeight="1" thickBot="1" x14ac:dyDescent="0.3">
      <c r="A325" s="2" t="s">
        <v>56</v>
      </c>
    </row>
    <row r="326" spans="1:1" ht="20.100000000000001" customHeight="1" thickBot="1" x14ac:dyDescent="0.3">
      <c r="A326" s="2" t="s">
        <v>56</v>
      </c>
    </row>
    <row r="327" spans="1:1" ht="20.100000000000001" customHeight="1" thickBot="1" x14ac:dyDescent="0.3">
      <c r="A327" s="2" t="s">
        <v>56</v>
      </c>
    </row>
    <row r="328" spans="1:1" ht="20.100000000000001" customHeight="1" thickBot="1" x14ac:dyDescent="0.3">
      <c r="A328" s="2" t="s">
        <v>56</v>
      </c>
    </row>
    <row r="329" spans="1:1" ht="20.100000000000001" customHeight="1" thickBot="1" x14ac:dyDescent="0.3">
      <c r="A329" s="2" t="s">
        <v>56</v>
      </c>
    </row>
    <row r="330" spans="1:1" ht="20.100000000000001" customHeight="1" thickBot="1" x14ac:dyDescent="0.3">
      <c r="A330" s="2" t="s">
        <v>56</v>
      </c>
    </row>
    <row r="331" spans="1:1" ht="20.100000000000001" customHeight="1" thickBot="1" x14ac:dyDescent="0.3">
      <c r="A331" s="2" t="s">
        <v>56</v>
      </c>
    </row>
    <row r="332" spans="1:1" ht="20.100000000000001" customHeight="1" thickBot="1" x14ac:dyDescent="0.3">
      <c r="A332" s="2" t="s">
        <v>56</v>
      </c>
    </row>
    <row r="333" spans="1:1" ht="20.100000000000001" customHeight="1" thickBot="1" x14ac:dyDescent="0.3">
      <c r="A333" s="2" t="s">
        <v>56</v>
      </c>
    </row>
    <row r="334" spans="1:1" ht="20.100000000000001" customHeight="1" thickBot="1" x14ac:dyDescent="0.3">
      <c r="A334" s="2" t="s">
        <v>56</v>
      </c>
    </row>
    <row r="335" spans="1:1" ht="20.100000000000001" customHeight="1" thickBot="1" x14ac:dyDescent="0.3">
      <c r="A335" s="2" t="s">
        <v>56</v>
      </c>
    </row>
    <row r="336" spans="1:1" ht="20.100000000000001" customHeight="1" thickBot="1" x14ac:dyDescent="0.3">
      <c r="A336" s="2" t="s">
        <v>56</v>
      </c>
    </row>
    <row r="337" spans="1:1" ht="20.100000000000001" customHeight="1" thickBot="1" x14ac:dyDescent="0.3">
      <c r="A337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2026-09-06T08:14:22Z</dcterms:modified>
</cp:coreProperties>
</file>