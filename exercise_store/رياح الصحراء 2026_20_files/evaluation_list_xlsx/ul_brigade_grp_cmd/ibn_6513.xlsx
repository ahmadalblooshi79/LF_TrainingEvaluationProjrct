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التقييم'!$B$5</definedName>
    <definedName name="_xlnm.Print_Area" localSheetId="0">'قائمة التقييم'!$A$1:$J$54</definedName>
    <definedName name="_xlnm.Print_Titles" localSheetId="0">'قائمة التقييم'!$9:$9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1" i="2" s="1"/>
  <c r="G12" i="2" l="1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4" i="2"/>
  <c r="H24" i="2" s="1"/>
  <c r="G25" i="2"/>
  <c r="H25" i="2" s="1"/>
  <c r="G26" i="2"/>
  <c r="H26" i="2" s="1"/>
  <c r="G27" i="2"/>
  <c r="H27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F50" i="2" l="1"/>
  <c r="E50" i="2" l="1"/>
  <c r="E51" i="2" l="1"/>
  <c r="E52" i="2" s="1"/>
</calcChain>
</file>

<file path=xl/sharedStrings.xml><?xml version="1.0" encoding="utf-8"?>
<sst xmlns="http://schemas.openxmlformats.org/spreadsheetml/2006/main" count="105" uniqueCount="71">
  <si>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</si>
  <si>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</si>
  <si>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</si>
  <si>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</si>
  <si>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</si>
  <si>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</si>
  <si>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</si>
  <si>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</si>
  <si>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</si>
  <si>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</si>
  <si>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</si>
  <si>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</si>
  <si>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</si>
  <si>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</si>
  <si>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</si>
  <si>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</si>
  <si>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</si>
  <si>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</si>
  <si>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</si>
  <si>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</si>
  <si>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</si>
  <si>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</si>
  <si>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</si>
  <si>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</si>
  <si>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</si>
  <si>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</si>
  <si>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</si>
  <si>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</si>
  <si>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</si>
  <si>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t>ب. أن تكون محمية ومستورة.</t>
  </si>
  <si>
    <t xml:space="preserve">جـ. أن تكون واسعة بحيث تساعد القوات على الانفتاح والانتشار </t>
  </si>
  <si>
    <t>هـ. أن يتم وضع الإشارات والعلامات فيها بعناية وحذر.</t>
  </si>
  <si>
    <t>مرحلة التنفيذ</t>
  </si>
  <si>
    <t>ب. إنشاء دفاع محلي.</t>
  </si>
  <si>
    <t>جـ. تخصيص المواقع في منطقة التجمع.</t>
  </si>
  <si>
    <t>هـ. تأشير مواقع الآليات (ليلاً / نهاراً).</t>
  </si>
  <si>
    <t>ز. تأشير مواقع الإسناد (الصيانة - الإسناد الطبي - الأرزاق).</t>
  </si>
  <si>
    <t>ب. توضيع وتمويه الآليات.</t>
  </si>
  <si>
    <t>جـ. توضيع مراكز المراقبة.</t>
  </si>
  <si>
    <t>هـ. تأسيس الاتصالات مع الوحدات المجاورة / التنسيق مع الأجنحة.</t>
  </si>
  <si>
    <t>ز. اختيار مواقع بديلة وثانوية ونقاط تجمع للآليات.</t>
  </si>
  <si>
    <t>ح. تنفيذ إجراءات المعركة.</t>
  </si>
  <si>
    <t>ب. التأكد من حالة الأسلحة وتضبيط الموجهات واختبار الرماية وأي تحضيرات أخرى ضرورية.</t>
  </si>
  <si>
    <t>جـ. تنفيذ عمليات إعادة التزويد للإمداد والوقود والذخيرة.</t>
  </si>
  <si>
    <t>1.    فهم القادة في سرية الـ م/د للموقف باستخدام معدات الاتصال المتوفرة، والخرائط، وتقارير الموقف، ومصادر المعلومات المتوفرة الأخرى.</t>
  </si>
  <si>
    <t>2.    الاستطلاع من الخارطة أو من الأرض ذا أمكن</t>
  </si>
  <si>
    <t>3.    التخطيط لتأمين منطقة التجمع لمجموعة اللواء التي يجب أن توفر ما يلي:</t>
  </si>
  <si>
    <t>4.    تقوم سرية الـ م/د بتحديد موقع الوحدات في منطقة التجمع.</t>
  </si>
  <si>
    <t>5.    تحديد أولوية العمل وتوفير أعمال الصيانة وإعادة التزويد.</t>
  </si>
  <si>
    <t>6.    تقوم سرية الـ م/د بالتحضير لاحتلال منطقة التجمع.</t>
  </si>
  <si>
    <t>7.    إجراء التجارب خلال ساعات النهار وفي ظل ظروف الرؤية المحدودة إن أمكن</t>
  </si>
  <si>
    <t>1.    حركة سرية الـ م/د وتأمين منطقة التجمع حسب الخطة الموضوعة.</t>
  </si>
  <si>
    <t>2.    تطبق إجراءات الحماية أثناء الحركة.</t>
  </si>
  <si>
    <t>3.    تنظيم الدخول لمنطقة التجمع وحسب تسلسل بدء الحركة ونظام المسير لكل فصيل ويأخذ كل فصيل قطاع محدد.</t>
  </si>
  <si>
    <t>4.    السيطرة على الطرق المؤدية من وإلى منطقة التجمع.</t>
  </si>
  <si>
    <t>5.    توزيع القوة في منطقة التجمع (الدفاع الدائري).</t>
  </si>
  <si>
    <t>6.    تنفيذ إجراءات الحماية في منطقة التجمع وكما يلي:</t>
  </si>
  <si>
    <t>7.    استكمال التحضيرات والتفتيشات وسد النقص وكما يلي:</t>
  </si>
  <si>
    <t>8.    المكوث في منطقة التجمع أقل وقت ممكن لتنفيذ الواجبات والعمل بشكل متوازي للجميع لتحقيق أقل وقت ممكن في منطقة التجمع.</t>
  </si>
  <si>
    <t>أ.   أن تكون خارج مدى مراقبة العدو الأرضية من مواقعه الأمامية.</t>
  </si>
  <si>
    <t>د.  لها مداخل ومخارج جيدة.</t>
  </si>
  <si>
    <t>أ.   وصول القوة إلى منطقة التجمع.</t>
  </si>
  <si>
    <t xml:space="preserve">د.  تأشير نقاط الالتقاء. </t>
  </si>
  <si>
    <t>و.  تأشير مواقع القيادة الرئيسية.</t>
  </si>
  <si>
    <t>أ‌.   تأسيس وإدامة الأمن والحماية.</t>
  </si>
  <si>
    <t>د.  توضيع أجهزة الإنذار الكيميائية والجرثومية والإشعاعية والنووية.</t>
  </si>
  <si>
    <t>و.  تحضير بطاقات المدى وخطط النيران.</t>
  </si>
  <si>
    <t>أ.   إدامة الآليات ومعدات الاتصال والأسلحة.</t>
  </si>
  <si>
    <t>تقييم تأمين سرية الـ م د لمنطقة التجمع</t>
  </si>
  <si>
    <r>
      <t>وصف المعضلة:</t>
    </r>
    <r>
      <rPr>
        <sz val="14"/>
        <color rgb="FF000000"/>
        <rFont val="Arial"/>
        <family val="2"/>
      </rPr>
      <t xml:space="preserve"> يقوم سائق إحدى آليات الذخيرة بإبلاغ قائد القافلة بحدوث عطل في الآلية مما أجبرها على التوقف.</t>
    </r>
  </si>
  <si>
    <r>
      <t xml:space="preserve">متطلبات تنفيذ المعضلة:
</t>
    </r>
    <r>
      <rPr>
        <sz val="14"/>
        <color rgb="FF000000"/>
        <rFont val="Arial"/>
        <family val="2"/>
      </rPr>
      <t>1.   آلية الذخيرة الثقيلة.
2.   قافلة تنقل أو تزويد.
3.   تفرض المعضلة من قبل المحكم شفهيا في تمارين لعبات الحرب والجاهزية.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</si>
</sst>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4" borderId="22" xfId="0" applyFont="1" applyFill="1" applyBorder="1" applyAlignment="1">
      <alignment vertical="center" wrapText="1" readingOrder="2"/>
    </xf>
    <xf numFmtId="0" fontId="1" fillId="4" borderId="23" xfId="0" applyFont="1" applyFill="1" applyBorder="1" applyAlignment="1">
      <alignment vertical="center" wrapText="1" readingOrder="2"/>
    </xf>
    <xf numFmtId="0" fontId="1" fillId="4" borderId="24" xfId="0" applyFont="1" applyFill="1" applyBorder="1" applyAlignment="1">
      <alignment vertical="center" wrapText="1" readingOrder="2"/>
    </xf>
    <xf numFmtId="49" fontId="4" fillId="0" borderId="0" xfId="0" applyNumberFormat="1" applyFont="1" applyAlignment="1" applyProtection="1">
      <alignment horizontal="right" vertical="top" wrapText="1" readingOrder="2"/>
      <protection locked="0"/>
    </xf>
    <xf numFmtId="49" fontId="4" fillId="0" borderId="25" xfId="0" applyNumberFormat="1" applyFont="1" applyBorder="1" applyAlignment="1" applyProtection="1">
      <alignment horizontal="right" vertical="top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4"/>
  <sheetViews>
    <sheetView rightToLeft="1" tabSelected="1" view="pageBreakPreview" zoomScale="70" zoomScaleNormal="100" zoomScaleSheetLayoutView="70" workbookViewId="0">
      <selection activeCell="C4" sqref="C4:D4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29" t="s">
        <v>68</v>
      </c>
      <c r="C1" s="29"/>
      <c r="D1" s="29"/>
      <c r="E1" s="29"/>
      <c r="F1" s="29"/>
      <c r="G1" s="29"/>
      <c r="H1" s="29"/>
      <c r="I1" s="29"/>
      <c r="J1" s="29"/>
    </row>
    <row r="2" spans="1:10" ht="45" customHeight="1" x14ac:dyDescent="0.25">
      <c r="B2" s="66" t="s">
        <v>69</v>
      </c>
      <c r="C2" s="66"/>
      <c r="D2" s="66"/>
      <c r="E2" s="66"/>
      <c r="F2" s="66"/>
      <c r="G2" s="66"/>
      <c r="H2" s="66"/>
      <c r="I2" s="66"/>
      <c r="J2" s="66"/>
    </row>
    <row r="3" spans="1:10" ht="75.75" customHeight="1" x14ac:dyDescent="0.25">
      <c r="B3" s="67" t="s">
        <v>70</v>
      </c>
      <c r="C3" s="67"/>
      <c r="D3" s="67"/>
      <c r="E3" s="67"/>
      <c r="F3" s="67"/>
      <c r="G3" s="67"/>
      <c r="H3" s="67"/>
      <c r="I3" s="67"/>
      <c r="J3" s="67"/>
    </row>
    <row r="4" spans="1:10" ht="30" customHeight="1" x14ac:dyDescent="0.25">
      <c r="B4" s="11" t="s">
        <v>8</v>
      </c>
      <c r="C4" s="35" t="s">
        <v>23</v>
      </c>
      <c r="D4" s="35"/>
      <c r="E4" s="11" t="s">
        <v>7</v>
      </c>
      <c r="F4" s="30" t="s">
        <v>22</v>
      </c>
      <c r="G4" s="30"/>
      <c r="H4" s="30"/>
      <c r="I4" s="30"/>
      <c r="J4" s="30"/>
    </row>
    <row r="5" spans="1:10" ht="30" customHeight="1" x14ac:dyDescent="0.25">
      <c r="B5" s="11" t="s">
        <v>9</v>
      </c>
      <c r="C5" s="35" t="s">
        <v>25</v>
      </c>
      <c r="D5" s="35"/>
      <c r="E5" s="11" t="s">
        <v>6</v>
      </c>
      <c r="F5" s="35" t="s">
        <v>24</v>
      </c>
      <c r="G5" s="35"/>
      <c r="H5" s="35"/>
      <c r="I5" s="35"/>
      <c r="J5" s="35"/>
    </row>
    <row r="6" spans="1:10" ht="30" customHeight="1" thickBot="1" x14ac:dyDescent="0.3">
      <c r="B6" s="5"/>
      <c r="C6" s="6"/>
      <c r="D6" s="6"/>
      <c r="E6" s="5"/>
      <c r="F6" s="6"/>
      <c r="G6" s="6"/>
      <c r="H6" s="7"/>
      <c r="I6" s="6"/>
      <c r="J6" s="6"/>
    </row>
    <row r="7" spans="1:10" ht="24.95" customHeight="1" x14ac:dyDescent="0.25">
      <c r="A7" s="9"/>
      <c r="B7" s="31" t="s">
        <v>0</v>
      </c>
      <c r="C7" s="32"/>
      <c r="D7" s="32"/>
      <c r="E7" s="36" t="s">
        <v>1</v>
      </c>
      <c r="F7" s="36"/>
      <c r="G7" s="36"/>
      <c r="H7" s="36"/>
      <c r="I7" s="36" t="s">
        <v>2</v>
      </c>
      <c r="J7" s="37"/>
    </row>
    <row r="8" spans="1:10" ht="24.95" customHeight="1" thickBot="1" x14ac:dyDescent="0.3">
      <c r="A8" s="9"/>
      <c r="B8" s="33"/>
      <c r="C8" s="34"/>
      <c r="D8" s="34"/>
      <c r="E8" s="10" t="s">
        <v>3</v>
      </c>
      <c r="F8" s="10" t="s">
        <v>4</v>
      </c>
      <c r="G8" s="10" t="s">
        <v>15</v>
      </c>
      <c r="H8" s="10" t="s">
        <v>16</v>
      </c>
      <c r="I8" s="38"/>
      <c r="J8" s="39"/>
    </row>
    <row r="9" spans="1:10" ht="24.95" customHeight="1" thickBot="1" x14ac:dyDescent="0.3">
      <c r="A9" s="9"/>
      <c r="B9" s="23" t="s">
        <v>13</v>
      </c>
      <c r="C9" s="24"/>
      <c r="D9" s="24"/>
      <c r="E9" s="14" t="s">
        <v>10</v>
      </c>
      <c r="F9" s="14" t="s">
        <v>11</v>
      </c>
      <c r="G9" s="14" t="s">
        <v>14</v>
      </c>
      <c r="H9" s="14" t="s">
        <v>12</v>
      </c>
      <c r="I9" s="25" t="s">
        <v>17</v>
      </c>
      <c r="J9" s="26"/>
    </row>
    <row r="10" spans="1:10" ht="30" customHeight="1" x14ac:dyDescent="0.25">
      <c r="A10" s="9"/>
      <c r="B10" s="63" t="s">
        <v>28</v>
      </c>
      <c r="C10" s="64"/>
      <c r="D10" s="64"/>
      <c r="E10" s="64"/>
      <c r="F10" s="64"/>
      <c r="G10" s="64"/>
      <c r="H10" s="64"/>
      <c r="I10" s="64"/>
      <c r="J10" s="65"/>
    </row>
    <row r="11" spans="1:10" ht="39.950000000000003" customHeight="1" x14ac:dyDescent="0.25">
      <c r="A11" s="9"/>
      <c r="B11" s="59" t="s">
        <v>44</v>
      </c>
      <c r="C11" s="60"/>
      <c r="D11" s="60"/>
      <c r="E11" s="8">
        <v>5</v>
      </c>
      <c r="F11" s="12" t="s">
        <v>26</v>
      </c>
      <c r="G11" s="16" t="str">
        <f>IFERROR(F11/E11,"")</f>
        <v/>
      </c>
      <c r="H11" s="17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21"/>
      <c r="J11" s="22"/>
    </row>
    <row r="12" spans="1:10" ht="30" customHeight="1" x14ac:dyDescent="0.25">
      <c r="A12" s="9"/>
      <c r="B12" s="59" t="s">
        <v>45</v>
      </c>
      <c r="C12" s="60"/>
      <c r="D12" s="60"/>
      <c r="E12" s="8">
        <v>5</v>
      </c>
      <c r="F12" s="12" t="s">
        <v>26</v>
      </c>
      <c r="G12" s="16" t="str">
        <f t="shared" ref="G12:G49" si="0">IFERROR(F12/E12,"")</f>
        <v/>
      </c>
      <c r="H12" s="17" t="str">
        <f t="shared" ref="H12:H49" si="1">_xlfn.IFS(F12="أدخل العلامة","",F12="لا ينطبق","تم الإلغاء",G12&gt;=90%,"ممتاز",G12&gt;=80%,"جيد جداً",G12&gt;=70%,"جيد",G12&gt;=60%,"مقبول",G12&lt;60%,"راسب")</f>
        <v/>
      </c>
      <c r="I12" s="21"/>
      <c r="J12" s="22"/>
    </row>
    <row r="13" spans="1:10" ht="39.950000000000003" customHeight="1" x14ac:dyDescent="0.25">
      <c r="A13" s="9"/>
      <c r="B13" s="59" t="s">
        <v>46</v>
      </c>
      <c r="C13" s="60"/>
      <c r="D13" s="60"/>
      <c r="E13" s="8"/>
      <c r="F13" s="12"/>
      <c r="G13" s="16"/>
      <c r="H13" s="17"/>
      <c r="I13" s="21"/>
      <c r="J13" s="22"/>
    </row>
    <row r="14" spans="1:10" ht="30" customHeight="1" x14ac:dyDescent="0.25">
      <c r="A14" s="9"/>
      <c r="B14" s="57" t="s">
        <v>59</v>
      </c>
      <c r="C14" s="58"/>
      <c r="D14" s="58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21"/>
      <c r="J14" s="22"/>
    </row>
    <row r="15" spans="1:10" ht="30" customHeight="1" x14ac:dyDescent="0.25">
      <c r="A15" s="9"/>
      <c r="B15" s="57" t="s">
        <v>29</v>
      </c>
      <c r="C15" s="58"/>
      <c r="D15" s="58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21"/>
      <c r="J15" s="22"/>
    </row>
    <row r="16" spans="1:10" ht="30" customHeight="1" x14ac:dyDescent="0.25">
      <c r="A16" s="9"/>
      <c r="B16" s="57" t="s">
        <v>30</v>
      </c>
      <c r="C16" s="58"/>
      <c r="D16" s="58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21"/>
      <c r="J16" s="22"/>
    </row>
    <row r="17" spans="1:10" ht="30" customHeight="1" x14ac:dyDescent="0.25">
      <c r="A17" s="9"/>
      <c r="B17" s="57" t="s">
        <v>60</v>
      </c>
      <c r="C17" s="58"/>
      <c r="D17" s="58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21"/>
      <c r="J17" s="22"/>
    </row>
    <row r="18" spans="1:10" ht="30" customHeight="1" x14ac:dyDescent="0.25">
      <c r="A18" s="9"/>
      <c r="B18" s="57" t="s">
        <v>31</v>
      </c>
      <c r="C18" s="58"/>
      <c r="D18" s="58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21"/>
      <c r="J18" s="22"/>
    </row>
    <row r="19" spans="1:10" ht="30" customHeight="1" x14ac:dyDescent="0.25">
      <c r="A19" s="9"/>
      <c r="B19" s="59" t="s">
        <v>47</v>
      </c>
      <c r="C19" s="60"/>
      <c r="D19" s="60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21"/>
      <c r="J19" s="22"/>
    </row>
    <row r="20" spans="1:10" ht="30" customHeight="1" x14ac:dyDescent="0.25">
      <c r="A20" s="9"/>
      <c r="B20" s="59" t="s">
        <v>48</v>
      </c>
      <c r="C20" s="60"/>
      <c r="D20" s="60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21"/>
      <c r="J20" s="22"/>
    </row>
    <row r="21" spans="1:10" ht="30" customHeight="1" x14ac:dyDescent="0.25">
      <c r="A21" s="9"/>
      <c r="B21" s="59" t="s">
        <v>49</v>
      </c>
      <c r="C21" s="60"/>
      <c r="D21" s="60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21"/>
      <c r="J21" s="22"/>
    </row>
    <row r="22" spans="1:10" ht="39.950000000000003" customHeight="1" thickBot="1" x14ac:dyDescent="0.3">
      <c r="A22" s="9"/>
      <c r="B22" s="61" t="s">
        <v>50</v>
      </c>
      <c r="C22" s="62"/>
      <c r="D22" s="62"/>
      <c r="E22" s="18">
        <v>5</v>
      </c>
      <c r="F22" s="13" t="s">
        <v>26</v>
      </c>
      <c r="G22" s="19" t="str">
        <f t="shared" si="0"/>
        <v/>
      </c>
      <c r="H22" s="20" t="str">
        <f t="shared" si="1"/>
        <v/>
      </c>
      <c r="I22" s="27"/>
      <c r="J22" s="28"/>
    </row>
    <row r="23" spans="1:10" ht="30" customHeight="1" x14ac:dyDescent="0.25">
      <c r="A23" s="9"/>
      <c r="B23" s="63" t="s">
        <v>32</v>
      </c>
      <c r="C23" s="64"/>
      <c r="D23" s="64"/>
      <c r="E23" s="64"/>
      <c r="F23" s="64"/>
      <c r="G23" s="64"/>
      <c r="H23" s="64"/>
      <c r="I23" s="64"/>
      <c r="J23" s="65"/>
    </row>
    <row r="24" spans="1:10" ht="30" customHeight="1" x14ac:dyDescent="0.25">
      <c r="A24" s="9"/>
      <c r="B24" s="59" t="s">
        <v>51</v>
      </c>
      <c r="C24" s="60"/>
      <c r="D24" s="60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21"/>
      <c r="J24" s="22"/>
    </row>
    <row r="25" spans="1:10" ht="30" customHeight="1" x14ac:dyDescent="0.25">
      <c r="A25" s="9"/>
      <c r="B25" s="59" t="s">
        <v>52</v>
      </c>
      <c r="C25" s="60"/>
      <c r="D25" s="60"/>
      <c r="E25" s="8">
        <v>5</v>
      </c>
      <c r="F25" s="12" t="s">
        <v>26</v>
      </c>
      <c r="G25" s="16" t="str">
        <f t="shared" si="0"/>
        <v/>
      </c>
      <c r="H25" s="17" t="str">
        <f t="shared" si="1"/>
        <v/>
      </c>
      <c r="I25" s="21"/>
      <c r="J25" s="22"/>
    </row>
    <row r="26" spans="1:10" ht="39.950000000000003" customHeight="1" x14ac:dyDescent="0.25">
      <c r="A26" s="9"/>
      <c r="B26" s="59" t="s">
        <v>53</v>
      </c>
      <c r="C26" s="60"/>
      <c r="D26" s="60"/>
      <c r="E26" s="8">
        <v>5</v>
      </c>
      <c r="F26" s="12" t="s">
        <v>26</v>
      </c>
      <c r="G26" s="16" t="str">
        <f t="shared" si="0"/>
        <v/>
      </c>
      <c r="H26" s="17" t="str">
        <f t="shared" si="1"/>
        <v/>
      </c>
      <c r="I26" s="21"/>
      <c r="J26" s="22"/>
    </row>
    <row r="27" spans="1:10" ht="30" customHeight="1" x14ac:dyDescent="0.25">
      <c r="A27" s="9"/>
      <c r="B27" s="59" t="s">
        <v>54</v>
      </c>
      <c r="C27" s="60"/>
      <c r="D27" s="60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21"/>
      <c r="J27" s="22"/>
    </row>
    <row r="28" spans="1:10" ht="30" customHeight="1" x14ac:dyDescent="0.25">
      <c r="A28" s="9"/>
      <c r="B28" s="59" t="s">
        <v>55</v>
      </c>
      <c r="C28" s="60"/>
      <c r="D28" s="60"/>
      <c r="E28" s="8"/>
      <c r="F28" s="12"/>
      <c r="G28" s="16"/>
      <c r="H28" s="17"/>
      <c r="I28" s="21"/>
      <c r="J28" s="22"/>
    </row>
    <row r="29" spans="1:10" ht="30" customHeight="1" x14ac:dyDescent="0.25">
      <c r="A29" s="9"/>
      <c r="B29" s="57" t="s">
        <v>61</v>
      </c>
      <c r="C29" s="58"/>
      <c r="D29" s="58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21"/>
      <c r="J29" s="22"/>
    </row>
    <row r="30" spans="1:10" ht="30" customHeight="1" x14ac:dyDescent="0.25">
      <c r="A30" s="9"/>
      <c r="B30" s="57" t="s">
        <v>33</v>
      </c>
      <c r="C30" s="58"/>
      <c r="D30" s="58"/>
      <c r="E30" s="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21"/>
      <c r="J30" s="22"/>
    </row>
    <row r="31" spans="1:10" ht="30" customHeight="1" x14ac:dyDescent="0.25">
      <c r="A31" s="9"/>
      <c r="B31" s="57" t="s">
        <v>34</v>
      </c>
      <c r="C31" s="58"/>
      <c r="D31" s="58"/>
      <c r="E31" s="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21"/>
      <c r="J31" s="22"/>
    </row>
    <row r="32" spans="1:10" ht="30" customHeight="1" x14ac:dyDescent="0.25">
      <c r="A32" s="9"/>
      <c r="B32" s="57" t="s">
        <v>62</v>
      </c>
      <c r="C32" s="58"/>
      <c r="D32" s="58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21"/>
      <c r="J32" s="22"/>
    </row>
    <row r="33" spans="1:10" ht="30" customHeight="1" x14ac:dyDescent="0.25">
      <c r="A33" s="9"/>
      <c r="B33" s="57" t="s">
        <v>35</v>
      </c>
      <c r="C33" s="58"/>
      <c r="D33" s="58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21"/>
      <c r="J33" s="22"/>
    </row>
    <row r="34" spans="1:10" ht="30" customHeight="1" x14ac:dyDescent="0.25">
      <c r="A34" s="9"/>
      <c r="B34" s="57" t="s">
        <v>63</v>
      </c>
      <c r="C34" s="58"/>
      <c r="D34" s="58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21"/>
      <c r="J34" s="22"/>
    </row>
    <row r="35" spans="1:10" ht="30" customHeight="1" x14ac:dyDescent="0.25">
      <c r="A35" s="9"/>
      <c r="B35" s="57" t="s">
        <v>36</v>
      </c>
      <c r="C35" s="58"/>
      <c r="D35" s="58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21"/>
      <c r="J35" s="22"/>
    </row>
    <row r="36" spans="1:10" ht="30" customHeight="1" x14ac:dyDescent="0.25">
      <c r="A36" s="9"/>
      <c r="B36" s="59" t="s">
        <v>56</v>
      </c>
      <c r="C36" s="60"/>
      <c r="D36" s="60"/>
      <c r="E36" s="8"/>
      <c r="F36" s="12"/>
      <c r="G36" s="16"/>
      <c r="H36" s="17"/>
      <c r="I36" s="21"/>
      <c r="J36" s="22"/>
    </row>
    <row r="37" spans="1:10" ht="30" customHeight="1" x14ac:dyDescent="0.25">
      <c r="A37" s="9"/>
      <c r="B37" s="57" t="s">
        <v>64</v>
      </c>
      <c r="C37" s="58"/>
      <c r="D37" s="58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21"/>
      <c r="J37" s="22"/>
    </row>
    <row r="38" spans="1:10" ht="30" customHeight="1" x14ac:dyDescent="0.25">
      <c r="A38" s="9"/>
      <c r="B38" s="57" t="s">
        <v>37</v>
      </c>
      <c r="C38" s="58"/>
      <c r="D38" s="58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21"/>
      <c r="J38" s="22"/>
    </row>
    <row r="39" spans="1:10" ht="30" customHeight="1" x14ac:dyDescent="0.25">
      <c r="A39" s="9"/>
      <c r="B39" s="57" t="s">
        <v>38</v>
      </c>
      <c r="C39" s="58"/>
      <c r="D39" s="58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21"/>
      <c r="J39" s="22"/>
    </row>
    <row r="40" spans="1:10" ht="30" customHeight="1" x14ac:dyDescent="0.25">
      <c r="A40" s="9"/>
      <c r="B40" s="57" t="s">
        <v>65</v>
      </c>
      <c r="C40" s="58"/>
      <c r="D40" s="58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21"/>
      <c r="J40" s="22"/>
    </row>
    <row r="41" spans="1:10" ht="30" customHeight="1" x14ac:dyDescent="0.25">
      <c r="A41" s="9"/>
      <c r="B41" s="57" t="s">
        <v>39</v>
      </c>
      <c r="C41" s="58"/>
      <c r="D41" s="58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21"/>
      <c r="J41" s="22"/>
    </row>
    <row r="42" spans="1:10" ht="30" customHeight="1" x14ac:dyDescent="0.25">
      <c r="A42" s="9"/>
      <c r="B42" s="57" t="s">
        <v>66</v>
      </c>
      <c r="C42" s="58"/>
      <c r="D42" s="58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21"/>
      <c r="J42" s="22"/>
    </row>
    <row r="43" spans="1:10" ht="30" customHeight="1" x14ac:dyDescent="0.25">
      <c r="A43" s="9"/>
      <c r="B43" s="57" t="s">
        <v>40</v>
      </c>
      <c r="C43" s="58"/>
      <c r="D43" s="58"/>
      <c r="E43" s="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21"/>
      <c r="J43" s="22"/>
    </row>
    <row r="44" spans="1:10" ht="30" customHeight="1" x14ac:dyDescent="0.25">
      <c r="A44" s="9"/>
      <c r="B44" s="57" t="s">
        <v>41</v>
      </c>
      <c r="C44" s="58"/>
      <c r="D44" s="58"/>
      <c r="E44" s="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21"/>
      <c r="J44" s="22"/>
    </row>
    <row r="45" spans="1:10" ht="30" customHeight="1" x14ac:dyDescent="0.25">
      <c r="A45" s="9"/>
      <c r="B45" s="59" t="s">
        <v>57</v>
      </c>
      <c r="C45" s="60"/>
      <c r="D45" s="60"/>
      <c r="E45" s="8"/>
      <c r="F45" s="12"/>
      <c r="G45" s="16"/>
      <c r="H45" s="17"/>
      <c r="I45" s="21"/>
      <c r="J45" s="22"/>
    </row>
    <row r="46" spans="1:10" ht="30" customHeight="1" x14ac:dyDescent="0.25">
      <c r="A46" s="9"/>
      <c r="B46" s="57" t="s">
        <v>67</v>
      </c>
      <c r="C46" s="58"/>
      <c r="D46" s="58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21"/>
      <c r="J46" s="22"/>
    </row>
    <row r="47" spans="1:10" ht="39.950000000000003" customHeight="1" x14ac:dyDescent="0.25">
      <c r="A47" s="9"/>
      <c r="B47" s="57" t="s">
        <v>42</v>
      </c>
      <c r="C47" s="58"/>
      <c r="D47" s="58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21"/>
      <c r="J47" s="22"/>
    </row>
    <row r="48" spans="1:10" ht="30" customHeight="1" x14ac:dyDescent="0.25">
      <c r="A48" s="9"/>
      <c r="B48" s="59" t="s">
        <v>43</v>
      </c>
      <c r="C48" s="60"/>
      <c r="D48" s="60"/>
      <c r="E48" s="8">
        <v>5</v>
      </c>
      <c r="F48" s="12" t="s">
        <v>26</v>
      </c>
      <c r="G48" s="16" t="str">
        <f t="shared" si="0"/>
        <v/>
      </c>
      <c r="H48" s="17" t="str">
        <f t="shared" si="1"/>
        <v/>
      </c>
      <c r="I48" s="21"/>
      <c r="J48" s="22"/>
    </row>
    <row r="49" spans="1:10" ht="39.950000000000003" customHeight="1" thickBot="1" x14ac:dyDescent="0.3">
      <c r="A49" s="9"/>
      <c r="B49" s="61" t="s">
        <v>58</v>
      </c>
      <c r="C49" s="62"/>
      <c r="D49" s="62"/>
      <c r="E49" s="18">
        <v>5</v>
      </c>
      <c r="F49" s="13" t="s">
        <v>26</v>
      </c>
      <c r="G49" s="19" t="str">
        <f t="shared" si="0"/>
        <v/>
      </c>
      <c r="H49" s="20" t="str">
        <f t="shared" si="1"/>
        <v/>
      </c>
      <c r="I49" s="27"/>
      <c r="J49" s="28"/>
    </row>
    <row r="50" spans="1:10" ht="30" customHeight="1" thickBot="1" x14ac:dyDescent="0.3">
      <c r="A50" s="3"/>
      <c r="B50" s="55" t="s">
        <v>5</v>
      </c>
      <c r="C50" s="56"/>
      <c r="D50" s="56"/>
      <c r="E50" s="15">
        <f>SUM(E10:E49)</f>
        <v>170</v>
      </c>
      <c r="F50" s="15">
        <f>SUM(F10:F49)</f>
        <v>0</v>
      </c>
      <c r="G50" s="50"/>
      <c r="H50" s="51"/>
      <c r="I50" s="51"/>
      <c r="J50" s="52"/>
    </row>
    <row r="51" spans="1:10" ht="30" customHeight="1" thickBot="1" x14ac:dyDescent="0.3">
      <c r="A51" s="3"/>
      <c r="B51" s="53" t="s">
        <v>20</v>
      </c>
      <c r="C51" s="54"/>
      <c r="D51" s="54"/>
      <c r="E51" s="46">
        <f>F50/E50/100*100</f>
        <v>0</v>
      </c>
      <c r="F51" s="46"/>
      <c r="G51" s="46"/>
      <c r="H51" s="46"/>
      <c r="I51" s="46"/>
      <c r="J51" s="47"/>
    </row>
    <row r="52" spans="1:10" ht="30" customHeight="1" thickBot="1" x14ac:dyDescent="0.3">
      <c r="A52" s="3"/>
      <c r="B52" s="53" t="s">
        <v>21</v>
      </c>
      <c r="C52" s="54"/>
      <c r="D52" s="54"/>
      <c r="E52" s="44" t="str">
        <f>_xlfn.IFS(E51&gt;=90%,"ممتاز",E51&gt;=80%,"جيد جداً",E51&gt;=70%,"جيد",E51&gt;=60%,"مقبول",E51&lt;60%,"راسب")</f>
        <v>راسب</v>
      </c>
      <c r="F52" s="44"/>
      <c r="G52" s="44"/>
      <c r="H52" s="44"/>
      <c r="I52" s="44"/>
      <c r="J52" s="45"/>
    </row>
    <row r="53" spans="1:10" ht="42" customHeight="1" x14ac:dyDescent="0.25">
      <c r="B53" s="40" t="s">
        <v>27</v>
      </c>
      <c r="C53" s="40"/>
      <c r="D53" s="40"/>
      <c r="E53" s="48" t="s">
        <v>18</v>
      </c>
      <c r="F53" s="48"/>
      <c r="G53" s="42" t="s">
        <v>24</v>
      </c>
      <c r="H53" s="42"/>
      <c r="I53" s="42"/>
      <c r="J53" s="42"/>
    </row>
    <row r="54" spans="1:10" ht="51" customHeight="1" x14ac:dyDescent="0.25">
      <c r="A54" s="4"/>
      <c r="B54" s="41"/>
      <c r="C54" s="41"/>
      <c r="D54" s="41"/>
      <c r="E54" s="49" t="s">
        <v>19</v>
      </c>
      <c r="F54" s="49"/>
      <c r="G54" s="43"/>
      <c r="H54" s="43"/>
      <c r="I54" s="43"/>
      <c r="J54" s="43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B46:D46"/>
    <mergeCell ref="B47:D47"/>
    <mergeCell ref="B48:D48"/>
    <mergeCell ref="B49:D49"/>
    <mergeCell ref="B10:J10"/>
    <mergeCell ref="B23:J23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28:D28"/>
    <mergeCell ref="B36:D36"/>
    <mergeCell ref="B19:D19"/>
    <mergeCell ref="B20:D20"/>
    <mergeCell ref="B21:D21"/>
    <mergeCell ref="B22:D22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  <mergeCell ref="I34:J34"/>
    <mergeCell ref="I35:J35"/>
    <mergeCell ref="B11:D11"/>
    <mergeCell ref="B12:D12"/>
    <mergeCell ref="B13:D13"/>
    <mergeCell ref="B14:D14"/>
    <mergeCell ref="B15:D15"/>
    <mergeCell ref="B34:D34"/>
    <mergeCell ref="B35:D35"/>
    <mergeCell ref="B52:D52"/>
    <mergeCell ref="I13:J13"/>
    <mergeCell ref="I14:J14"/>
    <mergeCell ref="I15:J15"/>
    <mergeCell ref="I16:J16"/>
    <mergeCell ref="I17:J17"/>
    <mergeCell ref="I18:J18"/>
    <mergeCell ref="I19:J19"/>
    <mergeCell ref="I20:J20"/>
    <mergeCell ref="I30:J30"/>
    <mergeCell ref="I31:J31"/>
    <mergeCell ref="I36:J36"/>
    <mergeCell ref="I37:J37"/>
    <mergeCell ref="I38:J38"/>
    <mergeCell ref="B50:D50"/>
    <mergeCell ref="B51:D51"/>
    <mergeCell ref="B53:D54"/>
    <mergeCell ref="G53:J53"/>
    <mergeCell ref="G54:J54"/>
    <mergeCell ref="E52:J52"/>
    <mergeCell ref="I42:J42"/>
    <mergeCell ref="I43:J43"/>
    <mergeCell ref="I44:J44"/>
    <mergeCell ref="I45:J45"/>
    <mergeCell ref="I46:J46"/>
    <mergeCell ref="E51:J51"/>
    <mergeCell ref="I47:J47"/>
    <mergeCell ref="I48:J48"/>
    <mergeCell ref="I49:J49"/>
    <mergeCell ref="E53:F53"/>
    <mergeCell ref="E54:F54"/>
    <mergeCell ref="G50:J50"/>
    <mergeCell ref="I29:J29"/>
    <mergeCell ref="B1:J1"/>
    <mergeCell ref="F4:J4"/>
    <mergeCell ref="B7:D8"/>
    <mergeCell ref="C4:D4"/>
    <mergeCell ref="C5:D5"/>
    <mergeCell ref="F5:J5"/>
    <mergeCell ref="E7:H7"/>
    <mergeCell ref="I7:J8"/>
    <mergeCell ref="B16:D16"/>
    <mergeCell ref="B17:D17"/>
    <mergeCell ref="B18:D18"/>
    <mergeCell ref="B2:J2"/>
    <mergeCell ref="B3:J3"/>
    <mergeCell ref="I11:J11"/>
    <mergeCell ref="B9:D9"/>
    <mergeCell ref="I40:J40"/>
    <mergeCell ref="I41:J41"/>
    <mergeCell ref="I32:J32"/>
    <mergeCell ref="I33:J33"/>
    <mergeCell ref="I39:J39"/>
    <mergeCell ref="I9:J9"/>
    <mergeCell ref="I12:J12"/>
    <mergeCell ref="I21:J21"/>
    <mergeCell ref="I22:J22"/>
    <mergeCell ref="I24:J24"/>
    <mergeCell ref="I25:J25"/>
    <mergeCell ref="I26:J26"/>
    <mergeCell ref="I27:J27"/>
    <mergeCell ref="I28:J28"/>
  </mergeCells>
  <conditionalFormatting sqref="E52">
    <cfRule type="expression" dxfId="23" priority="57">
      <formula>$E52="راسب"</formula>
    </cfRule>
  </conditionalFormatting>
  <conditionalFormatting sqref="E52:J52">
    <cfRule type="expression" dxfId="22" priority="58">
      <formula>$E52="مقبول"</formula>
    </cfRule>
    <cfRule type="expression" dxfId="21" priority="59">
      <formula>$E52="جيد"</formula>
    </cfRule>
    <cfRule type="expression" dxfId="20" priority="60">
      <formula>$E52="جيد جداً"</formula>
    </cfRule>
    <cfRule type="expression" dxfId="19" priority="61">
      <formula>$E52="ممتاز"</formula>
    </cfRule>
  </conditionalFormatting>
  <conditionalFormatting sqref="H12:H22 H24:H49">
    <cfRule type="containsText" dxfId="18" priority="39" operator="containsText" text="ممتاز">
      <formula>NOT(ISERROR(SEARCH("ممتاز",H12)))</formula>
    </cfRule>
    <cfRule type="containsText" dxfId="17" priority="40" operator="containsText" text="جيد جداً">
      <formula>NOT(ISERROR(SEARCH("جيد جداً",H12)))</formula>
    </cfRule>
    <cfRule type="containsText" dxfId="16" priority="41" operator="containsText" text="جيد">
      <formula>NOT(ISERROR(SEARCH("جيد",H12)))</formula>
    </cfRule>
    <cfRule type="containsText" dxfId="15" priority="42" operator="containsText" text="مقبول">
      <formula>NOT(ISERROR(SEARCH("مقبول",H12)))</formula>
    </cfRule>
    <cfRule type="containsText" dxfId="14" priority="43" operator="containsText" text="راسب">
      <formula>NOT(ISERROR(SEARCH("راسب",H12)))</formula>
    </cfRule>
  </conditionalFormatting>
  <conditionalFormatting sqref="H12:H22 H24:H49">
    <cfRule type="containsText" dxfId="13" priority="38" operator="containsText" text="أدخل العلامة">
      <formula>NOT(ISERROR(SEARCH("أدخل العلامة",H12)))</formula>
    </cfRule>
  </conditionalFormatting>
  <conditionalFormatting sqref="F4:J4">
    <cfRule type="containsText" dxfId="12" priority="19" operator="containsText" text="أدخل التاريخ">
      <formula>NOT(ISERROR(SEARCH("أدخل التاريخ",F4)))</formula>
    </cfRule>
  </conditionalFormatting>
  <conditionalFormatting sqref="C4:D4">
    <cfRule type="containsText" dxfId="11" priority="18" operator="containsText" text="أدخل الوحدة الخاضعة للتقييم">
      <formula>NOT(ISERROR(SEARCH("أدخل الوحدة الخاضعة للتقييم",C4)))</formula>
    </cfRule>
  </conditionalFormatting>
  <conditionalFormatting sqref="C5:D5">
    <cfRule type="containsText" dxfId="10" priority="17" operator="containsText" text="أدخل أسم قائد الوحدة الخاضعة للتقييم">
      <formula>NOT(ISERROR(SEARCH("أدخل أسم قائد الوحدة الخاضعة للتقييم",C5)))</formula>
    </cfRule>
  </conditionalFormatting>
  <conditionalFormatting sqref="F5:J5">
    <cfRule type="containsText" dxfId="9" priority="16" operator="containsText" text="أدخل أسم المحكم">
      <formula>NOT(ISERROR(SEARCH("أدخل أسم المحكم",F5)))</formula>
    </cfRule>
  </conditionalFormatting>
  <conditionalFormatting sqref="G53:J53">
    <cfRule type="containsText" dxfId="8" priority="15" operator="containsText" text="أدخل اسم المحكم">
      <formula>NOT(ISERROR(SEARCH("أدخل اسم المحكم",G53)))</formula>
    </cfRule>
  </conditionalFormatting>
  <conditionalFormatting sqref="F12:F22 F24:F49">
    <cfRule type="containsText" dxfId="7" priority="14" operator="containsText" text="أدخل العلامة">
      <formula>NOT(ISERROR(SEARCH("أدخل العلامة",F12)))</formula>
    </cfRule>
  </conditionalFormatting>
  <conditionalFormatting sqref="H11">
    <cfRule type="containsText" dxfId="6" priority="6" operator="containsText" text="ممتاز">
      <formula>NOT(ISERROR(SEARCH("ممتاز",H11)))</formula>
    </cfRule>
    <cfRule type="containsText" dxfId="5" priority="7" operator="containsText" text="جيد جداً">
      <formula>NOT(ISERROR(SEARCH("جيد جداً",H11)))</formula>
    </cfRule>
    <cfRule type="containsText" dxfId="4" priority="8" operator="containsText" text="جيد">
      <formula>NOT(ISERROR(SEARCH("جيد",H11)))</formula>
    </cfRule>
    <cfRule type="containsText" dxfId="3" priority="9" operator="containsText" text="مقبول">
      <formula>NOT(ISERROR(SEARCH("مقبول",H11)))</formula>
    </cfRule>
    <cfRule type="containsText" dxfId="2" priority="10" operator="containsText" text="راسب">
      <formula>NOT(ISERROR(SEARCH("راسب",H11)))</formula>
    </cfRule>
  </conditionalFormatting>
  <conditionalFormatting sqref="H11">
    <cfRule type="containsText" dxfId="1" priority="5" operator="containsText" text="أدخل العلامة">
      <formula>NOT(ISERROR(SEARCH("أدخل العلامة",H11)))</formula>
    </cfRule>
  </conditionalFormatting>
  <conditionalFormatting sqref="F11">
    <cfRule type="containsText" dxfId="0" priority="4" operator="containsText" text="أدخل العلامة">
      <formula>NOT(ISERROR(SEARCH("أدخل العلامة",F11)))</formula>
    </cfRule>
  </conditionalFormatting>
  <dataValidations count="1">
    <dataValidation type="list" allowBlank="1" showInputMessage="1" showErrorMessage="1" sqref="G53:J53 F4:J5 F46:F49 F37:F44 F29:F35 F24:F27 F14:F22 F11:F12 C4:D5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2026-09-21T16:41:54Z</dcterms:modified>
</cp:coreProperties>
</file>