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F52" i="2" l="1"/>
  <c r="E52" i="2" l="1"/>
  <c r="E53" i="2" l="1"/>
  <c r="E54" i="2" s="1"/>
</calcChain>
</file>

<file path=xl/sharedStrings.xml><?xml version="1.0" encoding="utf-8"?>
<sst xmlns="http://schemas.openxmlformats.org/spreadsheetml/2006/main" count="111" uniqueCount="73">
  <si>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</si>
  <si>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</si>
  <si>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</si>
  <si>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</si>
  <si>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</si>
  <si>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</si>
  <si>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</si>
  <si>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</si>
  <si>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</si>
  <si>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</si>
  <si>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</si>
  <si>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</si>
  <si>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</si>
  <si>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</si>
  <si>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</si>
  <si>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</si>
  <si>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</si>
  <si>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</si>
  <si>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</si>
  <si>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</si>
  <si>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</si>
  <si>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</si>
  <si>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</si>
  <si>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</si>
  <si>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</si>
  <si>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</si>
  <si>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</si>
  <si>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</si>
  <si>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</si>
  <si>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يعمل قائد سرية الاستطلاع على فهم الموقف باستخدام معدات الاتصال المتوفرة، والخرائط.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</si>
  <si>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يستلم قائد السرية أمر العمليات من مجموعة اللواء ويتم القيام بما يلي.</t>
    </r>
  </si>
  <si>
    <t>أ. البدء بإجراءات التخطيط من خلال إجراءات المعركة الثمانية.</t>
  </si>
  <si>
    <t xml:space="preserve"> تنفيذ الاستطلاع من الخارطة وتحديد ما يلي بشكل أولي.</t>
  </si>
  <si>
    <t>جـ.    تحديد منطقة التجمع المحددة من المستوى الأعلى.</t>
  </si>
  <si>
    <t>د.     تحديد طرق الحركة لمنطقة التجمع.</t>
  </si>
  <si>
    <t>هـ.    تحديد المقتربات وممرات الحركة من منطقة التجمع وحتى منطقة التشكيل وخط البدء.</t>
  </si>
  <si>
    <t>و.    دمج وتوحيد متطلبات الاستخبارات وخطة الاستطلاع.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</si>
  <si>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إصدار أمر العمليات للفصائل، وتقديم ايجازات للتأكد من أنهم يفهمون قصد القائد ومفهوم عملياته.</t>
    </r>
  </si>
  <si>
    <t>إجراءات التحضير.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</si>
  <si>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سرية الاستطلاع بالتحضير والاستعداد للمهمة من خلال:</t>
    </r>
  </si>
  <si>
    <t>أ. تنقيح الخطة بناءً على الاستخبارات المحدثة باستمرار.</t>
  </si>
  <si>
    <t>ب. تنفيذ الاستطلاع الواسع من أجل:</t>
  </si>
  <si>
    <t>(1)     تحديد حجم وتأليف وتوزيعات قوة العدو في منطقة الأهداف.</t>
  </si>
  <si>
    <t>(2)    تحديد موقع ونوع وعمق وتأليف الموانع والممرات حول الموانع.</t>
  </si>
  <si>
    <t>(3)   تحديد طرق الهجوم المعاكس أو التعزيزات المعادية.</t>
  </si>
  <si>
    <t>(4)   تحديد نوع التحصينات المعادية وجهد القدرة على البقاء.</t>
  </si>
  <si>
    <t>(5)    تحديد مناطق اشتباك العدو.</t>
  </si>
  <si>
    <t>(6)    تحديد نقاط ضعف العدو.</t>
  </si>
  <si>
    <t>(7)    تحديد الفجوات في دفاع العدو.</t>
  </si>
  <si>
    <t>(8)    تحديد الأجنحة المكشوفة أو الضعيفة للعدو.</t>
  </si>
  <si>
    <t>(9)    تحديد المقتربات غير المراقبة أو المدافع عنها والتي تؤدي إلى أجنحة أو مؤخرة العدو.</t>
  </si>
  <si>
    <t>(10)   تحديد الطرق التي تتوفر فيها التخفية والتستر التي تسمح للقوات الصديقة بالاقتراب من دفاعات العدو.</t>
  </si>
  <si>
    <t>(11)   تحديد الموانع أو التحصينات الضعيفة في دفاع العدو خاصة على طول الأجنحة.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</si>
  <si>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</si>
  <si>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الإشراف على الفصائل لضمان أن التخطيط والتحضير يجري بطريقة صحيحة وتتفق مع قصد القائد.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</si>
  <si>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توضيع القوات للحركة.</t>
    </r>
  </si>
  <si>
    <r>
      <t>إجراءات التنفيذ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تنفذ سرية الاستطلاع الهجوم وتقوم بالإجراءات التالية: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</si>
  <si>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الحركة من منطقة التجمع إلى منطقة التشكيل وخط البدء، بأسلوب الحركة والتشكيلة المناسبين.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</si>
  <si>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تأمين خط البدء بالمعلومات.  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</si>
  <si>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نتائج القصف التمهيدي ودرجـة تأثيره على القوة البشريـة وأسلحـة ومعدات ودفاعات العدو (تحديد خسائر العدو).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</si>
  <si>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متابعة الانتقالات والأماكن الجديدة لمواقع أسلحة التدمير الشامل لعدو.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</si>
  <si>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متابعة انتقالات مدفعية العدو وهاوناته والأسلحة المضادة للدبابات.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</si>
  <si>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اكتشاف نقاط المقاومة للعدو والتي مازالت تعرقل تقدم قواتنا.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</si>
  <si>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طبيعة نشاط العدو الجوي.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</si>
  <si>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اكتشاف تقدم احتياطات العدو وخطوط البدء لتوجيه الهجمات المعاكسة ومتابعتها.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</si>
  <si>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اكتشاف إعادة تجميع العدو لقواته.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</si>
  <si>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متابعة انتقالات مراكز القيادة والسيطرة ووسائله الإلكترونية.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</si>
  <si>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درجة التجهيز الهندسي لخطوط العدو الدفاعية في العمق ومدى احتلالها بالقوات.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</si>
  <si>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طبيعة الأرض وطبيعة الموانع (ألغام – أسلاك – مناطق مدمرة) في اتجاهات تقدم القوات ومدى توفر مصادر المياه.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</si>
  <si>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متابعة الموقف الكيميائي في قطاع هجوم قواتنا.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</si>
  <si>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اكتشاف ظهور أسلحة جديدة للعدو أو اتباعه أساليب قتال جديدة.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</si>
  <si>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توقيت بدء انسحاب العدو واتجاهه ومتابعته.</t>
    </r>
  </si>
  <si>
    <t>تقييم سرية الاستطلاع في إسناد الهجوم (المدبر)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</si>
</sst>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7" fillId="0" borderId="19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7" fillId="0" borderId="10" xfId="0" applyFont="1" applyBorder="1" applyAlignment="1">
      <alignment horizontal="right" vertical="center" wrapText="1" readingOrder="2"/>
    </xf>
    <xf numFmtId="0" fontId="7" fillId="0" borderId="1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7" fillId="0" borderId="19" xfId="0" applyFont="1" applyBorder="1" applyAlignment="1">
      <alignment horizontal="right" vertical="center" wrapText="1" indent="4" readingOrder="2"/>
    </xf>
    <xf numFmtId="0" fontId="7" fillId="0" borderId="2" xfId="0" applyFont="1" applyBorder="1" applyAlignment="1">
      <alignment horizontal="right" vertical="center" wrapText="1" indent="4" readingOrder="2"/>
    </xf>
    <xf numFmtId="0" fontId="10" fillId="0" borderId="19" xfId="0" applyFont="1" applyBorder="1" applyAlignment="1">
      <alignment horizontal="right" vertical="center" wrapText="1" readingOrder="2"/>
    </xf>
    <xf numFmtId="0" fontId="10" fillId="0" borderId="2" xfId="0" applyFont="1" applyBorder="1" applyAlignment="1">
      <alignment horizontal="right" vertical="center" wrapText="1" readingOrder="2"/>
    </xf>
    <xf numFmtId="0" fontId="7" fillId="0" borderId="19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3" t="s">
        <v>72</v>
      </c>
      <c r="C1" s="73"/>
      <c r="D1" s="73"/>
      <c r="E1" s="73"/>
      <c r="F1" s="73"/>
      <c r="G1" s="73"/>
      <c r="H1" s="73"/>
      <c r="I1" s="73"/>
      <c r="J1" s="73"/>
    </row>
    <row r="2" spans="1:10" ht="30" customHeight="1" x14ac:dyDescent="0.25">
      <c r="B2" s="12" t="s">
        <v>8</v>
      </c>
      <c r="C2" s="50" t="s">
        <v>23</v>
      </c>
      <c r="D2" s="50"/>
      <c r="E2" s="12" t="s">
        <v>7</v>
      </c>
      <c r="F2" s="45" t="s">
        <v>22</v>
      </c>
      <c r="G2" s="45"/>
      <c r="H2" s="45"/>
      <c r="I2" s="45"/>
      <c r="J2" s="45"/>
    </row>
    <row r="3" spans="1:10" ht="30" customHeight="1" x14ac:dyDescent="0.25">
      <c r="B3" s="12" t="s">
        <v>9</v>
      </c>
      <c r="C3" s="50" t="s">
        <v>25</v>
      </c>
      <c r="D3" s="50"/>
      <c r="E3" s="12" t="s">
        <v>6</v>
      </c>
      <c r="F3" s="50" t="s">
        <v>24</v>
      </c>
      <c r="G3" s="50"/>
      <c r="H3" s="50"/>
      <c r="I3" s="50"/>
      <c r="J3" s="50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46" t="s">
        <v>0</v>
      </c>
      <c r="C5" s="47"/>
      <c r="D5" s="47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 x14ac:dyDescent="0.3">
      <c r="A6" s="10"/>
      <c r="B6" s="48"/>
      <c r="C6" s="49"/>
      <c r="D6" s="49"/>
      <c r="E6" s="11" t="s">
        <v>3</v>
      </c>
      <c r="F6" s="11" t="s">
        <v>4</v>
      </c>
      <c r="G6" s="11" t="s">
        <v>15</v>
      </c>
      <c r="H6" s="11" t="s">
        <v>16</v>
      </c>
      <c r="I6" s="57"/>
      <c r="J6" s="58"/>
    </row>
    <row r="7" spans="1:10" ht="24.95" customHeight="1" thickBot="1" x14ac:dyDescent="0.3">
      <c r="A7" s="10"/>
      <c r="B7" s="53" t="s">
        <v>13</v>
      </c>
      <c r="C7" s="54"/>
      <c r="D7" s="54"/>
      <c r="E7" s="15" t="s">
        <v>10</v>
      </c>
      <c r="F7" s="15" t="s">
        <v>11</v>
      </c>
      <c r="G7" s="15" t="s">
        <v>14</v>
      </c>
      <c r="H7" s="15" t="s">
        <v>12</v>
      </c>
      <c r="I7" s="59" t="s">
        <v>17</v>
      </c>
      <c r="J7" s="60"/>
    </row>
    <row r="8" spans="1:10" ht="30" customHeight="1" x14ac:dyDescent="0.25">
      <c r="A8" s="10"/>
      <c r="B8" s="30" t="s">
        <v>28</v>
      </c>
      <c r="C8" s="31"/>
      <c r="D8" s="31"/>
      <c r="E8" s="19"/>
      <c r="F8" s="20"/>
      <c r="G8" s="21"/>
      <c r="H8" s="22"/>
      <c r="I8" s="69"/>
      <c r="J8" s="70"/>
    </row>
    <row r="9" spans="1:10" ht="39.950000000000003" customHeight="1" x14ac:dyDescent="0.25">
      <c r="A9" s="10"/>
      <c r="B9" s="26" t="s">
        <v>29</v>
      </c>
      <c r="C9" s="27"/>
      <c r="D9" s="27"/>
      <c r="E9" s="8">
        <v>5</v>
      </c>
      <c r="F9" s="13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38"/>
      <c r="J9" s="39"/>
    </row>
    <row r="10" spans="1:10" ht="30" customHeight="1" x14ac:dyDescent="0.25">
      <c r="A10" s="10"/>
      <c r="B10" s="26" t="s">
        <v>30</v>
      </c>
      <c r="C10" s="27"/>
      <c r="D10" s="27"/>
      <c r="E10" s="16"/>
      <c r="F10" s="13"/>
      <c r="G10" s="17"/>
      <c r="H10" s="18"/>
      <c r="I10" s="38"/>
      <c r="J10" s="39"/>
    </row>
    <row r="11" spans="1:10" ht="30" customHeight="1" x14ac:dyDescent="0.25">
      <c r="A11" s="10"/>
      <c r="B11" s="36" t="s">
        <v>31</v>
      </c>
      <c r="C11" s="37"/>
      <c r="D11" s="37"/>
      <c r="E11" s="8">
        <v>5</v>
      </c>
      <c r="F11" s="13" t="s">
        <v>26</v>
      </c>
      <c r="G11" s="17" t="str">
        <f t="shared" ref="G11:G51" si="0">IFERROR(F11/E11,"")</f>
        <v/>
      </c>
      <c r="H11" s="18" t="str">
        <f t="shared" ref="H11:H51" si="1">_xlfn.IFS(F11="أدخل العلامة","",F11="لا ينطبق","تم الإلغاء",G11&gt;=90%,"ممتاز",G11&gt;=80%,"جيد جداً",G11&gt;=70%,"جيد",G11&gt;=60%,"مقبول",G11&lt;60%,"راسب")</f>
        <v/>
      </c>
      <c r="I11" s="38"/>
      <c r="J11" s="39"/>
    </row>
    <row r="12" spans="1:10" ht="30" customHeight="1" x14ac:dyDescent="0.25">
      <c r="A12" s="10"/>
      <c r="B12" s="36" t="s">
        <v>32</v>
      </c>
      <c r="C12" s="37"/>
      <c r="D12" s="37"/>
      <c r="E12" s="8">
        <v>5</v>
      </c>
      <c r="F12" s="13" t="s">
        <v>26</v>
      </c>
      <c r="G12" s="17" t="str">
        <f t="shared" si="0"/>
        <v/>
      </c>
      <c r="H12" s="18" t="str">
        <f t="shared" si="1"/>
        <v/>
      </c>
      <c r="I12" s="38"/>
      <c r="J12" s="39"/>
    </row>
    <row r="13" spans="1:10" ht="30" customHeight="1" x14ac:dyDescent="0.25">
      <c r="A13" s="10"/>
      <c r="B13" s="36" t="s">
        <v>33</v>
      </c>
      <c r="C13" s="37"/>
      <c r="D13" s="37"/>
      <c r="E13" s="8">
        <v>5</v>
      </c>
      <c r="F13" s="13" t="s">
        <v>26</v>
      </c>
      <c r="G13" s="17" t="str">
        <f t="shared" si="0"/>
        <v/>
      </c>
      <c r="H13" s="18" t="str">
        <f t="shared" si="1"/>
        <v/>
      </c>
      <c r="I13" s="38"/>
      <c r="J13" s="39"/>
    </row>
    <row r="14" spans="1:10" ht="30" customHeight="1" x14ac:dyDescent="0.25">
      <c r="A14" s="10"/>
      <c r="B14" s="36" t="s">
        <v>34</v>
      </c>
      <c r="C14" s="37"/>
      <c r="D14" s="37"/>
      <c r="E14" s="8">
        <v>5</v>
      </c>
      <c r="F14" s="13" t="s">
        <v>26</v>
      </c>
      <c r="G14" s="17" t="str">
        <f t="shared" si="0"/>
        <v/>
      </c>
      <c r="H14" s="18" t="str">
        <f t="shared" si="1"/>
        <v/>
      </c>
      <c r="I14" s="38"/>
      <c r="J14" s="39"/>
    </row>
    <row r="15" spans="1:10" ht="39.950000000000003" customHeight="1" x14ac:dyDescent="0.25">
      <c r="A15" s="10"/>
      <c r="B15" s="36" t="s">
        <v>35</v>
      </c>
      <c r="C15" s="37"/>
      <c r="D15" s="37"/>
      <c r="E15" s="8">
        <v>5</v>
      </c>
      <c r="F15" s="13" t="s">
        <v>26</v>
      </c>
      <c r="G15" s="17" t="str">
        <f t="shared" si="0"/>
        <v/>
      </c>
      <c r="H15" s="18" t="str">
        <f t="shared" si="1"/>
        <v/>
      </c>
      <c r="I15" s="38"/>
      <c r="J15" s="39"/>
    </row>
    <row r="16" spans="1:10" ht="30" customHeight="1" x14ac:dyDescent="0.25">
      <c r="A16" s="10"/>
      <c r="B16" s="36" t="s">
        <v>36</v>
      </c>
      <c r="C16" s="37"/>
      <c r="D16" s="37"/>
      <c r="E16" s="8">
        <v>5</v>
      </c>
      <c r="F16" s="13" t="s">
        <v>26</v>
      </c>
      <c r="G16" s="17" t="str">
        <f t="shared" si="0"/>
        <v/>
      </c>
      <c r="H16" s="18" t="str">
        <f t="shared" si="1"/>
        <v/>
      </c>
      <c r="I16" s="38"/>
      <c r="J16" s="39"/>
    </row>
    <row r="17" spans="1:10" ht="39.950000000000003" customHeight="1" thickBot="1" x14ac:dyDescent="0.3">
      <c r="A17" s="10"/>
      <c r="B17" s="28" t="s">
        <v>37</v>
      </c>
      <c r="C17" s="29"/>
      <c r="D17" s="29"/>
      <c r="E17" s="23">
        <v>5</v>
      </c>
      <c r="F17" s="14" t="s">
        <v>26</v>
      </c>
      <c r="G17" s="24" t="str">
        <f t="shared" si="0"/>
        <v/>
      </c>
      <c r="H17" s="25" t="str">
        <f t="shared" si="1"/>
        <v/>
      </c>
      <c r="I17" s="67"/>
      <c r="J17" s="68"/>
    </row>
    <row r="18" spans="1:10" ht="30" customHeight="1" x14ac:dyDescent="0.25">
      <c r="A18" s="10"/>
      <c r="B18" s="30" t="s">
        <v>38</v>
      </c>
      <c r="C18" s="31"/>
      <c r="D18" s="31"/>
      <c r="E18" s="19"/>
      <c r="F18" s="20"/>
      <c r="G18" s="21"/>
      <c r="H18" s="22"/>
      <c r="I18" s="69"/>
      <c r="J18" s="70"/>
    </row>
    <row r="19" spans="1:10" ht="30" customHeight="1" x14ac:dyDescent="0.25">
      <c r="A19" s="10"/>
      <c r="B19" s="34" t="s">
        <v>39</v>
      </c>
      <c r="C19" s="35"/>
      <c r="D19" s="35"/>
      <c r="E19" s="8"/>
      <c r="F19" s="13"/>
      <c r="G19" s="17"/>
      <c r="H19" s="18"/>
      <c r="I19" s="38"/>
      <c r="J19" s="39"/>
    </row>
    <row r="20" spans="1:10" ht="30" customHeight="1" x14ac:dyDescent="0.25">
      <c r="A20" s="10"/>
      <c r="B20" s="36" t="s">
        <v>40</v>
      </c>
      <c r="C20" s="37"/>
      <c r="D20" s="37"/>
      <c r="E20" s="8">
        <v>5</v>
      </c>
      <c r="F20" s="13" t="s">
        <v>26</v>
      </c>
      <c r="G20" s="17" t="str">
        <f t="shared" si="0"/>
        <v/>
      </c>
      <c r="H20" s="18" t="str">
        <f t="shared" si="1"/>
        <v/>
      </c>
      <c r="I20" s="38"/>
      <c r="J20" s="39"/>
    </row>
    <row r="21" spans="1:10" ht="30" customHeight="1" x14ac:dyDescent="0.25">
      <c r="A21" s="10"/>
      <c r="B21" s="36" t="s">
        <v>41</v>
      </c>
      <c r="C21" s="37"/>
      <c r="D21" s="37"/>
      <c r="E21" s="16"/>
      <c r="F21" s="13"/>
      <c r="G21" s="17"/>
      <c r="H21" s="18"/>
      <c r="I21" s="38"/>
      <c r="J21" s="39"/>
    </row>
    <row r="22" spans="1:10" ht="39.950000000000003" customHeight="1" x14ac:dyDescent="0.25">
      <c r="A22" s="10"/>
      <c r="B22" s="32" t="s">
        <v>42</v>
      </c>
      <c r="C22" s="33"/>
      <c r="D22" s="33"/>
      <c r="E22" s="8">
        <v>5</v>
      </c>
      <c r="F22" s="13" t="s">
        <v>26</v>
      </c>
      <c r="G22" s="17" t="str">
        <f t="shared" si="0"/>
        <v/>
      </c>
      <c r="H22" s="18" t="str">
        <f t="shared" si="1"/>
        <v/>
      </c>
      <c r="I22" s="38"/>
      <c r="J22" s="39"/>
    </row>
    <row r="23" spans="1:10" ht="39.950000000000003" customHeight="1" x14ac:dyDescent="0.25">
      <c r="A23" s="10"/>
      <c r="B23" s="32" t="s">
        <v>43</v>
      </c>
      <c r="C23" s="33"/>
      <c r="D23" s="33"/>
      <c r="E23" s="8">
        <v>5</v>
      </c>
      <c r="F23" s="13" t="s">
        <v>26</v>
      </c>
      <c r="G23" s="17" t="str">
        <f t="shared" si="0"/>
        <v/>
      </c>
      <c r="H23" s="18" t="str">
        <f t="shared" si="1"/>
        <v/>
      </c>
      <c r="I23" s="38"/>
      <c r="J23" s="39"/>
    </row>
    <row r="24" spans="1:10" ht="30" customHeight="1" x14ac:dyDescent="0.25">
      <c r="A24" s="10"/>
      <c r="B24" s="32" t="s">
        <v>44</v>
      </c>
      <c r="C24" s="33"/>
      <c r="D24" s="33"/>
      <c r="E24" s="8">
        <v>5</v>
      </c>
      <c r="F24" s="13" t="s">
        <v>26</v>
      </c>
      <c r="G24" s="17" t="str">
        <f t="shared" si="0"/>
        <v/>
      </c>
      <c r="H24" s="18" t="str">
        <f t="shared" si="1"/>
        <v/>
      </c>
      <c r="I24" s="38"/>
      <c r="J24" s="39"/>
    </row>
    <row r="25" spans="1:10" ht="30" customHeight="1" x14ac:dyDescent="0.25">
      <c r="A25" s="10"/>
      <c r="B25" s="32" t="s">
        <v>45</v>
      </c>
      <c r="C25" s="33"/>
      <c r="D25" s="33"/>
      <c r="E25" s="8">
        <v>5</v>
      </c>
      <c r="F25" s="13" t="s">
        <v>26</v>
      </c>
      <c r="G25" s="17" t="str">
        <f t="shared" si="0"/>
        <v/>
      </c>
      <c r="H25" s="18" t="str">
        <f t="shared" si="1"/>
        <v/>
      </c>
      <c r="I25" s="38"/>
      <c r="J25" s="39"/>
    </row>
    <row r="26" spans="1:10" ht="30" customHeight="1" x14ac:dyDescent="0.25">
      <c r="A26" s="10"/>
      <c r="B26" s="32" t="s">
        <v>46</v>
      </c>
      <c r="C26" s="33"/>
      <c r="D26" s="33"/>
      <c r="E26" s="8">
        <v>5</v>
      </c>
      <c r="F26" s="13" t="s">
        <v>26</v>
      </c>
      <c r="G26" s="17" t="str">
        <f t="shared" si="0"/>
        <v/>
      </c>
      <c r="H26" s="18" t="str">
        <f t="shared" si="1"/>
        <v/>
      </c>
      <c r="I26" s="38"/>
      <c r="J26" s="39"/>
    </row>
    <row r="27" spans="1:10" ht="30" customHeight="1" x14ac:dyDescent="0.25">
      <c r="A27" s="10"/>
      <c r="B27" s="32" t="s">
        <v>47</v>
      </c>
      <c r="C27" s="33"/>
      <c r="D27" s="33"/>
      <c r="E27" s="8">
        <v>5</v>
      </c>
      <c r="F27" s="13" t="s">
        <v>26</v>
      </c>
      <c r="G27" s="17" t="str">
        <f t="shared" si="0"/>
        <v/>
      </c>
      <c r="H27" s="18" t="str">
        <f t="shared" si="1"/>
        <v/>
      </c>
      <c r="I27" s="38"/>
      <c r="J27" s="39"/>
    </row>
    <row r="28" spans="1:10" ht="30" customHeight="1" x14ac:dyDescent="0.25">
      <c r="A28" s="10"/>
      <c r="B28" s="32" t="s">
        <v>48</v>
      </c>
      <c r="C28" s="33"/>
      <c r="D28" s="33"/>
      <c r="E28" s="8">
        <v>5</v>
      </c>
      <c r="F28" s="13" t="s">
        <v>26</v>
      </c>
      <c r="G28" s="17" t="str">
        <f t="shared" si="0"/>
        <v/>
      </c>
      <c r="H28" s="18" t="str">
        <f t="shared" si="1"/>
        <v/>
      </c>
      <c r="I28" s="38"/>
      <c r="J28" s="39"/>
    </row>
    <row r="29" spans="1:10" ht="30" customHeight="1" x14ac:dyDescent="0.25">
      <c r="A29" s="10"/>
      <c r="B29" s="32" t="s">
        <v>49</v>
      </c>
      <c r="C29" s="33"/>
      <c r="D29" s="33"/>
      <c r="E29" s="8">
        <v>5</v>
      </c>
      <c r="F29" s="13" t="s">
        <v>26</v>
      </c>
      <c r="G29" s="17" t="str">
        <f t="shared" si="0"/>
        <v/>
      </c>
      <c r="H29" s="18" t="str">
        <f t="shared" si="1"/>
        <v/>
      </c>
      <c r="I29" s="38"/>
      <c r="J29" s="39"/>
    </row>
    <row r="30" spans="1:10" ht="39.950000000000003" customHeight="1" x14ac:dyDescent="0.25">
      <c r="A30" s="10"/>
      <c r="B30" s="32" t="s">
        <v>50</v>
      </c>
      <c r="C30" s="33"/>
      <c r="D30" s="33"/>
      <c r="E30" s="8">
        <v>5</v>
      </c>
      <c r="F30" s="13" t="s">
        <v>26</v>
      </c>
      <c r="G30" s="17" t="str">
        <f t="shared" si="0"/>
        <v/>
      </c>
      <c r="H30" s="18" t="str">
        <f t="shared" si="1"/>
        <v/>
      </c>
      <c r="I30" s="38"/>
      <c r="J30" s="39"/>
    </row>
    <row r="31" spans="1:10" ht="39.950000000000003" customHeight="1" x14ac:dyDescent="0.25">
      <c r="A31" s="10"/>
      <c r="B31" s="32" t="s">
        <v>51</v>
      </c>
      <c r="C31" s="33"/>
      <c r="D31" s="33"/>
      <c r="E31" s="8">
        <v>5</v>
      </c>
      <c r="F31" s="13" t="s">
        <v>26</v>
      </c>
      <c r="G31" s="17" t="str">
        <f t="shared" si="0"/>
        <v/>
      </c>
      <c r="H31" s="18" t="str">
        <f t="shared" si="1"/>
        <v/>
      </c>
      <c r="I31" s="38"/>
      <c r="J31" s="39"/>
    </row>
    <row r="32" spans="1:10" ht="39.950000000000003" customHeight="1" x14ac:dyDescent="0.25">
      <c r="A32" s="10"/>
      <c r="B32" s="32" t="s">
        <v>52</v>
      </c>
      <c r="C32" s="33"/>
      <c r="D32" s="33"/>
      <c r="E32" s="8">
        <v>5</v>
      </c>
      <c r="F32" s="13" t="s">
        <v>26</v>
      </c>
      <c r="G32" s="17" t="str">
        <f t="shared" si="0"/>
        <v/>
      </c>
      <c r="H32" s="18" t="str">
        <f t="shared" si="1"/>
        <v/>
      </c>
      <c r="I32" s="38"/>
      <c r="J32" s="39"/>
    </row>
    <row r="33" spans="1:10" ht="30" customHeight="1" x14ac:dyDescent="0.25">
      <c r="A33" s="10"/>
      <c r="B33" s="26" t="s">
        <v>53</v>
      </c>
      <c r="C33" s="27"/>
      <c r="D33" s="27"/>
      <c r="E33" s="8">
        <v>5</v>
      </c>
      <c r="F33" s="13" t="s">
        <v>26</v>
      </c>
      <c r="G33" s="17" t="str">
        <f t="shared" si="0"/>
        <v/>
      </c>
      <c r="H33" s="18" t="str">
        <f t="shared" si="1"/>
        <v/>
      </c>
      <c r="I33" s="38"/>
      <c r="J33" s="39"/>
    </row>
    <row r="34" spans="1:10" ht="39.950000000000003" customHeight="1" x14ac:dyDescent="0.25">
      <c r="A34" s="10"/>
      <c r="B34" s="26" t="s">
        <v>54</v>
      </c>
      <c r="C34" s="27"/>
      <c r="D34" s="27"/>
      <c r="E34" s="8">
        <v>5</v>
      </c>
      <c r="F34" s="13" t="s">
        <v>26</v>
      </c>
      <c r="G34" s="17" t="str">
        <f t="shared" si="0"/>
        <v/>
      </c>
      <c r="H34" s="18" t="str">
        <f t="shared" si="1"/>
        <v/>
      </c>
      <c r="I34" s="38"/>
      <c r="J34" s="39"/>
    </row>
    <row r="35" spans="1:10" ht="30" customHeight="1" thickBot="1" x14ac:dyDescent="0.3">
      <c r="A35" s="10"/>
      <c r="B35" s="28" t="s">
        <v>55</v>
      </c>
      <c r="C35" s="29"/>
      <c r="D35" s="29"/>
      <c r="E35" s="23">
        <v>5</v>
      </c>
      <c r="F35" s="14" t="s">
        <v>26</v>
      </c>
      <c r="G35" s="24" t="str">
        <f t="shared" si="0"/>
        <v/>
      </c>
      <c r="H35" s="25" t="str">
        <f t="shared" si="1"/>
        <v/>
      </c>
      <c r="I35" s="67"/>
      <c r="J35" s="68"/>
    </row>
    <row r="36" spans="1:10" ht="30" customHeight="1" x14ac:dyDescent="0.25">
      <c r="A36" s="10"/>
      <c r="B36" s="30" t="s">
        <v>56</v>
      </c>
      <c r="C36" s="31"/>
      <c r="D36" s="31"/>
      <c r="E36" s="19"/>
      <c r="F36" s="20"/>
      <c r="G36" s="21"/>
      <c r="H36" s="22"/>
      <c r="I36" s="69"/>
      <c r="J36" s="70"/>
    </row>
    <row r="37" spans="1:10" ht="39.950000000000003" customHeight="1" x14ac:dyDescent="0.25">
      <c r="A37" s="10"/>
      <c r="B37" s="26" t="s">
        <v>57</v>
      </c>
      <c r="C37" s="27"/>
      <c r="D37" s="27"/>
      <c r="E37" s="8">
        <v>5</v>
      </c>
      <c r="F37" s="13" t="s">
        <v>26</v>
      </c>
      <c r="G37" s="17" t="str">
        <f t="shared" si="0"/>
        <v/>
      </c>
      <c r="H37" s="18" t="str">
        <f t="shared" si="1"/>
        <v/>
      </c>
      <c r="I37" s="38"/>
      <c r="J37" s="39"/>
    </row>
    <row r="38" spans="1:10" ht="30" customHeight="1" x14ac:dyDescent="0.25">
      <c r="A38" s="10"/>
      <c r="B38" s="26" t="s">
        <v>58</v>
      </c>
      <c r="C38" s="27"/>
      <c r="D38" s="27"/>
      <c r="E38" s="8">
        <v>5</v>
      </c>
      <c r="F38" s="13" t="s">
        <v>26</v>
      </c>
      <c r="G38" s="17" t="str">
        <f t="shared" si="0"/>
        <v/>
      </c>
      <c r="H38" s="18" t="str">
        <f t="shared" si="1"/>
        <v/>
      </c>
      <c r="I38" s="38"/>
      <c r="J38" s="39"/>
    </row>
    <row r="39" spans="1:10" ht="39.950000000000003" customHeight="1" x14ac:dyDescent="0.25">
      <c r="A39" s="10"/>
      <c r="B39" s="26" t="s">
        <v>59</v>
      </c>
      <c r="C39" s="27"/>
      <c r="D39" s="27"/>
      <c r="E39" s="8">
        <v>5</v>
      </c>
      <c r="F39" s="13" t="s">
        <v>26</v>
      </c>
      <c r="G39" s="17" t="str">
        <f t="shared" si="0"/>
        <v/>
      </c>
      <c r="H39" s="18" t="str">
        <f t="shared" si="1"/>
        <v/>
      </c>
      <c r="I39" s="38"/>
      <c r="J39" s="39"/>
    </row>
    <row r="40" spans="1:10" ht="30" customHeight="1" x14ac:dyDescent="0.25">
      <c r="A40" s="10"/>
      <c r="B40" s="26" t="s">
        <v>60</v>
      </c>
      <c r="C40" s="27"/>
      <c r="D40" s="27"/>
      <c r="E40" s="8">
        <v>5</v>
      </c>
      <c r="F40" s="13" t="s">
        <v>26</v>
      </c>
      <c r="G40" s="17" t="str">
        <f t="shared" si="0"/>
        <v/>
      </c>
      <c r="H40" s="18" t="str">
        <f t="shared" si="1"/>
        <v/>
      </c>
      <c r="I40" s="38"/>
      <c r="J40" s="39"/>
    </row>
    <row r="41" spans="1:10" ht="30" customHeight="1" x14ac:dyDescent="0.25">
      <c r="A41" s="10"/>
      <c r="B41" s="26" t="s">
        <v>61</v>
      </c>
      <c r="C41" s="27"/>
      <c r="D41" s="27"/>
      <c r="E41" s="8">
        <v>5</v>
      </c>
      <c r="F41" s="13" t="s">
        <v>26</v>
      </c>
      <c r="G41" s="17" t="str">
        <f t="shared" si="0"/>
        <v/>
      </c>
      <c r="H41" s="18" t="str">
        <f t="shared" si="1"/>
        <v/>
      </c>
      <c r="I41" s="38"/>
      <c r="J41" s="39"/>
    </row>
    <row r="42" spans="1:10" ht="30" customHeight="1" x14ac:dyDescent="0.25">
      <c r="A42" s="10"/>
      <c r="B42" s="26" t="s">
        <v>62</v>
      </c>
      <c r="C42" s="27"/>
      <c r="D42" s="27"/>
      <c r="E42" s="8">
        <v>5</v>
      </c>
      <c r="F42" s="13" t="s">
        <v>26</v>
      </c>
      <c r="G42" s="17" t="str">
        <f t="shared" si="0"/>
        <v/>
      </c>
      <c r="H42" s="18" t="str">
        <f t="shared" si="1"/>
        <v/>
      </c>
      <c r="I42" s="38"/>
      <c r="J42" s="39"/>
    </row>
    <row r="43" spans="1:10" ht="30" customHeight="1" x14ac:dyDescent="0.25">
      <c r="A43" s="10"/>
      <c r="B43" s="26" t="s">
        <v>63</v>
      </c>
      <c r="C43" s="27"/>
      <c r="D43" s="27"/>
      <c r="E43" s="8">
        <v>5</v>
      </c>
      <c r="F43" s="13" t="s">
        <v>26</v>
      </c>
      <c r="G43" s="17" t="str">
        <f t="shared" si="0"/>
        <v/>
      </c>
      <c r="H43" s="18" t="str">
        <f t="shared" si="1"/>
        <v/>
      </c>
      <c r="I43" s="38"/>
      <c r="J43" s="39"/>
    </row>
    <row r="44" spans="1:10" ht="39.950000000000003" customHeight="1" x14ac:dyDescent="0.25">
      <c r="A44" s="10"/>
      <c r="B44" s="26" t="s">
        <v>64</v>
      </c>
      <c r="C44" s="27"/>
      <c r="D44" s="27"/>
      <c r="E44" s="8">
        <v>5</v>
      </c>
      <c r="F44" s="13" t="s">
        <v>26</v>
      </c>
      <c r="G44" s="17" t="str">
        <f t="shared" si="0"/>
        <v/>
      </c>
      <c r="H44" s="18" t="str">
        <f t="shared" si="1"/>
        <v/>
      </c>
      <c r="I44" s="38"/>
      <c r="J44" s="39"/>
    </row>
    <row r="45" spans="1:10" ht="30" customHeight="1" x14ac:dyDescent="0.25">
      <c r="A45" s="10"/>
      <c r="B45" s="26" t="s">
        <v>65</v>
      </c>
      <c r="C45" s="27"/>
      <c r="D45" s="27"/>
      <c r="E45" s="8">
        <v>5</v>
      </c>
      <c r="F45" s="13" t="s">
        <v>26</v>
      </c>
      <c r="G45" s="17" t="str">
        <f t="shared" si="0"/>
        <v/>
      </c>
      <c r="H45" s="18" t="str">
        <f t="shared" si="1"/>
        <v/>
      </c>
      <c r="I45" s="38"/>
      <c r="J45" s="39"/>
    </row>
    <row r="46" spans="1:10" ht="30" customHeight="1" x14ac:dyDescent="0.25">
      <c r="A46" s="10"/>
      <c r="B46" s="26" t="s">
        <v>66</v>
      </c>
      <c r="C46" s="27"/>
      <c r="D46" s="27"/>
      <c r="E46" s="8">
        <v>5</v>
      </c>
      <c r="F46" s="13" t="s">
        <v>26</v>
      </c>
      <c r="G46" s="17" t="str">
        <f t="shared" si="0"/>
        <v/>
      </c>
      <c r="H46" s="18" t="str">
        <f t="shared" si="1"/>
        <v/>
      </c>
      <c r="I46" s="38"/>
      <c r="J46" s="39"/>
    </row>
    <row r="47" spans="1:10" ht="39.950000000000003" customHeight="1" x14ac:dyDescent="0.25">
      <c r="A47" s="10"/>
      <c r="B47" s="26" t="s">
        <v>67</v>
      </c>
      <c r="C47" s="27"/>
      <c r="D47" s="27"/>
      <c r="E47" s="8">
        <v>5</v>
      </c>
      <c r="F47" s="13" t="s">
        <v>26</v>
      </c>
      <c r="G47" s="17" t="str">
        <f t="shared" si="0"/>
        <v/>
      </c>
      <c r="H47" s="18" t="str">
        <f t="shared" si="1"/>
        <v/>
      </c>
      <c r="I47" s="38"/>
      <c r="J47" s="39"/>
    </row>
    <row r="48" spans="1:10" ht="39.950000000000003" customHeight="1" x14ac:dyDescent="0.25">
      <c r="A48" s="10"/>
      <c r="B48" s="26" t="s">
        <v>68</v>
      </c>
      <c r="C48" s="27"/>
      <c r="D48" s="27"/>
      <c r="E48" s="8">
        <v>5</v>
      </c>
      <c r="F48" s="13" t="s">
        <v>26</v>
      </c>
      <c r="G48" s="17" t="str">
        <f t="shared" si="0"/>
        <v/>
      </c>
      <c r="H48" s="18" t="str">
        <f t="shared" si="1"/>
        <v/>
      </c>
      <c r="I48" s="38"/>
      <c r="J48" s="39"/>
    </row>
    <row r="49" spans="1:10" ht="30" customHeight="1" x14ac:dyDescent="0.25">
      <c r="A49" s="10"/>
      <c r="B49" s="26" t="s">
        <v>69</v>
      </c>
      <c r="C49" s="27"/>
      <c r="D49" s="27"/>
      <c r="E49" s="8">
        <v>5</v>
      </c>
      <c r="F49" s="13" t="s">
        <v>26</v>
      </c>
      <c r="G49" s="17" t="str">
        <f t="shared" si="0"/>
        <v/>
      </c>
      <c r="H49" s="18" t="str">
        <f t="shared" si="1"/>
        <v/>
      </c>
      <c r="I49" s="38"/>
      <c r="J49" s="39"/>
    </row>
    <row r="50" spans="1:10" ht="30" customHeight="1" x14ac:dyDescent="0.25">
      <c r="A50" s="10"/>
      <c r="B50" s="26" t="s">
        <v>70</v>
      </c>
      <c r="C50" s="27"/>
      <c r="D50" s="27"/>
      <c r="E50" s="8">
        <v>5</v>
      </c>
      <c r="F50" s="13" t="s">
        <v>26</v>
      </c>
      <c r="G50" s="17" t="str">
        <f t="shared" si="0"/>
        <v/>
      </c>
      <c r="H50" s="18" t="str">
        <f t="shared" si="1"/>
        <v/>
      </c>
      <c r="I50" s="38"/>
      <c r="J50" s="39"/>
    </row>
    <row r="51" spans="1:10" ht="30" customHeight="1" thickBot="1" x14ac:dyDescent="0.3">
      <c r="A51" s="10"/>
      <c r="B51" s="28" t="s">
        <v>71</v>
      </c>
      <c r="C51" s="29"/>
      <c r="D51" s="29"/>
      <c r="E51" s="23">
        <v>5</v>
      </c>
      <c r="F51" s="14" t="s">
        <v>26</v>
      </c>
      <c r="G51" s="24" t="str">
        <f t="shared" si="0"/>
        <v/>
      </c>
      <c r="H51" s="25" t="str">
        <f t="shared" si="1"/>
        <v/>
      </c>
      <c r="I51" s="67"/>
      <c r="J51" s="68"/>
    </row>
    <row r="52" spans="1:10" ht="30" customHeight="1" thickBot="1" x14ac:dyDescent="0.3">
      <c r="A52" s="3"/>
      <c r="B52" s="71" t="s">
        <v>5</v>
      </c>
      <c r="C52" s="72"/>
      <c r="D52" s="72"/>
      <c r="E52" s="9">
        <f>SUM(E8:E51)</f>
        <v>190</v>
      </c>
      <c r="F52" s="9">
        <f>SUM(F8:F51)</f>
        <v>0</v>
      </c>
      <c r="G52" s="42"/>
      <c r="H52" s="43"/>
      <c r="I52" s="43"/>
      <c r="J52" s="44"/>
    </row>
    <row r="53" spans="1:10" ht="30" customHeight="1" thickBot="1" x14ac:dyDescent="0.3">
      <c r="A53" s="3"/>
      <c r="B53" s="71" t="s">
        <v>20</v>
      </c>
      <c r="C53" s="72"/>
      <c r="D53" s="72"/>
      <c r="E53" s="51">
        <f>F52/E52/100*100</f>
        <v>0</v>
      </c>
      <c r="F53" s="51"/>
      <c r="G53" s="51"/>
      <c r="H53" s="51"/>
      <c r="I53" s="51"/>
      <c r="J53" s="52"/>
    </row>
    <row r="54" spans="1:10" ht="30" customHeight="1" thickBot="1" x14ac:dyDescent="0.3">
      <c r="A54" s="3"/>
      <c r="B54" s="71" t="s">
        <v>21</v>
      </c>
      <c r="C54" s="72"/>
      <c r="D54" s="72"/>
      <c r="E54" s="65" t="str">
        <f>_xlfn.IFS(E53&gt;=90%,"ممتاز",E53&gt;=80%,"جيد جداً",E53&gt;=70%,"جيد",E53&gt;=60%,"مقبول",E53&lt;60%,"راسب")</f>
        <v>راسب</v>
      </c>
      <c r="F54" s="65"/>
      <c r="G54" s="65"/>
      <c r="H54" s="65"/>
      <c r="I54" s="65"/>
      <c r="J54" s="66"/>
    </row>
    <row r="55" spans="1:10" ht="42" customHeight="1" x14ac:dyDescent="0.25">
      <c r="B55" s="61" t="s">
        <v>27</v>
      </c>
      <c r="C55" s="61"/>
      <c r="D55" s="61"/>
      <c r="E55" s="40" t="s">
        <v>18</v>
      </c>
      <c r="F55" s="40"/>
      <c r="G55" s="63" t="s">
        <v>24</v>
      </c>
      <c r="H55" s="63"/>
      <c r="I55" s="63"/>
      <c r="J55" s="63"/>
    </row>
    <row r="56" spans="1:10" ht="51" customHeight="1" x14ac:dyDescent="0.25">
      <c r="A56" s="4"/>
      <c r="B56" s="62"/>
      <c r="C56" s="62"/>
      <c r="D56" s="62"/>
      <c r="E56" s="41" t="s">
        <v>19</v>
      </c>
      <c r="F56" s="41"/>
      <c r="G56" s="64"/>
      <c r="H56" s="64"/>
      <c r="I56" s="64"/>
      <c r="J56" s="6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9">
    <mergeCell ref="I28:J28"/>
    <mergeCell ref="I29:J29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B52:D52"/>
    <mergeCell ref="B53:D53"/>
    <mergeCell ref="B54:D54"/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9:J9"/>
    <mergeCell ref="E55:F55"/>
    <mergeCell ref="E56:F56"/>
    <mergeCell ref="G52:J52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12:J12"/>
    <mergeCell ref="I13:J13"/>
    <mergeCell ref="I14:J14"/>
    <mergeCell ref="I15:J15"/>
    <mergeCell ref="I16:J16"/>
    <mergeCell ref="I17:J17"/>
    <mergeCell ref="I18:J18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E54">
    <cfRule type="expression" dxfId="23" priority="57">
      <formula>$E54="راسب"</formula>
    </cfRule>
  </conditionalFormatting>
  <conditionalFormatting sqref="E54:J54">
    <cfRule type="expression" dxfId="22" priority="58">
      <formula>$E54="مقبول"</formula>
    </cfRule>
    <cfRule type="expression" dxfId="21" priority="59">
      <formula>$E54="جيد"</formula>
    </cfRule>
    <cfRule type="expression" dxfId="20" priority="60">
      <formula>$E54="جيد جداً"</formula>
    </cfRule>
    <cfRule type="expression" dxfId="19" priority="61">
      <formula>$E54="ممتاز"</formula>
    </cfRule>
  </conditionalFormatting>
  <conditionalFormatting sqref="H8 H10:H51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51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8" priority="15" operator="containsText" text="أدخل اسم المحكم">
      <formula>NOT(ISERROR(SEARCH("أدخل اسم المحكم",G55)))</formula>
    </cfRule>
  </conditionalFormatting>
  <conditionalFormatting sqref="F8 F10:F51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F37:F51 F22:F35 F20 F11:F17 F9</xm:sqref>
        </x14:dataValidation>
        <x14:dataValidation type="list" allowBlank="1" showInputMessage="1" showErrorMessage="1">
          <x14:formula1>
            <xm:f>#REF!</xm:f>
          </x14:formula1>
          <xm:sqref>G55:J55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2026-08-30T05:13:59Z</dcterms:modified>
</cp:coreProperties>
</file>