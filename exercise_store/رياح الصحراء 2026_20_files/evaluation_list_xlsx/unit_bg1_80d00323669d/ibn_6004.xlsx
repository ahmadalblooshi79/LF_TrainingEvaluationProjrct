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التقييم'!$A$1:$J$22</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8" i="2" l="1"/>
  <c r="H8" i="2" s="1"/>
  <c r="F18" i="2" l="1"/>
  <c r="E18" i="2" l="1"/>
  <c r="E19" i="2" l="1"/>
  <c r="E20" i="2" s="1"/>
</calcChain>
</file>

<file path=xl/sharedStrings.xml><?xml version="1.0" encoding="utf-8"?>
<sst xmlns="http://schemas.openxmlformats.org/spreadsheetml/2006/main" count="49" uniqueCount="39">
  <si>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</si>
  <si>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</si>
  <si>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</si>
  <si>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</si>
  <si>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</si>
  <si>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</si>
  <si>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</si>
  <si>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</si>
  <si>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</si>
  <si>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</si>
  <si>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</si>
  <si>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</si>
  <si>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</si>
  <si>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</si>
  <si>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</si>
  <si>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</si>
  <si>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</si>
  <si>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</si>
  <si>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</si>
  <si>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</si>
  <si>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</si>
  <si>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</si>
  <si>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</si>
  <si>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</si>
  <si>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</si>
  <si>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</si>
  <si>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</si>
  <si>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ملاحظـــات</t>
    </r>
    <r>
      <rPr>
        <b/>
        <sz val="14"/>
        <color rgb="FF000000"/>
        <rFont val="Arial"/>
        <family val="2"/>
      </rPr>
      <t xml:space="preserve">: 
</t>
    </r>
    <r>
      <rPr>
        <sz val="14"/>
        <color rgb="FF000000"/>
        <rFont val="Arial"/>
        <family val="2"/>
      </rPr>
      <t>1. يعتبر هذا النموذج (سري للغاية) بعد إدخال علامات التقييم.
2. نموذج التقييم قابل للتطوير والتعديل.</t>
    </r>
  </si>
  <si>
    <r>
      <t>10.</t>
    </r>
    <r>
      <rPr>
        <sz val="12"/>
        <color theme="1"/>
        <rFont val="Times New Roman"/>
        <family val="1"/>
      </rPr>
      <t xml:space="preserve">   </t>
    </r>
    <r>
      <rPr>
        <sz val="12"/>
        <color theme="1"/>
        <rFont val="Arial"/>
        <family val="2"/>
      </rPr>
      <t>تقوم الوحدات المرؤوسة بالإشارة الى " وقت بدء الرماية" وفقاً لخطة الإسناد الناري الخاصة بهم.</t>
    </r>
  </si>
  <si>
    <t>1.   تقديم إيجاز عن توزيع عناصر الإسناد الناري للقوات الصديقة والقوات المعادية من حيث مواقعها ومدياتها وقدراتها.</t>
  </si>
  <si>
    <t>2.   الإشارة الى بداية الرماية من قبل عناصر الإسناد الناري للقوات الصديقة، الوحدة التي سترمي، من أين تتم الرماية، نوع الذخيرة، والتأثير المطلوب على الهدف.</t>
  </si>
  <si>
    <t>3.   دمج ومزامنة ملحق الإسناد الناري مع خطة المناورة بحيث تُغطي كل من منطقة معركة العُمق ومنطقة المعركة القريبة (المواقع الرئيسية) والمنطقة الخلفية.</t>
  </si>
  <si>
    <t>4.   التأكد من أن الإمدادات في مكانها المناسب جاهزة للطلب والمتابعة والتأكد كذلك من ضرورة الابلاغ عن تقييم أضرار المعركة للأهداف المُهمة.</t>
  </si>
  <si>
    <t>5.   دمج خطة توضيع وإعادة توضيع وتغيير مواقع مصادر الإسناد الناري واستمكان الأهداف مع عمليات القوة، وتوضيح الحركة المُحتملة للوحدات لاحتلال مواقع جديدة، وادارة المواقع حسب طبيعة الارض للتأكد من عدم وجود أي تضارب.</t>
  </si>
  <si>
    <t>6.   تطبيق اجراءات عدم حدوث اصابات بنيران القوات الصديقة، الدمار الجانبي، والاصابات الناتجة عن العمليات غير القتالية.</t>
  </si>
  <si>
    <t>7.   التأكد من إعداد العمل الممكن لإدامة قدرات مصادر الإسناد الناري على البقاء من خلال تغيير مواقعها بين الفترة والاخرى (مواقع بديلة، ثانوية، ... الخ) لتجنب كشفها من العدو ومهاجمتها.</t>
  </si>
  <si>
    <t>8.   تلبية متطلبات الاتصالات والادامة.</t>
  </si>
  <si>
    <t>9.   دمج التغييرات الناتجة عن التجارب في خطة إسناد ناري مُعدله وتوزيعها على مصادر الاسناد الناري المُساندة ووحدات التعزيز ووحدات الاستمكان بأسرع وقت ممكن.</t>
  </si>
  <si>
    <t>تقييم كتيبة المدفعية في تجارب الأسلحة الموحدة - العمليات التعرضية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</si>
</sst>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11"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4"/>
      <color rgb="FF000000"/>
      <name val="Arial"/>
      <family val="2"/>
    </font>
    <font>
      <sz val="12"/>
      <color theme="1"/>
      <name val="Arial"/>
      <family val="2"/>
    </font>
    <font>
      <sz val="12"/>
      <color theme="1"/>
      <name val="Times New Roman"/>
      <family val="1"/>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10" fillId="0" borderId="0" xfId="0" applyFont="1" applyProtection="1">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8" fillId="0" borderId="10" xfId="0" applyFont="1" applyBorder="1" applyAlignment="1">
      <alignment horizontal="right" vertical="center" wrapText="1" readingOrder="2"/>
    </xf>
    <xf numFmtId="0" fontId="8" fillId="0" borderId="11" xfId="0" applyFont="1" applyBorder="1" applyAlignment="1">
      <alignment horizontal="right" vertical="center" wrapText="1" readingOrder="2"/>
    </xf>
    <xf numFmtId="0" fontId="8" fillId="0" borderId="4" xfId="0" applyFont="1" applyBorder="1" applyAlignment="1">
      <alignment horizontal="right" vertical="center" wrapText="1" readingOrder="2"/>
    </xf>
    <xf numFmtId="0" fontId="8" fillId="0" borderId="3" xfId="0" applyFont="1" applyBorder="1" applyAlignment="1">
      <alignment horizontal="right" vertical="center" wrapText="1" readingOrder="2"/>
    </xf>
    <xf numFmtId="0" fontId="8" fillId="0" borderId="21" xfId="0" applyFont="1" applyBorder="1" applyAlignment="1">
      <alignment horizontal="right" vertical="center" wrapText="1" readingOrder="2"/>
    </xf>
    <xf numFmtId="0" fontId="8" fillId="0" borderId="2"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4" fillId="0" borderId="1" xfId="0" applyFont="1" applyBorder="1" applyAlignment="1" applyProtection="1">
      <alignment vertical="top" wrapText="1" readingOrder="2"/>
      <protection locked="0"/>
    </xf>
    <xf numFmtId="0" fontId="4"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22"/>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69" t="s">
        <v>38</v>
      </c>
      <c r="C1" s="69"/>
      <c r="D1" s="69"/>
      <c r="E1" s="69"/>
      <c r="F1" s="69"/>
      <c r="G1" s="69"/>
      <c r="H1" s="69"/>
      <c r="I1" s="69"/>
      <c r="J1" s="69"/>
    </row>
    <row r="2" spans="1:10" ht="30" customHeight="1" x14ac:dyDescent="0.25">
      <c r="B2" s="11" t="s">
        <v>8</v>
      </c>
      <c r="C2" s="53" t="s">
        <v>23</v>
      </c>
      <c r="D2" s="53"/>
      <c r="E2" s="11" t="s">
        <v>7</v>
      </c>
      <c r="F2" s="48" t="s">
        <v>22</v>
      </c>
      <c r="G2" s="48"/>
      <c r="H2" s="48"/>
      <c r="I2" s="48"/>
      <c r="J2" s="48"/>
    </row>
    <row r="3" spans="1:10" ht="30" customHeight="1" x14ac:dyDescent="0.25">
      <c r="B3" s="11" t="s">
        <v>9</v>
      </c>
      <c r="C3" s="53" t="s">
        <v>25</v>
      </c>
      <c r="D3" s="53"/>
      <c r="E3" s="11" t="s">
        <v>6</v>
      </c>
      <c r="F3" s="53" t="s">
        <v>24</v>
      </c>
      <c r="G3" s="53"/>
      <c r="H3" s="53"/>
      <c r="I3" s="53"/>
      <c r="J3" s="53"/>
    </row>
    <row r="4" spans="1:10" ht="30" customHeight="1" thickBot="1" x14ac:dyDescent="0.3">
      <c r="B4" s="5"/>
      <c r="C4" s="6"/>
      <c r="D4" s="6"/>
      <c r="E4" s="5"/>
      <c r="F4" s="6"/>
      <c r="G4" s="6"/>
      <c r="H4" s="7"/>
      <c r="I4" s="6"/>
      <c r="J4" s="6"/>
    </row>
    <row r="5" spans="1:10" ht="24.95" customHeight="1" x14ac:dyDescent="0.25">
      <c r="A5" s="9"/>
      <c r="B5" s="49" t="s">
        <v>0</v>
      </c>
      <c r="C5" s="50"/>
      <c r="D5" s="50"/>
      <c r="E5" s="58" t="s">
        <v>1</v>
      </c>
      <c r="F5" s="58"/>
      <c r="G5" s="58"/>
      <c r="H5" s="58"/>
      <c r="I5" s="58" t="s">
        <v>2</v>
      </c>
      <c r="J5" s="59"/>
    </row>
    <row r="6" spans="1:10" ht="24.95" customHeight="1" thickBot="1" x14ac:dyDescent="0.3">
      <c r="A6" s="9"/>
      <c r="B6" s="51"/>
      <c r="C6" s="52"/>
      <c r="D6" s="52"/>
      <c r="E6" s="10" t="s">
        <v>3</v>
      </c>
      <c r="F6" s="10" t="s">
        <v>4</v>
      </c>
      <c r="G6" s="10" t="s">
        <v>15</v>
      </c>
      <c r="H6" s="10" t="s">
        <v>16</v>
      </c>
      <c r="I6" s="60"/>
      <c r="J6" s="61"/>
    </row>
    <row r="7" spans="1:10" ht="24.95" customHeight="1" thickBot="1" x14ac:dyDescent="0.3">
      <c r="A7" s="9"/>
      <c r="B7" s="56" t="s">
        <v>13</v>
      </c>
      <c r="C7" s="57"/>
      <c r="D7" s="57"/>
      <c r="E7" s="15" t="s">
        <v>10</v>
      </c>
      <c r="F7" s="15" t="s">
        <v>11</v>
      </c>
      <c r="G7" s="15" t="s">
        <v>14</v>
      </c>
      <c r="H7" s="15" t="s">
        <v>12</v>
      </c>
      <c r="I7" s="62" t="s">
        <v>17</v>
      </c>
      <c r="J7" s="63"/>
    </row>
    <row r="8" spans="1:10" s="14" customFormat="1" ht="50.1" customHeight="1" x14ac:dyDescent="0.25">
      <c r="A8" s="9"/>
      <c r="B8" s="28" t="s">
        <v>29</v>
      </c>
      <c r="C8" s="29"/>
      <c r="D8" s="29"/>
      <c r="E8" s="19">
        <v>5</v>
      </c>
      <c r="F8" s="20" t="s">
        <v>26</v>
      </c>
      <c r="G8" s="21" t="str">
        <f>IFERROR(F8/E8,"")</f>
        <v/>
      </c>
      <c r="H8" s="22" t="str">
        <f>_xlfn.IFS(F8="أدخل العلامة","",F8="لا ينطبق","تم الإلغاء",G8&gt;=90%,"ممتاز",G8&gt;=80%,"جيد جداً",G8&gt;=70%,"جيد",G8&gt;=60%,"مقبول",G8&lt;60%,"راسب")</f>
        <v/>
      </c>
      <c r="I8" s="32"/>
      <c r="J8" s="33"/>
    </row>
    <row r="9" spans="1:10" s="14" customFormat="1" ht="50.1" customHeight="1" x14ac:dyDescent="0.25">
      <c r="A9" s="9"/>
      <c r="B9" s="30" t="s">
        <v>30</v>
      </c>
      <c r="C9" s="31"/>
      <c r="D9" s="31"/>
      <c r="E9" s="8">
        <v>5</v>
      </c>
      <c r="F9" s="12" t="s">
        <v>26</v>
      </c>
      <c r="G9" s="17" t="str">
        <f>IFERROR(F9/E9,"")</f>
        <v/>
      </c>
      <c r="H9" s="18" t="str">
        <f>_xlfn.IFS(F9="أدخل العلامة","",F9="لا ينطبق","تم الإلغاء",G9&gt;=90%,"ممتاز",G9&gt;=80%,"جيد جداً",G9&gt;=70%,"جيد",G9&gt;=60%,"مقبول",G9&lt;60%,"راسب")</f>
        <v/>
      </c>
      <c r="I9" s="38"/>
      <c r="J9" s="39"/>
    </row>
    <row r="10" spans="1:10" s="14" customFormat="1" ht="50.1" customHeight="1" x14ac:dyDescent="0.25">
      <c r="A10" s="9"/>
      <c r="B10" s="30" t="s">
        <v>31</v>
      </c>
      <c r="C10" s="31"/>
      <c r="D10" s="31"/>
      <c r="E10" s="8">
        <v>5</v>
      </c>
      <c r="F10" s="12" t="s">
        <v>26</v>
      </c>
      <c r="G10" s="17" t="str">
        <f t="shared" ref="G10:G17" si="0">IFERROR(F10/E10,"")</f>
        <v/>
      </c>
      <c r="H10" s="18" t="str">
        <f t="shared" ref="H10:H17" si="1">_xlfn.IFS(F10="أدخل العلامة","",F10="لا ينطبق","تم الإلغاء",G10&gt;=90%,"ممتاز",G10&gt;=80%,"جيد جداً",G10&gt;=70%,"جيد",G10&gt;=60%,"مقبول",G10&lt;60%,"راسب")</f>
        <v/>
      </c>
      <c r="I10" s="38"/>
      <c r="J10" s="39"/>
    </row>
    <row r="11" spans="1:10" s="14" customFormat="1" ht="50.1" customHeight="1" x14ac:dyDescent="0.25">
      <c r="A11" s="9"/>
      <c r="B11" s="30" t="s">
        <v>32</v>
      </c>
      <c r="C11" s="31"/>
      <c r="D11" s="31"/>
      <c r="E11" s="8">
        <v>5</v>
      </c>
      <c r="F11" s="12" t="s">
        <v>26</v>
      </c>
      <c r="G11" s="17" t="str">
        <f t="shared" si="0"/>
        <v/>
      </c>
      <c r="H11" s="18" t="str">
        <f t="shared" si="1"/>
        <v/>
      </c>
      <c r="I11" s="38"/>
      <c r="J11" s="39"/>
    </row>
    <row r="12" spans="1:10" s="14" customFormat="1" ht="62.25" customHeight="1" x14ac:dyDescent="0.25">
      <c r="A12" s="9"/>
      <c r="B12" s="30" t="s">
        <v>33</v>
      </c>
      <c r="C12" s="31"/>
      <c r="D12" s="31"/>
      <c r="E12" s="8">
        <v>5</v>
      </c>
      <c r="F12" s="12" t="s">
        <v>26</v>
      </c>
      <c r="G12" s="17" t="str">
        <f t="shared" si="0"/>
        <v/>
      </c>
      <c r="H12" s="18" t="str">
        <f t="shared" si="1"/>
        <v/>
      </c>
      <c r="I12" s="38"/>
      <c r="J12" s="39"/>
    </row>
    <row r="13" spans="1:10" s="14" customFormat="1" ht="50.1" customHeight="1" x14ac:dyDescent="0.25">
      <c r="A13" s="9"/>
      <c r="B13" s="30" t="s">
        <v>34</v>
      </c>
      <c r="C13" s="31"/>
      <c r="D13" s="31"/>
      <c r="E13" s="8">
        <v>5</v>
      </c>
      <c r="F13" s="12" t="s">
        <v>26</v>
      </c>
      <c r="G13" s="17" t="str">
        <f t="shared" si="0"/>
        <v/>
      </c>
      <c r="H13" s="18" t="str">
        <f t="shared" si="1"/>
        <v/>
      </c>
      <c r="I13" s="38"/>
      <c r="J13" s="39"/>
    </row>
    <row r="14" spans="1:10" s="14" customFormat="1" ht="50.1" customHeight="1" x14ac:dyDescent="0.25">
      <c r="A14" s="9"/>
      <c r="B14" s="30" t="s">
        <v>35</v>
      </c>
      <c r="C14" s="31"/>
      <c r="D14" s="31"/>
      <c r="E14" s="8">
        <v>5</v>
      </c>
      <c r="F14" s="12" t="s">
        <v>26</v>
      </c>
      <c r="G14" s="17" t="str">
        <f t="shared" si="0"/>
        <v/>
      </c>
      <c r="H14" s="18" t="str">
        <f t="shared" si="1"/>
        <v/>
      </c>
      <c r="I14" s="38"/>
      <c r="J14" s="39"/>
    </row>
    <row r="15" spans="1:10" s="14" customFormat="1" ht="50.1" customHeight="1" x14ac:dyDescent="0.25">
      <c r="A15" s="9"/>
      <c r="B15" s="30" t="s">
        <v>36</v>
      </c>
      <c r="C15" s="31"/>
      <c r="D15" s="31"/>
      <c r="E15" s="8">
        <v>5</v>
      </c>
      <c r="F15" s="12" t="s">
        <v>26</v>
      </c>
      <c r="G15" s="17" t="str">
        <f t="shared" si="0"/>
        <v/>
      </c>
      <c r="H15" s="18" t="str">
        <f t="shared" si="1"/>
        <v/>
      </c>
      <c r="I15" s="38"/>
      <c r="J15" s="39"/>
    </row>
    <row r="16" spans="1:10" s="14" customFormat="1" ht="50.1" customHeight="1" x14ac:dyDescent="0.25">
      <c r="A16" s="9"/>
      <c r="B16" s="30" t="s">
        <v>37</v>
      </c>
      <c r="C16" s="31"/>
      <c r="D16" s="31"/>
      <c r="E16" s="8">
        <v>5</v>
      </c>
      <c r="F16" s="12" t="s">
        <v>26</v>
      </c>
      <c r="G16" s="17" t="str">
        <f t="shared" si="0"/>
        <v/>
      </c>
      <c r="H16" s="18" t="str">
        <f t="shared" si="1"/>
        <v/>
      </c>
      <c r="I16" s="38"/>
      <c r="J16" s="39"/>
    </row>
    <row r="17" spans="1:10" s="14" customFormat="1" ht="50.1" customHeight="1" thickBot="1" x14ac:dyDescent="0.3">
      <c r="A17" s="9"/>
      <c r="B17" s="26" t="s">
        <v>28</v>
      </c>
      <c r="C17" s="27"/>
      <c r="D17" s="27"/>
      <c r="E17" s="23">
        <v>5</v>
      </c>
      <c r="F17" s="13" t="s">
        <v>26</v>
      </c>
      <c r="G17" s="24" t="str">
        <f t="shared" si="0"/>
        <v/>
      </c>
      <c r="H17" s="25" t="str">
        <f t="shared" si="1"/>
        <v/>
      </c>
      <c r="I17" s="40"/>
      <c r="J17" s="41"/>
    </row>
    <row r="18" spans="1:10" ht="30" customHeight="1" thickBot="1" x14ac:dyDescent="0.3">
      <c r="A18" s="3"/>
      <c r="B18" s="34" t="s">
        <v>5</v>
      </c>
      <c r="C18" s="35"/>
      <c r="D18" s="35"/>
      <c r="E18" s="16">
        <f>SUM(E8:E17)</f>
        <v>50</v>
      </c>
      <c r="F18" s="16">
        <f>SUM(F8:F17)</f>
        <v>0</v>
      </c>
      <c r="G18" s="66"/>
      <c r="H18" s="67"/>
      <c r="I18" s="67"/>
      <c r="J18" s="68"/>
    </row>
    <row r="19" spans="1:10" ht="30" customHeight="1" thickBot="1" x14ac:dyDescent="0.3">
      <c r="A19" s="3"/>
      <c r="B19" s="36" t="s">
        <v>20</v>
      </c>
      <c r="C19" s="37"/>
      <c r="D19" s="37"/>
      <c r="E19" s="54">
        <f>F18/E18/100*100</f>
        <v>0</v>
      </c>
      <c r="F19" s="54"/>
      <c r="G19" s="54"/>
      <c r="H19" s="54"/>
      <c r="I19" s="54"/>
      <c r="J19" s="55"/>
    </row>
    <row r="20" spans="1:10" ht="30" customHeight="1" thickBot="1" x14ac:dyDescent="0.3">
      <c r="A20" s="3"/>
      <c r="B20" s="36" t="s">
        <v>21</v>
      </c>
      <c r="C20" s="37"/>
      <c r="D20" s="37"/>
      <c r="E20" s="46" t="str">
        <f>_xlfn.IFS(E19&gt;=90%,"ممتاز",E19&gt;=80%,"جيد جداً",E19&gt;=70%,"جيد",E19&gt;=60%,"مقبول",E19&lt;60%,"راسب")</f>
        <v>راسب</v>
      </c>
      <c r="F20" s="46"/>
      <c r="G20" s="46"/>
      <c r="H20" s="46"/>
      <c r="I20" s="46"/>
      <c r="J20" s="47"/>
    </row>
    <row r="21" spans="1:10" ht="42" customHeight="1" x14ac:dyDescent="0.25">
      <c r="B21" s="42" t="s">
        <v>27</v>
      </c>
      <c r="C21" s="42"/>
      <c r="D21" s="42"/>
      <c r="E21" s="64" t="s">
        <v>18</v>
      </c>
      <c r="F21" s="64"/>
      <c r="G21" s="44" t="s">
        <v>24</v>
      </c>
      <c r="H21" s="44"/>
      <c r="I21" s="44"/>
      <c r="J21" s="44"/>
    </row>
    <row r="22" spans="1:10" ht="51" customHeight="1" x14ac:dyDescent="0.25">
      <c r="A22" s="4"/>
      <c r="B22" s="43"/>
      <c r="C22" s="43"/>
      <c r="D22" s="43"/>
      <c r="E22" s="65" t="s">
        <v>19</v>
      </c>
      <c r="F22" s="65"/>
      <c r="G22" s="45"/>
      <c r="H22" s="45"/>
      <c r="I22" s="45"/>
      <c r="J22" s="45"/>
    </row>
  </sheetData>
  <sheetProtection sheet="1" formatCells="0" formatColumns="0" formatRows="0" insertColumns="0" insertRows="0" insertHyperlinks="0" deleteColumns="0" deleteRows="0" selectLockedCells="1" sort="0" autoFilter="0" pivotTables="0"/>
  <mergeCells count="41">
    <mergeCell ref="E21:F21"/>
    <mergeCell ref="E22:F22"/>
    <mergeCell ref="G18:J18"/>
    <mergeCell ref="I9:J9"/>
    <mergeCell ref="B21:D22"/>
    <mergeCell ref="G21:J21"/>
    <mergeCell ref="G22:J22"/>
    <mergeCell ref="E20:J20"/>
    <mergeCell ref="B1:J1"/>
    <mergeCell ref="F2:J2"/>
    <mergeCell ref="B5:D6"/>
    <mergeCell ref="C2:D2"/>
    <mergeCell ref="C3:D3"/>
    <mergeCell ref="F3:J3"/>
    <mergeCell ref="E19:J19"/>
    <mergeCell ref="B7:D7"/>
    <mergeCell ref="E5:H5"/>
    <mergeCell ref="I5:J6"/>
    <mergeCell ref="I7:J7"/>
    <mergeCell ref="I10:J10"/>
    <mergeCell ref="I8:J8"/>
    <mergeCell ref="B18:D18"/>
    <mergeCell ref="B19:D19"/>
    <mergeCell ref="B20:D20"/>
    <mergeCell ref="I11:J11"/>
    <mergeCell ref="I12:J12"/>
    <mergeCell ref="I13:J13"/>
    <mergeCell ref="I14:J14"/>
    <mergeCell ref="I15:J15"/>
    <mergeCell ref="I16:J16"/>
    <mergeCell ref="I17:J17"/>
    <mergeCell ref="B17:D17"/>
    <mergeCell ref="B8:D8"/>
    <mergeCell ref="B9:D9"/>
    <mergeCell ref="B10:D10"/>
    <mergeCell ref="B11:D11"/>
    <mergeCell ref="B12:D12"/>
    <mergeCell ref="B13:D13"/>
    <mergeCell ref="B14:D14"/>
    <mergeCell ref="B15:D15"/>
    <mergeCell ref="B16:D16"/>
  </mergeCells>
  <conditionalFormatting sqref="E20">
    <cfRule type="expression" dxfId="23" priority="57">
      <formula>$E20="راسب"</formula>
    </cfRule>
  </conditionalFormatting>
  <conditionalFormatting sqref="E20:J20">
    <cfRule type="expression" dxfId="22" priority="58">
      <formula>$E20="مقبول"</formula>
    </cfRule>
    <cfRule type="expression" dxfId="21" priority="59">
      <formula>$E20="جيد"</formula>
    </cfRule>
    <cfRule type="expression" dxfId="20" priority="60">
      <formula>$E20="جيد جداً"</formula>
    </cfRule>
    <cfRule type="expression" dxfId="19" priority="61">
      <formula>$E20="ممتاز"</formula>
    </cfRule>
  </conditionalFormatting>
  <conditionalFormatting sqref="H8 H10:H17">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17">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21:J21">
    <cfRule type="containsText" dxfId="8" priority="15" operator="containsText" text="أدخل اسم المحكم">
      <formula>NOT(ISERROR(SEARCH("أدخل اسم المحكم",G21)))</formula>
    </cfRule>
  </conditionalFormatting>
  <conditionalFormatting sqref="F8 F10:F17">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F8:F17</xm:sqref>
        </x14:dataValidation>
        <x14:dataValidation type="list" allowBlank="1" showInputMessage="1" showErrorMessage="1">
          <x14:formula1>
            <xm:f>#REF!</xm:f>
          </x14:formula1>
          <xm:sqref>G21:J21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2026-08-30T05:03:24Z</dcterms:modified>
</cp:coreProperties>
</file>