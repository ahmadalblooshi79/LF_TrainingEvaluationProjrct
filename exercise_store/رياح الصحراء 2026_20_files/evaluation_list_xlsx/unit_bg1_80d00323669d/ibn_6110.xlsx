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D506049-CDF2-4472-A822-64538EB8D0E1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42" i="2"/>
  <c r="H42" i="2" s="1"/>
  <c r="G43" i="2"/>
  <c r="H43" i="2" s="1"/>
  <c r="F44" i="2" l="1"/>
  <c r="E44" i="2" l="1"/>
  <c r="E45" i="2" l="1"/>
  <c r="E46" i="2" s="1"/>
</calcChain>
</file>

<file path=xl/sharedStrings.xml><?xml version="1.0" encoding="utf-8"?>
<sst xmlns="http://schemas.openxmlformats.org/spreadsheetml/2006/main" count="85" uniqueCount="65">
  <si>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</si>
  <si>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</si>
  <si>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</si>
  <si>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</si>
  <si>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</si>
  <si>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</si>
  <si>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</si>
  <si>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</si>
  <si>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</si>
  <si>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</si>
  <si>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</si>
  <si>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</si>
  <si>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</si>
  <si>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</si>
  <si>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</si>
  <si>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</si>
  <si>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</si>
  <si>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</si>
  <si>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</si>
  <si>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</si>
  <si>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</si>
  <si>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</si>
  <si>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</si>
  <si>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</si>
  <si>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</si>
  <si>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</si>
  <si>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</si>
  <si>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</si>
  <si>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0"/>
        <color rgb="FF000000"/>
        <rFont val="Arial"/>
        <family val="2"/>
      </rPr>
      <t>الالتزام بتسلسل انفتاح مركز القيادة الرئيس وكما يلي:</t>
    </r>
  </si>
  <si>
    <t>أ. استطلاع القادة (من الخارطة – الاستطلاع الميداني).</t>
  </si>
  <si>
    <t>ب. البدء بالأعمال عند الوصول إلى مركز القيادة وحسب الأولويات.</t>
  </si>
  <si>
    <t>جـ. تجهيز مركز القيادة الرئيس لمجموعة اللواء.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</si>
  <si>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تنظيم مراكز القيادة حسب العقيدة والأوامر التعبوية المستديمة.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</si>
  <si>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b/>
        <u/>
        <sz val="10"/>
        <color theme="1"/>
        <rFont val="Arial"/>
        <family val="2"/>
      </rPr>
      <t>تنظيم خلايا العمل في مركز القيادة الرئيس وكمل يلي:</t>
    </r>
  </si>
  <si>
    <r>
      <t xml:space="preserve">أ. </t>
    </r>
    <r>
      <rPr>
        <b/>
        <u/>
        <sz val="10"/>
        <color theme="1"/>
        <rFont val="Arial"/>
        <family val="2"/>
      </rPr>
      <t>خلية الاستخبارات</t>
    </r>
    <r>
      <rPr>
        <sz val="10"/>
        <color theme="1"/>
        <rFont val="Arial"/>
        <family val="2"/>
      </rPr>
      <t>. (ركن/2 استخبارات - ركن/3 استخبارات عدد 3 - ركن/3 استخبارات تعبوية - نائب قائد سرية الاستطلاع)</t>
    </r>
  </si>
  <si>
    <r>
      <t xml:space="preserve">ب. </t>
    </r>
    <r>
      <rPr>
        <b/>
        <u/>
        <sz val="10"/>
        <color theme="1"/>
        <rFont val="Arial"/>
        <family val="2"/>
      </rPr>
      <t>خلية العمليات والخطط</t>
    </r>
    <r>
      <rPr>
        <sz val="10"/>
        <color theme="1"/>
        <rFont val="Arial"/>
        <family val="2"/>
      </rPr>
      <t>. (ركن/1 عمليات - ركن/1 تدريب - ركن/ 2 عمليات - ركن/2 خطط - ركن/2 جاهزية وكفاءة قتالية - ركن/2 تدريب قتالي - ركن/3 التحركات والسيطرة - نائب قائد سرية القناصة).</t>
    </r>
  </si>
  <si>
    <r>
      <t xml:space="preserve">جـ. </t>
    </r>
    <r>
      <rPr>
        <b/>
        <u/>
        <sz val="10"/>
        <color theme="1"/>
        <rFont val="Arial"/>
        <family val="2"/>
      </rPr>
      <t>خلية النيران</t>
    </r>
    <r>
      <rPr>
        <sz val="10"/>
        <color theme="1"/>
        <rFont val="Arial"/>
        <family val="2"/>
      </rPr>
      <t>. (قائد كتيبة المدفعية المتوسطة - ضابط إسناد ناري - نائب قائد سرية م / د - قائد سرية الهاون - ضابط سيطرة النيران المشتركة - ضابط من الطيران المشترك - ضابط ارتباط من القوات الجوية).</t>
    </r>
  </si>
  <si>
    <r>
      <t xml:space="preserve">د. </t>
    </r>
    <r>
      <rPr>
        <b/>
        <u/>
        <sz val="10"/>
        <color theme="1"/>
        <rFont val="Arial"/>
        <family val="2"/>
      </rPr>
      <t>خلية الحماية</t>
    </r>
    <r>
      <rPr>
        <sz val="10"/>
        <color theme="1"/>
        <rFont val="Arial"/>
        <family val="2"/>
      </rPr>
      <t>. (قائد سرية هندسة الميدان - نائب قائد سرية الدفاع الجوي - قائد سرية الدفاع الكيميائي - ضابط أمن - ضابط من الشرطة العسكرية - ضابط من الحرب الإلكترونية).</t>
    </r>
  </si>
  <si>
    <r>
      <t xml:space="preserve">هـ. </t>
    </r>
    <r>
      <rPr>
        <b/>
        <u/>
        <sz val="10"/>
        <color theme="1"/>
        <rFont val="Arial"/>
        <family val="2"/>
      </rPr>
      <t>خلية الإدامة</t>
    </r>
    <r>
      <rPr>
        <sz val="10"/>
        <color theme="1"/>
        <rFont val="Arial"/>
        <family val="2"/>
      </rPr>
      <t>. (ركن/1 إمداد - ركن/1 إدارة وقوى بشرية - ركن/ 2 شؤون ذاتية - ركن/ 2 تطوير القدرات - ضابط من سرية الصيانة - ضابط من سرية التموين والنقل - ضابط من السرية الطبية).</t>
    </r>
  </si>
  <si>
    <r>
      <t xml:space="preserve">و. </t>
    </r>
    <r>
      <rPr>
        <b/>
        <u/>
        <sz val="10"/>
        <color theme="1"/>
        <rFont val="Arial"/>
        <family val="2"/>
      </rPr>
      <t>خلية القيادة والسيطرة</t>
    </r>
    <r>
      <rPr>
        <sz val="10"/>
        <color theme="1"/>
        <rFont val="Arial"/>
        <family val="2"/>
      </rPr>
      <t>. (ركن/ 2 قيادة وسيطرة واتصالات - قائد سرية الإشارة - ركن/ 3 اتصالات وحاسب آلي).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</si>
  <si>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b/>
        <u/>
        <sz val="10"/>
        <color theme="1"/>
        <rFont val="Arial"/>
        <family val="2"/>
      </rPr>
      <t>تأمين الحماية للمركز.</t>
    </r>
  </si>
  <si>
    <t>أ. وجود حرس كافٍ (الشرطة العسكرية وسرية القيادة).</t>
  </si>
  <si>
    <t>ب. انتخاب نقاط سيطرة للدخول إلى موقع القيادة والخروج منه.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</si>
  <si>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توفير الاتصالات (رئيسية – بديلة) وتأسيس مركز أتصال وتجهيزه بالملفات الرئيسية.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</si>
  <si>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تجهيز مركز القيادة بالخرائط وحسب المستوى (خارطة الموقف - خارطة العمليات - وغيرها).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</si>
  <si>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توفير الملفات والسجلات وحسب الأوامر المستديمة.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</si>
  <si>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إدامة الملفات والسجلات وحسب الأوامر المستديمة.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</si>
  <si>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توفير مستلزمات وأدوات الرسم والكتابة.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</si>
  <si>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b/>
        <u/>
        <sz val="10"/>
        <color rgb="FF000000"/>
        <rFont val="Arial"/>
        <family val="2"/>
      </rPr>
      <t>وجود خطة مناوبات وإيجاز تبديل / تغيير المناوبة ويشمل العناصر التالية:</t>
    </r>
  </si>
  <si>
    <t>أ. حالة الاتصالات (ركن الاتصالات).</t>
  </si>
  <si>
    <t>ب. حالة الطقس لمدة 24 ساعة والتي لها تأثير على العمليات (ركن الاستخبارات).</t>
  </si>
  <si>
    <t>جـ. نشاطات العدو أو الأحداث الهامة خلال 12 ساعة الماضية (ركن الاستخبارات).</t>
  </si>
  <si>
    <t>د. النشاطات في مناطق الاهتمام المعروفة (ركن الاستخبارات).</t>
  </si>
  <si>
    <t>هـ. حالة الاستخبارات، الاستطلاع والمراقبة والاستطلاع الجوي (تشمل تغطية الطائرات المسيرة بدون طيار) (ركن الاستخبارات).</t>
  </si>
  <si>
    <t>و. القوة القتالية (ركن الإمداد).</t>
  </si>
  <si>
    <t>ز. الإجراءات والأعمال الهامة والأوامر الواردة من القيادات الأعلى لآخر 12 ساعة (الركن المناوب).</t>
  </si>
  <si>
    <t>ح. الأحداث الجارية (الركن المناوب).</t>
  </si>
  <si>
    <t>ط. العمليات المستقبلية خلال 24 - 48 ساعة القادمة (الركن المناوب).</t>
  </si>
  <si>
    <t>ي. أية تعديلات في توجيهات القائد (الركن المناوب).</t>
  </si>
  <si>
    <t>ك. تقارير الأحداث الخطيرة (الركن المناوب).</t>
  </si>
  <si>
    <t>ل. متطلبات القائد من المعلومات الهامة والعناصر الضرورية لمعلومات القوات الصديقة (الركن المناوب).</t>
  </si>
  <si>
    <t>م. الأحداث الرئيسة ذات التأثير على العمليات أو أعمال الحرب القتالية (الأحداث الاستثنائية).</t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</si>
  <si>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وجود وتيرة عمل للمركز.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</si>
  <si>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التخطيط لانفتاح القيادة المتقدمة المؤلفة من: (قائد مجموعة اللواء - قائد كتيبة المدفعية - ركن /2 استخبارات - ركن/2 عمليات - ضابط سيطرة جوي).</t>
    </r>
  </si>
  <si>
    <t>تقييم تحضير مركز قيادة مجموعة اللواء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</si>
</sst>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Times New Roman"/>
      <family val="1"/>
    </font>
    <font>
      <b/>
      <u/>
      <sz val="10"/>
      <color rgb="FF000000"/>
      <name val="Arial"/>
      <family val="2"/>
    </font>
    <font>
      <sz val="10"/>
      <color theme="1"/>
      <name val="Arial"/>
      <family val="2"/>
    </font>
    <font>
      <sz val="7"/>
      <color theme="1"/>
      <name val="Times New Roman"/>
      <family val="1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9" fontId="3" fillId="0" borderId="21" xfId="0" applyNumberFormat="1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6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readingOrder="2"/>
    </xf>
    <xf numFmtId="0" fontId="11" fillId="0" borderId="19" xfId="0" applyFont="1" applyBorder="1" applyAlignment="1">
      <alignment horizontal="right" vertical="center" wrapText="1" indent="2" readingOrder="2"/>
    </xf>
    <xf numFmtId="0" fontId="11" fillId="0" borderId="2" xfId="0" applyFont="1" applyBorder="1" applyAlignment="1">
      <alignment horizontal="right" vertical="center" wrapText="1" indent="2" readingOrder="2"/>
    </xf>
    <xf numFmtId="0" fontId="11" fillId="0" borderId="10" xfId="0" applyFont="1" applyBorder="1" applyAlignment="1">
      <alignment horizontal="right" vertical="center" wrapText="1" indent="2" readingOrder="2"/>
    </xf>
    <xf numFmtId="0" fontId="11" fillId="0" borderId="11" xfId="0" applyFont="1" applyBorder="1" applyAlignment="1">
      <alignment horizontal="right" vertical="center" wrapText="1" indent="2" readingOrder="2"/>
    </xf>
    <xf numFmtId="0" fontId="11" fillId="0" borderId="4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9" fontId="3" fillId="0" borderId="17" xfId="0" applyNumberFormat="1" applyFont="1" applyBorder="1" applyAlignment="1">
      <alignment horizontal="center" vertical="center" wrapText="1" readingOrder="2"/>
    </xf>
    <xf numFmtId="9" fontId="3" fillId="0" borderId="23" xfId="0" applyNumberFormat="1" applyFont="1" applyBorder="1" applyAlignment="1">
      <alignment horizontal="center" vertical="center" wrapText="1" readingOrder="2"/>
    </xf>
    <xf numFmtId="9" fontId="3" fillId="0" borderId="21" xfId="0" applyNumberFormat="1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1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11" fillId="0" borderId="20" xfId="0" applyFont="1" applyBorder="1" applyAlignment="1">
      <alignment horizontal="right" vertical="center" wrapText="1" readingOrder="2"/>
    </xf>
    <xf numFmtId="0" fontId="11" fillId="0" borderId="21" xfId="0" applyFont="1" applyBorder="1" applyAlignment="1">
      <alignment horizontal="right" vertical="center" wrapText="1" readingOrder="2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zoomScale="145" zoomScaleNormal="100" zoomScaleSheetLayoutView="145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102" t="s">
        <v>64</v>
      </c>
      <c r="C1" s="102"/>
      <c r="D1" s="102"/>
      <c r="E1" s="102"/>
      <c r="F1" s="102"/>
      <c r="G1" s="102"/>
      <c r="H1" s="102"/>
      <c r="I1" s="102"/>
      <c r="J1" s="102"/>
    </row>
    <row r="2" spans="1:10" ht="30" customHeight="1" x14ac:dyDescent="0.2">
      <c r="B2" s="12" t="s">
        <v>8</v>
      </c>
      <c r="C2" s="49" t="s">
        <v>23</v>
      </c>
      <c r="D2" s="49"/>
      <c r="E2" s="12" t="s">
        <v>7</v>
      </c>
      <c r="F2" s="44" t="s">
        <v>22</v>
      </c>
      <c r="G2" s="44"/>
      <c r="H2" s="44"/>
      <c r="I2" s="44"/>
      <c r="J2" s="44"/>
    </row>
    <row r="3" spans="1:10" ht="30" customHeight="1" x14ac:dyDescent="0.2">
      <c r="B3" s="12" t="s">
        <v>9</v>
      </c>
      <c r="C3" s="49" t="s">
        <v>25</v>
      </c>
      <c r="D3" s="49"/>
      <c r="E3" s="12" t="s">
        <v>6</v>
      </c>
      <c r="F3" s="49" t="s">
        <v>24</v>
      </c>
      <c r="G3" s="49"/>
      <c r="H3" s="49"/>
      <c r="I3" s="49"/>
      <c r="J3" s="49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10"/>
      <c r="B5" s="45" t="s">
        <v>0</v>
      </c>
      <c r="C5" s="46"/>
      <c r="D5" s="46"/>
      <c r="E5" s="36" t="s">
        <v>1</v>
      </c>
      <c r="F5" s="36"/>
      <c r="G5" s="36"/>
      <c r="H5" s="36"/>
      <c r="I5" s="36" t="s">
        <v>2</v>
      </c>
      <c r="J5" s="37"/>
    </row>
    <row r="6" spans="1:10" ht="24.95" customHeight="1" thickBot="1" x14ac:dyDescent="0.25">
      <c r="A6" s="10"/>
      <c r="B6" s="47"/>
      <c r="C6" s="48"/>
      <c r="D6" s="48"/>
      <c r="E6" s="11" t="s">
        <v>3</v>
      </c>
      <c r="F6" s="11" t="s">
        <v>4</v>
      </c>
      <c r="G6" s="11" t="s">
        <v>15</v>
      </c>
      <c r="H6" s="11" t="s">
        <v>16</v>
      </c>
      <c r="I6" s="38"/>
      <c r="J6" s="39"/>
    </row>
    <row r="7" spans="1:10" ht="24.95" customHeight="1" thickBot="1" x14ac:dyDescent="0.25">
      <c r="A7" s="10"/>
      <c r="B7" s="34" t="s">
        <v>13</v>
      </c>
      <c r="C7" s="35"/>
      <c r="D7" s="35"/>
      <c r="E7" s="16" t="s">
        <v>10</v>
      </c>
      <c r="F7" s="16" t="s">
        <v>11</v>
      </c>
      <c r="G7" s="16" t="s">
        <v>14</v>
      </c>
      <c r="H7" s="16" t="s">
        <v>12</v>
      </c>
      <c r="I7" s="40" t="s">
        <v>17</v>
      </c>
      <c r="J7" s="41"/>
    </row>
    <row r="8" spans="1:10" ht="30" customHeight="1" x14ac:dyDescent="0.2">
      <c r="A8" s="10"/>
      <c r="B8" s="79" t="s">
        <v>28</v>
      </c>
      <c r="C8" s="80"/>
      <c r="D8" s="80"/>
      <c r="E8" s="19"/>
      <c r="F8" s="20"/>
      <c r="G8" s="21"/>
      <c r="H8" s="22"/>
      <c r="I8" s="65"/>
      <c r="J8" s="66"/>
    </row>
    <row r="9" spans="1:10" ht="30" customHeight="1" x14ac:dyDescent="0.2">
      <c r="A9" s="10"/>
      <c r="B9" s="73" t="s">
        <v>29</v>
      </c>
      <c r="C9" s="74"/>
      <c r="D9" s="74"/>
      <c r="E9" s="8">
        <v>5</v>
      </c>
      <c r="F9" s="13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42"/>
      <c r="J9" s="43"/>
    </row>
    <row r="10" spans="1:10" ht="30" customHeight="1" x14ac:dyDescent="0.2">
      <c r="A10" s="10"/>
      <c r="B10" s="73" t="s">
        <v>30</v>
      </c>
      <c r="C10" s="74"/>
      <c r="D10" s="74"/>
      <c r="E10" s="8">
        <v>5</v>
      </c>
      <c r="F10" s="13" t="s">
        <v>26</v>
      </c>
      <c r="G10" s="17" t="str">
        <f t="shared" ref="G10:G43" si="0">IFERROR(F10/E10,"")</f>
        <v/>
      </c>
      <c r="H10" s="18" t="str">
        <f t="shared" ref="H10:H43" si="1">_xlfn.IFS(F10="أدخل العلامة","",F10="لا ينطبق","تم الإلغاء",G10&gt;=90%,"ممتاز",G10&gt;=80%,"جيد جداً",G10&gt;=70%,"جيد",G10&gt;=60%,"مقبول",G10&lt;60%,"راسب")</f>
        <v/>
      </c>
      <c r="I10" s="42"/>
      <c r="J10" s="43"/>
    </row>
    <row r="11" spans="1:10" ht="30" customHeight="1" x14ac:dyDescent="0.2">
      <c r="A11" s="10"/>
      <c r="B11" s="73" t="s">
        <v>31</v>
      </c>
      <c r="C11" s="74"/>
      <c r="D11" s="74"/>
      <c r="E11" s="8">
        <v>5</v>
      </c>
      <c r="F11" s="13" t="s">
        <v>26</v>
      </c>
      <c r="G11" s="17" t="str">
        <f t="shared" si="0"/>
        <v/>
      </c>
      <c r="H11" s="18" t="str">
        <f t="shared" si="1"/>
        <v/>
      </c>
      <c r="I11" s="42"/>
      <c r="J11" s="43"/>
    </row>
    <row r="12" spans="1:10" ht="30" customHeight="1" thickBot="1" x14ac:dyDescent="0.25">
      <c r="A12" s="10"/>
      <c r="B12" s="81" t="s">
        <v>32</v>
      </c>
      <c r="C12" s="82"/>
      <c r="D12" s="82"/>
      <c r="E12" s="23">
        <v>20</v>
      </c>
      <c r="F12" s="15" t="s">
        <v>26</v>
      </c>
      <c r="G12" s="24" t="str">
        <f t="shared" si="0"/>
        <v/>
      </c>
      <c r="H12" s="25" t="str">
        <f t="shared" si="1"/>
        <v/>
      </c>
      <c r="I12" s="69"/>
      <c r="J12" s="70"/>
    </row>
    <row r="13" spans="1:10" ht="30" customHeight="1" x14ac:dyDescent="0.2">
      <c r="A13" s="10"/>
      <c r="B13" s="77" t="s">
        <v>33</v>
      </c>
      <c r="C13" s="78"/>
      <c r="D13" s="78"/>
      <c r="E13" s="19"/>
      <c r="F13" s="20"/>
      <c r="G13" s="21"/>
      <c r="H13" s="22"/>
      <c r="I13" s="65"/>
      <c r="J13" s="66"/>
    </row>
    <row r="14" spans="1:10" ht="50.1" customHeight="1" x14ac:dyDescent="0.2">
      <c r="A14" s="10"/>
      <c r="B14" s="73" t="s">
        <v>34</v>
      </c>
      <c r="C14" s="74"/>
      <c r="D14" s="74"/>
      <c r="E14" s="8">
        <v>5</v>
      </c>
      <c r="F14" s="13" t="s">
        <v>26</v>
      </c>
      <c r="G14" s="17" t="str">
        <f t="shared" si="0"/>
        <v/>
      </c>
      <c r="H14" s="18" t="str">
        <f t="shared" si="1"/>
        <v/>
      </c>
      <c r="I14" s="42"/>
      <c r="J14" s="43"/>
    </row>
    <row r="15" spans="1:10" ht="50.1" customHeight="1" x14ac:dyDescent="0.2">
      <c r="A15" s="10"/>
      <c r="B15" s="73" t="s">
        <v>35</v>
      </c>
      <c r="C15" s="74"/>
      <c r="D15" s="74"/>
      <c r="E15" s="8">
        <v>5</v>
      </c>
      <c r="F15" s="13" t="s">
        <v>26</v>
      </c>
      <c r="G15" s="17" t="str">
        <f t="shared" si="0"/>
        <v/>
      </c>
      <c r="H15" s="18" t="str">
        <f t="shared" si="1"/>
        <v/>
      </c>
      <c r="I15" s="42"/>
      <c r="J15" s="43"/>
    </row>
    <row r="16" spans="1:10" ht="50.1" customHeight="1" x14ac:dyDescent="0.2">
      <c r="A16" s="10"/>
      <c r="B16" s="73" t="s">
        <v>36</v>
      </c>
      <c r="C16" s="74"/>
      <c r="D16" s="74"/>
      <c r="E16" s="8">
        <v>5</v>
      </c>
      <c r="F16" s="13" t="s">
        <v>26</v>
      </c>
      <c r="G16" s="17" t="str">
        <f t="shared" si="0"/>
        <v/>
      </c>
      <c r="H16" s="18" t="str">
        <f t="shared" si="1"/>
        <v/>
      </c>
      <c r="I16" s="42"/>
      <c r="J16" s="43"/>
    </row>
    <row r="17" spans="1:10" ht="50.1" customHeight="1" x14ac:dyDescent="0.2">
      <c r="A17" s="10"/>
      <c r="B17" s="73" t="s">
        <v>37</v>
      </c>
      <c r="C17" s="74"/>
      <c r="D17" s="74"/>
      <c r="E17" s="8">
        <v>5</v>
      </c>
      <c r="F17" s="13" t="s">
        <v>26</v>
      </c>
      <c r="G17" s="17" t="str">
        <f t="shared" si="0"/>
        <v/>
      </c>
      <c r="H17" s="18" t="str">
        <f t="shared" si="1"/>
        <v/>
      </c>
      <c r="I17" s="42"/>
      <c r="J17" s="43"/>
    </row>
    <row r="18" spans="1:10" ht="50.1" customHeight="1" x14ac:dyDescent="0.2">
      <c r="A18" s="10"/>
      <c r="B18" s="73" t="s">
        <v>38</v>
      </c>
      <c r="C18" s="74"/>
      <c r="D18" s="74"/>
      <c r="E18" s="8">
        <v>5</v>
      </c>
      <c r="F18" s="13" t="s">
        <v>26</v>
      </c>
      <c r="G18" s="17" t="str">
        <f t="shared" si="0"/>
        <v/>
      </c>
      <c r="H18" s="18" t="str">
        <f t="shared" si="1"/>
        <v/>
      </c>
      <c r="I18" s="42"/>
      <c r="J18" s="43"/>
    </row>
    <row r="19" spans="1:10" ht="50.1" customHeight="1" thickBot="1" x14ac:dyDescent="0.25">
      <c r="A19" s="10"/>
      <c r="B19" s="75" t="s">
        <v>39</v>
      </c>
      <c r="C19" s="76"/>
      <c r="D19" s="76"/>
      <c r="E19" s="23">
        <v>5</v>
      </c>
      <c r="F19" s="15" t="s">
        <v>26</v>
      </c>
      <c r="G19" s="24" t="str">
        <f t="shared" si="0"/>
        <v/>
      </c>
      <c r="H19" s="25" t="str">
        <f t="shared" si="1"/>
        <v/>
      </c>
      <c r="I19" s="69"/>
      <c r="J19" s="70"/>
    </row>
    <row r="20" spans="1:10" ht="30" customHeight="1" x14ac:dyDescent="0.2">
      <c r="A20" s="10"/>
      <c r="B20" s="77" t="s">
        <v>40</v>
      </c>
      <c r="C20" s="78"/>
      <c r="D20" s="78"/>
      <c r="E20" s="19"/>
      <c r="F20" s="20"/>
      <c r="G20" s="21"/>
      <c r="H20" s="22"/>
      <c r="I20" s="65"/>
      <c r="J20" s="66"/>
    </row>
    <row r="21" spans="1:10" ht="30" customHeight="1" x14ac:dyDescent="0.2">
      <c r="A21" s="10"/>
      <c r="B21" s="73" t="s">
        <v>41</v>
      </c>
      <c r="C21" s="74"/>
      <c r="D21" s="74"/>
      <c r="E21" s="8">
        <v>5</v>
      </c>
      <c r="F21" s="13" t="s">
        <v>26</v>
      </c>
      <c r="G21" s="17" t="str">
        <f t="shared" si="0"/>
        <v/>
      </c>
      <c r="H21" s="18" t="str">
        <f t="shared" si="1"/>
        <v/>
      </c>
      <c r="I21" s="42"/>
      <c r="J21" s="43"/>
    </row>
    <row r="22" spans="1:10" ht="30" customHeight="1" thickBot="1" x14ac:dyDescent="0.25">
      <c r="A22" s="10"/>
      <c r="B22" s="75" t="s">
        <v>42</v>
      </c>
      <c r="C22" s="76"/>
      <c r="D22" s="76"/>
      <c r="E22" s="23">
        <v>5</v>
      </c>
      <c r="F22" s="15" t="s">
        <v>26</v>
      </c>
      <c r="G22" s="24" t="str">
        <f t="shared" si="0"/>
        <v/>
      </c>
      <c r="H22" s="25" t="str">
        <f t="shared" si="1"/>
        <v/>
      </c>
      <c r="I22" s="69"/>
      <c r="J22" s="70"/>
    </row>
    <row r="23" spans="1:10" ht="39.950000000000003" customHeight="1" thickBot="1" x14ac:dyDescent="0.25">
      <c r="A23" s="10"/>
      <c r="B23" s="71" t="s">
        <v>43</v>
      </c>
      <c r="C23" s="72"/>
      <c r="D23" s="72"/>
      <c r="E23" s="9">
        <v>5</v>
      </c>
      <c r="F23" s="26" t="s">
        <v>26</v>
      </c>
      <c r="G23" s="27" t="str">
        <f t="shared" si="0"/>
        <v/>
      </c>
      <c r="H23" s="14" t="str">
        <f t="shared" si="1"/>
        <v/>
      </c>
      <c r="I23" s="32"/>
      <c r="J23" s="33"/>
    </row>
    <row r="24" spans="1:10" ht="39.950000000000003" customHeight="1" thickBot="1" x14ac:dyDescent="0.25">
      <c r="A24" s="10"/>
      <c r="B24" s="71" t="s">
        <v>44</v>
      </c>
      <c r="C24" s="72"/>
      <c r="D24" s="72"/>
      <c r="E24" s="9">
        <v>5</v>
      </c>
      <c r="F24" s="26" t="s">
        <v>26</v>
      </c>
      <c r="G24" s="27" t="str">
        <f t="shared" si="0"/>
        <v/>
      </c>
      <c r="H24" s="14" t="str">
        <f t="shared" si="1"/>
        <v/>
      </c>
      <c r="I24" s="32"/>
      <c r="J24" s="33"/>
    </row>
    <row r="25" spans="1:10" ht="30" customHeight="1" thickBot="1" x14ac:dyDescent="0.25">
      <c r="A25" s="10"/>
      <c r="B25" s="71" t="s">
        <v>45</v>
      </c>
      <c r="C25" s="72"/>
      <c r="D25" s="72"/>
      <c r="E25" s="9">
        <v>5</v>
      </c>
      <c r="F25" s="26" t="s">
        <v>26</v>
      </c>
      <c r="G25" s="27" t="str">
        <f t="shared" si="0"/>
        <v/>
      </c>
      <c r="H25" s="14" t="str">
        <f t="shared" si="1"/>
        <v/>
      </c>
      <c r="I25" s="32"/>
      <c r="J25" s="33"/>
    </row>
    <row r="26" spans="1:10" ht="30" customHeight="1" thickBot="1" x14ac:dyDescent="0.25">
      <c r="A26" s="10"/>
      <c r="B26" s="71" t="s">
        <v>46</v>
      </c>
      <c r="C26" s="72"/>
      <c r="D26" s="72"/>
      <c r="E26" s="9">
        <v>5</v>
      </c>
      <c r="F26" s="26" t="s">
        <v>26</v>
      </c>
      <c r="G26" s="27" t="str">
        <f t="shared" si="0"/>
        <v/>
      </c>
      <c r="H26" s="14" t="str">
        <f t="shared" si="1"/>
        <v/>
      </c>
      <c r="I26" s="32"/>
      <c r="J26" s="33"/>
    </row>
    <row r="27" spans="1:10" ht="30" customHeight="1" thickBot="1" x14ac:dyDescent="0.25">
      <c r="A27" s="10"/>
      <c r="B27" s="71" t="s">
        <v>47</v>
      </c>
      <c r="C27" s="72"/>
      <c r="D27" s="72"/>
      <c r="E27" s="9">
        <v>5</v>
      </c>
      <c r="F27" s="26" t="s">
        <v>26</v>
      </c>
      <c r="G27" s="27" t="str">
        <f t="shared" si="0"/>
        <v/>
      </c>
      <c r="H27" s="14" t="str">
        <f t="shared" si="1"/>
        <v/>
      </c>
      <c r="I27" s="32"/>
      <c r="J27" s="33"/>
    </row>
    <row r="28" spans="1:10" ht="30" customHeight="1" x14ac:dyDescent="0.2">
      <c r="A28" s="10"/>
      <c r="B28" s="79" t="s">
        <v>48</v>
      </c>
      <c r="C28" s="80"/>
      <c r="D28" s="80"/>
      <c r="E28" s="95">
        <v>10</v>
      </c>
      <c r="F28" s="100" t="s">
        <v>26</v>
      </c>
      <c r="G28" s="83" t="str">
        <f t="shared" si="0"/>
        <v/>
      </c>
      <c r="H28" s="86" t="str">
        <f t="shared" si="1"/>
        <v/>
      </c>
      <c r="I28" s="89"/>
      <c r="J28" s="90"/>
    </row>
    <row r="29" spans="1:10" ht="30" customHeight="1" x14ac:dyDescent="0.2">
      <c r="A29" s="10"/>
      <c r="B29" s="73" t="s">
        <v>49</v>
      </c>
      <c r="C29" s="74"/>
      <c r="D29" s="74"/>
      <c r="E29" s="96"/>
      <c r="F29" s="101"/>
      <c r="G29" s="84"/>
      <c r="H29" s="87"/>
      <c r="I29" s="91"/>
      <c r="J29" s="92"/>
    </row>
    <row r="30" spans="1:10" ht="30" customHeight="1" x14ac:dyDescent="0.2">
      <c r="A30" s="10"/>
      <c r="B30" s="73" t="s">
        <v>50</v>
      </c>
      <c r="C30" s="74"/>
      <c r="D30" s="74"/>
      <c r="E30" s="96"/>
      <c r="F30" s="101"/>
      <c r="G30" s="84"/>
      <c r="H30" s="87"/>
      <c r="I30" s="91"/>
      <c r="J30" s="92"/>
    </row>
    <row r="31" spans="1:10" ht="30" customHeight="1" x14ac:dyDescent="0.2">
      <c r="A31" s="10"/>
      <c r="B31" s="73" t="s">
        <v>51</v>
      </c>
      <c r="C31" s="74"/>
      <c r="D31" s="74"/>
      <c r="E31" s="96"/>
      <c r="F31" s="101"/>
      <c r="G31" s="84"/>
      <c r="H31" s="87"/>
      <c r="I31" s="91"/>
      <c r="J31" s="92"/>
    </row>
    <row r="32" spans="1:10" ht="30" customHeight="1" x14ac:dyDescent="0.2">
      <c r="A32" s="10"/>
      <c r="B32" s="73" t="s">
        <v>52</v>
      </c>
      <c r="C32" s="74"/>
      <c r="D32" s="74"/>
      <c r="E32" s="96"/>
      <c r="F32" s="101"/>
      <c r="G32" s="84"/>
      <c r="H32" s="87"/>
      <c r="I32" s="91"/>
      <c r="J32" s="92"/>
    </row>
    <row r="33" spans="1:10" ht="39.950000000000003" customHeight="1" x14ac:dyDescent="0.2">
      <c r="A33" s="10"/>
      <c r="B33" s="73" t="s">
        <v>53</v>
      </c>
      <c r="C33" s="74"/>
      <c r="D33" s="74"/>
      <c r="E33" s="96"/>
      <c r="F33" s="101"/>
      <c r="G33" s="84"/>
      <c r="H33" s="87"/>
      <c r="I33" s="91"/>
      <c r="J33" s="92"/>
    </row>
    <row r="34" spans="1:10" ht="30" customHeight="1" x14ac:dyDescent="0.2">
      <c r="A34" s="10"/>
      <c r="B34" s="73" t="s">
        <v>54</v>
      </c>
      <c r="C34" s="74"/>
      <c r="D34" s="74"/>
      <c r="E34" s="96"/>
      <c r="F34" s="101"/>
      <c r="G34" s="84"/>
      <c r="H34" s="87"/>
      <c r="I34" s="91"/>
      <c r="J34" s="92"/>
    </row>
    <row r="35" spans="1:10" ht="39.950000000000003" customHeight="1" x14ac:dyDescent="0.2">
      <c r="A35" s="10"/>
      <c r="B35" s="73" t="s">
        <v>55</v>
      </c>
      <c r="C35" s="74"/>
      <c r="D35" s="74"/>
      <c r="E35" s="96"/>
      <c r="F35" s="101"/>
      <c r="G35" s="84"/>
      <c r="H35" s="87"/>
      <c r="I35" s="91"/>
      <c r="J35" s="92"/>
    </row>
    <row r="36" spans="1:10" ht="30" customHeight="1" x14ac:dyDescent="0.2">
      <c r="A36" s="10"/>
      <c r="B36" s="73" t="s">
        <v>56</v>
      </c>
      <c r="C36" s="74"/>
      <c r="D36" s="74"/>
      <c r="E36" s="96"/>
      <c r="F36" s="101"/>
      <c r="G36" s="84"/>
      <c r="H36" s="87"/>
      <c r="I36" s="91"/>
      <c r="J36" s="92"/>
    </row>
    <row r="37" spans="1:10" ht="30" customHeight="1" x14ac:dyDescent="0.2">
      <c r="A37" s="10"/>
      <c r="B37" s="73" t="s">
        <v>57</v>
      </c>
      <c r="C37" s="74"/>
      <c r="D37" s="74"/>
      <c r="E37" s="96"/>
      <c r="F37" s="101"/>
      <c r="G37" s="84"/>
      <c r="H37" s="87"/>
      <c r="I37" s="91"/>
      <c r="J37" s="92"/>
    </row>
    <row r="38" spans="1:10" ht="30" customHeight="1" x14ac:dyDescent="0.2">
      <c r="A38" s="10"/>
      <c r="B38" s="73" t="s">
        <v>58</v>
      </c>
      <c r="C38" s="74"/>
      <c r="D38" s="74"/>
      <c r="E38" s="96"/>
      <c r="F38" s="101"/>
      <c r="G38" s="84"/>
      <c r="H38" s="87"/>
      <c r="I38" s="91"/>
      <c r="J38" s="92"/>
    </row>
    <row r="39" spans="1:10" ht="30" customHeight="1" x14ac:dyDescent="0.2">
      <c r="A39" s="10"/>
      <c r="B39" s="73" t="s">
        <v>59</v>
      </c>
      <c r="C39" s="74"/>
      <c r="D39" s="74"/>
      <c r="E39" s="96"/>
      <c r="F39" s="101"/>
      <c r="G39" s="84"/>
      <c r="H39" s="87"/>
      <c r="I39" s="91"/>
      <c r="J39" s="92"/>
    </row>
    <row r="40" spans="1:10" ht="39.950000000000003" customHeight="1" x14ac:dyDescent="0.2">
      <c r="A40" s="10"/>
      <c r="B40" s="73" t="s">
        <v>60</v>
      </c>
      <c r="C40" s="74"/>
      <c r="D40" s="74"/>
      <c r="E40" s="96"/>
      <c r="F40" s="101"/>
      <c r="G40" s="84"/>
      <c r="H40" s="87"/>
      <c r="I40" s="91"/>
      <c r="J40" s="92"/>
    </row>
    <row r="41" spans="1:10" ht="39.950000000000003" customHeight="1" thickBot="1" x14ac:dyDescent="0.25">
      <c r="A41" s="10"/>
      <c r="B41" s="75" t="s">
        <v>61</v>
      </c>
      <c r="C41" s="76"/>
      <c r="D41" s="76"/>
      <c r="E41" s="97"/>
      <c r="F41" s="56"/>
      <c r="G41" s="85"/>
      <c r="H41" s="88"/>
      <c r="I41" s="93"/>
      <c r="J41" s="94"/>
    </row>
    <row r="42" spans="1:10" ht="30" customHeight="1" thickBot="1" x14ac:dyDescent="0.25">
      <c r="A42" s="10"/>
      <c r="B42" s="71" t="s">
        <v>62</v>
      </c>
      <c r="C42" s="72"/>
      <c r="D42" s="72"/>
      <c r="E42" s="9">
        <v>10</v>
      </c>
      <c r="F42" s="26" t="s">
        <v>26</v>
      </c>
      <c r="G42" s="27" t="str">
        <f t="shared" si="0"/>
        <v/>
      </c>
      <c r="H42" s="14" t="str">
        <f t="shared" si="1"/>
        <v/>
      </c>
      <c r="I42" s="32"/>
      <c r="J42" s="33"/>
    </row>
    <row r="43" spans="1:10" ht="39.950000000000003" customHeight="1" thickBot="1" x14ac:dyDescent="0.25">
      <c r="A43" s="10"/>
      <c r="B43" s="98" t="s">
        <v>63</v>
      </c>
      <c r="C43" s="99"/>
      <c r="D43" s="99"/>
      <c r="E43" s="28">
        <v>10</v>
      </c>
      <c r="F43" s="29" t="s">
        <v>26</v>
      </c>
      <c r="G43" s="30" t="str">
        <f t="shared" si="0"/>
        <v/>
      </c>
      <c r="H43" s="31" t="str">
        <f t="shared" si="1"/>
        <v/>
      </c>
      <c r="I43" s="56"/>
      <c r="J43" s="57"/>
    </row>
    <row r="44" spans="1:10" ht="30" customHeight="1" thickBot="1" x14ac:dyDescent="0.25">
      <c r="A44" s="3"/>
      <c r="B44" s="67" t="s">
        <v>5</v>
      </c>
      <c r="C44" s="68"/>
      <c r="D44" s="68"/>
      <c r="E44" s="9">
        <f>SUM(E8:E43)</f>
        <v>130</v>
      </c>
      <c r="F44" s="9">
        <f>SUM(F8:F43)</f>
        <v>0</v>
      </c>
      <c r="G44" s="62"/>
      <c r="H44" s="63"/>
      <c r="I44" s="63"/>
      <c r="J44" s="64"/>
    </row>
    <row r="45" spans="1:10" ht="30" customHeight="1" thickBot="1" x14ac:dyDescent="0.25">
      <c r="A45" s="3"/>
      <c r="B45" s="67" t="s">
        <v>20</v>
      </c>
      <c r="C45" s="68"/>
      <c r="D45" s="68"/>
      <c r="E45" s="58">
        <f>F44/E44/100*100</f>
        <v>0</v>
      </c>
      <c r="F45" s="58"/>
      <c r="G45" s="58"/>
      <c r="H45" s="58"/>
      <c r="I45" s="58"/>
      <c r="J45" s="59"/>
    </row>
    <row r="46" spans="1:10" ht="30" customHeight="1" thickBot="1" x14ac:dyDescent="0.25">
      <c r="A46" s="3"/>
      <c r="B46" s="67" t="s">
        <v>21</v>
      </c>
      <c r="C46" s="68"/>
      <c r="D46" s="68"/>
      <c r="E46" s="54" t="str">
        <f>_xlfn.IFS(E45&gt;=90%,"ممتاز",E45&gt;=80%,"جيد جداً",E45&gt;=70%,"جيد",E45&gt;=60%,"مقبول",E45&lt;60%,"راسب")</f>
        <v>راسب</v>
      </c>
      <c r="F46" s="54"/>
      <c r="G46" s="54"/>
      <c r="H46" s="54"/>
      <c r="I46" s="54"/>
      <c r="J46" s="55"/>
    </row>
    <row r="47" spans="1:10" ht="42" customHeight="1" x14ac:dyDescent="0.2">
      <c r="B47" s="50" t="s">
        <v>27</v>
      </c>
      <c r="C47" s="50"/>
      <c r="D47" s="50"/>
      <c r="E47" s="60" t="s">
        <v>18</v>
      </c>
      <c r="F47" s="60"/>
      <c r="G47" s="52" t="s">
        <v>24</v>
      </c>
      <c r="H47" s="52"/>
      <c r="I47" s="52"/>
      <c r="J47" s="52"/>
    </row>
    <row r="48" spans="1:10" ht="51" customHeight="1" x14ac:dyDescent="0.2">
      <c r="A48" s="4"/>
      <c r="B48" s="51"/>
      <c r="C48" s="51"/>
      <c r="D48" s="51"/>
      <c r="E48" s="61" t="s">
        <v>19</v>
      </c>
      <c r="F48" s="61"/>
      <c r="G48" s="53"/>
      <c r="H48" s="53"/>
      <c r="I48" s="53"/>
      <c r="J48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4">
    <mergeCell ref="F28:F41"/>
    <mergeCell ref="B29:D29"/>
    <mergeCell ref="B30:D30"/>
    <mergeCell ref="B40:D40"/>
    <mergeCell ref="B41:D41"/>
    <mergeCell ref="B42:D42"/>
    <mergeCell ref="B11:D11"/>
    <mergeCell ref="B12:D12"/>
    <mergeCell ref="G28:G41"/>
    <mergeCell ref="H28:H41"/>
    <mergeCell ref="I28:J41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E28:E41"/>
    <mergeCell ref="B28:D28"/>
    <mergeCell ref="B13:D13"/>
    <mergeCell ref="B14:D14"/>
    <mergeCell ref="B15:D15"/>
    <mergeCell ref="B16:D16"/>
    <mergeCell ref="B17:D17"/>
    <mergeCell ref="B26:D26"/>
    <mergeCell ref="B27:D27"/>
    <mergeCell ref="B18:D18"/>
    <mergeCell ref="B19:D19"/>
    <mergeCell ref="B20:D20"/>
    <mergeCell ref="B21:D21"/>
    <mergeCell ref="B22:D22"/>
    <mergeCell ref="I21:J21"/>
    <mergeCell ref="I22:J22"/>
    <mergeCell ref="B23:D23"/>
    <mergeCell ref="B24:D24"/>
    <mergeCell ref="B25:D25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B47:D48"/>
    <mergeCell ref="G47:J47"/>
    <mergeCell ref="G48:J48"/>
    <mergeCell ref="E46:J46"/>
    <mergeCell ref="I42:J42"/>
    <mergeCell ref="I43:J43"/>
    <mergeCell ref="E45:J45"/>
    <mergeCell ref="E47:F47"/>
    <mergeCell ref="E48:F48"/>
    <mergeCell ref="G44:J44"/>
    <mergeCell ref="B44:D44"/>
    <mergeCell ref="B45:D45"/>
    <mergeCell ref="B46:D46"/>
    <mergeCell ref="B43:D43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9:J9"/>
    <mergeCell ref="I8:J8"/>
    <mergeCell ref="B8:D8"/>
    <mergeCell ref="B9:D9"/>
    <mergeCell ref="B10:D10"/>
    <mergeCell ref="I23:J23"/>
    <mergeCell ref="I24:J24"/>
    <mergeCell ref="I25:J25"/>
    <mergeCell ref="I26:J26"/>
    <mergeCell ref="I27:J27"/>
  </mergeCells>
  <conditionalFormatting sqref="E46">
    <cfRule type="expression" dxfId="23" priority="57">
      <formula>$E46="راسب"</formula>
    </cfRule>
  </conditionalFormatting>
  <conditionalFormatting sqref="E46:J46">
    <cfRule type="expression" dxfId="22" priority="58">
      <formula>$E46="مقبول"</formula>
    </cfRule>
    <cfRule type="expression" dxfId="21" priority="59">
      <formula>$E46="جيد"</formula>
    </cfRule>
    <cfRule type="expression" dxfId="20" priority="60">
      <formula>$E46="جيد جداً"</formula>
    </cfRule>
    <cfRule type="expression" dxfId="19" priority="61">
      <formula>$E46="ممتاز"</formula>
    </cfRule>
  </conditionalFormatting>
  <conditionalFormatting sqref="H8 H10:H28 H42:H43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28 H42:H43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8" priority="15" operator="containsText" text="أدخل اسم المحكم">
      <formula>NOT(ISERROR(SEARCH("أدخل اسم المحكم",G47)))</formula>
    </cfRule>
  </conditionalFormatting>
  <conditionalFormatting sqref="F8 F10:F28 F42:F43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F21:F27 F14:F19 F9:F11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G47:J47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E81F95ED-084C-4901-8B67-A2EAD61D320A}">
          <x14:formula1>
            <xm:f>#REF!</xm:f>
          </x14:formula1>
          <xm:sqref>F42 F43 F28:F41</xm:sqref>
        </x14:dataValidation>
        <x14:dataValidation type="list" allowBlank="1" showInputMessage="1" showErrorMessage="1" xr:uid="{611EAD24-4CAD-460F-8C78-AB9563B21D5B}">
          <x14:formula1>
            <xm:f>#REF!</xm:f>
          </x14:formula1>
          <xm:sqref>F12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2026-08-30T04:34:24Z</dcterms:modified>
</cp:coreProperties>
</file>