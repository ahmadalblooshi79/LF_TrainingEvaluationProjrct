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7" i="2"/>
  <c r="H17" i="2" s="1"/>
  <c r="G18" i="2"/>
  <c r="H18" i="2" s="1"/>
  <c r="G19" i="2"/>
  <c r="H19" i="2" s="1"/>
  <c r="G20" i="2"/>
  <c r="H20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F53" i="2" l="1"/>
  <c r="E53" i="2" l="1"/>
  <c r="E54" i="2" l="1"/>
  <c r="E55" i="2" s="1"/>
</calcChain>
</file>

<file path=xl/sharedStrings.xml><?xml version="1.0" encoding="utf-8"?>
<sst xmlns="http://schemas.openxmlformats.org/spreadsheetml/2006/main" count="114" uniqueCount="74">
  <si>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</si>
  <si>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</si>
  <si>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</si>
  <si>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</si>
  <si>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</si>
  <si>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</si>
  <si>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</si>
  <si>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</si>
  <si>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</si>
  <si>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</si>
  <si>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</si>
  <si>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</si>
  <si>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</si>
  <si>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</si>
  <si>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</si>
  <si>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</si>
  <si>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</si>
  <si>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</si>
  <si>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</si>
  <si>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</si>
  <si>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</si>
  <si>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</si>
  <si>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</si>
  <si>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</si>
  <si>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</si>
  <si>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</si>
  <si>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</si>
  <si>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</si>
  <si>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أ.    أبرز الهيئات الحاكمة.</t>
  </si>
  <si>
    <t>ب.  أبرز الطرق.</t>
  </si>
  <si>
    <t>جـ.  أبرز الموانع الطبيعية والصناعية.</t>
  </si>
  <si>
    <t>د.    الأنهر والوديان والمزروعات والغابات.</t>
  </si>
  <si>
    <t>أ.    تقسيم الأرض إلى (يمين/وسط/ يسار).</t>
  </si>
  <si>
    <t>ب.  وصف الأرض في العمليات التعرضية من الأرض القريبة إلى الأرض البعيدة وفي العمليات الدفاعية من الأرض البعيدة إلى الأرض القريبة.</t>
  </si>
  <si>
    <t>جـ.  التخفية والتستر.</t>
  </si>
  <si>
    <t>د.    المراقبة وميادين الرمي.</t>
  </si>
  <si>
    <t>هـ.    الإسناد المتبادل بالنار والمناورة.</t>
  </si>
  <si>
    <t>و.    الموانع الطبيعية والصناعية.</t>
  </si>
  <si>
    <t>ز.    مناطق التجمع والتشكيل وخطوط البدء ومناطق التقتيل ومناطق الهبوط المحتملة (حسب الحاجة).</t>
  </si>
  <si>
    <t>ح.    الأرض التعبوية والحيوية.</t>
  </si>
  <si>
    <t>ط.    قابلية الحركة.</t>
  </si>
  <si>
    <t>ي.    الطرق والجسور وتصنيفها.</t>
  </si>
  <si>
    <t>ك.    وصف عام للمقتربات ويشمل:</t>
  </si>
  <si>
    <r>
      <t>(1)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أبرز المعالم الطبيعية أو الصناعية على طول المقترب.</t>
    </r>
  </si>
  <si>
    <r>
      <t>(2)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تسمية المقتربات بالأحرف أو الأرقام أو بالاتجاهات.</t>
    </r>
  </si>
  <si>
    <r>
      <t>(3)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طول المقترب (من منطقة التجمع إلى الأهداف النهائية في العمليات التعرضية ومن منطقة الاهتمام أو التأثير إلى الموقع الدفاعي الرئيسي في العمليات الدفاعية.</t>
    </r>
  </si>
  <si>
    <r>
      <t>(4)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الاستيعاب/الاتساع على طول المقترب.</t>
    </r>
  </si>
  <si>
    <t>(5)    الرصد والنيران.</t>
  </si>
  <si>
    <r>
      <t>(6)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المراقبة و ميادين الرمي.</t>
    </r>
  </si>
  <si>
    <r>
      <t>(7)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التخفية والتستر.</t>
    </r>
  </si>
  <si>
    <r>
      <t>(8)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الأرض التعبوية.</t>
    </r>
  </si>
  <si>
    <r>
      <t>(9)</t>
    </r>
    <r>
      <rPr>
        <sz val="12"/>
        <color rgb="FF000000"/>
        <rFont val="Times New Roman"/>
        <family val="1"/>
      </rPr>
      <t xml:space="preserve">    </t>
    </r>
    <r>
      <rPr>
        <sz val="12"/>
        <color rgb="FF000000"/>
        <rFont val="Arial"/>
        <family val="2"/>
      </rPr>
      <t>الموانع.</t>
    </r>
  </si>
  <si>
    <r>
      <t>(10)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قابلية الحركة.</t>
    </r>
  </si>
  <si>
    <r>
      <t>(11)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مناطق الهبوط المحتملة.</t>
    </r>
  </si>
  <si>
    <r>
      <t>(12)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Arial"/>
        <family val="2"/>
      </rPr>
      <t>الإسناد المتبادل.</t>
    </r>
  </si>
  <si>
    <t>أ.    الضوء الأول.</t>
  </si>
  <si>
    <t>ب.  الضوء الأخير.</t>
  </si>
  <si>
    <t>جـ.  حالة القمر.</t>
  </si>
  <si>
    <t>د.    اتجاه الريح وسرعته.</t>
  </si>
  <si>
    <t>هـ.    درجة الحرارة.</t>
  </si>
  <si>
    <t>و.    المد والجزر (حسب الحاجة).</t>
  </si>
  <si>
    <r>
      <t>1.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الأرض على الطاولة الرملية</t>
    </r>
    <r>
      <rPr>
        <b/>
        <sz val="12"/>
        <color rgb="FF000000"/>
        <rFont val="Arial"/>
        <family val="2"/>
      </rPr>
      <t>.</t>
    </r>
  </si>
  <si>
    <r>
      <t>2.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المعالم البارزة.</t>
    </r>
  </si>
  <si>
    <r>
      <t>3.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وصف المميزات التعبوية للأرض بالتفصيل.</t>
    </r>
  </si>
  <si>
    <r>
      <t>4.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الأرصاد</t>
    </r>
    <r>
      <rPr>
        <sz val="12"/>
        <color rgb="FF000000"/>
        <rFont val="Arial"/>
        <family val="2"/>
      </rPr>
      <t xml:space="preserve">. </t>
    </r>
  </si>
  <si>
    <r>
      <t>5.</t>
    </r>
    <r>
      <rPr>
        <sz val="12"/>
        <color rgb="FF000000"/>
        <rFont val="Times New Roman"/>
        <family val="1"/>
      </rPr>
      <t xml:space="preserve">  </t>
    </r>
    <r>
      <rPr>
        <b/>
        <u/>
        <sz val="12"/>
        <color rgb="FF000000"/>
        <rFont val="Arial"/>
        <family val="2"/>
      </rPr>
      <t>طرح الأسئلة</t>
    </r>
    <r>
      <rPr>
        <sz val="12"/>
        <color rgb="FF000000"/>
        <rFont val="Arial"/>
        <family val="2"/>
      </rPr>
      <t>.</t>
    </r>
  </si>
  <si>
    <t>أ.  اختيار مكان وقوف مناسب في مواجهة قسم الأمر وتمكن جميع الحاضرين من رؤية الطاولة الرملية واستخدام المؤشر في التأشير.</t>
  </si>
  <si>
    <t>ب.  البسملة (بسم الله الرحمن الرحيم).</t>
  </si>
  <si>
    <t>جـ.    تعريف الطاولة الرملية.</t>
  </si>
  <si>
    <t>د.  تحديد اتجاه الشمال.</t>
  </si>
  <si>
    <t>هـ.    تحديد مقياس رسم الطاولة الرملية.</t>
  </si>
  <si>
    <t>و.    التعريف بالألوان والرموز المستخدمة.</t>
  </si>
  <si>
    <t>ز.    وصف الأرض بشكل عام وتأشير المعالم البارزة في اتجاه دوران عقارب الساعة.</t>
  </si>
  <si>
    <t>تقييم السرية/فريق القتال في وصف الأرض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</si>
</sst>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vertical="center" wrapText="1" readingOrder="2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8" fillId="0" borderId="13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8" fillId="0" borderId="10" xfId="0" applyFont="1" applyBorder="1" applyAlignment="1">
      <alignment horizontal="right" vertical="center" wrapText="1" indent="2" readingOrder="2"/>
    </xf>
    <xf numFmtId="0" fontId="8" fillId="0" borderId="11" xfId="0" applyFont="1" applyBorder="1" applyAlignment="1">
      <alignment horizontal="right" vertical="center" wrapText="1" indent="2" readingOrder="2"/>
    </xf>
    <xf numFmtId="0" fontId="8" fillId="0" borderId="13" xfId="0" applyFont="1" applyBorder="1" applyAlignment="1">
      <alignment horizontal="right" vertical="center" wrapText="1" indent="3" readingOrder="2"/>
    </xf>
    <xf numFmtId="0" fontId="8" fillId="0" borderId="2" xfId="0" applyFont="1" applyBorder="1" applyAlignment="1">
      <alignment horizontal="right" vertical="center" wrapText="1" indent="3" readingOrder="2"/>
    </xf>
    <xf numFmtId="0" fontId="8" fillId="0" borderId="7" xfId="0" applyFont="1" applyBorder="1" applyAlignment="1">
      <alignment horizontal="right" vertical="center" wrapText="1" readingOrder="2"/>
    </xf>
    <xf numFmtId="0" fontId="8" fillId="0" borderId="8" xfId="0" applyFont="1" applyBorder="1" applyAlignment="1">
      <alignment horizontal="right" vertical="center" wrapText="1" readingOrder="2"/>
    </xf>
    <xf numFmtId="0" fontId="8" fillId="0" borderId="22" xfId="0" applyFont="1" applyBorder="1" applyAlignment="1">
      <alignment horizontal="right" vertical="center" wrapText="1" readingOrder="2"/>
    </xf>
    <xf numFmtId="0" fontId="8" fillId="0" borderId="23" xfId="0" applyFont="1" applyBorder="1" applyAlignment="1">
      <alignment horizontal="right" vertical="center" wrapText="1" readingOrder="2"/>
    </xf>
    <xf numFmtId="0" fontId="8" fillId="0" borderId="24" xfId="0" applyFont="1" applyBorder="1" applyAlignment="1">
      <alignment horizontal="right" vertical="center" wrapText="1" readingOrder="2"/>
    </xf>
    <xf numFmtId="0" fontId="8" fillId="0" borderId="25" xfId="0" applyFont="1" applyBorder="1" applyAlignment="1">
      <alignment horizontal="right" vertical="center" wrapText="1" indent="1" readingOrder="2"/>
    </xf>
    <xf numFmtId="0" fontId="8" fillId="0" borderId="26" xfId="0" applyFont="1" applyBorder="1" applyAlignment="1">
      <alignment horizontal="right" vertical="center" wrapText="1" indent="1" readingOrder="2"/>
    </xf>
    <xf numFmtId="0" fontId="8" fillId="0" borderId="27" xfId="0" applyFont="1" applyBorder="1" applyAlignment="1">
      <alignment horizontal="right" vertical="center" wrapText="1" indent="1" readingOrder="2"/>
    </xf>
    <xf numFmtId="0" fontId="8" fillId="0" borderId="10" xfId="0" applyFont="1" applyBorder="1" applyAlignment="1">
      <alignment horizontal="right" vertical="center" wrapText="1" indent="3" readingOrder="2"/>
    </xf>
    <xf numFmtId="0" fontId="8" fillId="0" borderId="11" xfId="0" applyFont="1" applyBorder="1" applyAlignment="1">
      <alignment horizontal="right" vertical="center" wrapText="1" indent="3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center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57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81" t="s">
        <v>73</v>
      </c>
      <c r="C1" s="82"/>
      <c r="D1" s="82"/>
      <c r="E1" s="82"/>
      <c r="F1" s="82"/>
      <c r="G1" s="82"/>
      <c r="H1" s="82"/>
      <c r="I1" s="82"/>
      <c r="J1" s="82"/>
    </row>
    <row r="2" spans="1:10" ht="30" customHeight="1" x14ac:dyDescent="0.25">
      <c r="B2" s="12" t="s">
        <v>8</v>
      </c>
      <c r="C2" s="36" t="s">
        <v>23</v>
      </c>
      <c r="D2" s="36"/>
      <c r="E2" s="12" t="s">
        <v>7</v>
      </c>
      <c r="F2" s="31" t="s">
        <v>22</v>
      </c>
      <c r="G2" s="31"/>
      <c r="H2" s="31"/>
      <c r="I2" s="31"/>
      <c r="J2" s="31"/>
    </row>
    <row r="3" spans="1:10" ht="30" customHeight="1" x14ac:dyDescent="0.25">
      <c r="B3" s="12" t="s">
        <v>9</v>
      </c>
      <c r="C3" s="36" t="s">
        <v>25</v>
      </c>
      <c r="D3" s="36"/>
      <c r="E3" s="12" t="s">
        <v>6</v>
      </c>
      <c r="F3" s="36" t="s">
        <v>24</v>
      </c>
      <c r="G3" s="36"/>
      <c r="H3" s="36"/>
      <c r="I3" s="36"/>
      <c r="J3" s="36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10"/>
      <c r="B5" s="32" t="s">
        <v>0</v>
      </c>
      <c r="C5" s="33"/>
      <c r="D5" s="33"/>
      <c r="E5" s="43" t="s">
        <v>1</v>
      </c>
      <c r="F5" s="43"/>
      <c r="G5" s="43"/>
      <c r="H5" s="43"/>
      <c r="I5" s="43" t="s">
        <v>2</v>
      </c>
      <c r="J5" s="46"/>
    </row>
    <row r="6" spans="1:10" ht="24.95" customHeight="1" thickBot="1" x14ac:dyDescent="0.3">
      <c r="A6" s="10"/>
      <c r="B6" s="34"/>
      <c r="C6" s="35"/>
      <c r="D6" s="35"/>
      <c r="E6" s="11" t="s">
        <v>3</v>
      </c>
      <c r="F6" s="11" t="s">
        <v>4</v>
      </c>
      <c r="G6" s="11" t="s">
        <v>15</v>
      </c>
      <c r="H6" s="11" t="s">
        <v>16</v>
      </c>
      <c r="I6" s="47"/>
      <c r="J6" s="48"/>
    </row>
    <row r="7" spans="1:10" ht="24.95" customHeight="1" thickBot="1" x14ac:dyDescent="0.3">
      <c r="A7" s="10"/>
      <c r="B7" s="39" t="s">
        <v>13</v>
      </c>
      <c r="C7" s="40"/>
      <c r="D7" s="40"/>
      <c r="E7" s="20" t="s">
        <v>10</v>
      </c>
      <c r="F7" s="20" t="s">
        <v>11</v>
      </c>
      <c r="G7" s="20" t="s">
        <v>14</v>
      </c>
      <c r="H7" s="20" t="s">
        <v>12</v>
      </c>
      <c r="I7" s="49" t="s">
        <v>17</v>
      </c>
      <c r="J7" s="50"/>
    </row>
    <row r="8" spans="1:10" ht="30" customHeight="1" x14ac:dyDescent="0.25">
      <c r="A8" s="10"/>
      <c r="B8" s="73" t="s">
        <v>61</v>
      </c>
      <c r="C8" s="74"/>
      <c r="D8" s="74"/>
      <c r="E8" s="74"/>
      <c r="F8" s="74"/>
      <c r="G8" s="74"/>
      <c r="H8" s="74"/>
      <c r="I8" s="74"/>
      <c r="J8" s="75"/>
    </row>
    <row r="9" spans="1:10" ht="39.950000000000003" customHeight="1" x14ac:dyDescent="0.25">
      <c r="A9" s="10"/>
      <c r="B9" s="65" t="s">
        <v>66</v>
      </c>
      <c r="C9" s="66"/>
      <c r="D9" s="66"/>
      <c r="E9" s="8">
        <v>10</v>
      </c>
      <c r="F9" s="13" t="s">
        <v>26</v>
      </c>
      <c r="G9" s="22" t="str">
        <f t="shared" ref="G9:G52" si="0">IFERROR(F9/E9,"")</f>
        <v/>
      </c>
      <c r="H9" s="23" t="str">
        <f t="shared" ref="H9:H52" si="1">_xlfn.IFS(F9="أدخل العلامة","",F9="لا ينطبق","تم الإلغاء",G9&gt;=90%,"ممتاز",G9&gt;=80%,"جيد جداً",G9&gt;=70%,"جيد",G9&gt;=60%,"مقبول",G9&lt;60%,"راسب")</f>
        <v/>
      </c>
      <c r="I9" s="41"/>
      <c r="J9" s="42"/>
    </row>
    <row r="10" spans="1:10" ht="30" customHeight="1" x14ac:dyDescent="0.25">
      <c r="A10" s="10"/>
      <c r="B10" s="65" t="s">
        <v>67</v>
      </c>
      <c r="C10" s="66"/>
      <c r="D10" s="66"/>
      <c r="E10" s="8">
        <v>5</v>
      </c>
      <c r="F10" s="13" t="s">
        <v>26</v>
      </c>
      <c r="G10" s="22" t="str">
        <f t="shared" si="0"/>
        <v/>
      </c>
      <c r="H10" s="23" t="str">
        <f t="shared" si="1"/>
        <v/>
      </c>
      <c r="I10" s="41"/>
      <c r="J10" s="42"/>
    </row>
    <row r="11" spans="1:10" ht="30" customHeight="1" x14ac:dyDescent="0.25">
      <c r="A11" s="10"/>
      <c r="B11" s="65" t="s">
        <v>68</v>
      </c>
      <c r="C11" s="66"/>
      <c r="D11" s="66"/>
      <c r="E11" s="8">
        <v>5</v>
      </c>
      <c r="F11" s="13" t="s">
        <v>26</v>
      </c>
      <c r="G11" s="22" t="str">
        <f t="shared" si="0"/>
        <v/>
      </c>
      <c r="H11" s="23" t="str">
        <f t="shared" si="1"/>
        <v/>
      </c>
      <c r="I11" s="41"/>
      <c r="J11" s="42"/>
    </row>
    <row r="12" spans="1:10" ht="30" customHeight="1" x14ac:dyDescent="0.25">
      <c r="A12" s="10"/>
      <c r="B12" s="65" t="s">
        <v>69</v>
      </c>
      <c r="C12" s="66"/>
      <c r="D12" s="66"/>
      <c r="E12" s="8">
        <v>5</v>
      </c>
      <c r="F12" s="13" t="s">
        <v>26</v>
      </c>
      <c r="G12" s="22" t="str">
        <f t="shared" si="0"/>
        <v/>
      </c>
      <c r="H12" s="23" t="str">
        <f t="shared" si="1"/>
        <v/>
      </c>
      <c r="I12" s="41"/>
      <c r="J12" s="42"/>
    </row>
    <row r="13" spans="1:10" ht="30" customHeight="1" x14ac:dyDescent="0.25">
      <c r="A13" s="10"/>
      <c r="B13" s="65" t="s">
        <v>70</v>
      </c>
      <c r="C13" s="66"/>
      <c r="D13" s="66"/>
      <c r="E13" s="8">
        <v>5</v>
      </c>
      <c r="F13" s="13" t="s">
        <v>26</v>
      </c>
      <c r="G13" s="22" t="str">
        <f t="shared" si="0"/>
        <v/>
      </c>
      <c r="H13" s="23" t="str">
        <f t="shared" si="1"/>
        <v/>
      </c>
      <c r="I13" s="41"/>
      <c r="J13" s="42"/>
    </row>
    <row r="14" spans="1:10" ht="30" customHeight="1" x14ac:dyDescent="0.25">
      <c r="A14" s="10"/>
      <c r="B14" s="65" t="s">
        <v>71</v>
      </c>
      <c r="C14" s="66"/>
      <c r="D14" s="66"/>
      <c r="E14" s="8">
        <v>5</v>
      </c>
      <c r="F14" s="13" t="s">
        <v>26</v>
      </c>
      <c r="G14" s="22" t="str">
        <f t="shared" si="0"/>
        <v/>
      </c>
      <c r="H14" s="23" t="str">
        <f t="shared" si="1"/>
        <v/>
      </c>
      <c r="I14" s="41"/>
      <c r="J14" s="42"/>
    </row>
    <row r="15" spans="1:10" ht="50.1" customHeight="1" thickBot="1" x14ac:dyDescent="0.3">
      <c r="A15" s="10"/>
      <c r="B15" s="67" t="s">
        <v>72</v>
      </c>
      <c r="C15" s="68"/>
      <c r="D15" s="68"/>
      <c r="E15" s="16">
        <v>10</v>
      </c>
      <c r="F15" s="15" t="s">
        <v>26</v>
      </c>
      <c r="G15" s="24" t="str">
        <f t="shared" si="0"/>
        <v/>
      </c>
      <c r="H15" s="25" t="str">
        <f t="shared" si="1"/>
        <v/>
      </c>
      <c r="I15" s="44"/>
      <c r="J15" s="45"/>
    </row>
    <row r="16" spans="1:10" ht="30" customHeight="1" x14ac:dyDescent="0.25">
      <c r="A16" s="10"/>
      <c r="B16" s="73" t="s">
        <v>62</v>
      </c>
      <c r="C16" s="74"/>
      <c r="D16" s="74"/>
      <c r="E16" s="74"/>
      <c r="F16" s="74"/>
      <c r="G16" s="74"/>
      <c r="H16" s="74"/>
      <c r="I16" s="74"/>
      <c r="J16" s="75"/>
    </row>
    <row r="17" spans="1:10" ht="30" customHeight="1" x14ac:dyDescent="0.25">
      <c r="A17" s="10"/>
      <c r="B17" s="65" t="s">
        <v>28</v>
      </c>
      <c r="C17" s="66"/>
      <c r="D17" s="66"/>
      <c r="E17" s="8">
        <v>10</v>
      </c>
      <c r="F17" s="13" t="s">
        <v>26</v>
      </c>
      <c r="G17" s="22" t="str">
        <f t="shared" si="0"/>
        <v/>
      </c>
      <c r="H17" s="23" t="str">
        <f t="shared" si="1"/>
        <v/>
      </c>
      <c r="I17" s="41"/>
      <c r="J17" s="42"/>
    </row>
    <row r="18" spans="1:10" ht="30" customHeight="1" x14ac:dyDescent="0.25">
      <c r="A18" s="10"/>
      <c r="B18" s="65" t="s">
        <v>29</v>
      </c>
      <c r="C18" s="66"/>
      <c r="D18" s="66"/>
      <c r="E18" s="8">
        <v>10</v>
      </c>
      <c r="F18" s="13" t="s">
        <v>26</v>
      </c>
      <c r="G18" s="22" t="str">
        <f t="shared" si="0"/>
        <v/>
      </c>
      <c r="H18" s="23" t="str">
        <f t="shared" si="1"/>
        <v/>
      </c>
      <c r="I18" s="41"/>
      <c r="J18" s="42"/>
    </row>
    <row r="19" spans="1:10" ht="30" customHeight="1" x14ac:dyDescent="0.25">
      <c r="A19" s="10"/>
      <c r="B19" s="65" t="s">
        <v>30</v>
      </c>
      <c r="C19" s="66"/>
      <c r="D19" s="66"/>
      <c r="E19" s="8">
        <v>10</v>
      </c>
      <c r="F19" s="13" t="s">
        <v>26</v>
      </c>
      <c r="G19" s="22" t="str">
        <f t="shared" si="0"/>
        <v/>
      </c>
      <c r="H19" s="23" t="str">
        <f t="shared" si="1"/>
        <v/>
      </c>
      <c r="I19" s="41"/>
      <c r="J19" s="42"/>
    </row>
    <row r="20" spans="1:10" ht="30" customHeight="1" thickBot="1" x14ac:dyDescent="0.3">
      <c r="A20" s="10"/>
      <c r="B20" s="67" t="s">
        <v>31</v>
      </c>
      <c r="C20" s="68"/>
      <c r="D20" s="68"/>
      <c r="E20" s="16">
        <v>10</v>
      </c>
      <c r="F20" s="15" t="s">
        <v>26</v>
      </c>
      <c r="G20" s="24" t="str">
        <f t="shared" si="0"/>
        <v/>
      </c>
      <c r="H20" s="25" t="str">
        <f t="shared" si="1"/>
        <v/>
      </c>
      <c r="I20" s="44"/>
      <c r="J20" s="45"/>
    </row>
    <row r="21" spans="1:10" ht="30" customHeight="1" x14ac:dyDescent="0.25">
      <c r="A21" s="10"/>
      <c r="B21" s="73" t="s">
        <v>63</v>
      </c>
      <c r="C21" s="74"/>
      <c r="D21" s="74"/>
      <c r="E21" s="74"/>
      <c r="F21" s="74"/>
      <c r="G21" s="74"/>
      <c r="H21" s="74"/>
      <c r="I21" s="74"/>
      <c r="J21" s="75"/>
    </row>
    <row r="22" spans="1:10" ht="30" customHeight="1" x14ac:dyDescent="0.25">
      <c r="A22" s="10"/>
      <c r="B22" s="65" t="s">
        <v>32</v>
      </c>
      <c r="C22" s="66"/>
      <c r="D22" s="66"/>
      <c r="E22" s="8">
        <v>5</v>
      </c>
      <c r="F22" s="13" t="s">
        <v>26</v>
      </c>
      <c r="G22" s="22" t="str">
        <f t="shared" si="0"/>
        <v/>
      </c>
      <c r="H22" s="23" t="str">
        <f t="shared" si="1"/>
        <v/>
      </c>
      <c r="I22" s="41"/>
      <c r="J22" s="42"/>
    </row>
    <row r="23" spans="1:10" ht="50.1" customHeight="1" x14ac:dyDescent="0.25">
      <c r="A23" s="10"/>
      <c r="B23" s="65" t="s">
        <v>33</v>
      </c>
      <c r="C23" s="66"/>
      <c r="D23" s="66"/>
      <c r="E23" s="8">
        <v>5</v>
      </c>
      <c r="F23" s="13" t="s">
        <v>26</v>
      </c>
      <c r="G23" s="22" t="str">
        <f t="shared" si="0"/>
        <v/>
      </c>
      <c r="H23" s="23" t="str">
        <f t="shared" si="1"/>
        <v/>
      </c>
      <c r="I23" s="41"/>
      <c r="J23" s="42"/>
    </row>
    <row r="24" spans="1:10" ht="30" customHeight="1" x14ac:dyDescent="0.25">
      <c r="A24" s="10"/>
      <c r="B24" s="65" t="s">
        <v>34</v>
      </c>
      <c r="C24" s="66"/>
      <c r="D24" s="66"/>
      <c r="E24" s="8">
        <v>5</v>
      </c>
      <c r="F24" s="13" t="s">
        <v>26</v>
      </c>
      <c r="G24" s="22" t="str">
        <f t="shared" si="0"/>
        <v/>
      </c>
      <c r="H24" s="23" t="str">
        <f t="shared" si="1"/>
        <v/>
      </c>
      <c r="I24" s="41"/>
      <c r="J24" s="42"/>
    </row>
    <row r="25" spans="1:10" ht="30" customHeight="1" x14ac:dyDescent="0.25">
      <c r="A25" s="10"/>
      <c r="B25" s="65" t="s">
        <v>35</v>
      </c>
      <c r="C25" s="66"/>
      <c r="D25" s="66"/>
      <c r="E25" s="8">
        <v>5</v>
      </c>
      <c r="F25" s="13" t="s">
        <v>26</v>
      </c>
      <c r="G25" s="22" t="str">
        <f t="shared" si="0"/>
        <v/>
      </c>
      <c r="H25" s="23" t="str">
        <f t="shared" si="1"/>
        <v/>
      </c>
      <c r="I25" s="41"/>
      <c r="J25" s="42"/>
    </row>
    <row r="26" spans="1:10" ht="30" customHeight="1" x14ac:dyDescent="0.25">
      <c r="A26" s="10"/>
      <c r="B26" s="65" t="s">
        <v>36</v>
      </c>
      <c r="C26" s="66"/>
      <c r="D26" s="66"/>
      <c r="E26" s="8">
        <v>5</v>
      </c>
      <c r="F26" s="13" t="s">
        <v>26</v>
      </c>
      <c r="G26" s="22" t="str">
        <f t="shared" si="0"/>
        <v/>
      </c>
      <c r="H26" s="23" t="str">
        <f t="shared" si="1"/>
        <v/>
      </c>
      <c r="I26" s="41"/>
      <c r="J26" s="42"/>
    </row>
    <row r="27" spans="1:10" ht="30" customHeight="1" x14ac:dyDescent="0.25">
      <c r="A27" s="10"/>
      <c r="B27" s="65" t="s">
        <v>37</v>
      </c>
      <c r="C27" s="66"/>
      <c r="D27" s="66"/>
      <c r="E27" s="8">
        <v>5</v>
      </c>
      <c r="F27" s="13" t="s">
        <v>26</v>
      </c>
      <c r="G27" s="22" t="str">
        <f t="shared" si="0"/>
        <v/>
      </c>
      <c r="H27" s="23" t="str">
        <f t="shared" si="1"/>
        <v/>
      </c>
      <c r="I27" s="41"/>
      <c r="J27" s="42"/>
    </row>
    <row r="28" spans="1:10" ht="39.950000000000003" customHeight="1" x14ac:dyDescent="0.25">
      <c r="A28" s="10"/>
      <c r="B28" s="65" t="s">
        <v>38</v>
      </c>
      <c r="C28" s="66"/>
      <c r="D28" s="66"/>
      <c r="E28" s="8">
        <v>5</v>
      </c>
      <c r="F28" s="13" t="s">
        <v>26</v>
      </c>
      <c r="G28" s="22" t="str">
        <f t="shared" si="0"/>
        <v/>
      </c>
      <c r="H28" s="23" t="str">
        <f t="shared" si="1"/>
        <v/>
      </c>
      <c r="I28" s="41"/>
      <c r="J28" s="42"/>
    </row>
    <row r="29" spans="1:10" ht="30" customHeight="1" x14ac:dyDescent="0.25">
      <c r="A29" s="10"/>
      <c r="B29" s="65" t="s">
        <v>39</v>
      </c>
      <c r="C29" s="66"/>
      <c r="D29" s="66"/>
      <c r="E29" s="8">
        <v>5</v>
      </c>
      <c r="F29" s="13" t="s">
        <v>26</v>
      </c>
      <c r="G29" s="22" t="str">
        <f t="shared" si="0"/>
        <v/>
      </c>
      <c r="H29" s="23" t="str">
        <f t="shared" si="1"/>
        <v/>
      </c>
      <c r="I29" s="41"/>
      <c r="J29" s="42"/>
    </row>
    <row r="30" spans="1:10" ht="30" customHeight="1" x14ac:dyDescent="0.25">
      <c r="A30" s="10"/>
      <c r="B30" s="65" t="s">
        <v>40</v>
      </c>
      <c r="C30" s="66"/>
      <c r="D30" s="66"/>
      <c r="E30" s="8">
        <v>5</v>
      </c>
      <c r="F30" s="13" t="s">
        <v>26</v>
      </c>
      <c r="G30" s="22" t="str">
        <f t="shared" si="0"/>
        <v/>
      </c>
      <c r="H30" s="23" t="str">
        <f t="shared" si="1"/>
        <v/>
      </c>
      <c r="I30" s="41"/>
      <c r="J30" s="42"/>
    </row>
    <row r="31" spans="1:10" ht="30" customHeight="1" x14ac:dyDescent="0.25">
      <c r="A31" s="10"/>
      <c r="B31" s="65" t="s">
        <v>41</v>
      </c>
      <c r="C31" s="66"/>
      <c r="D31" s="66"/>
      <c r="E31" s="8">
        <v>5</v>
      </c>
      <c r="F31" s="13" t="s">
        <v>26</v>
      </c>
      <c r="G31" s="22" t="str">
        <f t="shared" si="0"/>
        <v/>
      </c>
      <c r="H31" s="23" t="str">
        <f t="shared" si="1"/>
        <v/>
      </c>
      <c r="I31" s="41"/>
      <c r="J31" s="42"/>
    </row>
    <row r="32" spans="1:10" ht="30" customHeight="1" x14ac:dyDescent="0.25">
      <c r="A32" s="10"/>
      <c r="B32" s="76" t="s">
        <v>42</v>
      </c>
      <c r="C32" s="77"/>
      <c r="D32" s="78"/>
      <c r="E32" s="17"/>
      <c r="F32" s="13"/>
      <c r="G32" s="22"/>
      <c r="H32" s="23"/>
      <c r="I32" s="41"/>
      <c r="J32" s="42"/>
    </row>
    <row r="33" spans="1:10" ht="30" customHeight="1" x14ac:dyDescent="0.25">
      <c r="A33" s="10"/>
      <c r="B33" s="69" t="s">
        <v>43</v>
      </c>
      <c r="C33" s="70"/>
      <c r="D33" s="70"/>
      <c r="E33" s="18">
        <v>5</v>
      </c>
      <c r="F33" s="13" t="s">
        <v>26</v>
      </c>
      <c r="G33" s="22" t="str">
        <f t="shared" si="0"/>
        <v/>
      </c>
      <c r="H33" s="23" t="str">
        <f t="shared" si="1"/>
        <v/>
      </c>
      <c r="I33" s="41"/>
      <c r="J33" s="42"/>
    </row>
    <row r="34" spans="1:10" ht="30" customHeight="1" x14ac:dyDescent="0.25">
      <c r="A34" s="10"/>
      <c r="B34" s="69" t="s">
        <v>44</v>
      </c>
      <c r="C34" s="70"/>
      <c r="D34" s="70"/>
      <c r="E34" s="18">
        <v>5</v>
      </c>
      <c r="F34" s="13" t="s">
        <v>26</v>
      </c>
      <c r="G34" s="22" t="str">
        <f t="shared" si="0"/>
        <v/>
      </c>
      <c r="H34" s="23" t="str">
        <f t="shared" si="1"/>
        <v/>
      </c>
      <c r="I34" s="41"/>
      <c r="J34" s="42"/>
    </row>
    <row r="35" spans="1:10" ht="50.1" customHeight="1" x14ac:dyDescent="0.25">
      <c r="A35" s="10"/>
      <c r="B35" s="69" t="s">
        <v>45</v>
      </c>
      <c r="C35" s="70"/>
      <c r="D35" s="70"/>
      <c r="E35" s="18">
        <v>5</v>
      </c>
      <c r="F35" s="13" t="s">
        <v>26</v>
      </c>
      <c r="G35" s="22" t="str">
        <f t="shared" si="0"/>
        <v/>
      </c>
      <c r="H35" s="23" t="str">
        <f t="shared" si="1"/>
        <v/>
      </c>
      <c r="I35" s="41"/>
      <c r="J35" s="42"/>
    </row>
    <row r="36" spans="1:10" ht="30" customHeight="1" x14ac:dyDescent="0.25">
      <c r="A36" s="10"/>
      <c r="B36" s="69" t="s">
        <v>46</v>
      </c>
      <c r="C36" s="70"/>
      <c r="D36" s="70"/>
      <c r="E36" s="18">
        <v>5</v>
      </c>
      <c r="F36" s="13" t="s">
        <v>26</v>
      </c>
      <c r="G36" s="22" t="str">
        <f t="shared" si="0"/>
        <v/>
      </c>
      <c r="H36" s="23" t="str">
        <f t="shared" si="1"/>
        <v/>
      </c>
      <c r="I36" s="41"/>
      <c r="J36" s="42"/>
    </row>
    <row r="37" spans="1:10" ht="30" customHeight="1" x14ac:dyDescent="0.25">
      <c r="A37" s="10"/>
      <c r="B37" s="69" t="s">
        <v>47</v>
      </c>
      <c r="C37" s="70"/>
      <c r="D37" s="70"/>
      <c r="E37" s="18">
        <v>5</v>
      </c>
      <c r="F37" s="13" t="s">
        <v>26</v>
      </c>
      <c r="G37" s="22" t="str">
        <f t="shared" si="0"/>
        <v/>
      </c>
      <c r="H37" s="23" t="str">
        <f t="shared" si="1"/>
        <v/>
      </c>
      <c r="I37" s="41"/>
      <c r="J37" s="42"/>
    </row>
    <row r="38" spans="1:10" ht="30" customHeight="1" x14ac:dyDescent="0.25">
      <c r="A38" s="10"/>
      <c r="B38" s="69" t="s">
        <v>48</v>
      </c>
      <c r="C38" s="70"/>
      <c r="D38" s="70"/>
      <c r="E38" s="18">
        <v>5</v>
      </c>
      <c r="F38" s="13" t="s">
        <v>26</v>
      </c>
      <c r="G38" s="22" t="str">
        <f t="shared" si="0"/>
        <v/>
      </c>
      <c r="H38" s="23" t="str">
        <f t="shared" si="1"/>
        <v/>
      </c>
      <c r="I38" s="41"/>
      <c r="J38" s="42"/>
    </row>
    <row r="39" spans="1:10" ht="30" customHeight="1" x14ac:dyDescent="0.25">
      <c r="A39" s="10"/>
      <c r="B39" s="69" t="s">
        <v>49</v>
      </c>
      <c r="C39" s="70"/>
      <c r="D39" s="70"/>
      <c r="E39" s="18">
        <v>5</v>
      </c>
      <c r="F39" s="13" t="s">
        <v>26</v>
      </c>
      <c r="G39" s="22" t="str">
        <f t="shared" si="0"/>
        <v/>
      </c>
      <c r="H39" s="23" t="str">
        <f t="shared" si="1"/>
        <v/>
      </c>
      <c r="I39" s="41"/>
      <c r="J39" s="42"/>
    </row>
    <row r="40" spans="1:10" ht="30" customHeight="1" x14ac:dyDescent="0.25">
      <c r="A40" s="10"/>
      <c r="B40" s="69" t="s">
        <v>50</v>
      </c>
      <c r="C40" s="70"/>
      <c r="D40" s="70"/>
      <c r="E40" s="18">
        <v>5</v>
      </c>
      <c r="F40" s="13" t="s">
        <v>26</v>
      </c>
      <c r="G40" s="22" t="str">
        <f t="shared" si="0"/>
        <v/>
      </c>
      <c r="H40" s="23" t="str">
        <f t="shared" si="1"/>
        <v/>
      </c>
      <c r="I40" s="41"/>
      <c r="J40" s="42"/>
    </row>
    <row r="41" spans="1:10" ht="30" customHeight="1" x14ac:dyDescent="0.25">
      <c r="A41" s="10"/>
      <c r="B41" s="69" t="s">
        <v>51</v>
      </c>
      <c r="C41" s="70"/>
      <c r="D41" s="70"/>
      <c r="E41" s="18">
        <v>5</v>
      </c>
      <c r="F41" s="13" t="s">
        <v>26</v>
      </c>
      <c r="G41" s="22" t="str">
        <f t="shared" si="0"/>
        <v/>
      </c>
      <c r="H41" s="23" t="str">
        <f t="shared" si="1"/>
        <v/>
      </c>
      <c r="I41" s="41"/>
      <c r="J41" s="42"/>
    </row>
    <row r="42" spans="1:10" ht="30" customHeight="1" x14ac:dyDescent="0.25">
      <c r="A42" s="10"/>
      <c r="B42" s="69" t="s">
        <v>52</v>
      </c>
      <c r="C42" s="70"/>
      <c r="D42" s="70"/>
      <c r="E42" s="18">
        <v>5</v>
      </c>
      <c r="F42" s="13" t="s">
        <v>26</v>
      </c>
      <c r="G42" s="22" t="str">
        <f t="shared" si="0"/>
        <v/>
      </c>
      <c r="H42" s="23" t="str">
        <f t="shared" si="1"/>
        <v/>
      </c>
      <c r="I42" s="41"/>
      <c r="J42" s="42"/>
    </row>
    <row r="43" spans="1:10" ht="30" customHeight="1" x14ac:dyDescent="0.25">
      <c r="A43" s="10"/>
      <c r="B43" s="69" t="s">
        <v>53</v>
      </c>
      <c r="C43" s="70"/>
      <c r="D43" s="70"/>
      <c r="E43" s="18">
        <v>5</v>
      </c>
      <c r="F43" s="13" t="s">
        <v>26</v>
      </c>
      <c r="G43" s="22" t="str">
        <f t="shared" si="0"/>
        <v/>
      </c>
      <c r="H43" s="23" t="str">
        <f t="shared" si="1"/>
        <v/>
      </c>
      <c r="I43" s="41"/>
      <c r="J43" s="42"/>
    </row>
    <row r="44" spans="1:10" ht="30" customHeight="1" thickBot="1" x14ac:dyDescent="0.3">
      <c r="A44" s="10"/>
      <c r="B44" s="79" t="s">
        <v>54</v>
      </c>
      <c r="C44" s="80"/>
      <c r="D44" s="80"/>
      <c r="E44" s="19">
        <v>5</v>
      </c>
      <c r="F44" s="15" t="s">
        <v>26</v>
      </c>
      <c r="G44" s="24" t="str">
        <f t="shared" si="0"/>
        <v/>
      </c>
      <c r="H44" s="25" t="str">
        <f t="shared" si="1"/>
        <v/>
      </c>
      <c r="I44" s="44"/>
      <c r="J44" s="45"/>
    </row>
    <row r="45" spans="1:10" ht="30" customHeight="1" x14ac:dyDescent="0.25">
      <c r="A45" s="10"/>
      <c r="B45" s="73" t="s">
        <v>64</v>
      </c>
      <c r="C45" s="74"/>
      <c r="D45" s="74"/>
      <c r="E45" s="74"/>
      <c r="F45" s="74"/>
      <c r="G45" s="74"/>
      <c r="H45" s="74"/>
      <c r="I45" s="74"/>
      <c r="J45" s="75"/>
    </row>
    <row r="46" spans="1:10" ht="30" customHeight="1" x14ac:dyDescent="0.25">
      <c r="A46" s="10"/>
      <c r="B46" s="65" t="s">
        <v>55</v>
      </c>
      <c r="C46" s="66"/>
      <c r="D46" s="66"/>
      <c r="E46" s="8">
        <v>5</v>
      </c>
      <c r="F46" s="13" t="s">
        <v>26</v>
      </c>
      <c r="G46" s="22" t="str">
        <f t="shared" si="0"/>
        <v/>
      </c>
      <c r="H46" s="23" t="str">
        <f t="shared" si="1"/>
        <v/>
      </c>
      <c r="I46" s="41"/>
      <c r="J46" s="42"/>
    </row>
    <row r="47" spans="1:10" ht="30" customHeight="1" x14ac:dyDescent="0.25">
      <c r="A47" s="10"/>
      <c r="B47" s="65" t="s">
        <v>56</v>
      </c>
      <c r="C47" s="66"/>
      <c r="D47" s="66"/>
      <c r="E47" s="8">
        <v>5</v>
      </c>
      <c r="F47" s="13" t="s">
        <v>26</v>
      </c>
      <c r="G47" s="22" t="str">
        <f t="shared" si="0"/>
        <v/>
      </c>
      <c r="H47" s="23" t="str">
        <f t="shared" si="1"/>
        <v/>
      </c>
      <c r="I47" s="41"/>
      <c r="J47" s="42"/>
    </row>
    <row r="48" spans="1:10" ht="30" customHeight="1" x14ac:dyDescent="0.25">
      <c r="A48" s="10"/>
      <c r="B48" s="65" t="s">
        <v>57</v>
      </c>
      <c r="C48" s="66"/>
      <c r="D48" s="66"/>
      <c r="E48" s="8">
        <v>5</v>
      </c>
      <c r="F48" s="13" t="s">
        <v>26</v>
      </c>
      <c r="G48" s="22" t="str">
        <f t="shared" si="0"/>
        <v/>
      </c>
      <c r="H48" s="23" t="str">
        <f t="shared" si="1"/>
        <v/>
      </c>
      <c r="I48" s="41"/>
      <c r="J48" s="42"/>
    </row>
    <row r="49" spans="1:10" ht="30" customHeight="1" x14ac:dyDescent="0.25">
      <c r="A49" s="10"/>
      <c r="B49" s="65" t="s">
        <v>58</v>
      </c>
      <c r="C49" s="66"/>
      <c r="D49" s="66"/>
      <c r="E49" s="8">
        <v>5</v>
      </c>
      <c r="F49" s="13" t="s">
        <v>26</v>
      </c>
      <c r="G49" s="22" t="str">
        <f t="shared" si="0"/>
        <v/>
      </c>
      <c r="H49" s="23" t="str">
        <f t="shared" si="1"/>
        <v/>
      </c>
      <c r="I49" s="41"/>
      <c r="J49" s="42"/>
    </row>
    <row r="50" spans="1:10" ht="30" customHeight="1" x14ac:dyDescent="0.25">
      <c r="A50" s="10"/>
      <c r="B50" s="65" t="s">
        <v>59</v>
      </c>
      <c r="C50" s="66"/>
      <c r="D50" s="66"/>
      <c r="E50" s="8">
        <v>5</v>
      </c>
      <c r="F50" s="13" t="s">
        <v>26</v>
      </c>
      <c r="G50" s="22" t="str">
        <f t="shared" si="0"/>
        <v/>
      </c>
      <c r="H50" s="23" t="str">
        <f t="shared" si="1"/>
        <v/>
      </c>
      <c r="I50" s="41"/>
      <c r="J50" s="42"/>
    </row>
    <row r="51" spans="1:10" ht="30" customHeight="1" thickBot="1" x14ac:dyDescent="0.3">
      <c r="A51" s="10"/>
      <c r="B51" s="67" t="s">
        <v>60</v>
      </c>
      <c r="C51" s="68"/>
      <c r="D51" s="68"/>
      <c r="E51" s="16">
        <v>5</v>
      </c>
      <c r="F51" s="15" t="s">
        <v>26</v>
      </c>
      <c r="G51" s="24" t="str">
        <f t="shared" si="0"/>
        <v/>
      </c>
      <c r="H51" s="25" t="str">
        <f t="shared" si="1"/>
        <v/>
      </c>
      <c r="I51" s="44"/>
      <c r="J51" s="45"/>
    </row>
    <row r="52" spans="1:10" ht="30" customHeight="1" thickBot="1" x14ac:dyDescent="0.3">
      <c r="A52" s="10"/>
      <c r="B52" s="71" t="s">
        <v>65</v>
      </c>
      <c r="C52" s="72"/>
      <c r="D52" s="72"/>
      <c r="E52" s="9">
        <v>5</v>
      </c>
      <c r="F52" s="26" t="s">
        <v>26</v>
      </c>
      <c r="G52" s="27" t="str">
        <f t="shared" si="0"/>
        <v/>
      </c>
      <c r="H52" s="14" t="str">
        <f t="shared" si="1"/>
        <v/>
      </c>
      <c r="I52" s="63"/>
      <c r="J52" s="64"/>
    </row>
    <row r="53" spans="1:10" ht="30" customHeight="1" thickBot="1" x14ac:dyDescent="0.3">
      <c r="A53" s="3"/>
      <c r="B53" s="59" t="s">
        <v>5</v>
      </c>
      <c r="C53" s="60"/>
      <c r="D53" s="60"/>
      <c r="E53" s="21">
        <f>SUM(E8:E52)</f>
        <v>230</v>
      </c>
      <c r="F53" s="21">
        <f>SUM(F8:F52)</f>
        <v>0</v>
      </c>
      <c r="G53" s="28"/>
      <c r="H53" s="29"/>
      <c r="I53" s="29"/>
      <c r="J53" s="30"/>
    </row>
    <row r="54" spans="1:10" ht="30" customHeight="1" thickBot="1" x14ac:dyDescent="0.3">
      <c r="A54" s="3"/>
      <c r="B54" s="61" t="s">
        <v>20</v>
      </c>
      <c r="C54" s="62"/>
      <c r="D54" s="62"/>
      <c r="E54" s="37">
        <f>F53/E53/100*100</f>
        <v>0</v>
      </c>
      <c r="F54" s="37"/>
      <c r="G54" s="37"/>
      <c r="H54" s="37"/>
      <c r="I54" s="37"/>
      <c r="J54" s="38"/>
    </row>
    <row r="55" spans="1:10" ht="30" customHeight="1" thickBot="1" x14ac:dyDescent="0.3">
      <c r="A55" s="3"/>
      <c r="B55" s="61" t="s">
        <v>21</v>
      </c>
      <c r="C55" s="62"/>
      <c r="D55" s="62"/>
      <c r="E55" s="55" t="str">
        <f>_xlfn.IFS(E54&gt;=90%,"ممتاز",E54&gt;=80%,"جيد جداً",E54&gt;=70%,"جيد",E54&gt;=60%,"مقبول",E54&lt;60%,"راسب")</f>
        <v>راسب</v>
      </c>
      <c r="F55" s="55"/>
      <c r="G55" s="55"/>
      <c r="H55" s="55"/>
      <c r="I55" s="55"/>
      <c r="J55" s="56"/>
    </row>
    <row r="56" spans="1:10" ht="42" customHeight="1" x14ac:dyDescent="0.25">
      <c r="B56" s="51" t="s">
        <v>27</v>
      </c>
      <c r="C56" s="51"/>
      <c r="D56" s="51"/>
      <c r="E56" s="57" t="s">
        <v>18</v>
      </c>
      <c r="F56" s="57"/>
      <c r="G56" s="53" t="s">
        <v>24</v>
      </c>
      <c r="H56" s="53"/>
      <c r="I56" s="53"/>
      <c r="J56" s="53"/>
    </row>
    <row r="57" spans="1:10" ht="51" customHeight="1" x14ac:dyDescent="0.25">
      <c r="A57" s="4"/>
      <c r="B57" s="52"/>
      <c r="C57" s="52"/>
      <c r="D57" s="52"/>
      <c r="E57" s="58" t="s">
        <v>19</v>
      </c>
      <c r="F57" s="58"/>
      <c r="G57" s="54"/>
      <c r="H57" s="54"/>
      <c r="I57" s="54"/>
      <c r="J57" s="54"/>
    </row>
  </sheetData>
  <sheetProtection formatCells="0" formatColumns="0" formatRows="0" insertColumns="0" insertRows="0" insertHyperlinks="0" deleteColumns="0" deleteRows="0" selectLockedCells="1" sort="0" autoFilter="0" pivotTables="0"/>
  <mergeCells count="107">
    <mergeCell ref="B8:J8"/>
    <mergeCell ref="B16:J16"/>
    <mergeCell ref="B21:J21"/>
    <mergeCell ref="B32:D32"/>
    <mergeCell ref="B45:J45"/>
    <mergeCell ref="B41:D41"/>
    <mergeCell ref="B42:D42"/>
    <mergeCell ref="B43:D43"/>
    <mergeCell ref="B44:D44"/>
    <mergeCell ref="B31:D31"/>
    <mergeCell ref="B33:D33"/>
    <mergeCell ref="B34:D34"/>
    <mergeCell ref="B35:D35"/>
    <mergeCell ref="I11:J11"/>
    <mergeCell ref="I12:J12"/>
    <mergeCell ref="I9:J9"/>
    <mergeCell ref="I10:J10"/>
    <mergeCell ref="I15:J15"/>
    <mergeCell ref="B9:D9"/>
    <mergeCell ref="B10:D10"/>
    <mergeCell ref="B11:D11"/>
    <mergeCell ref="B12:D12"/>
    <mergeCell ref="B13:D13"/>
    <mergeCell ref="B14:D14"/>
    <mergeCell ref="B15:D15"/>
    <mergeCell ref="B17:D17"/>
    <mergeCell ref="B18:D18"/>
    <mergeCell ref="B19:D19"/>
    <mergeCell ref="B20:D20"/>
    <mergeCell ref="B38:D38"/>
    <mergeCell ref="B39:D39"/>
    <mergeCell ref="B40:D40"/>
    <mergeCell ref="B36:D36"/>
    <mergeCell ref="B37:D37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55:D55"/>
    <mergeCell ref="I42:J42"/>
    <mergeCell ref="I43:J43"/>
    <mergeCell ref="I44:J44"/>
    <mergeCell ref="I48:J48"/>
    <mergeCell ref="I49:J49"/>
    <mergeCell ref="I50:J50"/>
    <mergeCell ref="I51:J51"/>
    <mergeCell ref="I52:J52"/>
    <mergeCell ref="B51:D51"/>
    <mergeCell ref="B52:D52"/>
    <mergeCell ref="B46:D46"/>
    <mergeCell ref="B47:D47"/>
    <mergeCell ref="B48:D48"/>
    <mergeCell ref="B49:D49"/>
    <mergeCell ref="B50:D50"/>
    <mergeCell ref="B56:D57"/>
    <mergeCell ref="G56:J56"/>
    <mergeCell ref="G57:J57"/>
    <mergeCell ref="E55:J55"/>
    <mergeCell ref="I23:J23"/>
    <mergeCell ref="I24:J24"/>
    <mergeCell ref="I25:J25"/>
    <mergeCell ref="I26:J26"/>
    <mergeCell ref="I27:J27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29:J29"/>
    <mergeCell ref="I30:J30"/>
    <mergeCell ref="E56:F56"/>
    <mergeCell ref="E57:F57"/>
    <mergeCell ref="I31:J31"/>
    <mergeCell ref="G53:J53"/>
    <mergeCell ref="B1:J1"/>
    <mergeCell ref="F2:J2"/>
    <mergeCell ref="B5:D6"/>
    <mergeCell ref="C2:D2"/>
    <mergeCell ref="C3:D3"/>
    <mergeCell ref="F3:J3"/>
    <mergeCell ref="E54:J54"/>
    <mergeCell ref="B7:D7"/>
    <mergeCell ref="I22:J22"/>
    <mergeCell ref="I13:J13"/>
    <mergeCell ref="I14:J14"/>
    <mergeCell ref="E5:H5"/>
    <mergeCell ref="I20:J20"/>
    <mergeCell ref="I5:J6"/>
    <mergeCell ref="I7:J7"/>
    <mergeCell ref="I28:J28"/>
    <mergeCell ref="I46:J46"/>
    <mergeCell ref="I47:J47"/>
    <mergeCell ref="I17:J17"/>
    <mergeCell ref="I18:J18"/>
    <mergeCell ref="I19:J19"/>
    <mergeCell ref="B53:D53"/>
    <mergeCell ref="B54:D54"/>
  </mergeCells>
  <conditionalFormatting sqref="E55">
    <cfRule type="expression" dxfId="16" priority="57">
      <formula>$E55="راسب"</formula>
    </cfRule>
  </conditionalFormatting>
  <conditionalFormatting sqref="E55:J55">
    <cfRule type="expression" dxfId="15" priority="58">
      <formula>$E55="مقبول"</formula>
    </cfRule>
    <cfRule type="expression" dxfId="14" priority="59">
      <formula>$E55="جيد"</formula>
    </cfRule>
    <cfRule type="expression" dxfId="13" priority="60">
      <formula>$E55="جيد جداً"</formula>
    </cfRule>
    <cfRule type="expression" dxfId="12" priority="61">
      <formula>$E55="ممتاز"</formula>
    </cfRule>
  </conditionalFormatting>
  <conditionalFormatting sqref="H17:H20 H22:H44 H46:H52 H9:H15">
    <cfRule type="containsText" dxfId="11" priority="39" operator="containsText" text="ممتاز">
      <formula>NOT(ISERROR(SEARCH("ممتاز",H9)))</formula>
    </cfRule>
    <cfRule type="containsText" dxfId="10" priority="40" operator="containsText" text="جيد جداً">
      <formula>NOT(ISERROR(SEARCH("جيد جداً",H9)))</formula>
    </cfRule>
    <cfRule type="containsText" dxfId="9" priority="41" operator="containsText" text="جيد">
      <formula>NOT(ISERROR(SEARCH("جيد",H9)))</formula>
    </cfRule>
    <cfRule type="containsText" dxfId="8" priority="42" operator="containsText" text="مقبول">
      <formula>NOT(ISERROR(SEARCH("مقبول",H9)))</formula>
    </cfRule>
    <cfRule type="containsText" dxfId="7" priority="43" operator="containsText" text="راسب">
      <formula>NOT(ISERROR(SEARCH("راسب",H9)))</formula>
    </cfRule>
  </conditionalFormatting>
  <conditionalFormatting sqref="H17:H20 H22:H44 H46:H52 H9:H15 F9:F15">
    <cfRule type="containsText" dxfId="6" priority="38" operator="containsText" text="أدخل العلامة">
      <formula>NOT(ISERROR(SEARCH("أدخل العلامة",F9)))</formula>
    </cfRule>
  </conditionalFormatting>
  <conditionalFormatting sqref="F2:J2">
    <cfRule type="containsText" dxfId="5" priority="19" operator="containsText" text="أدخل التاريخ">
      <formula>NOT(ISERROR(SEARCH("أدخل التاريخ",F2)))</formula>
    </cfRule>
  </conditionalFormatting>
  <conditionalFormatting sqref="C2:D2">
    <cfRule type="containsText" dxfId="4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3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2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1" priority="15" operator="containsText" text="أدخل اسم المحكم">
      <formula>NOT(ISERROR(SEARCH("أدخل اسم المحكم",G56)))</formula>
    </cfRule>
  </conditionalFormatting>
  <conditionalFormatting sqref="F17:F20 F22:F44 F46:F52">
    <cfRule type="containsText" dxfId="0" priority="14" operator="containsText" text="أدخل العلامة">
      <formula>NOT(ISERROR(SEARCH("أدخل العلامة",F17)))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F10:F14 F22:F44 F46:F52</xm:sqref>
        </x14:dataValidation>
        <x14:dataValidation type="list" allowBlank="1" showInputMessage="1" showErrorMessage="1">
          <x14:formula1>
            <xm:f>#REF!</xm:f>
          </x14:formula1>
          <xm:sqref>G56:J56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  <x14:dataValidation type="list" allowBlank="1" showInputMessage="1" showErrorMessage="1">
          <x14:formula1>
            <xm:f>#REF!</xm:f>
          </x14:formula1>
          <xm:sqref>F9 F15 F17 F18 F19 F20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2026-09-06T08:19:44Z</dcterms:modified>
</cp:coreProperties>
</file>