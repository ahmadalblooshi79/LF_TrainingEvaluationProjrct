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105" yWindow="-105" windowWidth="23250" windowHeight="1257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H9" i="2" s="1"/>
  <c r="G10" i="2" l="1"/>
  <c r="H10" i="2" s="1"/>
  <c r="G12" i="2"/>
  <c r="H12" i="2" s="1"/>
  <c r="G13" i="2"/>
  <c r="H13" i="2" s="1"/>
  <c r="G14" i="2"/>
  <c r="H14" i="2" s="1"/>
  <c r="G15" i="2"/>
  <c r="H15" i="2" s="1"/>
  <c r="G16" i="2"/>
  <c r="H16" i="2" s="1"/>
  <c r="G17" i="2"/>
  <c r="H17" i="2" s="1"/>
  <c r="G19" i="2"/>
  <c r="H19" i="2" s="1"/>
  <c r="G20" i="2"/>
  <c r="H20" i="2" s="1"/>
  <c r="G21" i="2"/>
  <c r="H21" i="2" s="1"/>
  <c r="G22" i="2"/>
  <c r="H22" i="2" s="1"/>
  <c r="G23" i="2"/>
  <c r="H23" i="2" s="1"/>
  <c r="G24" i="2"/>
  <c r="H24" i="2" s="1"/>
  <c r="G25" i="2"/>
  <c r="H25" i="2" s="1"/>
  <c r="G26" i="2"/>
  <c r="H26" i="2" s="1"/>
  <c r="G28" i="2"/>
  <c r="H28" i="2" s="1"/>
  <c r="G29" i="2"/>
  <c r="H29" i="2" s="1"/>
  <c r="G30" i="2"/>
  <c r="H30" i="2" s="1"/>
  <c r="G31" i="2"/>
  <c r="H31" i="2" s="1"/>
  <c r="G32" i="2"/>
  <c r="H32" i="2" s="1"/>
  <c r="G8" i="2" l="1"/>
  <c r="H8" i="2" s="1"/>
  <c r="F33" i="2" l="1"/>
  <c r="E33" i="2" l="1"/>
  <c r="E34" i="2" l="1"/>
  <c r="E35" i="2" s="1"/>
</calcChain>
</file>

<file path=xl/sharedStrings.xml><?xml version="1.0" encoding="utf-8"?>
<sst xmlns="http://schemas.openxmlformats.org/spreadsheetml/2006/main" count="76" uniqueCount="54">
  <si>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</si>
  <si>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</si>
  <si>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</si>
  <si>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</si>
  <si>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</si>
  <si>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</si>
  <si>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</si>
  <si>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</si>
  <si>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</si>
  <si>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</si>
  <si>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</si>
  <si>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</si>
  <si>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</si>
  <si>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</si>
  <si>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</si>
  <si>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</si>
  <si>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</si>
  <si>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</si>
  <si>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</si>
  <si>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</si>
  <si>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</si>
  <si>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</si>
  <si>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</si>
  <si>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</si>
  <si>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</si>
  <si>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</si>
  <si>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</si>
  <si>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</si>
  <si>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</si>
  <si>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</si>
  <si>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</si>
  <si>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</si>
  <si>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</si>
  <si>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</si>
  <si>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</si>
  <si>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</si>
  <si>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</si>
  <si>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</si>
  <si>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</si>
  <si>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</si>
  <si>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</si>
  <si>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</si>
  <si>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</si>
  <si>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</si>
  <si>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</si>
  <si>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</si>
  <si>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</si>
  <si>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</si>
  <si>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</si>
  <si>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</si>
  <si>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</si>
  <si>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</si>
  <si>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</si>
  <si>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t>تقييم السرية/فريق القتال في تمرير تقارير المعلومات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</si>
</sst>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13"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4"/>
      <color rgb="FF000000"/>
      <name val="Arial"/>
      <family val="2"/>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1">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2" fillId="0" borderId="8"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3" fillId="0" borderId="11" xfId="0" applyFont="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2" fillId="0" borderId="18" xfId="0" applyFont="1" applyBorder="1" applyAlignment="1">
      <alignment horizontal="center" vertical="center" wrapText="1" readingOrder="2"/>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0" fontId="3" fillId="0" borderId="3" xfId="0" applyFont="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11" xfId="0" applyFont="1" applyBorder="1" applyAlignment="1">
      <alignment horizontal="center" vertical="center" wrapText="1" readingOrder="2"/>
    </xf>
    <xf numFmtId="9" fontId="3" fillId="0" borderId="11"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1"/>
    </xf>
    <xf numFmtId="0" fontId="8" fillId="0" borderId="3" xfId="0" applyFont="1" applyBorder="1" applyAlignment="1">
      <alignment vertical="center" wrapText="1"/>
    </xf>
    <xf numFmtId="0" fontId="3" fillId="0" borderId="8" xfId="0" applyFont="1" applyBorder="1" applyAlignment="1" applyProtection="1">
      <alignment horizontal="center" vertical="center" wrapText="1" readingOrder="2"/>
      <protection locked="0"/>
    </xf>
    <xf numFmtId="9" fontId="3" fillId="0" borderId="8" xfId="0" applyNumberFormat="1" applyFont="1" applyBorder="1" applyAlignment="1">
      <alignment horizontal="center" vertical="center" wrapText="1" readingOrder="2"/>
    </xf>
    <xf numFmtId="0" fontId="5" fillId="0" borderId="1" xfId="0" applyFont="1" applyBorder="1" applyAlignment="1" applyProtection="1">
      <alignment horizontal="left" vertical="center" wrapText="1" readingOrder="2"/>
      <protection locked="0"/>
    </xf>
    <xf numFmtId="0" fontId="5" fillId="0" borderId="0" xfId="0" applyFont="1" applyAlignment="1" applyProtection="1">
      <alignment horizontal="left" vertical="center" wrapText="1" readingOrder="2"/>
      <protection locked="0"/>
    </xf>
    <xf numFmtId="0" fontId="2" fillId="0" borderId="19" xfId="0" applyFont="1" applyBorder="1" applyAlignment="1">
      <alignment horizontal="center" vertical="center" wrapText="1" readingOrder="2"/>
    </xf>
    <xf numFmtId="0" fontId="2" fillId="0" borderId="13" xfId="0" applyFont="1" applyBorder="1" applyAlignment="1">
      <alignment horizontal="center" vertical="center" wrapText="1" readingOrder="2"/>
    </xf>
    <xf numFmtId="0" fontId="2" fillId="0" borderId="20" xfId="0" applyFont="1" applyBorder="1" applyAlignment="1">
      <alignment horizontal="center" vertical="center" wrapText="1" readingOrder="2"/>
    </xf>
    <xf numFmtId="0" fontId="3" fillId="0" borderId="8"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5" fillId="3" borderId="16" xfId="0" applyFont="1" applyFill="1" applyBorder="1" applyAlignment="1" applyProtection="1">
      <alignment horizontal="center"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4" fillId="0" borderId="1" xfId="0" applyFont="1" applyBorder="1" applyAlignment="1" applyProtection="1">
      <alignment vertical="top" wrapText="1" readingOrder="2"/>
      <protection locked="0"/>
    </xf>
    <xf numFmtId="0" fontId="4" fillId="0" borderId="0" xfId="0" applyFont="1" applyBorder="1" applyAlignment="1" applyProtection="1">
      <alignment vertical="top" wrapText="1" readingOrder="2"/>
      <protection locked="0"/>
    </xf>
    <xf numFmtId="0" fontId="5" fillId="0" borderId="0" xfId="0" applyFont="1" applyBorder="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6" fillId="3" borderId="11"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6" fillId="3" borderId="14" xfId="0" applyFont="1" applyFill="1" applyBorder="1" applyAlignment="1" applyProtection="1">
      <alignment horizontal="center" vertical="center" wrapText="1" readingOrder="2"/>
      <protection locked="0"/>
    </xf>
    <xf numFmtId="0" fontId="6" fillId="3" borderId="15" xfId="0" applyFont="1" applyFill="1" applyBorder="1" applyAlignment="1" applyProtection="1">
      <alignment horizontal="center"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5" fillId="3" borderId="17" xfId="0" applyFont="1" applyFill="1" applyBorder="1" applyAlignment="1" applyProtection="1">
      <alignment horizontal="center" vertical="center" wrapText="1" readingOrder="2"/>
      <protection locked="0"/>
    </xf>
    <xf numFmtId="0" fontId="5" fillId="3" borderId="18" xfId="0" applyFont="1" applyFill="1" applyBorder="1" applyAlignment="1" applyProtection="1">
      <alignment horizontal="center" vertical="center" wrapText="1" readingOrder="2"/>
      <protection locked="0"/>
    </xf>
    <xf numFmtId="0" fontId="5" fillId="3" borderId="7" xfId="0" applyFont="1" applyFill="1" applyBorder="1" applyAlignment="1" applyProtection="1">
      <alignment horizontal="center" vertical="center" wrapText="1" readingOrder="2"/>
      <protection locked="0"/>
    </xf>
    <xf numFmtId="0" fontId="5" fillId="3" borderId="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5"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9" fillId="0" borderId="21" xfId="0" applyFont="1" applyBorder="1" applyAlignment="1">
      <alignment horizontal="right" vertical="center" wrapText="1" indent="2" readingOrder="2"/>
    </xf>
    <xf numFmtId="0" fontId="9" fillId="0" borderId="2" xfId="0" applyFont="1" applyBorder="1" applyAlignment="1">
      <alignment horizontal="right" vertical="center" wrapText="1" indent="2" readingOrder="2"/>
    </xf>
    <xf numFmtId="0" fontId="10" fillId="0" borderId="7" xfId="0" applyFont="1" applyBorder="1" applyAlignment="1">
      <alignment horizontal="right" vertical="center" wrapText="1" readingOrder="2"/>
    </xf>
    <xf numFmtId="0" fontId="10" fillId="0" borderId="8" xfId="0" applyFont="1" applyBorder="1" applyAlignment="1">
      <alignment horizontal="right" vertical="center" wrapText="1" readingOrder="2"/>
    </xf>
    <xf numFmtId="0" fontId="9" fillId="0" borderId="7" xfId="0" applyFont="1" applyBorder="1" applyAlignment="1">
      <alignment horizontal="right" vertical="center" wrapText="1" readingOrder="2"/>
    </xf>
    <xf numFmtId="0" fontId="9" fillId="0" borderId="8" xfId="0" applyFont="1" applyBorder="1" applyAlignment="1">
      <alignment horizontal="right" vertical="center" wrapText="1" readingOrder="2"/>
    </xf>
    <xf numFmtId="0" fontId="9" fillId="0" borderId="4" xfId="0" applyFont="1" applyBorder="1" applyAlignment="1">
      <alignment horizontal="right" vertical="center" wrapText="1" readingOrder="2"/>
    </xf>
    <xf numFmtId="0" fontId="9" fillId="0" borderId="3" xfId="0" applyFont="1" applyBorder="1" applyAlignment="1">
      <alignment horizontal="right" vertical="center" wrapText="1" readingOrder="2"/>
    </xf>
    <xf numFmtId="0" fontId="9" fillId="0" borderId="10" xfId="0" applyFont="1" applyBorder="1" applyAlignment="1">
      <alignment horizontal="right" vertical="center" wrapText="1" indent="2" readingOrder="2"/>
    </xf>
    <xf numFmtId="0" fontId="9" fillId="0" borderId="11" xfId="0" applyFont="1" applyBorder="1" applyAlignment="1">
      <alignment horizontal="right" vertical="center" wrapText="1" indent="2" readingOrder="2"/>
    </xf>
    <xf numFmtId="0" fontId="10" fillId="0" borderId="4" xfId="0" applyFont="1" applyBorder="1" applyAlignment="1">
      <alignment horizontal="right" vertical="center" wrapText="1" readingOrder="2"/>
    </xf>
    <xf numFmtId="0" fontId="10" fillId="0" borderId="3" xfId="0" applyFont="1" applyBorder="1" applyAlignment="1">
      <alignment horizontal="right" vertical="center" wrapText="1" readingOrder="2"/>
    </xf>
    <xf numFmtId="49" fontId="4" fillId="0" borderId="0" xfId="0" applyNumberFormat="1" applyFont="1" applyAlignment="1" applyProtection="1">
      <alignment horizontal="center" vertical="center" wrapText="1" readingOrder="2"/>
      <protection locked="0"/>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37"/>
  <sheetViews>
    <sheetView rightToLeft="1" tabSelected="1" view="pageBreakPreview"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2" customWidth="1"/>
    <col min="9" max="9" width="9.28515625" style="1" customWidth="1"/>
    <col min="10" max="10" width="15.42578125" style="1" customWidth="1"/>
    <col min="11" max="16384" width="9" style="1"/>
  </cols>
  <sheetData>
    <row r="1" spans="1:10" ht="45" customHeight="1" x14ac:dyDescent="0.25">
      <c r="B1" s="80" t="s">
        <v>53</v>
      </c>
      <c r="C1" s="80"/>
      <c r="D1" s="80"/>
      <c r="E1" s="80"/>
      <c r="F1" s="80"/>
      <c r="G1" s="80"/>
      <c r="H1" s="80"/>
      <c r="I1" s="80"/>
      <c r="J1" s="80"/>
    </row>
    <row r="2" spans="1:10" ht="30" customHeight="1" x14ac:dyDescent="0.25">
      <c r="B2" s="12" t="s">
        <v>8</v>
      </c>
      <c r="C2" s="51" t="s">
        <v>23</v>
      </c>
      <c r="D2" s="51"/>
      <c r="E2" s="12" t="s">
        <v>7</v>
      </c>
      <c r="F2" s="46" t="s">
        <v>22</v>
      </c>
      <c r="G2" s="46"/>
      <c r="H2" s="46"/>
      <c r="I2" s="46"/>
      <c r="J2" s="46"/>
    </row>
    <row r="3" spans="1:10" ht="30" customHeight="1" x14ac:dyDescent="0.25">
      <c r="B3" s="12" t="s">
        <v>9</v>
      </c>
      <c r="C3" s="51" t="s">
        <v>25</v>
      </c>
      <c r="D3" s="51"/>
      <c r="E3" s="12" t="s">
        <v>6</v>
      </c>
      <c r="F3" s="51" t="s">
        <v>24</v>
      </c>
      <c r="G3" s="51"/>
      <c r="H3" s="51"/>
      <c r="I3" s="51"/>
      <c r="J3" s="51"/>
    </row>
    <row r="4" spans="1:10" ht="30" customHeight="1" thickBot="1" x14ac:dyDescent="0.3">
      <c r="B4" s="5"/>
      <c r="C4" s="6"/>
      <c r="D4" s="6"/>
      <c r="E4" s="5"/>
      <c r="F4" s="6"/>
      <c r="G4" s="6"/>
      <c r="H4" s="7"/>
      <c r="I4" s="6"/>
      <c r="J4" s="6"/>
    </row>
    <row r="5" spans="1:10" ht="24.95" customHeight="1" x14ac:dyDescent="0.25">
      <c r="A5" s="10"/>
      <c r="B5" s="47" t="s">
        <v>0</v>
      </c>
      <c r="C5" s="48"/>
      <c r="D5" s="48"/>
      <c r="E5" s="56" t="s">
        <v>1</v>
      </c>
      <c r="F5" s="56"/>
      <c r="G5" s="56"/>
      <c r="H5" s="56"/>
      <c r="I5" s="56" t="s">
        <v>2</v>
      </c>
      <c r="J5" s="57"/>
    </row>
    <row r="6" spans="1:10" ht="24.95" customHeight="1" thickBot="1" x14ac:dyDescent="0.3">
      <c r="A6" s="10"/>
      <c r="B6" s="49"/>
      <c r="C6" s="50"/>
      <c r="D6" s="50"/>
      <c r="E6" s="11" t="s">
        <v>3</v>
      </c>
      <c r="F6" s="11" t="s">
        <v>4</v>
      </c>
      <c r="G6" s="11" t="s">
        <v>15</v>
      </c>
      <c r="H6" s="11" t="s">
        <v>16</v>
      </c>
      <c r="I6" s="58"/>
      <c r="J6" s="59"/>
    </row>
    <row r="7" spans="1:10" ht="24.95" customHeight="1" thickBot="1" x14ac:dyDescent="0.3">
      <c r="A7" s="10"/>
      <c r="B7" s="54" t="s">
        <v>13</v>
      </c>
      <c r="C7" s="55"/>
      <c r="D7" s="55"/>
      <c r="E7" s="16" t="s">
        <v>10</v>
      </c>
      <c r="F7" s="16" t="s">
        <v>11</v>
      </c>
      <c r="G7" s="16" t="s">
        <v>14</v>
      </c>
      <c r="H7" s="16" t="s">
        <v>12</v>
      </c>
      <c r="I7" s="36" t="s">
        <v>17</v>
      </c>
      <c r="J7" s="37"/>
    </row>
    <row r="8" spans="1:10" ht="39.950000000000003" customHeight="1" thickBot="1" x14ac:dyDescent="0.3">
      <c r="A8" s="10"/>
      <c r="B8" s="70" t="s">
        <v>47</v>
      </c>
      <c r="C8" s="71"/>
      <c r="D8" s="71"/>
      <c r="E8" s="9">
        <v>5</v>
      </c>
      <c r="F8" s="27" t="s">
        <v>26</v>
      </c>
      <c r="G8" s="28" t="str">
        <f>IFERROR(F8/E8,"")</f>
        <v/>
      </c>
      <c r="H8" s="14" t="str">
        <f>_xlfn.IFS(F8="أدخل العلامة","",F8="لا ينطبق","تم الإلغاء",G8&gt;=90%,"ممتاز",G8&gt;=80%,"جيد جداً",G8&gt;=70%,"جيد",G8&gt;=60%,"مقبول",G8&lt;60%,"راسب")</f>
        <v/>
      </c>
      <c r="I8" s="34"/>
      <c r="J8" s="35"/>
    </row>
    <row r="9" spans="1:10" ht="39.950000000000003" customHeight="1" thickBot="1" x14ac:dyDescent="0.3">
      <c r="A9" s="10"/>
      <c r="B9" s="72" t="s">
        <v>48</v>
      </c>
      <c r="C9" s="73"/>
      <c r="D9" s="73"/>
      <c r="E9" s="9">
        <v>5</v>
      </c>
      <c r="F9" s="27" t="s">
        <v>26</v>
      </c>
      <c r="G9" s="28" t="str">
        <f>IFERROR(F9/E9,"")</f>
        <v/>
      </c>
      <c r="H9" s="14" t="str">
        <f>_xlfn.IFS(F9="أدخل العلامة","",F9="لا ينطبق","تم الإلغاء",G9&gt;=90%,"ممتاز",G9&gt;=80%,"جيد جداً",G9&gt;=70%,"جيد",G9&gt;=60%,"مقبول",G9&lt;60%,"راسب")</f>
        <v/>
      </c>
      <c r="I9" s="34"/>
      <c r="J9" s="35"/>
    </row>
    <row r="10" spans="1:10" ht="39.950000000000003" customHeight="1" thickBot="1" x14ac:dyDescent="0.3">
      <c r="A10" s="10"/>
      <c r="B10" s="72" t="s">
        <v>49</v>
      </c>
      <c r="C10" s="73"/>
      <c r="D10" s="73"/>
      <c r="E10" s="9">
        <v>5</v>
      </c>
      <c r="F10" s="27" t="s">
        <v>26</v>
      </c>
      <c r="G10" s="28" t="str">
        <f t="shared" ref="G10:G32" si="0">IFERROR(F10/E10,"")</f>
        <v/>
      </c>
      <c r="H10" s="14" t="str">
        <f t="shared" ref="H10:H32" si="1">_xlfn.IFS(F10="أدخل العلامة","",F10="لا ينطبق","تم الإلغاء",G10&gt;=90%,"ممتاز",G10&gt;=80%,"جيد جداً",G10&gt;=70%,"جيد",G10&gt;=60%,"مقبول",G10&lt;60%,"راسب")</f>
        <v/>
      </c>
      <c r="I10" s="34"/>
      <c r="J10" s="35"/>
    </row>
    <row r="11" spans="1:10" ht="39.950000000000003" customHeight="1" x14ac:dyDescent="0.25">
      <c r="A11" s="10"/>
      <c r="B11" s="74" t="s">
        <v>50</v>
      </c>
      <c r="C11" s="75"/>
      <c r="D11" s="75"/>
      <c r="E11" s="26"/>
      <c r="F11" s="20"/>
      <c r="G11" s="21"/>
      <c r="H11" s="22"/>
      <c r="I11" s="64"/>
      <c r="J11" s="65"/>
    </row>
    <row r="12" spans="1:10" ht="39.950000000000003" customHeight="1" x14ac:dyDescent="0.25">
      <c r="A12" s="10"/>
      <c r="B12" s="68" t="s">
        <v>28</v>
      </c>
      <c r="C12" s="69"/>
      <c r="D12" s="69"/>
      <c r="E12" s="8">
        <v>5</v>
      </c>
      <c r="F12" s="13" t="s">
        <v>26</v>
      </c>
      <c r="G12" s="18" t="str">
        <f t="shared" si="0"/>
        <v/>
      </c>
      <c r="H12" s="19" t="str">
        <f t="shared" si="1"/>
        <v/>
      </c>
      <c r="I12" s="38"/>
      <c r="J12" s="39"/>
    </row>
    <row r="13" spans="1:10" ht="54.95" customHeight="1" x14ac:dyDescent="0.25">
      <c r="A13" s="10"/>
      <c r="B13" s="68" t="s">
        <v>29</v>
      </c>
      <c r="C13" s="69"/>
      <c r="D13" s="69"/>
      <c r="E13" s="8">
        <v>5</v>
      </c>
      <c r="F13" s="13" t="s">
        <v>26</v>
      </c>
      <c r="G13" s="18" t="str">
        <f t="shared" si="0"/>
        <v/>
      </c>
      <c r="H13" s="19" t="str">
        <f t="shared" si="1"/>
        <v/>
      </c>
      <c r="I13" s="38"/>
      <c r="J13" s="39"/>
    </row>
    <row r="14" spans="1:10" ht="71.25" customHeight="1" x14ac:dyDescent="0.25">
      <c r="A14" s="10"/>
      <c r="B14" s="68" t="s">
        <v>30</v>
      </c>
      <c r="C14" s="69"/>
      <c r="D14" s="69"/>
      <c r="E14" s="8">
        <v>5</v>
      </c>
      <c r="F14" s="13" t="s">
        <v>26</v>
      </c>
      <c r="G14" s="18" t="str">
        <f t="shared" si="0"/>
        <v/>
      </c>
      <c r="H14" s="19" t="str">
        <f t="shared" si="1"/>
        <v/>
      </c>
      <c r="I14" s="38"/>
      <c r="J14" s="39"/>
    </row>
    <row r="15" spans="1:10" ht="39.950000000000003" customHeight="1" x14ac:dyDescent="0.25">
      <c r="A15" s="10"/>
      <c r="B15" s="68" t="s">
        <v>31</v>
      </c>
      <c r="C15" s="69"/>
      <c r="D15" s="69"/>
      <c r="E15" s="8">
        <v>5</v>
      </c>
      <c r="F15" s="13" t="s">
        <v>26</v>
      </c>
      <c r="G15" s="18" t="str">
        <f t="shared" si="0"/>
        <v/>
      </c>
      <c r="H15" s="19" t="str">
        <f t="shared" si="1"/>
        <v/>
      </c>
      <c r="I15" s="38"/>
      <c r="J15" s="39"/>
    </row>
    <row r="16" spans="1:10" ht="68.25" customHeight="1" x14ac:dyDescent="0.25">
      <c r="A16" s="10"/>
      <c r="B16" s="68" t="s">
        <v>32</v>
      </c>
      <c r="C16" s="69"/>
      <c r="D16" s="69"/>
      <c r="E16" s="8">
        <v>5</v>
      </c>
      <c r="F16" s="13" t="s">
        <v>26</v>
      </c>
      <c r="G16" s="18" t="str">
        <f t="shared" si="0"/>
        <v/>
      </c>
      <c r="H16" s="19" t="str">
        <f t="shared" si="1"/>
        <v/>
      </c>
      <c r="I16" s="38"/>
      <c r="J16" s="39"/>
    </row>
    <row r="17" spans="1:10" ht="65.099999999999994" customHeight="1" thickBot="1" x14ac:dyDescent="0.3">
      <c r="A17" s="10"/>
      <c r="B17" s="76" t="s">
        <v>33</v>
      </c>
      <c r="C17" s="77"/>
      <c r="D17" s="77"/>
      <c r="E17" s="23">
        <v>5</v>
      </c>
      <c r="F17" s="15" t="s">
        <v>26</v>
      </c>
      <c r="G17" s="24" t="str">
        <f t="shared" si="0"/>
        <v/>
      </c>
      <c r="H17" s="25" t="str">
        <f t="shared" si="1"/>
        <v/>
      </c>
      <c r="I17" s="66"/>
      <c r="J17" s="67"/>
    </row>
    <row r="18" spans="1:10" ht="39.950000000000003" customHeight="1" x14ac:dyDescent="0.25">
      <c r="A18" s="10"/>
      <c r="B18" s="78" t="s">
        <v>51</v>
      </c>
      <c r="C18" s="79"/>
      <c r="D18" s="79"/>
      <c r="E18" s="26"/>
      <c r="F18" s="20"/>
      <c r="G18" s="21"/>
      <c r="H18" s="22"/>
      <c r="I18" s="64"/>
      <c r="J18" s="65"/>
    </row>
    <row r="19" spans="1:10" ht="39.950000000000003" customHeight="1" x14ac:dyDescent="0.25">
      <c r="A19" s="10"/>
      <c r="B19" s="68" t="s">
        <v>34</v>
      </c>
      <c r="C19" s="69"/>
      <c r="D19" s="69"/>
      <c r="E19" s="8">
        <v>5</v>
      </c>
      <c r="F19" s="13" t="s">
        <v>26</v>
      </c>
      <c r="G19" s="18" t="str">
        <f t="shared" si="0"/>
        <v/>
      </c>
      <c r="H19" s="19" t="str">
        <f t="shared" si="1"/>
        <v/>
      </c>
      <c r="I19" s="38"/>
      <c r="J19" s="39"/>
    </row>
    <row r="20" spans="1:10" ht="39.950000000000003" customHeight="1" x14ac:dyDescent="0.25">
      <c r="A20" s="10"/>
      <c r="B20" s="68" t="s">
        <v>35</v>
      </c>
      <c r="C20" s="69"/>
      <c r="D20" s="69"/>
      <c r="E20" s="8">
        <v>5</v>
      </c>
      <c r="F20" s="13" t="s">
        <v>26</v>
      </c>
      <c r="G20" s="18" t="str">
        <f t="shared" si="0"/>
        <v/>
      </c>
      <c r="H20" s="19" t="str">
        <f t="shared" si="1"/>
        <v/>
      </c>
      <c r="I20" s="38"/>
      <c r="J20" s="39"/>
    </row>
    <row r="21" spans="1:10" ht="39.950000000000003" customHeight="1" x14ac:dyDescent="0.25">
      <c r="A21" s="10"/>
      <c r="B21" s="68" t="s">
        <v>36</v>
      </c>
      <c r="C21" s="69"/>
      <c r="D21" s="69"/>
      <c r="E21" s="8">
        <v>5</v>
      </c>
      <c r="F21" s="13" t="s">
        <v>26</v>
      </c>
      <c r="G21" s="18" t="str">
        <f t="shared" si="0"/>
        <v/>
      </c>
      <c r="H21" s="19" t="str">
        <f t="shared" si="1"/>
        <v/>
      </c>
      <c r="I21" s="38"/>
      <c r="J21" s="39"/>
    </row>
    <row r="22" spans="1:10" ht="39.950000000000003" customHeight="1" x14ac:dyDescent="0.25">
      <c r="A22" s="10"/>
      <c r="B22" s="68" t="s">
        <v>37</v>
      </c>
      <c r="C22" s="69"/>
      <c r="D22" s="69"/>
      <c r="E22" s="8">
        <v>5</v>
      </c>
      <c r="F22" s="13" t="s">
        <v>26</v>
      </c>
      <c r="G22" s="18" t="str">
        <f t="shared" si="0"/>
        <v/>
      </c>
      <c r="H22" s="19" t="str">
        <f t="shared" si="1"/>
        <v/>
      </c>
      <c r="I22" s="38"/>
      <c r="J22" s="39"/>
    </row>
    <row r="23" spans="1:10" ht="39.950000000000003" customHeight="1" x14ac:dyDescent="0.25">
      <c r="A23" s="10"/>
      <c r="B23" s="68" t="s">
        <v>38</v>
      </c>
      <c r="C23" s="69"/>
      <c r="D23" s="69"/>
      <c r="E23" s="8">
        <v>5</v>
      </c>
      <c r="F23" s="13" t="s">
        <v>26</v>
      </c>
      <c r="G23" s="18" t="str">
        <f t="shared" si="0"/>
        <v/>
      </c>
      <c r="H23" s="19" t="str">
        <f t="shared" si="1"/>
        <v/>
      </c>
      <c r="I23" s="38"/>
      <c r="J23" s="39"/>
    </row>
    <row r="24" spans="1:10" ht="39.950000000000003" customHeight="1" x14ac:dyDescent="0.25">
      <c r="A24" s="10"/>
      <c r="B24" s="68" t="s">
        <v>39</v>
      </c>
      <c r="C24" s="69"/>
      <c r="D24" s="69"/>
      <c r="E24" s="8">
        <v>5</v>
      </c>
      <c r="F24" s="13" t="s">
        <v>26</v>
      </c>
      <c r="G24" s="18" t="str">
        <f t="shared" si="0"/>
        <v/>
      </c>
      <c r="H24" s="19" t="str">
        <f t="shared" si="1"/>
        <v/>
      </c>
      <c r="I24" s="38"/>
      <c r="J24" s="39"/>
    </row>
    <row r="25" spans="1:10" ht="39.950000000000003" customHeight="1" x14ac:dyDescent="0.25">
      <c r="A25" s="10"/>
      <c r="B25" s="68" t="s">
        <v>40</v>
      </c>
      <c r="C25" s="69"/>
      <c r="D25" s="69"/>
      <c r="E25" s="8">
        <v>5</v>
      </c>
      <c r="F25" s="13" t="s">
        <v>26</v>
      </c>
      <c r="G25" s="18" t="str">
        <f t="shared" si="0"/>
        <v/>
      </c>
      <c r="H25" s="19" t="str">
        <f t="shared" si="1"/>
        <v/>
      </c>
      <c r="I25" s="38"/>
      <c r="J25" s="39"/>
    </row>
    <row r="26" spans="1:10" ht="39.950000000000003" customHeight="1" thickBot="1" x14ac:dyDescent="0.3">
      <c r="A26" s="10"/>
      <c r="B26" s="76" t="s">
        <v>41</v>
      </c>
      <c r="C26" s="77"/>
      <c r="D26" s="77"/>
      <c r="E26" s="23">
        <v>5</v>
      </c>
      <c r="F26" s="15" t="s">
        <v>26</v>
      </c>
      <c r="G26" s="24" t="str">
        <f t="shared" si="0"/>
        <v/>
      </c>
      <c r="H26" s="25" t="str">
        <f t="shared" si="1"/>
        <v/>
      </c>
      <c r="I26" s="66"/>
      <c r="J26" s="67"/>
    </row>
    <row r="27" spans="1:10" ht="39.950000000000003" customHeight="1" x14ac:dyDescent="0.25">
      <c r="A27" s="10"/>
      <c r="B27" s="74" t="s">
        <v>52</v>
      </c>
      <c r="C27" s="75"/>
      <c r="D27" s="75"/>
      <c r="E27" s="26"/>
      <c r="F27" s="20"/>
      <c r="G27" s="21"/>
      <c r="H27" s="22"/>
      <c r="I27" s="64"/>
      <c r="J27" s="65"/>
    </row>
    <row r="28" spans="1:10" ht="39.950000000000003" customHeight="1" x14ac:dyDescent="0.25">
      <c r="A28" s="10"/>
      <c r="B28" s="68" t="s">
        <v>42</v>
      </c>
      <c r="C28" s="69"/>
      <c r="D28" s="69"/>
      <c r="E28" s="8">
        <v>5</v>
      </c>
      <c r="F28" s="13" t="s">
        <v>26</v>
      </c>
      <c r="G28" s="18" t="str">
        <f t="shared" si="0"/>
        <v/>
      </c>
      <c r="H28" s="19" t="str">
        <f t="shared" si="1"/>
        <v/>
      </c>
      <c r="I28" s="38"/>
      <c r="J28" s="39"/>
    </row>
    <row r="29" spans="1:10" ht="39.950000000000003" customHeight="1" x14ac:dyDescent="0.25">
      <c r="A29" s="10"/>
      <c r="B29" s="68" t="s">
        <v>43</v>
      </c>
      <c r="C29" s="69"/>
      <c r="D29" s="69"/>
      <c r="E29" s="8">
        <v>5</v>
      </c>
      <c r="F29" s="13" t="s">
        <v>26</v>
      </c>
      <c r="G29" s="18" t="str">
        <f t="shared" si="0"/>
        <v/>
      </c>
      <c r="H29" s="19" t="str">
        <f t="shared" si="1"/>
        <v/>
      </c>
      <c r="I29" s="38"/>
      <c r="J29" s="39"/>
    </row>
    <row r="30" spans="1:10" ht="39.950000000000003" customHeight="1" x14ac:dyDescent="0.25">
      <c r="A30" s="10"/>
      <c r="B30" s="68" t="s">
        <v>44</v>
      </c>
      <c r="C30" s="69"/>
      <c r="D30" s="69"/>
      <c r="E30" s="8">
        <v>5</v>
      </c>
      <c r="F30" s="13" t="s">
        <v>26</v>
      </c>
      <c r="G30" s="18" t="str">
        <f t="shared" si="0"/>
        <v/>
      </c>
      <c r="H30" s="19" t="str">
        <f t="shared" si="1"/>
        <v/>
      </c>
      <c r="I30" s="38"/>
      <c r="J30" s="39"/>
    </row>
    <row r="31" spans="1:10" ht="39.950000000000003" customHeight="1" x14ac:dyDescent="0.25">
      <c r="A31" s="10"/>
      <c r="B31" s="68" t="s">
        <v>45</v>
      </c>
      <c r="C31" s="69"/>
      <c r="D31" s="69"/>
      <c r="E31" s="8">
        <v>5</v>
      </c>
      <c r="F31" s="13" t="s">
        <v>26</v>
      </c>
      <c r="G31" s="18" t="str">
        <f t="shared" si="0"/>
        <v/>
      </c>
      <c r="H31" s="19" t="str">
        <f t="shared" si="1"/>
        <v/>
      </c>
      <c r="I31" s="38"/>
      <c r="J31" s="39"/>
    </row>
    <row r="32" spans="1:10" ht="39.950000000000003" customHeight="1" thickBot="1" x14ac:dyDescent="0.3">
      <c r="A32" s="10"/>
      <c r="B32" s="76" t="s">
        <v>46</v>
      </c>
      <c r="C32" s="77"/>
      <c r="D32" s="77"/>
      <c r="E32" s="23">
        <v>5</v>
      </c>
      <c r="F32" s="15" t="s">
        <v>26</v>
      </c>
      <c r="G32" s="24" t="str">
        <f t="shared" si="0"/>
        <v/>
      </c>
      <c r="H32" s="25" t="str">
        <f t="shared" si="1"/>
        <v/>
      </c>
      <c r="I32" s="66"/>
      <c r="J32" s="67"/>
    </row>
    <row r="33" spans="1:10" ht="30" customHeight="1" thickBot="1" x14ac:dyDescent="0.3">
      <c r="A33" s="3"/>
      <c r="B33" s="60" t="s">
        <v>5</v>
      </c>
      <c r="C33" s="61"/>
      <c r="D33" s="61"/>
      <c r="E33" s="17">
        <f>SUM(E8:E32)</f>
        <v>110</v>
      </c>
      <c r="F33" s="17">
        <f>SUM(F8:F32)</f>
        <v>0</v>
      </c>
      <c r="G33" s="31"/>
      <c r="H33" s="32"/>
      <c r="I33" s="32"/>
      <c r="J33" s="33"/>
    </row>
    <row r="34" spans="1:10" ht="30" customHeight="1" thickBot="1" x14ac:dyDescent="0.3">
      <c r="A34" s="3"/>
      <c r="B34" s="62" t="s">
        <v>20</v>
      </c>
      <c r="C34" s="63"/>
      <c r="D34" s="63"/>
      <c r="E34" s="52">
        <f>F33/E33/100*100</f>
        <v>0</v>
      </c>
      <c r="F34" s="52"/>
      <c r="G34" s="52"/>
      <c r="H34" s="52"/>
      <c r="I34" s="52"/>
      <c r="J34" s="53"/>
    </row>
    <row r="35" spans="1:10" ht="30" customHeight="1" thickBot="1" x14ac:dyDescent="0.3">
      <c r="A35" s="3"/>
      <c r="B35" s="62" t="s">
        <v>21</v>
      </c>
      <c r="C35" s="63"/>
      <c r="D35" s="63"/>
      <c r="E35" s="44" t="str">
        <f>_xlfn.IFS(E34&gt;=90%,"ممتاز",E34&gt;=80%,"جيد جداً",E34&gt;=70%,"جيد",E34&gt;=60%,"مقبول",E34&lt;60%,"راسب")</f>
        <v>راسب</v>
      </c>
      <c r="F35" s="44"/>
      <c r="G35" s="44"/>
      <c r="H35" s="44"/>
      <c r="I35" s="44"/>
      <c r="J35" s="45"/>
    </row>
    <row r="36" spans="1:10" ht="42" customHeight="1" x14ac:dyDescent="0.25">
      <c r="B36" s="40" t="s">
        <v>27</v>
      </c>
      <c r="C36" s="40"/>
      <c r="D36" s="40"/>
      <c r="E36" s="29" t="s">
        <v>18</v>
      </c>
      <c r="F36" s="29"/>
      <c r="G36" s="42" t="s">
        <v>24</v>
      </c>
      <c r="H36" s="42"/>
      <c r="I36" s="42"/>
      <c r="J36" s="42"/>
    </row>
    <row r="37" spans="1:10" ht="51" customHeight="1" x14ac:dyDescent="0.25">
      <c r="A37" s="4"/>
      <c r="B37" s="41"/>
      <c r="C37" s="41"/>
      <c r="D37" s="41"/>
      <c r="E37" s="30" t="s">
        <v>19</v>
      </c>
      <c r="F37" s="30"/>
      <c r="G37" s="43"/>
      <c r="H37" s="43"/>
      <c r="I37" s="43"/>
      <c r="J37" s="43"/>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E35">
    <cfRule type="expression" dxfId="23" priority="57">
      <formula>$E35="راسب"</formula>
    </cfRule>
  </conditionalFormatting>
  <conditionalFormatting sqref="E35:J35">
    <cfRule type="expression" dxfId="22" priority="58">
      <formula>$E35="مقبول"</formula>
    </cfRule>
    <cfRule type="expression" dxfId="21" priority="59">
      <formula>$E35="جيد"</formula>
    </cfRule>
    <cfRule type="expression" dxfId="20" priority="60">
      <formula>$E35="جيد جداً"</formula>
    </cfRule>
    <cfRule type="expression" dxfId="19" priority="61">
      <formula>$E35="ممتاز"</formula>
    </cfRule>
  </conditionalFormatting>
  <conditionalFormatting sqref="H8 H10:H32">
    <cfRule type="containsText" dxfId="18" priority="39" operator="containsText" text="ممتاز">
      <formula>NOT(ISERROR(SEARCH("ممتاز",H8)))</formula>
    </cfRule>
    <cfRule type="containsText" dxfId="17" priority="40" operator="containsText" text="جيد جداً">
      <formula>NOT(ISERROR(SEARCH("جيد جداً",H8)))</formula>
    </cfRule>
    <cfRule type="containsText" dxfId="16" priority="41" operator="containsText" text="جيد">
      <formula>NOT(ISERROR(SEARCH("جيد",H8)))</formula>
    </cfRule>
    <cfRule type="containsText" dxfId="15" priority="42" operator="containsText" text="مقبول">
      <formula>NOT(ISERROR(SEARCH("مقبول",H8)))</formula>
    </cfRule>
    <cfRule type="containsText" dxfId="14" priority="43" operator="containsText" text="راسب">
      <formula>NOT(ISERROR(SEARCH("راسب",H8)))</formula>
    </cfRule>
  </conditionalFormatting>
  <conditionalFormatting sqref="H8 H10:H32">
    <cfRule type="containsText" dxfId="13" priority="38" operator="containsText" text="أدخل العلامة">
      <formula>NOT(ISERROR(SEARCH("أدخل العلامة",H8)))</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36:J36">
    <cfRule type="containsText" dxfId="8" priority="15" operator="containsText" text="أدخل اسم المحكم">
      <formula>NOT(ISERROR(SEARCH("أدخل اسم المحكم",G36)))</formula>
    </cfRule>
  </conditionalFormatting>
  <conditionalFormatting sqref="F8 F10:F32">
    <cfRule type="containsText" dxfId="7" priority="14" operator="containsText" text="أدخل العلامة">
      <formula>NOT(ISERROR(SEARCH("أدخل العلامة",F8)))</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14:formula1>
            <xm:f>#REF!</xm:f>
          </x14:formula1>
          <xm:sqref>F2:J2</xm:sqref>
        </x14:dataValidation>
        <x14:dataValidation type="list" allowBlank="1" showInputMessage="1" showErrorMessage="1">
          <x14:formula1>
            <xm:f>#REF!</xm:f>
          </x14:formula1>
          <xm:sqref>C2:D2</xm:sqref>
        </x14:dataValidation>
        <x14:dataValidation type="list" allowBlank="1" showInputMessage="1" showErrorMessage="1">
          <x14:formula1>
            <xm:f>#REF!</xm:f>
          </x14:formula1>
          <xm:sqref>F28:F32 F19:F26 F8:F10 F12:F17</xm:sqref>
        </x14:dataValidation>
        <x14:dataValidation type="list" allowBlank="1" showInputMessage="1" showErrorMessage="1">
          <x14:formula1>
            <xm:f>#REF!</xm:f>
          </x14:formula1>
          <xm:sqref>G36:J36 F3:J3</xm:sqref>
        </x14:dataValidation>
        <x14:dataValidation type="list" allowBlank="1" showInputMessage="1" showErrorMessage="1">
          <x14:formula1>
            <xm:f>#REF!</xm:f>
          </x14:formula1>
          <xm:sqref>C3:D3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2026-08-30T05:13:33Z</dcterms:modified>
</cp:coreProperties>
</file>