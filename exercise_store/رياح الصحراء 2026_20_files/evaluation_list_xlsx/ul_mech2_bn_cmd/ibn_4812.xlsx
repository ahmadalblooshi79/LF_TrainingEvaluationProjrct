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729ABCA7-9AF1-480F-ADA6-15CE51D6A837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التقييم'!$A$1:$J$74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2" i="2" l="1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4" i="2"/>
  <c r="H34" i="2" s="1"/>
  <c r="G35" i="2"/>
  <c r="H35" i="2" s="1"/>
  <c r="G36" i="2"/>
  <c r="H36" i="2" s="1"/>
  <c r="G37" i="2"/>
  <c r="H37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F70" i="2" l="1"/>
  <c r="E70" i="2" l="1"/>
  <c r="E71" i="2" l="1"/>
  <c r="E72" i="2" s="1"/>
</calcChain>
</file>

<file path=xl/sharedStrings.xml><?xml version="1.0" encoding="utf-8"?>
<sst xmlns="http://schemas.openxmlformats.org/spreadsheetml/2006/main" count="150" uniqueCount="96">
  <si>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</si>
  <si>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</si>
  <si>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</si>
  <si>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</si>
  <si>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</si>
  <si>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</si>
  <si>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</si>
  <si>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</si>
  <si>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</si>
  <si>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</si>
  <si>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</si>
  <si>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</si>
  <si>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</si>
  <si>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</si>
  <si>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</si>
  <si>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</si>
  <si>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</si>
  <si>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</si>
  <si>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</si>
  <si>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</si>
  <si>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</si>
  <si>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</si>
  <si>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</si>
  <si>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</si>
  <si>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</si>
  <si>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</si>
  <si>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</si>
  <si>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</si>
  <si>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تجهيز الطاولة الرملية</t>
    </r>
    <r>
      <rPr>
        <b/>
        <sz val="12"/>
        <color rgb="FF000000"/>
        <rFont val="Arial"/>
        <family val="2"/>
      </rPr>
      <t>.</t>
    </r>
  </si>
  <si>
    <t>أ.    تحديد طول وعرض الطاولة الرملية على ضوء دراسة الخريطة والمنطقة المراد تصميمها وحسب الأبعاد التالية:</t>
  </si>
  <si>
    <t>المستوى</t>
  </si>
  <si>
    <t>الطول</t>
  </si>
  <si>
    <t>العرض</t>
  </si>
  <si>
    <t>الكتيبة</t>
  </si>
  <si>
    <t>8 م</t>
  </si>
  <si>
    <t>6 م</t>
  </si>
  <si>
    <t>ب.  استخدام مقياس رسم الطاولة يعكس التشابه والتناسب مع الخريطة (مطابقة الطاولة للخارطة) مع بيان مقياس الطاولة وما يعادله على الطبيعة.</t>
  </si>
  <si>
    <t>جـ.  تقسيـم الطاولـة إلـى أجـزاء صغيـرة طـول كل جزء 20 سم بلونين مختلفين على التوالي ( أبيض / أسود ).</t>
  </si>
  <si>
    <t>د.    عمل مؤشر بطول مناسب قياسياً على حجم الطاولة (واحد ونصف متر مناسب) ويمكن أن يقسم إلى أجزاء (20 سم للجزء ويكون أبيض وأسود).</t>
  </si>
  <si>
    <t>هـ.  توجيه الطاولة الرملية باتجاه الشمال/العملية قدر الإمكان.</t>
  </si>
  <si>
    <t>و.    عمل شبكة الإحداثيات بواسطة الخيوط (لتحديد المواقع لاحقاً) وتوضح أرقام الإحداثيات على مربعات بلاستيكية أو ورق مقوى.</t>
  </si>
  <si>
    <t>ز.    تمثيل المرتفعات الطبيعية والاصطناعية بمقياس الرسم واقعي.</t>
  </si>
  <si>
    <t>ح.    رش الطاولة بالماء بغرض تماسك الرمل واستخدام الألوان الصحيحة في الطاولة الرملية لتوضيح الهيئات الطبيعية والصناعية، على أن يكون لون المزروعـات أخضـر، المرتفعات بنـي، مناطق الميـاه والأودية أزرق ... الخ.</t>
  </si>
  <si>
    <t>ط.    استخدام بعض الأعشاب أو القطن الملون لتمثيل المزروعات والمكعبات الخشبية لتمثيل المناطق المبنية.</t>
  </si>
  <si>
    <t>ي.    تمثيل الأسلحـة والدبابـات والآليـات والمدافع بنماذج معينة، والأشرطة الملونة لتمثيل الطرق (أبيض) والحدود (أسود).</t>
  </si>
  <si>
    <t>ك.    كتابة أسماء المعالم الهامة على لوحات صغيرة من البلاستيك أو الورق المقوى بحيث تسهل قراءتها من كل الجهات.</t>
  </si>
  <si>
    <t>ل.    وضـع مفهوم العمليات أو الخطة بالنماذج التي تمثل الرموز العسكرية للعدو ولقواتنا، أحمر/أزرق، الموانع أخضر، أسلحة التدمير الشامل أصفر.</t>
  </si>
  <si>
    <t>م.    وضع سهم يبين اتجاه الشمال لمعرفة الاتجاهات الصحيحة ومقياس الرسم لقياس المسافات والارتفاعات.</t>
  </si>
  <si>
    <r>
      <t>2.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الأرض على الطاولة الرملية</t>
    </r>
    <r>
      <rPr>
        <b/>
        <sz val="12"/>
        <color rgb="FF000000"/>
        <rFont val="Arial"/>
        <family val="2"/>
      </rPr>
      <t>.</t>
    </r>
  </si>
  <si>
    <t>أ.    وصف الطاولة من قبل ضابط العمليات ويمكن أن يقوم بذلك ضابط الاستخبارات.</t>
  </si>
  <si>
    <t>ب.  اختيار مكان وقوف مناسب في مواجهة قسم الأمر وتمكن جميع الحاضرين من رؤية الطاولة الرملية واستخدام المؤشر في التأشير.</t>
  </si>
  <si>
    <t>جـ.  البسملة (بسم الله الرحمن الرحيم).</t>
  </si>
  <si>
    <t>د.    تعريف الطاولة الرملية.</t>
  </si>
  <si>
    <t>هـ.  تحديد اتجاه الشمال.</t>
  </si>
  <si>
    <t>و.    تحديد مقياس رسم الطاولة الرملية.</t>
  </si>
  <si>
    <t>ز.    التعريف بالألوان والرموز المستخدمة.</t>
  </si>
  <si>
    <t>ح.    وصف الأرض بشكل عام وتأشير المعالم البارزة في اتجاه دوران عقارب الساعة.</t>
  </si>
  <si>
    <r>
      <t>3.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المعالم البارزة.</t>
    </r>
  </si>
  <si>
    <t>أ.    أبرز الهيئات الحاكمة.</t>
  </si>
  <si>
    <t>ب.  أبرز الطرق.</t>
  </si>
  <si>
    <t>جـ.  أبرز الموانع الطبيعية والصناعية.</t>
  </si>
  <si>
    <t>د.    الأنهر والوديان والمزروعات والغابات.</t>
  </si>
  <si>
    <r>
      <t>4.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المميزات التعبوية للأرض بالتفصيل.</t>
    </r>
  </si>
  <si>
    <t>أ.    تقسيم الأرض إلى (يمين/وسط/ يسار).</t>
  </si>
  <si>
    <t>ب.  وصف الأرض في العمليات التعرضية من الأرض القريبة إلى الأرض البعيدة وفي العمليات الدفاعية من الأرض البعيدة إلى الأرض القريبة.</t>
  </si>
  <si>
    <t>جـ.  التخفية والتستر.</t>
  </si>
  <si>
    <t>د.    المراقبة وميادين الرمي.</t>
  </si>
  <si>
    <t>هـ.    الإسناد المتبادل بالنار والمناورة.</t>
  </si>
  <si>
    <t>و.    الموانع الطبيعية والصناعية.</t>
  </si>
  <si>
    <t>ز.    مناطق التجمع والتشكيل وخطوط البدء ومناطق التقتيل ومناطق الهبوط المحتملة (حسب الحاجة).</t>
  </si>
  <si>
    <t>ح.    الأرض التعبوية والحيوية.</t>
  </si>
  <si>
    <t>ط.    قابلية الحركة.</t>
  </si>
  <si>
    <t>ي.    الطرق والجسور وتصنيفها.</t>
  </si>
  <si>
    <t>ك.    وصف عام للمقتربات ويشمل:</t>
  </si>
  <si>
    <r>
      <t>(1)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أبرز المعالم الطبيعية أو الصناعية على طول المقترب.</t>
    </r>
  </si>
  <si>
    <r>
      <t>(2)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تسمية المقتربات بالأحرف أو الأرقام أو بالاتجاهات.</t>
    </r>
  </si>
  <si>
    <r>
      <t>(3)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طول المقترب (من منطقة التجمع إلى الأهداف النهائية في العمليات التعرضية ومن منطقة الاهتمام أو التأثير إلى الموقع الدفاعي الرئيسي في العمليات الدفاعية.</t>
    </r>
  </si>
  <si>
    <r>
      <t>(4)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الاستيعاب/الاتساع على طول المقترب.</t>
    </r>
  </si>
  <si>
    <t>(5)    الرصد والنيران.</t>
  </si>
  <si>
    <r>
      <t>(6)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المراقبة و ميادين الرمي.</t>
    </r>
  </si>
  <si>
    <r>
      <t>(7)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التخفية والتستر.</t>
    </r>
  </si>
  <si>
    <r>
      <t>(8)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الأرض التعبوية.</t>
    </r>
  </si>
  <si>
    <r>
      <t>(9)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الموانع.</t>
    </r>
  </si>
  <si>
    <r>
      <t>(10)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قابلية الحركة.</t>
    </r>
  </si>
  <si>
    <r>
      <t>(11)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مناطق الهبوط المحتملة.</t>
    </r>
  </si>
  <si>
    <r>
      <t>(12)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الإسناد المتبادل.</t>
    </r>
  </si>
  <si>
    <r>
      <t>5.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الأرصاد</t>
    </r>
    <r>
      <rPr>
        <sz val="12"/>
        <color rgb="FF000000"/>
        <rFont val="Arial"/>
        <family val="2"/>
      </rPr>
      <t xml:space="preserve">. </t>
    </r>
  </si>
  <si>
    <t>أ.    الضوء الأول.</t>
  </si>
  <si>
    <t>ب.  الضوء الأخير.</t>
  </si>
  <si>
    <t>جـ.  حالة القمر.</t>
  </si>
  <si>
    <t>د.    اتجاه الريح وسرعته.</t>
  </si>
  <si>
    <t>هـ.    درجة الحرارة.</t>
  </si>
  <si>
    <t>و.    المد والجزر (حسب الحاجة).</t>
  </si>
  <si>
    <r>
      <t>6.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طرح الأسئلة</t>
    </r>
    <r>
      <rPr>
        <sz val="12"/>
        <color rgb="FF000000"/>
        <rFont val="Arial"/>
        <family val="2"/>
      </rPr>
      <t>.</t>
    </r>
  </si>
  <si>
    <t>لا يطبق على الطاولات الرملية في المدارس والمعاهد ومراكز التدريب لوجود طاولات كبيرة مسبقة لغايات التدريب</t>
  </si>
  <si>
    <t>تقييم الكتيبة في تجهيز الطاولة الرملية ووصف الأرض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</si>
</sst>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2" fillId="4" borderId="13" xfId="0" applyFont="1" applyFill="1" applyBorder="1" applyAlignment="1">
      <alignment horizontal="center" vertical="center" wrapText="1" readingOrder="2"/>
    </xf>
    <xf numFmtId="0" fontId="2" fillId="4" borderId="2" xfId="0" applyFont="1" applyFill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vertical="center" wrapText="1" readingOrder="2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8" fillId="0" borderId="13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8" fillId="0" borderId="10" xfId="0" applyFont="1" applyBorder="1" applyAlignment="1">
      <alignment horizontal="right" vertical="center" wrapText="1" indent="2" readingOrder="2"/>
    </xf>
    <xf numFmtId="0" fontId="8" fillId="0" borderId="11" xfId="0" applyFont="1" applyBorder="1" applyAlignment="1">
      <alignment horizontal="right" vertical="center" wrapText="1" indent="2" readingOrder="2"/>
    </xf>
    <xf numFmtId="0" fontId="8" fillId="0" borderId="13" xfId="0" applyFont="1" applyBorder="1" applyAlignment="1">
      <alignment horizontal="right" vertical="center" wrapText="1" indent="3" readingOrder="2"/>
    </xf>
    <xf numFmtId="0" fontId="8" fillId="0" borderId="2" xfId="0" applyFont="1" applyBorder="1" applyAlignment="1">
      <alignment horizontal="right" vertical="center" wrapText="1" indent="3" readingOrder="2"/>
    </xf>
    <xf numFmtId="0" fontId="11" fillId="0" borderId="2" xfId="0" applyFont="1" applyBorder="1" applyAlignment="1" applyProtection="1">
      <alignment horizontal="center" vertical="center" wrapText="1" readingOrder="2"/>
      <protection locked="0"/>
    </xf>
    <xf numFmtId="0" fontId="11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right" vertical="center" wrapText="1" indent="2"/>
    </xf>
    <xf numFmtId="0" fontId="8" fillId="0" borderId="2" xfId="0" applyFont="1" applyBorder="1" applyAlignment="1">
      <alignment horizontal="right" vertical="center" wrapText="1" indent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9" fontId="3" fillId="0" borderId="28" xfId="0" applyNumberFormat="1" applyFont="1" applyBorder="1" applyAlignment="1">
      <alignment horizontal="center" vertical="center" wrapText="1" readingOrder="2"/>
    </xf>
    <xf numFmtId="9" fontId="3" fillId="0" borderId="29" xfId="0" applyNumberFormat="1" applyFont="1" applyBorder="1" applyAlignment="1">
      <alignment horizontal="center" vertical="center" wrapText="1" readingOrder="2"/>
    </xf>
    <xf numFmtId="9" fontId="3" fillId="0" borderId="30" xfId="0" applyNumberFormat="1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1"/>
    </xf>
    <xf numFmtId="0" fontId="2" fillId="0" borderId="29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1"/>
    </xf>
    <xf numFmtId="0" fontId="8" fillId="0" borderId="7" xfId="0" applyFont="1" applyBorder="1" applyAlignment="1">
      <alignment horizontal="right" vertical="center" wrapText="1" readingOrder="2"/>
    </xf>
    <xf numFmtId="0" fontId="8" fillId="0" borderId="8" xfId="0" applyFont="1" applyBorder="1" applyAlignment="1">
      <alignment horizontal="right" vertical="center" wrapText="1" readingOrder="2"/>
    </xf>
    <xf numFmtId="0" fontId="8" fillId="0" borderId="22" xfId="0" applyFont="1" applyBorder="1" applyAlignment="1">
      <alignment horizontal="right" vertical="center" wrapText="1" readingOrder="2"/>
    </xf>
    <xf numFmtId="0" fontId="8" fillId="0" borderId="23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indent="1" readingOrder="2"/>
    </xf>
    <xf numFmtId="0" fontId="8" fillId="0" borderId="26" xfId="0" applyFont="1" applyBorder="1" applyAlignment="1">
      <alignment horizontal="right" vertical="center" wrapText="1" indent="1" readingOrder="2"/>
    </xf>
    <xf numFmtId="0" fontId="8" fillId="0" borderId="27" xfId="0" applyFont="1" applyBorder="1" applyAlignment="1">
      <alignment horizontal="right" vertical="center" wrapText="1" indent="1" readingOrder="2"/>
    </xf>
    <xf numFmtId="0" fontId="8" fillId="0" borderId="10" xfId="0" applyFont="1" applyBorder="1" applyAlignment="1">
      <alignment horizontal="right" vertical="center" wrapText="1" indent="3" readingOrder="2"/>
    </xf>
    <xf numFmtId="0" fontId="8" fillId="0" borderId="11" xfId="0" applyFont="1" applyBorder="1" applyAlignment="1">
      <alignment horizontal="right" vertical="center" wrapText="1" indent="3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4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2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98" t="s">
        <v>95</v>
      </c>
      <c r="C1" s="98"/>
      <c r="D1" s="98"/>
      <c r="E1" s="98"/>
      <c r="F1" s="98"/>
      <c r="G1" s="98"/>
      <c r="H1" s="98"/>
      <c r="I1" s="98"/>
      <c r="J1" s="98"/>
    </row>
    <row r="2" spans="1:10" ht="30" customHeight="1" x14ac:dyDescent="0.2">
      <c r="B2" s="12" t="s">
        <v>8</v>
      </c>
      <c r="C2" s="39" t="s">
        <v>23</v>
      </c>
      <c r="D2" s="39"/>
      <c r="E2" s="12" t="s">
        <v>7</v>
      </c>
      <c r="F2" s="34" t="s">
        <v>22</v>
      </c>
      <c r="G2" s="34"/>
      <c r="H2" s="34"/>
      <c r="I2" s="34"/>
      <c r="J2" s="34"/>
    </row>
    <row r="3" spans="1:10" ht="30" customHeight="1" x14ac:dyDescent="0.2">
      <c r="B3" s="12" t="s">
        <v>9</v>
      </c>
      <c r="C3" s="39" t="s">
        <v>25</v>
      </c>
      <c r="D3" s="39"/>
      <c r="E3" s="12" t="s">
        <v>6</v>
      </c>
      <c r="F3" s="39" t="s">
        <v>24</v>
      </c>
      <c r="G3" s="39"/>
      <c r="H3" s="39"/>
      <c r="I3" s="39"/>
      <c r="J3" s="39"/>
    </row>
    <row r="4" spans="1:10" ht="30" customHeight="1" thickBot="1" x14ac:dyDescent="0.25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">
      <c r="A5" s="10"/>
      <c r="B5" s="35" t="s">
        <v>0</v>
      </c>
      <c r="C5" s="36"/>
      <c r="D5" s="36"/>
      <c r="E5" s="46" t="s">
        <v>1</v>
      </c>
      <c r="F5" s="46"/>
      <c r="G5" s="46"/>
      <c r="H5" s="46"/>
      <c r="I5" s="46" t="s">
        <v>2</v>
      </c>
      <c r="J5" s="49"/>
    </row>
    <row r="6" spans="1:10" ht="24.95" customHeight="1" thickBot="1" x14ac:dyDescent="0.25">
      <c r="A6" s="10"/>
      <c r="B6" s="37"/>
      <c r="C6" s="38"/>
      <c r="D6" s="38"/>
      <c r="E6" s="11" t="s">
        <v>3</v>
      </c>
      <c r="F6" s="11" t="s">
        <v>4</v>
      </c>
      <c r="G6" s="11" t="s">
        <v>15</v>
      </c>
      <c r="H6" s="11" t="s">
        <v>16</v>
      </c>
      <c r="I6" s="50"/>
      <c r="J6" s="51"/>
    </row>
    <row r="7" spans="1:10" ht="24.95" customHeight="1" thickBot="1" x14ac:dyDescent="0.25">
      <c r="A7" s="10"/>
      <c r="B7" s="42" t="s">
        <v>13</v>
      </c>
      <c r="C7" s="43"/>
      <c r="D7" s="43"/>
      <c r="E7" s="23" t="s">
        <v>10</v>
      </c>
      <c r="F7" s="23" t="s">
        <v>11</v>
      </c>
      <c r="G7" s="23" t="s">
        <v>14</v>
      </c>
      <c r="H7" s="23" t="s">
        <v>12</v>
      </c>
      <c r="I7" s="52" t="s">
        <v>17</v>
      </c>
      <c r="J7" s="53"/>
    </row>
    <row r="8" spans="1:10" ht="30" customHeight="1" x14ac:dyDescent="0.2">
      <c r="A8" s="10"/>
      <c r="B8" s="90" t="s">
        <v>28</v>
      </c>
      <c r="C8" s="91"/>
      <c r="D8" s="91"/>
      <c r="E8" s="91"/>
      <c r="F8" s="91"/>
      <c r="G8" s="91"/>
      <c r="H8" s="91"/>
      <c r="I8" s="91"/>
      <c r="J8" s="92"/>
    </row>
    <row r="9" spans="1:10" ht="39.950000000000003" customHeight="1" x14ac:dyDescent="0.2">
      <c r="A9" s="10"/>
      <c r="B9" s="68" t="s">
        <v>29</v>
      </c>
      <c r="C9" s="69"/>
      <c r="D9" s="69"/>
      <c r="E9" s="76">
        <v>5</v>
      </c>
      <c r="F9" s="79" t="s">
        <v>26</v>
      </c>
      <c r="G9" s="82" t="str">
        <f>IFERROR(F9/E9,"")</f>
        <v/>
      </c>
      <c r="H9" s="85" t="str">
        <f>_xlfn.IFS(F9="أدخل العلامة","",F9="لا ينطبق","تم الإلغاء",G9&gt;=90%,"ممتاز",G9&gt;=80%,"جيد جداً",G9&gt;=70%,"جيد",G9&gt;=60%,"مقبول",G9&lt;60%,"راسب")</f>
        <v/>
      </c>
      <c r="I9" s="74" t="s">
        <v>94</v>
      </c>
      <c r="J9" s="75"/>
    </row>
    <row r="10" spans="1:10" ht="30" customHeight="1" x14ac:dyDescent="0.2">
      <c r="A10" s="10"/>
      <c r="B10" s="16" t="s">
        <v>30</v>
      </c>
      <c r="C10" s="17" t="s">
        <v>31</v>
      </c>
      <c r="D10" s="17" t="s">
        <v>32</v>
      </c>
      <c r="E10" s="76"/>
      <c r="F10" s="80"/>
      <c r="G10" s="83"/>
      <c r="H10" s="86"/>
      <c r="I10" s="74"/>
      <c r="J10" s="75"/>
    </row>
    <row r="11" spans="1:10" ht="30" customHeight="1" x14ac:dyDescent="0.2">
      <c r="A11" s="10"/>
      <c r="B11" s="16" t="s">
        <v>33</v>
      </c>
      <c r="C11" s="18" t="s">
        <v>34</v>
      </c>
      <c r="D11" s="18" t="s">
        <v>35</v>
      </c>
      <c r="E11" s="76"/>
      <c r="F11" s="81"/>
      <c r="G11" s="84"/>
      <c r="H11" s="87"/>
      <c r="I11" s="74"/>
      <c r="J11" s="75"/>
    </row>
    <row r="12" spans="1:10" ht="50.1" customHeight="1" x14ac:dyDescent="0.2">
      <c r="A12" s="10"/>
      <c r="B12" s="68" t="s">
        <v>36</v>
      </c>
      <c r="C12" s="69"/>
      <c r="D12" s="69"/>
      <c r="E12" s="8">
        <v>5</v>
      </c>
      <c r="F12" s="13" t="s">
        <v>26</v>
      </c>
      <c r="G12" s="25" t="str">
        <f t="shared" ref="G12:G69" si="0">IFERROR(F12/E12,"")</f>
        <v/>
      </c>
      <c r="H12" s="26" t="str">
        <f t="shared" ref="H12:H69" si="1">_xlfn.IFS(F12="أدخل العلامة","",F12="لا ينطبق","تم الإلغاء",G12&gt;=90%,"ممتاز",G12&gt;=80%,"جيد جداً",G12&gt;=70%,"جيد",G12&gt;=60%,"مقبول",G12&lt;60%,"راسب")</f>
        <v/>
      </c>
      <c r="I12" s="74"/>
      <c r="J12" s="75"/>
    </row>
    <row r="13" spans="1:10" ht="39.950000000000003" customHeight="1" x14ac:dyDescent="0.2">
      <c r="A13" s="10"/>
      <c r="B13" s="77" t="s">
        <v>37</v>
      </c>
      <c r="C13" s="78"/>
      <c r="D13" s="78"/>
      <c r="E13" s="8">
        <v>5</v>
      </c>
      <c r="F13" s="13" t="s">
        <v>26</v>
      </c>
      <c r="G13" s="25" t="str">
        <f t="shared" si="0"/>
        <v/>
      </c>
      <c r="H13" s="26" t="str">
        <f t="shared" si="1"/>
        <v/>
      </c>
      <c r="I13" s="44"/>
      <c r="J13" s="45"/>
    </row>
    <row r="14" spans="1:10" ht="50.1" customHeight="1" x14ac:dyDescent="0.2">
      <c r="A14" s="10"/>
      <c r="B14" s="68" t="s">
        <v>38</v>
      </c>
      <c r="C14" s="69"/>
      <c r="D14" s="69"/>
      <c r="E14" s="8">
        <v>5</v>
      </c>
      <c r="F14" s="13" t="s">
        <v>26</v>
      </c>
      <c r="G14" s="25" t="str">
        <f t="shared" si="0"/>
        <v/>
      </c>
      <c r="H14" s="26" t="str">
        <f t="shared" si="1"/>
        <v/>
      </c>
      <c r="I14" s="44"/>
      <c r="J14" s="45"/>
    </row>
    <row r="15" spans="1:10" ht="30" customHeight="1" x14ac:dyDescent="0.2">
      <c r="A15" s="10"/>
      <c r="B15" s="68" t="s">
        <v>39</v>
      </c>
      <c r="C15" s="69"/>
      <c r="D15" s="69"/>
      <c r="E15" s="8">
        <v>5</v>
      </c>
      <c r="F15" s="13" t="s">
        <v>26</v>
      </c>
      <c r="G15" s="25" t="str">
        <f t="shared" si="0"/>
        <v/>
      </c>
      <c r="H15" s="26" t="str">
        <f t="shared" si="1"/>
        <v/>
      </c>
      <c r="I15" s="44"/>
      <c r="J15" s="45"/>
    </row>
    <row r="16" spans="1:10" ht="39.950000000000003" customHeight="1" x14ac:dyDescent="0.2">
      <c r="A16" s="10"/>
      <c r="B16" s="68" t="s">
        <v>40</v>
      </c>
      <c r="C16" s="69"/>
      <c r="D16" s="69"/>
      <c r="E16" s="8">
        <v>5</v>
      </c>
      <c r="F16" s="13" t="s">
        <v>26</v>
      </c>
      <c r="G16" s="25" t="str">
        <f t="shared" si="0"/>
        <v/>
      </c>
      <c r="H16" s="26" t="str">
        <f t="shared" si="1"/>
        <v/>
      </c>
      <c r="I16" s="44"/>
      <c r="J16" s="45"/>
    </row>
    <row r="17" spans="1:10" ht="30" customHeight="1" x14ac:dyDescent="0.2">
      <c r="A17" s="10"/>
      <c r="B17" s="68" t="s">
        <v>41</v>
      </c>
      <c r="C17" s="69"/>
      <c r="D17" s="69"/>
      <c r="E17" s="8">
        <v>5</v>
      </c>
      <c r="F17" s="13" t="s">
        <v>26</v>
      </c>
      <c r="G17" s="25" t="str">
        <f t="shared" si="0"/>
        <v/>
      </c>
      <c r="H17" s="26" t="str">
        <f t="shared" si="1"/>
        <v/>
      </c>
      <c r="I17" s="44"/>
      <c r="J17" s="45"/>
    </row>
    <row r="18" spans="1:10" ht="68.25" customHeight="1" x14ac:dyDescent="0.2">
      <c r="A18" s="10"/>
      <c r="B18" s="68" t="s">
        <v>42</v>
      </c>
      <c r="C18" s="69"/>
      <c r="D18" s="69"/>
      <c r="E18" s="8">
        <v>5</v>
      </c>
      <c r="F18" s="13" t="s">
        <v>26</v>
      </c>
      <c r="G18" s="25" t="str">
        <f t="shared" si="0"/>
        <v/>
      </c>
      <c r="H18" s="26" t="str">
        <f t="shared" si="1"/>
        <v/>
      </c>
      <c r="I18" s="44"/>
      <c r="J18" s="45"/>
    </row>
    <row r="19" spans="1:10" ht="39.950000000000003" customHeight="1" x14ac:dyDescent="0.2">
      <c r="A19" s="10"/>
      <c r="B19" s="68" t="s">
        <v>43</v>
      </c>
      <c r="C19" s="69"/>
      <c r="D19" s="69"/>
      <c r="E19" s="8">
        <v>5</v>
      </c>
      <c r="F19" s="13" t="s">
        <v>26</v>
      </c>
      <c r="G19" s="25" t="str">
        <f t="shared" si="0"/>
        <v/>
      </c>
      <c r="H19" s="26" t="str">
        <f t="shared" si="1"/>
        <v/>
      </c>
      <c r="I19" s="44"/>
      <c r="J19" s="45"/>
    </row>
    <row r="20" spans="1:10" ht="39.950000000000003" customHeight="1" x14ac:dyDescent="0.2">
      <c r="A20" s="10"/>
      <c r="B20" s="68" t="s">
        <v>44</v>
      </c>
      <c r="C20" s="69"/>
      <c r="D20" s="69"/>
      <c r="E20" s="8">
        <v>5</v>
      </c>
      <c r="F20" s="13" t="s">
        <v>26</v>
      </c>
      <c r="G20" s="25" t="str">
        <f t="shared" si="0"/>
        <v/>
      </c>
      <c r="H20" s="26" t="str">
        <f t="shared" si="1"/>
        <v/>
      </c>
      <c r="I20" s="44"/>
      <c r="J20" s="45"/>
    </row>
    <row r="21" spans="1:10" ht="39.950000000000003" customHeight="1" x14ac:dyDescent="0.2">
      <c r="A21" s="10"/>
      <c r="B21" s="68" t="s">
        <v>45</v>
      </c>
      <c r="C21" s="69"/>
      <c r="D21" s="69"/>
      <c r="E21" s="8">
        <v>5</v>
      </c>
      <c r="F21" s="13" t="s">
        <v>26</v>
      </c>
      <c r="G21" s="25" t="str">
        <f t="shared" si="0"/>
        <v/>
      </c>
      <c r="H21" s="26" t="str">
        <f t="shared" si="1"/>
        <v/>
      </c>
      <c r="I21" s="44"/>
      <c r="J21" s="45"/>
    </row>
    <row r="22" spans="1:10" ht="50.1" customHeight="1" x14ac:dyDescent="0.2">
      <c r="A22" s="10"/>
      <c r="B22" s="68" t="s">
        <v>46</v>
      </c>
      <c r="C22" s="69"/>
      <c r="D22" s="69"/>
      <c r="E22" s="8">
        <v>5</v>
      </c>
      <c r="F22" s="13" t="s">
        <v>26</v>
      </c>
      <c r="G22" s="25" t="str">
        <f t="shared" si="0"/>
        <v/>
      </c>
      <c r="H22" s="26" t="str">
        <f t="shared" si="1"/>
        <v/>
      </c>
      <c r="I22" s="44"/>
      <c r="J22" s="45"/>
    </row>
    <row r="23" spans="1:10" ht="39.950000000000003" customHeight="1" thickBot="1" x14ac:dyDescent="0.25">
      <c r="A23" s="10"/>
      <c r="B23" s="70" t="s">
        <v>47</v>
      </c>
      <c r="C23" s="71"/>
      <c r="D23" s="71"/>
      <c r="E23" s="19">
        <v>5</v>
      </c>
      <c r="F23" s="15" t="s">
        <v>26</v>
      </c>
      <c r="G23" s="27" t="str">
        <f t="shared" si="0"/>
        <v/>
      </c>
      <c r="H23" s="28" t="str">
        <f t="shared" si="1"/>
        <v/>
      </c>
      <c r="I23" s="47"/>
      <c r="J23" s="48"/>
    </row>
    <row r="24" spans="1:10" ht="30" customHeight="1" x14ac:dyDescent="0.2">
      <c r="A24" s="10"/>
      <c r="B24" s="90" t="s">
        <v>48</v>
      </c>
      <c r="C24" s="91"/>
      <c r="D24" s="91"/>
      <c r="E24" s="91"/>
      <c r="F24" s="91"/>
      <c r="G24" s="91"/>
      <c r="H24" s="91"/>
      <c r="I24" s="91"/>
      <c r="J24" s="92"/>
    </row>
    <row r="25" spans="1:10" ht="39.950000000000003" customHeight="1" x14ac:dyDescent="0.2">
      <c r="A25" s="10"/>
      <c r="B25" s="68" t="s">
        <v>49</v>
      </c>
      <c r="C25" s="69"/>
      <c r="D25" s="69"/>
      <c r="E25" s="8">
        <v>5</v>
      </c>
      <c r="F25" s="13" t="s">
        <v>26</v>
      </c>
      <c r="G25" s="25" t="str">
        <f t="shared" si="0"/>
        <v/>
      </c>
      <c r="H25" s="26" t="str">
        <f t="shared" si="1"/>
        <v/>
      </c>
      <c r="I25" s="44"/>
      <c r="J25" s="45"/>
    </row>
    <row r="26" spans="1:10" ht="39.950000000000003" customHeight="1" x14ac:dyDescent="0.2">
      <c r="A26" s="10"/>
      <c r="B26" s="68" t="s">
        <v>50</v>
      </c>
      <c r="C26" s="69"/>
      <c r="D26" s="69"/>
      <c r="E26" s="8">
        <v>10</v>
      </c>
      <c r="F26" s="13" t="s">
        <v>26</v>
      </c>
      <c r="G26" s="25" t="str">
        <f t="shared" si="0"/>
        <v/>
      </c>
      <c r="H26" s="26" t="str">
        <f t="shared" si="1"/>
        <v/>
      </c>
      <c r="I26" s="44"/>
      <c r="J26" s="45"/>
    </row>
    <row r="27" spans="1:10" ht="30" customHeight="1" x14ac:dyDescent="0.2">
      <c r="A27" s="10"/>
      <c r="B27" s="68" t="s">
        <v>51</v>
      </c>
      <c r="C27" s="69"/>
      <c r="D27" s="69"/>
      <c r="E27" s="8">
        <v>5</v>
      </c>
      <c r="F27" s="13" t="s">
        <v>26</v>
      </c>
      <c r="G27" s="25" t="str">
        <f t="shared" si="0"/>
        <v/>
      </c>
      <c r="H27" s="26" t="str">
        <f t="shared" si="1"/>
        <v/>
      </c>
      <c r="I27" s="44"/>
      <c r="J27" s="45"/>
    </row>
    <row r="28" spans="1:10" ht="30" customHeight="1" x14ac:dyDescent="0.2">
      <c r="A28" s="10"/>
      <c r="B28" s="68" t="s">
        <v>52</v>
      </c>
      <c r="C28" s="69"/>
      <c r="D28" s="69"/>
      <c r="E28" s="8">
        <v>5</v>
      </c>
      <c r="F28" s="13" t="s">
        <v>26</v>
      </c>
      <c r="G28" s="25" t="str">
        <f t="shared" si="0"/>
        <v/>
      </c>
      <c r="H28" s="26" t="str">
        <f t="shared" si="1"/>
        <v/>
      </c>
      <c r="I28" s="44"/>
      <c r="J28" s="45"/>
    </row>
    <row r="29" spans="1:10" ht="30" customHeight="1" x14ac:dyDescent="0.2">
      <c r="A29" s="10"/>
      <c r="B29" s="68" t="s">
        <v>53</v>
      </c>
      <c r="C29" s="69"/>
      <c r="D29" s="69"/>
      <c r="E29" s="8">
        <v>5</v>
      </c>
      <c r="F29" s="13" t="s">
        <v>26</v>
      </c>
      <c r="G29" s="25" t="str">
        <f t="shared" si="0"/>
        <v/>
      </c>
      <c r="H29" s="26" t="str">
        <f t="shared" si="1"/>
        <v/>
      </c>
      <c r="I29" s="44"/>
      <c r="J29" s="45"/>
    </row>
    <row r="30" spans="1:10" ht="30" customHeight="1" x14ac:dyDescent="0.2">
      <c r="A30" s="10"/>
      <c r="B30" s="68" t="s">
        <v>54</v>
      </c>
      <c r="C30" s="69"/>
      <c r="D30" s="69"/>
      <c r="E30" s="8">
        <v>5</v>
      </c>
      <c r="F30" s="13" t="s">
        <v>26</v>
      </c>
      <c r="G30" s="25" t="str">
        <f t="shared" si="0"/>
        <v/>
      </c>
      <c r="H30" s="26" t="str">
        <f t="shared" si="1"/>
        <v/>
      </c>
      <c r="I30" s="44"/>
      <c r="J30" s="45"/>
    </row>
    <row r="31" spans="1:10" ht="30" customHeight="1" x14ac:dyDescent="0.2">
      <c r="A31" s="10"/>
      <c r="B31" s="68" t="s">
        <v>55</v>
      </c>
      <c r="C31" s="69"/>
      <c r="D31" s="69"/>
      <c r="E31" s="8">
        <v>5</v>
      </c>
      <c r="F31" s="13" t="s">
        <v>26</v>
      </c>
      <c r="G31" s="25" t="str">
        <f t="shared" si="0"/>
        <v/>
      </c>
      <c r="H31" s="26" t="str">
        <f t="shared" si="1"/>
        <v/>
      </c>
      <c r="I31" s="44"/>
      <c r="J31" s="45"/>
    </row>
    <row r="32" spans="1:10" ht="50.1" customHeight="1" thickBot="1" x14ac:dyDescent="0.25">
      <c r="A32" s="10"/>
      <c r="B32" s="70" t="s">
        <v>56</v>
      </c>
      <c r="C32" s="71"/>
      <c r="D32" s="71"/>
      <c r="E32" s="19">
        <v>10</v>
      </c>
      <c r="F32" s="15" t="s">
        <v>26</v>
      </c>
      <c r="G32" s="27" t="str">
        <f t="shared" si="0"/>
        <v/>
      </c>
      <c r="H32" s="28" t="str">
        <f t="shared" si="1"/>
        <v/>
      </c>
      <c r="I32" s="47"/>
      <c r="J32" s="48"/>
    </row>
    <row r="33" spans="1:10" ht="30" customHeight="1" x14ac:dyDescent="0.2">
      <c r="A33" s="10"/>
      <c r="B33" s="90" t="s">
        <v>57</v>
      </c>
      <c r="C33" s="91"/>
      <c r="D33" s="91"/>
      <c r="E33" s="91"/>
      <c r="F33" s="91"/>
      <c r="G33" s="91"/>
      <c r="H33" s="91"/>
      <c r="I33" s="91"/>
      <c r="J33" s="92"/>
    </row>
    <row r="34" spans="1:10" ht="30" customHeight="1" x14ac:dyDescent="0.2">
      <c r="A34" s="10"/>
      <c r="B34" s="68" t="s">
        <v>58</v>
      </c>
      <c r="C34" s="69"/>
      <c r="D34" s="69"/>
      <c r="E34" s="8">
        <v>10</v>
      </c>
      <c r="F34" s="13" t="s">
        <v>26</v>
      </c>
      <c r="G34" s="25" t="str">
        <f t="shared" si="0"/>
        <v/>
      </c>
      <c r="H34" s="26" t="str">
        <f t="shared" si="1"/>
        <v/>
      </c>
      <c r="I34" s="44"/>
      <c r="J34" s="45"/>
    </row>
    <row r="35" spans="1:10" ht="30" customHeight="1" x14ac:dyDescent="0.2">
      <c r="A35" s="10"/>
      <c r="B35" s="68" t="s">
        <v>59</v>
      </c>
      <c r="C35" s="69"/>
      <c r="D35" s="69"/>
      <c r="E35" s="8">
        <v>10</v>
      </c>
      <c r="F35" s="13" t="s">
        <v>26</v>
      </c>
      <c r="G35" s="25" t="str">
        <f t="shared" si="0"/>
        <v/>
      </c>
      <c r="H35" s="26" t="str">
        <f t="shared" si="1"/>
        <v/>
      </c>
      <c r="I35" s="44"/>
      <c r="J35" s="45"/>
    </row>
    <row r="36" spans="1:10" ht="30" customHeight="1" x14ac:dyDescent="0.2">
      <c r="A36" s="10"/>
      <c r="B36" s="68" t="s">
        <v>60</v>
      </c>
      <c r="C36" s="69"/>
      <c r="D36" s="69"/>
      <c r="E36" s="8">
        <v>10</v>
      </c>
      <c r="F36" s="13" t="s">
        <v>26</v>
      </c>
      <c r="G36" s="25" t="str">
        <f t="shared" si="0"/>
        <v/>
      </c>
      <c r="H36" s="26" t="str">
        <f t="shared" si="1"/>
        <v/>
      </c>
      <c r="I36" s="44"/>
      <c r="J36" s="45"/>
    </row>
    <row r="37" spans="1:10" ht="30" customHeight="1" thickBot="1" x14ac:dyDescent="0.25">
      <c r="A37" s="10"/>
      <c r="B37" s="70" t="s">
        <v>61</v>
      </c>
      <c r="C37" s="71"/>
      <c r="D37" s="71"/>
      <c r="E37" s="19">
        <v>10</v>
      </c>
      <c r="F37" s="15" t="s">
        <v>26</v>
      </c>
      <c r="G37" s="27" t="str">
        <f t="shared" si="0"/>
        <v/>
      </c>
      <c r="H37" s="28" t="str">
        <f t="shared" si="1"/>
        <v/>
      </c>
      <c r="I37" s="47"/>
      <c r="J37" s="48"/>
    </row>
    <row r="38" spans="1:10" ht="30" customHeight="1" x14ac:dyDescent="0.2">
      <c r="A38" s="10"/>
      <c r="B38" s="90" t="s">
        <v>62</v>
      </c>
      <c r="C38" s="91"/>
      <c r="D38" s="91"/>
      <c r="E38" s="91"/>
      <c r="F38" s="91"/>
      <c r="G38" s="91"/>
      <c r="H38" s="91"/>
      <c r="I38" s="91"/>
      <c r="J38" s="92"/>
    </row>
    <row r="39" spans="1:10" ht="30" customHeight="1" x14ac:dyDescent="0.2">
      <c r="A39" s="10"/>
      <c r="B39" s="68" t="s">
        <v>63</v>
      </c>
      <c r="C39" s="69"/>
      <c r="D39" s="69"/>
      <c r="E39" s="8">
        <v>5</v>
      </c>
      <c r="F39" s="13" t="s">
        <v>26</v>
      </c>
      <c r="G39" s="25" t="str">
        <f t="shared" si="0"/>
        <v/>
      </c>
      <c r="H39" s="26" t="str">
        <f t="shared" si="1"/>
        <v/>
      </c>
      <c r="I39" s="44"/>
      <c r="J39" s="45"/>
    </row>
    <row r="40" spans="1:10" ht="50.1" customHeight="1" x14ac:dyDescent="0.2">
      <c r="A40" s="10"/>
      <c r="B40" s="68" t="s">
        <v>64</v>
      </c>
      <c r="C40" s="69"/>
      <c r="D40" s="69"/>
      <c r="E40" s="8">
        <v>5</v>
      </c>
      <c r="F40" s="13" t="s">
        <v>26</v>
      </c>
      <c r="G40" s="25" t="str">
        <f t="shared" si="0"/>
        <v/>
      </c>
      <c r="H40" s="26" t="str">
        <f t="shared" si="1"/>
        <v/>
      </c>
      <c r="I40" s="44"/>
      <c r="J40" s="45"/>
    </row>
    <row r="41" spans="1:10" ht="30" customHeight="1" x14ac:dyDescent="0.2">
      <c r="A41" s="10"/>
      <c r="B41" s="68" t="s">
        <v>65</v>
      </c>
      <c r="C41" s="69"/>
      <c r="D41" s="69"/>
      <c r="E41" s="8">
        <v>5</v>
      </c>
      <c r="F41" s="13" t="s">
        <v>26</v>
      </c>
      <c r="G41" s="25" t="str">
        <f t="shared" si="0"/>
        <v/>
      </c>
      <c r="H41" s="26" t="str">
        <f t="shared" si="1"/>
        <v/>
      </c>
      <c r="I41" s="44"/>
      <c r="J41" s="45"/>
    </row>
    <row r="42" spans="1:10" ht="30" customHeight="1" x14ac:dyDescent="0.2">
      <c r="A42" s="10"/>
      <c r="B42" s="68" t="s">
        <v>66</v>
      </c>
      <c r="C42" s="69"/>
      <c r="D42" s="69"/>
      <c r="E42" s="8">
        <v>5</v>
      </c>
      <c r="F42" s="13" t="s">
        <v>26</v>
      </c>
      <c r="G42" s="25" t="str">
        <f t="shared" si="0"/>
        <v/>
      </c>
      <c r="H42" s="26" t="str">
        <f t="shared" si="1"/>
        <v/>
      </c>
      <c r="I42" s="44"/>
      <c r="J42" s="45"/>
    </row>
    <row r="43" spans="1:10" ht="30" customHeight="1" x14ac:dyDescent="0.2">
      <c r="A43" s="10"/>
      <c r="B43" s="68" t="s">
        <v>67</v>
      </c>
      <c r="C43" s="69"/>
      <c r="D43" s="69"/>
      <c r="E43" s="8">
        <v>5</v>
      </c>
      <c r="F43" s="13" t="s">
        <v>26</v>
      </c>
      <c r="G43" s="25" t="str">
        <f t="shared" si="0"/>
        <v/>
      </c>
      <c r="H43" s="26" t="str">
        <f t="shared" si="1"/>
        <v/>
      </c>
      <c r="I43" s="44"/>
      <c r="J43" s="45"/>
    </row>
    <row r="44" spans="1:10" ht="30" customHeight="1" x14ac:dyDescent="0.2">
      <c r="A44" s="10"/>
      <c r="B44" s="68" t="s">
        <v>68</v>
      </c>
      <c r="C44" s="69"/>
      <c r="D44" s="69"/>
      <c r="E44" s="8">
        <v>5</v>
      </c>
      <c r="F44" s="13" t="s">
        <v>26</v>
      </c>
      <c r="G44" s="25" t="str">
        <f t="shared" si="0"/>
        <v/>
      </c>
      <c r="H44" s="26" t="str">
        <f t="shared" si="1"/>
        <v/>
      </c>
      <c r="I44" s="44"/>
      <c r="J44" s="45"/>
    </row>
    <row r="45" spans="1:10" ht="39.950000000000003" customHeight="1" x14ac:dyDescent="0.2">
      <c r="A45" s="10"/>
      <c r="B45" s="68" t="s">
        <v>69</v>
      </c>
      <c r="C45" s="69"/>
      <c r="D45" s="69"/>
      <c r="E45" s="8">
        <v>5</v>
      </c>
      <c r="F45" s="13" t="s">
        <v>26</v>
      </c>
      <c r="G45" s="25" t="str">
        <f t="shared" si="0"/>
        <v/>
      </c>
      <c r="H45" s="26" t="str">
        <f t="shared" si="1"/>
        <v/>
      </c>
      <c r="I45" s="44"/>
      <c r="J45" s="45"/>
    </row>
    <row r="46" spans="1:10" ht="30" customHeight="1" x14ac:dyDescent="0.2">
      <c r="A46" s="10"/>
      <c r="B46" s="68" t="s">
        <v>70</v>
      </c>
      <c r="C46" s="69"/>
      <c r="D46" s="69"/>
      <c r="E46" s="8">
        <v>5</v>
      </c>
      <c r="F46" s="13" t="s">
        <v>26</v>
      </c>
      <c r="G46" s="25" t="str">
        <f t="shared" si="0"/>
        <v/>
      </c>
      <c r="H46" s="26" t="str">
        <f t="shared" si="1"/>
        <v/>
      </c>
      <c r="I46" s="44"/>
      <c r="J46" s="45"/>
    </row>
    <row r="47" spans="1:10" ht="30" customHeight="1" x14ac:dyDescent="0.2">
      <c r="A47" s="10"/>
      <c r="B47" s="68" t="s">
        <v>71</v>
      </c>
      <c r="C47" s="69"/>
      <c r="D47" s="69"/>
      <c r="E47" s="8">
        <v>5</v>
      </c>
      <c r="F47" s="13" t="s">
        <v>26</v>
      </c>
      <c r="G47" s="25" t="str">
        <f t="shared" si="0"/>
        <v/>
      </c>
      <c r="H47" s="26" t="str">
        <f t="shared" si="1"/>
        <v/>
      </c>
      <c r="I47" s="44"/>
      <c r="J47" s="45"/>
    </row>
    <row r="48" spans="1:10" ht="30" customHeight="1" x14ac:dyDescent="0.2">
      <c r="A48" s="10"/>
      <c r="B48" s="68" t="s">
        <v>72</v>
      </c>
      <c r="C48" s="69"/>
      <c r="D48" s="69"/>
      <c r="E48" s="8">
        <v>5</v>
      </c>
      <c r="F48" s="13" t="s">
        <v>26</v>
      </c>
      <c r="G48" s="25" t="str">
        <f t="shared" si="0"/>
        <v/>
      </c>
      <c r="H48" s="26" t="str">
        <f t="shared" si="1"/>
        <v/>
      </c>
      <c r="I48" s="44"/>
      <c r="J48" s="45"/>
    </row>
    <row r="49" spans="1:10" ht="30" customHeight="1" x14ac:dyDescent="0.2">
      <c r="A49" s="10"/>
      <c r="B49" s="93" t="s">
        <v>73</v>
      </c>
      <c r="C49" s="94"/>
      <c r="D49" s="95"/>
      <c r="E49" s="20"/>
      <c r="F49" s="13"/>
      <c r="G49" s="25"/>
      <c r="H49" s="26"/>
      <c r="I49" s="44"/>
      <c r="J49" s="45"/>
    </row>
    <row r="50" spans="1:10" ht="30" customHeight="1" x14ac:dyDescent="0.2">
      <c r="A50" s="10"/>
      <c r="B50" s="72" t="s">
        <v>74</v>
      </c>
      <c r="C50" s="73"/>
      <c r="D50" s="73"/>
      <c r="E50" s="21">
        <v>5</v>
      </c>
      <c r="F50" s="13" t="s">
        <v>26</v>
      </c>
      <c r="G50" s="25" t="str">
        <f t="shared" si="0"/>
        <v/>
      </c>
      <c r="H50" s="26" t="str">
        <f t="shared" si="1"/>
        <v/>
      </c>
      <c r="I50" s="44"/>
      <c r="J50" s="45"/>
    </row>
    <row r="51" spans="1:10" ht="30" customHeight="1" x14ac:dyDescent="0.2">
      <c r="A51" s="10"/>
      <c r="B51" s="72" t="s">
        <v>75</v>
      </c>
      <c r="C51" s="73"/>
      <c r="D51" s="73"/>
      <c r="E51" s="21">
        <v>5</v>
      </c>
      <c r="F51" s="13" t="s">
        <v>26</v>
      </c>
      <c r="G51" s="25" t="str">
        <f t="shared" si="0"/>
        <v/>
      </c>
      <c r="H51" s="26" t="str">
        <f t="shared" si="1"/>
        <v/>
      </c>
      <c r="I51" s="44"/>
      <c r="J51" s="45"/>
    </row>
    <row r="52" spans="1:10" ht="50.1" customHeight="1" x14ac:dyDescent="0.2">
      <c r="A52" s="10"/>
      <c r="B52" s="72" t="s">
        <v>76</v>
      </c>
      <c r="C52" s="73"/>
      <c r="D52" s="73"/>
      <c r="E52" s="21">
        <v>5</v>
      </c>
      <c r="F52" s="13" t="s">
        <v>26</v>
      </c>
      <c r="G52" s="25" t="str">
        <f t="shared" si="0"/>
        <v/>
      </c>
      <c r="H52" s="26" t="str">
        <f t="shared" si="1"/>
        <v/>
      </c>
      <c r="I52" s="44"/>
      <c r="J52" s="45"/>
    </row>
    <row r="53" spans="1:10" ht="30" customHeight="1" x14ac:dyDescent="0.2">
      <c r="A53" s="10"/>
      <c r="B53" s="72" t="s">
        <v>77</v>
      </c>
      <c r="C53" s="73"/>
      <c r="D53" s="73"/>
      <c r="E53" s="21">
        <v>5</v>
      </c>
      <c r="F53" s="13" t="s">
        <v>26</v>
      </c>
      <c r="G53" s="25" t="str">
        <f t="shared" si="0"/>
        <v/>
      </c>
      <c r="H53" s="26" t="str">
        <f t="shared" si="1"/>
        <v/>
      </c>
      <c r="I53" s="44"/>
      <c r="J53" s="45"/>
    </row>
    <row r="54" spans="1:10" ht="30" customHeight="1" x14ac:dyDescent="0.2">
      <c r="A54" s="10"/>
      <c r="B54" s="72" t="s">
        <v>78</v>
      </c>
      <c r="C54" s="73"/>
      <c r="D54" s="73"/>
      <c r="E54" s="21">
        <v>5</v>
      </c>
      <c r="F54" s="13" t="s">
        <v>26</v>
      </c>
      <c r="G54" s="25" t="str">
        <f t="shared" si="0"/>
        <v/>
      </c>
      <c r="H54" s="26" t="str">
        <f t="shared" si="1"/>
        <v/>
      </c>
      <c r="I54" s="44"/>
      <c r="J54" s="45"/>
    </row>
    <row r="55" spans="1:10" ht="30" customHeight="1" x14ac:dyDescent="0.2">
      <c r="A55" s="10"/>
      <c r="B55" s="72" t="s">
        <v>79</v>
      </c>
      <c r="C55" s="73"/>
      <c r="D55" s="73"/>
      <c r="E55" s="21">
        <v>5</v>
      </c>
      <c r="F55" s="13" t="s">
        <v>26</v>
      </c>
      <c r="G55" s="25" t="str">
        <f t="shared" si="0"/>
        <v/>
      </c>
      <c r="H55" s="26" t="str">
        <f t="shared" si="1"/>
        <v/>
      </c>
      <c r="I55" s="44"/>
      <c r="J55" s="45"/>
    </row>
    <row r="56" spans="1:10" ht="30" customHeight="1" x14ac:dyDescent="0.2">
      <c r="A56" s="10"/>
      <c r="B56" s="72" t="s">
        <v>80</v>
      </c>
      <c r="C56" s="73"/>
      <c r="D56" s="73"/>
      <c r="E56" s="21">
        <v>5</v>
      </c>
      <c r="F56" s="13" t="s">
        <v>26</v>
      </c>
      <c r="G56" s="25" t="str">
        <f t="shared" si="0"/>
        <v/>
      </c>
      <c r="H56" s="26" t="str">
        <f t="shared" si="1"/>
        <v/>
      </c>
      <c r="I56" s="44"/>
      <c r="J56" s="45"/>
    </row>
    <row r="57" spans="1:10" ht="30" customHeight="1" x14ac:dyDescent="0.2">
      <c r="A57" s="10"/>
      <c r="B57" s="72" t="s">
        <v>81</v>
      </c>
      <c r="C57" s="73"/>
      <c r="D57" s="73"/>
      <c r="E57" s="21">
        <v>5</v>
      </c>
      <c r="F57" s="13" t="s">
        <v>26</v>
      </c>
      <c r="G57" s="25" t="str">
        <f t="shared" si="0"/>
        <v/>
      </c>
      <c r="H57" s="26" t="str">
        <f t="shared" si="1"/>
        <v/>
      </c>
      <c r="I57" s="44"/>
      <c r="J57" s="45"/>
    </row>
    <row r="58" spans="1:10" ht="30" customHeight="1" x14ac:dyDescent="0.2">
      <c r="A58" s="10"/>
      <c r="B58" s="72" t="s">
        <v>82</v>
      </c>
      <c r="C58" s="73"/>
      <c r="D58" s="73"/>
      <c r="E58" s="21">
        <v>5</v>
      </c>
      <c r="F58" s="13" t="s">
        <v>26</v>
      </c>
      <c r="G58" s="25" t="str">
        <f t="shared" si="0"/>
        <v/>
      </c>
      <c r="H58" s="26" t="str">
        <f t="shared" si="1"/>
        <v/>
      </c>
      <c r="I58" s="44"/>
      <c r="J58" s="45"/>
    </row>
    <row r="59" spans="1:10" ht="30" customHeight="1" x14ac:dyDescent="0.2">
      <c r="A59" s="10"/>
      <c r="B59" s="72" t="s">
        <v>83</v>
      </c>
      <c r="C59" s="73"/>
      <c r="D59" s="73"/>
      <c r="E59" s="21">
        <v>5</v>
      </c>
      <c r="F59" s="13" t="s">
        <v>26</v>
      </c>
      <c r="G59" s="25" t="str">
        <f t="shared" si="0"/>
        <v/>
      </c>
      <c r="H59" s="26" t="str">
        <f t="shared" si="1"/>
        <v/>
      </c>
      <c r="I59" s="44"/>
      <c r="J59" s="45"/>
    </row>
    <row r="60" spans="1:10" ht="30" customHeight="1" x14ac:dyDescent="0.2">
      <c r="A60" s="10"/>
      <c r="B60" s="72" t="s">
        <v>84</v>
      </c>
      <c r="C60" s="73"/>
      <c r="D60" s="73"/>
      <c r="E60" s="21">
        <v>5</v>
      </c>
      <c r="F60" s="13" t="s">
        <v>26</v>
      </c>
      <c r="G60" s="25" t="str">
        <f t="shared" si="0"/>
        <v/>
      </c>
      <c r="H60" s="26" t="str">
        <f t="shared" si="1"/>
        <v/>
      </c>
      <c r="I60" s="44"/>
      <c r="J60" s="45"/>
    </row>
    <row r="61" spans="1:10" ht="30" customHeight="1" thickBot="1" x14ac:dyDescent="0.25">
      <c r="A61" s="10"/>
      <c r="B61" s="96" t="s">
        <v>85</v>
      </c>
      <c r="C61" s="97"/>
      <c r="D61" s="97"/>
      <c r="E61" s="22">
        <v>5</v>
      </c>
      <c r="F61" s="15" t="s">
        <v>26</v>
      </c>
      <c r="G61" s="27" t="str">
        <f t="shared" si="0"/>
        <v/>
      </c>
      <c r="H61" s="28" t="str">
        <f t="shared" si="1"/>
        <v/>
      </c>
      <c r="I61" s="47"/>
      <c r="J61" s="48"/>
    </row>
    <row r="62" spans="1:10" ht="30" customHeight="1" x14ac:dyDescent="0.2">
      <c r="A62" s="10"/>
      <c r="B62" s="90" t="s">
        <v>86</v>
      </c>
      <c r="C62" s="91"/>
      <c r="D62" s="91"/>
      <c r="E62" s="91"/>
      <c r="F62" s="91"/>
      <c r="G62" s="91"/>
      <c r="H62" s="91"/>
      <c r="I62" s="91"/>
      <c r="J62" s="92"/>
    </row>
    <row r="63" spans="1:10" ht="30" customHeight="1" x14ac:dyDescent="0.2">
      <c r="A63" s="10"/>
      <c r="B63" s="68" t="s">
        <v>87</v>
      </c>
      <c r="C63" s="69"/>
      <c r="D63" s="69"/>
      <c r="E63" s="8">
        <v>5</v>
      </c>
      <c r="F63" s="13" t="s">
        <v>26</v>
      </c>
      <c r="G63" s="25" t="str">
        <f t="shared" si="0"/>
        <v/>
      </c>
      <c r="H63" s="26" t="str">
        <f t="shared" si="1"/>
        <v/>
      </c>
      <c r="I63" s="44"/>
      <c r="J63" s="45"/>
    </row>
    <row r="64" spans="1:10" ht="30" customHeight="1" x14ac:dyDescent="0.2">
      <c r="A64" s="10"/>
      <c r="B64" s="68" t="s">
        <v>88</v>
      </c>
      <c r="C64" s="69"/>
      <c r="D64" s="69"/>
      <c r="E64" s="8">
        <v>5</v>
      </c>
      <c r="F64" s="13" t="s">
        <v>26</v>
      </c>
      <c r="G64" s="25" t="str">
        <f t="shared" si="0"/>
        <v/>
      </c>
      <c r="H64" s="26" t="str">
        <f t="shared" si="1"/>
        <v/>
      </c>
      <c r="I64" s="44"/>
      <c r="J64" s="45"/>
    </row>
    <row r="65" spans="1:10" ht="30" customHeight="1" x14ac:dyDescent="0.2">
      <c r="A65" s="10"/>
      <c r="B65" s="68" t="s">
        <v>89</v>
      </c>
      <c r="C65" s="69"/>
      <c r="D65" s="69"/>
      <c r="E65" s="8">
        <v>5</v>
      </c>
      <c r="F65" s="13" t="s">
        <v>26</v>
      </c>
      <c r="G65" s="25" t="str">
        <f t="shared" si="0"/>
        <v/>
      </c>
      <c r="H65" s="26" t="str">
        <f t="shared" si="1"/>
        <v/>
      </c>
      <c r="I65" s="44"/>
      <c r="J65" s="45"/>
    </row>
    <row r="66" spans="1:10" ht="30" customHeight="1" x14ac:dyDescent="0.2">
      <c r="A66" s="10"/>
      <c r="B66" s="68" t="s">
        <v>90</v>
      </c>
      <c r="C66" s="69"/>
      <c r="D66" s="69"/>
      <c r="E66" s="8">
        <v>5</v>
      </c>
      <c r="F66" s="13" t="s">
        <v>26</v>
      </c>
      <c r="G66" s="25" t="str">
        <f t="shared" si="0"/>
        <v/>
      </c>
      <c r="H66" s="26" t="str">
        <f t="shared" si="1"/>
        <v/>
      </c>
      <c r="I66" s="44"/>
      <c r="J66" s="45"/>
    </row>
    <row r="67" spans="1:10" ht="30" customHeight="1" x14ac:dyDescent="0.2">
      <c r="A67" s="10"/>
      <c r="B67" s="68" t="s">
        <v>91</v>
      </c>
      <c r="C67" s="69"/>
      <c r="D67" s="69"/>
      <c r="E67" s="8">
        <v>5</v>
      </c>
      <c r="F67" s="13" t="s">
        <v>26</v>
      </c>
      <c r="G67" s="25" t="str">
        <f t="shared" si="0"/>
        <v/>
      </c>
      <c r="H67" s="26" t="str">
        <f t="shared" si="1"/>
        <v/>
      </c>
      <c r="I67" s="44"/>
      <c r="J67" s="45"/>
    </row>
    <row r="68" spans="1:10" ht="30" customHeight="1" thickBot="1" x14ac:dyDescent="0.25">
      <c r="A68" s="10"/>
      <c r="B68" s="70" t="s">
        <v>92</v>
      </c>
      <c r="C68" s="71"/>
      <c r="D68" s="71"/>
      <c r="E68" s="19">
        <v>5</v>
      </c>
      <c r="F68" s="15" t="s">
        <v>26</v>
      </c>
      <c r="G68" s="27" t="str">
        <f t="shared" si="0"/>
        <v/>
      </c>
      <c r="H68" s="28" t="str">
        <f t="shared" si="1"/>
        <v/>
      </c>
      <c r="I68" s="47"/>
      <c r="J68" s="48"/>
    </row>
    <row r="69" spans="1:10" ht="30" customHeight="1" thickBot="1" x14ac:dyDescent="0.25">
      <c r="A69" s="10"/>
      <c r="B69" s="88" t="s">
        <v>93</v>
      </c>
      <c r="C69" s="89"/>
      <c r="D69" s="89"/>
      <c r="E69" s="9">
        <v>5</v>
      </c>
      <c r="F69" s="29" t="s">
        <v>26</v>
      </c>
      <c r="G69" s="30" t="str">
        <f t="shared" si="0"/>
        <v/>
      </c>
      <c r="H69" s="14" t="str">
        <f t="shared" si="1"/>
        <v/>
      </c>
      <c r="I69" s="66"/>
      <c r="J69" s="67"/>
    </row>
    <row r="70" spans="1:10" ht="30" customHeight="1" thickBot="1" x14ac:dyDescent="0.25">
      <c r="A70" s="3"/>
      <c r="B70" s="62" t="s">
        <v>5</v>
      </c>
      <c r="C70" s="63"/>
      <c r="D70" s="63"/>
      <c r="E70" s="24">
        <f>SUM(E8:E69)</f>
        <v>300</v>
      </c>
      <c r="F70" s="24">
        <f>SUM(F8:F69)</f>
        <v>0</v>
      </c>
      <c r="G70" s="31"/>
      <c r="H70" s="32"/>
      <c r="I70" s="32"/>
      <c r="J70" s="33"/>
    </row>
    <row r="71" spans="1:10" ht="30" customHeight="1" thickBot="1" x14ac:dyDescent="0.25">
      <c r="A71" s="3"/>
      <c r="B71" s="64" t="s">
        <v>20</v>
      </c>
      <c r="C71" s="65"/>
      <c r="D71" s="65"/>
      <c r="E71" s="40">
        <f>F70/E70/100*100</f>
        <v>0</v>
      </c>
      <c r="F71" s="40"/>
      <c r="G71" s="40"/>
      <c r="H71" s="40"/>
      <c r="I71" s="40"/>
      <c r="J71" s="41"/>
    </row>
    <row r="72" spans="1:10" ht="30" customHeight="1" thickBot="1" x14ac:dyDescent="0.25">
      <c r="A72" s="3"/>
      <c r="B72" s="64" t="s">
        <v>21</v>
      </c>
      <c r="C72" s="65"/>
      <c r="D72" s="65"/>
      <c r="E72" s="58" t="str">
        <f>_xlfn.IFS(E71&gt;=90%,"ممتاز",E71&gt;=80%,"جيد جداً",E71&gt;=70%,"جيد",E71&gt;=60%,"مقبول",E71&lt;60%,"راسب")</f>
        <v>راسب</v>
      </c>
      <c r="F72" s="58"/>
      <c r="G72" s="58"/>
      <c r="H72" s="58"/>
      <c r="I72" s="58"/>
      <c r="J72" s="59"/>
    </row>
    <row r="73" spans="1:10" ht="42" customHeight="1" x14ac:dyDescent="0.2">
      <c r="B73" s="54" t="s">
        <v>27</v>
      </c>
      <c r="C73" s="54"/>
      <c r="D73" s="54"/>
      <c r="E73" s="60" t="s">
        <v>18</v>
      </c>
      <c r="F73" s="60"/>
      <c r="G73" s="56" t="s">
        <v>24</v>
      </c>
      <c r="H73" s="56"/>
      <c r="I73" s="56"/>
      <c r="J73" s="56"/>
    </row>
    <row r="74" spans="1:10" ht="51" customHeight="1" x14ac:dyDescent="0.2">
      <c r="A74" s="4"/>
      <c r="B74" s="55"/>
      <c r="C74" s="55"/>
      <c r="D74" s="55"/>
      <c r="E74" s="61" t="s">
        <v>19</v>
      </c>
      <c r="F74" s="61"/>
      <c r="G74" s="57"/>
      <c r="H74" s="57"/>
      <c r="I74" s="57"/>
      <c r="J74" s="5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0">
    <mergeCell ref="G9:G11"/>
    <mergeCell ref="H9:H11"/>
    <mergeCell ref="B68:D68"/>
    <mergeCell ref="B69:D69"/>
    <mergeCell ref="I9:J11"/>
    <mergeCell ref="B8:J8"/>
    <mergeCell ref="B24:J24"/>
    <mergeCell ref="B33:J33"/>
    <mergeCell ref="B38:J38"/>
    <mergeCell ref="B49:D49"/>
    <mergeCell ref="B62:J62"/>
    <mergeCell ref="B58:D58"/>
    <mergeCell ref="B59:D59"/>
    <mergeCell ref="B60:D60"/>
    <mergeCell ref="B61:D61"/>
    <mergeCell ref="B63:D63"/>
    <mergeCell ref="B64:D64"/>
    <mergeCell ref="B65:D65"/>
    <mergeCell ref="B66:D66"/>
    <mergeCell ref="B67:D67"/>
    <mergeCell ref="B48:D48"/>
    <mergeCell ref="B50:D50"/>
    <mergeCell ref="B51:D51"/>
    <mergeCell ref="B52:D52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9:D9"/>
    <mergeCell ref="E9:E11"/>
    <mergeCell ref="B12:D12"/>
    <mergeCell ref="B13:D13"/>
    <mergeCell ref="B14:D14"/>
    <mergeCell ref="B15:D15"/>
    <mergeCell ref="B16:D16"/>
    <mergeCell ref="B17:D17"/>
    <mergeCell ref="I32:J32"/>
    <mergeCell ref="B18:D18"/>
    <mergeCell ref="B19:D19"/>
    <mergeCell ref="B20:D20"/>
    <mergeCell ref="B21:D21"/>
    <mergeCell ref="B22:D22"/>
    <mergeCell ref="B23:D23"/>
    <mergeCell ref="B25:D25"/>
    <mergeCell ref="B26:D26"/>
    <mergeCell ref="B27:D27"/>
    <mergeCell ref="B28:D28"/>
    <mergeCell ref="B29:D29"/>
    <mergeCell ref="B30:D30"/>
    <mergeCell ref="B31:D31"/>
    <mergeCell ref="B32:D32"/>
    <mergeCell ref="F9:F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64:J64"/>
    <mergeCell ref="I34:J34"/>
    <mergeCell ref="I35:J35"/>
    <mergeCell ref="I36:J36"/>
    <mergeCell ref="B70:D70"/>
    <mergeCell ref="B71:D71"/>
    <mergeCell ref="B72:D72"/>
    <mergeCell ref="I59:J59"/>
    <mergeCell ref="I60:J60"/>
    <mergeCell ref="I61:J61"/>
    <mergeCell ref="I65:J65"/>
    <mergeCell ref="I66:J66"/>
    <mergeCell ref="I67:J67"/>
    <mergeCell ref="I68:J68"/>
    <mergeCell ref="I69:J69"/>
    <mergeCell ref="B34:D34"/>
    <mergeCell ref="B35:D35"/>
    <mergeCell ref="B36:D36"/>
    <mergeCell ref="B37:D37"/>
    <mergeCell ref="B55:D55"/>
    <mergeCell ref="B56:D56"/>
    <mergeCell ref="B57:D57"/>
    <mergeCell ref="B53:D53"/>
    <mergeCell ref="B54:D54"/>
    <mergeCell ref="B73:D74"/>
    <mergeCell ref="G73:J73"/>
    <mergeCell ref="G74:J74"/>
    <mergeCell ref="E72:J7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I47:J47"/>
    <mergeCell ref="E73:F73"/>
    <mergeCell ref="E74:F74"/>
    <mergeCell ref="I48:J48"/>
    <mergeCell ref="G70:J70"/>
    <mergeCell ref="B1:J1"/>
    <mergeCell ref="F2:J2"/>
    <mergeCell ref="B5:D6"/>
    <mergeCell ref="C2:D2"/>
    <mergeCell ref="C3:D3"/>
    <mergeCell ref="F3:J3"/>
    <mergeCell ref="E71:J71"/>
    <mergeCell ref="B7:D7"/>
    <mergeCell ref="I39:J39"/>
    <mergeCell ref="I30:J30"/>
    <mergeCell ref="I31:J31"/>
    <mergeCell ref="E5:H5"/>
    <mergeCell ref="I37:J37"/>
    <mergeCell ref="I5:J6"/>
    <mergeCell ref="I7:J7"/>
    <mergeCell ref="I19:J19"/>
    <mergeCell ref="I20:J20"/>
    <mergeCell ref="I21:J21"/>
    <mergeCell ref="I22:J22"/>
    <mergeCell ref="I23:J23"/>
    <mergeCell ref="I25:J25"/>
    <mergeCell ref="I45:J45"/>
    <mergeCell ref="I63:J63"/>
  </mergeCells>
  <conditionalFormatting sqref="E72">
    <cfRule type="expression" dxfId="23" priority="57">
      <formula>$E72="راسب"</formula>
    </cfRule>
  </conditionalFormatting>
  <conditionalFormatting sqref="E72:J72">
    <cfRule type="expression" dxfId="22" priority="58">
      <formula>$E72="مقبول"</formula>
    </cfRule>
    <cfRule type="expression" dxfId="21" priority="59">
      <formula>$E72="جيد"</formula>
    </cfRule>
    <cfRule type="expression" dxfId="20" priority="60">
      <formula>$E72="جيد جداً"</formula>
    </cfRule>
    <cfRule type="expression" dxfId="19" priority="61">
      <formula>$E72="ممتاز"</formula>
    </cfRule>
  </conditionalFormatting>
  <conditionalFormatting sqref="H12:H23 H25:H32 H34:H37 H39:H61 H63:H69">
    <cfRule type="containsText" dxfId="18" priority="39" operator="containsText" text="ممتاز">
      <formula>NOT(ISERROR(SEARCH("ممتاز",H12)))</formula>
    </cfRule>
    <cfRule type="containsText" dxfId="17" priority="40" operator="containsText" text="جيد جداً">
      <formula>NOT(ISERROR(SEARCH("جيد جداً",H12)))</formula>
    </cfRule>
    <cfRule type="containsText" dxfId="16" priority="41" operator="containsText" text="جيد">
      <formula>NOT(ISERROR(SEARCH("جيد",H12)))</formula>
    </cfRule>
    <cfRule type="containsText" dxfId="15" priority="42" operator="containsText" text="مقبول">
      <formula>NOT(ISERROR(SEARCH("مقبول",H12)))</formula>
    </cfRule>
    <cfRule type="containsText" dxfId="14" priority="43" operator="containsText" text="راسب">
      <formula>NOT(ISERROR(SEARCH("راسب",H12)))</formula>
    </cfRule>
  </conditionalFormatting>
  <conditionalFormatting sqref="H12:H23 H25:H32 H34:H37 H39:H61 H63:H69">
    <cfRule type="containsText" dxfId="13" priority="38" operator="containsText" text="أدخل العلامة">
      <formula>NOT(ISERROR(SEARCH("أدخل العلامة",H12)))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73:J73">
    <cfRule type="containsText" dxfId="8" priority="15" operator="containsText" text="أدخل اسم المحكم">
      <formula>NOT(ISERROR(SEARCH("أدخل اسم المحكم",G73)))</formula>
    </cfRule>
  </conditionalFormatting>
  <conditionalFormatting sqref="F12:F23 F25:F32 F34:F37 F39:F61 F63:F69">
    <cfRule type="containsText" dxfId="7" priority="14" operator="containsText" text="أدخل العلامة">
      <formula>NOT(ISERROR(SEARCH("أدخل العلامة",F12)))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#REF!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F27:F31 F39:F61 F63:F69 F25 F9 F12:F23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G73:J73 F3:J3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C3:D3</xm:sqref>
        </x14:dataValidation>
        <x14:dataValidation type="list" allowBlank="1" showInputMessage="1" showErrorMessage="1" xr:uid="{81AA991B-18C9-4522-884D-F8DBEE73D860}">
          <x14:formula1>
            <xm:f>#REF!</xm:f>
          </x14:formula1>
          <xm:sqref>F26 F32 F34 F35 F36 F37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2026-08-30T04:37:32Z</dcterms:modified>
</cp:coreProperties>
</file>