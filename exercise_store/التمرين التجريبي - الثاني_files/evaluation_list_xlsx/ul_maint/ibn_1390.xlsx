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98DC18E2-8F11-4EB7-979F-4015E061D68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التقييم'!$A$1:$J$84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3" i="2"/>
  <c r="H13" i="2"/>
  <c r="G14" i="2"/>
  <c r="H14" i="2"/>
  <c r="G15" i="2"/>
  <c r="H15" i="2"/>
  <c r="G16" i="2"/>
  <c r="H16" i="2"/>
  <c r="G17" i="2"/>
  <c r="H17" i="2"/>
  <c r="G18" i="2"/>
  <c r="H18" i="2"/>
  <c r="G20" i="2"/>
  <c r="H20" i="2"/>
  <c r="G21" i="2"/>
  <c r="H21" i="2"/>
  <c r="G22" i="2"/>
  <c r="H22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2" i="2"/>
  <c r="H62" i="2"/>
  <c r="G63" i="2"/>
  <c r="H63" i="2"/>
  <c r="G64" i="2"/>
  <c r="H64" i="2"/>
  <c r="G65" i="2"/>
  <c r="H65" i="2"/>
  <c r="G66" i="2"/>
  <c r="H66" i="2"/>
  <c r="G67" i="2"/>
  <c r="H67" i="2"/>
  <c r="G69" i="2"/>
  <c r="H69" i="2"/>
  <c r="G70" i="2"/>
  <c r="H70" i="2"/>
  <c r="G71" i="2"/>
  <c r="H71" i="2"/>
  <c r="G72" i="2"/>
  <c r="H72" i="2"/>
  <c r="G73" i="2"/>
  <c r="H73" i="2"/>
  <c r="G74" i="2"/>
  <c r="H74" i="2"/>
  <c r="G75" i="2"/>
  <c r="H75" i="2"/>
  <c r="G76" i="2"/>
  <c r="H76" i="2"/>
  <c r="G77" i="2"/>
  <c r="H77" i="2"/>
  <c r="G78" i="2"/>
  <c r="H78" i="2"/>
  <c r="G79" i="2"/>
  <c r="H79" i="2" s="1"/>
  <c r="F80" i="2"/>
  <c r="E80" i="2"/>
  <c r="E81" i="2"/>
  <c r="E82" i="2" s="1"/>
</calcChain>
</file>

<file path=xl/sharedStrings.xml><?xml version="1.0" encoding="utf-8"?>
<sst xmlns="http://schemas.openxmlformats.org/spreadsheetml/2006/main" count="310" uniqueCount="253">
  <si>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</si>
  <si>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</si>
  <si>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</si>
  <si>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</si>
  <si>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</si>
  <si>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</si>
  <si>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</si>
  <si>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</si>
  <si>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</si>
  <si>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</si>
  <si>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</si>
  <si>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</si>
  <si>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</si>
  <si>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</si>
  <si>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</si>
  <si>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</si>
  <si>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</si>
  <si>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</si>
  <si>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</si>
  <si>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</si>
  <si>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</si>
  <si>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</si>
  <si>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</si>
  <si>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</si>
  <si>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</si>
  <si>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</si>
  <si>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</si>
  <si>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</si>
  <si>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</si>
  <si>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</si>
  <si>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</si>
  <si>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</si>
  <si>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</si>
  <si>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</si>
  <si>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</si>
  <si>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</si>
  <si>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</si>
  <si>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</si>
  <si>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</si>
  <si>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</si>
  <si>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</si>
  <si>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</si>
  <si>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</si>
  <si>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</si>
  <si>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</si>
  <si>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</si>
  <si>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</si>
  <si>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</si>
  <si>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</si>
  <si>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</si>
  <si>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</si>
  <si>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</si>
  <si>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</si>
  <si>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</si>
  <si>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</si>
  <si>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</si>
  <si>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</si>
  <si>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</si>
  <si>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</si>
  <si>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</si>
  <si>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</si>
  <si>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</si>
  <si>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</si>
  <si>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</si>
  <si>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</si>
  <si>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</si>
  <si>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</si>
  <si>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</si>
  <si>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</si>
  <si>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</si>
  <si>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</si>
  <si>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</si>
  <si>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</si>
  <si>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</si>
  <si>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</si>
  <si>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</si>
  <si>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</si>
  <si>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</si>
  <si>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</si>
  <si>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</si>
  <si>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</si>
  <si>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</si>
  <si>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</si>
  <si>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</si>
  <si>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</si>
  <si>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</si>
  <si>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</si>
  <si>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</si>
  <si>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</si>
  <si>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</si>
  <si>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</si>
  <si>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</si>
  <si>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</si>
  <si>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</si>
  <si>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</si>
  <si>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</si>
  <si>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</si>
  <si>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</si>
  <si>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</si>
  <si>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</si>
  <si>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</si>
  <si>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</si>
  <si>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</si>
  <si>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</si>
  <si>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</si>
  <si>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</si>
  <si>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</si>
  <si>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</si>
  <si>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</si>
  <si>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</si>
  <si>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</si>
  <si>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</si>
  <si>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</si>
  <si>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</si>
  <si>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</si>
  <si>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</si>
  <si>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</si>
  <si>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</si>
  <si>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</si>
  <si>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</si>
  <si>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</si>
  <si>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</si>
  <si>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</si>
  <si>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</si>
  <si>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</si>
  <si>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</si>
  <si>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</si>
  <si>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</si>
  <si>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</si>
  <si>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</si>
  <si>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</si>
  <si>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</si>
  <si>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</si>
  <si>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</si>
  <si>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</si>
  <si>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</si>
  <si>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</si>
  <si>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</si>
  <si>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</si>
  <si>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</si>
  <si>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</si>
  <si>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</si>
  <si>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</si>
  <si>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</si>
  <si>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</si>
  <si>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</si>
  <si>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</si>
  <si>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</si>
  <si>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</si>
  <si>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</si>
  <si>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</si>
  <si>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</si>
  <si>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</si>
  <si>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</si>
  <si>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</si>
  <si>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</si>
  <si>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</si>
  <si>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</si>
  <si>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</si>
  <si>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</si>
  <si>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</si>
  <si>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</si>
  <si>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</si>
  <si>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</si>
  <si>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</si>
  <si>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</si>
  <si>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</si>
  <si>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</si>
  <si>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</si>
  <si>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</si>
  <si>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</si>
  <si>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</si>
  <si>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</si>
  <si>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</si>
  <si>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</si>
  <si>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</si>
  <si>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</si>
  <si>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</si>
  <si>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</si>
  <si>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</si>
  <si>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عــــام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</si>
  <si>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استلام برقية رفع الحالة وتفهم القائد بمضمون البرقية في الوقت المحدد.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</si>
  <si>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الإشراف والمتابعة من المستوى الأعلى وقيادة المستوى نفسه.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</si>
  <si>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مدى كفاءة القائد القيادية والذهنية.</t>
    </r>
  </si>
  <si>
    <t>إجراءات القائد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</si>
  <si>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الرد بالاعتراف على برقية رفع الحالة حسب الوقت المحدد.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</si>
  <si>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تسجيل برقية رفع الحالة في سجل الحوادث.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</si>
  <si>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عمل تقدير موقف ذهني وسريع من قبل القائد.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</si>
  <si>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إنذار الوحدة بالمهمة ووسائل الإنذار المتوفرة.</t>
    </r>
  </si>
  <si>
    <r>
      <t>5.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التقيد بأصول المخابرة في عملية إرسال البرقية.</t>
    </r>
  </si>
  <si>
    <r>
      <t>6.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التقيد بواجبات الأركان الصغرى في كتابة الأمر الإنذاري.</t>
    </r>
  </si>
  <si>
    <t>وسائل الإنذار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</si>
  <si>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استخدام وسائل الإنذار المتوفرة (المسموعة، المرئية، الضوئية) حسب ما جاء في تعليمات التحول.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</si>
  <si>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وصولها إلى المرؤوسين وتفهمها من قبلهم.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</si>
  <si>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إصدار الأوامر إلى القادة المرؤوسين (شفهية، مكتوبة، بواسطة اللاسلكي).</t>
    </r>
  </si>
  <si>
    <r>
      <t>إجراءات التحـول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</si>
  <si>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تحرك الوحدات المرؤوسة لتنفيذ التحول حسب تعليمات رفع حالات الاستعداد القتالي (حسب الخطة الزمنية لتعليمات رفع حالات الاستعداد القتالي).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</si>
  <si>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التزام مرتب الوحدة (الفصائل) وتنفيذها بطريقة سليمة (تفهم الجميع للخطة الموضوعة) وحسب الحالة المطلوبة.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</si>
  <si>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مدى سيطرة ضباط السرية على تحركات ضباط الصف والجنود، ومرونة القيادة في التغلب على العقبات التي قد تحدث إثناء العمل.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</si>
  <si>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مدى التقيد بالتوقيتات المبينة في الخطة الزمنية.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</si>
  <si>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أسلوب وإجراءات تنفيذ الخطة الزمنية.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</si>
  <si>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الحماس وجديـة الضبـاط والرتـب الأخرى في تنفيـذ الواجبات ومـــدى تفهمهم لإجراءات رفع الحالة.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</si>
  <si>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إجراءات التحميل / تعبئة الذخيرة (التقيد باحتياطات الأمان ومخطط التحميل).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</si>
  <si>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استلام المهمات الكيميائية.</t>
    </r>
  </si>
  <si>
    <r>
      <t>9.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التأكد من تعبئة وتحميل الوقود والمياه.</t>
    </r>
  </si>
  <si>
    <r>
      <t>10.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التأكد من تحميل الأرزاق لـ (48) ساعة.</t>
    </r>
  </si>
  <si>
    <r>
      <t>11.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التأكد من تحميل المهمات الإدارية والهندسية التابعة للسرية.</t>
    </r>
  </si>
  <si>
    <r>
      <t>12.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التأكد من تركيب الأسلحة والأجهزة واختبارها.</t>
    </r>
  </si>
  <si>
    <t>جاهزية القوة.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</si>
  <si>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اصطفاف القوة بالميدان في الوقت المحدد في تعليمات رفع حالات الاستعداد القتالي وتسليم رئيس فريق التقييم من قبل قائد القوة.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</si>
  <si>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جاهزية الضباط والأفراد من حيث (السلاح وملحقاته، حقائب الكتف، القلادة المعدنية، البطاقة، رخصة السواقة، حقيبة الميدان، مفكرة الميدان للضباط).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</si>
  <si>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مدى إلمام الضباط والرتب الأخرى باستخدام المعدات والآليات حسب تخصصاتهم.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</si>
  <si>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جداول الركوب والتحميل طبقاً لحالات الاستعداد القتالي ومطابقته للواقع.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</si>
  <si>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عدم تحميل الآليات أكثر من طاقتها.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</si>
  <si>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سجلات استلام الذخائر.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</si>
  <si>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جاهزية الآليات من حيث (الوقود، المياه، العدة، سجل الآلية، وتحميل شباك التمويه مع العصي، إلخ...).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</si>
  <si>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مدى التقيد بتعليمات المؤخرة للقوة.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</si>
  <si>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نسبة استكمال الأسلحة والمعدات.</t>
    </r>
  </si>
  <si>
    <t>فـرش المتاع (حقيبة الميدان ومحتوياتها كما يلي:)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</si>
  <si>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عدد (1) بدله مموهة.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</si>
  <si>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خـوذه.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</si>
  <si>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فوطه.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</si>
  <si>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جراب.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</si>
  <si>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ملابس داخلية فانيله.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</si>
  <si>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ملابس رياضة (شورت، حذاء، فأنله).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</si>
  <si>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أدوات الطعام.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</si>
  <si>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أدوات خياطة.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</si>
  <si>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أدوات حلاقة + معجون وفرشاة أسنان.</t>
    </r>
  </si>
  <si>
    <r>
      <t>10.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كيس النوم.</t>
    </r>
  </si>
  <si>
    <r>
      <t>11.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لباس مدني.</t>
    </r>
  </si>
  <si>
    <r>
      <t>12.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شماغ (عسكري / مدني).</t>
    </r>
  </si>
  <si>
    <r>
      <t>13.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مشمع أرضي.</t>
    </r>
  </si>
  <si>
    <r>
      <t>14.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ترتيب ونظافة محتويات الحقيبة.</t>
    </r>
  </si>
  <si>
    <r>
      <t>اختبار المعلومات العسكرية للمرتب في</t>
    </r>
    <r>
      <rPr>
        <b/>
        <sz val="12"/>
        <color rgb="FF000000"/>
        <rFont val="Arial"/>
        <family val="2"/>
      </rPr>
      <t xml:space="preserve"> 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</si>
  <si>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الأسلحة وخصائصها الفنية ومسمياتها.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</si>
  <si>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الذخائر (الخطوط، الوحدة الحسابية).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</si>
  <si>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الهيكل التنظيمي للوحدة تحت التقييم.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</si>
  <si>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أمن الأفراد والمعسكرات والمنشآت.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</si>
  <si>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التخصصات المهنية.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</si>
  <si>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حالات الاستعداد القتالي.</t>
    </r>
  </si>
  <si>
    <t>صندوق أو آلية الوثائق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</si>
  <si>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توفر صندوق لحفظ الوثائق والسجلات والقرطاسية اللازمة.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</si>
  <si>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توفر الخرائط والخطط الضرورية.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</si>
  <si>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توفر وصلاحية الإضاءة الرئيسة والبديلة.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</si>
  <si>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توفر وصلاحية وسائل الاتصالات الإشارية.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</si>
  <si>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إعداد وتجهيز الآلية.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</si>
  <si>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وجود فهرس بمحتويات الصندوق ومطابقته مع الموجود.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</si>
  <si>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الأوامر الثابتة لقيادته.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</si>
  <si>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قوائم التوزيع الشهرية.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</si>
  <si>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نموذج برقيــات.</t>
    </r>
  </si>
  <si>
    <r>
      <t>10.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توفر كشف بأرقام الهواتف الهامة (عسكرية، مدنية).</t>
    </r>
  </si>
  <si>
    <r>
      <t>11.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وجود وإدامة سجل الوارد والصادر.</t>
    </r>
  </si>
  <si>
    <r>
      <rPr>
        <b/>
        <sz val="14"/>
        <color rgb="FF000000"/>
        <rFont val="Arial"/>
        <family val="2"/>
      </rPr>
      <t>تقييم رفع جاهزية سرية الصيانة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</si>
</sst>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" fillId="0" borderId="4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508802</xdr:colOff>
      <xdr:row>82</xdr:row>
      <xdr:rowOff>232048</xdr:rowOff>
    </xdr:from>
    <xdr:to>
      <xdr:col>9</xdr:col>
      <xdr:colOff>664288</xdr:colOff>
      <xdr:row>83</xdr:row>
      <xdr:rowOff>601888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A5106FE-F99D-B6F4-7CA3-E9D68BF462DA}"/>
                </a:ext>
              </a:extLst>
            </xdr14:cNvPr>
            <xdr14:cNvContentPartPr/>
          </xdr14:nvContentPartPr>
          <xdr14:nvPr macro=""/>
          <xdr14:xfrm>
            <a:off x="10435729276" y="33448320"/>
            <a:ext cx="2129760" cy="9032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A5106FE-F99D-B6F4-7CA3-E9D68BF462D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5720636" y="33439680"/>
              <a:ext cx="2147400" cy="92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44750</xdr:colOff>
      <xdr:row>83</xdr:row>
      <xdr:rowOff>151528</xdr:rowOff>
    </xdr:from>
    <xdr:to>
      <xdr:col>9</xdr:col>
      <xdr:colOff>70288</xdr:colOff>
      <xdr:row>83</xdr:row>
      <xdr:rowOff>544288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BB2F210-D7FC-7F81-6D0C-7F7719AC91F1}"/>
                </a:ext>
              </a:extLst>
            </xdr14:cNvPr>
            <xdr14:cNvContentPartPr/>
          </xdr14:nvContentPartPr>
          <xdr14:nvPr macro=""/>
          <xdr14:xfrm>
            <a:off x="10436323276" y="33901200"/>
            <a:ext cx="1341720" cy="3927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DBB2F210-D7FC-7F81-6D0C-7F7719AC91F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36314636" y="33892200"/>
              <a:ext cx="1359360" cy="410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9T05:47:59.62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3585 2269 3776,'0'0'0,"5"-24"2473,-5 24-2473,16-19 112,-4-1-80,-7 3-8,8 17 40,-13 0-64,5-2 80,2-1 8,5-1-40,-8 2 0,-4 2-48,14 0 0,-9 0 16,11 0-8,-2 0-32,-14 0 24,5 0-8,12 4-32,-13 1 0,13 0-16,-17-5 56,4 5-72,-1 0-40,2 0-40,-1 1-24,-4-6 176,0 5-160,0 0 80,-4 0 8,-16 0 48,20-5 24,-20 3 0,-10-3-16,-10 0 48,-10 0 8,50 0-40,-60-1 24,-15-6 64,-15-10-8,-5 2 16,95 15-96,-106-18 104,-4-2-80,-7 0 24,-3-4-24,120 24-24,-123-24 40,-9-5-8,2-4 0,-2-4 24,132 37-56,-126-41 8,-1-3 0,8-3 8,58 24 24,61 23-40,-70-31 48,0-3-8,-10-5-24,5-6 8,75 45-24,-84-51 16,9-5 64,-9-9 16,13-3 0,71 68-96,-58-72 160,9-3 8,16-3 56,11 0-8,22 78-216,-3-82 176,3 2 0,25-2-8,13 0 24,-38 82-192,48-82 136,16 2-24,13 1-24,99-60-96,-176 139 8,185-113 40,-3 26 8,-13 24 0,-1 15 24,-168 48-72,174-41 64,8 7-56,7 8 0,-4 8 16,-185 18-24,193-5 0,-4 3 96,4 2-112,0 14 16,-193-14 0,192 20 8,-4 2-112,-1 7 128,-9 0-32,-178-29 8,171 34 8,-5 2 40,-12 3-16,-15 1-32,-139-40 0,128 40 40,-18 1-32,-9 0-16,-14 2-16,-87-43 24,75 41-72,-17 3-64,-16 2 8,-16 2-8,-26-48 136,14 51-168,-14 0-8,-17 1 96,-18 2 48,35-54 32,-48 57 0,-20-1 24,-17 0-32,-10 0-16,95-56 24,-113 53-16,-6 4 56,-19 1-72,-10 2 8,148-60 24,-167 62-48,-6 4-16,-12-1 32,-2 0-8,187-65 40,-198 63-64,-9-2 32,-6 1 16,-5-4 8,218-58 8,-215 58 32,-3-2 24,3 0-56,-3-3-8,218-53 8,-215 51-32,7-3-88,107-26 104,-25 6-8,126-28 24,-122 25-80,-21 6-40,5-2-112,-19 3-32,157-32 264,-75 16-112,-9 1-32,-8 2 56,-3 1-96,95-20 184,-90 19-304,-5 0 32,8-2-16,-2 0 72,89-17 216,-79 17-224,-1 0 96,10-4 8,2 3 88,68-16 32,-59 5-16,3 14-264,9-16-201,5 2-79,42-5 560,-33 5-648,8 0-1344,25-5 1992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9T05:48:00.53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2932 304 4056,'0'0'0,"63"-26"777,17-8-105,18-7 8,-98 41-680,79-32 568,-18 4-48,-5 3-168,-7 3-128,-49 22-224,45-21 216,-6 4-80,-6 2 24,-7 8-24,-26 7-136,21-17 168,-2 12-32,-15 0 8,12-1-64,-16 6-80,-2-3 64,-3 3-304,-11 0-72,0 3 8,16-3 304,-21 4-360,-9 1 248,-10 12 40,-7-12 8,47-5 64,-59 22-40,-6-5 40,-15 0 8,-6 4 56,86-21-64,-96 20 56,-16 1 0,-3 4 8,-7 3-48,122-28-16,-126 30 32,-4 1-48,-8 0 16,-7 3-8,145-34 8,-148 32-16,-3 1 8,-1 3 8,3-1 8,149-35-8,-148 36 48,5 2-32,1-1-16,6 1 0,136-38 0,-131 37-32,4-3 40,11 2-24,4-5 24,9-2-64,103-29 56,-91 26-48,4-4 40,52-17 16,-7 12-24,42-17 16,-33 5-16,-2 14-144,12-14-672,0 14-128,23-19 960,-15 3-944,13 12-2737,2-15 3681</inkml:trace>
  <inkml:trace contextRef="#ctx0" brushRef="#br0" timeOffset="1">2340 609 6601,'0'0'0,"87"-26"1416,-87 26-1416,112-27 712,17-4-168,-24 6-55,-26 1-145,-79 24-344,70-19 200,-8 2-128,-16 4-72,-13 6-40,-33 7 40,21-17 16,-17 13-48,1-1-104,-11 0-40,6 5 176,-29-3-152,-11 1 32,-11 2 48,-14 0 32,65 0 40,-78 0-8,-5 5-8,-12 12 32,-5-12-8,100-5-8,-108 19 0,-6-5-8,-5 1 8,-7 4-40,126-19 40,-133 18-32,-3 3 24,-4 3-8,0 1 24,140-25-8,-138 28 16,-3 2-40,4 3 24,-1 3 72,138-36-72,-138 41-40,8-1-8,7 3 24,4 0-72,119-43 96,-107 42-73,55-19 105,-9 4-112,3 4-720,58-31 800,-66 34-1496,10-4-96,-9 13-2625,65-43 4217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84"/>
  <sheetViews>
    <sheetView rightToLeft="1" tabSelected="1" view="pageBreakPreview" zoomScale="130" zoomScaleNormal="100" zoomScaleSheetLayoutView="130" workbookViewId="0">
      <selection activeCell="F78" sqref="F78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1" t="s">
        <v>252</v>
      </c>
      <c r="C1" s="61"/>
      <c r="D1" s="61"/>
      <c r="E1" s="61"/>
      <c r="F1" s="61"/>
      <c r="G1" s="61"/>
      <c r="H1" s="61"/>
      <c r="I1" s="61"/>
      <c r="J1" s="61"/>
    </row>
    <row r="2" spans="1:10" ht="30" customHeight="1" x14ac:dyDescent="0.3">
      <c r="B2" s="12" t="s">
        <v>8</v>
      </c>
      <c r="C2" s="67" t="s">
        <v>32</v>
      </c>
      <c r="D2" s="67"/>
      <c r="E2" s="12" t="s">
        <v>7</v>
      </c>
      <c r="F2" s="62">
        <v>45929</v>
      </c>
      <c r="G2" s="62"/>
      <c r="H2" s="62"/>
      <c r="I2" s="62"/>
      <c r="J2" s="62"/>
    </row>
    <row r="3" spans="1:10" ht="30" customHeight="1" x14ac:dyDescent="0.3">
      <c r="B3" s="12" t="s">
        <v>9</v>
      </c>
      <c r="C3" s="67" t="s">
        <v>67</v>
      </c>
      <c r="D3" s="67"/>
      <c r="E3" s="12" t="s">
        <v>6</v>
      </c>
      <c r="F3" s="67" t="s">
        <v>136</v>
      </c>
      <c r="G3" s="67"/>
      <c r="H3" s="67"/>
      <c r="I3" s="67"/>
      <c r="J3" s="67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3" t="s">
        <v>0</v>
      </c>
      <c r="C5" s="64"/>
      <c r="D5" s="64"/>
      <c r="E5" s="72" t="s">
        <v>1</v>
      </c>
      <c r="F5" s="72"/>
      <c r="G5" s="72"/>
      <c r="H5" s="72"/>
      <c r="I5" s="72" t="s">
        <v>2</v>
      </c>
      <c r="J5" s="73"/>
    </row>
    <row r="6" spans="1:10" ht="24.9" customHeight="1" thickBot="1" x14ac:dyDescent="0.35">
      <c r="A6" s="10"/>
      <c r="B6" s="65"/>
      <c r="C6" s="66"/>
      <c r="D6" s="66"/>
      <c r="E6" s="11" t="s">
        <v>3</v>
      </c>
      <c r="F6" s="11" t="s">
        <v>4</v>
      </c>
      <c r="G6" s="11" t="s">
        <v>23</v>
      </c>
      <c r="H6" s="11" t="s">
        <v>24</v>
      </c>
      <c r="I6" s="74"/>
      <c r="J6" s="75"/>
    </row>
    <row r="7" spans="1:10" ht="24.9" customHeight="1" thickBot="1" x14ac:dyDescent="0.35">
      <c r="A7" s="10"/>
      <c r="B7" s="70" t="s">
        <v>21</v>
      </c>
      <c r="C7" s="71"/>
      <c r="D7" s="71"/>
      <c r="E7" s="30" t="s">
        <v>18</v>
      </c>
      <c r="F7" s="30" t="s">
        <v>19</v>
      </c>
      <c r="G7" s="30" t="s">
        <v>22</v>
      </c>
      <c r="H7" s="30" t="s">
        <v>20</v>
      </c>
      <c r="I7" s="76" t="s">
        <v>25</v>
      </c>
      <c r="J7" s="77"/>
    </row>
    <row r="8" spans="1:10" ht="30" customHeight="1" x14ac:dyDescent="0.3">
      <c r="A8" s="10"/>
      <c r="B8" s="43" t="s">
        <v>180</v>
      </c>
      <c r="C8" s="44"/>
      <c r="D8" s="44"/>
      <c r="E8" s="28"/>
      <c r="F8" s="34"/>
      <c r="G8" s="35"/>
      <c r="H8" s="36"/>
      <c r="I8" s="47"/>
      <c r="J8" s="48"/>
    </row>
    <row r="9" spans="1:10" ht="39.9" customHeight="1" x14ac:dyDescent="0.3">
      <c r="A9" s="10"/>
      <c r="B9" s="39" t="s">
        <v>181</v>
      </c>
      <c r="C9" s="40"/>
      <c r="D9" s="40"/>
      <c r="E9" s="9">
        <v>5</v>
      </c>
      <c r="F9" s="26">
        <v>3.5</v>
      </c>
      <c r="G9" s="32">
        <f>IFERROR(F9/E9,"")</f>
        <v>0.7</v>
      </c>
      <c r="H9" s="33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3"/>
      <c r="J9" s="54"/>
    </row>
    <row r="10" spans="1:10" ht="30" customHeight="1" x14ac:dyDescent="0.3">
      <c r="A10" s="10"/>
      <c r="B10" s="39" t="s">
        <v>182</v>
      </c>
      <c r="C10" s="40"/>
      <c r="D10" s="40"/>
      <c r="E10" s="9">
        <v>5</v>
      </c>
      <c r="F10" s="26">
        <v>3.75</v>
      </c>
      <c r="G10" s="32">
        <f t="shared" ref="G10:G73" si="0">IFERROR(F10/E10,"")</f>
        <v>0.75</v>
      </c>
      <c r="H10" s="33" t="str">
        <f t="shared" ref="H10:H73" si="1">_xlfn.IFS(F10="أدخل العلامة","",F10="لا ينطبق","تم الإلغاء",G10&gt;=90%,"ممتاز",G10&gt;=80%,"جيد جداً",G10&gt;=70%,"جيد",G10&gt;=60%,"مقبول",G10&lt;60%,"راسب")</f>
        <v>جيد</v>
      </c>
      <c r="I10" s="53"/>
      <c r="J10" s="54"/>
    </row>
    <row r="11" spans="1:10" ht="30" customHeight="1" thickBot="1" x14ac:dyDescent="0.35">
      <c r="A11" s="10"/>
      <c r="B11" s="41" t="s">
        <v>183</v>
      </c>
      <c r="C11" s="42"/>
      <c r="D11" s="42"/>
      <c r="E11" s="29">
        <v>5</v>
      </c>
      <c r="F11" s="27">
        <v>3.75</v>
      </c>
      <c r="G11" s="37">
        <f t="shared" si="0"/>
        <v>0.75</v>
      </c>
      <c r="H11" s="38" t="str">
        <f t="shared" si="1"/>
        <v>جيد</v>
      </c>
      <c r="I11" s="45"/>
      <c r="J11" s="46"/>
    </row>
    <row r="12" spans="1:10" ht="30" customHeight="1" x14ac:dyDescent="0.3">
      <c r="A12" s="10"/>
      <c r="B12" s="43" t="s">
        <v>184</v>
      </c>
      <c r="C12" s="44"/>
      <c r="D12" s="44"/>
      <c r="E12" s="28"/>
      <c r="F12" s="34"/>
      <c r="G12" s="35"/>
      <c r="H12" s="36"/>
      <c r="I12" s="47"/>
      <c r="J12" s="48"/>
    </row>
    <row r="13" spans="1:10" ht="30" customHeight="1" x14ac:dyDescent="0.3">
      <c r="A13" s="10"/>
      <c r="B13" s="39" t="s">
        <v>185</v>
      </c>
      <c r="C13" s="40"/>
      <c r="D13" s="40"/>
      <c r="E13" s="9">
        <v>5</v>
      </c>
      <c r="F13" s="26">
        <v>4</v>
      </c>
      <c r="G13" s="32">
        <f t="shared" si="0"/>
        <v>0.8</v>
      </c>
      <c r="H13" s="33" t="str">
        <f t="shared" si="1"/>
        <v>جيد جداً</v>
      </c>
      <c r="I13" s="53"/>
      <c r="J13" s="54"/>
    </row>
    <row r="14" spans="1:10" ht="30" customHeight="1" x14ac:dyDescent="0.3">
      <c r="A14" s="10"/>
      <c r="B14" s="39" t="s">
        <v>186</v>
      </c>
      <c r="C14" s="40"/>
      <c r="D14" s="40"/>
      <c r="E14" s="9">
        <v>5</v>
      </c>
      <c r="F14" s="26">
        <v>3.75</v>
      </c>
      <c r="G14" s="32">
        <f t="shared" si="0"/>
        <v>0.75</v>
      </c>
      <c r="H14" s="33" t="str">
        <f t="shared" si="1"/>
        <v>جيد</v>
      </c>
      <c r="I14" s="53"/>
      <c r="J14" s="54"/>
    </row>
    <row r="15" spans="1:10" ht="30" customHeight="1" x14ac:dyDescent="0.3">
      <c r="A15" s="10"/>
      <c r="B15" s="39" t="s">
        <v>187</v>
      </c>
      <c r="C15" s="40"/>
      <c r="D15" s="40"/>
      <c r="E15" s="9">
        <v>5</v>
      </c>
      <c r="F15" s="26">
        <v>4</v>
      </c>
      <c r="G15" s="32">
        <f t="shared" si="0"/>
        <v>0.8</v>
      </c>
      <c r="H15" s="33" t="str">
        <f t="shared" si="1"/>
        <v>جيد جداً</v>
      </c>
      <c r="I15" s="53"/>
      <c r="J15" s="54"/>
    </row>
    <row r="16" spans="1:10" ht="30" customHeight="1" x14ac:dyDescent="0.3">
      <c r="A16" s="10"/>
      <c r="B16" s="39" t="s">
        <v>188</v>
      </c>
      <c r="C16" s="40"/>
      <c r="D16" s="40"/>
      <c r="E16" s="9">
        <v>5</v>
      </c>
      <c r="F16" s="26">
        <v>4</v>
      </c>
      <c r="G16" s="32">
        <f t="shared" si="0"/>
        <v>0.8</v>
      </c>
      <c r="H16" s="33" t="str">
        <f t="shared" si="1"/>
        <v>جيد جداً</v>
      </c>
      <c r="I16" s="53"/>
      <c r="J16" s="54"/>
    </row>
    <row r="17" spans="1:10" ht="30" customHeight="1" x14ac:dyDescent="0.3">
      <c r="A17" s="10"/>
      <c r="B17" s="39" t="s">
        <v>189</v>
      </c>
      <c r="C17" s="40"/>
      <c r="D17" s="40"/>
      <c r="E17" s="9">
        <v>5</v>
      </c>
      <c r="F17" s="26">
        <v>3.75</v>
      </c>
      <c r="G17" s="32">
        <f t="shared" si="0"/>
        <v>0.75</v>
      </c>
      <c r="H17" s="33" t="str">
        <f t="shared" si="1"/>
        <v>جيد</v>
      </c>
      <c r="I17" s="53"/>
      <c r="J17" s="54"/>
    </row>
    <row r="18" spans="1:10" ht="30" customHeight="1" thickBot="1" x14ac:dyDescent="0.35">
      <c r="A18" s="10"/>
      <c r="B18" s="41" t="s">
        <v>190</v>
      </c>
      <c r="C18" s="42"/>
      <c r="D18" s="42"/>
      <c r="E18" s="29">
        <v>5</v>
      </c>
      <c r="F18" s="27">
        <v>3.75</v>
      </c>
      <c r="G18" s="37">
        <f t="shared" si="0"/>
        <v>0.75</v>
      </c>
      <c r="H18" s="38" t="str">
        <f t="shared" si="1"/>
        <v>جيد</v>
      </c>
      <c r="I18" s="45"/>
      <c r="J18" s="46"/>
    </row>
    <row r="19" spans="1:10" ht="30" customHeight="1" x14ac:dyDescent="0.3">
      <c r="A19" s="10"/>
      <c r="B19" s="43" t="s">
        <v>191</v>
      </c>
      <c r="C19" s="44"/>
      <c r="D19" s="44"/>
      <c r="E19" s="28"/>
      <c r="F19" s="34"/>
      <c r="G19" s="35"/>
      <c r="H19" s="36"/>
      <c r="I19" s="47"/>
      <c r="J19" s="48"/>
    </row>
    <row r="20" spans="1:10" ht="39.9" customHeight="1" x14ac:dyDescent="0.3">
      <c r="A20" s="10"/>
      <c r="B20" s="39" t="s">
        <v>192</v>
      </c>
      <c r="C20" s="40"/>
      <c r="D20" s="40"/>
      <c r="E20" s="9">
        <v>5</v>
      </c>
      <c r="F20" s="26">
        <v>4</v>
      </c>
      <c r="G20" s="32">
        <f t="shared" si="0"/>
        <v>0.8</v>
      </c>
      <c r="H20" s="33" t="str">
        <f t="shared" si="1"/>
        <v>جيد جداً</v>
      </c>
      <c r="I20" s="53"/>
      <c r="J20" s="54"/>
    </row>
    <row r="21" spans="1:10" ht="30" customHeight="1" x14ac:dyDescent="0.3">
      <c r="A21" s="10"/>
      <c r="B21" s="39" t="s">
        <v>193</v>
      </c>
      <c r="C21" s="40"/>
      <c r="D21" s="40"/>
      <c r="E21" s="9">
        <v>5</v>
      </c>
      <c r="F21" s="26">
        <v>4</v>
      </c>
      <c r="G21" s="32">
        <f t="shared" si="0"/>
        <v>0.8</v>
      </c>
      <c r="H21" s="33" t="str">
        <f t="shared" si="1"/>
        <v>جيد جداً</v>
      </c>
      <c r="I21" s="53"/>
      <c r="J21" s="54"/>
    </row>
    <row r="22" spans="1:10" ht="39.9" customHeight="1" thickBot="1" x14ac:dyDescent="0.35">
      <c r="A22" s="10"/>
      <c r="B22" s="41" t="s">
        <v>194</v>
      </c>
      <c r="C22" s="42"/>
      <c r="D22" s="42"/>
      <c r="E22" s="29">
        <v>5</v>
      </c>
      <c r="F22" s="27">
        <v>3.5</v>
      </c>
      <c r="G22" s="37">
        <f t="shared" si="0"/>
        <v>0.7</v>
      </c>
      <c r="H22" s="38" t="str">
        <f t="shared" si="1"/>
        <v>جيد</v>
      </c>
      <c r="I22" s="45"/>
      <c r="J22" s="46"/>
    </row>
    <row r="23" spans="1:10" ht="30" customHeight="1" x14ac:dyDescent="0.3">
      <c r="A23" s="10"/>
      <c r="B23" s="43" t="s">
        <v>195</v>
      </c>
      <c r="C23" s="44"/>
      <c r="D23" s="44"/>
      <c r="E23" s="28"/>
      <c r="F23" s="34"/>
      <c r="G23" s="35"/>
      <c r="H23" s="36"/>
      <c r="I23" s="47"/>
      <c r="J23" s="48"/>
    </row>
    <row r="24" spans="1:10" ht="52.5" customHeight="1" x14ac:dyDescent="0.3">
      <c r="A24" s="10"/>
      <c r="B24" s="39" t="s">
        <v>196</v>
      </c>
      <c r="C24" s="40"/>
      <c r="D24" s="40"/>
      <c r="E24" s="9">
        <v>5</v>
      </c>
      <c r="F24" s="26">
        <v>3.75</v>
      </c>
      <c r="G24" s="32">
        <f t="shared" si="0"/>
        <v>0.75</v>
      </c>
      <c r="H24" s="33" t="str">
        <f t="shared" si="1"/>
        <v>جيد</v>
      </c>
      <c r="I24" s="53"/>
      <c r="J24" s="54"/>
    </row>
    <row r="25" spans="1:10" ht="39.9" customHeight="1" x14ac:dyDescent="0.3">
      <c r="A25" s="10"/>
      <c r="B25" s="39" t="s">
        <v>197</v>
      </c>
      <c r="C25" s="40"/>
      <c r="D25" s="40"/>
      <c r="E25" s="9">
        <v>5</v>
      </c>
      <c r="F25" s="26">
        <v>3.5</v>
      </c>
      <c r="G25" s="32">
        <f t="shared" si="0"/>
        <v>0.7</v>
      </c>
      <c r="H25" s="33" t="str">
        <f t="shared" si="1"/>
        <v>جيد</v>
      </c>
      <c r="I25" s="53"/>
      <c r="J25" s="54"/>
    </row>
    <row r="26" spans="1:10" ht="39.9" customHeight="1" x14ac:dyDescent="0.3">
      <c r="A26" s="10"/>
      <c r="B26" s="39" t="s">
        <v>198</v>
      </c>
      <c r="C26" s="40"/>
      <c r="D26" s="40"/>
      <c r="E26" s="9">
        <v>5</v>
      </c>
      <c r="F26" s="26">
        <v>4</v>
      </c>
      <c r="G26" s="32">
        <f t="shared" si="0"/>
        <v>0.8</v>
      </c>
      <c r="H26" s="33" t="str">
        <f t="shared" si="1"/>
        <v>جيد جداً</v>
      </c>
      <c r="I26" s="53"/>
      <c r="J26" s="54"/>
    </row>
    <row r="27" spans="1:10" ht="30" customHeight="1" x14ac:dyDescent="0.3">
      <c r="A27" s="10"/>
      <c r="B27" s="39" t="s">
        <v>199</v>
      </c>
      <c r="C27" s="40"/>
      <c r="D27" s="40"/>
      <c r="E27" s="9">
        <v>5</v>
      </c>
      <c r="F27" s="26">
        <v>3.75</v>
      </c>
      <c r="G27" s="32">
        <f t="shared" si="0"/>
        <v>0.75</v>
      </c>
      <c r="H27" s="33" t="str">
        <f t="shared" si="1"/>
        <v>جيد</v>
      </c>
      <c r="I27" s="53"/>
      <c r="J27" s="54"/>
    </row>
    <row r="28" spans="1:10" ht="30" customHeight="1" x14ac:dyDescent="0.3">
      <c r="A28" s="10"/>
      <c r="B28" s="39" t="s">
        <v>200</v>
      </c>
      <c r="C28" s="40"/>
      <c r="D28" s="40"/>
      <c r="E28" s="9">
        <v>5</v>
      </c>
      <c r="F28" s="26">
        <v>3.75</v>
      </c>
      <c r="G28" s="32">
        <f t="shared" si="0"/>
        <v>0.75</v>
      </c>
      <c r="H28" s="33" t="str">
        <f t="shared" si="1"/>
        <v>جيد</v>
      </c>
      <c r="I28" s="53"/>
      <c r="J28" s="54"/>
    </row>
    <row r="29" spans="1:10" ht="39.9" customHeight="1" x14ac:dyDescent="0.3">
      <c r="A29" s="10"/>
      <c r="B29" s="39" t="s">
        <v>201</v>
      </c>
      <c r="C29" s="40"/>
      <c r="D29" s="40"/>
      <c r="E29" s="9">
        <v>5</v>
      </c>
      <c r="F29" s="26">
        <v>3.75</v>
      </c>
      <c r="G29" s="32">
        <f t="shared" si="0"/>
        <v>0.75</v>
      </c>
      <c r="H29" s="33" t="str">
        <f t="shared" si="1"/>
        <v>جيد</v>
      </c>
      <c r="I29" s="53"/>
      <c r="J29" s="54"/>
    </row>
    <row r="30" spans="1:10" ht="39.9" customHeight="1" x14ac:dyDescent="0.3">
      <c r="A30" s="10"/>
      <c r="B30" s="39" t="s">
        <v>202</v>
      </c>
      <c r="C30" s="40"/>
      <c r="D30" s="40"/>
      <c r="E30" s="9">
        <v>5</v>
      </c>
      <c r="F30" s="26">
        <v>3.75</v>
      </c>
      <c r="G30" s="32">
        <f t="shared" si="0"/>
        <v>0.75</v>
      </c>
      <c r="H30" s="33" t="str">
        <f t="shared" si="1"/>
        <v>جيد</v>
      </c>
      <c r="I30" s="53"/>
      <c r="J30" s="54"/>
    </row>
    <row r="31" spans="1:10" ht="30" customHeight="1" x14ac:dyDescent="0.3">
      <c r="A31" s="10"/>
      <c r="B31" s="39" t="s">
        <v>203</v>
      </c>
      <c r="C31" s="40"/>
      <c r="D31" s="40"/>
      <c r="E31" s="9">
        <v>5</v>
      </c>
      <c r="F31" s="26">
        <v>4</v>
      </c>
      <c r="G31" s="32">
        <f t="shared" si="0"/>
        <v>0.8</v>
      </c>
      <c r="H31" s="33" t="str">
        <f t="shared" si="1"/>
        <v>جيد جداً</v>
      </c>
      <c r="I31" s="53"/>
      <c r="J31" s="54"/>
    </row>
    <row r="32" spans="1:10" ht="30" customHeight="1" x14ac:dyDescent="0.3">
      <c r="A32" s="10"/>
      <c r="B32" s="39" t="s">
        <v>204</v>
      </c>
      <c r="C32" s="40"/>
      <c r="D32" s="40"/>
      <c r="E32" s="9">
        <v>5</v>
      </c>
      <c r="F32" s="26">
        <v>3.75</v>
      </c>
      <c r="G32" s="32">
        <f t="shared" si="0"/>
        <v>0.75</v>
      </c>
      <c r="H32" s="33" t="str">
        <f t="shared" si="1"/>
        <v>جيد</v>
      </c>
      <c r="I32" s="53"/>
      <c r="J32" s="54"/>
    </row>
    <row r="33" spans="1:10" ht="30" customHeight="1" x14ac:dyDescent="0.3">
      <c r="A33" s="10"/>
      <c r="B33" s="39" t="s">
        <v>205</v>
      </c>
      <c r="C33" s="40"/>
      <c r="D33" s="40"/>
      <c r="E33" s="9">
        <v>5</v>
      </c>
      <c r="F33" s="26">
        <v>4</v>
      </c>
      <c r="G33" s="32">
        <f t="shared" si="0"/>
        <v>0.8</v>
      </c>
      <c r="H33" s="33" t="str">
        <f t="shared" si="1"/>
        <v>جيد جداً</v>
      </c>
      <c r="I33" s="53"/>
      <c r="J33" s="54"/>
    </row>
    <row r="34" spans="1:10" ht="30" customHeight="1" x14ac:dyDescent="0.3">
      <c r="A34" s="10"/>
      <c r="B34" s="39" t="s">
        <v>206</v>
      </c>
      <c r="C34" s="40"/>
      <c r="D34" s="40"/>
      <c r="E34" s="9">
        <v>5</v>
      </c>
      <c r="F34" s="26">
        <v>4</v>
      </c>
      <c r="G34" s="32">
        <f t="shared" si="0"/>
        <v>0.8</v>
      </c>
      <c r="H34" s="33" t="str">
        <f t="shared" si="1"/>
        <v>جيد جداً</v>
      </c>
      <c r="I34" s="53"/>
      <c r="J34" s="54"/>
    </row>
    <row r="35" spans="1:10" ht="30" customHeight="1" thickBot="1" x14ac:dyDescent="0.35">
      <c r="A35" s="10"/>
      <c r="B35" s="41" t="s">
        <v>207</v>
      </c>
      <c r="C35" s="42"/>
      <c r="D35" s="42"/>
      <c r="E35" s="29">
        <v>5</v>
      </c>
      <c r="F35" s="27">
        <v>3.75</v>
      </c>
      <c r="G35" s="37">
        <f t="shared" si="0"/>
        <v>0.75</v>
      </c>
      <c r="H35" s="38" t="str">
        <f t="shared" si="1"/>
        <v>جيد</v>
      </c>
      <c r="I35" s="45"/>
      <c r="J35" s="46"/>
    </row>
    <row r="36" spans="1:10" ht="30" customHeight="1" x14ac:dyDescent="0.3">
      <c r="A36" s="10"/>
      <c r="B36" s="43" t="s">
        <v>208</v>
      </c>
      <c r="C36" s="44"/>
      <c r="D36" s="44"/>
      <c r="E36" s="28"/>
      <c r="F36" s="34"/>
      <c r="G36" s="35"/>
      <c r="H36" s="36"/>
      <c r="I36" s="47"/>
      <c r="J36" s="48"/>
    </row>
    <row r="37" spans="1:10" ht="39.9" customHeight="1" x14ac:dyDescent="0.3">
      <c r="A37" s="10"/>
      <c r="B37" s="39" t="s">
        <v>209</v>
      </c>
      <c r="C37" s="40"/>
      <c r="D37" s="40"/>
      <c r="E37" s="9">
        <v>5</v>
      </c>
      <c r="F37" s="26">
        <v>4</v>
      </c>
      <c r="G37" s="32">
        <f t="shared" si="0"/>
        <v>0.8</v>
      </c>
      <c r="H37" s="33" t="str">
        <f t="shared" si="1"/>
        <v>جيد جداً</v>
      </c>
      <c r="I37" s="53"/>
      <c r="J37" s="54"/>
    </row>
    <row r="38" spans="1:10" ht="54" customHeight="1" x14ac:dyDescent="0.3">
      <c r="A38" s="10"/>
      <c r="B38" s="39" t="s">
        <v>210</v>
      </c>
      <c r="C38" s="40"/>
      <c r="D38" s="40"/>
      <c r="E38" s="9">
        <v>5</v>
      </c>
      <c r="F38" s="26">
        <v>3.75</v>
      </c>
      <c r="G38" s="32">
        <f t="shared" si="0"/>
        <v>0.75</v>
      </c>
      <c r="H38" s="33" t="str">
        <f t="shared" si="1"/>
        <v>جيد</v>
      </c>
      <c r="I38" s="53"/>
      <c r="J38" s="54"/>
    </row>
    <row r="39" spans="1:10" ht="39.9" customHeight="1" x14ac:dyDescent="0.3">
      <c r="A39" s="10"/>
      <c r="B39" s="39" t="s">
        <v>211</v>
      </c>
      <c r="C39" s="40"/>
      <c r="D39" s="40"/>
      <c r="E39" s="9">
        <v>5</v>
      </c>
      <c r="F39" s="26">
        <v>3.75</v>
      </c>
      <c r="G39" s="32">
        <f t="shared" si="0"/>
        <v>0.75</v>
      </c>
      <c r="H39" s="33" t="str">
        <f t="shared" si="1"/>
        <v>جيد</v>
      </c>
      <c r="I39" s="53"/>
      <c r="J39" s="54"/>
    </row>
    <row r="40" spans="1:10" ht="39.9" customHeight="1" x14ac:dyDescent="0.3">
      <c r="A40" s="10"/>
      <c r="B40" s="39" t="s">
        <v>212</v>
      </c>
      <c r="C40" s="40"/>
      <c r="D40" s="40"/>
      <c r="E40" s="9">
        <v>5</v>
      </c>
      <c r="F40" s="26">
        <v>4.25</v>
      </c>
      <c r="G40" s="32">
        <f t="shared" si="0"/>
        <v>0.85</v>
      </c>
      <c r="H40" s="33" t="str">
        <f t="shared" si="1"/>
        <v>جيد جداً</v>
      </c>
      <c r="I40" s="53"/>
      <c r="J40" s="54"/>
    </row>
    <row r="41" spans="1:10" ht="30" customHeight="1" x14ac:dyDescent="0.3">
      <c r="A41" s="10"/>
      <c r="B41" s="39" t="s">
        <v>213</v>
      </c>
      <c r="C41" s="40"/>
      <c r="D41" s="40"/>
      <c r="E41" s="9">
        <v>5</v>
      </c>
      <c r="F41" s="26">
        <v>3.75</v>
      </c>
      <c r="G41" s="32">
        <f t="shared" si="0"/>
        <v>0.75</v>
      </c>
      <c r="H41" s="33" t="str">
        <f t="shared" si="1"/>
        <v>جيد</v>
      </c>
      <c r="I41" s="53"/>
      <c r="J41" s="54"/>
    </row>
    <row r="42" spans="1:10" ht="30" customHeight="1" x14ac:dyDescent="0.3">
      <c r="A42" s="10"/>
      <c r="B42" s="39" t="s">
        <v>214</v>
      </c>
      <c r="C42" s="40"/>
      <c r="D42" s="40"/>
      <c r="E42" s="9">
        <v>5</v>
      </c>
      <c r="F42" s="26">
        <v>3.75</v>
      </c>
      <c r="G42" s="32">
        <f t="shared" si="0"/>
        <v>0.75</v>
      </c>
      <c r="H42" s="33" t="str">
        <f t="shared" si="1"/>
        <v>جيد</v>
      </c>
      <c r="I42" s="53"/>
      <c r="J42" s="54"/>
    </row>
    <row r="43" spans="1:10" ht="39.9" customHeight="1" x14ac:dyDescent="0.3">
      <c r="A43" s="10"/>
      <c r="B43" s="39" t="s">
        <v>215</v>
      </c>
      <c r="C43" s="40"/>
      <c r="D43" s="40"/>
      <c r="E43" s="9">
        <v>5</v>
      </c>
      <c r="F43" s="26">
        <v>3.5</v>
      </c>
      <c r="G43" s="32">
        <f t="shared" si="0"/>
        <v>0.7</v>
      </c>
      <c r="H43" s="33" t="str">
        <f t="shared" si="1"/>
        <v>جيد</v>
      </c>
      <c r="I43" s="53"/>
      <c r="J43" s="54"/>
    </row>
    <row r="44" spans="1:10" ht="30" customHeight="1" x14ac:dyDescent="0.3">
      <c r="A44" s="10"/>
      <c r="B44" s="39" t="s">
        <v>216</v>
      </c>
      <c r="C44" s="40"/>
      <c r="D44" s="40"/>
      <c r="E44" s="9">
        <v>5</v>
      </c>
      <c r="F44" s="26">
        <v>4</v>
      </c>
      <c r="G44" s="32">
        <f t="shared" si="0"/>
        <v>0.8</v>
      </c>
      <c r="H44" s="33" t="str">
        <f t="shared" si="1"/>
        <v>جيد جداً</v>
      </c>
      <c r="I44" s="53"/>
      <c r="J44" s="54"/>
    </row>
    <row r="45" spans="1:10" ht="30" customHeight="1" thickBot="1" x14ac:dyDescent="0.35">
      <c r="A45" s="10"/>
      <c r="B45" s="41" t="s">
        <v>217</v>
      </c>
      <c r="C45" s="42"/>
      <c r="D45" s="42"/>
      <c r="E45" s="29">
        <v>5</v>
      </c>
      <c r="F45" s="27">
        <v>3.75</v>
      </c>
      <c r="G45" s="37">
        <f t="shared" si="0"/>
        <v>0.75</v>
      </c>
      <c r="H45" s="38" t="str">
        <f t="shared" si="1"/>
        <v>جيد</v>
      </c>
      <c r="I45" s="45"/>
      <c r="J45" s="46"/>
    </row>
    <row r="46" spans="1:10" ht="30" customHeight="1" x14ac:dyDescent="0.3">
      <c r="A46" s="10"/>
      <c r="B46" s="43" t="s">
        <v>218</v>
      </c>
      <c r="C46" s="44"/>
      <c r="D46" s="44"/>
      <c r="E46" s="28"/>
      <c r="F46" s="34"/>
      <c r="G46" s="35"/>
      <c r="H46" s="36"/>
      <c r="I46" s="47"/>
      <c r="J46" s="48"/>
    </row>
    <row r="47" spans="1:10" ht="30" customHeight="1" x14ac:dyDescent="0.3">
      <c r="A47" s="10"/>
      <c r="B47" s="39" t="s">
        <v>219</v>
      </c>
      <c r="C47" s="40"/>
      <c r="D47" s="40"/>
      <c r="E47" s="9">
        <v>5</v>
      </c>
      <c r="F47" s="26">
        <v>3.75</v>
      </c>
      <c r="G47" s="32">
        <f t="shared" si="0"/>
        <v>0.75</v>
      </c>
      <c r="H47" s="33" t="str">
        <f t="shared" si="1"/>
        <v>جيد</v>
      </c>
      <c r="I47" s="53"/>
      <c r="J47" s="54"/>
    </row>
    <row r="48" spans="1:10" ht="30" customHeight="1" x14ac:dyDescent="0.3">
      <c r="A48" s="10"/>
      <c r="B48" s="39" t="s">
        <v>220</v>
      </c>
      <c r="C48" s="40"/>
      <c r="D48" s="40"/>
      <c r="E48" s="9">
        <v>5</v>
      </c>
      <c r="F48" s="26">
        <v>4</v>
      </c>
      <c r="G48" s="32">
        <f t="shared" si="0"/>
        <v>0.8</v>
      </c>
      <c r="H48" s="33" t="str">
        <f t="shared" si="1"/>
        <v>جيد جداً</v>
      </c>
      <c r="I48" s="53"/>
      <c r="J48" s="54"/>
    </row>
    <row r="49" spans="1:10" ht="30" customHeight="1" x14ac:dyDescent="0.3">
      <c r="A49" s="10"/>
      <c r="B49" s="39" t="s">
        <v>221</v>
      </c>
      <c r="C49" s="40"/>
      <c r="D49" s="40"/>
      <c r="E49" s="9">
        <v>5</v>
      </c>
      <c r="F49" s="26">
        <v>4.25</v>
      </c>
      <c r="G49" s="32">
        <f t="shared" si="0"/>
        <v>0.85</v>
      </c>
      <c r="H49" s="33" t="str">
        <f t="shared" si="1"/>
        <v>جيد جداً</v>
      </c>
      <c r="I49" s="53"/>
      <c r="J49" s="54"/>
    </row>
    <row r="50" spans="1:10" ht="30" customHeight="1" x14ac:dyDescent="0.3">
      <c r="A50" s="10"/>
      <c r="B50" s="39" t="s">
        <v>222</v>
      </c>
      <c r="C50" s="40"/>
      <c r="D50" s="40"/>
      <c r="E50" s="9">
        <v>5</v>
      </c>
      <c r="F50" s="26">
        <v>3.5</v>
      </c>
      <c r="G50" s="32">
        <f t="shared" si="0"/>
        <v>0.7</v>
      </c>
      <c r="H50" s="33" t="str">
        <f t="shared" si="1"/>
        <v>جيد</v>
      </c>
      <c r="I50" s="53"/>
      <c r="J50" s="54"/>
    </row>
    <row r="51" spans="1:10" ht="30" customHeight="1" x14ac:dyDescent="0.3">
      <c r="A51" s="10"/>
      <c r="B51" s="39" t="s">
        <v>223</v>
      </c>
      <c r="C51" s="40"/>
      <c r="D51" s="40"/>
      <c r="E51" s="9">
        <v>5</v>
      </c>
      <c r="F51" s="26">
        <v>3.75</v>
      </c>
      <c r="G51" s="32">
        <f t="shared" si="0"/>
        <v>0.75</v>
      </c>
      <c r="H51" s="33" t="str">
        <f t="shared" si="1"/>
        <v>جيد</v>
      </c>
      <c r="I51" s="53"/>
      <c r="J51" s="54"/>
    </row>
    <row r="52" spans="1:10" ht="30" customHeight="1" x14ac:dyDescent="0.3">
      <c r="A52" s="10"/>
      <c r="B52" s="39" t="s">
        <v>224</v>
      </c>
      <c r="C52" s="40"/>
      <c r="D52" s="40"/>
      <c r="E52" s="9">
        <v>5</v>
      </c>
      <c r="F52" s="26">
        <v>4.25</v>
      </c>
      <c r="G52" s="32">
        <f t="shared" si="0"/>
        <v>0.85</v>
      </c>
      <c r="H52" s="33" t="str">
        <f t="shared" si="1"/>
        <v>جيد جداً</v>
      </c>
      <c r="I52" s="53"/>
      <c r="J52" s="54"/>
    </row>
    <row r="53" spans="1:10" ht="30" customHeight="1" x14ac:dyDescent="0.3">
      <c r="A53" s="10"/>
      <c r="B53" s="39" t="s">
        <v>225</v>
      </c>
      <c r="C53" s="40"/>
      <c r="D53" s="40"/>
      <c r="E53" s="9">
        <v>5</v>
      </c>
      <c r="F53" s="26">
        <v>3.75</v>
      </c>
      <c r="G53" s="32">
        <f t="shared" si="0"/>
        <v>0.75</v>
      </c>
      <c r="H53" s="33" t="str">
        <f t="shared" si="1"/>
        <v>جيد</v>
      </c>
      <c r="I53" s="53"/>
      <c r="J53" s="54"/>
    </row>
    <row r="54" spans="1:10" ht="30" customHeight="1" x14ac:dyDescent="0.3">
      <c r="A54" s="10"/>
      <c r="B54" s="39" t="s">
        <v>226</v>
      </c>
      <c r="C54" s="40"/>
      <c r="D54" s="40"/>
      <c r="E54" s="9">
        <v>5</v>
      </c>
      <c r="F54" s="26">
        <v>3.75</v>
      </c>
      <c r="G54" s="32">
        <f t="shared" si="0"/>
        <v>0.75</v>
      </c>
      <c r="H54" s="33" t="str">
        <f t="shared" si="1"/>
        <v>جيد</v>
      </c>
      <c r="I54" s="53"/>
      <c r="J54" s="54"/>
    </row>
    <row r="55" spans="1:10" ht="30" customHeight="1" x14ac:dyDescent="0.3">
      <c r="A55" s="10"/>
      <c r="B55" s="39" t="s">
        <v>227</v>
      </c>
      <c r="C55" s="40"/>
      <c r="D55" s="40"/>
      <c r="E55" s="9">
        <v>5</v>
      </c>
      <c r="F55" s="26">
        <v>3.75</v>
      </c>
      <c r="G55" s="32">
        <f t="shared" si="0"/>
        <v>0.75</v>
      </c>
      <c r="H55" s="33" t="str">
        <f t="shared" si="1"/>
        <v>جيد</v>
      </c>
      <c r="I55" s="53"/>
      <c r="J55" s="54"/>
    </row>
    <row r="56" spans="1:10" ht="30" customHeight="1" x14ac:dyDescent="0.3">
      <c r="A56" s="10"/>
      <c r="B56" s="39" t="s">
        <v>228</v>
      </c>
      <c r="C56" s="40"/>
      <c r="D56" s="40"/>
      <c r="E56" s="9">
        <v>5</v>
      </c>
      <c r="F56" s="26">
        <v>4</v>
      </c>
      <c r="G56" s="32">
        <f t="shared" si="0"/>
        <v>0.8</v>
      </c>
      <c r="H56" s="33" t="str">
        <f t="shared" si="1"/>
        <v>جيد جداً</v>
      </c>
      <c r="I56" s="53"/>
      <c r="J56" s="54"/>
    </row>
    <row r="57" spans="1:10" ht="30" customHeight="1" x14ac:dyDescent="0.3">
      <c r="A57" s="10"/>
      <c r="B57" s="39" t="s">
        <v>229</v>
      </c>
      <c r="C57" s="40"/>
      <c r="D57" s="40"/>
      <c r="E57" s="9">
        <v>5</v>
      </c>
      <c r="F57" s="26">
        <v>3.75</v>
      </c>
      <c r="G57" s="32">
        <f t="shared" si="0"/>
        <v>0.75</v>
      </c>
      <c r="H57" s="33" t="str">
        <f t="shared" si="1"/>
        <v>جيد</v>
      </c>
      <c r="I57" s="53"/>
      <c r="J57" s="54"/>
    </row>
    <row r="58" spans="1:10" ht="30" customHeight="1" x14ac:dyDescent="0.3">
      <c r="A58" s="10"/>
      <c r="B58" s="39" t="s">
        <v>230</v>
      </c>
      <c r="C58" s="40"/>
      <c r="D58" s="40"/>
      <c r="E58" s="9">
        <v>5</v>
      </c>
      <c r="F58" s="26">
        <v>3.5</v>
      </c>
      <c r="G58" s="32">
        <f t="shared" si="0"/>
        <v>0.7</v>
      </c>
      <c r="H58" s="33" t="str">
        <f t="shared" si="1"/>
        <v>جيد</v>
      </c>
      <c r="I58" s="53"/>
      <c r="J58" s="54"/>
    </row>
    <row r="59" spans="1:10" ht="30" customHeight="1" x14ac:dyDescent="0.3">
      <c r="A59" s="10"/>
      <c r="B59" s="39" t="s">
        <v>231</v>
      </c>
      <c r="C59" s="40"/>
      <c r="D59" s="40"/>
      <c r="E59" s="9">
        <v>5</v>
      </c>
      <c r="F59" s="26">
        <v>4.25</v>
      </c>
      <c r="G59" s="32">
        <f t="shared" si="0"/>
        <v>0.85</v>
      </c>
      <c r="H59" s="33" t="str">
        <f t="shared" si="1"/>
        <v>جيد جداً</v>
      </c>
      <c r="I59" s="53"/>
      <c r="J59" s="54"/>
    </row>
    <row r="60" spans="1:10" ht="30" customHeight="1" thickBot="1" x14ac:dyDescent="0.35">
      <c r="A60" s="10"/>
      <c r="B60" s="41" t="s">
        <v>232</v>
      </c>
      <c r="C60" s="42"/>
      <c r="D60" s="42"/>
      <c r="E60" s="29">
        <v>5</v>
      </c>
      <c r="F60" s="27">
        <v>4</v>
      </c>
      <c r="G60" s="37">
        <f t="shared" si="0"/>
        <v>0.8</v>
      </c>
      <c r="H60" s="38" t="str">
        <f t="shared" si="1"/>
        <v>جيد جداً</v>
      </c>
      <c r="I60" s="45"/>
      <c r="J60" s="46"/>
    </row>
    <row r="61" spans="1:10" ht="30" customHeight="1" x14ac:dyDescent="0.3">
      <c r="A61" s="10"/>
      <c r="B61" s="43" t="s">
        <v>233</v>
      </c>
      <c r="C61" s="44"/>
      <c r="D61" s="44"/>
      <c r="E61" s="28"/>
      <c r="F61" s="34"/>
      <c r="G61" s="35"/>
      <c r="H61" s="36"/>
      <c r="I61" s="47"/>
      <c r="J61" s="48"/>
    </row>
    <row r="62" spans="1:10" ht="30" customHeight="1" x14ac:dyDescent="0.3">
      <c r="A62" s="10"/>
      <c r="B62" s="39" t="s">
        <v>234</v>
      </c>
      <c r="C62" s="40"/>
      <c r="D62" s="40"/>
      <c r="E62" s="9">
        <v>5</v>
      </c>
      <c r="F62" s="26">
        <v>3.75</v>
      </c>
      <c r="G62" s="32">
        <f t="shared" si="0"/>
        <v>0.75</v>
      </c>
      <c r="H62" s="33" t="str">
        <f t="shared" si="1"/>
        <v>جيد</v>
      </c>
      <c r="I62" s="53"/>
      <c r="J62" s="54"/>
    </row>
    <row r="63" spans="1:10" ht="30" customHeight="1" x14ac:dyDescent="0.3">
      <c r="A63" s="10"/>
      <c r="B63" s="39" t="s">
        <v>235</v>
      </c>
      <c r="C63" s="40"/>
      <c r="D63" s="40"/>
      <c r="E63" s="9">
        <v>5</v>
      </c>
      <c r="F63" s="26">
        <v>3.75</v>
      </c>
      <c r="G63" s="32">
        <f t="shared" si="0"/>
        <v>0.75</v>
      </c>
      <c r="H63" s="33" t="str">
        <f t="shared" si="1"/>
        <v>جيد</v>
      </c>
      <c r="I63" s="53"/>
      <c r="J63" s="54"/>
    </row>
    <row r="64" spans="1:10" ht="30" customHeight="1" x14ac:dyDescent="0.3">
      <c r="A64" s="10"/>
      <c r="B64" s="39" t="s">
        <v>236</v>
      </c>
      <c r="C64" s="40"/>
      <c r="D64" s="40"/>
      <c r="E64" s="9">
        <v>5</v>
      </c>
      <c r="F64" s="26">
        <v>3.5</v>
      </c>
      <c r="G64" s="32">
        <f t="shared" si="0"/>
        <v>0.7</v>
      </c>
      <c r="H64" s="33" t="str">
        <f t="shared" si="1"/>
        <v>جيد</v>
      </c>
      <c r="I64" s="53"/>
      <c r="J64" s="54"/>
    </row>
    <row r="65" spans="1:10" ht="30" customHeight="1" x14ac:dyDescent="0.3">
      <c r="A65" s="10"/>
      <c r="B65" s="39" t="s">
        <v>237</v>
      </c>
      <c r="C65" s="40"/>
      <c r="D65" s="40"/>
      <c r="E65" s="9">
        <v>5</v>
      </c>
      <c r="F65" s="26">
        <v>3.5</v>
      </c>
      <c r="G65" s="32">
        <f t="shared" si="0"/>
        <v>0.7</v>
      </c>
      <c r="H65" s="33" t="str">
        <f t="shared" si="1"/>
        <v>جيد</v>
      </c>
      <c r="I65" s="53"/>
      <c r="J65" s="54"/>
    </row>
    <row r="66" spans="1:10" ht="30" customHeight="1" x14ac:dyDescent="0.3">
      <c r="A66" s="10"/>
      <c r="B66" s="39" t="s">
        <v>238</v>
      </c>
      <c r="C66" s="40"/>
      <c r="D66" s="40"/>
      <c r="E66" s="9">
        <v>5</v>
      </c>
      <c r="F66" s="26">
        <v>3.5</v>
      </c>
      <c r="G66" s="32">
        <f t="shared" si="0"/>
        <v>0.7</v>
      </c>
      <c r="H66" s="33" t="str">
        <f t="shared" si="1"/>
        <v>جيد</v>
      </c>
      <c r="I66" s="53"/>
      <c r="J66" s="54"/>
    </row>
    <row r="67" spans="1:10" ht="30" customHeight="1" thickBot="1" x14ac:dyDescent="0.35">
      <c r="A67" s="10"/>
      <c r="B67" s="41" t="s">
        <v>239</v>
      </c>
      <c r="C67" s="42"/>
      <c r="D67" s="42"/>
      <c r="E67" s="29">
        <v>5</v>
      </c>
      <c r="F67" s="27">
        <v>3.75</v>
      </c>
      <c r="G67" s="37">
        <f t="shared" si="0"/>
        <v>0.75</v>
      </c>
      <c r="H67" s="38" t="str">
        <f t="shared" si="1"/>
        <v>جيد</v>
      </c>
      <c r="I67" s="45"/>
      <c r="J67" s="46"/>
    </row>
    <row r="68" spans="1:10" ht="30" customHeight="1" x14ac:dyDescent="0.3">
      <c r="A68" s="10"/>
      <c r="B68" s="43" t="s">
        <v>240</v>
      </c>
      <c r="C68" s="44"/>
      <c r="D68" s="44"/>
      <c r="E68" s="28"/>
      <c r="F68" s="34"/>
      <c r="G68" s="35"/>
      <c r="H68" s="36"/>
      <c r="I68" s="47"/>
      <c r="J68" s="48"/>
    </row>
    <row r="69" spans="1:10" ht="30" customHeight="1" x14ac:dyDescent="0.3">
      <c r="A69" s="10"/>
      <c r="B69" s="39" t="s">
        <v>241</v>
      </c>
      <c r="C69" s="40"/>
      <c r="D69" s="40"/>
      <c r="E69" s="9">
        <v>5</v>
      </c>
      <c r="F69" s="26">
        <v>3.75</v>
      </c>
      <c r="G69" s="32">
        <f t="shared" si="0"/>
        <v>0.75</v>
      </c>
      <c r="H69" s="33" t="str">
        <f t="shared" si="1"/>
        <v>جيد</v>
      </c>
      <c r="I69" s="53"/>
      <c r="J69" s="54"/>
    </row>
    <row r="70" spans="1:10" ht="30" customHeight="1" x14ac:dyDescent="0.3">
      <c r="A70" s="10"/>
      <c r="B70" s="39" t="s">
        <v>242</v>
      </c>
      <c r="C70" s="40"/>
      <c r="D70" s="40"/>
      <c r="E70" s="9">
        <v>5</v>
      </c>
      <c r="F70" s="26">
        <v>3.75</v>
      </c>
      <c r="G70" s="32">
        <f t="shared" si="0"/>
        <v>0.75</v>
      </c>
      <c r="H70" s="33" t="str">
        <f t="shared" si="1"/>
        <v>جيد</v>
      </c>
      <c r="I70" s="53"/>
      <c r="J70" s="54"/>
    </row>
    <row r="71" spans="1:10" ht="30" customHeight="1" x14ac:dyDescent="0.3">
      <c r="A71" s="10"/>
      <c r="B71" s="39" t="s">
        <v>243</v>
      </c>
      <c r="C71" s="40"/>
      <c r="D71" s="40"/>
      <c r="E71" s="9">
        <v>5</v>
      </c>
      <c r="F71" s="26">
        <v>3.75</v>
      </c>
      <c r="G71" s="32">
        <f t="shared" si="0"/>
        <v>0.75</v>
      </c>
      <c r="H71" s="33" t="str">
        <f t="shared" si="1"/>
        <v>جيد</v>
      </c>
      <c r="I71" s="53"/>
      <c r="J71" s="54"/>
    </row>
    <row r="72" spans="1:10" ht="30" customHeight="1" x14ac:dyDescent="0.3">
      <c r="A72" s="10"/>
      <c r="B72" s="39" t="s">
        <v>244</v>
      </c>
      <c r="C72" s="40"/>
      <c r="D72" s="40"/>
      <c r="E72" s="9">
        <v>5</v>
      </c>
      <c r="F72" s="26">
        <v>3.75</v>
      </c>
      <c r="G72" s="32">
        <f t="shared" si="0"/>
        <v>0.75</v>
      </c>
      <c r="H72" s="33" t="str">
        <f t="shared" si="1"/>
        <v>جيد</v>
      </c>
      <c r="I72" s="53"/>
      <c r="J72" s="54"/>
    </row>
    <row r="73" spans="1:10" ht="30" customHeight="1" x14ac:dyDescent="0.3">
      <c r="A73" s="10"/>
      <c r="B73" s="39" t="s">
        <v>245</v>
      </c>
      <c r="C73" s="40"/>
      <c r="D73" s="40"/>
      <c r="E73" s="9">
        <v>5</v>
      </c>
      <c r="F73" s="26">
        <v>3.75</v>
      </c>
      <c r="G73" s="32">
        <f t="shared" si="0"/>
        <v>0.75</v>
      </c>
      <c r="H73" s="33" t="str">
        <f t="shared" si="1"/>
        <v>جيد</v>
      </c>
      <c r="I73" s="53"/>
      <c r="J73" s="54"/>
    </row>
    <row r="74" spans="1:10" ht="30" customHeight="1" x14ac:dyDescent="0.3">
      <c r="A74" s="10"/>
      <c r="B74" s="39" t="s">
        <v>246</v>
      </c>
      <c r="C74" s="40"/>
      <c r="D74" s="40"/>
      <c r="E74" s="9">
        <v>5</v>
      </c>
      <c r="F74" s="26">
        <v>3.5</v>
      </c>
      <c r="G74" s="32">
        <f t="shared" ref="G74:G79" si="2">IFERROR(F74/E74,"")</f>
        <v>0.7</v>
      </c>
      <c r="H74" s="33" t="str">
        <f t="shared" ref="H74:H79" si="3">_xlfn.IFS(F74="أدخل العلامة","",F74="لا ينطبق","تم الإلغاء",G74&gt;=90%,"ممتاز",G74&gt;=80%,"جيد جداً",G74&gt;=70%,"جيد",G74&gt;=60%,"مقبول",G74&lt;60%,"راسب")</f>
        <v>جيد</v>
      </c>
      <c r="I74" s="53"/>
      <c r="J74" s="54"/>
    </row>
    <row r="75" spans="1:10" ht="30" customHeight="1" x14ac:dyDescent="0.3">
      <c r="A75" s="10"/>
      <c r="B75" s="39" t="s">
        <v>247</v>
      </c>
      <c r="C75" s="40"/>
      <c r="D75" s="40"/>
      <c r="E75" s="9">
        <v>5</v>
      </c>
      <c r="F75" s="26">
        <v>3.75</v>
      </c>
      <c r="G75" s="32">
        <f t="shared" si="2"/>
        <v>0.75</v>
      </c>
      <c r="H75" s="33" t="str">
        <f t="shared" si="3"/>
        <v>جيد</v>
      </c>
      <c r="I75" s="53"/>
      <c r="J75" s="54"/>
    </row>
    <row r="76" spans="1:10" ht="30" customHeight="1" x14ac:dyDescent="0.3">
      <c r="A76" s="10"/>
      <c r="B76" s="39" t="s">
        <v>248</v>
      </c>
      <c r="C76" s="40"/>
      <c r="D76" s="40"/>
      <c r="E76" s="9">
        <v>5</v>
      </c>
      <c r="F76" s="26">
        <v>4.25</v>
      </c>
      <c r="G76" s="32">
        <f t="shared" si="2"/>
        <v>0.85</v>
      </c>
      <c r="H76" s="33" t="str">
        <f t="shared" si="3"/>
        <v>جيد جداً</v>
      </c>
      <c r="I76" s="53"/>
      <c r="J76" s="54"/>
    </row>
    <row r="77" spans="1:10" ht="30" customHeight="1" x14ac:dyDescent="0.3">
      <c r="A77" s="10"/>
      <c r="B77" s="39" t="s">
        <v>249</v>
      </c>
      <c r="C77" s="40"/>
      <c r="D77" s="40"/>
      <c r="E77" s="9">
        <v>5</v>
      </c>
      <c r="F77" s="26">
        <v>3.75</v>
      </c>
      <c r="G77" s="32">
        <f t="shared" si="2"/>
        <v>0.75</v>
      </c>
      <c r="H77" s="33" t="str">
        <f t="shared" si="3"/>
        <v>جيد</v>
      </c>
      <c r="I77" s="53"/>
      <c r="J77" s="54"/>
    </row>
    <row r="78" spans="1:10" ht="30" customHeight="1" x14ac:dyDescent="0.3">
      <c r="A78" s="10"/>
      <c r="B78" s="39" t="s">
        <v>250</v>
      </c>
      <c r="C78" s="40"/>
      <c r="D78" s="40"/>
      <c r="E78" s="9">
        <v>5</v>
      </c>
      <c r="F78" s="26">
        <v>3.5</v>
      </c>
      <c r="G78" s="32">
        <f t="shared" si="2"/>
        <v>0.7</v>
      </c>
      <c r="H78" s="33" t="str">
        <f t="shared" si="3"/>
        <v>جيد</v>
      </c>
      <c r="I78" s="53"/>
      <c r="J78" s="54"/>
    </row>
    <row r="79" spans="1:10" ht="30" customHeight="1" thickBot="1" x14ac:dyDescent="0.35">
      <c r="A79" s="10"/>
      <c r="B79" s="41" t="s">
        <v>251</v>
      </c>
      <c r="C79" s="42"/>
      <c r="D79" s="42"/>
      <c r="E79" s="29">
        <v>0</v>
      </c>
      <c r="F79" s="27" t="s">
        <v>17</v>
      </c>
      <c r="G79" s="37" t="str">
        <f t="shared" si="2"/>
        <v/>
      </c>
      <c r="H79" s="38" t="str">
        <f t="shared" si="3"/>
        <v>تم الإلغاء</v>
      </c>
      <c r="I79" s="45"/>
      <c r="J79" s="46"/>
    </row>
    <row r="80" spans="1:10" ht="30" customHeight="1" thickBot="1" x14ac:dyDescent="0.35">
      <c r="A80" s="4"/>
      <c r="B80" s="49" t="s">
        <v>5</v>
      </c>
      <c r="C80" s="50"/>
      <c r="D80" s="50"/>
      <c r="E80" s="31">
        <f>SUM(E8:E79)</f>
        <v>315</v>
      </c>
      <c r="F80" s="31">
        <f>SUM(F8:F79)</f>
        <v>239.5</v>
      </c>
      <c r="G80" s="80"/>
      <c r="H80" s="81"/>
      <c r="I80" s="81"/>
      <c r="J80" s="82"/>
    </row>
    <row r="81" spans="1:10" ht="30" customHeight="1" thickBot="1" x14ac:dyDescent="0.35">
      <c r="A81" s="4"/>
      <c r="B81" s="51" t="s">
        <v>54</v>
      </c>
      <c r="C81" s="52"/>
      <c r="D81" s="52"/>
      <c r="E81" s="68">
        <f>F80/E80/100*100</f>
        <v>0.76031746031746028</v>
      </c>
      <c r="F81" s="68"/>
      <c r="G81" s="68"/>
      <c r="H81" s="68"/>
      <c r="I81" s="68"/>
      <c r="J81" s="69"/>
    </row>
    <row r="82" spans="1:10" ht="30" customHeight="1" thickBot="1" x14ac:dyDescent="0.35">
      <c r="A82" s="4"/>
      <c r="B82" s="51" t="s">
        <v>55</v>
      </c>
      <c r="C82" s="52"/>
      <c r="D82" s="52"/>
      <c r="E82" s="59" t="str">
        <f>_xlfn.IFS(E81&gt;=90%,"ممتاز",E81&gt;=80%,"جيد جداً",E81&gt;=70%,"جيد",E81&gt;=60%,"مقبول",E81&lt;60%,"راسب")</f>
        <v>جيد</v>
      </c>
      <c r="F82" s="59"/>
      <c r="G82" s="59"/>
      <c r="H82" s="59"/>
      <c r="I82" s="59"/>
      <c r="J82" s="60"/>
    </row>
    <row r="83" spans="1:10" ht="42" customHeight="1" x14ac:dyDescent="0.3">
      <c r="B83" s="55" t="s">
        <v>174</v>
      </c>
      <c r="C83" s="55"/>
      <c r="D83" s="55"/>
      <c r="E83" s="78" t="s">
        <v>52</v>
      </c>
      <c r="F83" s="78"/>
      <c r="G83" s="57" t="s">
        <v>136</v>
      </c>
      <c r="H83" s="57"/>
      <c r="I83" s="57"/>
      <c r="J83" s="57"/>
    </row>
    <row r="84" spans="1:10" ht="51" customHeight="1" x14ac:dyDescent="0.3">
      <c r="A84" s="5"/>
      <c r="B84" s="56"/>
      <c r="C84" s="56"/>
      <c r="D84" s="56"/>
      <c r="E84" s="79" t="s">
        <v>53</v>
      </c>
      <c r="F84" s="79"/>
      <c r="G84" s="58"/>
      <c r="H84" s="58"/>
      <c r="I84" s="58"/>
      <c r="J84" s="58"/>
    </row>
  </sheetData>
  <sheetProtection formatCells="0" formatColumns="0" formatRows="0" insertColumns="0" insertRows="0" insertHyperlinks="0" deleteColumns="0" deleteRows="0" selectLockedCells="1" sort="0" autoFilter="0" pivotTables="0"/>
  <mergeCells count="165">
    <mergeCell ref="I9:J9"/>
    <mergeCell ref="E83:F83"/>
    <mergeCell ref="E84:F84"/>
    <mergeCell ref="G80:J80"/>
    <mergeCell ref="I72:J72"/>
    <mergeCell ref="I73:J73"/>
    <mergeCell ref="I74:J74"/>
    <mergeCell ref="I75:J75"/>
    <mergeCell ref="I76:J76"/>
    <mergeCell ref="I77:J77"/>
    <mergeCell ref="I78:J78"/>
    <mergeCell ref="I79:J79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32:J32"/>
    <mergeCell ref="I33:J33"/>
    <mergeCell ref="I34:J34"/>
    <mergeCell ref="B1:J1"/>
    <mergeCell ref="F2:J2"/>
    <mergeCell ref="B5:D6"/>
    <mergeCell ref="C2:D2"/>
    <mergeCell ref="C3:D3"/>
    <mergeCell ref="F3:J3"/>
    <mergeCell ref="E81:J81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83:D84"/>
    <mergeCell ref="G83:J83"/>
    <mergeCell ref="G84:J84"/>
    <mergeCell ref="E82:J82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I47:J47"/>
    <mergeCell ref="I48:J48"/>
    <mergeCell ref="I62:J62"/>
    <mergeCell ref="I35:J35"/>
    <mergeCell ref="I36:J36"/>
    <mergeCell ref="I8:J8"/>
    <mergeCell ref="B80:D80"/>
    <mergeCell ref="B81:D81"/>
    <mergeCell ref="B82:D82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26:J26"/>
    <mergeCell ref="I27:J2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74:D74"/>
    <mergeCell ref="B75:D75"/>
    <mergeCell ref="B76:D76"/>
    <mergeCell ref="B77:D77"/>
    <mergeCell ref="B78:D78"/>
    <mergeCell ref="B79:D79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82">
    <cfRule type="expression" dxfId="14" priority="57">
      <formula>$E82="راسب"</formula>
    </cfRule>
  </conditionalFormatting>
  <conditionalFormatting sqref="E82:J82">
    <cfRule type="expression" dxfId="13" priority="58">
      <formula>$E82="مقبول"</formula>
    </cfRule>
    <cfRule type="expression" dxfId="12" priority="59">
      <formula>$E82="جيد"</formula>
    </cfRule>
    <cfRule type="expression" dxfId="11" priority="60">
      <formula>$E82="جيد جداً"</formula>
    </cfRule>
    <cfRule type="expression" dxfId="10" priority="61">
      <formula>$E82="ممتاز"</formula>
    </cfRule>
  </conditionalFormatting>
  <conditionalFormatting sqref="F8:F7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83:J83">
    <cfRule type="containsText" dxfId="6" priority="15" operator="containsText" text="أدخل اسم المحكم">
      <formula>NOT(ISERROR(SEARCH("أدخل اسم المحكم",G83)))</formula>
    </cfRule>
  </conditionalFormatting>
  <conditionalFormatting sqref="H8:H79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F69:F79 F62:F67 F47:F60 F37:F45 F24:F35 F20:F22 F13:F18 F9:F11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G83:J83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2025-10-07T18:18:34Z</dcterms:modified>
</cp:coreProperties>
</file>