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70CE8C4-2F75-2540-A350-76A4A43FCAD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5" i="2"/>
  <c r="G9" i="2"/>
  <c r="H9" i="2"/>
  <c r="G17" i="2"/>
  <c r="G10" i="2"/>
  <c r="H10" i="2"/>
  <c r="G11" i="2"/>
  <c r="H11" i="2"/>
  <c r="G12" i="2"/>
  <c r="H12" i="2"/>
  <c r="G13" i="2"/>
  <c r="H13" i="2"/>
  <c r="H14" i="2"/>
  <c r="H15" i="2"/>
  <c r="G16" i="2"/>
  <c r="H16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9" i="2"/>
  <c r="H59" i="2"/>
  <c r="G60" i="2"/>
  <c r="H60" i="2"/>
  <c r="G61" i="2"/>
  <c r="H61" i="2"/>
  <c r="G62" i="2"/>
  <c r="H62" i="2"/>
  <c r="F63" i="2"/>
  <c r="E63" i="2"/>
  <c r="E64" i="2"/>
  <c r="E65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<sst xmlns="http://schemas.openxmlformats.org/spreadsheetml/2006/main" count="293" uniqueCount="237">
  <si>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</si>
  <si>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</si>
  <si>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</si>
  <si>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</si>
  <si>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</si>
  <si>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</si>
  <si>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</si>
  <si>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</si>
  <si>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</si>
  <si>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</si>
  <si>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</si>
  <si>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</si>
  <si>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</si>
  <si>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</si>
  <si>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</si>
  <si>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</si>
  <si>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</si>
  <si>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</si>
  <si>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</si>
  <si>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</si>
  <si>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</si>
  <si>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</si>
  <si>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</si>
  <si>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</si>
  <si>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</si>
  <si>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</si>
  <si>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</si>
  <si>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</si>
  <si>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</si>
  <si>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</si>
  <si>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</si>
  <si>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</si>
  <si>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</si>
  <si>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</si>
  <si>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</si>
  <si>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</si>
  <si>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</si>
  <si>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</si>
  <si>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</si>
  <si>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</si>
  <si>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</si>
  <si>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</si>
  <si>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</si>
  <si>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</si>
  <si>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</si>
  <si>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</si>
  <si>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</si>
  <si>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</si>
  <si>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</si>
  <si>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</si>
  <si>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</si>
  <si>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</si>
  <si>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</si>
  <si>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</si>
  <si>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</si>
  <si>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</si>
  <si>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</si>
  <si>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</si>
  <si>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</si>
  <si>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</si>
  <si>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</si>
  <si>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</si>
  <si>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</si>
  <si>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</si>
  <si>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</si>
  <si>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</si>
  <si>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</si>
  <si>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</si>
  <si>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</si>
  <si>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</si>
  <si>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</si>
  <si>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</si>
  <si>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</si>
  <si>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</si>
  <si>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</si>
  <si>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</si>
  <si>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</si>
  <si>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</si>
  <si>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</si>
  <si>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</si>
  <si>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</si>
  <si>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</si>
  <si>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</si>
  <si>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</si>
  <si>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</si>
  <si>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</si>
  <si>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</si>
  <si>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</si>
  <si>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</si>
  <si>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</si>
  <si>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</si>
  <si>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</si>
  <si>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</si>
  <si>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</si>
  <si>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</si>
  <si>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</si>
  <si>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</si>
  <si>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</si>
  <si>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</si>
  <si>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</si>
  <si>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</si>
  <si>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</si>
  <si>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</si>
  <si>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</si>
  <si>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</si>
  <si>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</si>
  <si>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</si>
  <si>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</si>
  <si>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</si>
  <si>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</si>
  <si>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</si>
  <si>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</si>
  <si>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</si>
  <si>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</si>
  <si>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</si>
  <si>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</si>
  <si>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</si>
  <si>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</si>
  <si>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</si>
  <si>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</si>
  <si>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</si>
  <si>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</si>
  <si>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</si>
  <si>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</si>
  <si>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</si>
  <si>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</si>
  <si>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</si>
  <si>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</si>
  <si>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</si>
  <si>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</si>
  <si>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</si>
  <si>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</si>
  <si>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</si>
  <si>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</si>
  <si>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</si>
  <si>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</si>
  <si>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</si>
  <si>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</si>
  <si>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</si>
  <si>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</si>
  <si>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</si>
  <si>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</si>
  <si>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</si>
  <si>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</si>
  <si>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</si>
  <si>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</si>
  <si>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</si>
  <si>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</si>
  <si>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</si>
  <si>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</si>
  <si>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</si>
  <si>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</si>
  <si>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</si>
  <si>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</si>
  <si>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</si>
  <si>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</si>
  <si>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</si>
  <si>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</si>
  <si>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</si>
  <si>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</si>
  <si>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</si>
  <si>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</si>
  <si>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</si>
  <si>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</si>
  <si>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</si>
  <si>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</si>
  <si>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</si>
  <si>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</si>
  <si>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</si>
  <si>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</si>
  <si>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</si>
  <si>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</si>
  <si>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</si>
  <si>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</si>
  <si>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</si>
  <si>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</si>
  <si>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</si>
  <si>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</si>
  <si>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</si>
  <si>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</si>
  <si>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تفتيش جاهزية الآليات (ب) لسرية الصيانة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</si>
  <si>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الشؤون الإدارية.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</si>
  <si>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</si>
  <si>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</si>
  <si>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</si>
  <si>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المظهر العام والترتيب لمكتب النقليات.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</si>
  <si>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العهدة.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</si>
  <si>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ملف لحفظ سندات الصرف والاستلام للآليات والعـدة.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</si>
  <si>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الحركة.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</si>
  <si>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الحوادث.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</si>
  <si>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وجود وإدامة سجل تسليم واستلام الآليات. 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</si>
  <si>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وإدامة سجل الدخول والخروج من الورشة / المشاغل / مراكز الإصلاح.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</si>
  <si>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</si>
  <si>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بالتعليمات والإجراءات لإدخال الآليات لمراكز الإصلاح.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</si>
  <si>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إدامة السجلات الخاصة بكل آلية بواسطة الطاقم وتصديق الضابط المسؤول.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</si>
  <si>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معرفة السائق بالآلية وإلمامه بالتعليمات والصيانة و طوابير التفتيش.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</si>
  <si>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إلمام ضابط النقليات بمهامه وواجباته.</t>
    </r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</si>
  <si>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برفع الكشوفات الدورية.</t>
    </r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</si>
  <si>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ملف لحفظ نماذج شطب الآليات.</t>
    </r>
  </si>
  <si>
    <r>
      <t>مجموعـة الجسم.</t>
    </r>
    <r>
      <rPr>
        <sz val="12"/>
        <color rgb="FF000000"/>
        <rFont val="Arial"/>
        <family val="2"/>
      </rPr>
      <t xml:space="preserve"> 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</si>
  <si>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</si>
  <si>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</si>
  <si>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</si>
  <si>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</si>
  <si>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</si>
  <si>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</si>
  <si>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مقاعد غرفة القيادة والركاب.</t>
    </r>
  </si>
  <si>
    <r>
      <t>الزيـوت / السوائـل</t>
    </r>
    <r>
      <rPr>
        <sz val="12"/>
        <color rgb="FF000000"/>
        <rFont val="Arial"/>
        <family val="2"/>
      </rPr>
      <t>. 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</si>
  <si>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مستـوى الزيـت / المـاء (المحرك، نظـام ناقل الحركة، الفرامل، مبرد الماء(RADIATOR). 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</si>
  <si>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تسرّب الزيت / الماء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</si>
  <si>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</si>
  <si>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التشحيــم. </t>
    </r>
  </si>
  <si>
    <r>
      <t>مجموعة القـوى.</t>
    </r>
    <r>
      <rPr>
        <sz val="12"/>
        <color rgb="FFFF0000"/>
        <rFont val="Arial"/>
        <family val="2"/>
      </rPr>
      <t xml:space="preserve"> </t>
    </r>
    <r>
      <rPr>
        <sz val="12"/>
        <color rgb="FF000000"/>
        <rFont val="Arial"/>
        <family val="2"/>
      </rPr>
      <t>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</si>
  <si>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</si>
  <si>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</si>
  <si>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</si>
  <si>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</si>
  <si>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</si>
  <si>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نظام التوجيه. 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</si>
  <si>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إطفاء الحريق (طفاية الحريق وصلاحيتها). </t>
    </r>
  </si>
  <si>
    <r>
      <t>الأنظمة الكهربائية والإلكترونية</t>
    </r>
    <r>
      <rPr>
        <sz val="12"/>
        <color rgb="FF000000"/>
        <rFont val="Arial"/>
        <family val="2"/>
      </rPr>
      <t>. 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</si>
  <si>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</si>
  <si>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</si>
  <si>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</si>
  <si>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</si>
  <si>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</si>
  <si>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لوحات العرض.</t>
    </r>
  </si>
  <si>
    <r>
      <t>فحص الآلية أثناء السير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</si>
  <si>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</si>
  <si>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</si>
  <si>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 / نظام التهوية.</t>
    </r>
  </si>
  <si>
    <t>المهمـات الإضافية.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</si>
  <si>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</si>
  <si>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مستودع قطع الغيار.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</si>
  <si>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توفر المواقف المغطاة المخصصة للآليات ونظافتها ووجود وصلاحية طفايات الحريق بها.</t>
    </r>
  </si>
  <si>
    <t>مدى التقيد بقيود الاستخدام.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</si>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</sst>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FF0000"/>
      <name val="Arial"/>
      <family val="2"/>
    </font>
    <font>
      <u/>
      <sz val="12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9" fillId="0" borderId="4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2" xfId="0" applyFont="1" applyFill="1" applyBorder="1" applyAlignment="1">
      <alignment horizontal="center" vertical="center" wrapText="1" readingOrder="2"/>
    </xf>
    <xf numFmtId="0" fontId="19" fillId="2" borderId="4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0" xfId="0" applyFont="1" applyProtection="1"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283281</xdr:colOff>
      <xdr:row>65</xdr:row>
      <xdr:rowOff>201615</xdr:rowOff>
    </xdr:from>
    <xdr:to>
      <xdr:col>9</xdr:col>
      <xdr:colOff>682939</xdr:colOff>
      <xdr:row>67</xdr:row>
      <xdr:rowOff>4441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C0EFD4B-CBA2-3C30-FE04-54A9ED56A645}"/>
                </a:ext>
              </a:extLst>
            </xdr14:cNvPr>
            <xdr14:cNvContentPartPr/>
          </xdr14:nvContentPartPr>
          <xdr14:nvPr macro=""/>
          <xdr14:xfrm>
            <a:off x="10397903877" y="24851160"/>
            <a:ext cx="2378880" cy="990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C0EFD4B-CBA2-3C30-FE04-54A9ED56A6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895237" y="24842160"/>
              <a:ext cx="2396520" cy="10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36460</xdr:colOff>
      <xdr:row>66</xdr:row>
      <xdr:rowOff>205217</xdr:rowOff>
    </xdr:from>
    <xdr:to>
      <xdr:col>9</xdr:col>
      <xdr:colOff>310699</xdr:colOff>
      <xdr:row>67</xdr:row>
      <xdr:rowOff>152761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D23D3DF-338E-AA9E-DC2B-557E6B37A780}"/>
                </a:ext>
              </a:extLst>
            </xdr14:cNvPr>
            <xdr14:cNvContentPartPr/>
          </xdr14:nvContentPartPr>
          <xdr14:nvPr macro=""/>
          <xdr14:xfrm>
            <a:off x="10398276117" y="25390800"/>
            <a:ext cx="1593720" cy="5990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D23D3DF-338E-AA9E-DC2B-557E6B37A7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267477" y="25381800"/>
              <a:ext cx="1611360" cy="616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7:33:52.1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4850 1948 7553,'0'0'0,"5"0"72,-1 6-304,-1 16-88,-3-22 320,0 17-328,-3-11 56,-1 18 104,-16-8 24,20-16 144,-7 21-56,-12-3 32,-3 0 24,-2 0-24,24-18 24,-36 19-16,-2-3 0,-18-10 16,-9 14 72,65-20-72,-79 6 48,-13 0-24,-11 1 40,-10-3 88,113-4-152,-123 0 184,-7-2 40,-7-7 24,-2-13-8,139 22-240,-147-20 288,0-7 88,1-5-32,1-7-32,145 39-312,-146-42 248,-3-3-72,9-2 0,-4 1-32,144 46-144,-137-51 145,-1 0 15,13-6-24,5-4-8,120 61-128,-111-63 168,15-8-8,12-2 40,19-2 8,65 75-208,-46-79 248,15-2 64,24-1-56,7-5 88,0 87-344,29-87 240,24-7-88,14-7-8,17-1-112,-84 102-32,104-103 56,14 7-64,16 13 16,18 6-80,-152 77 72,168-67-40,15 10 40,14 6-8,17 11 8,-214 40 0,229-33 24,11 7-24,3 9-16,7 15 32,-250 2-16,253 0-64,0 4 0,-11 17 16,-8-1-16,-234-20 64,221 24-64,-12 5-24,-16 1-8,-13 3 8,-180-33 88,164 36-96,-13 3 0,-18 2 16,-20-1 0,-113-40 80,96 43-96,-22 1-40,-21 5-120,-14-2-16,-39-47 272,5 51-288,-3-1 80,-19 5 96,-19 2 48,36-57 64,-55 55-32,-20 0 16,-16-2 24,-27-3-8,118-50 0,-130 51-8,-19 2-8,-17 2 8,-7-2-24,173-53 32,-185 54-24,-20 1 16,-9-2-8,-10 2 24,224-55-8,-235 55 16,-6 2-16,-2 1-8,-7 3 8,250-61 0,-255 63-24,2 2 32,-2 2-8,5 2 0,250-69 0,-245 76 0,4 1-16,8-2 16,17 0-32,216-75 32,-212 71 0,15-6-40,7 0-16,12-4 0,178-61 56,-161 57-48,7-4 32,14-5-8,20-5 40,120-43-16,-116 37-40,20-7 48,10-6 8,16-5-24,70-19 8,-58 6 32,17 12 16,15-18 152,19 0 128,7 0-328,0-4 336,0-12-56,28-1-128,4-5-120,-32 22-32,45-26 24,8-5-16,7-5-64,15-3-384,-75 39 440,82-41-888,7-3-289,7-3-119,12-4-136,-108 51 1432,121-48-4121,-121 48 4121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7:33:52.9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4379 0 4416,'0'0'0,"0"0"0,21 4 425,-14 2-145,13 15-112,-20-15-96,0-6-72,-20 26 88,-16-6-40,-9 7 32,-20-1-24,65-26-56,-77 31 8,-15 3 8,-21 3 0,-12 3 0,125-40-16,-135 43 32,-14 2 0,-5 3-16,-7 7-32,161-55 16,-175 57-16,-8 0 32,-5-2 8,-7-5 88,195-50-112,-204 53 104,9-4-16,0 2 24,-4-2-40,199-49-72,-193 46 104,-4 1-8,12 0 8,4-3-8,181-44-96,-173 43 64,17-4 16,9-5-112,20 1 120,127-35-88,-116 30 104,25 1-40,16-5 72,22-4-64,53-22-72,-26 19 128,26-13 40,5 12-8,45-14-248,-50-4 88,70 4-416,24-4-216,21 0 48,22-6 120,-137 6 464,154-24-264,19 1 56,25-11-417,9-3-2607,-207 37 3232,0 0 0</inkml:trace>
  <inkml:trace contextRef="#ctx0" brushRef="#br0" timeOffset="1">3101 902 3872,'0'0'0,"0"0"0,152-31 1921,35-9-1377,47-9-88,-54 8-288,-180 41-168,135-36 128,-22 1-16,-26 5-16,-25 3 248,-62 27-344,39-22 600,-23 4-104,-18 10-328,-37-1-296,39 9 128,-52-4-392,-33 4 120,-23 17 232,-24 7 72,132-24-32,-152 35 24,-16 7-56,-15 9 8,-19 6 0,202-57 24,-214 61-40,-10 6 32,-9 4 8,-8 8-48,241-79 48,-238 81-24,0 5-40,-5 1 64,3 4 64,240-91-64,-241 92-16,13-5-664,4-4-4145,224-83 4825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7"/>
  <sheetViews>
    <sheetView rightToLeft="1" tabSelected="1" view="pageBreakPreview" zoomScale="130" zoomScaleNormal="100" zoomScaleSheetLayoutView="130" workbookViewId="0">
      <selection activeCell="P15" sqref="P15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5" width="9.28125" style="47" customWidth="1"/>
    <col min="6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5" t="s">
        <v>180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2">
      <c r="B2" s="11" t="s">
        <v>8</v>
      </c>
      <c r="C2" s="61" t="s">
        <v>32</v>
      </c>
      <c r="D2" s="61"/>
      <c r="E2" s="11" t="s">
        <v>7</v>
      </c>
      <c r="F2" s="56">
        <v>45929</v>
      </c>
      <c r="G2" s="56"/>
      <c r="H2" s="56"/>
      <c r="I2" s="56"/>
      <c r="J2" s="56"/>
    </row>
    <row r="3" spans="1:10" ht="30" customHeight="1" x14ac:dyDescent="0.2">
      <c r="B3" s="11" t="s">
        <v>9</v>
      </c>
      <c r="C3" s="61" t="s">
        <v>67</v>
      </c>
      <c r="D3" s="61"/>
      <c r="E3" s="11" t="s">
        <v>6</v>
      </c>
      <c r="F3" s="61" t="s">
        <v>136</v>
      </c>
      <c r="G3" s="61"/>
      <c r="H3" s="61"/>
      <c r="I3" s="61"/>
      <c r="J3" s="6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7" t="s">
        <v>0</v>
      </c>
      <c r="C5" s="58"/>
      <c r="D5" s="58"/>
      <c r="E5" s="70" t="s">
        <v>1</v>
      </c>
      <c r="F5" s="70"/>
      <c r="G5" s="70"/>
      <c r="H5" s="70"/>
      <c r="I5" s="70" t="s">
        <v>2</v>
      </c>
      <c r="J5" s="71"/>
    </row>
    <row r="6" spans="1:10" ht="24.95" customHeight="1" thickBot="1" x14ac:dyDescent="0.25">
      <c r="A6" s="9"/>
      <c r="B6" s="59"/>
      <c r="C6" s="60"/>
      <c r="D6" s="60"/>
      <c r="E6" s="27" t="s">
        <v>3</v>
      </c>
      <c r="F6" s="10" t="s">
        <v>4</v>
      </c>
      <c r="G6" s="10" t="s">
        <v>23</v>
      </c>
      <c r="H6" s="10" t="s">
        <v>24</v>
      </c>
      <c r="I6" s="72"/>
      <c r="J6" s="73"/>
    </row>
    <row r="7" spans="1:10" ht="24.95" customHeight="1" thickBot="1" x14ac:dyDescent="0.25">
      <c r="A7" s="9"/>
      <c r="B7" s="64" t="s">
        <v>21</v>
      </c>
      <c r="C7" s="65"/>
      <c r="D7" s="65"/>
      <c r="E7" s="36" t="s">
        <v>18</v>
      </c>
      <c r="F7" s="36" t="s">
        <v>19</v>
      </c>
      <c r="G7" s="36" t="s">
        <v>22</v>
      </c>
      <c r="H7" s="36" t="s">
        <v>20</v>
      </c>
      <c r="I7" s="74" t="s">
        <v>25</v>
      </c>
      <c r="J7" s="75"/>
    </row>
    <row r="8" spans="1:10" ht="30" customHeight="1" x14ac:dyDescent="0.2">
      <c r="A8" s="9"/>
      <c r="B8" s="88" t="s">
        <v>181</v>
      </c>
      <c r="C8" s="89"/>
      <c r="D8" s="89"/>
      <c r="E8" s="29"/>
      <c r="F8" s="40"/>
      <c r="G8" s="41"/>
      <c r="H8" s="42"/>
      <c r="I8" s="68"/>
      <c r="J8" s="69"/>
    </row>
    <row r="9" spans="1:10" ht="30" customHeight="1" x14ac:dyDescent="0.2">
      <c r="A9" s="9"/>
      <c r="B9" s="90" t="s">
        <v>182</v>
      </c>
      <c r="C9" s="91"/>
      <c r="D9" s="91"/>
      <c r="E9" s="30">
        <v>10</v>
      </c>
      <c r="F9" s="25">
        <v>8.75</v>
      </c>
      <c r="G9" s="38">
        <f>IFERROR(F9/E9,"")</f>
        <v>0.875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3"/>
      <c r="J9" s="54"/>
    </row>
    <row r="10" spans="1:10" ht="30" customHeight="1" x14ac:dyDescent="0.2">
      <c r="A10" s="9"/>
      <c r="B10" s="90" t="s">
        <v>183</v>
      </c>
      <c r="C10" s="91"/>
      <c r="D10" s="91"/>
      <c r="E10" s="31">
        <v>10</v>
      </c>
      <c r="F10" s="25">
        <v>7.75</v>
      </c>
      <c r="G10" s="38">
        <f t="shared" ref="G10:G62" si="0">IFERROR(F10/E10,"")</f>
        <v>0.77500000000000002</v>
      </c>
      <c r="H10" s="39" t="str">
        <f t="shared" ref="H10:H62" si="1">_xlfn.IFS(F10="أدخل العلامة","",F10="لا ينطبق","تم الإلغاء",G10&gt;=90%,"ممتاز",G10&gt;=80%,"جيد جداً",G10&gt;=70%,"جيد",G10&gt;=60%,"مقبول",G10&lt;60%,"راسب")</f>
        <v>جيد</v>
      </c>
      <c r="I10" s="53"/>
      <c r="J10" s="54"/>
    </row>
    <row r="11" spans="1:10" ht="30" customHeight="1" x14ac:dyDescent="0.2">
      <c r="A11" s="9"/>
      <c r="B11" s="90" t="s">
        <v>184</v>
      </c>
      <c r="C11" s="91"/>
      <c r="D11" s="91"/>
      <c r="E11" s="31">
        <v>5</v>
      </c>
      <c r="F11" s="25">
        <v>4.25</v>
      </c>
      <c r="G11" s="38">
        <f t="shared" si="0"/>
        <v>0.85</v>
      </c>
      <c r="H11" s="39" t="str">
        <f t="shared" si="1"/>
        <v>جيد جداً</v>
      </c>
      <c r="I11" s="53"/>
      <c r="J11" s="54"/>
    </row>
    <row r="12" spans="1:10" ht="30" customHeight="1" x14ac:dyDescent="0.2">
      <c r="A12" s="9"/>
      <c r="B12" s="90" t="s">
        <v>185</v>
      </c>
      <c r="C12" s="91"/>
      <c r="D12" s="91"/>
      <c r="E12" s="31">
        <v>5</v>
      </c>
      <c r="F12" s="25">
        <v>3.75</v>
      </c>
      <c r="G12" s="38">
        <f t="shared" si="0"/>
        <v>0.75</v>
      </c>
      <c r="H12" s="39" t="str">
        <f t="shared" si="1"/>
        <v>جيد</v>
      </c>
      <c r="I12" s="53"/>
      <c r="J12" s="54"/>
    </row>
    <row r="13" spans="1:10" ht="30" customHeight="1" x14ac:dyDescent="0.2">
      <c r="A13" s="9"/>
      <c r="B13" s="90" t="s">
        <v>186</v>
      </c>
      <c r="C13" s="91"/>
      <c r="D13" s="91"/>
      <c r="E13" s="31">
        <v>5</v>
      </c>
      <c r="F13" s="25">
        <v>3.5</v>
      </c>
      <c r="G13" s="38">
        <f t="shared" si="0"/>
        <v>0.7</v>
      </c>
      <c r="H13" s="39" t="str">
        <f t="shared" si="1"/>
        <v>جيد</v>
      </c>
      <c r="I13" s="53"/>
      <c r="J13" s="54"/>
    </row>
    <row r="14" spans="1:10" ht="30" customHeight="1" x14ac:dyDescent="0.2">
      <c r="A14" s="9"/>
      <c r="B14" s="90" t="s">
        <v>187</v>
      </c>
      <c r="C14" s="91"/>
      <c r="D14" s="91"/>
      <c r="E14" s="31">
        <v>5</v>
      </c>
      <c r="F14" s="25">
        <v>3.75</v>
      </c>
      <c r="G14" s="38">
        <f>IFERROR(F14/E14,"")</f>
        <v>0.75</v>
      </c>
      <c r="H14" s="39" t="str">
        <f t="shared" si="1"/>
        <v>جيد</v>
      </c>
      <c r="I14" s="53"/>
      <c r="J14" s="54"/>
    </row>
    <row r="15" spans="1:10" ht="30" customHeight="1" x14ac:dyDescent="0.2">
      <c r="A15" s="9"/>
      <c r="B15" s="90" t="s">
        <v>188</v>
      </c>
      <c r="C15" s="91"/>
      <c r="D15" s="91"/>
      <c r="E15" s="31">
        <v>5</v>
      </c>
      <c r="F15" s="25">
        <v>3.75</v>
      </c>
      <c r="G15" s="38">
        <f>IFERROR(F15/E15,"")</f>
        <v>0.75</v>
      </c>
      <c r="H15" s="39" t="str">
        <f t="shared" si="1"/>
        <v>جيد</v>
      </c>
      <c r="I15" s="53"/>
      <c r="J15" s="54"/>
    </row>
    <row r="16" spans="1:10" ht="30" customHeight="1" x14ac:dyDescent="0.2">
      <c r="A16" s="9"/>
      <c r="B16" s="90" t="s">
        <v>189</v>
      </c>
      <c r="C16" s="91"/>
      <c r="D16" s="91"/>
      <c r="E16" s="31">
        <v>5</v>
      </c>
      <c r="F16" s="25">
        <v>3.75</v>
      </c>
      <c r="G16" s="38">
        <f t="shared" si="0"/>
        <v>0.75</v>
      </c>
      <c r="H16" s="39" t="str">
        <f t="shared" si="1"/>
        <v>جيد</v>
      </c>
      <c r="I16" s="53"/>
      <c r="J16" s="54"/>
    </row>
    <row r="17" spans="1:10" ht="30" customHeight="1" x14ac:dyDescent="0.2">
      <c r="A17" s="9"/>
      <c r="B17" s="90" t="s">
        <v>190</v>
      </c>
      <c r="C17" s="91"/>
      <c r="D17" s="91"/>
      <c r="E17" s="31">
        <v>8</v>
      </c>
      <c r="F17" s="25">
        <v>6.25</v>
      </c>
      <c r="G17" s="38">
        <f>IFERROR(F17/E17,"")</f>
        <v>0.78125</v>
      </c>
      <c r="H17" s="39" t="str">
        <f t="shared" si="1"/>
        <v>جيد</v>
      </c>
      <c r="I17" s="53" t="s">
        <v>236</v>
      </c>
      <c r="J17" s="54"/>
    </row>
    <row r="18" spans="1:10" ht="30" customHeight="1" x14ac:dyDescent="0.2">
      <c r="A18" s="9"/>
      <c r="B18" s="90" t="s">
        <v>191</v>
      </c>
      <c r="C18" s="91"/>
      <c r="D18" s="91"/>
      <c r="E18" s="31">
        <v>5</v>
      </c>
      <c r="F18" s="25">
        <v>3.5</v>
      </c>
      <c r="G18" s="38">
        <f t="shared" si="0"/>
        <v>0.7</v>
      </c>
      <c r="H18" s="39" t="str">
        <f t="shared" si="1"/>
        <v>جيد</v>
      </c>
      <c r="I18" s="53"/>
      <c r="J18" s="54"/>
    </row>
    <row r="19" spans="1:10" ht="30" customHeight="1" x14ac:dyDescent="0.2">
      <c r="A19" s="9"/>
      <c r="B19" s="90" t="s">
        <v>192</v>
      </c>
      <c r="C19" s="91"/>
      <c r="D19" s="91"/>
      <c r="E19" s="31">
        <v>5</v>
      </c>
      <c r="F19" s="25">
        <v>3.5</v>
      </c>
      <c r="G19" s="38">
        <f t="shared" si="0"/>
        <v>0.7</v>
      </c>
      <c r="H19" s="39" t="str">
        <f t="shared" si="1"/>
        <v>جيد</v>
      </c>
      <c r="I19" s="53"/>
      <c r="J19" s="54"/>
    </row>
    <row r="20" spans="1:10" ht="30" customHeight="1" x14ac:dyDescent="0.2">
      <c r="A20" s="9"/>
      <c r="B20" s="90" t="s">
        <v>193</v>
      </c>
      <c r="C20" s="91"/>
      <c r="D20" s="91"/>
      <c r="E20" s="31">
        <v>5</v>
      </c>
      <c r="F20" s="25">
        <v>3.75</v>
      </c>
      <c r="G20" s="38">
        <f t="shared" si="0"/>
        <v>0.75</v>
      </c>
      <c r="H20" s="39" t="str">
        <f t="shared" si="1"/>
        <v>جيد</v>
      </c>
      <c r="I20" s="53"/>
      <c r="J20" s="54"/>
    </row>
    <row r="21" spans="1:10" ht="30" customHeight="1" x14ac:dyDescent="0.2">
      <c r="A21" s="9"/>
      <c r="B21" s="90" t="s">
        <v>194</v>
      </c>
      <c r="C21" s="91"/>
      <c r="D21" s="91"/>
      <c r="E21" s="31">
        <v>8</v>
      </c>
      <c r="F21" s="25">
        <v>6.25</v>
      </c>
      <c r="G21" s="38">
        <f t="shared" si="0"/>
        <v>0.78125</v>
      </c>
      <c r="H21" s="39" t="str">
        <f t="shared" si="1"/>
        <v>جيد</v>
      </c>
      <c r="I21" s="53"/>
      <c r="J21" s="54"/>
    </row>
    <row r="22" spans="1:10" ht="30" customHeight="1" x14ac:dyDescent="0.2">
      <c r="A22" s="9"/>
      <c r="B22" s="90" t="s">
        <v>195</v>
      </c>
      <c r="C22" s="91"/>
      <c r="D22" s="91"/>
      <c r="E22" s="31">
        <v>5</v>
      </c>
      <c r="F22" s="25">
        <v>3.5</v>
      </c>
      <c r="G22" s="38">
        <f t="shared" si="0"/>
        <v>0.7</v>
      </c>
      <c r="H22" s="39" t="str">
        <f t="shared" si="1"/>
        <v>جيد</v>
      </c>
      <c r="I22" s="53"/>
      <c r="J22" s="54"/>
    </row>
    <row r="23" spans="1:10" ht="30" customHeight="1" x14ac:dyDescent="0.2">
      <c r="A23" s="9"/>
      <c r="B23" s="90" t="s">
        <v>196</v>
      </c>
      <c r="C23" s="91"/>
      <c r="D23" s="91"/>
      <c r="E23" s="31">
        <v>5</v>
      </c>
      <c r="F23" s="25">
        <v>3.5</v>
      </c>
      <c r="G23" s="38">
        <f t="shared" si="0"/>
        <v>0.7</v>
      </c>
      <c r="H23" s="39" t="str">
        <f t="shared" si="1"/>
        <v>جيد</v>
      </c>
      <c r="I23" s="53"/>
      <c r="J23" s="54"/>
    </row>
    <row r="24" spans="1:10" ht="30" customHeight="1" x14ac:dyDescent="0.2">
      <c r="A24" s="9"/>
      <c r="B24" s="90" t="s">
        <v>197</v>
      </c>
      <c r="C24" s="91"/>
      <c r="D24" s="91"/>
      <c r="E24" s="31">
        <v>5</v>
      </c>
      <c r="F24" s="25">
        <v>3.75</v>
      </c>
      <c r="G24" s="38">
        <f t="shared" si="0"/>
        <v>0.75</v>
      </c>
      <c r="H24" s="39" t="str">
        <f t="shared" si="1"/>
        <v>جيد</v>
      </c>
      <c r="I24" s="53"/>
      <c r="J24" s="54"/>
    </row>
    <row r="25" spans="1:10" ht="30" customHeight="1" thickBot="1" x14ac:dyDescent="0.25">
      <c r="A25" s="9"/>
      <c r="B25" s="92" t="s">
        <v>198</v>
      </c>
      <c r="C25" s="93"/>
      <c r="D25" s="93"/>
      <c r="E25" s="32">
        <v>5</v>
      </c>
      <c r="F25" s="28">
        <v>3.5</v>
      </c>
      <c r="G25" s="43">
        <f t="shared" si="0"/>
        <v>0.7</v>
      </c>
      <c r="H25" s="44" t="str">
        <f t="shared" si="1"/>
        <v>جيد</v>
      </c>
      <c r="I25" s="66"/>
      <c r="J25" s="67"/>
    </row>
    <row r="26" spans="1:10" ht="30" customHeight="1" x14ac:dyDescent="0.2">
      <c r="A26" s="9"/>
      <c r="B26" s="94" t="s">
        <v>199</v>
      </c>
      <c r="C26" s="95"/>
      <c r="D26" s="95"/>
      <c r="E26" s="33"/>
      <c r="F26" s="40"/>
      <c r="G26" s="41"/>
      <c r="H26" s="42"/>
      <c r="I26" s="68"/>
      <c r="J26" s="69"/>
    </row>
    <row r="27" spans="1:10" ht="30" customHeight="1" x14ac:dyDescent="0.2">
      <c r="A27" s="9"/>
      <c r="B27" s="90" t="s">
        <v>200</v>
      </c>
      <c r="C27" s="91"/>
      <c r="D27" s="91"/>
      <c r="E27" s="31">
        <v>8</v>
      </c>
      <c r="F27" s="25">
        <v>6</v>
      </c>
      <c r="G27" s="38">
        <f t="shared" si="0"/>
        <v>0.75</v>
      </c>
      <c r="H27" s="39" t="str">
        <f t="shared" si="1"/>
        <v>جيد</v>
      </c>
      <c r="I27" s="53"/>
      <c r="J27" s="54"/>
    </row>
    <row r="28" spans="1:10" ht="30" customHeight="1" x14ac:dyDescent="0.2">
      <c r="A28" s="9"/>
      <c r="B28" s="90" t="s">
        <v>201</v>
      </c>
      <c r="C28" s="91"/>
      <c r="D28" s="91"/>
      <c r="E28" s="31">
        <v>5</v>
      </c>
      <c r="F28" s="25">
        <v>3.75</v>
      </c>
      <c r="G28" s="38">
        <f t="shared" si="0"/>
        <v>0.75</v>
      </c>
      <c r="H28" s="39" t="str">
        <f t="shared" si="1"/>
        <v>جيد</v>
      </c>
      <c r="I28" s="53"/>
      <c r="J28" s="54"/>
    </row>
    <row r="29" spans="1:10" ht="30" customHeight="1" x14ac:dyDescent="0.2">
      <c r="A29" s="9"/>
      <c r="B29" s="90" t="s">
        <v>202</v>
      </c>
      <c r="C29" s="91"/>
      <c r="D29" s="91"/>
      <c r="E29" s="31">
        <v>5</v>
      </c>
      <c r="F29" s="25">
        <v>4.25</v>
      </c>
      <c r="G29" s="38">
        <f t="shared" si="0"/>
        <v>0.85</v>
      </c>
      <c r="H29" s="39" t="str">
        <f t="shared" si="1"/>
        <v>جيد جداً</v>
      </c>
      <c r="I29" s="53"/>
      <c r="J29" s="54"/>
    </row>
    <row r="30" spans="1:10" ht="30" customHeight="1" x14ac:dyDescent="0.2">
      <c r="A30" s="9"/>
      <c r="B30" s="90" t="s">
        <v>203</v>
      </c>
      <c r="C30" s="91"/>
      <c r="D30" s="91"/>
      <c r="E30" s="31">
        <v>5</v>
      </c>
      <c r="F30" s="25">
        <v>3.75</v>
      </c>
      <c r="G30" s="38">
        <f t="shared" si="0"/>
        <v>0.75</v>
      </c>
      <c r="H30" s="39" t="str">
        <f t="shared" si="1"/>
        <v>جيد</v>
      </c>
      <c r="I30" s="53"/>
      <c r="J30" s="54"/>
    </row>
    <row r="31" spans="1:10" ht="30" customHeight="1" x14ac:dyDescent="0.2">
      <c r="A31" s="9"/>
      <c r="B31" s="90" t="s">
        <v>204</v>
      </c>
      <c r="C31" s="91"/>
      <c r="D31" s="91"/>
      <c r="E31" s="31">
        <v>5</v>
      </c>
      <c r="F31" s="25">
        <v>4</v>
      </c>
      <c r="G31" s="38">
        <f t="shared" si="0"/>
        <v>0.8</v>
      </c>
      <c r="H31" s="39" t="str">
        <f t="shared" si="1"/>
        <v>جيد جداً</v>
      </c>
      <c r="I31" s="53"/>
      <c r="J31" s="54"/>
    </row>
    <row r="32" spans="1:10" ht="30" customHeight="1" x14ac:dyDescent="0.2">
      <c r="A32" s="9"/>
      <c r="B32" s="90" t="s">
        <v>205</v>
      </c>
      <c r="C32" s="91"/>
      <c r="D32" s="91"/>
      <c r="E32" s="31">
        <v>5</v>
      </c>
      <c r="F32" s="25">
        <v>3.75</v>
      </c>
      <c r="G32" s="38">
        <f t="shared" si="0"/>
        <v>0.75</v>
      </c>
      <c r="H32" s="39" t="str">
        <f t="shared" si="1"/>
        <v>جيد</v>
      </c>
      <c r="I32" s="53"/>
      <c r="J32" s="54"/>
    </row>
    <row r="33" spans="1:10" ht="30" customHeight="1" thickBot="1" x14ac:dyDescent="0.25">
      <c r="A33" s="9"/>
      <c r="B33" s="92" t="s">
        <v>206</v>
      </c>
      <c r="C33" s="93"/>
      <c r="D33" s="93"/>
      <c r="E33" s="34">
        <v>5</v>
      </c>
      <c r="F33" s="28">
        <v>4</v>
      </c>
      <c r="G33" s="43">
        <f t="shared" si="0"/>
        <v>0.8</v>
      </c>
      <c r="H33" s="44" t="str">
        <f t="shared" si="1"/>
        <v>جيد جداً</v>
      </c>
      <c r="I33" s="66"/>
      <c r="J33" s="67"/>
    </row>
    <row r="34" spans="1:10" ht="30" customHeight="1" x14ac:dyDescent="0.2">
      <c r="A34" s="9"/>
      <c r="B34" s="94" t="s">
        <v>207</v>
      </c>
      <c r="C34" s="95"/>
      <c r="D34" s="95"/>
      <c r="E34" s="33"/>
      <c r="F34" s="40"/>
      <c r="G34" s="41"/>
      <c r="H34" s="42"/>
      <c r="I34" s="68"/>
      <c r="J34" s="69"/>
    </row>
    <row r="35" spans="1:10" ht="30" customHeight="1" x14ac:dyDescent="0.2">
      <c r="A35" s="9"/>
      <c r="B35" s="90" t="s">
        <v>208</v>
      </c>
      <c r="C35" s="91"/>
      <c r="D35" s="91"/>
      <c r="E35" s="30">
        <v>5</v>
      </c>
      <c r="F35" s="25">
        <v>3.75</v>
      </c>
      <c r="G35" s="38">
        <f t="shared" si="0"/>
        <v>0.75</v>
      </c>
      <c r="H35" s="39" t="str">
        <f t="shared" si="1"/>
        <v>جيد</v>
      </c>
      <c r="I35" s="53"/>
      <c r="J35" s="54"/>
    </row>
    <row r="36" spans="1:10" ht="30" customHeight="1" x14ac:dyDescent="0.2">
      <c r="A36" s="9"/>
      <c r="B36" s="90" t="s">
        <v>209</v>
      </c>
      <c r="C36" s="91"/>
      <c r="D36" s="91"/>
      <c r="E36" s="30">
        <v>5</v>
      </c>
      <c r="F36" s="25">
        <v>3.75</v>
      </c>
      <c r="G36" s="38">
        <f t="shared" si="0"/>
        <v>0.75</v>
      </c>
      <c r="H36" s="39" t="str">
        <f t="shared" si="1"/>
        <v>جيد</v>
      </c>
      <c r="I36" s="53"/>
      <c r="J36" s="54"/>
    </row>
    <row r="37" spans="1:10" ht="30" customHeight="1" x14ac:dyDescent="0.2">
      <c r="A37" s="9"/>
      <c r="B37" s="90" t="s">
        <v>210</v>
      </c>
      <c r="C37" s="91"/>
      <c r="D37" s="91"/>
      <c r="E37" s="30">
        <v>5</v>
      </c>
      <c r="F37" s="25">
        <v>3.75</v>
      </c>
      <c r="G37" s="38">
        <f t="shared" si="0"/>
        <v>0.75</v>
      </c>
      <c r="H37" s="39" t="str">
        <f t="shared" si="1"/>
        <v>جيد</v>
      </c>
      <c r="I37" s="53"/>
      <c r="J37" s="54"/>
    </row>
    <row r="38" spans="1:10" ht="30" customHeight="1" thickBot="1" x14ac:dyDescent="0.25">
      <c r="A38" s="9"/>
      <c r="B38" s="92" t="s">
        <v>211</v>
      </c>
      <c r="C38" s="93"/>
      <c r="D38" s="93"/>
      <c r="E38" s="32">
        <v>5</v>
      </c>
      <c r="F38" s="28">
        <v>3.75</v>
      </c>
      <c r="G38" s="43">
        <f t="shared" si="0"/>
        <v>0.75</v>
      </c>
      <c r="H38" s="44" t="str">
        <f t="shared" si="1"/>
        <v>جيد</v>
      </c>
      <c r="I38" s="66"/>
      <c r="J38" s="67"/>
    </row>
    <row r="39" spans="1:10" ht="30" customHeight="1" x14ac:dyDescent="0.2">
      <c r="A39" s="9"/>
      <c r="B39" s="88" t="s">
        <v>212</v>
      </c>
      <c r="C39" s="89"/>
      <c r="D39" s="89"/>
      <c r="E39" s="33"/>
      <c r="F39" s="40"/>
      <c r="G39" s="41"/>
      <c r="H39" s="42"/>
      <c r="I39" s="68"/>
      <c r="J39" s="69"/>
    </row>
    <row r="40" spans="1:10" ht="30" customHeight="1" x14ac:dyDescent="0.2">
      <c r="A40" s="9"/>
      <c r="B40" s="90" t="s">
        <v>213</v>
      </c>
      <c r="C40" s="91"/>
      <c r="D40" s="91"/>
      <c r="E40" s="31">
        <v>5</v>
      </c>
      <c r="F40" s="25">
        <v>4</v>
      </c>
      <c r="G40" s="38">
        <f t="shared" si="0"/>
        <v>0.8</v>
      </c>
      <c r="H40" s="39" t="str">
        <f t="shared" si="1"/>
        <v>جيد جداً</v>
      </c>
      <c r="I40" s="53"/>
      <c r="J40" s="54"/>
    </row>
    <row r="41" spans="1:10" ht="30" customHeight="1" x14ac:dyDescent="0.2">
      <c r="A41" s="9"/>
      <c r="B41" s="90" t="s">
        <v>214</v>
      </c>
      <c r="C41" s="91"/>
      <c r="D41" s="91"/>
      <c r="E41" s="31">
        <v>5</v>
      </c>
      <c r="F41" s="25">
        <v>3.5</v>
      </c>
      <c r="G41" s="38">
        <f t="shared" si="0"/>
        <v>0.7</v>
      </c>
      <c r="H41" s="39" t="str">
        <f t="shared" si="1"/>
        <v>جيد</v>
      </c>
      <c r="I41" s="53"/>
      <c r="J41" s="54"/>
    </row>
    <row r="42" spans="1:10" ht="30" customHeight="1" x14ac:dyDescent="0.2">
      <c r="A42" s="9"/>
      <c r="B42" s="90" t="s">
        <v>215</v>
      </c>
      <c r="C42" s="91"/>
      <c r="D42" s="91"/>
      <c r="E42" s="31">
        <v>5</v>
      </c>
      <c r="F42" s="25">
        <v>3.5</v>
      </c>
      <c r="G42" s="38">
        <f t="shared" si="0"/>
        <v>0.7</v>
      </c>
      <c r="H42" s="39" t="str">
        <f t="shared" si="1"/>
        <v>جيد</v>
      </c>
      <c r="I42" s="53"/>
      <c r="J42" s="54"/>
    </row>
    <row r="43" spans="1:10" ht="30" customHeight="1" x14ac:dyDescent="0.2">
      <c r="A43" s="9"/>
      <c r="B43" s="90" t="s">
        <v>216</v>
      </c>
      <c r="C43" s="91"/>
      <c r="D43" s="91"/>
      <c r="E43" s="31">
        <v>5</v>
      </c>
      <c r="F43" s="25">
        <v>3.5</v>
      </c>
      <c r="G43" s="38">
        <f t="shared" si="0"/>
        <v>0.7</v>
      </c>
      <c r="H43" s="39" t="str">
        <f t="shared" si="1"/>
        <v>جيد</v>
      </c>
      <c r="I43" s="53"/>
      <c r="J43" s="54"/>
    </row>
    <row r="44" spans="1:10" ht="30" customHeight="1" x14ac:dyDescent="0.2">
      <c r="A44" s="9"/>
      <c r="B44" s="90" t="s">
        <v>217</v>
      </c>
      <c r="C44" s="91"/>
      <c r="D44" s="91"/>
      <c r="E44" s="31">
        <v>5</v>
      </c>
      <c r="F44" s="25">
        <v>4</v>
      </c>
      <c r="G44" s="38">
        <f t="shared" si="0"/>
        <v>0.8</v>
      </c>
      <c r="H44" s="39" t="str">
        <f t="shared" si="1"/>
        <v>جيد جداً</v>
      </c>
      <c r="I44" s="53"/>
      <c r="J44" s="54"/>
    </row>
    <row r="45" spans="1:10" ht="30" customHeight="1" x14ac:dyDescent="0.2">
      <c r="A45" s="9"/>
      <c r="B45" s="90" t="s">
        <v>218</v>
      </c>
      <c r="C45" s="91"/>
      <c r="D45" s="91"/>
      <c r="E45" s="31">
        <v>5</v>
      </c>
      <c r="F45" s="25">
        <v>3.75</v>
      </c>
      <c r="G45" s="38">
        <f t="shared" si="0"/>
        <v>0.75</v>
      </c>
      <c r="H45" s="39" t="str">
        <f t="shared" si="1"/>
        <v>جيد</v>
      </c>
      <c r="I45" s="53"/>
      <c r="J45" s="54"/>
    </row>
    <row r="46" spans="1:10" ht="30" customHeight="1" thickBot="1" x14ac:dyDescent="0.25">
      <c r="A46" s="9"/>
      <c r="B46" s="92" t="s">
        <v>219</v>
      </c>
      <c r="C46" s="93"/>
      <c r="D46" s="93"/>
      <c r="E46" s="34">
        <v>5</v>
      </c>
      <c r="F46" s="28">
        <v>4.25</v>
      </c>
      <c r="G46" s="43">
        <f t="shared" si="0"/>
        <v>0.85</v>
      </c>
      <c r="H46" s="44" t="str">
        <f t="shared" si="1"/>
        <v>جيد جداً</v>
      </c>
      <c r="I46" s="66"/>
      <c r="J46" s="67"/>
    </row>
    <row r="47" spans="1:10" ht="30" customHeight="1" x14ac:dyDescent="0.2">
      <c r="A47" s="9"/>
      <c r="B47" s="94" t="s">
        <v>220</v>
      </c>
      <c r="C47" s="95"/>
      <c r="D47" s="95"/>
      <c r="E47" s="33"/>
      <c r="F47" s="40"/>
      <c r="G47" s="41"/>
      <c r="H47" s="42"/>
      <c r="I47" s="68"/>
      <c r="J47" s="69"/>
    </row>
    <row r="48" spans="1:10" ht="30" customHeight="1" x14ac:dyDescent="0.2">
      <c r="A48" s="9"/>
      <c r="B48" s="90" t="s">
        <v>221</v>
      </c>
      <c r="C48" s="91"/>
      <c r="D48" s="91"/>
      <c r="E48" s="31">
        <v>5</v>
      </c>
      <c r="F48" s="25">
        <v>3.75</v>
      </c>
      <c r="G48" s="38">
        <f t="shared" si="0"/>
        <v>0.75</v>
      </c>
      <c r="H48" s="39" t="str">
        <f t="shared" si="1"/>
        <v>جيد</v>
      </c>
      <c r="I48" s="53"/>
      <c r="J48" s="54"/>
    </row>
    <row r="49" spans="1:10" ht="30" customHeight="1" x14ac:dyDescent="0.2">
      <c r="A49" s="9"/>
      <c r="B49" s="90" t="s">
        <v>222</v>
      </c>
      <c r="C49" s="91"/>
      <c r="D49" s="91"/>
      <c r="E49" s="31">
        <v>5</v>
      </c>
      <c r="F49" s="25">
        <v>3.5</v>
      </c>
      <c r="G49" s="38">
        <f t="shared" si="0"/>
        <v>0.7</v>
      </c>
      <c r="H49" s="39" t="str">
        <f t="shared" si="1"/>
        <v>جيد</v>
      </c>
      <c r="I49" s="53"/>
      <c r="J49" s="54"/>
    </row>
    <row r="50" spans="1:10" ht="30" customHeight="1" x14ac:dyDescent="0.2">
      <c r="A50" s="9"/>
      <c r="B50" s="90" t="s">
        <v>223</v>
      </c>
      <c r="C50" s="91"/>
      <c r="D50" s="91"/>
      <c r="E50" s="31">
        <v>5</v>
      </c>
      <c r="F50" s="25">
        <v>3.75</v>
      </c>
      <c r="G50" s="38">
        <f t="shared" si="0"/>
        <v>0.75</v>
      </c>
      <c r="H50" s="39" t="str">
        <f t="shared" si="1"/>
        <v>جيد</v>
      </c>
      <c r="I50" s="53"/>
      <c r="J50" s="54"/>
    </row>
    <row r="51" spans="1:10" ht="30" customHeight="1" x14ac:dyDescent="0.2">
      <c r="A51" s="9"/>
      <c r="B51" s="90" t="s">
        <v>224</v>
      </c>
      <c r="C51" s="91"/>
      <c r="D51" s="91"/>
      <c r="E51" s="31">
        <v>5</v>
      </c>
      <c r="F51" s="25">
        <v>3.5</v>
      </c>
      <c r="G51" s="38">
        <f t="shared" si="0"/>
        <v>0.7</v>
      </c>
      <c r="H51" s="39" t="str">
        <f t="shared" si="1"/>
        <v>جيد</v>
      </c>
      <c r="I51" s="53"/>
      <c r="J51" s="54"/>
    </row>
    <row r="52" spans="1:10" ht="30" customHeight="1" x14ac:dyDescent="0.2">
      <c r="A52" s="9"/>
      <c r="B52" s="90" t="s">
        <v>225</v>
      </c>
      <c r="C52" s="91"/>
      <c r="D52" s="91"/>
      <c r="E52" s="31">
        <v>5</v>
      </c>
      <c r="F52" s="25">
        <v>3.5</v>
      </c>
      <c r="G52" s="38">
        <f t="shared" si="0"/>
        <v>0.7</v>
      </c>
      <c r="H52" s="39" t="str">
        <f t="shared" si="1"/>
        <v>جيد</v>
      </c>
      <c r="I52" s="53"/>
      <c r="J52" s="54"/>
    </row>
    <row r="53" spans="1:10" ht="30" customHeight="1" thickBot="1" x14ac:dyDescent="0.25">
      <c r="A53" s="9"/>
      <c r="B53" s="92" t="s">
        <v>226</v>
      </c>
      <c r="C53" s="93"/>
      <c r="D53" s="93"/>
      <c r="E53" s="32">
        <v>5</v>
      </c>
      <c r="F53" s="28">
        <v>3.75</v>
      </c>
      <c r="G53" s="43">
        <f t="shared" si="0"/>
        <v>0.75</v>
      </c>
      <c r="H53" s="44" t="str">
        <f t="shared" si="1"/>
        <v>جيد</v>
      </c>
      <c r="I53" s="66"/>
      <c r="J53" s="67"/>
    </row>
    <row r="54" spans="1:10" ht="30" customHeight="1" x14ac:dyDescent="0.2">
      <c r="A54" s="9"/>
      <c r="B54" s="88" t="s">
        <v>227</v>
      </c>
      <c r="C54" s="89"/>
      <c r="D54" s="89"/>
      <c r="E54" s="33"/>
      <c r="F54" s="40"/>
      <c r="G54" s="41"/>
      <c r="H54" s="42"/>
      <c r="I54" s="68"/>
      <c r="J54" s="69"/>
    </row>
    <row r="55" spans="1:10" ht="30" customHeight="1" x14ac:dyDescent="0.2">
      <c r="A55" s="9"/>
      <c r="B55" s="90" t="s">
        <v>228</v>
      </c>
      <c r="C55" s="91"/>
      <c r="D55" s="91"/>
      <c r="E55" s="31">
        <v>8</v>
      </c>
      <c r="F55" s="25">
        <v>5.75</v>
      </c>
      <c r="G55" s="38">
        <f t="shared" si="0"/>
        <v>0.71875</v>
      </c>
      <c r="H55" s="39" t="str">
        <f t="shared" si="1"/>
        <v>جيد</v>
      </c>
      <c r="I55" s="53"/>
      <c r="J55" s="54"/>
    </row>
    <row r="56" spans="1:10" ht="30" customHeight="1" x14ac:dyDescent="0.2">
      <c r="A56" s="9"/>
      <c r="B56" s="90" t="s">
        <v>229</v>
      </c>
      <c r="C56" s="91"/>
      <c r="D56" s="91"/>
      <c r="E56" s="31">
        <v>8</v>
      </c>
      <c r="F56" s="25">
        <v>5.75</v>
      </c>
      <c r="G56" s="38">
        <f t="shared" si="0"/>
        <v>0.71875</v>
      </c>
      <c r="H56" s="39" t="str">
        <f t="shared" si="1"/>
        <v>جيد</v>
      </c>
      <c r="I56" s="53"/>
      <c r="J56" s="54"/>
    </row>
    <row r="57" spans="1:10" ht="30" customHeight="1" thickBot="1" x14ac:dyDescent="0.25">
      <c r="A57" s="9"/>
      <c r="B57" s="92" t="s">
        <v>230</v>
      </c>
      <c r="C57" s="93"/>
      <c r="D57" s="93"/>
      <c r="E57" s="32">
        <v>5</v>
      </c>
      <c r="F57" s="28">
        <v>3.5</v>
      </c>
      <c r="G57" s="43">
        <f t="shared" si="0"/>
        <v>0.7</v>
      </c>
      <c r="H57" s="44" t="str">
        <f t="shared" si="1"/>
        <v>جيد</v>
      </c>
      <c r="I57" s="66"/>
      <c r="J57" s="67"/>
    </row>
    <row r="58" spans="1:10" ht="30" customHeight="1" x14ac:dyDescent="0.2">
      <c r="A58" s="9"/>
      <c r="B58" s="88" t="s">
        <v>231</v>
      </c>
      <c r="C58" s="89"/>
      <c r="D58" s="89"/>
      <c r="E58" s="33"/>
      <c r="F58" s="40"/>
      <c r="G58" s="41"/>
      <c r="H58" s="42"/>
      <c r="I58" s="68"/>
      <c r="J58" s="69"/>
    </row>
    <row r="59" spans="1:10" ht="30" customHeight="1" x14ac:dyDescent="0.2">
      <c r="A59" s="9"/>
      <c r="B59" s="90" t="s">
        <v>232</v>
      </c>
      <c r="C59" s="91"/>
      <c r="D59" s="91"/>
      <c r="E59" s="30">
        <v>5</v>
      </c>
      <c r="F59" s="25">
        <v>3.5</v>
      </c>
      <c r="G59" s="38">
        <f t="shared" si="0"/>
        <v>0.7</v>
      </c>
      <c r="H59" s="39" t="str">
        <f t="shared" si="1"/>
        <v>جيد</v>
      </c>
      <c r="I59" s="53"/>
      <c r="J59" s="54"/>
    </row>
    <row r="60" spans="1:10" ht="30" customHeight="1" x14ac:dyDescent="0.2">
      <c r="A60" s="9"/>
      <c r="B60" s="90" t="s">
        <v>233</v>
      </c>
      <c r="C60" s="91"/>
      <c r="D60" s="91"/>
      <c r="E60" s="30">
        <v>5</v>
      </c>
      <c r="F60" s="25">
        <v>3.5</v>
      </c>
      <c r="G60" s="38">
        <f t="shared" si="0"/>
        <v>0.7</v>
      </c>
      <c r="H60" s="39" t="str">
        <f t="shared" si="1"/>
        <v>جيد</v>
      </c>
      <c r="I60" s="53"/>
      <c r="J60" s="54"/>
    </row>
    <row r="61" spans="1:10" ht="30" customHeight="1" thickBot="1" x14ac:dyDescent="0.25">
      <c r="A61" s="9"/>
      <c r="B61" s="92" t="s">
        <v>234</v>
      </c>
      <c r="C61" s="93"/>
      <c r="D61" s="93"/>
      <c r="E61" s="34">
        <v>5</v>
      </c>
      <c r="F61" s="28">
        <v>3.75</v>
      </c>
      <c r="G61" s="43">
        <f t="shared" si="0"/>
        <v>0.75</v>
      </c>
      <c r="H61" s="44" t="str">
        <f t="shared" si="1"/>
        <v>جيد</v>
      </c>
      <c r="I61" s="66"/>
      <c r="J61" s="67"/>
    </row>
    <row r="62" spans="1:10" ht="30" customHeight="1" thickBot="1" x14ac:dyDescent="0.25">
      <c r="A62" s="9"/>
      <c r="B62" s="96" t="s">
        <v>235</v>
      </c>
      <c r="C62" s="97"/>
      <c r="D62" s="97"/>
      <c r="E62" s="35">
        <v>10</v>
      </c>
      <c r="F62" s="45">
        <v>7</v>
      </c>
      <c r="G62" s="46">
        <f t="shared" si="0"/>
        <v>0.7</v>
      </c>
      <c r="H62" s="26" t="str">
        <f t="shared" si="1"/>
        <v>جيد</v>
      </c>
      <c r="I62" s="82"/>
      <c r="J62" s="83"/>
    </row>
    <row r="63" spans="1:10" ht="30" customHeight="1" thickBot="1" x14ac:dyDescent="0.25">
      <c r="A63" s="4"/>
      <c r="B63" s="84" t="s">
        <v>5</v>
      </c>
      <c r="C63" s="85"/>
      <c r="D63" s="85"/>
      <c r="E63" s="37">
        <f>SUM(E8:E62)</f>
        <v>270</v>
      </c>
      <c r="F63" s="37">
        <f>SUM(F8:F62)</f>
        <v>202.25</v>
      </c>
      <c r="G63" s="50"/>
      <c r="H63" s="51"/>
      <c r="I63" s="51"/>
      <c r="J63" s="52"/>
    </row>
    <row r="64" spans="1:10" ht="30" customHeight="1" thickBot="1" x14ac:dyDescent="0.25">
      <c r="A64" s="4"/>
      <c r="B64" s="86" t="s">
        <v>54</v>
      </c>
      <c r="C64" s="87"/>
      <c r="D64" s="87"/>
      <c r="E64" s="62">
        <f>F63/E63/100*100</f>
        <v>0.74907407407407411</v>
      </c>
      <c r="F64" s="62"/>
      <c r="G64" s="62"/>
      <c r="H64" s="62"/>
      <c r="I64" s="62"/>
      <c r="J64" s="63"/>
    </row>
    <row r="65" spans="1:10" ht="30" customHeight="1" thickBot="1" x14ac:dyDescent="0.25">
      <c r="A65" s="4"/>
      <c r="B65" s="86" t="s">
        <v>55</v>
      </c>
      <c r="C65" s="87"/>
      <c r="D65" s="87"/>
      <c r="E65" s="80" t="str">
        <f>_xlfn.IFS(E64&gt;=90%,"ممتاز",E64&gt;=80%,"جيد جداً",E64&gt;=70%,"جيد",E64&gt;=60%,"مقبول",E64&lt;60%,"راسب")</f>
        <v>جيد</v>
      </c>
      <c r="F65" s="80"/>
      <c r="G65" s="80"/>
      <c r="H65" s="80"/>
      <c r="I65" s="80"/>
      <c r="J65" s="81"/>
    </row>
    <row r="66" spans="1:10" ht="42" customHeight="1" x14ac:dyDescent="0.2">
      <c r="B66" s="76" t="s">
        <v>174</v>
      </c>
      <c r="C66" s="76"/>
      <c r="D66" s="76"/>
      <c r="E66" s="48" t="s">
        <v>52</v>
      </c>
      <c r="F66" s="48"/>
      <c r="G66" s="78" t="s">
        <v>136</v>
      </c>
      <c r="H66" s="78"/>
      <c r="I66" s="78"/>
      <c r="J66" s="78"/>
    </row>
    <row r="67" spans="1:10" ht="51" customHeight="1" x14ac:dyDescent="0.2">
      <c r="A67" s="5"/>
      <c r="B67" s="77"/>
      <c r="C67" s="77"/>
      <c r="D67" s="77"/>
      <c r="E67" s="49" t="s">
        <v>53</v>
      </c>
      <c r="F67" s="49"/>
      <c r="G67" s="79"/>
      <c r="H67" s="79"/>
      <c r="I67" s="79"/>
      <c r="J67" s="79"/>
    </row>
  </sheetData>
  <sheetProtection formatCells="0" formatColumns="0" formatRows="0" insertColumns="0" insertRows="0" insertHyperlinks="0" deleteColumns="0" deleteRows="0" selectLockedCells="1" sort="0" autoFilter="0" pivotTables="0"/>
  <mergeCells count="131">
    <mergeCell ref="B49:D49"/>
    <mergeCell ref="B50:D50"/>
    <mergeCell ref="B51:D51"/>
    <mergeCell ref="B52:D52"/>
    <mergeCell ref="B62:D6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3:D63"/>
    <mergeCell ref="B64:D64"/>
    <mergeCell ref="B65:D6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22:J22"/>
    <mergeCell ref="I23:J23"/>
    <mergeCell ref="I24:J24"/>
    <mergeCell ref="I25:J25"/>
    <mergeCell ref="B66:D67"/>
    <mergeCell ref="G66:J66"/>
    <mergeCell ref="G67:J67"/>
    <mergeCell ref="E65:J6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E66:F66"/>
    <mergeCell ref="E67:F67"/>
    <mergeCell ref="G63:J63"/>
    <mergeCell ref="I9:J9"/>
    <mergeCell ref="B1:J1"/>
    <mergeCell ref="F2:J2"/>
    <mergeCell ref="B5:D6"/>
    <mergeCell ref="C2:D2"/>
    <mergeCell ref="C3:D3"/>
    <mergeCell ref="F3:J3"/>
    <mergeCell ref="E64:J6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5">
    <cfRule type="expression" dxfId="14" priority="57">
      <formula>$E65="راسب"</formula>
    </cfRule>
  </conditionalFormatting>
  <conditionalFormatting sqref="E65:J65">
    <cfRule type="expression" dxfId="13" priority="58">
      <formula>$E65="مقبول"</formula>
    </cfRule>
    <cfRule type="expression" dxfId="12" priority="59">
      <formula>$E65="جيد"</formula>
    </cfRule>
    <cfRule type="expression" dxfId="11" priority="60">
      <formula>$E65="جيد جداً"</formula>
    </cfRule>
    <cfRule type="expression" dxfId="10" priority="61">
      <formula>$E65="ممتاز"</formula>
    </cfRule>
  </conditionalFormatting>
  <conditionalFormatting sqref="F8:F6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6:J66">
    <cfRule type="containsText" dxfId="6" priority="15" operator="containsText" text="أدخل اسم المحكم">
      <formula>NOT(ISERROR(SEARCH("أدخل اسم المحكم",G66)))</formula>
    </cfRule>
  </conditionalFormatting>
  <conditionalFormatting sqref="H8:H6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F59:F61 F28:F33 F48:F53 F40:F46 F35:F38 F22:F25 F11:F16 F18:F20 F57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G66:J66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BA0F6B28-68FC-48FE-905D-45B8FC509D5D}">
          <x14:formula1>
            <xm:f>'بيانات التقييم'!$A$111:$A$153</xm:f>
          </x14:formula1>
          <xm:sqref>F9:F10 F62</xm:sqref>
        </x14:dataValidation>
        <x14:dataValidation type="list" allowBlank="1" showInputMessage="1" showErrorMessage="1" xr:uid="{F9685297-05DA-451F-9EC4-8312141C7C51}">
          <x14:formula1>
            <xm:f>'بيانات التقييم'!$A$111:$A$145</xm:f>
          </x14:formula1>
          <xm:sqref>F17 F21 F27 F55:F56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9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2025-09-25T11:42:35Z</dcterms:modified>
</cp:coreProperties>
</file>