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BAC3786-EBC1-431C-9733-52418AFCE4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 s="1"/>
  <c r="G11" i="2"/>
  <c r="H11" i="2" s="1"/>
  <c r="G12" i="2"/>
  <c r="H12" i="2" s="1"/>
  <c r="G13" i="2"/>
  <c r="H13" i="2" s="1"/>
  <c r="G15" i="2"/>
  <c r="H15" i="2"/>
  <c r="G16" i="2"/>
  <c r="H16" i="2"/>
  <c r="G17" i="2"/>
  <c r="H17" i="2"/>
  <c r="G19" i="2"/>
  <c r="H19" i="2"/>
  <c r="G20" i="2"/>
  <c r="H20" i="2"/>
  <c r="G22" i="2"/>
  <c r="H22" i="2" s="1"/>
  <c r="G23" i="2"/>
  <c r="H23" i="2" s="1"/>
  <c r="G24" i="2"/>
  <c r="H24" i="2" s="1"/>
  <c r="G25" i="2"/>
  <c r="H25" i="2" s="1"/>
  <c r="G26" i="2"/>
  <c r="H26" i="2"/>
  <c r="G27" i="2"/>
  <c r="H27" i="2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/>
  <c r="G36" i="2"/>
  <c r="H36" i="2"/>
  <c r="G37" i="2"/>
  <c r="H37" i="2" s="1"/>
  <c r="G39" i="2"/>
  <c r="H39" i="2" s="1"/>
  <c r="G40" i="2"/>
  <c r="H40" i="2"/>
  <c r="G41" i="2"/>
  <c r="H41" i="2"/>
  <c r="G42" i="2"/>
  <c r="H42" i="2"/>
  <c r="G43" i="2"/>
  <c r="H43" i="2"/>
  <c r="F44" i="2"/>
  <c r="E44" i="2"/>
  <c r="E45" i="2" l="1"/>
  <c r="E46" i="2" s="1"/>
</calcChain>
</file>

<file path=xl/sharedStrings.xml><?xml version="1.0" encoding="utf-8"?>
<sst xmlns="http://schemas.openxmlformats.org/spreadsheetml/2006/main" count="294" uniqueCount="219">
  <si>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</si>
  <si>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</si>
  <si>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</si>
  <si>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</si>
  <si>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</si>
  <si>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</si>
  <si>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</si>
  <si>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</si>
  <si>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</si>
  <si>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</si>
  <si>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</si>
  <si>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</si>
  <si>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</si>
  <si>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</si>
  <si>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</si>
  <si>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</si>
  <si>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</si>
  <si>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</si>
  <si>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</si>
  <si>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</si>
  <si>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</si>
  <si>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</si>
  <si>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</si>
  <si>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</si>
  <si>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</si>
  <si>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</si>
  <si>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</si>
  <si>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</si>
  <si>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</si>
  <si>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</si>
  <si>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</si>
  <si>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</si>
  <si>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</si>
  <si>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</si>
  <si>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</si>
  <si>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</si>
  <si>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</si>
  <si>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</si>
  <si>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</si>
  <si>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</si>
  <si>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</si>
  <si>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</si>
  <si>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</si>
  <si>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</si>
  <si>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</si>
  <si>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</si>
  <si>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</si>
  <si>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</si>
  <si>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</si>
  <si>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</si>
  <si>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</si>
  <si>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</si>
  <si>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</si>
  <si>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</si>
  <si>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</si>
  <si>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</si>
  <si>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</si>
  <si>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</si>
  <si>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</si>
  <si>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</si>
  <si>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</si>
  <si>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</si>
  <si>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</si>
  <si>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</si>
  <si>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</si>
  <si>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</si>
  <si>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</si>
  <si>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</si>
  <si>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</si>
  <si>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</si>
  <si>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</si>
  <si>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</si>
  <si>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</si>
  <si>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</si>
  <si>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</si>
  <si>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</si>
  <si>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</si>
  <si>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</si>
  <si>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</si>
  <si>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</si>
  <si>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</si>
  <si>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</si>
  <si>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</si>
  <si>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</si>
  <si>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</si>
  <si>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</si>
  <si>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</si>
  <si>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</si>
  <si>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</si>
  <si>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</si>
  <si>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</si>
  <si>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</si>
  <si>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</si>
  <si>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</si>
  <si>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</si>
  <si>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</si>
  <si>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</si>
  <si>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</si>
  <si>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</si>
  <si>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</si>
  <si>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</si>
  <si>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</si>
  <si>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</si>
  <si>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</si>
  <si>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</si>
  <si>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</si>
  <si>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</si>
  <si>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</si>
  <si>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</si>
  <si>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</si>
  <si>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</si>
  <si>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</si>
  <si>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</si>
  <si>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</si>
  <si>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</si>
  <si>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</si>
  <si>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</si>
  <si>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</si>
  <si>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</si>
  <si>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</si>
  <si>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</si>
  <si>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</si>
  <si>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</si>
  <si>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</si>
  <si>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</si>
  <si>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</si>
  <si>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</si>
  <si>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</si>
  <si>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</si>
  <si>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</si>
  <si>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</si>
  <si>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</si>
  <si>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</si>
  <si>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</si>
  <si>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</si>
  <si>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</si>
  <si>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</si>
  <si>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</si>
  <si>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</si>
  <si>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</si>
  <si>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</si>
  <si>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</si>
  <si>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</si>
  <si>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</si>
  <si>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</si>
  <si>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</si>
  <si>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</si>
  <si>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</si>
  <si>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</si>
  <si>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</si>
  <si>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</si>
  <si>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</si>
  <si>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</si>
  <si>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</si>
  <si>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</si>
  <si>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</si>
  <si>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</si>
  <si>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</si>
  <si>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</si>
  <si>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</si>
  <si>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</si>
  <si>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</si>
  <si>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</si>
  <si>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</si>
  <si>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</si>
  <si>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</si>
  <si>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</si>
  <si>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</si>
  <si>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</si>
  <si>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</si>
  <si>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</si>
  <si>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</si>
  <si>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</si>
  <si>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</si>
  <si>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</si>
  <si>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</si>
  <si>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</si>
  <si>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</si>
  <si>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</si>
  <si>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</si>
  <si>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فصيل الشرطة العسكرية في معسكرات التدريب الخارجية</t>
    </r>
    <r>
      <rPr>
        <b/>
        <u/>
        <sz val="14"/>
        <color rgb="FF000000"/>
        <rFont val="Arial"/>
        <family val="2"/>
      </rPr>
      <t xml:space="preserve">
 تمرين جاهزية مجموعة لواء الإمارات/1 (جندي الصحراء 2025/20)</t>
    </r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</si>
  <si>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</si>
  <si>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المؤدية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</si>
  <si>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مكاتب قيادة الفصيل.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</si>
  <si>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مكتب المخابرة.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</si>
  <si>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مواقف للآليات.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</si>
  <si>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نظــام للتخلــص مـن النفايــات والمخلـفـات.</t>
    </r>
  </si>
  <si>
    <t>القوى البشرية والآليـات.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</si>
  <si>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</si>
  <si>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</si>
  <si>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الحالة الفنية للآليات.</t>
    </r>
  </si>
  <si>
    <t>الأسلحــة والذخائــر.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</si>
  <si>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ذخيرة العمليات حسب مقياس الذخائر وحسب 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</si>
  <si>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ذخيرة التدريب حسب المقياس.</t>
    </r>
  </si>
  <si>
    <t>مواقف الآليات (أثناء معسكرات التدريب الخارجية / عندما تكون محملة بالذخائر والوقود).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</si>
  <si>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</si>
  <si>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</si>
  <si>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</si>
  <si>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</si>
  <si>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</si>
  <si>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</si>
  <si>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r>
      <t>التدريب/ مساعدات التدريب</t>
    </r>
    <r>
      <rPr>
        <b/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</si>
  <si>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</si>
  <si>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</si>
  <si>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</si>
  <si>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</si>
  <si>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</si>
  <si>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وسائل الإيضاح.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</si>
  <si>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وثائق وتعليمات التدريب.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</si>
  <si>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التعليمات التنظيمية للمعسكر.</t>
    </r>
  </si>
  <si>
    <t>وجود خطة الدفاع والحراسة و خطة الحريق.</t>
  </si>
  <si>
    <t>الإشارة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</si>
  <si>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بالتعليمات الإشارية ومخططات شبكة الاتصالات.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</si>
  <si>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وسائل الاتصال.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</si>
  <si>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بأصول المخابرة الصحيحة والالتزام بالأمن اللاسلكي من قبل مستخدمي الأجهزة.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</si>
  <si>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كفاءة الاتصالات.</t>
    </r>
  </si>
  <si>
    <t>الإشراف والمتابعة من المستوى الأعلى.</t>
  </si>
  <si>
    <t xml:space="preserve">عدم وجود ذخيرة تدريب </t>
  </si>
  <si>
    <t>المقدم/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</si>
</sst>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  <font>
      <b/>
      <sz val="14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5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419934</xdr:colOff>
      <xdr:row>47</xdr:row>
      <xdr:rowOff>278428</xdr:rowOff>
    </xdr:from>
    <xdr:to>
      <xdr:col>6</xdr:col>
      <xdr:colOff>433254</xdr:colOff>
      <xdr:row>47</xdr:row>
      <xdr:rowOff>317308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1FE8D53-1510-79CB-E9D2-AA1C8A412941}"/>
                </a:ext>
              </a:extLst>
            </xdr14:cNvPr>
            <xdr14:cNvContentPartPr/>
          </xdr14:nvContentPartPr>
          <xdr14:nvPr macro=""/>
          <xdr14:xfrm>
            <a:off x="10400127836" y="18335520"/>
            <a:ext cx="13320" cy="38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1FE8D53-1510-79CB-E9D2-AA1C8A4129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121716" y="18329400"/>
              <a:ext cx="25560" cy="5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269094</xdr:colOff>
      <xdr:row>47</xdr:row>
      <xdr:rowOff>124348</xdr:rowOff>
    </xdr:from>
    <xdr:to>
      <xdr:col>7</xdr:col>
      <xdr:colOff>593444</xdr:colOff>
      <xdr:row>47</xdr:row>
      <xdr:rowOff>490108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2BBC81F-5608-19B2-6B17-AE1DF24FCB98}"/>
                </a:ext>
              </a:extLst>
            </xdr14:cNvPr>
            <xdr14:cNvContentPartPr/>
          </xdr14:nvContentPartPr>
          <xdr14:nvPr macro=""/>
          <xdr14:xfrm>
            <a:off x="10399309556" y="18181440"/>
            <a:ext cx="982440" cy="365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2BBC81F-5608-19B2-6B17-AE1DF24FCB9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303436" y="18175320"/>
              <a:ext cx="994680" cy="37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265494</xdr:colOff>
      <xdr:row>46</xdr:row>
      <xdr:rowOff>489840</xdr:rowOff>
    </xdr:from>
    <xdr:to>
      <xdr:col>9</xdr:col>
      <xdr:colOff>368063</xdr:colOff>
      <xdr:row>47</xdr:row>
      <xdr:rowOff>492269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21B12F5-C46D-D9FB-8BDD-82C2DE6A27BE}"/>
                </a:ext>
              </a:extLst>
            </xdr14:cNvPr>
            <xdr14:cNvContentPartPr/>
          </xdr14:nvContentPartPr>
          <xdr14:nvPr macro=""/>
          <xdr14:xfrm>
            <a:off x="10398218756" y="18015840"/>
            <a:ext cx="2076840" cy="5335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21B12F5-C46D-D9FB-8BDD-82C2DE6A27B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212636" y="18009720"/>
              <a:ext cx="2089080" cy="54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574219</xdr:colOff>
      <xdr:row>2</xdr:row>
      <xdr:rowOff>212820</xdr:rowOff>
    </xdr:from>
    <xdr:to>
      <xdr:col>4</xdr:col>
      <xdr:colOff>592939</xdr:colOff>
      <xdr:row>2</xdr:row>
      <xdr:rowOff>227940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AFC4E27-A957-90F2-7619-D9EE133F7B55}"/>
                </a:ext>
              </a:extLst>
            </xdr14:cNvPr>
            <xdr14:cNvContentPartPr/>
          </xdr14:nvContentPartPr>
          <xdr14:nvPr macro=""/>
          <xdr14:xfrm>
            <a:off x="10401284335" y="1165320"/>
            <a:ext cx="18720" cy="151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AFC4E27-A957-90F2-7619-D9EE133F7B5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1278215" y="1159200"/>
              <a:ext cx="30960" cy="2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7:22:55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37 107 7857,'0'0'0,"-7"-5"2041,-3-9-1393,3 1-456,5 1-128,2 12-64,0-5-232,0-8-632,-3 9-737,1-8-239,2 12 1840,-3-4-1456,3-2 495,0 1 569,-2-7 264,2 12 128,0-1-2560,0 1 2560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7:22:57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2482 301 11554,'0'0'0,"5"-4"1200,9-8-1032,2 8-80,-16 4-88,17-11 104,-2 8 0,-4-1 32,-7-1 80,-4 5-216,15-3 296,-10-1 161,4 1 143,-9 0 152,0 3-752,5-1 856,-2 0 40,-3-1-32,0 2-151,0 0-713,0 0 528,0 0-168,0 0-144,0 0-72,0 0-1392,0 0 2624,0 0-1312,0 0 16,0 0-72,0 0-1536,0 3 3048,0 1-1536,0 1-24,0 6 8,0-11 32,0 3 0,1 10 0,4-2-16,-5 3 16,0-14 0,5 17 0,-3 0 24,3 2-24,-3-1 48,-2-18-48,5 20-8,7 1-8,-7-1-8,-3 3-16,-2-23 40,5 23-24,-1 0 16,8-1-8,-12 0 0,0-22 16,2 22 32,3 1-32,-2-2-32,-3 2 32,0-23 0,0 22-8,0-3 16,0 1 48,-3-3-72,3-17 16,-5 19 0,0-2-8,-6 0 8,4 0-32,7-17 32,-14 14-8,4 1-16,-4-3-16,3 4 16,11-16 24,-15 13-64,-2 0 24,2-1 16,-2-7 48,17-5-24,-17 15 40,3-11-40,0 1-64,0 6 56,14-11 8,-12 0-40,1 3 40,6 0 112,-7-3-64,12 0-48,-3 0 112,-4 0 72,-5-2 80,7 0 136,5 2-400,-5-5 472,-3-6 80,1 7-48,-3-9-8,10 13-496,-5-6 369,-7-11-73,5 3-120,-4-2-8,11 16-168,-5-15 152,0-1-96,-7 2 40,7 1-56,5 13-40,-4-14 40,-8 0-8,10 1 24,-3-1-72,5 14 16,-12-13 24,10 1 64,0 1-88,-3 0 72,5 11-72,-5-12 40,3 7 16,2-11 72,-3 10-48,3 6-80,-2-14 40,2 10-24,-3-2-16,3 2 32,0 4-32,0-4 40,0 2-24,0-1 24,0 2-40,0 1 0,0-2-16,0 1 56,0 0-48,0 1 48,0 0-40,0 0-16,0 0-40,0 0-24,0 0-48,0 0 408,0 0-688,-2 0 280,2 2 64,0 1-24,0-3 88,0 5-24,0 10-32,0-3 16,-2 0 24,2-12 16,-3 16-16,3 0 0,-4-1 8,2 5-24,2-20 32,-5 21-64,-7 1 48,7 1 32,-7-2-48,12-21 32,-11 23 16,-1-1-56,-2-2-16,2-3 16,12-17 40,-12 15-56,3-4 24,4-8 24,-9 8 16,14-11-8,-7 0 40,-5 3 48,8-3-24,-11 0 24,15 0-88,-12 0 80,3-1 112,-3-4-24,1 0 16,11 5-184,-5-15 208,-10 1-8,13-3 16,-5-1 40,7 18-256,-3-20 184,-4-2-104,3 2 56,4 2-96,0 18-40,-4-17 72,4 1 0,-3 4-40,1 6 8,2 6-40,0-6-16,-3 2-56,3 1 16,-2 2-56,2 1 112,0 0-104,-2 0 48,-3 2-88,-7 11 72,12-13 72,-12 12-40,-2 3-16,2 2 96,-5 2 16,17-19-56,-13 18-56,1 1 224,-3-1-112,1-1-120,14-17 64,-11 16 8,-1-2-176,5-10 56,-10 11 168,17-15-56,-2 2-40,-12 1 104,12 0 0,-13 0 64,15-3-128,-9 0 168,-3 0-56,1-3 32,-1-8 32,12 11-176,-5-6 216,-12-15-40,7 1 192,4-4-168,6 24-200,-12-27 120,10-2 104,-13-1-95,13 2-41,2 28-88,-5-31 200,3-2-144,-1-3-96,-4 1-8,7 35 48,-1-36-16,1 1 64,-5 2-200,5 3 256,0 30-104,0-24 48,-3 7-24,3 3 160,0 10-184,0 4 0,0-12-16,0 11-160,0-1 184,0 1-112,0 1 104,0 0-144,0 0 160,0 0-209,3 3 113,-3-3 80,0 4-128,0 10 48,0 1 56,0 2-48,0-17 72,5 19 56,-4 6-112,-1 0-8,0 4 24,0-29 40,0 28-48,0 1 24,0 2-40,-1 0 24,1-31 40,-5 33-48,-7-1 24,0-2 48,5 0-24,7-30 0,-14 30 16,-5-3-32,0-1 16,0-5 16,19-21-16,-24 20-16,1-5 64,-1-2-24,-4 0 64,28-13-88,-26 4-72,3 12 120,-1-12-24,-4 8 8,28-12-32,-31 2 144,3 3-112,-6-1 40,1-1 8,33-3-80,-35 0-32,2 0 32,-2-2 32,2-2-48,33 4 16,-34-11 40,6 5 48,-2-10-40,1 5 25,29 11-73,-23-14 136,2 0-80,1-6 48,7-2-88,13 22-16,-15-22 72,11-4-24,-8 0 8,9 1 112,3 25-168,-2-26 16,2 1 0,5 1-120,4-2 8,-9 26 96,12-26-8,0 1-88,7 1 56,2 2-64,-21 22 104,21-21-88,3 3 40,1 0 16,4 3-161,-29 15 193,30-14-16,4 2-56,-4 8-56,-2 0 96,-28 4 32,32-2-192,-7 2 136,4 12 96,-9-1-96,-20-11 56,17 17-16,-2 2 0,-3 3-72,-10 1 160,-2-23-72,4 26 48,-4 1-16,-2 0 40,-2 0-48,4-27-24,-15 27 0,3-3 16,-7 0-16,-2-1 88,21-23-88,-21 22 136,-7 1-8,-3-1-8,0-1 73,31-21-193,-35 20 80,-3-3 64,3 0 24,-8-1-96,43-16-72,-37 14 104,-3-1-88,2-1-56,5 0 48,33-12-8,-33 4 0,0 9 16,2-9 88,-1 0-40,32-4-64,-34 3 152,1-3-80,1 0-56,5 0-64,27 0 48,-24-1 0,1-4 32,4-6-16,1 7 64,18 4-80,-17-12-80,0 7 64,3-9-16,2 2-40,12 12 72,-19-11-104,17-1-152,-12 1-72,12-2-209,2 13 537,-5-13-648,3-2-160,-3-1-232,0 1-344,5 15 1384,-2-17-1873,2 1-823,0 0-2161,0-5 96,0 21 4761,14-24-7338,-14 24 7338</inkml:trace>
  <inkml:trace contextRef="#ctx0" brushRef="#br0" timeOffset="1">600 24 17083,'0'0'0,"-7"-12"9002,4 8-8658,3 4-344,-7-6-104,7 5 8,0 1 24,7 0-128,-7 0 200,12 4-16,3 13 32,1-1-56,-2 2-16,-14-18 56,14 26 8,1 2-80,-2 5 16,-1 4 312,-12-37-256,12 38-112,5 4 152,-3 3 24,-2-2-208,-12-43 144,14 44 40,0-3-40,-3-1-40,4-3-8,-15-37 48,12 37-8,1-3-48,2 1-288,-1-2-824,-14-33 1168,12 34-3097,7-8-3520,-3-6-3498,-16-20 10115</inkml:trace>
  <inkml:trace contextRef="#ctx0" brushRef="#br0" timeOffset="2">791 932 3832,'0'0'0,"-19"16"80,0-1-40,-6 2-40,25-17 0,-20 15 24,4-11 32,2 7 168,2-11 425,12 0-649,-17 3 1184,5 0 632,-1-3 505,-2 0 143,15 0-2464,-14-1 2377,-2-4-201,4-6-231,-5 5-201,17 6-1744,-14-17 1480,-2 3-127,-6-5-145,4 0-224,18 19-984,-19-25 864,-3 0-224,-1-2-184,-1 0-175,24 27-281,-23-27 176,-1 0-24,-1 1-112,1-1 8,24 27-48,-23-30-16,-2 0 0,0 1 32,1-3-16,24 32 0,-21-28-72,0-1-96,-1 1 8,6 0 40,16 28 120,-19-26 48,2-1 144,6 0-48,6 0 40,5 27-184,-9-28 160,4-1-128,0 2 16,0 0-8,5 27-40,-5-23-24,1 2-40,1 4-72,1 4-104,2 13 240,0-4-441,-4 0-431,4 1-832,0 3-1537,0 0 3241,-5 3-6649,-2 12 1144,-5 2-2177,12-17 7682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7:22:59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2748 1180 18211,'0'0'0,"-2"-5"4985,2 5-4985,-2-5 289,2-1-249,0 0-257,4 2 121,-4 4 96,3-1 120,-1-1-224,1 2-16,1 0-72,-4 0 192,0 4-184,0 11 24,0-1 64,0 4 96,0-18 0,0 23-40,-4 3 32,-8 1 152,7 1-120,5-28-24,-14 27-120,10-3 200,-13 0 24,3-6 152,14-18-256,-14 16 280,0-3 129,-5-2-25,3-6 248,16-5-632,-19 11 864,-4-11-32,-1 3 48,3-3-192,21 0-688,-25 0 641,1-6-9,-6-10-72,-1 1 24,31 15-584,-32-19 584,1-1-272,-1-5 112,-1 0-376,33 25-48,-30-27-376,1 1 328,-1-1-216,7 0 216,23 27 48,-26-26 104,0 2-128,5-1-200,0 1-328,21 24 552,-19-23-808,6 5-737,1 4-1143,7 8-2849,5 6 5537,0-16-6858,0 3-2552,0 13 9410</inkml:trace>
  <inkml:trace contextRef="#ctx0" brushRef="#br0" timeOffset="1">2557 703 30422,'0'0'0,"-14"-14"384,14 14-384,-12-6 952,1-7-904,8 12-16,1-1-112,2 2 80,-5-3-200,0 2-112,-7 0-200,10-1-136,2 2 648,-14 0-912,2 3 8,-3 1-41,3 12-111,12-16 1056,-5 4-1160,0 15-408,3-5-489,2 1-1120,0-15 3177,2 15-5505,15-1 1192,-1-3-2256,-16-11 6569</inkml:trace>
  <inkml:trace contextRef="#ctx0" brushRef="#br0" timeOffset="2">2410 1034 19284,'0'0'0,"4"-6"968,8-8-752,0 8-224,-12 6 8,9-14 248,-4 10-128,-1-1 8,-4 1 256,0 4-384,0-3 312,0 2 160,0-1 104,-4 1-48,4 1-528,-5 0 377,-4 0-25,-3 0-168,-2 0-120,14 0-64,-19 3-24,-4 1-8,-7 7-16,3-6 0,27-5 48,-33 11 16,-2-7-32,0 9 16,-6-9-8,41-4 8,-42 15-16,-3-3 32,-7 0-32,4 0 32,48-12-16,-52 12 40,-11 1-72,2 0 64,-7 2 8,68-15-40,-70 12-16,0 3 48,-7-3-48,-1 3-80,78-15 96,-79 12-16,-7 4-24,-1-2 0,-2 3 112,89-17-72,-92 16-32,1 3-8,2 0 56,3 1-16,86-20 0,-84 22 0,6-2-56,2-1 0,3-1-56,73-18 112,-68 18-96,7-3 8,3-1 16,4-1-65,54-13 137,-47 4-96,7 9 88,5-10 16,8 0-16,27-3 8,-25 3 40,12 0 0,8-3-80,5 0 185,0 0-145,0 0-161,15-2-95,3-3 56,7-10 16,-25 15 184,35-11-72,5-5-56,12-1 144,6 0-32,-58 17 16,68-18-40,12-5 304,8-1-248,14-6-48,-102 30 32,103-29 136,10-3-232,12 2 136,6 2 96,-131 28-136,142-27 56,8-3 32,6-1 0,14 1-120,-170 30 32,168-32 80,14 3-8,1-1 48,6 1-56,-189 29-64,192-29 33,-1 2 151,4 2-192,-8 1 72,-187 24-64,187-23 40,0 3-160,-7-1 160,-4 2 16,-176 19-56,168-17 152,-8 2-56,-9 0 80,-11 3 32,-140 12-208,132-12 80,-11 8 40,-6-7-16,-10 9-160,-105 2 56,91-4 8,-6 1 40,-13 0-48,-4 0 40,-68 3-40,60-1 24,-8 0 16,-9-1-24,-8 2 16,-35 0-32,25 0 96,-7 0-128,2 0 24,-7 0-104,-13 0 112,17 0-72,-5 3 16,-11-3-24,11 3 48,-12-3 32,0 3-136,5-3-16,-5 3 16,0-3 24,0 0 112,0 0-56,-7 0 48,-4 2-8,-1-2 0,12 0 16,-23 0 0,-6 3 32,-4-3 32,-10 3 8,43-3-72,-48 0 40,-10 3 0,-6 0-8,-3 0 16,67-3-48,-78 2 32,-5 3 24,-12-2-48,-7-1 64,102-2-72,-106 3 40,-1 0-24,-7 1 40,-1 1-96,115-5 40,-112 4 64,-3 0-104,5-1-32,1 0 64,109-3 8,-104 3 0,8-3 40,3 0 40,8 0-24,85 0-56,-79-2 0,5-2 16,6-9-96,2 0 128,66 13-48,-51-14 16,3-4 168,13-2-16,8 0-16,27 20-152,-24-24 264,5 1-112,7-2 192,1-4-144,11 29-200,0-29 184,0-6 56,0-2-80,3-1 16,-3 38-176,13-39 88,-1 0-64,2 5 96,0-1-96,-14 35-24,14-33 192,2 0-104,3 5-192,0 1 80,-19 27 24,17-21-120,6 0 32,-4 2 136,-1 3-64,-18 16 16,22-14-56,-9 1 24,9 9-56,-4-1 56,-18 5 32,17-5-72,1 2 88,-1 3-72,4 0-32,-21 0 88,20 13-40,-1 0-16,2 5-8,3 5 40,-24-23 24,23 27-56,3 6-64,-1 3 96,-1 4-64,-24-40 88,21 46-32,0 4-8,0 5 56,-4 6 56,-17-61-72,21 65 0,-6 0 40,5 2-24,-4 2 56,-16-69-72,19 69 40,1-2 64,-3-1-48,4-5-232,-21-61 176,19 58-8,-5-4-56,0-5 56,0-3-8,-14-46 16,11 41 16,-6-1-48,10-1 48,-13-4 80,12-1-320,-14-34 224,0 31-824,4-4-1033,1 0-2944,-5-27 4801,12 19-6193,-3-5-2849,-9-14 9042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7:25:32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42 21596,'0'0'0,"-17"-13"776,17 13-776,-12-4 520,0-7 129,5 9 103,4 1-200,3 1-552,0-2 728,0 1-288,0 0-96,0 1 144,0 0-488,0-2 176,0 1-56,0-1-32,0 1-64,0 1-24,0 0-40,0 0-48,0 0-128,0 0 560,0 0-1272,0 0-304,0 3-1041,0 1-1495,0-4 3768,5 14-6402,12-1-2720,-17-13 9122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A31" zoomScale="115" zoomScaleNormal="100" zoomScaleSheetLayoutView="115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180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16</v>
      </c>
      <c r="D2" s="60"/>
      <c r="E2" s="12" t="s">
        <v>7</v>
      </c>
      <c r="F2" s="55">
        <v>45907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74</v>
      </c>
      <c r="D3" s="60"/>
      <c r="E3" s="12" t="s">
        <v>6</v>
      </c>
      <c r="F3" s="61"/>
      <c r="G3" s="61"/>
      <c r="H3" s="61"/>
      <c r="I3" s="61"/>
      <c r="J3" s="61"/>
    </row>
    <row r="4" spans="1:10" ht="18" thickBot="1" x14ac:dyDescent="0.35">
      <c r="B4" s="6"/>
      <c r="C4" s="7"/>
      <c r="D4" s="7"/>
      <c r="E4" s="6"/>
      <c r="F4" s="91" t="s">
        <v>218</v>
      </c>
      <c r="G4" s="91"/>
      <c r="H4" s="91"/>
      <c r="I4" s="91"/>
      <c r="J4" s="91"/>
    </row>
    <row r="5" spans="1:10" ht="24.9" customHeight="1" x14ac:dyDescent="0.3">
      <c r="A5" s="10"/>
      <c r="B5" s="56" t="s">
        <v>0</v>
      </c>
      <c r="C5" s="57"/>
      <c r="D5" s="57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4"/>
      <c r="J6" s="65"/>
    </row>
    <row r="7" spans="1:10" ht="24.9" customHeight="1" thickBot="1" x14ac:dyDescent="0.35">
      <c r="A7" s="10"/>
      <c r="B7" s="42" t="s">
        <v>21</v>
      </c>
      <c r="C7" s="43"/>
      <c r="D7" s="43"/>
      <c r="E7" s="31" t="s">
        <v>18</v>
      </c>
      <c r="F7" s="31" t="s">
        <v>19</v>
      </c>
      <c r="G7" s="31" t="s">
        <v>22</v>
      </c>
      <c r="H7" s="31" t="s">
        <v>20</v>
      </c>
      <c r="I7" s="50" t="s">
        <v>25</v>
      </c>
      <c r="J7" s="51"/>
    </row>
    <row r="8" spans="1:10" ht="30" customHeight="1" x14ac:dyDescent="0.3">
      <c r="A8" s="10"/>
      <c r="B8" s="87" t="s">
        <v>181</v>
      </c>
      <c r="C8" s="88"/>
      <c r="D8" s="88"/>
      <c r="E8" s="29"/>
      <c r="F8" s="35"/>
      <c r="G8" s="36"/>
      <c r="H8" s="37"/>
      <c r="I8" s="44"/>
      <c r="J8" s="45"/>
    </row>
    <row r="9" spans="1:10" ht="30" customHeight="1" x14ac:dyDescent="0.3">
      <c r="A9" s="10"/>
      <c r="B9" s="83" t="s">
        <v>182</v>
      </c>
      <c r="C9" s="84"/>
      <c r="D9" s="84"/>
      <c r="E9" s="8">
        <v>8</v>
      </c>
      <c r="F9" s="26">
        <v>5.75</v>
      </c>
      <c r="G9" s="33">
        <f>IFERROR(F9/E9,"")</f>
        <v>0.71875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0" customHeight="1" x14ac:dyDescent="0.3">
      <c r="A10" s="10"/>
      <c r="B10" s="83" t="s">
        <v>183</v>
      </c>
      <c r="C10" s="84"/>
      <c r="D10" s="84"/>
      <c r="E10" s="8">
        <v>0</v>
      </c>
      <c r="F10" s="26" t="s">
        <v>17</v>
      </c>
      <c r="G10" s="33" t="str">
        <f t="shared" ref="G10:G43" si="0">IFERROR(F10/E10,"")</f>
        <v/>
      </c>
      <c r="H10" s="34" t="str">
        <f t="shared" ref="H10:H43" si="1">_xlfn.IFS(F10="أدخل العلامة","",F10="لا ينطبق","تم الإلغاء",G10&gt;=90%,"ممتاز",G10&gt;=80%,"جيد جداً",G10&gt;=70%,"جيد",G10&gt;=60%,"مقبول",G10&lt;60%,"راسب")</f>
        <v>تم الإلغاء</v>
      </c>
      <c r="I10" s="46"/>
      <c r="J10" s="47"/>
    </row>
    <row r="11" spans="1:10" ht="30" customHeight="1" x14ac:dyDescent="0.3">
      <c r="A11" s="10"/>
      <c r="B11" s="83" t="s">
        <v>184</v>
      </c>
      <c r="C11" s="84"/>
      <c r="D11" s="84"/>
      <c r="E11" s="8">
        <v>0</v>
      </c>
      <c r="F11" s="26" t="s">
        <v>17</v>
      </c>
      <c r="G11" s="33" t="str">
        <f t="shared" si="0"/>
        <v/>
      </c>
      <c r="H11" s="34" t="str">
        <f t="shared" si="1"/>
        <v>تم الإلغاء</v>
      </c>
      <c r="I11" s="46"/>
      <c r="J11" s="47"/>
    </row>
    <row r="12" spans="1:10" ht="30" customHeight="1" x14ac:dyDescent="0.3">
      <c r="A12" s="10"/>
      <c r="B12" s="83" t="s">
        <v>185</v>
      </c>
      <c r="C12" s="84"/>
      <c r="D12" s="84"/>
      <c r="E12" s="8">
        <v>0</v>
      </c>
      <c r="F12" s="26" t="s">
        <v>17</v>
      </c>
      <c r="G12" s="33" t="str">
        <f t="shared" si="0"/>
        <v/>
      </c>
      <c r="H12" s="34" t="str">
        <f t="shared" si="1"/>
        <v>تم الإلغاء</v>
      </c>
      <c r="I12" s="46"/>
      <c r="J12" s="47"/>
    </row>
    <row r="13" spans="1:10" ht="30" customHeight="1" thickBot="1" x14ac:dyDescent="0.35">
      <c r="A13" s="10"/>
      <c r="B13" s="89" t="s">
        <v>186</v>
      </c>
      <c r="C13" s="90"/>
      <c r="D13" s="90"/>
      <c r="E13" s="30">
        <v>0</v>
      </c>
      <c r="F13" s="28" t="s">
        <v>17</v>
      </c>
      <c r="G13" s="38" t="str">
        <f t="shared" si="0"/>
        <v/>
      </c>
      <c r="H13" s="39" t="str">
        <f t="shared" si="1"/>
        <v>تم الإلغاء</v>
      </c>
      <c r="I13" s="52"/>
      <c r="J13" s="53"/>
    </row>
    <row r="14" spans="1:10" ht="30" customHeight="1" x14ac:dyDescent="0.3">
      <c r="A14" s="10"/>
      <c r="B14" s="87" t="s">
        <v>187</v>
      </c>
      <c r="C14" s="88"/>
      <c r="D14" s="88"/>
      <c r="E14" s="29"/>
      <c r="F14" s="35"/>
      <c r="G14" s="36"/>
      <c r="H14" s="37"/>
      <c r="I14" s="44"/>
      <c r="J14" s="45"/>
    </row>
    <row r="15" spans="1:10" ht="30" customHeight="1" x14ac:dyDescent="0.3">
      <c r="A15" s="10"/>
      <c r="B15" s="83" t="s">
        <v>188</v>
      </c>
      <c r="C15" s="84"/>
      <c r="D15" s="84"/>
      <c r="E15" s="8">
        <v>5</v>
      </c>
      <c r="F15" s="26">
        <v>1.5</v>
      </c>
      <c r="G15" s="33">
        <f t="shared" si="0"/>
        <v>0.3</v>
      </c>
      <c r="H15" s="34" t="str">
        <f t="shared" si="1"/>
        <v>راسب</v>
      </c>
      <c r="I15" s="46"/>
      <c r="J15" s="47"/>
    </row>
    <row r="16" spans="1:10" ht="30" customHeight="1" x14ac:dyDescent="0.3">
      <c r="A16" s="10"/>
      <c r="B16" s="83" t="s">
        <v>189</v>
      </c>
      <c r="C16" s="84"/>
      <c r="D16" s="84"/>
      <c r="E16" s="8">
        <v>5</v>
      </c>
      <c r="F16" s="26">
        <v>1.5</v>
      </c>
      <c r="G16" s="33">
        <f t="shared" si="0"/>
        <v>0.3</v>
      </c>
      <c r="H16" s="34" t="str">
        <f t="shared" si="1"/>
        <v>راسب</v>
      </c>
      <c r="I16" s="46"/>
      <c r="J16" s="47"/>
    </row>
    <row r="17" spans="1:10" ht="30" customHeight="1" thickBot="1" x14ac:dyDescent="0.35">
      <c r="A17" s="10"/>
      <c r="B17" s="89" t="s">
        <v>190</v>
      </c>
      <c r="C17" s="90"/>
      <c r="D17" s="90"/>
      <c r="E17" s="30">
        <v>5</v>
      </c>
      <c r="F17" s="28">
        <v>3.5</v>
      </c>
      <c r="G17" s="38">
        <f t="shared" si="0"/>
        <v>0.7</v>
      </c>
      <c r="H17" s="39" t="str">
        <f t="shared" si="1"/>
        <v>جيد</v>
      </c>
      <c r="I17" s="52"/>
      <c r="J17" s="53"/>
    </row>
    <row r="18" spans="1:10" ht="30" customHeight="1" x14ac:dyDescent="0.3">
      <c r="A18" s="10"/>
      <c r="B18" s="87" t="s">
        <v>191</v>
      </c>
      <c r="C18" s="88"/>
      <c r="D18" s="88"/>
      <c r="E18" s="29"/>
      <c r="F18" s="35"/>
      <c r="G18" s="36"/>
      <c r="H18" s="37"/>
      <c r="I18" s="44"/>
      <c r="J18" s="45"/>
    </row>
    <row r="19" spans="1:10" ht="30" customHeight="1" x14ac:dyDescent="0.3">
      <c r="A19" s="10"/>
      <c r="B19" s="83" t="s">
        <v>192</v>
      </c>
      <c r="C19" s="84"/>
      <c r="D19" s="84"/>
      <c r="E19" s="8">
        <v>8</v>
      </c>
      <c r="F19" s="26">
        <v>7</v>
      </c>
      <c r="G19" s="33">
        <f t="shared" si="0"/>
        <v>0.875</v>
      </c>
      <c r="H19" s="34" t="str">
        <f t="shared" si="1"/>
        <v>جيد جداً</v>
      </c>
      <c r="I19" s="46"/>
      <c r="J19" s="47"/>
    </row>
    <row r="20" spans="1:10" ht="30" customHeight="1" thickBot="1" x14ac:dyDescent="0.35">
      <c r="A20" s="10"/>
      <c r="B20" s="89" t="s">
        <v>193</v>
      </c>
      <c r="C20" s="90"/>
      <c r="D20" s="90"/>
      <c r="E20" s="30">
        <v>8</v>
      </c>
      <c r="F20" s="28">
        <v>0</v>
      </c>
      <c r="G20" s="38">
        <f t="shared" si="0"/>
        <v>0</v>
      </c>
      <c r="H20" s="39" t="str">
        <f t="shared" si="1"/>
        <v>راسب</v>
      </c>
      <c r="I20" s="52" t="s">
        <v>217</v>
      </c>
      <c r="J20" s="53"/>
    </row>
    <row r="21" spans="1:10" ht="30" customHeight="1" x14ac:dyDescent="0.3">
      <c r="A21" s="10"/>
      <c r="B21" s="87" t="s">
        <v>194</v>
      </c>
      <c r="C21" s="88"/>
      <c r="D21" s="88"/>
      <c r="E21" s="29"/>
      <c r="F21" s="35"/>
      <c r="G21" s="36"/>
      <c r="H21" s="37"/>
      <c r="I21" s="44"/>
      <c r="J21" s="45"/>
    </row>
    <row r="22" spans="1:10" ht="30" customHeight="1" x14ac:dyDescent="0.3">
      <c r="A22" s="10"/>
      <c r="B22" s="83" t="s">
        <v>195</v>
      </c>
      <c r="C22" s="84"/>
      <c r="D22" s="84"/>
      <c r="E22" s="8">
        <v>0</v>
      </c>
      <c r="F22" s="26" t="s">
        <v>17</v>
      </c>
      <c r="G22" s="33" t="str">
        <f t="shared" si="0"/>
        <v/>
      </c>
      <c r="H22" s="34" t="str">
        <f t="shared" si="1"/>
        <v>تم الإلغاء</v>
      </c>
      <c r="I22" s="46"/>
      <c r="J22" s="47"/>
    </row>
    <row r="23" spans="1:10" ht="30" customHeight="1" x14ac:dyDescent="0.3">
      <c r="A23" s="10"/>
      <c r="B23" s="83" t="s">
        <v>196</v>
      </c>
      <c r="C23" s="84"/>
      <c r="D23" s="84"/>
      <c r="E23" s="8">
        <v>0</v>
      </c>
      <c r="F23" s="26" t="s">
        <v>17</v>
      </c>
      <c r="G23" s="33" t="str">
        <f t="shared" si="0"/>
        <v/>
      </c>
      <c r="H23" s="34" t="str">
        <f t="shared" si="1"/>
        <v>تم الإلغاء</v>
      </c>
      <c r="I23" s="46"/>
      <c r="J23" s="47"/>
    </row>
    <row r="24" spans="1:10" ht="30" customHeight="1" x14ac:dyDescent="0.3">
      <c r="A24" s="10"/>
      <c r="B24" s="83" t="s">
        <v>197</v>
      </c>
      <c r="C24" s="84"/>
      <c r="D24" s="84"/>
      <c r="E24" s="8">
        <v>0</v>
      </c>
      <c r="F24" s="26" t="s">
        <v>17</v>
      </c>
      <c r="G24" s="33" t="str">
        <f t="shared" si="0"/>
        <v/>
      </c>
      <c r="H24" s="34" t="str">
        <f t="shared" si="1"/>
        <v>تم الإلغاء</v>
      </c>
      <c r="I24" s="46"/>
      <c r="J24" s="47"/>
    </row>
    <row r="25" spans="1:10" ht="30" customHeight="1" x14ac:dyDescent="0.3">
      <c r="A25" s="10"/>
      <c r="B25" s="83" t="s">
        <v>198</v>
      </c>
      <c r="C25" s="84"/>
      <c r="D25" s="84"/>
      <c r="E25" s="8">
        <v>0</v>
      </c>
      <c r="F25" s="26" t="s">
        <v>17</v>
      </c>
      <c r="G25" s="33" t="str">
        <f t="shared" si="0"/>
        <v/>
      </c>
      <c r="H25" s="34" t="str">
        <f t="shared" si="1"/>
        <v>تم الإلغاء</v>
      </c>
      <c r="I25" s="46"/>
      <c r="J25" s="47"/>
    </row>
    <row r="26" spans="1:10" ht="30" customHeight="1" x14ac:dyDescent="0.3">
      <c r="A26" s="10"/>
      <c r="B26" s="83" t="s">
        <v>199</v>
      </c>
      <c r="C26" s="84"/>
      <c r="D26" s="84"/>
      <c r="E26" s="8">
        <v>0</v>
      </c>
      <c r="F26" s="26" t="s">
        <v>17</v>
      </c>
      <c r="G26" s="33" t="str">
        <f t="shared" si="0"/>
        <v/>
      </c>
      <c r="H26" s="34" t="str">
        <f t="shared" si="1"/>
        <v>تم الإلغاء</v>
      </c>
      <c r="I26" s="46"/>
      <c r="J26" s="47"/>
    </row>
    <row r="27" spans="1:10" ht="30" customHeight="1" thickBot="1" x14ac:dyDescent="0.35">
      <c r="A27" s="10"/>
      <c r="B27" s="89" t="s">
        <v>200</v>
      </c>
      <c r="C27" s="90"/>
      <c r="D27" s="90"/>
      <c r="E27" s="30">
        <v>0</v>
      </c>
      <c r="F27" s="28" t="s">
        <v>17</v>
      </c>
      <c r="G27" s="38" t="str">
        <f t="shared" si="0"/>
        <v/>
      </c>
      <c r="H27" s="39" t="str">
        <f t="shared" si="1"/>
        <v>تم الإلغاء</v>
      </c>
      <c r="I27" s="52"/>
      <c r="J27" s="53"/>
    </row>
    <row r="28" spans="1:10" ht="30" customHeight="1" x14ac:dyDescent="0.3">
      <c r="A28" s="10"/>
      <c r="B28" s="87" t="s">
        <v>201</v>
      </c>
      <c r="C28" s="88"/>
      <c r="D28" s="88"/>
      <c r="E28" s="29"/>
      <c r="F28" s="35"/>
      <c r="G28" s="36"/>
      <c r="H28" s="37"/>
      <c r="I28" s="44"/>
      <c r="J28" s="45"/>
    </row>
    <row r="29" spans="1:10" ht="30" customHeight="1" x14ac:dyDescent="0.3">
      <c r="A29" s="10"/>
      <c r="B29" s="83" t="s">
        <v>202</v>
      </c>
      <c r="C29" s="84"/>
      <c r="D29" s="84"/>
      <c r="E29" s="8">
        <v>0</v>
      </c>
      <c r="F29" s="26" t="s">
        <v>17</v>
      </c>
      <c r="G29" s="33" t="str">
        <f t="shared" si="0"/>
        <v/>
      </c>
      <c r="H29" s="34" t="str">
        <f t="shared" si="1"/>
        <v>تم الإلغاء</v>
      </c>
      <c r="I29" s="46"/>
      <c r="J29" s="47"/>
    </row>
    <row r="30" spans="1:10" ht="30" customHeight="1" x14ac:dyDescent="0.3">
      <c r="A30" s="10"/>
      <c r="B30" s="83" t="s">
        <v>203</v>
      </c>
      <c r="C30" s="84"/>
      <c r="D30" s="84"/>
      <c r="E30" s="8">
        <v>0</v>
      </c>
      <c r="F30" s="26" t="s">
        <v>17</v>
      </c>
      <c r="G30" s="33" t="str">
        <f t="shared" si="0"/>
        <v/>
      </c>
      <c r="H30" s="34" t="str">
        <f t="shared" si="1"/>
        <v>تم الإلغاء</v>
      </c>
      <c r="I30" s="46"/>
      <c r="J30" s="47"/>
    </row>
    <row r="31" spans="1:10" ht="30" customHeight="1" x14ac:dyDescent="0.3">
      <c r="A31" s="10"/>
      <c r="B31" s="83" t="s">
        <v>204</v>
      </c>
      <c r="C31" s="84"/>
      <c r="D31" s="84"/>
      <c r="E31" s="8">
        <v>0</v>
      </c>
      <c r="F31" s="26" t="s">
        <v>17</v>
      </c>
      <c r="G31" s="33" t="str">
        <f t="shared" si="0"/>
        <v/>
      </c>
      <c r="H31" s="34" t="str">
        <f t="shared" si="1"/>
        <v>تم الإلغاء</v>
      </c>
      <c r="I31" s="46"/>
      <c r="J31" s="47"/>
    </row>
    <row r="32" spans="1:10" ht="30" customHeight="1" x14ac:dyDescent="0.3">
      <c r="A32" s="10"/>
      <c r="B32" s="83" t="s">
        <v>205</v>
      </c>
      <c r="C32" s="84"/>
      <c r="D32" s="84"/>
      <c r="E32" s="8">
        <v>0</v>
      </c>
      <c r="F32" s="26" t="s">
        <v>17</v>
      </c>
      <c r="G32" s="33" t="str">
        <f t="shared" si="0"/>
        <v/>
      </c>
      <c r="H32" s="34" t="str">
        <f t="shared" si="1"/>
        <v>تم الإلغاء</v>
      </c>
      <c r="I32" s="46"/>
      <c r="J32" s="47"/>
    </row>
    <row r="33" spans="1:10" ht="30" customHeight="1" x14ac:dyDescent="0.3">
      <c r="A33" s="10"/>
      <c r="B33" s="83" t="s">
        <v>206</v>
      </c>
      <c r="C33" s="84"/>
      <c r="D33" s="84"/>
      <c r="E33" s="8">
        <v>0</v>
      </c>
      <c r="F33" s="26" t="s">
        <v>17</v>
      </c>
      <c r="G33" s="33" t="str">
        <f t="shared" si="0"/>
        <v/>
      </c>
      <c r="H33" s="34" t="str">
        <f t="shared" si="1"/>
        <v>تم الإلغاء</v>
      </c>
      <c r="I33" s="46"/>
      <c r="J33" s="47"/>
    </row>
    <row r="34" spans="1:10" ht="30" customHeight="1" x14ac:dyDescent="0.3">
      <c r="A34" s="10"/>
      <c r="B34" s="83" t="s">
        <v>207</v>
      </c>
      <c r="C34" s="84"/>
      <c r="D34" s="84"/>
      <c r="E34" s="8">
        <v>0</v>
      </c>
      <c r="F34" s="26" t="s">
        <v>17</v>
      </c>
      <c r="G34" s="33" t="str">
        <f t="shared" si="0"/>
        <v/>
      </c>
      <c r="H34" s="34" t="str">
        <f t="shared" si="1"/>
        <v>تم الإلغاء</v>
      </c>
      <c r="I34" s="46"/>
      <c r="J34" s="47"/>
    </row>
    <row r="35" spans="1:10" ht="30" customHeight="1" x14ac:dyDescent="0.3">
      <c r="A35" s="10"/>
      <c r="B35" s="83" t="s">
        <v>208</v>
      </c>
      <c r="C35" s="84"/>
      <c r="D35" s="84"/>
      <c r="E35" s="8">
        <v>0</v>
      </c>
      <c r="F35" s="26" t="s">
        <v>17</v>
      </c>
      <c r="G35" s="33" t="str">
        <f t="shared" si="0"/>
        <v/>
      </c>
      <c r="H35" s="34" t="str">
        <f t="shared" si="1"/>
        <v>تم الإلغاء</v>
      </c>
      <c r="I35" s="46"/>
      <c r="J35" s="47"/>
    </row>
    <row r="36" spans="1:10" ht="30" customHeight="1" thickBot="1" x14ac:dyDescent="0.35">
      <c r="A36" s="10"/>
      <c r="B36" s="89" t="s">
        <v>209</v>
      </c>
      <c r="C36" s="90"/>
      <c r="D36" s="90"/>
      <c r="E36" s="30">
        <v>0</v>
      </c>
      <c r="F36" s="28" t="s">
        <v>17</v>
      </c>
      <c r="G36" s="38" t="str">
        <f t="shared" si="0"/>
        <v/>
      </c>
      <c r="H36" s="39" t="str">
        <f t="shared" si="1"/>
        <v>تم الإلغاء</v>
      </c>
      <c r="I36" s="52"/>
      <c r="J36" s="53"/>
    </row>
    <row r="37" spans="1:10" ht="30" customHeight="1" thickBot="1" x14ac:dyDescent="0.35">
      <c r="A37" s="10"/>
      <c r="B37" s="79" t="s">
        <v>210</v>
      </c>
      <c r="C37" s="80"/>
      <c r="D37" s="80"/>
      <c r="E37" s="9">
        <v>0</v>
      </c>
      <c r="F37" s="40" t="s">
        <v>17</v>
      </c>
      <c r="G37" s="41" t="str">
        <f t="shared" si="0"/>
        <v/>
      </c>
      <c r="H37" s="27" t="str">
        <f t="shared" si="1"/>
        <v>تم الإلغاء</v>
      </c>
      <c r="I37" s="48"/>
      <c r="J37" s="49"/>
    </row>
    <row r="38" spans="1:10" ht="30" customHeight="1" x14ac:dyDescent="0.3">
      <c r="A38" s="10"/>
      <c r="B38" s="87" t="s">
        <v>211</v>
      </c>
      <c r="C38" s="88"/>
      <c r="D38" s="88"/>
      <c r="E38" s="29"/>
      <c r="F38" s="35"/>
      <c r="G38" s="36"/>
      <c r="H38" s="37"/>
      <c r="I38" s="44"/>
      <c r="J38" s="45"/>
    </row>
    <row r="39" spans="1:10" ht="30" customHeight="1" x14ac:dyDescent="0.3">
      <c r="A39" s="10"/>
      <c r="B39" s="83" t="s">
        <v>212</v>
      </c>
      <c r="C39" s="84"/>
      <c r="D39" s="84"/>
      <c r="E39" s="8">
        <v>0</v>
      </c>
      <c r="F39" s="26" t="s">
        <v>17</v>
      </c>
      <c r="G39" s="33" t="str">
        <f t="shared" si="0"/>
        <v/>
      </c>
      <c r="H39" s="34" t="str">
        <f t="shared" si="1"/>
        <v>تم الإلغاء</v>
      </c>
      <c r="I39" s="46"/>
      <c r="J39" s="47"/>
    </row>
    <row r="40" spans="1:10" ht="30" customHeight="1" x14ac:dyDescent="0.3">
      <c r="A40" s="10"/>
      <c r="B40" s="83" t="s">
        <v>213</v>
      </c>
      <c r="C40" s="84"/>
      <c r="D40" s="84"/>
      <c r="E40" s="8">
        <v>5</v>
      </c>
      <c r="F40" s="26">
        <v>3.5</v>
      </c>
      <c r="G40" s="33">
        <f t="shared" si="0"/>
        <v>0.7</v>
      </c>
      <c r="H40" s="34" t="str">
        <f t="shared" si="1"/>
        <v>جيد</v>
      </c>
      <c r="I40" s="46"/>
      <c r="J40" s="47"/>
    </row>
    <row r="41" spans="1:10" ht="30" customHeight="1" x14ac:dyDescent="0.3">
      <c r="A41" s="10"/>
      <c r="B41" s="83" t="s">
        <v>214</v>
      </c>
      <c r="C41" s="84"/>
      <c r="D41" s="84"/>
      <c r="E41" s="8">
        <v>5</v>
      </c>
      <c r="F41" s="26">
        <v>3.5</v>
      </c>
      <c r="G41" s="33">
        <f t="shared" si="0"/>
        <v>0.7</v>
      </c>
      <c r="H41" s="34" t="str">
        <f t="shared" si="1"/>
        <v>جيد</v>
      </c>
      <c r="I41" s="46"/>
      <c r="J41" s="47"/>
    </row>
    <row r="42" spans="1:10" ht="30" customHeight="1" thickBot="1" x14ac:dyDescent="0.35">
      <c r="A42" s="10"/>
      <c r="B42" s="89" t="s">
        <v>215</v>
      </c>
      <c r="C42" s="90"/>
      <c r="D42" s="90"/>
      <c r="E42" s="30">
        <v>5</v>
      </c>
      <c r="F42" s="28">
        <v>3.5</v>
      </c>
      <c r="G42" s="38">
        <f t="shared" si="0"/>
        <v>0.7</v>
      </c>
      <c r="H42" s="39" t="str">
        <f t="shared" si="1"/>
        <v>جيد</v>
      </c>
      <c r="I42" s="52"/>
      <c r="J42" s="53"/>
    </row>
    <row r="43" spans="1:10" ht="30" customHeight="1" thickBot="1" x14ac:dyDescent="0.35">
      <c r="A43" s="10"/>
      <c r="B43" s="79" t="s">
        <v>216</v>
      </c>
      <c r="C43" s="80"/>
      <c r="D43" s="80"/>
      <c r="E43" s="9">
        <v>6</v>
      </c>
      <c r="F43" s="40">
        <v>4.5</v>
      </c>
      <c r="G43" s="41">
        <f t="shared" si="0"/>
        <v>0.75</v>
      </c>
      <c r="H43" s="27" t="str">
        <f t="shared" si="1"/>
        <v>جيد</v>
      </c>
      <c r="I43" s="48"/>
      <c r="J43" s="49"/>
    </row>
    <row r="44" spans="1:10" ht="30" customHeight="1" thickBot="1" x14ac:dyDescent="0.35">
      <c r="A44" s="4"/>
      <c r="B44" s="85" t="s">
        <v>5</v>
      </c>
      <c r="C44" s="86"/>
      <c r="D44" s="86"/>
      <c r="E44" s="32">
        <f>SUM(E8:E43)</f>
        <v>60</v>
      </c>
      <c r="F44" s="32">
        <f>SUM(F8:F43)</f>
        <v>34.25</v>
      </c>
      <c r="G44" s="76"/>
      <c r="H44" s="77"/>
      <c r="I44" s="77"/>
      <c r="J44" s="78"/>
    </row>
    <row r="45" spans="1:10" ht="30" customHeight="1" thickBot="1" x14ac:dyDescent="0.35">
      <c r="A45" s="4"/>
      <c r="B45" s="81" t="s">
        <v>54</v>
      </c>
      <c r="C45" s="82"/>
      <c r="D45" s="82"/>
      <c r="E45" s="72">
        <f>F44/E44/100*100</f>
        <v>0.5708333333333333</v>
      </c>
      <c r="F45" s="72"/>
      <c r="G45" s="72"/>
      <c r="H45" s="72"/>
      <c r="I45" s="72"/>
      <c r="J45" s="73"/>
    </row>
    <row r="46" spans="1:10" ht="30" customHeight="1" thickBot="1" x14ac:dyDescent="0.35">
      <c r="A46" s="4"/>
      <c r="B46" s="81" t="s">
        <v>55</v>
      </c>
      <c r="C46" s="82"/>
      <c r="D46" s="82"/>
      <c r="E46" s="70" t="str">
        <f>_xlfn.IFS(E45&gt;=90%,"ممتاز",E45&gt;=80%,"جيد جداً",E45&gt;=70%,"جيد",E45&gt;=60%,"مقبول",E45&lt;60%,"راسب")</f>
        <v>راسب</v>
      </c>
      <c r="F46" s="70"/>
      <c r="G46" s="70"/>
      <c r="H46" s="70"/>
      <c r="I46" s="70"/>
      <c r="J46" s="71"/>
    </row>
    <row r="47" spans="1:10" ht="42" customHeight="1" x14ac:dyDescent="0.3">
      <c r="B47" s="66" t="s">
        <v>174</v>
      </c>
      <c r="C47" s="66"/>
      <c r="D47" s="66"/>
      <c r="E47" s="74" t="s">
        <v>52</v>
      </c>
      <c r="F47" s="74"/>
      <c r="G47" s="68" t="s">
        <v>59</v>
      </c>
      <c r="H47" s="68"/>
      <c r="I47" s="68"/>
      <c r="J47" s="68"/>
    </row>
    <row r="48" spans="1:10" ht="51" customHeight="1" x14ac:dyDescent="0.3">
      <c r="A48" s="5"/>
      <c r="B48" s="67"/>
      <c r="C48" s="67"/>
      <c r="D48" s="67"/>
      <c r="E48" s="75" t="s">
        <v>53</v>
      </c>
      <c r="F48" s="75"/>
      <c r="G48" s="69"/>
      <c r="H48" s="69"/>
      <c r="I48" s="69"/>
      <c r="J48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4">
    <mergeCell ref="B25:D25"/>
    <mergeCell ref="B20:D20"/>
    <mergeCell ref="B21:D21"/>
    <mergeCell ref="B22:D22"/>
    <mergeCell ref="B23:D23"/>
    <mergeCell ref="B24:D24"/>
    <mergeCell ref="B42:D42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8:D8"/>
    <mergeCell ref="B9:D9"/>
    <mergeCell ref="B10:D10"/>
    <mergeCell ref="B11:D11"/>
    <mergeCell ref="B12:D12"/>
    <mergeCell ref="I35:J35"/>
    <mergeCell ref="I36:J36"/>
    <mergeCell ref="I8:J8"/>
    <mergeCell ref="B44:D44"/>
    <mergeCell ref="B45:D45"/>
    <mergeCell ref="I9:J9"/>
    <mergeCell ref="B18:D18"/>
    <mergeCell ref="B19:D19"/>
    <mergeCell ref="I32:J32"/>
    <mergeCell ref="I33:J33"/>
    <mergeCell ref="I34:J34"/>
    <mergeCell ref="B13:D13"/>
    <mergeCell ref="B14:D14"/>
    <mergeCell ref="B15:D15"/>
    <mergeCell ref="B16:D16"/>
    <mergeCell ref="B17:D17"/>
    <mergeCell ref="I16:J16"/>
    <mergeCell ref="I17:J17"/>
    <mergeCell ref="I18:J18"/>
    <mergeCell ref="I28:J28"/>
    <mergeCell ref="I29:J29"/>
    <mergeCell ref="I27:J27"/>
    <mergeCell ref="I11:J11"/>
    <mergeCell ref="I12:J12"/>
    <mergeCell ref="I13:J13"/>
    <mergeCell ref="I14:J14"/>
    <mergeCell ref="I15:J15"/>
    <mergeCell ref="B47:D48"/>
    <mergeCell ref="G47:J47"/>
    <mergeCell ref="G48:J48"/>
    <mergeCell ref="E46:J46"/>
    <mergeCell ref="I40:J40"/>
    <mergeCell ref="I41:J41"/>
    <mergeCell ref="I42:J42"/>
    <mergeCell ref="I43:J43"/>
    <mergeCell ref="E45:J45"/>
    <mergeCell ref="E47:F47"/>
    <mergeCell ref="E48:F48"/>
    <mergeCell ref="G44:J44"/>
    <mergeCell ref="B43:D43"/>
    <mergeCell ref="B46:D46"/>
    <mergeCell ref="B40:D40"/>
    <mergeCell ref="B41:D41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B7:D7"/>
    <mergeCell ref="I38:J38"/>
    <mergeCell ref="I39:J39"/>
    <mergeCell ref="I30:J30"/>
    <mergeCell ref="I31:J31"/>
    <mergeCell ref="I37:J37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14" priority="57">
      <formula>$E46="راسب"</formula>
    </cfRule>
  </conditionalFormatting>
  <conditionalFormatting sqref="E46:J46">
    <cfRule type="expression" dxfId="13" priority="58">
      <formula>$E46="مقبول"</formula>
    </cfRule>
    <cfRule type="expression" dxfId="12" priority="59">
      <formula>$E46="جيد"</formula>
    </cfRule>
    <cfRule type="expression" dxfId="11" priority="60">
      <formula>$E46="جيد جداً"</formula>
    </cfRule>
    <cfRule type="expression" dxfId="10" priority="61">
      <formula>$E46="ممتاز"</formula>
    </cfRule>
  </conditionalFormatting>
  <conditionalFormatting sqref="F8:F4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6" priority="15" operator="containsText" text="أدخل اسم المحكم">
      <formula>NOT(ISERROR(SEARCH("أدخل اسم المحكم",G47)))</formula>
    </cfRule>
  </conditionalFormatting>
  <conditionalFormatting sqref="H8:H4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F29:F36 F15:F17 F22:F27 F10:F13 F39:F42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B53FD47-5AA2-4DBA-AEE8-7BA124331663}">
          <x14:formula1>
            <xm:f>'بيانات التقييم'!$A$111:$A$145</xm:f>
          </x14:formula1>
          <xm:sqref>F9 F19 F20</xm:sqref>
        </x14:dataValidation>
        <x14:dataValidation type="list" allowBlank="1" showInputMessage="1" showErrorMessage="1" xr:uid="{30CDA653-0C35-4825-A7AF-DDC0033FD55E}">
          <x14:formula1>
            <xm:f>'بيانات التقييم'!$A$111:$A$153</xm:f>
          </x14:formula1>
          <xm:sqref>F37</xm:sqref>
        </x14:dataValidation>
        <x14:dataValidation type="list" allowBlank="1" showInputMessage="1" showErrorMessage="1" xr:uid="{9C01AA56-8ABC-4091-BD83-0494247A61A0}">
          <x14:formula1>
            <xm:f>'بيانات التقييم'!$A$111:$A$137</xm:f>
          </x14:formula1>
          <xm:sqref>F43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99" zoomScale="50" zoomScaleNormal="50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2025-10-09T19:53:07Z</dcterms:modified>
</cp:coreProperties>
</file>