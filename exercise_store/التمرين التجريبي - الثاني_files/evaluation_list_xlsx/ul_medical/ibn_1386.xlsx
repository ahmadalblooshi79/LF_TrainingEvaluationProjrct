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codeName="ThisWorkbook"/>
  <bookViews>
    <workbookView xWindow="-108" yWindow="-108" windowWidth="23256" windowHeight="12576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التقييم'!$A$1:$J$101</definedName>
    <definedName name="_xlnm.Print_Titles" localSheetId="0">'قائمة التقييم'!$7:$7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/>
  <c r="H9"/>
  <c r="G10"/>
  <c r="H10"/>
  <c r="G11"/>
  <c r="H11"/>
  <c r="G13"/>
  <c r="H13"/>
  <c r="G14"/>
  <c r="H14"/>
  <c r="G15"/>
  <c r="H15"/>
  <c r="G16"/>
  <c r="H16"/>
  <c r="G17"/>
  <c r="H17"/>
  <c r="G18"/>
  <c r="H18"/>
  <c r="G19"/>
  <c r="H19"/>
  <c r="G20"/>
  <c r="H20"/>
  <c r="G21"/>
  <c r="H21"/>
  <c r="G22"/>
  <c r="H22"/>
  <c r="G23"/>
  <c r="H23"/>
  <c r="G24"/>
  <c r="H24"/>
  <c r="G26"/>
  <c r="H26"/>
  <c r="G27"/>
  <c r="H27"/>
  <c r="G28"/>
  <c r="H28"/>
  <c r="G29"/>
  <c r="H29"/>
  <c r="G30"/>
  <c r="H30"/>
  <c r="G31"/>
  <c r="H31"/>
  <c r="G32"/>
  <c r="H32"/>
  <c r="G34"/>
  <c r="H34"/>
  <c r="G35"/>
  <c r="H35"/>
  <c r="G36"/>
  <c r="H36"/>
  <c r="G38"/>
  <c r="H38"/>
  <c r="G39"/>
  <c r="H39"/>
  <c r="G40"/>
  <c r="H40"/>
  <c r="G41"/>
  <c r="H41"/>
  <c r="G42"/>
  <c r="H42"/>
  <c r="G43"/>
  <c r="H43"/>
  <c r="G44"/>
  <c r="H44"/>
  <c r="G45"/>
  <c r="H45"/>
  <c r="G46"/>
  <c r="H46"/>
  <c r="G47"/>
  <c r="H47"/>
  <c r="G48"/>
  <c r="H48"/>
  <c r="G49"/>
  <c r="H49"/>
  <c r="G50"/>
  <c r="H50"/>
  <c r="G51"/>
  <c r="H51"/>
  <c r="G53"/>
  <c r="H53"/>
  <c r="G54"/>
  <c r="H54"/>
  <c r="G55"/>
  <c r="H55"/>
  <c r="G56"/>
  <c r="H56"/>
  <c r="G57"/>
  <c r="H57"/>
  <c r="G58"/>
  <c r="H58"/>
  <c r="G59"/>
  <c r="H59"/>
  <c r="G60"/>
  <c r="H60"/>
  <c r="G61"/>
  <c r="H61"/>
  <c r="G62"/>
  <c r="H62"/>
  <c r="G64"/>
  <c r="H64"/>
  <c r="G65"/>
  <c r="H65"/>
  <c r="G66"/>
  <c r="H66"/>
  <c r="G67"/>
  <c r="H67"/>
  <c r="G68"/>
  <c r="H68"/>
  <c r="G69"/>
  <c r="H69"/>
  <c r="G70"/>
  <c r="H70"/>
  <c r="G71"/>
  <c r="H71"/>
  <c r="G72"/>
  <c r="H72"/>
  <c r="G73"/>
  <c r="H73"/>
  <c r="G74"/>
  <c r="H74"/>
  <c r="G75"/>
  <c r="H75"/>
  <c r="G76"/>
  <c r="H76"/>
  <c r="G77"/>
  <c r="H77"/>
  <c r="G79"/>
  <c r="H79"/>
  <c r="G80"/>
  <c r="H80"/>
  <c r="G81"/>
  <c r="H81"/>
  <c r="G82"/>
  <c r="H82"/>
  <c r="G83"/>
  <c r="H83"/>
  <c r="G84"/>
  <c r="H84"/>
  <c r="G86"/>
  <c r="H86"/>
  <c r="G87"/>
  <c r="H87"/>
  <c r="G88"/>
  <c r="H88"/>
  <c r="G89"/>
  <c r="H89"/>
  <c r="G90"/>
  <c r="H90"/>
  <c r="G91"/>
  <c r="H91"/>
  <c r="G92"/>
  <c r="H92"/>
  <c r="G93"/>
  <c r="H93"/>
  <c r="G94"/>
  <c r="H94"/>
  <c r="G95"/>
  <c r="H95"/>
  <c r="G96"/>
  <c r="H96"/>
  <c r="F97"/>
  <c r="E97"/>
  <c r="E98"/>
  <c r="E99"/>
</calcChain>
</file>

<file path=xl/sharedStrings.xml><?xml version="1.0" encoding="utf-8"?>
<sst xmlns="http://schemas.openxmlformats.org/spreadsheetml/2006/main" count="326" uniqueCount="271">
  <si>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</si>
  <si>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</si>
  <si>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</si>
  <si>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</si>
  <si>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</si>
  <si>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</si>
  <si>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</si>
  <si>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</si>
  <si>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</si>
  <si>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</si>
  <si>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</si>
  <si>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</si>
  <si>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</si>
  <si>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</si>
  <si>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</si>
  <si>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</si>
  <si>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</si>
  <si>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</si>
  <si>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</si>
  <si>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</si>
  <si>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</si>
  <si>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</si>
  <si>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</si>
  <si>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</si>
  <si>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</si>
  <si>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</si>
  <si>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</si>
  <si>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</si>
  <si>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</si>
  <si>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</si>
  <si>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</si>
  <si>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</si>
  <si>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</si>
  <si>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</si>
  <si>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</si>
  <si>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</si>
  <si>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</si>
  <si>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</si>
  <si>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</si>
  <si>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</si>
  <si>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</si>
  <si>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</si>
  <si>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</si>
  <si>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</si>
  <si>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</si>
  <si>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</si>
  <si>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</si>
  <si>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</si>
  <si>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</si>
  <si>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</si>
  <si>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</si>
  <si>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</si>
  <si>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</si>
  <si>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</si>
  <si>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</si>
  <si>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</si>
  <si>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</si>
  <si>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</si>
  <si>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</si>
  <si>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</si>
  <si>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</si>
  <si>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</si>
  <si>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</si>
  <si>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</si>
  <si>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</si>
  <si>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</si>
  <si>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</si>
  <si>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</si>
  <si>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</si>
  <si>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</si>
  <si>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</si>
  <si>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</si>
  <si>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</si>
  <si>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</si>
  <si>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</si>
  <si>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</si>
  <si>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</si>
  <si>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</si>
  <si>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</si>
  <si>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</si>
  <si>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</si>
  <si>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</si>
  <si>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</si>
  <si>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</si>
  <si>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</si>
  <si>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</si>
  <si>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</si>
  <si>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</si>
  <si>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</si>
  <si>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</si>
  <si>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</si>
  <si>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</si>
  <si>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</si>
  <si>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</si>
  <si>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</si>
  <si>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</si>
  <si>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</si>
  <si>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</si>
  <si>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</si>
  <si>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</si>
  <si>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</si>
  <si>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</si>
  <si>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</si>
  <si>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</si>
  <si>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</si>
  <si>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</si>
  <si>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</si>
  <si>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</si>
  <si>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</si>
  <si>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</si>
  <si>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</si>
  <si>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</si>
  <si>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</si>
  <si>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</si>
  <si>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</si>
  <si>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</si>
  <si>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</si>
  <si>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</si>
  <si>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</si>
  <si>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</si>
  <si>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</si>
  <si>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</si>
  <si>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</si>
  <si>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</si>
  <si>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</si>
  <si>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</si>
  <si>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</si>
  <si>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</si>
  <si>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</si>
  <si>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</si>
  <si>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</si>
  <si>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</si>
  <si>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</si>
  <si>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</si>
  <si>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</si>
  <si>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</si>
  <si>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</si>
  <si>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</si>
  <si>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</si>
  <si>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</si>
  <si>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</si>
  <si>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</si>
  <si>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</si>
  <si>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</si>
  <si>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</si>
  <si>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</si>
  <si>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</si>
  <si>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</si>
  <si>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</si>
  <si>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</si>
  <si>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</si>
  <si>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</si>
  <si>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</si>
  <si>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</si>
  <si>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</si>
  <si>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</si>
  <si>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</si>
  <si>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</si>
  <si>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</si>
  <si>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</si>
  <si>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</si>
  <si>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</si>
  <si>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</si>
  <si>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</si>
  <si>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</si>
  <si>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</si>
  <si>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</si>
  <si>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</si>
  <si>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</si>
  <si>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</si>
  <si>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</si>
  <si>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</si>
  <si>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</si>
  <si>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</si>
  <si>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</si>
  <si>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</si>
  <si>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</si>
  <si>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</si>
  <si>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</si>
  <si>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</si>
  <si>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عــــام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</si>
  <si>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استلام برقية رفع الحالة وتفهم القائد بمضمون البرقية في الوقت المحدد.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</si>
  <si>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</si>
  <si>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كفاءة القائد القيادية والذهنية.</t>
    </r>
  </si>
  <si>
    <t>إجراءات القائد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</si>
  <si>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استلام المهمة وتفهم القائد للمطلوب في الوقت المحدد.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</si>
  <si>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الرد بالاعتراف على برقية رفع الحالة حسب الوقت المحدد.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</si>
  <si>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تحرير برقية برفع الحالة وإرسالها إلى مستوى الأعلى والأدنى.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</si>
  <si>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من الخارطة.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</si>
  <si>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إصدار أمر إنذاري والحصول على الاعتراف من المستوى الأدنى.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</si>
  <si>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تسجيل برقية رفع الحالة في سجل الحوادث.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</si>
  <si>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عمل تقدير موقف للوقت من قبل القائد مع مراعاة ثلثي الوقت لعمل وإجراءات المرؤوسين وتشمل الإجراءات منذ استلام المهمة وحتى ساعة الصفر.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</si>
  <si>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عمل تقدير موقف ذهني وسريع من قبل القائد.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</si>
  <si>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إنذار الوحدة بالمهمة ووسائل الإنذار المتوفرة.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</si>
  <si>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توضيح المطلوب للقادة المرؤوسين وإجاباتهم على استفساراتهم.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</si>
  <si>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بأصول المخابرة في عملية إرسال البرقية.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</si>
  <si>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بواجبات الأركان الصغرى في كتابة الأمر الإنذاري.</t>
    </r>
  </si>
  <si>
    <t>التقييد بمشتملات الأمر الإنذاري (يسلم مكتوب لنائب القائد ونسخة لفريق التقييم)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</si>
  <si>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ملخص عن العمليات المقبلة.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</si>
  <si>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مكان ووقت اجتماع قسم الأمر.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</si>
  <si>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تفاصيل عن منطقة التجمع.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</si>
  <si>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تحديدات الحركة (حسب المهمة).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</si>
  <si>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منطقة التجمع.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</si>
  <si>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حدود الكشف.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</si>
  <si>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التعليمات الإدارية.</t>
    </r>
  </si>
  <si>
    <t>وسائل الإنذار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</si>
  <si>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استخدام وسائل الإنذار المتوفرة (المسموعة، المرئية، الضوئية) حسب ما جاء في تعليمات التحول.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</si>
  <si>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وصولها إلى المرؤوسين وتفهمها من قبلهم.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</si>
  <si>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إصدار الأوامر إلى القادة المرؤوسين (شفهية، مكتوبة، بواسطة اللاسلكي).</t>
    </r>
  </si>
  <si>
    <r>
      <t>إجراءات التحـول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</si>
  <si>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تحرك الوحدات المرؤوسة لتنفيذ التحول حسب تعليمات رفع حالات الاستعداد القتالي (حسب الخطة الزمنية لتعليمات رفع حالات الاستعداد القتالي).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</si>
  <si>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خطة مفصلة موضح بها الإجراءات خلال وقت محدد.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</si>
  <si>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التزام مرتب الوحدة (الفصائل) وتنفيذها بطريقة سليمة (تفهم الجميع للخطة الموضوعة) وحسب الحالة المطلوبة.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</si>
  <si>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سيطرة ضباط السرية على تحركات ضباط الصف والجنود، ومرونة القيادة في التغلب على العقبات التي قد تحدث إثناء العمل.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</si>
  <si>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التقيد بالتوقيتات المبينة في الخطة الزمنية.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</si>
  <si>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أسلوب وإجراءات تنفيذ الخطة الزمنية.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</si>
  <si>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الحماس وجديـة الضبـاط والرتـب الأخرى في تنفيـذ الواجبات ومـــدى تفهمهم لإجراءات رفع الحالة.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</si>
  <si>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إجراءات التحميل / تعبئة الذخيرة (التقيد باحتياطات الأمان ومخطط التحميل).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</si>
  <si>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استلام المهمات الكيميائية.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</si>
  <si>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تعبئة وتحميل الوقود والمياه.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</si>
  <si>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تحميل الأرزاق لـ (48) ساعة.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</si>
  <si>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تحميل المهمات الإدارية والهندسية التابعة للسرية.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</si>
  <si>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تركيب الأسلحة والأجهزة واختبارها.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</si>
  <si>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خطة التحميل ومدى التقيد بها أثناء عملية التحميل ومدى فعاليتها.</t>
    </r>
  </si>
  <si>
    <t>جاهزية القوة.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</si>
  <si>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اصطفاف القوة بالميدان في الوقت المحدد في تعليمات رفع حالات الاستعداد القتالي وتسليم رئيس فريق التقييم من قبل قائد القوة.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</si>
  <si>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الضباط والأفراد من حيث (السلاح وملحقاته، حقائب الكتف، القلادة المعدنية، البطاقة، رخصة السواقة، حقيبة الميدان، مفكرة الميدان للضباط).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</si>
  <si>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الضباط والرتب الأخرى باستخدام المعدات والآليات حسب تخصصاتهم.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</si>
  <si>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جداول الركوب والتحميل طبقاً لحالات الاستعداد القتالي ومطابقته للواقع.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</si>
  <si>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تحميل الآليات أكثر من طاقتها.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</si>
  <si>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استلام الذخائر.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</si>
  <si>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الآليات من حيث (الوقود، المياه، العدة، سجل الآلية، وتحميل شباك التمويه مع العصي، إلخ...).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</si>
  <si>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التقيد بتعليمات المؤخرة للقوة.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</si>
  <si>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نسبة استكمال الأسلحة والمعدات.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</si>
  <si>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نسبة استكمال القوة البشرية.</t>
    </r>
  </si>
  <si>
    <t>فـرش المتاع (حقيبة الميدان ومحتوياتها كما يلي:)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</si>
  <si>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عدد (1) بدله مموهة.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</si>
  <si>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خـوذه.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</si>
  <si>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فوطه.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</si>
  <si>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جراب.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</si>
  <si>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ملابس داخلية فانيله.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</si>
  <si>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ملابس رياضة (شورت، حذاء، فأنله).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</si>
  <si>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أدوات الطعام.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</si>
  <si>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أدوات خياطة.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</si>
  <si>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أدوات حلاقة + معجون وفرشاة أسنان.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</si>
  <si>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كيس النوم.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</si>
  <si>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لباس مدني.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</si>
  <si>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شماغ (عسكري / مدني).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</si>
  <si>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مشمع أرضي.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</si>
  <si>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ترتيب ونظافة محتويات الحقيبة.</t>
    </r>
  </si>
  <si>
    <r>
      <t>اختبار المعلومات العسكرية للمرتب في</t>
    </r>
    <r>
      <rPr>
        <b/>
        <sz val="12"/>
        <color rgb="FF000000"/>
        <rFont val="Arial"/>
        <family val="2"/>
      </rPr>
      <t xml:space="preserve"> 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</si>
  <si>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الأسلحة وخصائصها الفنية ومسمياتها.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</si>
  <si>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الذخائر (الخطوط، الوحدة الحسابية).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</si>
  <si>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الهيكل التنظيمي للوحدة تحت التقييم.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</si>
  <si>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أمن الأفراد والمعسكرات والمنشآت.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</si>
  <si>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التخصصات المهنية.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</si>
  <si>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حالات الاستعداد القتالي.</t>
    </r>
  </si>
  <si>
    <t>صندوق أو آلية الوثائق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</si>
  <si>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صندوق لحفظ الوثائق والسجلات والقرطاسية اللازمة.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</si>
  <si>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الخرائط والخطط الضرورية.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</si>
  <si>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وصلاحية الإضاءة الرئيسة والبديلة.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</si>
  <si>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وصلاحية وسائل الاتصالات الإشارية.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</si>
  <si>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إعداد وتجهيز الآلية.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</si>
  <si>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وجود فهرس بمحتويات الصندوق ومطابقته مع الموجود.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</si>
  <si>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الأوامر الثابتة لقيادته.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</si>
  <si>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قوائم التوزيع الشهرية.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</si>
  <si>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نموذج برقيــات.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</si>
  <si>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توفر كشف بأرقام الهواتف الهامة (عسكرية، مدنية).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</si>
  <si>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وإدامة سجل الوارد والصادر.</t>
    </r>
  </si>
  <si>
    <r>
      <rPr>
        <b/>
        <sz val="14"/>
        <color rgb="FF000000"/>
        <rFont val="Arial"/>
        <family val="2"/>
      </rPr>
      <t>تقييم رفع جاهزية السرية الطبية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</si>
  <si>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 طبيب / علي النقبي</t>
  </si>
</sst>
</file>

<file path=xl/styles.xml><?xml version="1.0" encoding="utf-8"?>
<styleSheet xmlns="http://schemas.openxmlformats.org/spreadsheetml/2006/main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486513</xdr:colOff>
      <xdr:row>100</xdr:row>
      <xdr:rowOff>163112</xdr:rowOff>
    </xdr:from>
    <xdr:to>
      <xdr:col>9</xdr:col>
      <xdr:colOff>594153</xdr:colOff>
      <xdr:row>100</xdr:row>
      <xdr:rowOff>514112</xdr:rowOff>
    </xdr:to>
    <xdr:pic>
      <xdr:nvPicPr>
        <xdr:cNvPr id="2" name="Ink 1">
          <a:extLst>
            <a:ext uri="{FF2B5EF4-FFF2-40B4-BE49-F238E27FC236}">
              <a16:creationId xmlns="" xmlns:mc="http://schemas.openxmlformats.org/markup-compatibility/2006" xmlns:a16="http://schemas.microsoft.com/office/drawing/2014/main" id="{A9737A60-3DFB-2B2C-08E5-22558F6953E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5793291" y="38416320"/>
          <a:ext cx="119880" cy="363240"/>
        </a:xfrm>
        <a:prstGeom prst="rect">
          <a:avLst/>
        </a:prstGeom>
      </xdr:spPr>
    </xdr:pic>
    <xdr:clientData/>
  </xdr:twoCellAnchor>
  <xdr:twoCellAnchor editAs="oneCell">
    <xdr:from>
      <xdr:col>6</xdr:col>
      <xdr:colOff>527947</xdr:colOff>
      <xdr:row>99</xdr:row>
      <xdr:rowOff>461432</xdr:rowOff>
    </xdr:from>
    <xdr:to>
      <xdr:col>9</xdr:col>
      <xdr:colOff>730953</xdr:colOff>
      <xdr:row>100</xdr:row>
      <xdr:rowOff>528512</xdr:rowOff>
    </xdr:to>
    <xdr:pic>
      <xdr:nvPicPr>
        <xdr:cNvPr id="3" name="Ink 2">
          <a:extLst>
            <a:ext uri="{FF2B5EF4-FFF2-40B4-BE49-F238E27FC236}">
              <a16:creationId xmlns="" xmlns:mc="http://schemas.openxmlformats.org/markup-compatibility/2006" xmlns:a16="http://schemas.microsoft.com/office/drawing/2014/main" id="{0915EA6C-CB5A-2239-5C88-5995E570A2D2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5656491" y="38181240"/>
          <a:ext cx="2189520" cy="612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101"/>
  <sheetViews>
    <sheetView rightToLeft="1" tabSelected="1" view="pageBreakPreview" zoomScale="130" zoomScaleSheetLayoutView="130" workbookViewId="0">
      <selection activeCell="C3" sqref="C3:D3"/>
    </sheetView>
  </sheetViews>
  <sheetFormatPr defaultColWidth="9" defaultRowHeight="14.4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>
      <c r="B1" s="61" t="s">
        <v>269</v>
      </c>
      <c r="C1" s="61"/>
      <c r="D1" s="61"/>
      <c r="E1" s="61"/>
      <c r="F1" s="61"/>
      <c r="G1" s="61"/>
      <c r="H1" s="61"/>
      <c r="I1" s="61"/>
      <c r="J1" s="61"/>
    </row>
    <row r="2" spans="1:10" ht="30" customHeight="1">
      <c r="B2" s="12" t="s">
        <v>8</v>
      </c>
      <c r="C2" s="67" t="s">
        <v>31</v>
      </c>
      <c r="D2" s="67"/>
      <c r="E2" s="12" t="s">
        <v>7</v>
      </c>
      <c r="F2" s="62">
        <v>45929</v>
      </c>
      <c r="G2" s="62"/>
      <c r="H2" s="62"/>
      <c r="I2" s="62"/>
      <c r="J2" s="62"/>
    </row>
    <row r="3" spans="1:10" ht="30" customHeight="1">
      <c r="B3" s="12" t="s">
        <v>9</v>
      </c>
      <c r="C3" s="67" t="s">
        <v>270</v>
      </c>
      <c r="D3" s="67"/>
      <c r="E3" s="12" t="s">
        <v>6</v>
      </c>
      <c r="F3" s="67" t="s">
        <v>138</v>
      </c>
      <c r="G3" s="67"/>
      <c r="H3" s="67"/>
      <c r="I3" s="67"/>
      <c r="J3" s="67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>
      <c r="A5" s="10"/>
      <c r="B5" s="63" t="s">
        <v>0</v>
      </c>
      <c r="C5" s="64"/>
      <c r="D5" s="64"/>
      <c r="E5" s="72" t="s">
        <v>1</v>
      </c>
      <c r="F5" s="72"/>
      <c r="G5" s="72"/>
      <c r="H5" s="72"/>
      <c r="I5" s="72" t="s">
        <v>2</v>
      </c>
      <c r="J5" s="73"/>
    </row>
    <row r="6" spans="1:10" ht="24.9" customHeight="1" thickBot="1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" customHeight="1" thickBot="1">
      <c r="A7" s="10"/>
      <c r="B7" s="70" t="s">
        <v>21</v>
      </c>
      <c r="C7" s="71"/>
      <c r="D7" s="71"/>
      <c r="E7" s="30" t="s">
        <v>18</v>
      </c>
      <c r="F7" s="30" t="s">
        <v>19</v>
      </c>
      <c r="G7" s="30" t="s">
        <v>22</v>
      </c>
      <c r="H7" s="30" t="s">
        <v>20</v>
      </c>
      <c r="I7" s="76" t="s">
        <v>25</v>
      </c>
      <c r="J7" s="77"/>
    </row>
    <row r="8" spans="1:10" ht="30" customHeight="1">
      <c r="A8" s="10"/>
      <c r="B8" s="43" t="s">
        <v>180</v>
      </c>
      <c r="C8" s="44"/>
      <c r="D8" s="44"/>
      <c r="E8" s="28"/>
      <c r="F8" s="34"/>
      <c r="G8" s="35"/>
      <c r="H8" s="36"/>
      <c r="I8" s="45"/>
      <c r="J8" s="46"/>
    </row>
    <row r="9" spans="1:10" ht="30" customHeight="1">
      <c r="A9" s="10"/>
      <c r="B9" s="39" t="s">
        <v>181</v>
      </c>
      <c r="C9" s="40"/>
      <c r="D9" s="40"/>
      <c r="E9" s="9">
        <v>5</v>
      </c>
      <c r="F9" s="26">
        <v>3.75</v>
      </c>
      <c r="G9" s="32">
        <f>IFERROR(F9/E9,"")</f>
        <v>0.75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3"/>
      <c r="J9" s="54"/>
    </row>
    <row r="10" spans="1:10" ht="30" customHeight="1">
      <c r="A10" s="10"/>
      <c r="B10" s="39" t="s">
        <v>182</v>
      </c>
      <c r="C10" s="40"/>
      <c r="D10" s="40"/>
      <c r="E10" s="9">
        <v>5</v>
      </c>
      <c r="F10" s="26">
        <v>3.75</v>
      </c>
      <c r="G10" s="32">
        <f t="shared" ref="G10:G73" si="0">IFERROR(F10/E10,"")</f>
        <v>0.75</v>
      </c>
      <c r="H10" s="33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53"/>
      <c r="J10" s="54"/>
    </row>
    <row r="11" spans="1:10" ht="30" customHeight="1" thickBot="1">
      <c r="A11" s="10"/>
      <c r="B11" s="41" t="s">
        <v>183</v>
      </c>
      <c r="C11" s="42"/>
      <c r="D11" s="42"/>
      <c r="E11" s="29">
        <v>5</v>
      </c>
      <c r="F11" s="27">
        <v>3.75</v>
      </c>
      <c r="G11" s="37">
        <f t="shared" si="0"/>
        <v>0.75</v>
      </c>
      <c r="H11" s="38" t="str">
        <f t="shared" si="1"/>
        <v>جيد</v>
      </c>
      <c r="I11" s="51"/>
      <c r="J11" s="52"/>
    </row>
    <row r="12" spans="1:10" ht="30" customHeight="1">
      <c r="A12" s="10"/>
      <c r="B12" s="43" t="s">
        <v>184</v>
      </c>
      <c r="C12" s="44"/>
      <c r="D12" s="44"/>
      <c r="E12" s="28"/>
      <c r="F12" s="34"/>
      <c r="G12" s="35"/>
      <c r="H12" s="36"/>
      <c r="I12" s="45"/>
      <c r="J12" s="46"/>
    </row>
    <row r="13" spans="1:10" ht="30" customHeight="1">
      <c r="A13" s="10"/>
      <c r="B13" s="39" t="s">
        <v>185</v>
      </c>
      <c r="C13" s="40"/>
      <c r="D13" s="40"/>
      <c r="E13" s="9">
        <v>5</v>
      </c>
      <c r="F13" s="26">
        <v>3.75</v>
      </c>
      <c r="G13" s="32">
        <f t="shared" si="0"/>
        <v>0.75</v>
      </c>
      <c r="H13" s="33" t="str">
        <f t="shared" si="1"/>
        <v>جيد</v>
      </c>
      <c r="I13" s="53"/>
      <c r="J13" s="54"/>
    </row>
    <row r="14" spans="1:10" ht="30" customHeight="1">
      <c r="A14" s="10"/>
      <c r="B14" s="39" t="s">
        <v>186</v>
      </c>
      <c r="C14" s="40"/>
      <c r="D14" s="40"/>
      <c r="E14" s="9">
        <v>5</v>
      </c>
      <c r="F14" s="26">
        <v>3.75</v>
      </c>
      <c r="G14" s="32">
        <f t="shared" si="0"/>
        <v>0.75</v>
      </c>
      <c r="H14" s="33" t="str">
        <f t="shared" si="1"/>
        <v>جيد</v>
      </c>
      <c r="I14" s="53"/>
      <c r="J14" s="54"/>
    </row>
    <row r="15" spans="1:10" ht="30" customHeight="1">
      <c r="A15" s="10"/>
      <c r="B15" s="39" t="s">
        <v>187</v>
      </c>
      <c r="C15" s="40"/>
      <c r="D15" s="40"/>
      <c r="E15" s="9">
        <v>5</v>
      </c>
      <c r="F15" s="26">
        <v>3.75</v>
      </c>
      <c r="G15" s="32">
        <f t="shared" si="0"/>
        <v>0.75</v>
      </c>
      <c r="H15" s="33" t="str">
        <f t="shared" si="1"/>
        <v>جيد</v>
      </c>
      <c r="I15" s="53"/>
      <c r="J15" s="54"/>
    </row>
    <row r="16" spans="1:10" ht="30" customHeight="1">
      <c r="A16" s="10"/>
      <c r="B16" s="39" t="s">
        <v>188</v>
      </c>
      <c r="C16" s="40"/>
      <c r="D16" s="40"/>
      <c r="E16" s="9">
        <v>5</v>
      </c>
      <c r="F16" s="26">
        <v>3.5</v>
      </c>
      <c r="G16" s="32">
        <f t="shared" si="0"/>
        <v>0.7</v>
      </c>
      <c r="H16" s="33" t="str">
        <f t="shared" si="1"/>
        <v>جيد</v>
      </c>
      <c r="I16" s="53"/>
      <c r="J16" s="54"/>
    </row>
    <row r="17" spans="1:10" ht="30" customHeight="1">
      <c r="A17" s="10"/>
      <c r="B17" s="39" t="s">
        <v>189</v>
      </c>
      <c r="C17" s="40"/>
      <c r="D17" s="40"/>
      <c r="E17" s="9">
        <v>5</v>
      </c>
      <c r="F17" s="26">
        <v>3.75</v>
      </c>
      <c r="G17" s="32">
        <f t="shared" si="0"/>
        <v>0.75</v>
      </c>
      <c r="H17" s="33" t="str">
        <f t="shared" si="1"/>
        <v>جيد</v>
      </c>
      <c r="I17" s="53"/>
      <c r="J17" s="54"/>
    </row>
    <row r="18" spans="1:10" ht="30" customHeight="1">
      <c r="A18" s="10"/>
      <c r="B18" s="39" t="s">
        <v>190</v>
      </c>
      <c r="C18" s="40"/>
      <c r="D18" s="40"/>
      <c r="E18" s="9">
        <v>5</v>
      </c>
      <c r="F18" s="26">
        <v>3.5</v>
      </c>
      <c r="G18" s="32">
        <f t="shared" si="0"/>
        <v>0.7</v>
      </c>
      <c r="H18" s="33" t="str">
        <f t="shared" si="1"/>
        <v>جيد</v>
      </c>
      <c r="I18" s="53"/>
      <c r="J18" s="54"/>
    </row>
    <row r="19" spans="1:10" ht="30" customHeight="1">
      <c r="A19" s="10"/>
      <c r="B19" s="39" t="s">
        <v>191</v>
      </c>
      <c r="C19" s="40"/>
      <c r="D19" s="40"/>
      <c r="E19" s="9">
        <v>5</v>
      </c>
      <c r="F19" s="26">
        <v>3.75</v>
      </c>
      <c r="G19" s="32">
        <f t="shared" si="0"/>
        <v>0.75</v>
      </c>
      <c r="H19" s="33" t="str">
        <f t="shared" si="1"/>
        <v>جيد</v>
      </c>
      <c r="I19" s="53"/>
      <c r="J19" s="54"/>
    </row>
    <row r="20" spans="1:10" ht="30" customHeight="1">
      <c r="A20" s="10"/>
      <c r="B20" s="39" t="s">
        <v>192</v>
      </c>
      <c r="C20" s="40"/>
      <c r="D20" s="40"/>
      <c r="E20" s="9">
        <v>5</v>
      </c>
      <c r="F20" s="26">
        <v>3.75</v>
      </c>
      <c r="G20" s="32">
        <f t="shared" si="0"/>
        <v>0.75</v>
      </c>
      <c r="H20" s="33" t="str">
        <f t="shared" si="1"/>
        <v>جيد</v>
      </c>
      <c r="I20" s="53"/>
      <c r="J20" s="54"/>
    </row>
    <row r="21" spans="1:10" ht="30" customHeight="1">
      <c r="A21" s="10"/>
      <c r="B21" s="39" t="s">
        <v>193</v>
      </c>
      <c r="C21" s="40"/>
      <c r="D21" s="40"/>
      <c r="E21" s="9">
        <v>5</v>
      </c>
      <c r="F21" s="26">
        <v>3.75</v>
      </c>
      <c r="G21" s="32">
        <f t="shared" si="0"/>
        <v>0.75</v>
      </c>
      <c r="H21" s="33" t="str">
        <f t="shared" si="1"/>
        <v>جيد</v>
      </c>
      <c r="I21" s="53"/>
      <c r="J21" s="54"/>
    </row>
    <row r="22" spans="1:10" ht="30" customHeight="1">
      <c r="A22" s="10"/>
      <c r="B22" s="39" t="s">
        <v>194</v>
      </c>
      <c r="C22" s="40"/>
      <c r="D22" s="40"/>
      <c r="E22" s="9">
        <v>5</v>
      </c>
      <c r="F22" s="26">
        <v>3.75</v>
      </c>
      <c r="G22" s="32">
        <f t="shared" si="0"/>
        <v>0.75</v>
      </c>
      <c r="H22" s="33" t="str">
        <f t="shared" si="1"/>
        <v>جيد</v>
      </c>
      <c r="I22" s="53"/>
      <c r="J22" s="54"/>
    </row>
    <row r="23" spans="1:10" ht="30" customHeight="1">
      <c r="A23" s="10"/>
      <c r="B23" s="39" t="s">
        <v>195</v>
      </c>
      <c r="C23" s="40"/>
      <c r="D23" s="40"/>
      <c r="E23" s="9">
        <v>5</v>
      </c>
      <c r="F23" s="26">
        <v>3.75</v>
      </c>
      <c r="G23" s="32">
        <f t="shared" si="0"/>
        <v>0.75</v>
      </c>
      <c r="H23" s="33" t="str">
        <f t="shared" si="1"/>
        <v>جيد</v>
      </c>
      <c r="I23" s="53"/>
      <c r="J23" s="54"/>
    </row>
    <row r="24" spans="1:10" ht="30" customHeight="1" thickBot="1">
      <c r="A24" s="10"/>
      <c r="B24" s="41" t="s">
        <v>196</v>
      </c>
      <c r="C24" s="42"/>
      <c r="D24" s="42"/>
      <c r="E24" s="29">
        <v>5</v>
      </c>
      <c r="F24" s="27">
        <v>3.75</v>
      </c>
      <c r="G24" s="37">
        <f t="shared" si="0"/>
        <v>0.75</v>
      </c>
      <c r="H24" s="38" t="str">
        <f t="shared" si="1"/>
        <v>جيد</v>
      </c>
      <c r="I24" s="51"/>
      <c r="J24" s="52"/>
    </row>
    <row r="25" spans="1:10" ht="30" customHeight="1">
      <c r="A25" s="10"/>
      <c r="B25" s="43" t="s">
        <v>197</v>
      </c>
      <c r="C25" s="44"/>
      <c r="D25" s="44"/>
      <c r="E25" s="28"/>
      <c r="F25" s="34"/>
      <c r="G25" s="35"/>
      <c r="H25" s="36"/>
      <c r="I25" s="45"/>
      <c r="J25" s="46"/>
    </row>
    <row r="26" spans="1:10" ht="30" customHeight="1">
      <c r="A26" s="10"/>
      <c r="B26" s="39" t="s">
        <v>198</v>
      </c>
      <c r="C26" s="40"/>
      <c r="D26" s="40"/>
      <c r="E26" s="9">
        <v>5</v>
      </c>
      <c r="F26" s="26">
        <v>3.5</v>
      </c>
      <c r="G26" s="32">
        <f t="shared" si="0"/>
        <v>0.7</v>
      </c>
      <c r="H26" s="33" t="str">
        <f t="shared" si="1"/>
        <v>جيد</v>
      </c>
      <c r="I26" s="53"/>
      <c r="J26" s="54"/>
    </row>
    <row r="27" spans="1:10" ht="30" customHeight="1">
      <c r="A27" s="10"/>
      <c r="B27" s="39" t="s">
        <v>199</v>
      </c>
      <c r="C27" s="40"/>
      <c r="D27" s="40"/>
      <c r="E27" s="9">
        <v>5</v>
      </c>
      <c r="F27" s="26">
        <v>3.5</v>
      </c>
      <c r="G27" s="32">
        <f t="shared" si="0"/>
        <v>0.7</v>
      </c>
      <c r="H27" s="33" t="str">
        <f t="shared" si="1"/>
        <v>جيد</v>
      </c>
      <c r="I27" s="53"/>
      <c r="J27" s="54"/>
    </row>
    <row r="28" spans="1:10" ht="30" customHeight="1">
      <c r="A28" s="10"/>
      <c r="B28" s="39" t="s">
        <v>200</v>
      </c>
      <c r="C28" s="40"/>
      <c r="D28" s="40"/>
      <c r="E28" s="9">
        <v>5</v>
      </c>
      <c r="F28" s="26">
        <v>3.5</v>
      </c>
      <c r="G28" s="32">
        <f t="shared" si="0"/>
        <v>0.7</v>
      </c>
      <c r="H28" s="33" t="str">
        <f t="shared" si="1"/>
        <v>جيد</v>
      </c>
      <c r="I28" s="53"/>
      <c r="J28" s="54"/>
    </row>
    <row r="29" spans="1:10" ht="30" customHeight="1">
      <c r="A29" s="10"/>
      <c r="B29" s="39" t="s">
        <v>201</v>
      </c>
      <c r="C29" s="40"/>
      <c r="D29" s="40"/>
      <c r="E29" s="9">
        <v>5</v>
      </c>
      <c r="F29" s="26">
        <v>3.5</v>
      </c>
      <c r="G29" s="32">
        <f t="shared" si="0"/>
        <v>0.7</v>
      </c>
      <c r="H29" s="33" t="str">
        <f t="shared" si="1"/>
        <v>جيد</v>
      </c>
      <c r="I29" s="53"/>
      <c r="J29" s="54"/>
    </row>
    <row r="30" spans="1:10" ht="30" customHeight="1">
      <c r="A30" s="10"/>
      <c r="B30" s="39" t="s">
        <v>202</v>
      </c>
      <c r="C30" s="40"/>
      <c r="D30" s="40"/>
      <c r="E30" s="9">
        <v>5</v>
      </c>
      <c r="F30" s="26">
        <v>3.5</v>
      </c>
      <c r="G30" s="32">
        <f t="shared" si="0"/>
        <v>0.7</v>
      </c>
      <c r="H30" s="33" t="str">
        <f t="shared" si="1"/>
        <v>جيد</v>
      </c>
      <c r="I30" s="53"/>
      <c r="J30" s="54"/>
    </row>
    <row r="31" spans="1:10" ht="30" customHeight="1">
      <c r="A31" s="10"/>
      <c r="B31" s="39" t="s">
        <v>203</v>
      </c>
      <c r="C31" s="40"/>
      <c r="D31" s="40"/>
      <c r="E31" s="9">
        <v>5</v>
      </c>
      <c r="F31" s="26">
        <v>3.5</v>
      </c>
      <c r="G31" s="32">
        <f t="shared" si="0"/>
        <v>0.7</v>
      </c>
      <c r="H31" s="33" t="str">
        <f t="shared" si="1"/>
        <v>جيد</v>
      </c>
      <c r="I31" s="53"/>
      <c r="J31" s="54"/>
    </row>
    <row r="32" spans="1:10" ht="30" customHeight="1" thickBot="1">
      <c r="A32" s="10"/>
      <c r="B32" s="41" t="s">
        <v>204</v>
      </c>
      <c r="C32" s="42"/>
      <c r="D32" s="42"/>
      <c r="E32" s="29">
        <v>5</v>
      </c>
      <c r="F32" s="27">
        <v>3.5</v>
      </c>
      <c r="G32" s="37">
        <f t="shared" si="0"/>
        <v>0.7</v>
      </c>
      <c r="H32" s="38" t="str">
        <f t="shared" si="1"/>
        <v>جيد</v>
      </c>
      <c r="I32" s="51"/>
      <c r="J32" s="52"/>
    </row>
    <row r="33" spans="1:10" ht="30" customHeight="1">
      <c r="A33" s="10"/>
      <c r="B33" s="43" t="s">
        <v>205</v>
      </c>
      <c r="C33" s="44"/>
      <c r="D33" s="44"/>
      <c r="E33" s="28"/>
      <c r="F33" s="34"/>
      <c r="G33" s="35"/>
      <c r="H33" s="36"/>
      <c r="I33" s="45"/>
      <c r="J33" s="46"/>
    </row>
    <row r="34" spans="1:10" ht="30" customHeight="1">
      <c r="A34" s="10"/>
      <c r="B34" s="39" t="s">
        <v>206</v>
      </c>
      <c r="C34" s="40"/>
      <c r="D34" s="40"/>
      <c r="E34" s="9">
        <v>5</v>
      </c>
      <c r="F34" s="26">
        <v>3.75</v>
      </c>
      <c r="G34" s="32">
        <f t="shared" si="0"/>
        <v>0.75</v>
      </c>
      <c r="H34" s="33" t="str">
        <f t="shared" si="1"/>
        <v>جيد</v>
      </c>
      <c r="I34" s="53"/>
      <c r="J34" s="54"/>
    </row>
    <row r="35" spans="1:10" ht="30" customHeight="1">
      <c r="A35" s="10"/>
      <c r="B35" s="39" t="s">
        <v>207</v>
      </c>
      <c r="C35" s="40"/>
      <c r="D35" s="40"/>
      <c r="E35" s="9">
        <v>5</v>
      </c>
      <c r="F35" s="26">
        <v>3.75</v>
      </c>
      <c r="G35" s="32">
        <f t="shared" si="0"/>
        <v>0.75</v>
      </c>
      <c r="H35" s="33" t="str">
        <f t="shared" si="1"/>
        <v>جيد</v>
      </c>
      <c r="I35" s="53"/>
      <c r="J35" s="54"/>
    </row>
    <row r="36" spans="1:10" ht="30" customHeight="1" thickBot="1">
      <c r="A36" s="10"/>
      <c r="B36" s="41" t="s">
        <v>208</v>
      </c>
      <c r="C36" s="42"/>
      <c r="D36" s="42"/>
      <c r="E36" s="29">
        <v>5</v>
      </c>
      <c r="F36" s="27">
        <v>3.75</v>
      </c>
      <c r="G36" s="37">
        <f t="shared" si="0"/>
        <v>0.75</v>
      </c>
      <c r="H36" s="38" t="str">
        <f t="shared" si="1"/>
        <v>جيد</v>
      </c>
      <c r="I36" s="51"/>
      <c r="J36" s="52"/>
    </row>
    <row r="37" spans="1:10" ht="30" customHeight="1">
      <c r="A37" s="10"/>
      <c r="B37" s="43" t="s">
        <v>209</v>
      </c>
      <c r="C37" s="44"/>
      <c r="D37" s="44"/>
      <c r="E37" s="28"/>
      <c r="F37" s="34"/>
      <c r="G37" s="35"/>
      <c r="H37" s="36"/>
      <c r="I37" s="45"/>
      <c r="J37" s="46"/>
    </row>
    <row r="38" spans="1:10" ht="30" customHeight="1">
      <c r="A38" s="10"/>
      <c r="B38" s="39" t="s">
        <v>210</v>
      </c>
      <c r="C38" s="40"/>
      <c r="D38" s="40"/>
      <c r="E38" s="9">
        <v>5</v>
      </c>
      <c r="F38" s="26">
        <v>3.75</v>
      </c>
      <c r="G38" s="32">
        <f t="shared" si="0"/>
        <v>0.75</v>
      </c>
      <c r="H38" s="33" t="str">
        <f t="shared" si="1"/>
        <v>جيد</v>
      </c>
      <c r="I38" s="53"/>
      <c r="J38" s="54"/>
    </row>
    <row r="39" spans="1:10" ht="30" customHeight="1">
      <c r="A39" s="10"/>
      <c r="B39" s="39" t="s">
        <v>211</v>
      </c>
      <c r="C39" s="40"/>
      <c r="D39" s="40"/>
      <c r="E39" s="9">
        <v>5</v>
      </c>
      <c r="F39" s="26">
        <v>3.5</v>
      </c>
      <c r="G39" s="32">
        <f t="shared" si="0"/>
        <v>0.7</v>
      </c>
      <c r="H39" s="33" t="str">
        <f t="shared" si="1"/>
        <v>جيد</v>
      </c>
      <c r="I39" s="53"/>
      <c r="J39" s="54"/>
    </row>
    <row r="40" spans="1:10" ht="30" customHeight="1">
      <c r="A40" s="10"/>
      <c r="B40" s="39" t="s">
        <v>212</v>
      </c>
      <c r="C40" s="40"/>
      <c r="D40" s="40"/>
      <c r="E40" s="9">
        <v>5</v>
      </c>
      <c r="F40" s="26">
        <v>3.75</v>
      </c>
      <c r="G40" s="32">
        <f t="shared" si="0"/>
        <v>0.75</v>
      </c>
      <c r="H40" s="33" t="str">
        <f t="shared" si="1"/>
        <v>جيد</v>
      </c>
      <c r="I40" s="53"/>
      <c r="J40" s="54"/>
    </row>
    <row r="41" spans="1:10" ht="30" customHeight="1">
      <c r="A41" s="10"/>
      <c r="B41" s="39" t="s">
        <v>213</v>
      </c>
      <c r="C41" s="40"/>
      <c r="D41" s="40"/>
      <c r="E41" s="9">
        <v>5</v>
      </c>
      <c r="F41" s="26">
        <v>3.75</v>
      </c>
      <c r="G41" s="32">
        <f t="shared" si="0"/>
        <v>0.75</v>
      </c>
      <c r="H41" s="33" t="str">
        <f t="shared" si="1"/>
        <v>جيد</v>
      </c>
      <c r="I41" s="53"/>
      <c r="J41" s="54"/>
    </row>
    <row r="42" spans="1:10" ht="30" customHeight="1">
      <c r="A42" s="10"/>
      <c r="B42" s="39" t="s">
        <v>214</v>
      </c>
      <c r="C42" s="40"/>
      <c r="D42" s="40"/>
      <c r="E42" s="9">
        <v>5</v>
      </c>
      <c r="F42" s="26">
        <v>3.5</v>
      </c>
      <c r="G42" s="32">
        <f t="shared" si="0"/>
        <v>0.7</v>
      </c>
      <c r="H42" s="33" t="str">
        <f t="shared" si="1"/>
        <v>جيد</v>
      </c>
      <c r="I42" s="53"/>
      <c r="J42" s="54"/>
    </row>
    <row r="43" spans="1:10" ht="30" customHeight="1">
      <c r="A43" s="10"/>
      <c r="B43" s="39" t="s">
        <v>215</v>
      </c>
      <c r="C43" s="40"/>
      <c r="D43" s="40"/>
      <c r="E43" s="9">
        <v>5</v>
      </c>
      <c r="F43" s="26">
        <v>3.75</v>
      </c>
      <c r="G43" s="32">
        <f t="shared" si="0"/>
        <v>0.75</v>
      </c>
      <c r="H43" s="33" t="str">
        <f t="shared" si="1"/>
        <v>جيد</v>
      </c>
      <c r="I43" s="53"/>
      <c r="J43" s="54"/>
    </row>
    <row r="44" spans="1:10" ht="30" customHeight="1">
      <c r="A44" s="10"/>
      <c r="B44" s="39" t="s">
        <v>216</v>
      </c>
      <c r="C44" s="40"/>
      <c r="D44" s="40"/>
      <c r="E44" s="9">
        <v>5</v>
      </c>
      <c r="F44" s="26">
        <v>4</v>
      </c>
      <c r="G44" s="32">
        <f t="shared" si="0"/>
        <v>0.8</v>
      </c>
      <c r="H44" s="33" t="str">
        <f t="shared" si="1"/>
        <v>جيد جداً</v>
      </c>
      <c r="I44" s="53"/>
      <c r="J44" s="54"/>
    </row>
    <row r="45" spans="1:10" ht="30" customHeight="1">
      <c r="A45" s="10"/>
      <c r="B45" s="39" t="s">
        <v>217</v>
      </c>
      <c r="C45" s="40"/>
      <c r="D45" s="40"/>
      <c r="E45" s="9">
        <v>5</v>
      </c>
      <c r="F45" s="26">
        <v>3.5</v>
      </c>
      <c r="G45" s="32">
        <f t="shared" si="0"/>
        <v>0.7</v>
      </c>
      <c r="H45" s="33" t="str">
        <f t="shared" si="1"/>
        <v>جيد</v>
      </c>
      <c r="I45" s="53"/>
      <c r="J45" s="54"/>
    </row>
    <row r="46" spans="1:10" ht="30" customHeight="1">
      <c r="A46" s="10"/>
      <c r="B46" s="39" t="s">
        <v>218</v>
      </c>
      <c r="C46" s="40"/>
      <c r="D46" s="40"/>
      <c r="E46" s="9">
        <v>5</v>
      </c>
      <c r="F46" s="26">
        <v>3.5</v>
      </c>
      <c r="G46" s="32">
        <f t="shared" si="0"/>
        <v>0.7</v>
      </c>
      <c r="H46" s="33" t="str">
        <f t="shared" si="1"/>
        <v>جيد</v>
      </c>
      <c r="I46" s="53"/>
      <c r="J46" s="54"/>
    </row>
    <row r="47" spans="1:10" ht="30" customHeight="1">
      <c r="A47" s="10"/>
      <c r="B47" s="39" t="s">
        <v>219</v>
      </c>
      <c r="C47" s="40"/>
      <c r="D47" s="40"/>
      <c r="E47" s="9">
        <v>5</v>
      </c>
      <c r="F47" s="26">
        <v>3.75</v>
      </c>
      <c r="G47" s="32">
        <f t="shared" si="0"/>
        <v>0.75</v>
      </c>
      <c r="H47" s="33" t="str">
        <f t="shared" si="1"/>
        <v>جيد</v>
      </c>
      <c r="I47" s="53"/>
      <c r="J47" s="54"/>
    </row>
    <row r="48" spans="1:10" ht="30" customHeight="1">
      <c r="A48" s="10"/>
      <c r="B48" s="39" t="s">
        <v>220</v>
      </c>
      <c r="C48" s="40"/>
      <c r="D48" s="40"/>
      <c r="E48" s="9">
        <v>5</v>
      </c>
      <c r="F48" s="26">
        <v>3.75</v>
      </c>
      <c r="G48" s="32">
        <f t="shared" si="0"/>
        <v>0.75</v>
      </c>
      <c r="H48" s="33" t="str">
        <f t="shared" si="1"/>
        <v>جيد</v>
      </c>
      <c r="I48" s="53"/>
      <c r="J48" s="54"/>
    </row>
    <row r="49" spans="1:10" ht="30" customHeight="1">
      <c r="A49" s="10"/>
      <c r="B49" s="39" t="s">
        <v>221</v>
      </c>
      <c r="C49" s="40"/>
      <c r="D49" s="40"/>
      <c r="E49" s="9">
        <v>5</v>
      </c>
      <c r="F49" s="26">
        <v>3.75</v>
      </c>
      <c r="G49" s="32">
        <f t="shared" si="0"/>
        <v>0.75</v>
      </c>
      <c r="H49" s="33" t="str">
        <f t="shared" si="1"/>
        <v>جيد</v>
      </c>
      <c r="I49" s="53"/>
      <c r="J49" s="54"/>
    </row>
    <row r="50" spans="1:10" ht="30" customHeight="1">
      <c r="A50" s="10"/>
      <c r="B50" s="39" t="s">
        <v>222</v>
      </c>
      <c r="C50" s="40"/>
      <c r="D50" s="40"/>
      <c r="E50" s="9">
        <v>5</v>
      </c>
      <c r="F50" s="26">
        <v>3.75</v>
      </c>
      <c r="G50" s="32">
        <f t="shared" si="0"/>
        <v>0.75</v>
      </c>
      <c r="H50" s="33" t="str">
        <f t="shared" si="1"/>
        <v>جيد</v>
      </c>
      <c r="I50" s="53"/>
      <c r="J50" s="54"/>
    </row>
    <row r="51" spans="1:10" ht="30" customHeight="1" thickBot="1">
      <c r="A51" s="10"/>
      <c r="B51" s="41" t="s">
        <v>223</v>
      </c>
      <c r="C51" s="42"/>
      <c r="D51" s="42"/>
      <c r="E51" s="29">
        <v>5</v>
      </c>
      <c r="F51" s="27">
        <v>3.5</v>
      </c>
      <c r="G51" s="37">
        <f t="shared" si="0"/>
        <v>0.7</v>
      </c>
      <c r="H51" s="38" t="str">
        <f t="shared" si="1"/>
        <v>جيد</v>
      </c>
      <c r="I51" s="51"/>
      <c r="J51" s="52"/>
    </row>
    <row r="52" spans="1:10" ht="30" customHeight="1">
      <c r="A52" s="10"/>
      <c r="B52" s="43" t="s">
        <v>224</v>
      </c>
      <c r="C52" s="44"/>
      <c r="D52" s="44"/>
      <c r="E52" s="28"/>
      <c r="F52" s="34"/>
      <c r="G52" s="35"/>
      <c r="H52" s="36"/>
      <c r="I52" s="45"/>
      <c r="J52" s="46"/>
    </row>
    <row r="53" spans="1:10" ht="30" customHeight="1">
      <c r="A53" s="10"/>
      <c r="B53" s="39" t="s">
        <v>225</v>
      </c>
      <c r="C53" s="40"/>
      <c r="D53" s="40"/>
      <c r="E53" s="9">
        <v>5</v>
      </c>
      <c r="F53" s="26">
        <v>3.75</v>
      </c>
      <c r="G53" s="32">
        <f t="shared" si="0"/>
        <v>0.75</v>
      </c>
      <c r="H53" s="33" t="str">
        <f t="shared" si="1"/>
        <v>جيد</v>
      </c>
      <c r="I53" s="53"/>
      <c r="J53" s="54"/>
    </row>
    <row r="54" spans="1:10" ht="30" customHeight="1">
      <c r="A54" s="10"/>
      <c r="B54" s="39" t="s">
        <v>226</v>
      </c>
      <c r="C54" s="40"/>
      <c r="D54" s="40"/>
      <c r="E54" s="9">
        <v>5</v>
      </c>
      <c r="F54" s="26">
        <v>3.75</v>
      </c>
      <c r="G54" s="32">
        <f t="shared" si="0"/>
        <v>0.75</v>
      </c>
      <c r="H54" s="33" t="str">
        <f t="shared" si="1"/>
        <v>جيد</v>
      </c>
      <c r="I54" s="53"/>
      <c r="J54" s="54"/>
    </row>
    <row r="55" spans="1:10" ht="30" customHeight="1">
      <c r="A55" s="10"/>
      <c r="B55" s="39" t="s">
        <v>227</v>
      </c>
      <c r="C55" s="40"/>
      <c r="D55" s="40"/>
      <c r="E55" s="9">
        <v>5</v>
      </c>
      <c r="F55" s="26">
        <v>3.75</v>
      </c>
      <c r="G55" s="32">
        <f t="shared" si="0"/>
        <v>0.75</v>
      </c>
      <c r="H55" s="33" t="str">
        <f t="shared" si="1"/>
        <v>جيد</v>
      </c>
      <c r="I55" s="53"/>
      <c r="J55" s="54"/>
    </row>
    <row r="56" spans="1:10" ht="30" customHeight="1">
      <c r="A56" s="10"/>
      <c r="B56" s="39" t="s">
        <v>228</v>
      </c>
      <c r="C56" s="40"/>
      <c r="D56" s="40"/>
      <c r="E56" s="9">
        <v>5</v>
      </c>
      <c r="F56" s="26">
        <v>3.5</v>
      </c>
      <c r="G56" s="32">
        <f t="shared" si="0"/>
        <v>0.7</v>
      </c>
      <c r="H56" s="33" t="str">
        <f t="shared" si="1"/>
        <v>جيد</v>
      </c>
      <c r="I56" s="53"/>
      <c r="J56" s="54"/>
    </row>
    <row r="57" spans="1:10" ht="30" customHeight="1">
      <c r="A57" s="10"/>
      <c r="B57" s="39" t="s">
        <v>229</v>
      </c>
      <c r="C57" s="40"/>
      <c r="D57" s="40"/>
      <c r="E57" s="9">
        <v>5</v>
      </c>
      <c r="F57" s="26">
        <v>3.75</v>
      </c>
      <c r="G57" s="32">
        <f t="shared" si="0"/>
        <v>0.75</v>
      </c>
      <c r="H57" s="33" t="str">
        <f t="shared" si="1"/>
        <v>جيد</v>
      </c>
      <c r="I57" s="53"/>
      <c r="J57" s="54"/>
    </row>
    <row r="58" spans="1:10" ht="30" customHeight="1">
      <c r="A58" s="10"/>
      <c r="B58" s="39" t="s">
        <v>230</v>
      </c>
      <c r="C58" s="40"/>
      <c r="D58" s="40"/>
      <c r="E58" s="9">
        <v>5</v>
      </c>
      <c r="F58" s="26">
        <v>3.75</v>
      </c>
      <c r="G58" s="32">
        <f t="shared" si="0"/>
        <v>0.75</v>
      </c>
      <c r="H58" s="33" t="str">
        <f t="shared" si="1"/>
        <v>جيد</v>
      </c>
      <c r="I58" s="53"/>
      <c r="J58" s="54"/>
    </row>
    <row r="59" spans="1:10" ht="30" customHeight="1">
      <c r="A59" s="10"/>
      <c r="B59" s="39" t="s">
        <v>231</v>
      </c>
      <c r="C59" s="40"/>
      <c r="D59" s="40"/>
      <c r="E59" s="9">
        <v>5</v>
      </c>
      <c r="F59" s="26">
        <v>3.75</v>
      </c>
      <c r="G59" s="32">
        <f t="shared" si="0"/>
        <v>0.75</v>
      </c>
      <c r="H59" s="33" t="str">
        <f t="shared" si="1"/>
        <v>جيد</v>
      </c>
      <c r="I59" s="53"/>
      <c r="J59" s="54"/>
    </row>
    <row r="60" spans="1:10" ht="30" customHeight="1">
      <c r="A60" s="10"/>
      <c r="B60" s="39" t="s">
        <v>232</v>
      </c>
      <c r="C60" s="40"/>
      <c r="D60" s="40"/>
      <c r="E60" s="9">
        <v>5</v>
      </c>
      <c r="F60" s="26">
        <v>3.75</v>
      </c>
      <c r="G60" s="32">
        <f t="shared" si="0"/>
        <v>0.75</v>
      </c>
      <c r="H60" s="33" t="str">
        <f t="shared" si="1"/>
        <v>جيد</v>
      </c>
      <c r="I60" s="53"/>
      <c r="J60" s="54"/>
    </row>
    <row r="61" spans="1:10" ht="30" customHeight="1">
      <c r="A61" s="10"/>
      <c r="B61" s="39" t="s">
        <v>233</v>
      </c>
      <c r="C61" s="40"/>
      <c r="D61" s="40"/>
      <c r="E61" s="9">
        <v>5</v>
      </c>
      <c r="F61" s="26">
        <v>3.75</v>
      </c>
      <c r="G61" s="32">
        <f t="shared" si="0"/>
        <v>0.75</v>
      </c>
      <c r="H61" s="33" t="str">
        <f t="shared" si="1"/>
        <v>جيد</v>
      </c>
      <c r="I61" s="53"/>
      <c r="J61" s="54"/>
    </row>
    <row r="62" spans="1:10" ht="30" customHeight="1" thickBot="1">
      <c r="A62" s="10"/>
      <c r="B62" s="41" t="s">
        <v>234</v>
      </c>
      <c r="C62" s="42"/>
      <c r="D62" s="42"/>
      <c r="E62" s="29">
        <v>5</v>
      </c>
      <c r="F62" s="27">
        <v>3.75</v>
      </c>
      <c r="G62" s="37">
        <f t="shared" si="0"/>
        <v>0.75</v>
      </c>
      <c r="H62" s="38" t="str">
        <f t="shared" si="1"/>
        <v>جيد</v>
      </c>
      <c r="I62" s="51"/>
      <c r="J62" s="52"/>
    </row>
    <row r="63" spans="1:10" ht="30" customHeight="1">
      <c r="A63" s="10"/>
      <c r="B63" s="43" t="s">
        <v>235</v>
      </c>
      <c r="C63" s="44"/>
      <c r="D63" s="44"/>
      <c r="E63" s="28"/>
      <c r="F63" s="34"/>
      <c r="G63" s="35"/>
      <c r="H63" s="36"/>
      <c r="I63" s="45"/>
      <c r="J63" s="46"/>
    </row>
    <row r="64" spans="1:10" ht="30" customHeight="1">
      <c r="A64" s="10"/>
      <c r="B64" s="39" t="s">
        <v>236</v>
      </c>
      <c r="C64" s="40"/>
      <c r="D64" s="40"/>
      <c r="E64" s="9">
        <v>5</v>
      </c>
      <c r="F64" s="26">
        <v>3.75</v>
      </c>
      <c r="G64" s="32">
        <f t="shared" si="0"/>
        <v>0.75</v>
      </c>
      <c r="H64" s="33" t="str">
        <f t="shared" si="1"/>
        <v>جيد</v>
      </c>
      <c r="I64" s="53"/>
      <c r="J64" s="54"/>
    </row>
    <row r="65" spans="1:10" ht="30" customHeight="1">
      <c r="A65" s="10"/>
      <c r="B65" s="39" t="s">
        <v>237</v>
      </c>
      <c r="C65" s="40"/>
      <c r="D65" s="40"/>
      <c r="E65" s="9">
        <v>5</v>
      </c>
      <c r="F65" s="26">
        <v>3.75</v>
      </c>
      <c r="G65" s="32">
        <f t="shared" si="0"/>
        <v>0.75</v>
      </c>
      <c r="H65" s="33" t="str">
        <f t="shared" si="1"/>
        <v>جيد</v>
      </c>
      <c r="I65" s="53"/>
      <c r="J65" s="54"/>
    </row>
    <row r="66" spans="1:10" ht="30" customHeight="1">
      <c r="A66" s="10"/>
      <c r="B66" s="39" t="s">
        <v>238</v>
      </c>
      <c r="C66" s="40"/>
      <c r="D66" s="40"/>
      <c r="E66" s="9">
        <v>5</v>
      </c>
      <c r="F66" s="26">
        <v>3.75</v>
      </c>
      <c r="G66" s="32">
        <f t="shared" si="0"/>
        <v>0.75</v>
      </c>
      <c r="H66" s="33" t="str">
        <f t="shared" si="1"/>
        <v>جيد</v>
      </c>
      <c r="I66" s="53"/>
      <c r="J66" s="54"/>
    </row>
    <row r="67" spans="1:10" ht="30" customHeight="1">
      <c r="A67" s="10"/>
      <c r="B67" s="39" t="s">
        <v>239</v>
      </c>
      <c r="C67" s="40"/>
      <c r="D67" s="40"/>
      <c r="E67" s="9">
        <v>5</v>
      </c>
      <c r="F67" s="26">
        <v>3.75</v>
      </c>
      <c r="G67" s="32">
        <f t="shared" si="0"/>
        <v>0.75</v>
      </c>
      <c r="H67" s="33" t="str">
        <f t="shared" si="1"/>
        <v>جيد</v>
      </c>
      <c r="I67" s="53"/>
      <c r="J67" s="54"/>
    </row>
    <row r="68" spans="1:10" ht="30" customHeight="1">
      <c r="A68" s="10"/>
      <c r="B68" s="39" t="s">
        <v>240</v>
      </c>
      <c r="C68" s="40"/>
      <c r="D68" s="40"/>
      <c r="E68" s="9">
        <v>5</v>
      </c>
      <c r="F68" s="26">
        <v>3.75</v>
      </c>
      <c r="G68" s="32">
        <f t="shared" si="0"/>
        <v>0.75</v>
      </c>
      <c r="H68" s="33" t="str">
        <f t="shared" si="1"/>
        <v>جيد</v>
      </c>
      <c r="I68" s="53"/>
      <c r="J68" s="54"/>
    </row>
    <row r="69" spans="1:10" ht="30" customHeight="1">
      <c r="A69" s="10"/>
      <c r="B69" s="39" t="s">
        <v>241</v>
      </c>
      <c r="C69" s="40"/>
      <c r="D69" s="40"/>
      <c r="E69" s="9">
        <v>5</v>
      </c>
      <c r="F69" s="26">
        <v>3.75</v>
      </c>
      <c r="G69" s="32">
        <f t="shared" si="0"/>
        <v>0.75</v>
      </c>
      <c r="H69" s="33" t="str">
        <f t="shared" si="1"/>
        <v>جيد</v>
      </c>
      <c r="I69" s="53"/>
      <c r="J69" s="54"/>
    </row>
    <row r="70" spans="1:10" ht="30" customHeight="1">
      <c r="A70" s="10"/>
      <c r="B70" s="39" t="s">
        <v>242</v>
      </c>
      <c r="C70" s="40"/>
      <c r="D70" s="40"/>
      <c r="E70" s="9">
        <v>5</v>
      </c>
      <c r="F70" s="26">
        <v>3.75</v>
      </c>
      <c r="G70" s="32">
        <f t="shared" si="0"/>
        <v>0.75</v>
      </c>
      <c r="H70" s="33" t="str">
        <f t="shared" si="1"/>
        <v>جيد</v>
      </c>
      <c r="I70" s="53"/>
      <c r="J70" s="54"/>
    </row>
    <row r="71" spans="1:10" ht="30" customHeight="1">
      <c r="A71" s="10"/>
      <c r="B71" s="39" t="s">
        <v>243</v>
      </c>
      <c r="C71" s="40"/>
      <c r="D71" s="40"/>
      <c r="E71" s="9">
        <v>5</v>
      </c>
      <c r="F71" s="26">
        <v>3.75</v>
      </c>
      <c r="G71" s="32">
        <f t="shared" si="0"/>
        <v>0.75</v>
      </c>
      <c r="H71" s="33" t="str">
        <f t="shared" si="1"/>
        <v>جيد</v>
      </c>
      <c r="I71" s="53"/>
      <c r="J71" s="54"/>
    </row>
    <row r="72" spans="1:10" ht="30" customHeight="1">
      <c r="A72" s="10"/>
      <c r="B72" s="39" t="s">
        <v>244</v>
      </c>
      <c r="C72" s="40"/>
      <c r="D72" s="40"/>
      <c r="E72" s="9">
        <v>5</v>
      </c>
      <c r="F72" s="26">
        <v>3.75</v>
      </c>
      <c r="G72" s="32">
        <f t="shared" si="0"/>
        <v>0.75</v>
      </c>
      <c r="H72" s="33" t="str">
        <f t="shared" si="1"/>
        <v>جيد</v>
      </c>
      <c r="I72" s="53"/>
      <c r="J72" s="54"/>
    </row>
    <row r="73" spans="1:10" ht="30" customHeight="1">
      <c r="A73" s="10"/>
      <c r="B73" s="39" t="s">
        <v>245</v>
      </c>
      <c r="C73" s="40"/>
      <c r="D73" s="40"/>
      <c r="E73" s="9">
        <v>5</v>
      </c>
      <c r="F73" s="26">
        <v>3.75</v>
      </c>
      <c r="G73" s="32">
        <f t="shared" si="0"/>
        <v>0.75</v>
      </c>
      <c r="H73" s="33" t="str">
        <f t="shared" si="1"/>
        <v>جيد</v>
      </c>
      <c r="I73" s="53"/>
      <c r="J73" s="54"/>
    </row>
    <row r="74" spans="1:10" ht="30" customHeight="1">
      <c r="A74" s="10"/>
      <c r="B74" s="39" t="s">
        <v>246</v>
      </c>
      <c r="C74" s="40"/>
      <c r="D74" s="40"/>
      <c r="E74" s="9">
        <v>5</v>
      </c>
      <c r="F74" s="26">
        <v>3.75</v>
      </c>
      <c r="G74" s="32">
        <f t="shared" ref="G74:G96" si="2">IFERROR(F74/E74,"")</f>
        <v>0.75</v>
      </c>
      <c r="H74" s="33" t="str">
        <f t="shared" ref="H74:H96" si="3">_xlfn.IFS(F74="أدخل العلامة","",F74="لا ينطبق","تم الإلغاء",G74&gt;=90%,"ممتاز",G74&gt;=80%,"جيد جداً",G74&gt;=70%,"جيد",G74&gt;=60%,"مقبول",G74&lt;60%,"راسب")</f>
        <v>جيد</v>
      </c>
      <c r="I74" s="53"/>
      <c r="J74" s="54"/>
    </row>
    <row r="75" spans="1:10" ht="30" customHeight="1">
      <c r="A75" s="10"/>
      <c r="B75" s="39" t="s">
        <v>247</v>
      </c>
      <c r="C75" s="40"/>
      <c r="D75" s="40"/>
      <c r="E75" s="9">
        <v>5</v>
      </c>
      <c r="F75" s="26">
        <v>3.75</v>
      </c>
      <c r="G75" s="32">
        <f t="shared" si="2"/>
        <v>0.75</v>
      </c>
      <c r="H75" s="33" t="str">
        <f t="shared" si="3"/>
        <v>جيد</v>
      </c>
      <c r="I75" s="53"/>
      <c r="J75" s="54"/>
    </row>
    <row r="76" spans="1:10" ht="30" customHeight="1">
      <c r="A76" s="10"/>
      <c r="B76" s="39" t="s">
        <v>248</v>
      </c>
      <c r="C76" s="40"/>
      <c r="D76" s="40"/>
      <c r="E76" s="9">
        <v>5</v>
      </c>
      <c r="F76" s="26">
        <v>3.75</v>
      </c>
      <c r="G76" s="32">
        <f t="shared" si="2"/>
        <v>0.75</v>
      </c>
      <c r="H76" s="33" t="str">
        <f t="shared" si="3"/>
        <v>جيد</v>
      </c>
      <c r="I76" s="53"/>
      <c r="J76" s="54"/>
    </row>
    <row r="77" spans="1:10" ht="30" customHeight="1" thickBot="1">
      <c r="A77" s="10"/>
      <c r="B77" s="41" t="s">
        <v>249</v>
      </c>
      <c r="C77" s="42"/>
      <c r="D77" s="42"/>
      <c r="E77" s="29">
        <v>5</v>
      </c>
      <c r="F77" s="27">
        <v>3.75</v>
      </c>
      <c r="G77" s="37">
        <f t="shared" si="2"/>
        <v>0.75</v>
      </c>
      <c r="H77" s="38" t="str">
        <f t="shared" si="3"/>
        <v>جيد</v>
      </c>
      <c r="I77" s="51"/>
      <c r="J77" s="52"/>
    </row>
    <row r="78" spans="1:10" ht="30" customHeight="1">
      <c r="A78" s="10"/>
      <c r="B78" s="43" t="s">
        <v>250</v>
      </c>
      <c r="C78" s="44"/>
      <c r="D78" s="44"/>
      <c r="E78" s="28"/>
      <c r="F78" s="34"/>
      <c r="G78" s="35"/>
      <c r="H78" s="36"/>
      <c r="I78" s="45"/>
      <c r="J78" s="46"/>
    </row>
    <row r="79" spans="1:10" ht="30" customHeight="1">
      <c r="A79" s="10"/>
      <c r="B79" s="39" t="s">
        <v>251</v>
      </c>
      <c r="C79" s="40"/>
      <c r="D79" s="40"/>
      <c r="E79" s="9">
        <v>5</v>
      </c>
      <c r="F79" s="26">
        <v>3.75</v>
      </c>
      <c r="G79" s="32">
        <f t="shared" si="2"/>
        <v>0.75</v>
      </c>
      <c r="H79" s="33" t="str">
        <f t="shared" si="3"/>
        <v>جيد</v>
      </c>
      <c r="I79" s="53"/>
      <c r="J79" s="54"/>
    </row>
    <row r="80" spans="1:10" ht="30" customHeight="1">
      <c r="A80" s="10"/>
      <c r="B80" s="39" t="s">
        <v>252</v>
      </c>
      <c r="C80" s="40"/>
      <c r="D80" s="40"/>
      <c r="E80" s="9">
        <v>5</v>
      </c>
      <c r="F80" s="26">
        <v>3.75</v>
      </c>
      <c r="G80" s="32">
        <f t="shared" si="2"/>
        <v>0.75</v>
      </c>
      <c r="H80" s="33" t="str">
        <f t="shared" si="3"/>
        <v>جيد</v>
      </c>
      <c r="I80" s="53"/>
      <c r="J80" s="54"/>
    </row>
    <row r="81" spans="1:10" ht="30" customHeight="1">
      <c r="A81" s="10"/>
      <c r="B81" s="39" t="s">
        <v>253</v>
      </c>
      <c r="C81" s="40"/>
      <c r="D81" s="40"/>
      <c r="E81" s="9">
        <v>5</v>
      </c>
      <c r="F81" s="26">
        <v>3.75</v>
      </c>
      <c r="G81" s="32">
        <f t="shared" si="2"/>
        <v>0.75</v>
      </c>
      <c r="H81" s="33" t="str">
        <f t="shared" si="3"/>
        <v>جيد</v>
      </c>
      <c r="I81" s="53"/>
      <c r="J81" s="54"/>
    </row>
    <row r="82" spans="1:10" ht="30" customHeight="1">
      <c r="A82" s="10"/>
      <c r="B82" s="39" t="s">
        <v>254</v>
      </c>
      <c r="C82" s="40"/>
      <c r="D82" s="40"/>
      <c r="E82" s="9">
        <v>5</v>
      </c>
      <c r="F82" s="26">
        <v>3.75</v>
      </c>
      <c r="G82" s="32">
        <f t="shared" si="2"/>
        <v>0.75</v>
      </c>
      <c r="H82" s="33" t="str">
        <f t="shared" si="3"/>
        <v>جيد</v>
      </c>
      <c r="I82" s="53"/>
      <c r="J82" s="54"/>
    </row>
    <row r="83" spans="1:10" ht="30" customHeight="1">
      <c r="A83" s="10"/>
      <c r="B83" s="39" t="s">
        <v>255</v>
      </c>
      <c r="C83" s="40"/>
      <c r="D83" s="40"/>
      <c r="E83" s="9">
        <v>5</v>
      </c>
      <c r="F83" s="26">
        <v>3.75</v>
      </c>
      <c r="G83" s="32">
        <f t="shared" si="2"/>
        <v>0.75</v>
      </c>
      <c r="H83" s="33" t="str">
        <f t="shared" si="3"/>
        <v>جيد</v>
      </c>
      <c r="I83" s="53"/>
      <c r="J83" s="54"/>
    </row>
    <row r="84" spans="1:10" ht="30" customHeight="1" thickBot="1">
      <c r="A84" s="10"/>
      <c r="B84" s="41" t="s">
        <v>256</v>
      </c>
      <c r="C84" s="42"/>
      <c r="D84" s="42"/>
      <c r="E84" s="29">
        <v>5</v>
      </c>
      <c r="F84" s="27">
        <v>3.75</v>
      </c>
      <c r="G84" s="37">
        <f t="shared" si="2"/>
        <v>0.75</v>
      </c>
      <c r="H84" s="38" t="str">
        <f t="shared" si="3"/>
        <v>جيد</v>
      </c>
      <c r="I84" s="51"/>
      <c r="J84" s="52"/>
    </row>
    <row r="85" spans="1:10" ht="30" customHeight="1">
      <c r="A85" s="10"/>
      <c r="B85" s="43" t="s">
        <v>257</v>
      </c>
      <c r="C85" s="44"/>
      <c r="D85" s="44"/>
      <c r="E85" s="28"/>
      <c r="F85" s="34"/>
      <c r="G85" s="35"/>
      <c r="H85" s="36"/>
      <c r="I85" s="45"/>
      <c r="J85" s="46"/>
    </row>
    <row r="86" spans="1:10" ht="30" customHeight="1">
      <c r="A86" s="10"/>
      <c r="B86" s="39" t="s">
        <v>258</v>
      </c>
      <c r="C86" s="40"/>
      <c r="D86" s="40"/>
      <c r="E86" s="9">
        <v>5</v>
      </c>
      <c r="F86" s="26">
        <v>3.75</v>
      </c>
      <c r="G86" s="32">
        <f t="shared" si="2"/>
        <v>0.75</v>
      </c>
      <c r="H86" s="33" t="str">
        <f t="shared" si="3"/>
        <v>جيد</v>
      </c>
      <c r="I86" s="53"/>
      <c r="J86" s="54"/>
    </row>
    <row r="87" spans="1:10" ht="30" customHeight="1">
      <c r="A87" s="10"/>
      <c r="B87" s="39" t="s">
        <v>259</v>
      </c>
      <c r="C87" s="40"/>
      <c r="D87" s="40"/>
      <c r="E87" s="9">
        <v>5</v>
      </c>
      <c r="F87" s="26">
        <v>3.75</v>
      </c>
      <c r="G87" s="32">
        <f t="shared" si="2"/>
        <v>0.75</v>
      </c>
      <c r="H87" s="33" t="str">
        <f t="shared" si="3"/>
        <v>جيد</v>
      </c>
      <c r="I87" s="53"/>
      <c r="J87" s="54"/>
    </row>
    <row r="88" spans="1:10" ht="30" customHeight="1">
      <c r="A88" s="10"/>
      <c r="B88" s="39" t="s">
        <v>260</v>
      </c>
      <c r="C88" s="40"/>
      <c r="D88" s="40"/>
      <c r="E88" s="9">
        <v>5</v>
      </c>
      <c r="F88" s="26">
        <v>3.5</v>
      </c>
      <c r="G88" s="32">
        <f t="shared" si="2"/>
        <v>0.7</v>
      </c>
      <c r="H88" s="33" t="str">
        <f t="shared" si="3"/>
        <v>جيد</v>
      </c>
      <c r="I88" s="53"/>
      <c r="J88" s="54"/>
    </row>
    <row r="89" spans="1:10" ht="30" customHeight="1">
      <c r="A89" s="10"/>
      <c r="B89" s="39" t="s">
        <v>261</v>
      </c>
      <c r="C89" s="40"/>
      <c r="D89" s="40"/>
      <c r="E89" s="9">
        <v>5</v>
      </c>
      <c r="F89" s="26">
        <v>3.75</v>
      </c>
      <c r="G89" s="32">
        <f t="shared" si="2"/>
        <v>0.75</v>
      </c>
      <c r="H89" s="33" t="str">
        <f t="shared" si="3"/>
        <v>جيد</v>
      </c>
      <c r="I89" s="53"/>
      <c r="J89" s="54"/>
    </row>
    <row r="90" spans="1:10" ht="30" customHeight="1">
      <c r="A90" s="10"/>
      <c r="B90" s="39" t="s">
        <v>262</v>
      </c>
      <c r="C90" s="40"/>
      <c r="D90" s="40"/>
      <c r="E90" s="9">
        <v>5</v>
      </c>
      <c r="F90" s="26">
        <v>3.75</v>
      </c>
      <c r="G90" s="32">
        <f t="shared" si="2"/>
        <v>0.75</v>
      </c>
      <c r="H90" s="33" t="str">
        <f t="shared" si="3"/>
        <v>جيد</v>
      </c>
      <c r="I90" s="53"/>
      <c r="J90" s="54"/>
    </row>
    <row r="91" spans="1:10" ht="30" customHeight="1">
      <c r="A91" s="10"/>
      <c r="B91" s="39" t="s">
        <v>263</v>
      </c>
      <c r="C91" s="40"/>
      <c r="D91" s="40"/>
      <c r="E91" s="9">
        <v>5</v>
      </c>
      <c r="F91" s="26">
        <v>3.75</v>
      </c>
      <c r="G91" s="32">
        <f t="shared" si="2"/>
        <v>0.75</v>
      </c>
      <c r="H91" s="33" t="str">
        <f t="shared" si="3"/>
        <v>جيد</v>
      </c>
      <c r="I91" s="53"/>
      <c r="J91" s="54"/>
    </row>
    <row r="92" spans="1:10" ht="30" customHeight="1">
      <c r="A92" s="10"/>
      <c r="B92" s="39" t="s">
        <v>264</v>
      </c>
      <c r="C92" s="40"/>
      <c r="D92" s="40"/>
      <c r="E92" s="9">
        <v>5</v>
      </c>
      <c r="F92" s="26">
        <v>3.75</v>
      </c>
      <c r="G92" s="32">
        <f t="shared" si="2"/>
        <v>0.75</v>
      </c>
      <c r="H92" s="33" t="str">
        <f t="shared" si="3"/>
        <v>جيد</v>
      </c>
      <c r="I92" s="53"/>
      <c r="J92" s="54"/>
    </row>
    <row r="93" spans="1:10" ht="30" customHeight="1">
      <c r="A93" s="10"/>
      <c r="B93" s="39" t="s">
        <v>265</v>
      </c>
      <c r="C93" s="40"/>
      <c r="D93" s="40"/>
      <c r="E93" s="9">
        <v>5</v>
      </c>
      <c r="F93" s="26">
        <v>3.75</v>
      </c>
      <c r="G93" s="32">
        <f t="shared" si="2"/>
        <v>0.75</v>
      </c>
      <c r="H93" s="33" t="str">
        <f t="shared" si="3"/>
        <v>جيد</v>
      </c>
      <c r="I93" s="53"/>
      <c r="J93" s="54"/>
    </row>
    <row r="94" spans="1:10" ht="30" customHeight="1">
      <c r="A94" s="10"/>
      <c r="B94" s="39" t="s">
        <v>266</v>
      </c>
      <c r="C94" s="40"/>
      <c r="D94" s="40"/>
      <c r="E94" s="9">
        <v>5</v>
      </c>
      <c r="F94" s="26">
        <v>3.75</v>
      </c>
      <c r="G94" s="32">
        <f t="shared" si="2"/>
        <v>0.75</v>
      </c>
      <c r="H94" s="33" t="str">
        <f t="shared" si="3"/>
        <v>جيد</v>
      </c>
      <c r="I94" s="53"/>
      <c r="J94" s="54"/>
    </row>
    <row r="95" spans="1:10" ht="30" customHeight="1">
      <c r="A95" s="10"/>
      <c r="B95" s="39" t="s">
        <v>267</v>
      </c>
      <c r="C95" s="40"/>
      <c r="D95" s="40"/>
      <c r="E95" s="9">
        <v>5</v>
      </c>
      <c r="F95" s="26">
        <v>3.75</v>
      </c>
      <c r="G95" s="32">
        <f t="shared" si="2"/>
        <v>0.75</v>
      </c>
      <c r="H95" s="33" t="str">
        <f t="shared" si="3"/>
        <v>جيد</v>
      </c>
      <c r="I95" s="53"/>
      <c r="J95" s="54"/>
    </row>
    <row r="96" spans="1:10" ht="30" customHeight="1" thickBot="1">
      <c r="A96" s="10"/>
      <c r="B96" s="41" t="s">
        <v>268</v>
      </c>
      <c r="C96" s="42"/>
      <c r="D96" s="42"/>
      <c r="E96" s="29">
        <v>5</v>
      </c>
      <c r="F96" s="27">
        <v>3.75</v>
      </c>
      <c r="G96" s="37">
        <f t="shared" si="2"/>
        <v>0.75</v>
      </c>
      <c r="H96" s="38" t="str">
        <f t="shared" si="3"/>
        <v>جيد</v>
      </c>
      <c r="I96" s="51"/>
      <c r="J96" s="52"/>
    </row>
    <row r="97" spans="1:10" ht="30" customHeight="1" thickBot="1">
      <c r="A97" s="4"/>
      <c r="B97" s="47" t="s">
        <v>5</v>
      </c>
      <c r="C97" s="48"/>
      <c r="D97" s="48"/>
      <c r="E97" s="31">
        <f>SUM(E8:E96)</f>
        <v>400</v>
      </c>
      <c r="F97" s="31">
        <f>SUM(F8:F96)</f>
        <v>296.25</v>
      </c>
      <c r="G97" s="80"/>
      <c r="H97" s="81"/>
      <c r="I97" s="81"/>
      <c r="J97" s="82"/>
    </row>
    <row r="98" spans="1:10" ht="30" customHeight="1" thickBot="1">
      <c r="A98" s="4"/>
      <c r="B98" s="49" t="s">
        <v>54</v>
      </c>
      <c r="C98" s="50"/>
      <c r="D98" s="50"/>
      <c r="E98" s="68">
        <f>F97/E97/100*100</f>
        <v>0.74062499999999998</v>
      </c>
      <c r="F98" s="68"/>
      <c r="G98" s="68"/>
      <c r="H98" s="68"/>
      <c r="I98" s="68"/>
      <c r="J98" s="69"/>
    </row>
    <row r="99" spans="1:10" ht="30" customHeight="1" thickBot="1">
      <c r="A99" s="4"/>
      <c r="B99" s="49" t="s">
        <v>55</v>
      </c>
      <c r="C99" s="50"/>
      <c r="D99" s="50"/>
      <c r="E99" s="59" t="str">
        <f>_xlfn.IFS(E98&gt;=90%,"ممتاز",E98&gt;=80%,"جيد جداً",E98&gt;=70%,"جيد",E98&gt;=60%,"مقبول",E98&lt;60%,"راسب")</f>
        <v>جيد</v>
      </c>
      <c r="F99" s="59"/>
      <c r="G99" s="59"/>
      <c r="H99" s="59"/>
      <c r="I99" s="59"/>
      <c r="J99" s="60"/>
    </row>
    <row r="100" spans="1:10" ht="42" customHeight="1">
      <c r="B100" s="55" t="s">
        <v>174</v>
      </c>
      <c r="C100" s="55"/>
      <c r="D100" s="55"/>
      <c r="E100" s="78" t="s">
        <v>52</v>
      </c>
      <c r="F100" s="78"/>
      <c r="G100" s="57" t="s">
        <v>138</v>
      </c>
      <c r="H100" s="57"/>
      <c r="I100" s="57"/>
      <c r="J100" s="57"/>
    </row>
    <row r="101" spans="1:10" ht="51" customHeight="1">
      <c r="A101" s="5"/>
      <c r="B101" s="56"/>
      <c r="C101" s="56"/>
      <c r="D101" s="56"/>
      <c r="E101" s="79" t="s">
        <v>53</v>
      </c>
      <c r="F101" s="79"/>
      <c r="G101" s="58"/>
      <c r="H101" s="58"/>
      <c r="I101" s="58"/>
      <c r="J101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9">
    <mergeCell ref="I9:J9"/>
    <mergeCell ref="I69:J69"/>
    <mergeCell ref="I70:J70"/>
    <mergeCell ref="I71:J71"/>
    <mergeCell ref="E100:F100"/>
    <mergeCell ref="E101:F101"/>
    <mergeCell ref="G97:J97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B1:J1"/>
    <mergeCell ref="F2:J2"/>
    <mergeCell ref="B5:D6"/>
    <mergeCell ref="C2:D2"/>
    <mergeCell ref="C3:D3"/>
    <mergeCell ref="F3:J3"/>
    <mergeCell ref="E98:J98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100:D101"/>
    <mergeCell ref="G100:J100"/>
    <mergeCell ref="G101:J101"/>
    <mergeCell ref="E99:J99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8:J8"/>
    <mergeCell ref="B97:D97"/>
    <mergeCell ref="B98:D98"/>
    <mergeCell ref="B99:D9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94:D94"/>
    <mergeCell ref="B95:D95"/>
    <mergeCell ref="B96:D96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9">
    <cfRule type="expression" dxfId="14" priority="57">
      <formula>$E99="راسب"</formula>
    </cfRule>
  </conditionalFormatting>
  <conditionalFormatting sqref="E99:J99">
    <cfRule type="expression" dxfId="13" priority="60">
      <formula>$E99="جيد جداً"</formula>
    </cfRule>
    <cfRule type="expression" dxfId="12" priority="59">
      <formula>$E99="جيد"</formula>
    </cfRule>
    <cfRule type="expression" dxfId="11" priority="58">
      <formula>$E99="مقبول"</formula>
    </cfRule>
    <cfRule type="expression" dxfId="10" priority="61">
      <formula>$E99="ممتاز"</formula>
    </cfRule>
  </conditionalFormatting>
  <conditionalFormatting sqref="F8:F9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00:J100">
    <cfRule type="containsText" dxfId="6" priority="15" operator="containsText" text="أدخل اسم المحكم">
      <formula>NOT(ISERROR(SEARCH("أدخل اسم المحكم",G100)))</formula>
    </cfRule>
  </conditionalFormatting>
  <conditionalFormatting sqref="H8:H96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&amp;C&amp;"-,Bold"&amp;P&amp;"-,Regular"&amp;"-,Bold"&amp;Uسري للغاية</oddFooter>
  </headerFooter>
  <drawing r:id="rId2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F86:F96 F79:F84 F64:F77 F53:F62 F38:F51 F34:F36 F26:F32 F13:F24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G100:J100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2025-09-30T06:34:29Z</dcterms:modified>
</cp:coreProperties>
</file>