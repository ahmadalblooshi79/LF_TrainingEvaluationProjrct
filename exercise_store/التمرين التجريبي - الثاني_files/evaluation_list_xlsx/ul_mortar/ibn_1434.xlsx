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E762D4B6-2C92-4895-827C-C7F2F6FC8B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7" i="2"/>
  <c r="H77" i="2"/>
  <c r="G78" i="2"/>
  <c r="H78" i="2"/>
  <c r="G79" i="2"/>
  <c r="H79" i="2"/>
  <c r="G80" i="2"/>
  <c r="H80" i="2"/>
  <c r="G81" i="2"/>
  <c r="H81" i="2"/>
  <c r="G82" i="2"/>
  <c r="H82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8" i="2"/>
  <c r="H8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<sst xmlns="http://schemas.openxmlformats.org/spreadsheetml/2006/main" count="325" uniqueCount="269">
  <si>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</si>
  <si>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</si>
  <si>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</si>
  <si>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</si>
  <si>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</si>
  <si>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</si>
  <si>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</si>
  <si>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</si>
  <si>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</si>
  <si>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</si>
  <si>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</si>
  <si>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</si>
  <si>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</si>
  <si>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</si>
  <si>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</si>
  <si>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</si>
  <si>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</si>
  <si>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</si>
  <si>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</si>
  <si>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</si>
  <si>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</si>
  <si>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</si>
  <si>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</si>
  <si>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</si>
  <si>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</si>
  <si>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</si>
  <si>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</si>
  <si>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</si>
  <si>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</si>
  <si>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</si>
  <si>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</si>
  <si>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</si>
  <si>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</si>
  <si>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</si>
  <si>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</si>
  <si>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</si>
  <si>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</si>
  <si>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</si>
  <si>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</si>
  <si>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</si>
  <si>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</si>
  <si>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</si>
  <si>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</si>
  <si>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</si>
  <si>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</si>
  <si>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</si>
  <si>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</si>
  <si>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</si>
  <si>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</si>
  <si>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</si>
  <si>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</si>
  <si>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</si>
  <si>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</si>
  <si>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</si>
  <si>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</si>
  <si>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</si>
  <si>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</si>
  <si>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</si>
  <si>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</si>
  <si>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</si>
  <si>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</si>
  <si>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</si>
  <si>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</si>
  <si>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</si>
  <si>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</si>
  <si>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</si>
  <si>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</si>
  <si>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</si>
  <si>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</si>
  <si>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</si>
  <si>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</si>
  <si>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</si>
  <si>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</si>
  <si>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</si>
  <si>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</si>
  <si>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</si>
  <si>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</si>
  <si>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</si>
  <si>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</si>
  <si>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</si>
  <si>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</si>
  <si>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</si>
  <si>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</si>
  <si>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</si>
  <si>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</si>
  <si>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</si>
  <si>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</si>
  <si>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</si>
  <si>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</si>
  <si>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</si>
  <si>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</si>
  <si>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</si>
  <si>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</si>
  <si>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</si>
  <si>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</si>
  <si>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</si>
  <si>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</si>
  <si>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</si>
  <si>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</si>
  <si>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</si>
  <si>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</si>
  <si>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</si>
  <si>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</si>
  <si>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</si>
  <si>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</si>
  <si>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</si>
  <si>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</si>
  <si>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</si>
  <si>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</si>
  <si>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</si>
  <si>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</si>
  <si>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</si>
  <si>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</si>
  <si>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</si>
  <si>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</si>
  <si>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</si>
  <si>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</si>
  <si>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</si>
  <si>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</si>
  <si>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</si>
  <si>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</si>
  <si>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</si>
  <si>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</si>
  <si>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</si>
  <si>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</si>
  <si>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</si>
  <si>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</si>
  <si>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</si>
  <si>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</si>
  <si>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</si>
  <si>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</si>
  <si>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</si>
  <si>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</si>
  <si>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</si>
  <si>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</si>
  <si>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</si>
  <si>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</si>
  <si>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</si>
  <si>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</si>
  <si>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</si>
  <si>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</si>
  <si>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</si>
  <si>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</si>
  <si>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</si>
  <si>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</si>
  <si>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</si>
  <si>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</si>
  <si>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</si>
  <si>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</si>
  <si>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</si>
  <si>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</si>
  <si>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</si>
  <si>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</si>
  <si>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</si>
  <si>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</si>
  <si>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</si>
  <si>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</si>
  <si>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</si>
  <si>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</si>
  <si>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</si>
  <si>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</si>
  <si>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</si>
  <si>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</si>
  <si>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</si>
  <si>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</si>
  <si>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</si>
  <si>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</si>
  <si>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</si>
  <si>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</si>
  <si>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</si>
  <si>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</si>
  <si>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</si>
  <si>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</si>
  <si>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</si>
  <si>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</si>
  <si>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</si>
  <si>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</si>
  <si>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</si>
  <si>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</si>
  <si>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</si>
  <si>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حالات رفع الجاهزية لسرية الهاون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</si>
  <si>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</si>
  <si>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القائد.</t>
    </r>
  </si>
  <si>
    <t>أ. استلام المهمة وتفهم المطلوب في الوقت المحدد.</t>
  </si>
  <si>
    <t>ب. الرد بالاعتراف على البرقية حسب الوقت المحدد.</t>
  </si>
  <si>
    <t>جـ. تحرير برقية رفع الحالة وإرسالها إلى مستوى الأعلى والأدنى.</t>
  </si>
  <si>
    <t>د. الكشف من الخارطة.</t>
  </si>
  <si>
    <t>هـ. إصدار أمر إنذاري والحصول على الاعتراف من المستوى الأدنى.</t>
  </si>
  <si>
    <t>و. تسجيل برقية رفع الحالة في سجل الحوادث.</t>
  </si>
  <si>
    <t>ز. عمل تقدير موقف للوقت من قبل القائد مع مراعاة ثلثي الوقت لعمل وإجراءات المرؤوسين وتشمل الإجراءات منذ استلام المهمة وحتى ساعة الصفر.</t>
  </si>
  <si>
    <t>ح. عمل تقدير موقف ذهني سريع من قبل القائد.</t>
  </si>
  <si>
    <t>ط. إنذار الوحدة بالمهمة ووسائل الإنذار المتوفرة.</t>
  </si>
  <si>
    <t>ي. توضيح المطلوب للقادة المرؤوسين والإجابة على استفساراتهم.</t>
  </si>
  <si>
    <t>ك. التقيد بأصول المخابرة في عملية إرسال البرقية.</t>
  </si>
  <si>
    <t>ل. التقيد بواجبات الأركان الصغرى في كتابة الأمر الإنذاري.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</si>
  <si>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</si>
  <si>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</si>
  <si>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</si>
  <si>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</si>
  <si>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</si>
  <si>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</si>
  <si>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</si>
  <si>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</si>
  <si>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</si>
  <si>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</si>
  <si>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</si>
  <si>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</si>
  <si>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</si>
  <si>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</si>
  <si>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</si>
  <si>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بالخطة الموضوعة وتنفيذها بطريقة سليمة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</si>
  <si>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</si>
  <si>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</si>
  <si>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</si>
  <si>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</si>
  <si>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</si>
  <si>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</si>
  <si>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</si>
  <si>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</si>
  <si>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</si>
  <si>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</si>
  <si>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</si>
  <si>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</si>
  <si>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أ. اصطفاف القوة بالميدان في الوقت المحدد في تعليمات رفع حالات الاستعداد القتالي.</t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</si>
  <si>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</si>
  <si>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</si>
  <si>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</si>
  <si>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</si>
  <si>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و. تعبئة وإدامة سجلات استلام الذخائر.</t>
  </si>
  <si>
    <t>ز. التأكد من جاهزية الآليات من حيث (الوقود، المياه، العدة، سجل الآلية، وتحميل شباك التمويه مع العصي، إلخ...).</t>
  </si>
  <si>
    <t>ح. مدى التقيد بتعليمات المؤخرة للقوة.</t>
  </si>
  <si>
    <t>ط. التأكد من نسبة استكمال الأسلحة والمعدات.</t>
  </si>
  <si>
    <t>ي. مدى توفر نقليات (ب) لحمل (مواد الخط الثاني).</t>
  </si>
  <si>
    <t>ك. التأكد من نسبة استكمال القوة البشرية.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</si>
  <si>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</si>
  <si>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</si>
  <si>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</si>
  <si>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</si>
  <si>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</si>
  <si>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</si>
  <si>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</si>
  <si>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</si>
  <si>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</si>
  <si>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</si>
  <si>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</si>
  <si>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</si>
  <si>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</si>
  <si>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</si>
  <si>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</si>
  <si>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اختبار المعلومات العسكرية للمرتب</t>
    </r>
    <r>
      <rPr>
        <b/>
        <sz val="12"/>
        <color rgb="FF000000"/>
        <rFont val="Arial"/>
        <family val="2"/>
      </rPr>
      <t>.</t>
    </r>
  </si>
  <si>
    <t>أ. الأسلحة وخصائصها الفنية ومسمياتها.</t>
  </si>
  <si>
    <t>ب. الذخائر (الخطوط، الوحدة الحسابية).</t>
  </si>
  <si>
    <t>جـ. الهيكل التنظيمي للوحدة تحت التفتيش.</t>
  </si>
  <si>
    <t>د. أمن الأفراد والمعسكرات والمنشآت.</t>
  </si>
  <si>
    <t>هـ. التخصصات المهنية.</t>
  </si>
  <si>
    <t>و. حالات الاستعداد القتالي.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</si>
  <si>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</si>
  <si>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أ. توفر صندوق لحفظ الوثائق والسجلات والقرطاسية اللازمة.</t>
  </si>
  <si>
    <t>ب. توفر الخرائط والخطط الضرورية.</t>
  </si>
  <si>
    <t>جـ. توفر وصلاحية الإضاءة الرئيسة والبديلة.</t>
  </si>
  <si>
    <t>د. توفر وصلاحية وسائل الاتصالات الإشارية.</t>
  </si>
  <si>
    <t>هـ. التأكد من إعداد وتجهيز الآلية.</t>
  </si>
  <si>
    <t>و. التأكد من وجود فهرس بمحتويات الصندوق ومطابقته مع الموجود.</t>
  </si>
  <si>
    <t>ز. وجود الأوامر الثابتة لقيادته.</t>
  </si>
  <si>
    <t>ح. وجود قوائم التوزيع الشهرية.</t>
  </si>
  <si>
    <t>ط. وجود نموذج برقيــات.</t>
  </si>
  <si>
    <t>ي. توفر كشف بأرقام الهواتف الهامة (عسكرية، مدنية).</t>
  </si>
  <si>
    <t>ك. وجود وإدامة سجل الوارد والصادر.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</si>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</sst>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10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89163</xdr:colOff>
      <xdr:row>99</xdr:row>
      <xdr:rowOff>406862</xdr:rowOff>
    </xdr:from>
    <xdr:to>
      <xdr:col>8</xdr:col>
      <xdr:colOff>89523</xdr:colOff>
      <xdr:row>99</xdr:row>
      <xdr:rowOff>407222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8AF743B-746A-8992-5EFF-129C710E91FC}"/>
                </a:ext>
              </a:extLst>
            </xdr14:cNvPr>
            <xdr14:cNvContentPartPr/>
          </xdr14:nvContentPartPr>
          <xdr14:nvPr macro=""/>
          <xdr14:xfrm>
            <a:off x="10462166628" y="40873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8AF743B-746A-8992-5EFF-129C710E91F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2160508" y="40867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604335</xdr:colOff>
      <xdr:row>99</xdr:row>
      <xdr:rowOff>599462</xdr:rowOff>
    </xdr:from>
    <xdr:to>
      <xdr:col>8</xdr:col>
      <xdr:colOff>43803</xdr:colOff>
      <xdr:row>99</xdr:row>
      <xdr:rowOff>603782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A82C855-0083-A4FE-5A9F-5905A77DA155}"/>
                </a:ext>
              </a:extLst>
            </xdr14:cNvPr>
            <xdr14:cNvContentPartPr/>
          </xdr14:nvContentPartPr>
          <xdr14:nvPr macro=""/>
          <xdr14:xfrm>
            <a:off x="10462212348" y="41066280"/>
            <a:ext cx="97560" cy="43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A82C855-0083-A4FE-5A9F-5905A77DA15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2206228" y="41060160"/>
              <a:ext cx="10980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212481</xdr:colOff>
      <xdr:row>99</xdr:row>
      <xdr:rowOff>102577</xdr:rowOff>
    </xdr:from>
    <xdr:to>
      <xdr:col>8</xdr:col>
      <xdr:colOff>555513</xdr:colOff>
      <xdr:row>99</xdr:row>
      <xdr:rowOff>481786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5FEA4FE-79B0-4985-A432-57F4F9FC7E3E}"/>
                </a:ext>
              </a:extLst>
            </xdr14:cNvPr>
            <xdr14:cNvContentPartPr/>
          </xdr14:nvContentPartPr>
          <xdr14:nvPr macro=""/>
          <xdr14:xfrm>
            <a:off x="9838718198" y="40583827"/>
            <a:ext cx="965821" cy="379209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FD374E-E9A3-7D73-B5F5-D6CEF42E6A3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29233518" y="8816040"/>
              <a:ext cx="101448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24:57.1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1,'0'0,"0"0,0 0,0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25:13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173 11,'0'0,"0"0,0 0,0 0,0 0,0 0,0 0,0 0,0 0,0 0,0 0,0 0,0 0,0 0,0 0,0 0,0 0,0 0,0 0,0 0,0 0,-7 0,7 0,0 0,-7 0,1 0,3 0,-8 0,4 0,5 0,-10 0,-2 0,11 0,0 0,-11 0,11 0,0 0,-11 0,0 0,0 0,8 0,-2-11,-5 11,6 0,6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27:00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2093 1041,'0'0,"0"0,0 0,0 0,0 0,0 0,0 0,0 0,0 0,0 0,0 0,-8 0,-2 0,3 0,2 0,-4 0,-3-3,3 0,-10 3,6 0,6 0,-12-6,5 6,7 0,-22 0,24 0,0 0,-16 0,7 0,-2 0,-2 0,6 0,2 0,-11 0,17 0,-1 0,-16-6,13 6,-2 0,-11 0,17 0,-1 0,-26 0,23-3,-4-1,2 4,-3 0,-4 0,-1 0,2 0,1 0,-5-6,6 6,-3 0,-13 0,17 0,-4 0,-22 0,21 0,-4 0,-7 0,10 0,-2 0,-18 0,17 0,4 0,-23 0,26 0,0 0,-13-6,7 6,-1 0,-7 0,15-4,0 1,-16 3,13 0,4 0,1-6,7 6,1 0,4-5,0 4,9-6,19-3,-5 1,37-16,-18 12,-5 2,62-21,-38 15,-12 3,80-18,-52 8,-12 4,83-30,-73 30,-11 3,78-27,-68 23,-9 4,53-14,-62 14,-13 3,39-12,-45 16,-4 2,15-5,-32 10,-2 0,-3 3,-6 0,0 0,-15 0,-1 3,2 0,-42 10,18-4,8 0,-65 23,25-15,9-3,-53 24,40-12,8-2,-78 20,65-17,10-4,-48 27,59-30,7-2,-25 13,39-20,4-3,-11 11,25-13,-2 0,-14 0,16-3,40-18,-13 12,4 0,31-22,-15 11,-5 3,62-8,-44-2,-4 4,70-33,-57 27,-1 2,66-29,-51 26,-9 4,11-11,-35 18,-3 1,6-13,-15 18,-9 0,6 1,-16 6,0 0,-15 0,-18 8,5-2,-46 12,27-4,5-3,-84 20,52-11,8-2,-86 33,65-18,12-4,-90 27,77-25,9-5,-77 24,82-27,9-2,-31 17,54-25,5-1,-29 6,40-14,3-2,-12-2,25 0,0 0,15-6,11-10,-1 1,29-16,-12 7,-4 4,48-18,-35 9,-5 2,71-30,-42 20,-10 5,67-37,-67 42,-9 4,58-14,-76 23,-5 3,20-9,-24 14,-5 0,8-6,-15 12,-3 0,-9 6,-5-3,1 0,-47 15,30-3,2-4,-41 21,23-12,4-3,-46 27,31-14,7-4,-60 31,65-34,3-2,-18 10,38-21,-2-1,-5 3,10-5,40-26,8-1,-7 2,48-38,-32 25,-3 5,44-49,-34 31,-8 7,53-51,-38 44,-10 6,27-50,-45 41,-5 7,2-17,-25 30,-1 4,-22-14,-15 20,5 2,-71-10,34 15,10 1,-64 9,27 7,12-1,-98 6,76 5,13-2,-98 23,99-15,16-3,-79 30,77-19,9-5,-55 30,51-18,11-7,-43 32,62-26,7-5,1 31,23-33,-2-4,40 31,3-34,-5-3,29 24,16-20,-15-4,101 12,-45-25,-19-2,116-11,-81-1,-21 1,90-13,-97 2,-14 3,82-23,-25 2,-21 7,105-29,-148 33,7-2,-88 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zoomScale="130" zoomScaleNormal="100" zoomScaleSheetLayoutView="130" workbookViewId="0">
      <selection activeCell="G99" sqref="G99:J99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6" t="s">
        <v>180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5">
      <c r="B2" s="13" t="s">
        <v>8</v>
      </c>
      <c r="C2" s="62" t="s">
        <v>11</v>
      </c>
      <c r="D2" s="62"/>
      <c r="E2" s="13" t="s">
        <v>7</v>
      </c>
      <c r="F2" s="57">
        <v>45930</v>
      </c>
      <c r="G2" s="57"/>
      <c r="H2" s="57"/>
      <c r="I2" s="57"/>
      <c r="J2" s="57"/>
    </row>
    <row r="3" spans="1:10" ht="30" customHeight="1" x14ac:dyDescent="0.25">
      <c r="B3" s="13" t="s">
        <v>9</v>
      </c>
      <c r="C3" s="62" t="s">
        <v>69</v>
      </c>
      <c r="D3" s="62"/>
      <c r="E3" s="13" t="s">
        <v>6</v>
      </c>
      <c r="F3" s="62" t="s">
        <v>134</v>
      </c>
      <c r="G3" s="62"/>
      <c r="H3" s="62"/>
      <c r="I3" s="62"/>
      <c r="J3" s="62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1"/>
      <c r="B5" s="58" t="s">
        <v>0</v>
      </c>
      <c r="C5" s="59"/>
      <c r="D5" s="59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3">
      <c r="A6" s="11"/>
      <c r="B6" s="60"/>
      <c r="C6" s="61"/>
      <c r="D6" s="61"/>
      <c r="E6" s="12" t="s">
        <v>3</v>
      </c>
      <c r="F6" s="12" t="s">
        <v>4</v>
      </c>
      <c r="G6" s="12" t="s">
        <v>23</v>
      </c>
      <c r="H6" s="12" t="s">
        <v>24</v>
      </c>
      <c r="I6" s="69"/>
      <c r="J6" s="70"/>
    </row>
    <row r="7" spans="1:10" ht="24.95" customHeight="1" thickBot="1" x14ac:dyDescent="0.3">
      <c r="A7" s="11"/>
      <c r="B7" s="65" t="s">
        <v>21</v>
      </c>
      <c r="C7" s="66"/>
      <c r="D7" s="66"/>
      <c r="E7" s="30" t="s">
        <v>18</v>
      </c>
      <c r="F7" s="30" t="s">
        <v>19</v>
      </c>
      <c r="G7" s="30" t="s">
        <v>22</v>
      </c>
      <c r="H7" s="30" t="s">
        <v>20</v>
      </c>
      <c r="I7" s="71" t="s">
        <v>25</v>
      </c>
      <c r="J7" s="72"/>
    </row>
    <row r="8" spans="1:10" ht="39.950000000000003" customHeight="1" thickBot="1" x14ac:dyDescent="0.3">
      <c r="A8" s="11"/>
      <c r="B8" s="83" t="s">
        <v>181</v>
      </c>
      <c r="C8" s="84"/>
      <c r="D8" s="84"/>
      <c r="E8" s="10">
        <v>5</v>
      </c>
      <c r="F8" s="41">
        <v>3.5</v>
      </c>
      <c r="G8" s="42">
        <f>IFERROR(F8/E8,"")</f>
        <v>0.7</v>
      </c>
      <c r="H8" s="2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4"/>
      <c r="J8" s="55"/>
    </row>
    <row r="9" spans="1:10" ht="30" customHeight="1" x14ac:dyDescent="0.25">
      <c r="A9" s="11"/>
      <c r="B9" s="85" t="s">
        <v>182</v>
      </c>
      <c r="C9" s="86"/>
      <c r="D9" s="86"/>
      <c r="E9" s="34"/>
      <c r="F9" s="35"/>
      <c r="G9" s="36"/>
      <c r="H9" s="37"/>
      <c r="I9" s="43"/>
      <c r="J9" s="44"/>
    </row>
    <row r="10" spans="1:10" ht="30" customHeight="1" x14ac:dyDescent="0.25">
      <c r="A10" s="11"/>
      <c r="B10" s="87" t="s">
        <v>183</v>
      </c>
      <c r="C10" s="88"/>
      <c r="D10" s="88"/>
      <c r="E10" s="9">
        <v>5</v>
      </c>
      <c r="F10" s="27">
        <v>3.5</v>
      </c>
      <c r="G10" s="32">
        <f t="shared" ref="G10:G73" si="0">IFERROR(F10/E10,"")</f>
        <v>0.7</v>
      </c>
      <c r="H10" s="33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0" customHeight="1" x14ac:dyDescent="0.25">
      <c r="A11" s="11"/>
      <c r="B11" s="87" t="s">
        <v>184</v>
      </c>
      <c r="C11" s="88"/>
      <c r="D11" s="88"/>
      <c r="E11" s="9">
        <v>5</v>
      </c>
      <c r="F11" s="27">
        <v>3.5</v>
      </c>
      <c r="G11" s="32">
        <f t="shared" si="0"/>
        <v>0.7</v>
      </c>
      <c r="H11" s="33" t="str">
        <f t="shared" si="1"/>
        <v>جيد</v>
      </c>
      <c r="I11" s="45"/>
      <c r="J11" s="46"/>
    </row>
    <row r="12" spans="1:10" ht="30" customHeight="1" x14ac:dyDescent="0.25">
      <c r="A12" s="11"/>
      <c r="B12" s="87" t="s">
        <v>185</v>
      </c>
      <c r="C12" s="88"/>
      <c r="D12" s="88"/>
      <c r="E12" s="9">
        <v>5</v>
      </c>
      <c r="F12" s="27">
        <v>3.5</v>
      </c>
      <c r="G12" s="32">
        <f t="shared" si="0"/>
        <v>0.7</v>
      </c>
      <c r="H12" s="33" t="str">
        <f t="shared" si="1"/>
        <v>جيد</v>
      </c>
      <c r="I12" s="45"/>
      <c r="J12" s="46"/>
    </row>
    <row r="13" spans="1:10" ht="30" customHeight="1" x14ac:dyDescent="0.25">
      <c r="A13" s="11"/>
      <c r="B13" s="87" t="s">
        <v>186</v>
      </c>
      <c r="C13" s="88"/>
      <c r="D13" s="88"/>
      <c r="E13" s="9">
        <v>5</v>
      </c>
      <c r="F13" s="27">
        <v>3.5</v>
      </c>
      <c r="G13" s="32">
        <f t="shared" si="0"/>
        <v>0.7</v>
      </c>
      <c r="H13" s="33" t="str">
        <f t="shared" si="1"/>
        <v>جيد</v>
      </c>
      <c r="I13" s="45"/>
      <c r="J13" s="46"/>
    </row>
    <row r="14" spans="1:10" ht="30" customHeight="1" x14ac:dyDescent="0.25">
      <c r="A14" s="11"/>
      <c r="B14" s="87" t="s">
        <v>187</v>
      </c>
      <c r="C14" s="88"/>
      <c r="D14" s="88"/>
      <c r="E14" s="9">
        <v>5</v>
      </c>
      <c r="F14" s="27">
        <v>3.5</v>
      </c>
      <c r="G14" s="32">
        <f t="shared" si="0"/>
        <v>0.7</v>
      </c>
      <c r="H14" s="33" t="str">
        <f t="shared" si="1"/>
        <v>جيد</v>
      </c>
      <c r="I14" s="45"/>
      <c r="J14" s="46"/>
    </row>
    <row r="15" spans="1:10" ht="30" customHeight="1" x14ac:dyDescent="0.25">
      <c r="A15" s="11"/>
      <c r="B15" s="87" t="s">
        <v>188</v>
      </c>
      <c r="C15" s="88"/>
      <c r="D15" s="88"/>
      <c r="E15" s="9">
        <v>5</v>
      </c>
      <c r="F15" s="27">
        <v>3.5</v>
      </c>
      <c r="G15" s="32">
        <f t="shared" si="0"/>
        <v>0.7</v>
      </c>
      <c r="H15" s="33" t="str">
        <f t="shared" si="1"/>
        <v>جيد</v>
      </c>
      <c r="I15" s="45"/>
      <c r="J15" s="46"/>
    </row>
    <row r="16" spans="1:10" ht="50.1" customHeight="1" x14ac:dyDescent="0.25">
      <c r="A16" s="11"/>
      <c r="B16" s="87" t="s">
        <v>189</v>
      </c>
      <c r="C16" s="88"/>
      <c r="D16" s="88"/>
      <c r="E16" s="9">
        <v>5</v>
      </c>
      <c r="F16" s="27">
        <v>3.5</v>
      </c>
      <c r="G16" s="32">
        <f t="shared" si="0"/>
        <v>0.7</v>
      </c>
      <c r="H16" s="33" t="str">
        <f t="shared" si="1"/>
        <v>جيد</v>
      </c>
      <c r="I16" s="45"/>
      <c r="J16" s="46"/>
    </row>
    <row r="17" spans="1:10" ht="30" customHeight="1" x14ac:dyDescent="0.25">
      <c r="A17" s="11"/>
      <c r="B17" s="87" t="s">
        <v>190</v>
      </c>
      <c r="C17" s="88"/>
      <c r="D17" s="88"/>
      <c r="E17" s="9">
        <v>5</v>
      </c>
      <c r="F17" s="27">
        <v>3.5</v>
      </c>
      <c r="G17" s="32">
        <f t="shared" si="0"/>
        <v>0.7</v>
      </c>
      <c r="H17" s="33" t="str">
        <f t="shared" si="1"/>
        <v>جيد</v>
      </c>
      <c r="I17" s="45"/>
      <c r="J17" s="46"/>
    </row>
    <row r="18" spans="1:10" ht="30" customHeight="1" x14ac:dyDescent="0.25">
      <c r="A18" s="11"/>
      <c r="B18" s="87" t="s">
        <v>191</v>
      </c>
      <c r="C18" s="88"/>
      <c r="D18" s="88"/>
      <c r="E18" s="9">
        <v>5</v>
      </c>
      <c r="F18" s="27">
        <v>3.5</v>
      </c>
      <c r="G18" s="32">
        <f t="shared" si="0"/>
        <v>0.7</v>
      </c>
      <c r="H18" s="33" t="str">
        <f t="shared" si="1"/>
        <v>جيد</v>
      </c>
      <c r="I18" s="45"/>
      <c r="J18" s="46"/>
    </row>
    <row r="19" spans="1:10" ht="30" customHeight="1" x14ac:dyDescent="0.25">
      <c r="A19" s="11"/>
      <c r="B19" s="87" t="s">
        <v>192</v>
      </c>
      <c r="C19" s="88"/>
      <c r="D19" s="88"/>
      <c r="E19" s="9">
        <v>5</v>
      </c>
      <c r="F19" s="27">
        <v>3.75</v>
      </c>
      <c r="G19" s="32">
        <f t="shared" si="0"/>
        <v>0.75</v>
      </c>
      <c r="H19" s="33" t="str">
        <f t="shared" si="1"/>
        <v>جيد</v>
      </c>
      <c r="I19" s="45"/>
      <c r="J19" s="46"/>
    </row>
    <row r="20" spans="1:10" ht="30" customHeight="1" x14ac:dyDescent="0.25">
      <c r="A20" s="11"/>
      <c r="B20" s="87" t="s">
        <v>193</v>
      </c>
      <c r="C20" s="88"/>
      <c r="D20" s="88"/>
      <c r="E20" s="9">
        <v>5</v>
      </c>
      <c r="F20" s="27">
        <v>3.75</v>
      </c>
      <c r="G20" s="32">
        <f t="shared" si="0"/>
        <v>0.75</v>
      </c>
      <c r="H20" s="33" t="str">
        <f t="shared" si="1"/>
        <v>جيد</v>
      </c>
      <c r="I20" s="45"/>
      <c r="J20" s="46"/>
    </row>
    <row r="21" spans="1:10" ht="30" customHeight="1" thickBot="1" x14ac:dyDescent="0.3">
      <c r="A21" s="11"/>
      <c r="B21" s="89" t="s">
        <v>194</v>
      </c>
      <c r="C21" s="90"/>
      <c r="D21" s="90"/>
      <c r="E21" s="38">
        <v>5</v>
      </c>
      <c r="F21" s="29">
        <v>3.75</v>
      </c>
      <c r="G21" s="39">
        <f t="shared" si="0"/>
        <v>0.75</v>
      </c>
      <c r="H21" s="40" t="str">
        <f t="shared" si="1"/>
        <v>جيد</v>
      </c>
      <c r="I21" s="52"/>
      <c r="J21" s="53"/>
    </row>
    <row r="22" spans="1:10" ht="39.950000000000003" customHeight="1" x14ac:dyDescent="0.25">
      <c r="A22" s="11"/>
      <c r="B22" s="85" t="s">
        <v>195</v>
      </c>
      <c r="C22" s="86"/>
      <c r="D22" s="86"/>
      <c r="E22" s="34"/>
      <c r="F22" s="35"/>
      <c r="G22" s="36"/>
      <c r="H22" s="37"/>
      <c r="I22" s="43"/>
      <c r="J22" s="44"/>
    </row>
    <row r="23" spans="1:10" ht="30" customHeight="1" x14ac:dyDescent="0.25">
      <c r="A23" s="11"/>
      <c r="B23" s="87" t="s">
        <v>196</v>
      </c>
      <c r="C23" s="88"/>
      <c r="D23" s="88"/>
      <c r="E23" s="9">
        <v>5</v>
      </c>
      <c r="F23" s="27">
        <v>3.75</v>
      </c>
      <c r="G23" s="32">
        <f t="shared" si="0"/>
        <v>0.75</v>
      </c>
      <c r="H23" s="33" t="str">
        <f t="shared" si="1"/>
        <v>جيد</v>
      </c>
      <c r="I23" s="45"/>
      <c r="J23" s="46"/>
    </row>
    <row r="24" spans="1:10" ht="30" customHeight="1" x14ac:dyDescent="0.25">
      <c r="A24" s="11"/>
      <c r="B24" s="87" t="s">
        <v>197</v>
      </c>
      <c r="C24" s="88"/>
      <c r="D24" s="88"/>
      <c r="E24" s="9">
        <v>5</v>
      </c>
      <c r="F24" s="27">
        <v>3.5</v>
      </c>
      <c r="G24" s="32">
        <f t="shared" si="0"/>
        <v>0.7</v>
      </c>
      <c r="H24" s="33" t="str">
        <f t="shared" si="1"/>
        <v>جيد</v>
      </c>
      <c r="I24" s="45"/>
      <c r="J24" s="46"/>
    </row>
    <row r="25" spans="1:10" ht="30" customHeight="1" x14ac:dyDescent="0.25">
      <c r="A25" s="11"/>
      <c r="B25" s="87" t="s">
        <v>198</v>
      </c>
      <c r="C25" s="88"/>
      <c r="D25" s="88"/>
      <c r="E25" s="9">
        <v>5</v>
      </c>
      <c r="F25" s="27">
        <v>3.5</v>
      </c>
      <c r="G25" s="32">
        <f t="shared" si="0"/>
        <v>0.7</v>
      </c>
      <c r="H25" s="33" t="str">
        <f t="shared" si="1"/>
        <v>جيد</v>
      </c>
      <c r="I25" s="45"/>
      <c r="J25" s="46"/>
    </row>
    <row r="26" spans="1:10" ht="30" customHeight="1" x14ac:dyDescent="0.25">
      <c r="A26" s="11"/>
      <c r="B26" s="87" t="s">
        <v>199</v>
      </c>
      <c r="C26" s="88"/>
      <c r="D26" s="88"/>
      <c r="E26" s="9">
        <v>5</v>
      </c>
      <c r="F26" s="27">
        <v>3.5</v>
      </c>
      <c r="G26" s="32">
        <f t="shared" si="0"/>
        <v>0.7</v>
      </c>
      <c r="H26" s="33" t="str">
        <f t="shared" si="1"/>
        <v>جيد</v>
      </c>
      <c r="I26" s="45"/>
      <c r="J26" s="46"/>
    </row>
    <row r="27" spans="1:10" ht="30" customHeight="1" x14ac:dyDescent="0.25">
      <c r="A27" s="11"/>
      <c r="B27" s="87" t="s">
        <v>200</v>
      </c>
      <c r="C27" s="88"/>
      <c r="D27" s="88"/>
      <c r="E27" s="9">
        <v>5</v>
      </c>
      <c r="F27" s="27">
        <v>3.75</v>
      </c>
      <c r="G27" s="32">
        <f t="shared" si="0"/>
        <v>0.75</v>
      </c>
      <c r="H27" s="33" t="str">
        <f t="shared" si="1"/>
        <v>جيد</v>
      </c>
      <c r="I27" s="45"/>
      <c r="J27" s="46"/>
    </row>
    <row r="28" spans="1:10" ht="30" customHeight="1" x14ac:dyDescent="0.25">
      <c r="A28" s="11"/>
      <c r="B28" s="87" t="s">
        <v>201</v>
      </c>
      <c r="C28" s="88"/>
      <c r="D28" s="88"/>
      <c r="E28" s="9">
        <v>5</v>
      </c>
      <c r="F28" s="27">
        <v>3.75</v>
      </c>
      <c r="G28" s="32">
        <f t="shared" si="0"/>
        <v>0.75</v>
      </c>
      <c r="H28" s="33" t="str">
        <f t="shared" si="1"/>
        <v>جيد</v>
      </c>
      <c r="I28" s="45"/>
      <c r="J28" s="46"/>
    </row>
    <row r="29" spans="1:10" ht="30" customHeight="1" thickBot="1" x14ac:dyDescent="0.3">
      <c r="A29" s="11"/>
      <c r="B29" s="89" t="s">
        <v>202</v>
      </c>
      <c r="C29" s="90"/>
      <c r="D29" s="90"/>
      <c r="E29" s="38">
        <v>5</v>
      </c>
      <c r="F29" s="29">
        <v>3.5</v>
      </c>
      <c r="G29" s="39">
        <f t="shared" si="0"/>
        <v>0.7</v>
      </c>
      <c r="H29" s="40" t="str">
        <f t="shared" si="1"/>
        <v>جيد</v>
      </c>
      <c r="I29" s="52"/>
      <c r="J29" s="53"/>
    </row>
    <row r="30" spans="1:10" ht="30" customHeight="1" x14ac:dyDescent="0.25">
      <c r="A30" s="11"/>
      <c r="B30" s="85" t="s">
        <v>203</v>
      </c>
      <c r="C30" s="86"/>
      <c r="D30" s="86"/>
      <c r="E30" s="34"/>
      <c r="F30" s="35"/>
      <c r="G30" s="36"/>
      <c r="H30" s="37"/>
      <c r="I30" s="43"/>
      <c r="J30" s="44"/>
    </row>
    <row r="31" spans="1:10" ht="39.950000000000003" customHeight="1" x14ac:dyDescent="0.25">
      <c r="A31" s="11"/>
      <c r="B31" s="87" t="s">
        <v>204</v>
      </c>
      <c r="C31" s="88"/>
      <c r="D31" s="88"/>
      <c r="E31" s="9">
        <v>5</v>
      </c>
      <c r="F31" s="27">
        <v>3.75</v>
      </c>
      <c r="G31" s="32">
        <f t="shared" si="0"/>
        <v>0.75</v>
      </c>
      <c r="H31" s="33" t="str">
        <f t="shared" si="1"/>
        <v>جيد</v>
      </c>
      <c r="I31" s="45"/>
      <c r="J31" s="46"/>
    </row>
    <row r="32" spans="1:10" ht="39.950000000000003" customHeight="1" x14ac:dyDescent="0.25">
      <c r="A32" s="11"/>
      <c r="B32" s="87" t="s">
        <v>205</v>
      </c>
      <c r="C32" s="88"/>
      <c r="D32" s="88"/>
      <c r="E32" s="9">
        <v>5</v>
      </c>
      <c r="F32" s="27">
        <v>3.5</v>
      </c>
      <c r="G32" s="32">
        <f t="shared" si="0"/>
        <v>0.7</v>
      </c>
      <c r="H32" s="33" t="str">
        <f t="shared" si="1"/>
        <v>جيد</v>
      </c>
      <c r="I32" s="45"/>
      <c r="J32" s="46"/>
    </row>
    <row r="33" spans="1:10" ht="39.950000000000003" customHeight="1" thickBot="1" x14ac:dyDescent="0.3">
      <c r="A33" s="11"/>
      <c r="B33" s="89" t="s">
        <v>206</v>
      </c>
      <c r="C33" s="90"/>
      <c r="D33" s="90"/>
      <c r="E33" s="38">
        <v>5</v>
      </c>
      <c r="F33" s="29">
        <v>3.5</v>
      </c>
      <c r="G33" s="39">
        <f t="shared" si="0"/>
        <v>0.7</v>
      </c>
      <c r="H33" s="40" t="str">
        <f t="shared" si="1"/>
        <v>جيد</v>
      </c>
      <c r="I33" s="52"/>
      <c r="J33" s="53"/>
    </row>
    <row r="34" spans="1:10" ht="30" customHeight="1" x14ac:dyDescent="0.25">
      <c r="A34" s="11"/>
      <c r="B34" s="85" t="s">
        <v>207</v>
      </c>
      <c r="C34" s="86"/>
      <c r="D34" s="86"/>
      <c r="E34" s="34"/>
      <c r="F34" s="35"/>
      <c r="G34" s="36"/>
      <c r="H34" s="37"/>
      <c r="I34" s="43"/>
      <c r="J34" s="44"/>
    </row>
    <row r="35" spans="1:10" ht="50.1" customHeight="1" x14ac:dyDescent="0.25">
      <c r="A35" s="11"/>
      <c r="B35" s="87" t="s">
        <v>208</v>
      </c>
      <c r="C35" s="88"/>
      <c r="D35" s="88"/>
      <c r="E35" s="9">
        <v>5</v>
      </c>
      <c r="F35" s="27">
        <v>3.75</v>
      </c>
      <c r="G35" s="32">
        <f t="shared" si="0"/>
        <v>0.75</v>
      </c>
      <c r="H35" s="33" t="str">
        <f t="shared" si="1"/>
        <v>جيد</v>
      </c>
      <c r="I35" s="45"/>
      <c r="J35" s="46"/>
    </row>
    <row r="36" spans="1:10" ht="30" customHeight="1" x14ac:dyDescent="0.25">
      <c r="A36" s="11"/>
      <c r="B36" s="87" t="s">
        <v>209</v>
      </c>
      <c r="C36" s="88"/>
      <c r="D36" s="88"/>
      <c r="E36" s="9">
        <v>5</v>
      </c>
      <c r="F36" s="27">
        <v>3.75</v>
      </c>
      <c r="G36" s="32">
        <f t="shared" si="0"/>
        <v>0.75</v>
      </c>
      <c r="H36" s="33" t="str">
        <f t="shared" si="1"/>
        <v>جيد</v>
      </c>
      <c r="I36" s="45"/>
      <c r="J36" s="46"/>
    </row>
    <row r="37" spans="1:10" ht="39.950000000000003" customHeight="1" x14ac:dyDescent="0.25">
      <c r="A37" s="11"/>
      <c r="B37" s="87" t="s">
        <v>210</v>
      </c>
      <c r="C37" s="88"/>
      <c r="D37" s="88"/>
      <c r="E37" s="9">
        <v>5</v>
      </c>
      <c r="F37" s="27">
        <v>3.5</v>
      </c>
      <c r="G37" s="32">
        <f t="shared" si="0"/>
        <v>0.7</v>
      </c>
      <c r="H37" s="33" t="str">
        <f t="shared" si="1"/>
        <v>جيد</v>
      </c>
      <c r="I37" s="45"/>
      <c r="J37" s="46"/>
    </row>
    <row r="38" spans="1:10" ht="39.950000000000003" customHeight="1" x14ac:dyDescent="0.25">
      <c r="A38" s="11"/>
      <c r="B38" s="87" t="s">
        <v>211</v>
      </c>
      <c r="C38" s="88"/>
      <c r="D38" s="88"/>
      <c r="E38" s="9">
        <v>5</v>
      </c>
      <c r="F38" s="27">
        <v>3.5</v>
      </c>
      <c r="G38" s="32">
        <f t="shared" si="0"/>
        <v>0.7</v>
      </c>
      <c r="H38" s="33" t="str">
        <f t="shared" si="1"/>
        <v>جيد</v>
      </c>
      <c r="I38" s="45"/>
      <c r="J38" s="46"/>
    </row>
    <row r="39" spans="1:10" ht="30" customHeight="1" x14ac:dyDescent="0.25">
      <c r="A39" s="11"/>
      <c r="B39" s="87" t="s">
        <v>212</v>
      </c>
      <c r="C39" s="88"/>
      <c r="D39" s="88"/>
      <c r="E39" s="9">
        <v>5</v>
      </c>
      <c r="F39" s="27">
        <v>3.5</v>
      </c>
      <c r="G39" s="32">
        <f t="shared" si="0"/>
        <v>0.7</v>
      </c>
      <c r="H39" s="33" t="str">
        <f t="shared" si="1"/>
        <v>جيد</v>
      </c>
      <c r="I39" s="45"/>
      <c r="J39" s="46"/>
    </row>
    <row r="40" spans="1:10" ht="30" customHeight="1" x14ac:dyDescent="0.25">
      <c r="A40" s="11"/>
      <c r="B40" s="87" t="s">
        <v>213</v>
      </c>
      <c r="C40" s="88"/>
      <c r="D40" s="88"/>
      <c r="E40" s="9">
        <v>5</v>
      </c>
      <c r="F40" s="27">
        <v>3.5</v>
      </c>
      <c r="G40" s="32">
        <f t="shared" si="0"/>
        <v>0.7</v>
      </c>
      <c r="H40" s="33" t="str">
        <f t="shared" si="1"/>
        <v>جيد</v>
      </c>
      <c r="I40" s="45"/>
      <c r="J40" s="46"/>
    </row>
    <row r="41" spans="1:10" ht="39.950000000000003" customHeight="1" x14ac:dyDescent="0.25">
      <c r="A41" s="11"/>
      <c r="B41" s="87" t="s">
        <v>214</v>
      </c>
      <c r="C41" s="88"/>
      <c r="D41" s="88"/>
      <c r="E41" s="9">
        <v>5</v>
      </c>
      <c r="F41" s="27">
        <v>3.5</v>
      </c>
      <c r="G41" s="32">
        <f t="shared" si="0"/>
        <v>0.7</v>
      </c>
      <c r="H41" s="33" t="str">
        <f t="shared" si="1"/>
        <v>جيد</v>
      </c>
      <c r="I41" s="45"/>
      <c r="J41" s="46"/>
    </row>
    <row r="42" spans="1:10" ht="39.950000000000003" customHeight="1" x14ac:dyDescent="0.25">
      <c r="A42" s="11"/>
      <c r="B42" s="87" t="s">
        <v>215</v>
      </c>
      <c r="C42" s="88"/>
      <c r="D42" s="88"/>
      <c r="E42" s="9">
        <v>5</v>
      </c>
      <c r="F42" s="27">
        <v>3.75</v>
      </c>
      <c r="G42" s="32">
        <f t="shared" si="0"/>
        <v>0.75</v>
      </c>
      <c r="H42" s="33" t="str">
        <f t="shared" si="1"/>
        <v>جيد</v>
      </c>
      <c r="I42" s="45"/>
      <c r="J42" s="46"/>
    </row>
    <row r="43" spans="1:10" ht="30" customHeight="1" x14ac:dyDescent="0.25">
      <c r="A43" s="11"/>
      <c r="B43" s="87" t="s">
        <v>216</v>
      </c>
      <c r="C43" s="88"/>
      <c r="D43" s="88"/>
      <c r="E43" s="9">
        <v>5</v>
      </c>
      <c r="F43" s="27">
        <v>3.75</v>
      </c>
      <c r="G43" s="32">
        <f t="shared" si="0"/>
        <v>0.75</v>
      </c>
      <c r="H43" s="33" t="str">
        <f t="shared" si="1"/>
        <v>جيد</v>
      </c>
      <c r="I43" s="45"/>
      <c r="J43" s="46"/>
    </row>
    <row r="44" spans="1:10" ht="30" customHeight="1" x14ac:dyDescent="0.25">
      <c r="A44" s="11"/>
      <c r="B44" s="87" t="s">
        <v>217</v>
      </c>
      <c r="C44" s="88"/>
      <c r="D44" s="88"/>
      <c r="E44" s="9">
        <v>5</v>
      </c>
      <c r="F44" s="27">
        <v>3.75</v>
      </c>
      <c r="G44" s="32">
        <f t="shared" si="0"/>
        <v>0.75</v>
      </c>
      <c r="H44" s="33" t="str">
        <f t="shared" si="1"/>
        <v>جيد</v>
      </c>
      <c r="I44" s="45"/>
      <c r="J44" s="46"/>
    </row>
    <row r="45" spans="1:10" ht="30" customHeight="1" x14ac:dyDescent="0.25">
      <c r="A45" s="11"/>
      <c r="B45" s="87" t="s">
        <v>218</v>
      </c>
      <c r="C45" s="88"/>
      <c r="D45" s="88"/>
      <c r="E45" s="9">
        <v>5</v>
      </c>
      <c r="F45" s="27">
        <v>3.75</v>
      </c>
      <c r="G45" s="32">
        <f t="shared" si="0"/>
        <v>0.75</v>
      </c>
      <c r="H45" s="33" t="str">
        <f t="shared" si="1"/>
        <v>جيد</v>
      </c>
      <c r="I45" s="45"/>
      <c r="J45" s="46"/>
    </row>
    <row r="46" spans="1:10" ht="30" customHeight="1" x14ac:dyDescent="0.25">
      <c r="A46" s="11"/>
      <c r="B46" s="87" t="s">
        <v>219</v>
      </c>
      <c r="C46" s="88"/>
      <c r="D46" s="88"/>
      <c r="E46" s="9">
        <v>5</v>
      </c>
      <c r="F46" s="27">
        <v>3.75</v>
      </c>
      <c r="G46" s="32">
        <f t="shared" si="0"/>
        <v>0.75</v>
      </c>
      <c r="H46" s="33" t="str">
        <f t="shared" si="1"/>
        <v>جيد</v>
      </c>
      <c r="I46" s="45"/>
      <c r="J46" s="46"/>
    </row>
    <row r="47" spans="1:10" ht="30" customHeight="1" x14ac:dyDescent="0.25">
      <c r="A47" s="11"/>
      <c r="B47" s="87" t="s">
        <v>220</v>
      </c>
      <c r="C47" s="88"/>
      <c r="D47" s="88"/>
      <c r="E47" s="9">
        <v>5</v>
      </c>
      <c r="F47" s="27">
        <v>3.75</v>
      </c>
      <c r="G47" s="32">
        <f t="shared" si="0"/>
        <v>0.75</v>
      </c>
      <c r="H47" s="33" t="str">
        <f t="shared" si="1"/>
        <v>جيد</v>
      </c>
      <c r="I47" s="45"/>
      <c r="J47" s="46"/>
    </row>
    <row r="48" spans="1:10" ht="39.950000000000003" customHeight="1" thickBot="1" x14ac:dyDescent="0.3">
      <c r="A48" s="11"/>
      <c r="B48" s="89" t="s">
        <v>221</v>
      </c>
      <c r="C48" s="90"/>
      <c r="D48" s="90"/>
      <c r="E48" s="38">
        <v>5</v>
      </c>
      <c r="F48" s="29">
        <v>3.75</v>
      </c>
      <c r="G48" s="39">
        <f t="shared" si="0"/>
        <v>0.75</v>
      </c>
      <c r="H48" s="40" t="str">
        <f t="shared" si="1"/>
        <v>جيد</v>
      </c>
      <c r="I48" s="52"/>
      <c r="J48" s="53"/>
    </row>
    <row r="49" spans="1:10" ht="30" customHeight="1" x14ac:dyDescent="0.25">
      <c r="A49" s="11"/>
      <c r="B49" s="85" t="s">
        <v>222</v>
      </c>
      <c r="C49" s="86"/>
      <c r="D49" s="86"/>
      <c r="E49" s="34"/>
      <c r="F49" s="35"/>
      <c r="G49" s="36"/>
      <c r="H49" s="37"/>
      <c r="I49" s="43"/>
      <c r="J49" s="44"/>
    </row>
    <row r="50" spans="1:10" ht="39.950000000000003" customHeight="1" x14ac:dyDescent="0.25">
      <c r="A50" s="11"/>
      <c r="B50" s="87" t="s">
        <v>223</v>
      </c>
      <c r="C50" s="88"/>
      <c r="D50" s="88"/>
      <c r="E50" s="9">
        <v>5</v>
      </c>
      <c r="F50" s="27">
        <v>4</v>
      </c>
      <c r="G50" s="32">
        <f t="shared" si="0"/>
        <v>0.8</v>
      </c>
      <c r="H50" s="33" t="str">
        <f t="shared" si="1"/>
        <v>جيد جداً</v>
      </c>
      <c r="I50" s="45"/>
      <c r="J50" s="46"/>
    </row>
    <row r="51" spans="1:10" ht="50.1" customHeight="1" x14ac:dyDescent="0.25">
      <c r="A51" s="11"/>
      <c r="B51" s="87" t="s">
        <v>224</v>
      </c>
      <c r="C51" s="88"/>
      <c r="D51" s="88"/>
      <c r="E51" s="9">
        <v>5</v>
      </c>
      <c r="F51" s="27">
        <v>3.75</v>
      </c>
      <c r="G51" s="32">
        <f t="shared" si="0"/>
        <v>0.75</v>
      </c>
      <c r="H51" s="33" t="str">
        <f t="shared" si="1"/>
        <v>جيد</v>
      </c>
      <c r="I51" s="45"/>
      <c r="J51" s="46"/>
    </row>
    <row r="52" spans="1:10" ht="39.950000000000003" customHeight="1" x14ac:dyDescent="0.25">
      <c r="A52" s="11"/>
      <c r="B52" s="87" t="s">
        <v>225</v>
      </c>
      <c r="C52" s="88"/>
      <c r="D52" s="88"/>
      <c r="E52" s="9">
        <v>5</v>
      </c>
      <c r="F52" s="27">
        <v>3.75</v>
      </c>
      <c r="G52" s="32">
        <f t="shared" si="0"/>
        <v>0.75</v>
      </c>
      <c r="H52" s="33" t="str">
        <f t="shared" si="1"/>
        <v>جيد</v>
      </c>
      <c r="I52" s="45"/>
      <c r="J52" s="46"/>
    </row>
    <row r="53" spans="1:10" ht="39.950000000000003" customHeight="1" x14ac:dyDescent="0.25">
      <c r="A53" s="11"/>
      <c r="B53" s="87" t="s">
        <v>226</v>
      </c>
      <c r="C53" s="88"/>
      <c r="D53" s="88"/>
      <c r="E53" s="9">
        <v>5</v>
      </c>
      <c r="F53" s="27">
        <v>3.75</v>
      </c>
      <c r="G53" s="32">
        <f t="shared" si="0"/>
        <v>0.75</v>
      </c>
      <c r="H53" s="33" t="str">
        <f t="shared" si="1"/>
        <v>جيد</v>
      </c>
      <c r="I53" s="45"/>
      <c r="J53" s="46"/>
    </row>
    <row r="54" spans="1:10" ht="30" customHeight="1" x14ac:dyDescent="0.25">
      <c r="A54" s="11"/>
      <c r="B54" s="87" t="s">
        <v>227</v>
      </c>
      <c r="C54" s="88"/>
      <c r="D54" s="88"/>
      <c r="E54" s="9">
        <v>5</v>
      </c>
      <c r="F54" s="27">
        <v>3.5</v>
      </c>
      <c r="G54" s="32">
        <f t="shared" si="0"/>
        <v>0.7</v>
      </c>
      <c r="H54" s="33" t="str">
        <f t="shared" si="1"/>
        <v>جيد</v>
      </c>
      <c r="I54" s="45"/>
      <c r="J54" s="46"/>
    </row>
    <row r="55" spans="1:10" ht="30" customHeight="1" x14ac:dyDescent="0.25">
      <c r="A55" s="11"/>
      <c r="B55" s="87" t="s">
        <v>228</v>
      </c>
      <c r="C55" s="88"/>
      <c r="D55" s="88"/>
      <c r="E55" s="9">
        <v>5</v>
      </c>
      <c r="F55" s="27">
        <v>3.5</v>
      </c>
      <c r="G55" s="32">
        <f t="shared" si="0"/>
        <v>0.7</v>
      </c>
      <c r="H55" s="33" t="str">
        <f t="shared" si="1"/>
        <v>جيد</v>
      </c>
      <c r="I55" s="45"/>
      <c r="J55" s="46"/>
    </row>
    <row r="56" spans="1:10" ht="39.950000000000003" customHeight="1" x14ac:dyDescent="0.25">
      <c r="A56" s="11"/>
      <c r="B56" s="87" t="s">
        <v>229</v>
      </c>
      <c r="C56" s="88"/>
      <c r="D56" s="88"/>
      <c r="E56" s="9">
        <v>5</v>
      </c>
      <c r="F56" s="27">
        <v>3.5</v>
      </c>
      <c r="G56" s="32">
        <f t="shared" si="0"/>
        <v>0.7</v>
      </c>
      <c r="H56" s="33" t="str">
        <f t="shared" si="1"/>
        <v>جيد</v>
      </c>
      <c r="I56" s="45"/>
      <c r="J56" s="46"/>
    </row>
    <row r="57" spans="1:10" ht="30" customHeight="1" x14ac:dyDescent="0.25">
      <c r="A57" s="11"/>
      <c r="B57" s="87" t="s">
        <v>230</v>
      </c>
      <c r="C57" s="88"/>
      <c r="D57" s="88"/>
      <c r="E57" s="9">
        <v>5</v>
      </c>
      <c r="F57" s="27">
        <v>3.5</v>
      </c>
      <c r="G57" s="32">
        <f t="shared" si="0"/>
        <v>0.7</v>
      </c>
      <c r="H57" s="33" t="str">
        <f t="shared" si="1"/>
        <v>جيد</v>
      </c>
      <c r="I57" s="45"/>
      <c r="J57" s="46"/>
    </row>
    <row r="58" spans="1:10" ht="30" customHeight="1" x14ac:dyDescent="0.25">
      <c r="A58" s="11"/>
      <c r="B58" s="87" t="s">
        <v>231</v>
      </c>
      <c r="C58" s="88"/>
      <c r="D58" s="88"/>
      <c r="E58" s="9">
        <v>5</v>
      </c>
      <c r="F58" s="27">
        <v>3.5</v>
      </c>
      <c r="G58" s="32">
        <f t="shared" si="0"/>
        <v>0.7</v>
      </c>
      <c r="H58" s="33" t="str">
        <f t="shared" si="1"/>
        <v>جيد</v>
      </c>
      <c r="I58" s="45"/>
      <c r="J58" s="46"/>
    </row>
    <row r="59" spans="1:10" ht="30" customHeight="1" x14ac:dyDescent="0.25">
      <c r="A59" s="11"/>
      <c r="B59" s="87" t="s">
        <v>232</v>
      </c>
      <c r="C59" s="88"/>
      <c r="D59" s="88"/>
      <c r="E59" s="9">
        <v>5</v>
      </c>
      <c r="F59" s="27">
        <v>3.5</v>
      </c>
      <c r="G59" s="32">
        <f t="shared" si="0"/>
        <v>0.7</v>
      </c>
      <c r="H59" s="33" t="str">
        <f t="shared" si="1"/>
        <v>جيد</v>
      </c>
      <c r="I59" s="45"/>
      <c r="J59" s="46"/>
    </row>
    <row r="60" spans="1:10" ht="30" customHeight="1" thickBot="1" x14ac:dyDescent="0.3">
      <c r="A60" s="11"/>
      <c r="B60" s="89" t="s">
        <v>233</v>
      </c>
      <c r="C60" s="90"/>
      <c r="D60" s="90"/>
      <c r="E60" s="38">
        <v>5</v>
      </c>
      <c r="F60" s="29">
        <v>3.5</v>
      </c>
      <c r="G60" s="39">
        <f t="shared" si="0"/>
        <v>0.7</v>
      </c>
      <c r="H60" s="40" t="str">
        <f t="shared" si="1"/>
        <v>جيد</v>
      </c>
      <c r="I60" s="52"/>
      <c r="J60" s="53"/>
    </row>
    <row r="61" spans="1:10" ht="30" customHeight="1" x14ac:dyDescent="0.25">
      <c r="A61" s="11"/>
      <c r="B61" s="91" t="s">
        <v>234</v>
      </c>
      <c r="C61" s="92"/>
      <c r="D61" s="92"/>
      <c r="E61" s="34"/>
      <c r="F61" s="35"/>
      <c r="G61" s="36"/>
      <c r="H61" s="37"/>
      <c r="I61" s="43"/>
      <c r="J61" s="44"/>
    </row>
    <row r="62" spans="1:10" ht="30" customHeight="1" x14ac:dyDescent="0.25">
      <c r="A62" s="11"/>
      <c r="B62" s="87" t="s">
        <v>235</v>
      </c>
      <c r="C62" s="88"/>
      <c r="D62" s="88"/>
      <c r="E62" s="9">
        <v>5</v>
      </c>
      <c r="F62" s="27">
        <v>3.5</v>
      </c>
      <c r="G62" s="32">
        <f t="shared" si="0"/>
        <v>0.7</v>
      </c>
      <c r="H62" s="33" t="str">
        <f t="shared" si="1"/>
        <v>جيد</v>
      </c>
      <c r="I62" s="45"/>
      <c r="J62" s="46"/>
    </row>
    <row r="63" spans="1:10" ht="30" customHeight="1" x14ac:dyDescent="0.25">
      <c r="A63" s="11"/>
      <c r="B63" s="87" t="s">
        <v>236</v>
      </c>
      <c r="C63" s="88"/>
      <c r="D63" s="88"/>
      <c r="E63" s="9">
        <v>5</v>
      </c>
      <c r="F63" s="27">
        <v>3.5</v>
      </c>
      <c r="G63" s="32">
        <f t="shared" si="0"/>
        <v>0.7</v>
      </c>
      <c r="H63" s="33" t="str">
        <f t="shared" si="1"/>
        <v>جيد</v>
      </c>
      <c r="I63" s="45"/>
      <c r="J63" s="46"/>
    </row>
    <row r="64" spans="1:10" ht="30" customHeight="1" x14ac:dyDescent="0.25">
      <c r="A64" s="11"/>
      <c r="B64" s="87" t="s">
        <v>237</v>
      </c>
      <c r="C64" s="88"/>
      <c r="D64" s="88"/>
      <c r="E64" s="9">
        <v>5</v>
      </c>
      <c r="F64" s="27">
        <v>3.5</v>
      </c>
      <c r="G64" s="32">
        <f t="shared" si="0"/>
        <v>0.7</v>
      </c>
      <c r="H64" s="33" t="str">
        <f t="shared" si="1"/>
        <v>جيد</v>
      </c>
      <c r="I64" s="45"/>
      <c r="J64" s="46"/>
    </row>
    <row r="65" spans="1:10" ht="30" customHeight="1" x14ac:dyDescent="0.25">
      <c r="A65" s="11"/>
      <c r="B65" s="87" t="s">
        <v>238</v>
      </c>
      <c r="C65" s="88"/>
      <c r="D65" s="88"/>
      <c r="E65" s="9">
        <v>5</v>
      </c>
      <c r="F65" s="27">
        <v>3.5</v>
      </c>
      <c r="G65" s="32">
        <f t="shared" si="0"/>
        <v>0.7</v>
      </c>
      <c r="H65" s="33" t="str">
        <f t="shared" si="1"/>
        <v>جيد</v>
      </c>
      <c r="I65" s="45"/>
      <c r="J65" s="46"/>
    </row>
    <row r="66" spans="1:10" ht="30" customHeight="1" x14ac:dyDescent="0.25">
      <c r="A66" s="11"/>
      <c r="B66" s="87" t="s">
        <v>239</v>
      </c>
      <c r="C66" s="88"/>
      <c r="D66" s="88"/>
      <c r="E66" s="9">
        <v>5</v>
      </c>
      <c r="F66" s="27">
        <v>3.5</v>
      </c>
      <c r="G66" s="32">
        <f t="shared" si="0"/>
        <v>0.7</v>
      </c>
      <c r="H66" s="33" t="str">
        <f t="shared" si="1"/>
        <v>جيد</v>
      </c>
      <c r="I66" s="45"/>
      <c r="J66" s="46"/>
    </row>
    <row r="67" spans="1:10" ht="30" customHeight="1" x14ac:dyDescent="0.25">
      <c r="A67" s="11"/>
      <c r="B67" s="87" t="s">
        <v>240</v>
      </c>
      <c r="C67" s="88"/>
      <c r="D67" s="88"/>
      <c r="E67" s="9">
        <v>5</v>
      </c>
      <c r="F67" s="27">
        <v>3.5</v>
      </c>
      <c r="G67" s="32">
        <f t="shared" si="0"/>
        <v>0.7</v>
      </c>
      <c r="H67" s="33" t="str">
        <f t="shared" si="1"/>
        <v>جيد</v>
      </c>
      <c r="I67" s="45"/>
      <c r="J67" s="46"/>
    </row>
    <row r="68" spans="1:10" ht="30" customHeight="1" x14ac:dyDescent="0.25">
      <c r="A68" s="11"/>
      <c r="B68" s="87" t="s">
        <v>241</v>
      </c>
      <c r="C68" s="88"/>
      <c r="D68" s="88"/>
      <c r="E68" s="9">
        <v>5</v>
      </c>
      <c r="F68" s="27">
        <v>3.5</v>
      </c>
      <c r="G68" s="32">
        <f t="shared" si="0"/>
        <v>0.7</v>
      </c>
      <c r="H68" s="33" t="str">
        <f t="shared" si="1"/>
        <v>جيد</v>
      </c>
      <c r="I68" s="45"/>
      <c r="J68" s="46"/>
    </row>
    <row r="69" spans="1:10" ht="30" customHeight="1" x14ac:dyDescent="0.25">
      <c r="A69" s="11"/>
      <c r="B69" s="87" t="s">
        <v>242</v>
      </c>
      <c r="C69" s="88"/>
      <c r="D69" s="88"/>
      <c r="E69" s="9">
        <v>5</v>
      </c>
      <c r="F69" s="27">
        <v>3.5</v>
      </c>
      <c r="G69" s="32">
        <f t="shared" si="0"/>
        <v>0.7</v>
      </c>
      <c r="H69" s="33" t="str">
        <f t="shared" si="1"/>
        <v>جيد</v>
      </c>
      <c r="I69" s="45"/>
      <c r="J69" s="46"/>
    </row>
    <row r="70" spans="1:10" ht="30" customHeight="1" x14ac:dyDescent="0.25">
      <c r="A70" s="11"/>
      <c r="B70" s="87" t="s">
        <v>243</v>
      </c>
      <c r="C70" s="88"/>
      <c r="D70" s="88"/>
      <c r="E70" s="9">
        <v>5</v>
      </c>
      <c r="F70" s="27">
        <v>3.5</v>
      </c>
      <c r="G70" s="32">
        <f t="shared" si="0"/>
        <v>0.7</v>
      </c>
      <c r="H70" s="33" t="str">
        <f t="shared" si="1"/>
        <v>جيد</v>
      </c>
      <c r="I70" s="45"/>
      <c r="J70" s="46"/>
    </row>
    <row r="71" spans="1:10" ht="30" customHeight="1" x14ac:dyDescent="0.25">
      <c r="A71" s="11"/>
      <c r="B71" s="87" t="s">
        <v>244</v>
      </c>
      <c r="C71" s="88"/>
      <c r="D71" s="88"/>
      <c r="E71" s="9">
        <v>5</v>
      </c>
      <c r="F71" s="27">
        <v>3.5</v>
      </c>
      <c r="G71" s="32">
        <f t="shared" si="0"/>
        <v>0.7</v>
      </c>
      <c r="H71" s="33" t="str">
        <f t="shared" si="1"/>
        <v>جيد</v>
      </c>
      <c r="I71" s="45"/>
      <c r="J71" s="46"/>
    </row>
    <row r="72" spans="1:10" ht="30" customHeight="1" x14ac:dyDescent="0.25">
      <c r="A72" s="11"/>
      <c r="B72" s="87" t="s">
        <v>245</v>
      </c>
      <c r="C72" s="88"/>
      <c r="D72" s="88"/>
      <c r="E72" s="9">
        <v>5</v>
      </c>
      <c r="F72" s="27">
        <v>3.5</v>
      </c>
      <c r="G72" s="32">
        <f t="shared" si="0"/>
        <v>0.7</v>
      </c>
      <c r="H72" s="33" t="str">
        <f t="shared" si="1"/>
        <v>جيد</v>
      </c>
      <c r="I72" s="45"/>
      <c r="J72" s="46"/>
    </row>
    <row r="73" spans="1:10" ht="30" customHeight="1" x14ac:dyDescent="0.25">
      <c r="A73" s="11"/>
      <c r="B73" s="87" t="s">
        <v>246</v>
      </c>
      <c r="C73" s="88"/>
      <c r="D73" s="88"/>
      <c r="E73" s="9">
        <v>5</v>
      </c>
      <c r="F73" s="27">
        <v>3.5</v>
      </c>
      <c r="G73" s="32">
        <f t="shared" si="0"/>
        <v>0.7</v>
      </c>
      <c r="H73" s="33" t="str">
        <f t="shared" si="1"/>
        <v>جيد</v>
      </c>
      <c r="I73" s="45"/>
      <c r="J73" s="46"/>
    </row>
    <row r="74" spans="1:10" ht="30" customHeight="1" x14ac:dyDescent="0.25">
      <c r="A74" s="11"/>
      <c r="B74" s="87" t="s">
        <v>247</v>
      </c>
      <c r="C74" s="88"/>
      <c r="D74" s="88"/>
      <c r="E74" s="9">
        <v>5</v>
      </c>
      <c r="F74" s="27">
        <v>3.5</v>
      </c>
      <c r="G74" s="32">
        <f t="shared" ref="G74:G95" si="2">IFERROR(F74/E74,"")</f>
        <v>0.7</v>
      </c>
      <c r="H74" s="33" t="str">
        <f t="shared" ref="H74:H95" si="3">_xlfn.IFS(F74="أدخل العلامة","",F74="لا ينطبق","تم الإلغاء",G74&gt;=90%,"ممتاز",G74&gt;=80%,"جيد جداً",G74&gt;=70%,"جيد",G74&gt;=60%,"مقبول",G74&lt;60%,"راسب")</f>
        <v>جيد</v>
      </c>
      <c r="I74" s="45"/>
      <c r="J74" s="46"/>
    </row>
    <row r="75" spans="1:10" ht="30" customHeight="1" thickBot="1" x14ac:dyDescent="0.3">
      <c r="A75" s="11"/>
      <c r="B75" s="89" t="s">
        <v>248</v>
      </c>
      <c r="C75" s="90"/>
      <c r="D75" s="90"/>
      <c r="E75" s="38">
        <v>5</v>
      </c>
      <c r="F75" s="29">
        <v>3.5</v>
      </c>
      <c r="G75" s="39">
        <f t="shared" si="2"/>
        <v>0.7</v>
      </c>
      <c r="H75" s="40" t="str">
        <f t="shared" si="3"/>
        <v>جيد</v>
      </c>
      <c r="I75" s="52"/>
      <c r="J75" s="53"/>
    </row>
    <row r="76" spans="1:10" ht="30" customHeight="1" x14ac:dyDescent="0.25">
      <c r="A76" s="11"/>
      <c r="B76" s="85" t="s">
        <v>249</v>
      </c>
      <c r="C76" s="86"/>
      <c r="D76" s="86"/>
      <c r="E76" s="34"/>
      <c r="F76" s="35"/>
      <c r="G76" s="36"/>
      <c r="H76" s="37"/>
      <c r="I76" s="43"/>
      <c r="J76" s="44"/>
    </row>
    <row r="77" spans="1:10" ht="30" customHeight="1" x14ac:dyDescent="0.25">
      <c r="A77" s="11"/>
      <c r="B77" s="87" t="s">
        <v>250</v>
      </c>
      <c r="C77" s="88"/>
      <c r="D77" s="88"/>
      <c r="E77" s="9">
        <v>5</v>
      </c>
      <c r="F77" s="27">
        <v>3.5</v>
      </c>
      <c r="G77" s="32">
        <f t="shared" si="2"/>
        <v>0.7</v>
      </c>
      <c r="H77" s="33" t="str">
        <f t="shared" si="3"/>
        <v>جيد</v>
      </c>
      <c r="I77" s="45"/>
      <c r="J77" s="46"/>
    </row>
    <row r="78" spans="1:10" ht="30" customHeight="1" x14ac:dyDescent="0.25">
      <c r="A78" s="11"/>
      <c r="B78" s="87" t="s">
        <v>251</v>
      </c>
      <c r="C78" s="88"/>
      <c r="D78" s="88"/>
      <c r="E78" s="9">
        <v>5</v>
      </c>
      <c r="F78" s="27">
        <v>3.5</v>
      </c>
      <c r="G78" s="32">
        <f t="shared" si="2"/>
        <v>0.7</v>
      </c>
      <c r="H78" s="33" t="str">
        <f t="shared" si="3"/>
        <v>جيد</v>
      </c>
      <c r="I78" s="45"/>
      <c r="J78" s="46"/>
    </row>
    <row r="79" spans="1:10" ht="30" customHeight="1" x14ac:dyDescent="0.25">
      <c r="A79" s="11"/>
      <c r="B79" s="87" t="s">
        <v>252</v>
      </c>
      <c r="C79" s="88"/>
      <c r="D79" s="88"/>
      <c r="E79" s="9">
        <v>5</v>
      </c>
      <c r="F79" s="27">
        <v>3.5</v>
      </c>
      <c r="G79" s="32">
        <f t="shared" si="2"/>
        <v>0.7</v>
      </c>
      <c r="H79" s="33" t="str">
        <f t="shared" si="3"/>
        <v>جيد</v>
      </c>
      <c r="I79" s="45"/>
      <c r="J79" s="46"/>
    </row>
    <row r="80" spans="1:10" ht="30" customHeight="1" x14ac:dyDescent="0.25">
      <c r="A80" s="11"/>
      <c r="B80" s="87" t="s">
        <v>253</v>
      </c>
      <c r="C80" s="88"/>
      <c r="D80" s="88"/>
      <c r="E80" s="9">
        <v>5</v>
      </c>
      <c r="F80" s="27">
        <v>3.5</v>
      </c>
      <c r="G80" s="32">
        <f t="shared" si="2"/>
        <v>0.7</v>
      </c>
      <c r="H80" s="33" t="str">
        <f t="shared" si="3"/>
        <v>جيد</v>
      </c>
      <c r="I80" s="45"/>
      <c r="J80" s="46"/>
    </row>
    <row r="81" spans="1:10" ht="30" customHeight="1" x14ac:dyDescent="0.25">
      <c r="A81" s="11"/>
      <c r="B81" s="87" t="s">
        <v>254</v>
      </c>
      <c r="C81" s="88"/>
      <c r="D81" s="88"/>
      <c r="E81" s="9">
        <v>5</v>
      </c>
      <c r="F81" s="27">
        <v>3.5</v>
      </c>
      <c r="G81" s="32">
        <f t="shared" si="2"/>
        <v>0.7</v>
      </c>
      <c r="H81" s="33" t="str">
        <f t="shared" si="3"/>
        <v>جيد</v>
      </c>
      <c r="I81" s="45"/>
      <c r="J81" s="46"/>
    </row>
    <row r="82" spans="1:10" ht="30" customHeight="1" thickBot="1" x14ac:dyDescent="0.3">
      <c r="A82" s="11"/>
      <c r="B82" s="89" t="s">
        <v>255</v>
      </c>
      <c r="C82" s="90"/>
      <c r="D82" s="90"/>
      <c r="E82" s="38">
        <v>5</v>
      </c>
      <c r="F82" s="29">
        <v>3.5</v>
      </c>
      <c r="G82" s="39">
        <f t="shared" si="2"/>
        <v>0.7</v>
      </c>
      <c r="H82" s="40" t="str">
        <f t="shared" si="3"/>
        <v>جيد</v>
      </c>
      <c r="I82" s="52"/>
      <c r="J82" s="53"/>
    </row>
    <row r="83" spans="1:10" ht="30" customHeight="1" x14ac:dyDescent="0.25">
      <c r="A83" s="11"/>
      <c r="B83" s="85" t="s">
        <v>256</v>
      </c>
      <c r="C83" s="86"/>
      <c r="D83" s="86"/>
      <c r="E83" s="34"/>
      <c r="F83" s="35"/>
      <c r="G83" s="36"/>
      <c r="H83" s="37"/>
      <c r="I83" s="43"/>
      <c r="J83" s="44"/>
    </row>
    <row r="84" spans="1:10" ht="30" customHeight="1" x14ac:dyDescent="0.25">
      <c r="A84" s="11"/>
      <c r="B84" s="87" t="s">
        <v>257</v>
      </c>
      <c r="C84" s="88"/>
      <c r="D84" s="88"/>
      <c r="E84" s="9">
        <v>5</v>
      </c>
      <c r="F84" s="27">
        <v>3.5</v>
      </c>
      <c r="G84" s="32">
        <f t="shared" si="2"/>
        <v>0.7</v>
      </c>
      <c r="H84" s="33" t="str">
        <f t="shared" si="3"/>
        <v>جيد</v>
      </c>
      <c r="I84" s="45"/>
      <c r="J84" s="46"/>
    </row>
    <row r="85" spans="1:10" ht="30" customHeight="1" x14ac:dyDescent="0.25">
      <c r="A85" s="11"/>
      <c r="B85" s="87" t="s">
        <v>258</v>
      </c>
      <c r="C85" s="88"/>
      <c r="D85" s="88"/>
      <c r="E85" s="9">
        <v>5</v>
      </c>
      <c r="F85" s="27">
        <v>3.5</v>
      </c>
      <c r="G85" s="32">
        <f t="shared" si="2"/>
        <v>0.7</v>
      </c>
      <c r="H85" s="33" t="str">
        <f t="shared" si="3"/>
        <v>جيد</v>
      </c>
      <c r="I85" s="45"/>
      <c r="J85" s="46"/>
    </row>
    <row r="86" spans="1:10" ht="30" customHeight="1" x14ac:dyDescent="0.25">
      <c r="A86" s="11"/>
      <c r="B86" s="87" t="s">
        <v>259</v>
      </c>
      <c r="C86" s="88"/>
      <c r="D86" s="88"/>
      <c r="E86" s="9">
        <v>5</v>
      </c>
      <c r="F86" s="27">
        <v>3.75</v>
      </c>
      <c r="G86" s="32">
        <f t="shared" si="2"/>
        <v>0.75</v>
      </c>
      <c r="H86" s="33" t="str">
        <f t="shared" si="3"/>
        <v>جيد</v>
      </c>
      <c r="I86" s="45"/>
      <c r="J86" s="46"/>
    </row>
    <row r="87" spans="1:10" ht="30" customHeight="1" x14ac:dyDescent="0.25">
      <c r="A87" s="11"/>
      <c r="B87" s="87" t="s">
        <v>260</v>
      </c>
      <c r="C87" s="88"/>
      <c r="D87" s="88"/>
      <c r="E87" s="9">
        <v>5</v>
      </c>
      <c r="F87" s="27">
        <v>3.5</v>
      </c>
      <c r="G87" s="32">
        <f t="shared" si="2"/>
        <v>0.7</v>
      </c>
      <c r="H87" s="33" t="str">
        <f t="shared" si="3"/>
        <v>جيد</v>
      </c>
      <c r="I87" s="45"/>
      <c r="J87" s="46"/>
    </row>
    <row r="88" spans="1:10" ht="30" customHeight="1" x14ac:dyDescent="0.25">
      <c r="A88" s="11"/>
      <c r="B88" s="87" t="s">
        <v>261</v>
      </c>
      <c r="C88" s="88"/>
      <c r="D88" s="88"/>
      <c r="E88" s="9">
        <v>5</v>
      </c>
      <c r="F88" s="27">
        <v>3.5</v>
      </c>
      <c r="G88" s="32">
        <f t="shared" si="2"/>
        <v>0.7</v>
      </c>
      <c r="H88" s="33" t="str">
        <f t="shared" si="3"/>
        <v>جيد</v>
      </c>
      <c r="I88" s="45"/>
      <c r="J88" s="46"/>
    </row>
    <row r="89" spans="1:10" ht="30" customHeight="1" x14ac:dyDescent="0.25">
      <c r="A89" s="11"/>
      <c r="B89" s="87" t="s">
        <v>262</v>
      </c>
      <c r="C89" s="88"/>
      <c r="D89" s="88"/>
      <c r="E89" s="9">
        <v>5</v>
      </c>
      <c r="F89" s="27">
        <v>3.5</v>
      </c>
      <c r="G89" s="32">
        <f t="shared" si="2"/>
        <v>0.7</v>
      </c>
      <c r="H89" s="33" t="str">
        <f t="shared" si="3"/>
        <v>جيد</v>
      </c>
      <c r="I89" s="45"/>
      <c r="J89" s="46"/>
    </row>
    <row r="90" spans="1:10" ht="30" customHeight="1" x14ac:dyDescent="0.25">
      <c r="A90" s="11"/>
      <c r="B90" s="87" t="s">
        <v>263</v>
      </c>
      <c r="C90" s="88"/>
      <c r="D90" s="88"/>
      <c r="E90" s="9">
        <v>5</v>
      </c>
      <c r="F90" s="27">
        <v>3.5</v>
      </c>
      <c r="G90" s="32">
        <f t="shared" si="2"/>
        <v>0.7</v>
      </c>
      <c r="H90" s="33" t="str">
        <f t="shared" si="3"/>
        <v>جيد</v>
      </c>
      <c r="I90" s="45"/>
      <c r="J90" s="46"/>
    </row>
    <row r="91" spans="1:10" ht="30" customHeight="1" x14ac:dyDescent="0.25">
      <c r="A91" s="11"/>
      <c r="B91" s="87" t="s">
        <v>264</v>
      </c>
      <c r="C91" s="88"/>
      <c r="D91" s="88"/>
      <c r="E91" s="9">
        <v>5</v>
      </c>
      <c r="F91" s="27">
        <v>3.5</v>
      </c>
      <c r="G91" s="32">
        <f t="shared" si="2"/>
        <v>0.7</v>
      </c>
      <c r="H91" s="33" t="str">
        <f t="shared" si="3"/>
        <v>جيد</v>
      </c>
      <c r="I91" s="45"/>
      <c r="J91" s="46"/>
    </row>
    <row r="92" spans="1:10" ht="30" customHeight="1" x14ac:dyDescent="0.25">
      <c r="A92" s="11"/>
      <c r="B92" s="87" t="s">
        <v>265</v>
      </c>
      <c r="C92" s="88"/>
      <c r="D92" s="88"/>
      <c r="E92" s="9">
        <v>5</v>
      </c>
      <c r="F92" s="27">
        <v>3.5</v>
      </c>
      <c r="G92" s="32">
        <f t="shared" si="2"/>
        <v>0.7</v>
      </c>
      <c r="H92" s="33" t="str">
        <f t="shared" si="3"/>
        <v>جيد</v>
      </c>
      <c r="I92" s="45"/>
      <c r="J92" s="46"/>
    </row>
    <row r="93" spans="1:10" ht="30" customHeight="1" x14ac:dyDescent="0.25">
      <c r="A93" s="11"/>
      <c r="B93" s="87" t="s">
        <v>266</v>
      </c>
      <c r="C93" s="88"/>
      <c r="D93" s="88"/>
      <c r="E93" s="9">
        <v>5</v>
      </c>
      <c r="F93" s="27">
        <v>3.75</v>
      </c>
      <c r="G93" s="32">
        <f t="shared" si="2"/>
        <v>0.75</v>
      </c>
      <c r="H93" s="33" t="str">
        <f t="shared" si="3"/>
        <v>جيد</v>
      </c>
      <c r="I93" s="45"/>
      <c r="J93" s="46"/>
    </row>
    <row r="94" spans="1:10" ht="30" customHeight="1" thickBot="1" x14ac:dyDescent="0.3">
      <c r="A94" s="11"/>
      <c r="B94" s="89" t="s">
        <v>267</v>
      </c>
      <c r="C94" s="90"/>
      <c r="D94" s="90"/>
      <c r="E94" s="38">
        <v>5</v>
      </c>
      <c r="F94" s="29">
        <v>3.75</v>
      </c>
      <c r="G94" s="39">
        <f t="shared" si="2"/>
        <v>0.75</v>
      </c>
      <c r="H94" s="40" t="str">
        <f t="shared" si="3"/>
        <v>جيد</v>
      </c>
      <c r="I94" s="52"/>
      <c r="J94" s="53"/>
    </row>
    <row r="95" spans="1:10" ht="39.950000000000003" customHeight="1" thickBot="1" x14ac:dyDescent="0.3">
      <c r="A95" s="11"/>
      <c r="B95" s="83" t="s">
        <v>268</v>
      </c>
      <c r="C95" s="84"/>
      <c r="D95" s="84"/>
      <c r="E95" s="10">
        <v>5</v>
      </c>
      <c r="F95" s="41">
        <v>3.75</v>
      </c>
      <c r="G95" s="42">
        <f t="shared" si="2"/>
        <v>0.75</v>
      </c>
      <c r="H95" s="28" t="str">
        <f t="shared" si="3"/>
        <v>جيد</v>
      </c>
      <c r="I95" s="54"/>
      <c r="J95" s="55"/>
    </row>
    <row r="96" spans="1:10" ht="30" customHeight="1" thickBot="1" x14ac:dyDescent="0.3">
      <c r="A96" s="4"/>
      <c r="B96" s="79" t="s">
        <v>5</v>
      </c>
      <c r="C96" s="80"/>
      <c r="D96" s="80"/>
      <c r="E96" s="31">
        <f>SUM(E8:E95)</f>
        <v>400</v>
      </c>
      <c r="F96" s="31">
        <f>SUM(F8:F95)</f>
        <v>286.25</v>
      </c>
      <c r="G96" s="49"/>
      <c r="H96" s="50"/>
      <c r="I96" s="50"/>
      <c r="J96" s="51"/>
    </row>
    <row r="97" spans="1:10" ht="30" customHeight="1" thickBot="1" x14ac:dyDescent="0.3">
      <c r="A97" s="4"/>
      <c r="B97" s="81" t="s">
        <v>54</v>
      </c>
      <c r="C97" s="82"/>
      <c r="D97" s="82"/>
      <c r="E97" s="63">
        <f>F96/E96/100*100</f>
        <v>0.71562499999999996</v>
      </c>
      <c r="F97" s="63"/>
      <c r="G97" s="63"/>
      <c r="H97" s="63"/>
      <c r="I97" s="63"/>
      <c r="J97" s="64"/>
    </row>
    <row r="98" spans="1:10" ht="30" customHeight="1" thickBot="1" x14ac:dyDescent="0.3">
      <c r="A98" s="4"/>
      <c r="B98" s="81" t="s">
        <v>55</v>
      </c>
      <c r="C98" s="82"/>
      <c r="D98" s="82"/>
      <c r="E98" s="77" t="str">
        <f>_xlfn.IFS(E97&gt;=90%,"ممتاز",E97&gt;=80%,"جيد جداً",E97&gt;=70%,"جيد",E97&gt;=60%,"مقبول",E97&lt;60%,"راسب")</f>
        <v>جيد</v>
      </c>
      <c r="F98" s="77"/>
      <c r="G98" s="77"/>
      <c r="H98" s="77"/>
      <c r="I98" s="77"/>
      <c r="J98" s="78"/>
    </row>
    <row r="99" spans="1:10" ht="42" customHeight="1" x14ac:dyDescent="0.25">
      <c r="B99" s="73" t="s">
        <v>174</v>
      </c>
      <c r="C99" s="73"/>
      <c r="D99" s="73"/>
      <c r="E99" s="47" t="s">
        <v>52</v>
      </c>
      <c r="F99" s="47"/>
      <c r="G99" s="75" t="s">
        <v>134</v>
      </c>
      <c r="H99" s="75"/>
      <c r="I99" s="75"/>
      <c r="J99" s="75"/>
    </row>
    <row r="100" spans="1:10" ht="51" customHeight="1" x14ac:dyDescent="0.25">
      <c r="A100" s="5"/>
      <c r="B100" s="74"/>
      <c r="C100" s="74"/>
      <c r="D100" s="74"/>
      <c r="E100" s="48" t="s">
        <v>53</v>
      </c>
      <c r="F100" s="48"/>
      <c r="G100" s="76"/>
      <c r="H100" s="76"/>
      <c r="I100" s="76"/>
      <c r="J100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7">
    <mergeCell ref="B94:D94"/>
    <mergeCell ref="B95:D95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96:D96"/>
    <mergeCell ref="B97:D97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99:F99"/>
    <mergeCell ref="E100:F100"/>
    <mergeCell ref="G96:J96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47:J47"/>
    <mergeCell ref="I48:J48"/>
    <mergeCell ref="I62:J62"/>
    <mergeCell ref="I63:J63"/>
    <mergeCell ref="I64:J6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14" priority="57">
      <formula>$E98="راسب"</formula>
    </cfRule>
  </conditionalFormatting>
  <conditionalFormatting sqref="E98:J98">
    <cfRule type="expression" dxfId="13" priority="58">
      <formula>$E98="مقبول"</formula>
    </cfRule>
    <cfRule type="expression" dxfId="12" priority="59">
      <formula>$E98="جيد"</formula>
    </cfRule>
    <cfRule type="expression" dxfId="11" priority="60">
      <formula>$E98="جيد جداً"</formula>
    </cfRule>
    <cfRule type="expression" dxfId="10" priority="61">
      <formula>$E98="ممتاز"</formula>
    </cfRule>
  </conditionalFormatting>
  <conditionalFormatting sqref="F8:F9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6" priority="15" operator="containsText" text="أدخل اسم المحكم">
      <formula>NOT(ISERROR(SEARCH("أدخل اسم المحكم",G99)))</formula>
    </cfRule>
  </conditionalFormatting>
  <conditionalFormatting sqref="H8:H9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F84:F95 F77:F82 F62:F75 F50:F60 F35:F48 F31:F33 F23:F29 F8 F10:F21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5">
      <c r="A35" s="19"/>
    </row>
    <row r="36" spans="1:9" s="18" customFormat="1" ht="20.100000000000001" customHeight="1" x14ac:dyDescent="0.25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5">
      <c r="A107" s="15"/>
    </row>
    <row r="108" spans="1:9" ht="20.100000000000001" customHeight="1" x14ac:dyDescent="0.25">
      <c r="A108" s="15"/>
    </row>
    <row r="109" spans="1:9" s="18" customFormat="1" ht="20.100000000000001" customHeight="1" x14ac:dyDescent="0.25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1" t="s">
        <v>89</v>
      </c>
    </row>
    <row r="200" spans="1:1" ht="20.100000000000001" customHeight="1" x14ac:dyDescent="0.25">
      <c r="A200" s="21" t="s">
        <v>90</v>
      </c>
    </row>
    <row r="201" spans="1:1" ht="20.100000000000001" customHeight="1" x14ac:dyDescent="0.25">
      <c r="A201" s="21" t="s">
        <v>91</v>
      </c>
    </row>
    <row r="202" spans="1:1" ht="20.100000000000001" customHeight="1" x14ac:dyDescent="0.25">
      <c r="A202" s="21" t="s">
        <v>92</v>
      </c>
    </row>
    <row r="203" spans="1:1" ht="20.100000000000001" customHeight="1" x14ac:dyDescent="0.25">
      <c r="A203" s="21" t="s">
        <v>93</v>
      </c>
    </row>
    <row r="204" spans="1:1" ht="20.100000000000001" customHeight="1" x14ac:dyDescent="0.25">
      <c r="A204" s="21" t="s">
        <v>94</v>
      </c>
    </row>
    <row r="205" spans="1:1" ht="20.100000000000001" customHeight="1" x14ac:dyDescent="0.25">
      <c r="A205" s="21" t="s">
        <v>95</v>
      </c>
    </row>
    <row r="206" spans="1:1" ht="20.100000000000001" customHeight="1" x14ac:dyDescent="0.25">
      <c r="A206" s="21" t="s">
        <v>96</v>
      </c>
    </row>
    <row r="207" spans="1:1" ht="20.100000000000001" customHeight="1" x14ac:dyDescent="0.25">
      <c r="A207" s="21" t="s">
        <v>97</v>
      </c>
    </row>
    <row r="208" spans="1:1" ht="20.100000000000001" customHeight="1" x14ac:dyDescent="0.25">
      <c r="A208" s="22" t="s">
        <v>98</v>
      </c>
    </row>
    <row r="209" spans="1:1" ht="20.100000000000001" customHeight="1" x14ac:dyDescent="0.25">
      <c r="A209" s="22" t="s">
        <v>99</v>
      </c>
    </row>
    <row r="210" spans="1:1" ht="20.100000000000001" customHeight="1" x14ac:dyDescent="0.25">
      <c r="A210" s="21" t="s">
        <v>100</v>
      </c>
    </row>
    <row r="211" spans="1:1" ht="20.100000000000001" customHeight="1" x14ac:dyDescent="0.25">
      <c r="A211" s="21" t="s">
        <v>101</v>
      </c>
    </row>
    <row r="212" spans="1:1" ht="20.100000000000001" customHeight="1" x14ac:dyDescent="0.25">
      <c r="A212" s="21" t="s">
        <v>175</v>
      </c>
    </row>
    <row r="213" spans="1:1" ht="20.100000000000001" customHeight="1" x14ac:dyDescent="0.25">
      <c r="A213" s="21" t="s">
        <v>102</v>
      </c>
    </row>
    <row r="214" spans="1:1" ht="20.100000000000001" customHeight="1" x14ac:dyDescent="0.25">
      <c r="A214" s="21" t="s">
        <v>103</v>
      </c>
    </row>
    <row r="215" spans="1:1" ht="20.100000000000001" customHeight="1" x14ac:dyDescent="0.25">
      <c r="A215" s="21" t="s">
        <v>104</v>
      </c>
    </row>
    <row r="216" spans="1:1" ht="20.100000000000001" customHeight="1" x14ac:dyDescent="0.25">
      <c r="A216" s="21" t="s">
        <v>105</v>
      </c>
    </row>
    <row r="217" spans="1:1" ht="20.100000000000001" customHeight="1" x14ac:dyDescent="0.25">
      <c r="A217" s="21" t="s">
        <v>106</v>
      </c>
    </row>
    <row r="218" spans="1:1" ht="20.100000000000001" customHeight="1" x14ac:dyDescent="0.25">
      <c r="A218" s="21" t="s">
        <v>107</v>
      </c>
    </row>
    <row r="219" spans="1:1" ht="20.100000000000001" customHeight="1" x14ac:dyDescent="0.25">
      <c r="A219" s="21" t="s">
        <v>108</v>
      </c>
    </row>
    <row r="220" spans="1:1" ht="20.100000000000001" customHeight="1" x14ac:dyDescent="0.25">
      <c r="A220" s="21" t="s">
        <v>109</v>
      </c>
    </row>
    <row r="221" spans="1:1" ht="20.100000000000001" customHeight="1" x14ac:dyDescent="0.25">
      <c r="A221" s="21" t="s">
        <v>110</v>
      </c>
    </row>
    <row r="222" spans="1:1" ht="20.100000000000001" customHeight="1" x14ac:dyDescent="0.25">
      <c r="A222" s="21" t="s">
        <v>111</v>
      </c>
    </row>
    <row r="223" spans="1:1" ht="20.100000000000001" customHeight="1" x14ac:dyDescent="0.25">
      <c r="A223" s="21" t="s">
        <v>112</v>
      </c>
    </row>
    <row r="224" spans="1:1" ht="20.100000000000001" customHeight="1" x14ac:dyDescent="0.25">
      <c r="A224" s="21" t="s">
        <v>176</v>
      </c>
    </row>
    <row r="225" spans="1:1" ht="20.100000000000001" customHeight="1" x14ac:dyDescent="0.25">
      <c r="A225" s="21" t="s">
        <v>113</v>
      </c>
    </row>
    <row r="226" spans="1:1" ht="20.100000000000001" customHeight="1" x14ac:dyDescent="0.25">
      <c r="A226" s="21" t="s">
        <v>114</v>
      </c>
    </row>
    <row r="227" spans="1:1" ht="20.100000000000001" customHeight="1" x14ac:dyDescent="0.25">
      <c r="A227" s="21" t="s">
        <v>115</v>
      </c>
    </row>
    <row r="228" spans="1:1" ht="20.100000000000001" customHeight="1" x14ac:dyDescent="0.25">
      <c r="A228" s="21" t="s">
        <v>116</v>
      </c>
    </row>
    <row r="229" spans="1:1" ht="20.100000000000001" customHeight="1" x14ac:dyDescent="0.25">
      <c r="A229" s="21" t="s">
        <v>117</v>
      </c>
    </row>
    <row r="230" spans="1:1" ht="20.100000000000001" customHeight="1" x14ac:dyDescent="0.25">
      <c r="A230" s="21" t="s">
        <v>118</v>
      </c>
    </row>
    <row r="231" spans="1:1" ht="20.100000000000001" customHeight="1" x14ac:dyDescent="0.25">
      <c r="A231" s="21" t="s">
        <v>119</v>
      </c>
    </row>
    <row r="232" spans="1:1" ht="20.100000000000001" customHeight="1" x14ac:dyDescent="0.25">
      <c r="A232" s="21" t="s">
        <v>120</v>
      </c>
    </row>
    <row r="233" spans="1:1" ht="20.100000000000001" customHeight="1" x14ac:dyDescent="0.25">
      <c r="A233" s="21" t="s">
        <v>121</v>
      </c>
    </row>
    <row r="234" spans="1:1" ht="20.100000000000001" customHeight="1" x14ac:dyDescent="0.25">
      <c r="A234" s="21" t="s">
        <v>122</v>
      </c>
    </row>
    <row r="235" spans="1:1" ht="20.100000000000001" customHeight="1" x14ac:dyDescent="0.25">
      <c r="A235" s="21" t="s">
        <v>123</v>
      </c>
    </row>
    <row r="236" spans="1:1" ht="20.100000000000001" customHeight="1" x14ac:dyDescent="0.25">
      <c r="A236" s="23" t="s">
        <v>124</v>
      </c>
    </row>
    <row r="237" spans="1:1" ht="20.100000000000001" customHeight="1" x14ac:dyDescent="0.25">
      <c r="A237" s="21" t="s">
        <v>125</v>
      </c>
    </row>
    <row r="238" spans="1:1" ht="20.100000000000001" customHeight="1" x14ac:dyDescent="0.25">
      <c r="A238" s="21" t="s">
        <v>126</v>
      </c>
    </row>
    <row r="239" spans="1:1" ht="20.100000000000001" customHeight="1" x14ac:dyDescent="0.25">
      <c r="A239" s="21" t="s">
        <v>127</v>
      </c>
    </row>
    <row r="240" spans="1:1" ht="20.100000000000001" customHeight="1" x14ac:dyDescent="0.25">
      <c r="A240" s="21" t="s">
        <v>128</v>
      </c>
    </row>
    <row r="241" spans="1:1" ht="20.100000000000001" customHeight="1" x14ac:dyDescent="0.25">
      <c r="A241" s="21" t="s">
        <v>129</v>
      </c>
    </row>
    <row r="242" spans="1:1" ht="20.100000000000001" customHeight="1" x14ac:dyDescent="0.25">
      <c r="A242" s="21" t="s">
        <v>130</v>
      </c>
    </row>
    <row r="243" spans="1:1" ht="20.100000000000001" customHeight="1" x14ac:dyDescent="0.25">
      <c r="A243" s="21" t="s">
        <v>131</v>
      </c>
    </row>
    <row r="244" spans="1:1" ht="20.100000000000001" customHeight="1" x14ac:dyDescent="0.25">
      <c r="A244" s="21" t="s">
        <v>132</v>
      </c>
    </row>
    <row r="245" spans="1:1" ht="20.100000000000001" customHeight="1" x14ac:dyDescent="0.25">
      <c r="A245" s="21" t="s">
        <v>133</v>
      </c>
    </row>
    <row r="246" spans="1:1" ht="20.100000000000001" customHeight="1" x14ac:dyDescent="0.25">
      <c r="A246" s="21" t="s">
        <v>134</v>
      </c>
    </row>
    <row r="247" spans="1:1" ht="20.100000000000001" customHeight="1" x14ac:dyDescent="0.25">
      <c r="A247" s="21" t="s">
        <v>135</v>
      </c>
    </row>
    <row r="248" spans="1:1" ht="20.100000000000001" customHeight="1" x14ac:dyDescent="0.25">
      <c r="A248" s="21" t="s">
        <v>126</v>
      </c>
    </row>
    <row r="249" spans="1:1" ht="20.100000000000001" customHeight="1" x14ac:dyDescent="0.25">
      <c r="A249" s="21" t="s">
        <v>136</v>
      </c>
    </row>
    <row r="250" spans="1:1" ht="20.100000000000001" customHeight="1" x14ac:dyDescent="0.25">
      <c r="A250" s="21" t="s">
        <v>137</v>
      </c>
    </row>
    <row r="251" spans="1:1" ht="20.100000000000001" customHeight="1" x14ac:dyDescent="0.25">
      <c r="A251" s="23" t="s">
        <v>138</v>
      </c>
    </row>
    <row r="252" spans="1:1" ht="20.100000000000001" customHeight="1" x14ac:dyDescent="0.25">
      <c r="A252" s="24" t="s">
        <v>139</v>
      </c>
    </row>
    <row r="253" spans="1:1" ht="20.100000000000001" customHeight="1" x14ac:dyDescent="0.25">
      <c r="A253" s="21" t="s">
        <v>140</v>
      </c>
    </row>
    <row r="254" spans="1:1" ht="20.100000000000001" customHeight="1" x14ac:dyDescent="0.25">
      <c r="A254" s="21" t="s">
        <v>141</v>
      </c>
    </row>
    <row r="255" spans="1:1" ht="20.100000000000001" customHeight="1" x14ac:dyDescent="0.25">
      <c r="A255" s="25" t="s">
        <v>142</v>
      </c>
    </row>
    <row r="256" spans="1:1" ht="20.100000000000001" customHeight="1" x14ac:dyDescent="0.25">
      <c r="A256" s="25" t="s">
        <v>143</v>
      </c>
    </row>
    <row r="257" spans="1:1" ht="20.100000000000001" customHeight="1" x14ac:dyDescent="0.25">
      <c r="A257" s="26" t="s">
        <v>144</v>
      </c>
    </row>
    <row r="258" spans="1:1" ht="20.100000000000001" customHeight="1" x14ac:dyDescent="0.25">
      <c r="A258" s="21" t="s">
        <v>145</v>
      </c>
    </row>
    <row r="259" spans="1:1" ht="20.100000000000001" customHeight="1" x14ac:dyDescent="0.25">
      <c r="A259" s="26" t="s">
        <v>146</v>
      </c>
    </row>
    <row r="260" spans="1:1" ht="20.100000000000001" customHeight="1" x14ac:dyDescent="0.25">
      <c r="A260" s="21" t="s">
        <v>147</v>
      </c>
    </row>
    <row r="261" spans="1:1" ht="20.100000000000001" customHeight="1" x14ac:dyDescent="0.25">
      <c r="A261" s="26" t="s">
        <v>148</v>
      </c>
    </row>
    <row r="262" spans="1:1" ht="20.100000000000001" customHeight="1" x14ac:dyDescent="0.25">
      <c r="A262" s="21" t="s">
        <v>149</v>
      </c>
    </row>
    <row r="263" spans="1:1" ht="20.100000000000001" customHeight="1" x14ac:dyDescent="0.25">
      <c r="A263" s="21" t="s">
        <v>150</v>
      </c>
    </row>
    <row r="264" spans="1:1" ht="20.100000000000001" customHeight="1" x14ac:dyDescent="0.25">
      <c r="A264" s="26" t="s">
        <v>151</v>
      </c>
    </row>
    <row r="265" spans="1:1" ht="20.100000000000001" customHeight="1" x14ac:dyDescent="0.25">
      <c r="A265" s="26" t="s">
        <v>152</v>
      </c>
    </row>
    <row r="266" spans="1:1" ht="20.100000000000001" customHeight="1" x14ac:dyDescent="0.25">
      <c r="A266" s="26" t="s">
        <v>153</v>
      </c>
    </row>
    <row r="267" spans="1:1" ht="20.100000000000001" customHeight="1" x14ac:dyDescent="0.25">
      <c r="A267" s="21" t="s">
        <v>154</v>
      </c>
    </row>
    <row r="268" spans="1:1" ht="20.100000000000001" customHeight="1" x14ac:dyDescent="0.25">
      <c r="A268" s="21" t="s">
        <v>155</v>
      </c>
    </row>
    <row r="269" spans="1:1" ht="20.100000000000001" customHeight="1" x14ac:dyDescent="0.25">
      <c r="A269" s="21" t="s">
        <v>156</v>
      </c>
    </row>
    <row r="270" spans="1:1" ht="20.100000000000001" customHeight="1" x14ac:dyDescent="0.25">
      <c r="A270" s="21" t="s">
        <v>157</v>
      </c>
    </row>
    <row r="271" spans="1:1" ht="20.100000000000001" customHeight="1" x14ac:dyDescent="0.25">
      <c r="A271" s="26" t="s">
        <v>158</v>
      </c>
    </row>
    <row r="272" spans="1:1" ht="20.100000000000001" customHeight="1" x14ac:dyDescent="0.25">
      <c r="A272" s="26" t="s">
        <v>159</v>
      </c>
    </row>
    <row r="273" spans="1:1" ht="20.100000000000001" customHeight="1" x14ac:dyDescent="0.25">
      <c r="A273" s="21" t="s">
        <v>160</v>
      </c>
    </row>
    <row r="274" spans="1:1" ht="20.100000000000001" customHeight="1" x14ac:dyDescent="0.25">
      <c r="A274" s="26" t="s">
        <v>161</v>
      </c>
    </row>
    <row r="275" spans="1:1" ht="20.100000000000001" customHeight="1" x14ac:dyDescent="0.25">
      <c r="A275" s="26" t="s">
        <v>162</v>
      </c>
    </row>
    <row r="276" spans="1:1" ht="20.100000000000001" customHeight="1" x14ac:dyDescent="0.25">
      <c r="A276" s="21" t="s">
        <v>163</v>
      </c>
    </row>
    <row r="277" spans="1:1" ht="20.100000000000001" customHeight="1" x14ac:dyDescent="0.25">
      <c r="A277" s="21" t="s">
        <v>164</v>
      </c>
    </row>
    <row r="278" spans="1:1" ht="20.100000000000001" customHeight="1" x14ac:dyDescent="0.25">
      <c r="A278" s="26" t="s">
        <v>165</v>
      </c>
    </row>
    <row r="279" spans="1:1" ht="20.100000000000001" customHeight="1" x14ac:dyDescent="0.25">
      <c r="A279" s="21" t="s">
        <v>166</v>
      </c>
    </row>
    <row r="280" spans="1:1" ht="20.100000000000001" customHeight="1" x14ac:dyDescent="0.25">
      <c r="A280" s="21" t="s">
        <v>167</v>
      </c>
    </row>
    <row r="281" spans="1:1" ht="20.100000000000001" customHeight="1" x14ac:dyDescent="0.25">
      <c r="A281" s="21" t="s">
        <v>168</v>
      </c>
    </row>
    <row r="282" spans="1:1" ht="20.100000000000001" customHeight="1" x14ac:dyDescent="0.25">
      <c r="A282" s="21" t="s">
        <v>169</v>
      </c>
    </row>
    <row r="283" spans="1:1" ht="20.100000000000001" customHeight="1" x14ac:dyDescent="0.25">
      <c r="A283" s="26" t="s">
        <v>170</v>
      </c>
    </row>
    <row r="284" spans="1:1" ht="20.100000000000001" customHeight="1" x14ac:dyDescent="0.25">
      <c r="A284" s="26" t="s">
        <v>171</v>
      </c>
    </row>
    <row r="285" spans="1:1" ht="20.100000000000001" customHeight="1" x14ac:dyDescent="0.25">
      <c r="A285" s="26" t="s">
        <v>172</v>
      </c>
    </row>
    <row r="286" spans="1:1" ht="20.100000000000001" customHeight="1" thickBot="1" x14ac:dyDescent="0.3">
      <c r="A286" s="21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2025-09-30T05:27:13Z</dcterms:modified>
</cp:coreProperties>
</file>