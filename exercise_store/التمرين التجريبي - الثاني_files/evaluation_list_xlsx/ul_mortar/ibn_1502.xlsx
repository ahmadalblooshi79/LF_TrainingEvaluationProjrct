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/>
  <xr:revisionPtr revIDLastSave="0" documentId="13_ncr:1_{A9D7D400-97AD-4249-A8A8-B73910AD84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3" i="2"/>
  <c r="H13" i="2"/>
  <c r="G14" i="2"/>
  <c r="H14" i="2"/>
  <c r="G15" i="2"/>
  <c r="H15" i="2"/>
  <c r="G16" i="2"/>
  <c r="H16" i="2"/>
  <c r="G18" i="2"/>
  <c r="H18" i="2"/>
  <c r="G19" i="2"/>
  <c r="H19" i="2"/>
  <c r="G20" i="2"/>
  <c r="H20" i="2"/>
  <c r="G21" i="2"/>
  <c r="H21" i="2"/>
  <c r="G22" i="2"/>
  <c r="H22" i="2"/>
  <c r="G24" i="2"/>
  <c r="H24" i="2"/>
  <c r="G25" i="2"/>
  <c r="H25" i="2"/>
  <c r="G26" i="2"/>
  <c r="H26" i="2"/>
  <c r="G27" i="2"/>
  <c r="H27" i="2"/>
  <c r="F28" i="2"/>
  <c r="E28" i="2"/>
  <c r="E29" i="2"/>
  <c r="E30" i="2"/>
</calcChain>
</file>

<file path=xl/sharedStrings.xml><?xml version="1.0" encoding="utf-8"?>
<sst xmlns="http://schemas.openxmlformats.org/spreadsheetml/2006/main" count="257" uniqueCount="201">
  <si>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</si>
  <si>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</si>
  <si>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</si>
  <si>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</si>
  <si>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</si>
  <si>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</si>
  <si>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</si>
  <si>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</si>
  <si>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</si>
  <si>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</si>
  <si>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</si>
  <si>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</si>
  <si>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</si>
  <si>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</si>
  <si>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</si>
  <si>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</si>
  <si>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</si>
  <si>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</si>
  <si>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</si>
  <si>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</si>
  <si>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</si>
  <si>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</si>
  <si>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</si>
  <si>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</si>
  <si>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</si>
  <si>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</si>
  <si>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</si>
  <si>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</si>
  <si>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</si>
  <si>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</si>
  <si>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</si>
  <si>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</si>
  <si>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</si>
  <si>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</si>
  <si>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</si>
  <si>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</si>
  <si>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</si>
  <si>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</si>
  <si>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</si>
  <si>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</si>
  <si>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</si>
  <si>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</si>
  <si>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</si>
  <si>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</si>
  <si>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</si>
  <si>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</si>
  <si>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</si>
  <si>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</si>
  <si>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</si>
  <si>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</si>
  <si>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</si>
  <si>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</si>
  <si>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</si>
  <si>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</si>
  <si>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</si>
  <si>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</si>
  <si>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</si>
  <si>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</si>
  <si>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</si>
  <si>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</si>
  <si>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</si>
  <si>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</si>
  <si>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</si>
  <si>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</si>
  <si>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</si>
  <si>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</si>
  <si>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</si>
  <si>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</si>
  <si>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</si>
  <si>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</si>
  <si>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</si>
  <si>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</si>
  <si>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</si>
  <si>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</si>
  <si>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</si>
  <si>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</si>
  <si>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</si>
  <si>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</si>
  <si>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</si>
  <si>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</si>
  <si>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</si>
  <si>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</si>
  <si>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</si>
  <si>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</si>
  <si>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</si>
  <si>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</si>
  <si>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</si>
  <si>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</si>
  <si>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</si>
  <si>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</si>
  <si>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</si>
  <si>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</si>
  <si>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</si>
  <si>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</si>
  <si>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</si>
  <si>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</si>
  <si>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</si>
  <si>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</si>
  <si>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</si>
  <si>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</si>
  <si>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</si>
  <si>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</si>
  <si>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</si>
  <si>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</si>
  <si>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</si>
  <si>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</si>
  <si>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</si>
  <si>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</si>
  <si>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</si>
  <si>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</si>
  <si>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</si>
  <si>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</si>
  <si>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</si>
  <si>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</si>
  <si>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</si>
  <si>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</si>
  <si>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</si>
  <si>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</si>
  <si>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</si>
  <si>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</si>
  <si>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</si>
  <si>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</si>
  <si>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</si>
  <si>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</si>
  <si>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</si>
  <si>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</si>
  <si>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</si>
  <si>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</si>
  <si>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</si>
  <si>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</si>
  <si>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</si>
  <si>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</si>
  <si>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</si>
  <si>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</si>
  <si>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</si>
  <si>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</si>
  <si>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</si>
  <si>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</si>
  <si>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</si>
  <si>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</si>
  <si>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</si>
  <si>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</si>
  <si>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</si>
  <si>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</si>
  <si>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</si>
  <si>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</si>
  <si>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</si>
  <si>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</si>
  <si>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</si>
  <si>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</si>
  <si>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</si>
  <si>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</si>
  <si>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</si>
  <si>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</si>
  <si>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</si>
  <si>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</si>
  <si>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</si>
  <si>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</si>
  <si>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</si>
  <si>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</si>
  <si>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</si>
  <si>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</si>
  <si>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</si>
  <si>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</si>
  <si>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</si>
  <si>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</si>
  <si>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</si>
  <si>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</si>
  <si>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</si>
  <si>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</si>
  <si>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</si>
  <si>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</si>
  <si>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</si>
  <si>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</si>
  <si>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</si>
  <si>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</si>
  <si>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</si>
  <si>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</si>
  <si>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</si>
  <si>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</si>
  <si>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تقييم التحرك واحتلال مناطق الانتشار لسرية الهاون - تمرين جاهزية مجموعة لواء الإمارات/1 (جندي الصحراء 2025/20)</t>
  </si>
  <si>
    <r>
      <t>1.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القائد قبل بدء التحرك إلى مناطق الانتشار</t>
    </r>
  </si>
  <si>
    <t>أ. إبلاغ المرؤوسين بالبدء بتنفيذ خطة التحرك لمناطق الانتشار.</t>
  </si>
  <si>
    <t>ب. إرسال مجموعات الحماية والاستطلاع والأدلاء إلى مناطق الانتشار.</t>
  </si>
  <si>
    <t>جـ. تحميل وثائق العمليات.</t>
  </si>
  <si>
    <r>
      <t>2.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القادة والقوات أثناء التحرك لمناطق الانتشار</t>
    </r>
  </si>
  <si>
    <t>أ. التقيد بتنفيذ إجراءات التحرك حسب أمر / جدول التنقل.</t>
  </si>
  <si>
    <t>ب. سيطرة القادة على قواتهم أثناء التحرك.</t>
  </si>
  <si>
    <t>جـ. توفر الحماية للقوات أثناء التحرك.</t>
  </si>
  <si>
    <t>د. تحقيـق الاتصال بالمستـوى الأعلى والادنى.</t>
  </si>
  <si>
    <r>
      <t>3.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تجهيز وإعداد مناطق الانتشار والإجراءات المتخذة فيها.</t>
    </r>
  </si>
  <si>
    <t>أ. التأكد من توزيع عناصر الإشارة بالطريقة الصحيحة مع تقسيم منطقة الانتشار إلى قطاعات.</t>
  </si>
  <si>
    <t>ب. التأكد من الإخفاء والتمويه.</t>
  </si>
  <si>
    <r>
      <t>4.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فتح وإدامة مراكز القيادة والاتصالات والسيطرة.</t>
    </r>
  </si>
  <si>
    <r>
      <t>5.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sz val="12"/>
        <color rgb="FF000000"/>
        <rFont val="Arial"/>
        <family val="2"/>
      </rPr>
      <t>التأكد من تأمين مناطق الانتشار بالاتصالات.</t>
    </r>
  </si>
  <si>
    <r>
      <t>6.</t>
    </r>
    <r>
      <rPr>
        <b/>
        <sz val="7"/>
        <color theme="1"/>
        <rFont val="Times New Roman"/>
        <family val="1"/>
      </rPr>
      <t xml:space="preserve">        </t>
    </r>
    <r>
      <rPr>
        <b/>
        <sz val="12"/>
        <color theme="1"/>
        <rFont val="Arial"/>
        <family val="2"/>
      </rPr>
      <t>وجود تعليمات الإنـــذار.</t>
    </r>
  </si>
  <si>
    <r>
      <t>7.</t>
    </r>
    <r>
      <rPr>
        <b/>
        <sz val="7"/>
        <color rgb="FF000000"/>
        <rFont val="Times New Roman"/>
        <family val="1"/>
      </rPr>
      <t xml:space="preserve">        </t>
    </r>
    <r>
      <rPr>
        <b/>
        <u/>
        <sz val="12"/>
        <color rgb="FF000000"/>
        <rFont val="Arial"/>
        <family val="2"/>
      </rPr>
      <t>إجراءات الإسناد الإداري.</t>
    </r>
  </si>
  <si>
    <t>أ. التزويد (الوقود / الأرزاق / المياه، الخ..).</t>
  </si>
  <si>
    <t>ب. الإخـلاء.</t>
  </si>
  <si>
    <t>جـ. الإنقـاذ.</t>
  </si>
  <si>
    <t>د. الطرق الرئيسة والتبادلية المؤديـة إلى ومن مناطق الانتشــار.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</si>
</sst>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2"/>
    </xf>
    <xf numFmtId="0" fontId="2" fillId="0" borderId="19" xfId="0" applyFont="1" applyBorder="1" applyAlignment="1">
      <alignment horizontal="center" vertical="center" wrapText="1" readingOrder="2"/>
    </xf>
    <xf numFmtId="0" fontId="13" fillId="0" borderId="4" xfId="0" applyFont="1" applyBorder="1" applyAlignment="1">
      <alignment vertical="center" wrapText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9" xfId="0" applyFont="1" applyBorder="1" applyAlignment="1">
      <alignment horizontal="center" vertical="center" wrapText="1" readingOrder="2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9" fontId="3" fillId="0" borderId="9" xfId="0" applyNumberFormat="1" applyFont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0" fontId="12" fillId="0" borderId="23" xfId="0" applyFont="1" applyBorder="1" applyAlignment="1">
      <alignment horizontal="right" vertical="center" wrapText="1"/>
    </xf>
    <xf numFmtId="0" fontId="12" fillId="0" borderId="3" xfId="0" applyFont="1" applyBorder="1" applyAlignment="1">
      <alignment horizontal="right" vertical="center" wrapText="1"/>
    </xf>
    <xf numFmtId="0" fontId="12" fillId="0" borderId="11" xfId="0" applyFont="1" applyBorder="1" applyAlignment="1">
      <alignment horizontal="right" vertical="center" wrapText="1"/>
    </xf>
    <xf numFmtId="0" fontId="12" fillId="0" borderId="12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8" xfId="0" applyFont="1" applyBorder="1" applyAlignment="1">
      <alignment horizontal="right" vertical="center" wrapText="1" readingOrder="2"/>
    </xf>
    <xf numFmtId="0" fontId="2" fillId="0" borderId="9" xfId="0" applyFont="1" applyBorder="1" applyAlignment="1">
      <alignment horizontal="right" vertical="center" wrapText="1" readingOrder="2"/>
    </xf>
    <xf numFmtId="0" fontId="3" fillId="0" borderId="8" xfId="0" applyFont="1" applyBorder="1" applyAlignment="1">
      <alignment horizontal="right" vertical="center" wrapText="1" readingOrder="2"/>
    </xf>
    <xf numFmtId="0" fontId="3" fillId="0" borderId="9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256443</xdr:colOff>
      <xdr:row>31</xdr:row>
      <xdr:rowOff>117231</xdr:rowOff>
    </xdr:from>
    <xdr:to>
      <xdr:col>8</xdr:col>
      <xdr:colOff>599475</xdr:colOff>
      <xdr:row>31</xdr:row>
      <xdr:rowOff>496440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B4A47D-66CF-4F3C-82DF-832984064373}"/>
                </a:ext>
              </a:extLst>
            </xdr14:cNvPr>
            <xdr14:cNvContentPartPr/>
          </xdr14:nvContentPartPr>
          <xdr14:nvPr macro=""/>
          <xdr14:xfrm>
            <a:off x="9838674236" y="12199327"/>
            <a:ext cx="965821" cy="379209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6DFD374E-E9A3-7D73-B5F5-D6CEF42E6A3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9233518" y="8816040"/>
              <a:ext cx="1014480" cy="638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9-30T05:26:41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2093 1041,'0'0,"0"0,0 0,0 0,0 0,0 0,0 0,0 0,0 0,0 0,0 0,-8 0,-2 0,3 0,2 0,-4 0,-3-3,3 0,-10 3,6 0,6 0,-12-6,5 6,7 0,-22 0,24 0,0 0,-16 0,7 0,-2 0,-2 0,6 0,2 0,-11 0,17 0,-1 0,-16-6,13 6,-2 0,-11 0,17 0,-1 0,-26 0,23-3,-4-1,2 4,-3 0,-4 0,-1 0,2 0,1 0,-5-6,6 6,-3 0,-13 0,17 0,-4 0,-22 0,21 0,-4 0,-7 0,10 0,-2 0,-18 0,17 0,4 0,-23 0,26 0,0 0,-13-6,7 6,-1 0,-7 0,15-4,0 1,-16 3,13 0,4 0,1-6,7 6,1 0,4-5,0 4,9-6,19-3,-5 1,37-16,-18 12,-5 2,62-21,-38 15,-12 3,80-18,-52 8,-12 4,83-30,-73 30,-11 3,78-27,-68 23,-9 4,53-14,-62 14,-13 3,39-12,-45 16,-4 2,15-5,-32 10,-2 0,-3 3,-6 0,0 0,-15 0,-1 3,2 0,-42 10,18-4,8 0,-65 23,25-15,9-3,-53 24,40-12,8-2,-78 20,65-17,10-4,-48 27,59-30,7-2,-25 13,39-20,4-3,-11 11,25-13,-2 0,-14 0,16-3,40-18,-13 12,4 0,31-22,-15 11,-5 3,62-8,-44-2,-4 4,70-33,-57 27,-1 2,66-29,-51 26,-9 4,11-11,-35 18,-3 1,6-13,-15 18,-9 0,6 1,-16 6,0 0,-15 0,-18 8,5-2,-46 12,27-4,5-3,-84 20,52-11,8-2,-86 33,65-18,12-4,-90 27,77-25,9-5,-77 24,82-27,9-2,-31 17,54-25,5-1,-29 6,40-14,3-2,-12-2,25 0,0 0,15-6,11-10,-1 1,29-16,-12 7,-4 4,48-18,-35 9,-5 2,71-30,-42 20,-10 5,67-37,-67 42,-9 4,58-14,-76 23,-5 3,20-9,-24 14,-5 0,8-6,-15 12,-3 0,-9 6,-5-3,1 0,-47 15,30-3,2-4,-41 21,23-12,4-3,-46 27,31-14,7-4,-60 31,65-34,3-2,-18 10,38-21,-2-1,-5 3,10-5,40-26,8-1,-7 2,48-38,-32 25,-3 5,44-49,-34 31,-8 7,53-51,-38 44,-10 6,27-50,-45 41,-5 7,2-17,-25 30,-1 4,-22-14,-15 20,5 2,-71-10,34 15,10 1,-64 9,27 7,12-1,-98 6,76 5,13-2,-98 23,99-15,16-3,-79 30,77-19,9-5,-55 30,51-18,11-7,-43 32,62-26,7-5,1 31,23-33,-2-4,40 31,3-34,-5-3,29 24,16-20,-15-4,101 12,-45-25,-19-2,116-11,-81-1,-21 1,90-13,-97 2,-14 3,82-23,-25 2,-21 7,105-29,-148 33,7-2,-88 26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2"/>
  <sheetViews>
    <sheetView rightToLeft="1" tabSelected="1" view="pageBreakPreview" topLeftCell="A28" zoomScale="130" zoomScaleNormal="100" zoomScaleSheetLayoutView="130" workbookViewId="0">
      <selection activeCell="B31" sqref="B31:D32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3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60" t="s">
        <v>180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25">
      <c r="B2" s="12" t="s">
        <v>8</v>
      </c>
      <c r="C2" s="66" t="s">
        <v>11</v>
      </c>
      <c r="D2" s="66"/>
      <c r="E2" s="12" t="s">
        <v>7</v>
      </c>
      <c r="F2" s="61">
        <v>45930</v>
      </c>
      <c r="G2" s="61"/>
      <c r="H2" s="61"/>
      <c r="I2" s="61"/>
      <c r="J2" s="61"/>
    </row>
    <row r="3" spans="1:10" ht="30" customHeight="1" x14ac:dyDescent="0.25">
      <c r="B3" s="12" t="s">
        <v>9</v>
      </c>
      <c r="C3" s="66" t="s">
        <v>69</v>
      </c>
      <c r="D3" s="66"/>
      <c r="E3" s="12" t="s">
        <v>6</v>
      </c>
      <c r="F3" s="66" t="s">
        <v>134</v>
      </c>
      <c r="G3" s="66"/>
      <c r="H3" s="66"/>
      <c r="I3" s="66"/>
      <c r="J3" s="66"/>
    </row>
    <row r="4" spans="1:10" ht="30" customHeight="1" thickBot="1" x14ac:dyDescent="0.3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5">
      <c r="A5" s="10"/>
      <c r="B5" s="62" t="s">
        <v>0</v>
      </c>
      <c r="C5" s="63"/>
      <c r="D5" s="63"/>
      <c r="E5" s="71" t="s">
        <v>1</v>
      </c>
      <c r="F5" s="71"/>
      <c r="G5" s="71"/>
      <c r="H5" s="71"/>
      <c r="I5" s="71" t="s">
        <v>2</v>
      </c>
      <c r="J5" s="72"/>
    </row>
    <row r="6" spans="1:10" ht="24.95" customHeight="1" thickBot="1" x14ac:dyDescent="0.3">
      <c r="A6" s="10"/>
      <c r="B6" s="64"/>
      <c r="C6" s="65"/>
      <c r="D6" s="65"/>
      <c r="E6" s="11" t="s">
        <v>3</v>
      </c>
      <c r="F6" s="11" t="s">
        <v>4</v>
      </c>
      <c r="G6" s="11" t="s">
        <v>23</v>
      </c>
      <c r="H6" s="11" t="s">
        <v>24</v>
      </c>
      <c r="I6" s="73"/>
      <c r="J6" s="74"/>
    </row>
    <row r="7" spans="1:10" ht="24.95" customHeight="1" thickBot="1" x14ac:dyDescent="0.3">
      <c r="A7" s="10"/>
      <c r="B7" s="69" t="s">
        <v>21</v>
      </c>
      <c r="C7" s="70"/>
      <c r="D7" s="70"/>
      <c r="E7" s="29" t="s">
        <v>18</v>
      </c>
      <c r="F7" s="29" t="s">
        <v>19</v>
      </c>
      <c r="G7" s="29" t="s">
        <v>22</v>
      </c>
      <c r="H7" s="29" t="s">
        <v>20</v>
      </c>
      <c r="I7" s="75" t="s">
        <v>25</v>
      </c>
      <c r="J7" s="76"/>
    </row>
    <row r="8" spans="1:10" ht="30" customHeight="1" x14ac:dyDescent="0.25">
      <c r="A8" s="10"/>
      <c r="B8" s="89" t="s">
        <v>181</v>
      </c>
      <c r="C8" s="90"/>
      <c r="D8" s="90"/>
      <c r="E8" s="34"/>
      <c r="F8" s="35"/>
      <c r="G8" s="36"/>
      <c r="H8" s="37"/>
      <c r="I8" s="81"/>
      <c r="J8" s="82"/>
    </row>
    <row r="9" spans="1:10" ht="30" customHeight="1" x14ac:dyDescent="0.25">
      <c r="A9" s="10"/>
      <c r="B9" s="85" t="s">
        <v>182</v>
      </c>
      <c r="C9" s="86"/>
      <c r="D9" s="86"/>
      <c r="E9" s="32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9"/>
      <c r="J9" s="50"/>
    </row>
    <row r="10" spans="1:10" ht="30" customHeight="1" x14ac:dyDescent="0.25">
      <c r="A10" s="10"/>
      <c r="B10" s="85" t="s">
        <v>183</v>
      </c>
      <c r="C10" s="86"/>
      <c r="D10" s="86"/>
      <c r="E10" s="32">
        <v>5</v>
      </c>
      <c r="F10" s="26">
        <v>3.5</v>
      </c>
      <c r="G10" s="30">
        <f t="shared" ref="G10:G27" si="0">IFERROR(F10/E10,"")</f>
        <v>0.7</v>
      </c>
      <c r="H10" s="31" t="str">
        <f t="shared" ref="H10:H27" si="1">_xlfn.IFS(F10="أدخل العلامة","",F10="لا ينطبق","تم الإلغاء",G10&gt;=90%,"ممتاز",G10&gt;=80%,"جيد جداً",G10&gt;=70%,"جيد",G10&gt;=60%,"مقبول",G10&lt;60%,"راسب")</f>
        <v>جيد</v>
      </c>
      <c r="I10" s="49"/>
      <c r="J10" s="50"/>
    </row>
    <row r="11" spans="1:10" ht="30" customHeight="1" thickBot="1" x14ac:dyDescent="0.3">
      <c r="A11" s="10"/>
      <c r="B11" s="87" t="s">
        <v>184</v>
      </c>
      <c r="C11" s="88"/>
      <c r="D11" s="88"/>
      <c r="E11" s="38">
        <v>5</v>
      </c>
      <c r="F11" s="28">
        <v>3.5</v>
      </c>
      <c r="G11" s="39">
        <f t="shared" si="0"/>
        <v>0.7</v>
      </c>
      <c r="H11" s="40" t="str">
        <f t="shared" si="1"/>
        <v>جيد</v>
      </c>
      <c r="I11" s="51"/>
      <c r="J11" s="52"/>
    </row>
    <row r="12" spans="1:10" ht="30" customHeight="1" x14ac:dyDescent="0.25">
      <c r="A12" s="10"/>
      <c r="B12" s="89" t="s">
        <v>185</v>
      </c>
      <c r="C12" s="90"/>
      <c r="D12" s="90"/>
      <c r="E12" s="34"/>
      <c r="F12" s="35"/>
      <c r="G12" s="36"/>
      <c r="H12" s="37"/>
      <c r="I12" s="81"/>
      <c r="J12" s="82"/>
    </row>
    <row r="13" spans="1:10" ht="30" customHeight="1" x14ac:dyDescent="0.25">
      <c r="A13" s="10"/>
      <c r="B13" s="85" t="s">
        <v>186</v>
      </c>
      <c r="C13" s="86"/>
      <c r="D13" s="86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9"/>
      <c r="J13" s="50"/>
    </row>
    <row r="14" spans="1:10" ht="30" customHeight="1" x14ac:dyDescent="0.25">
      <c r="A14" s="10"/>
      <c r="B14" s="85" t="s">
        <v>187</v>
      </c>
      <c r="C14" s="86"/>
      <c r="D14" s="86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9"/>
      <c r="J14" s="50"/>
    </row>
    <row r="15" spans="1:10" ht="30" customHeight="1" x14ac:dyDescent="0.25">
      <c r="A15" s="10"/>
      <c r="B15" s="85" t="s">
        <v>188</v>
      </c>
      <c r="C15" s="86"/>
      <c r="D15" s="86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9"/>
      <c r="J15" s="50"/>
    </row>
    <row r="16" spans="1:10" ht="30" customHeight="1" thickBot="1" x14ac:dyDescent="0.3">
      <c r="A16" s="10"/>
      <c r="B16" s="87" t="s">
        <v>189</v>
      </c>
      <c r="C16" s="88"/>
      <c r="D16" s="88"/>
      <c r="E16" s="41">
        <v>5</v>
      </c>
      <c r="F16" s="28">
        <v>3.5</v>
      </c>
      <c r="G16" s="39">
        <f t="shared" si="0"/>
        <v>0.7</v>
      </c>
      <c r="H16" s="40" t="str">
        <f t="shared" si="1"/>
        <v>جيد</v>
      </c>
      <c r="I16" s="51"/>
      <c r="J16" s="52"/>
    </row>
    <row r="17" spans="1:10" ht="30" customHeight="1" x14ac:dyDescent="0.25">
      <c r="A17" s="10"/>
      <c r="B17" s="89" t="s">
        <v>190</v>
      </c>
      <c r="C17" s="90"/>
      <c r="D17" s="90"/>
      <c r="E17" s="34"/>
      <c r="F17" s="35"/>
      <c r="G17" s="36"/>
      <c r="H17" s="37"/>
      <c r="I17" s="81"/>
      <c r="J17" s="82"/>
    </row>
    <row r="18" spans="1:10" ht="39.950000000000003" customHeight="1" x14ac:dyDescent="0.25">
      <c r="A18" s="10"/>
      <c r="B18" s="85" t="s">
        <v>191</v>
      </c>
      <c r="C18" s="86"/>
      <c r="D18" s="86"/>
      <c r="E18" s="32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49"/>
      <c r="J18" s="50"/>
    </row>
    <row r="19" spans="1:10" ht="30" customHeight="1" thickBot="1" x14ac:dyDescent="0.3">
      <c r="A19" s="10"/>
      <c r="B19" s="87" t="s">
        <v>192</v>
      </c>
      <c r="C19" s="88"/>
      <c r="D19" s="88"/>
      <c r="E19" s="38">
        <v>5</v>
      </c>
      <c r="F19" s="28">
        <v>3.5</v>
      </c>
      <c r="G19" s="39">
        <f t="shared" si="0"/>
        <v>0.7</v>
      </c>
      <c r="H19" s="40" t="str">
        <f t="shared" si="1"/>
        <v>جيد</v>
      </c>
      <c r="I19" s="51"/>
      <c r="J19" s="52"/>
    </row>
    <row r="20" spans="1:10" ht="30" customHeight="1" thickBot="1" x14ac:dyDescent="0.3">
      <c r="A20" s="10"/>
      <c r="B20" s="91" t="s">
        <v>193</v>
      </c>
      <c r="C20" s="92"/>
      <c r="D20" s="92"/>
      <c r="E20" s="42">
        <v>5</v>
      </c>
      <c r="F20" s="43">
        <v>3.75</v>
      </c>
      <c r="G20" s="44">
        <f t="shared" si="0"/>
        <v>0.75</v>
      </c>
      <c r="H20" s="27" t="str">
        <f t="shared" si="1"/>
        <v>جيد</v>
      </c>
      <c r="I20" s="83"/>
      <c r="J20" s="84"/>
    </row>
    <row r="21" spans="1:10" ht="30" customHeight="1" thickBot="1" x14ac:dyDescent="0.3">
      <c r="A21" s="10"/>
      <c r="B21" s="91" t="s">
        <v>194</v>
      </c>
      <c r="C21" s="92"/>
      <c r="D21" s="92"/>
      <c r="E21" s="42">
        <v>5</v>
      </c>
      <c r="F21" s="43">
        <v>3.5</v>
      </c>
      <c r="G21" s="44">
        <f t="shared" si="0"/>
        <v>0.7</v>
      </c>
      <c r="H21" s="27" t="str">
        <f t="shared" si="1"/>
        <v>جيد</v>
      </c>
      <c r="I21" s="83"/>
      <c r="J21" s="84"/>
    </row>
    <row r="22" spans="1:10" ht="30" customHeight="1" thickBot="1" x14ac:dyDescent="0.3">
      <c r="A22" s="10"/>
      <c r="B22" s="93" t="s">
        <v>195</v>
      </c>
      <c r="C22" s="94"/>
      <c r="D22" s="94"/>
      <c r="E22" s="42">
        <v>5</v>
      </c>
      <c r="F22" s="43">
        <v>3.5</v>
      </c>
      <c r="G22" s="44">
        <f t="shared" si="0"/>
        <v>0.7</v>
      </c>
      <c r="H22" s="27" t="str">
        <f t="shared" si="1"/>
        <v>جيد</v>
      </c>
      <c r="I22" s="83"/>
      <c r="J22" s="84"/>
    </row>
    <row r="23" spans="1:10" ht="30" customHeight="1" x14ac:dyDescent="0.25">
      <c r="A23" s="10"/>
      <c r="B23" s="89" t="s">
        <v>196</v>
      </c>
      <c r="C23" s="90"/>
      <c r="D23" s="90"/>
      <c r="E23" s="34"/>
      <c r="F23" s="35"/>
      <c r="G23" s="36"/>
      <c r="H23" s="37"/>
      <c r="I23" s="81"/>
      <c r="J23" s="82"/>
    </row>
    <row r="24" spans="1:10" ht="30" customHeight="1" x14ac:dyDescent="0.25">
      <c r="A24" s="10"/>
      <c r="B24" s="85" t="s">
        <v>197</v>
      </c>
      <c r="C24" s="86"/>
      <c r="D24" s="86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49"/>
      <c r="J24" s="50"/>
    </row>
    <row r="25" spans="1:10" ht="30" customHeight="1" x14ac:dyDescent="0.25">
      <c r="A25" s="10"/>
      <c r="B25" s="85" t="s">
        <v>198</v>
      </c>
      <c r="C25" s="86"/>
      <c r="D25" s="86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9"/>
      <c r="J25" s="50"/>
    </row>
    <row r="26" spans="1:10" ht="30" customHeight="1" x14ac:dyDescent="0.25">
      <c r="A26" s="10"/>
      <c r="B26" s="85" t="s">
        <v>199</v>
      </c>
      <c r="C26" s="86"/>
      <c r="D26" s="86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49"/>
      <c r="J26" s="50"/>
    </row>
    <row r="27" spans="1:10" ht="30" customHeight="1" thickBot="1" x14ac:dyDescent="0.3">
      <c r="A27" s="10"/>
      <c r="B27" s="87" t="s">
        <v>200</v>
      </c>
      <c r="C27" s="88"/>
      <c r="D27" s="88"/>
      <c r="E27" s="41">
        <v>5</v>
      </c>
      <c r="F27" s="28">
        <v>3.75</v>
      </c>
      <c r="G27" s="39">
        <f t="shared" si="0"/>
        <v>0.75</v>
      </c>
      <c r="H27" s="40" t="str">
        <f t="shared" si="1"/>
        <v>جيد</v>
      </c>
      <c r="I27" s="51"/>
      <c r="J27" s="52"/>
    </row>
    <row r="28" spans="1:10" ht="30" customHeight="1" thickBot="1" x14ac:dyDescent="0.3">
      <c r="A28" s="4"/>
      <c r="B28" s="77" t="s">
        <v>5</v>
      </c>
      <c r="C28" s="78"/>
      <c r="D28" s="78"/>
      <c r="E28" s="33">
        <f>SUM(E8:E27)</f>
        <v>80</v>
      </c>
      <c r="F28" s="33">
        <f>SUM(F8:F27)</f>
        <v>57.25</v>
      </c>
      <c r="G28" s="46"/>
      <c r="H28" s="47"/>
      <c r="I28" s="47"/>
      <c r="J28" s="48"/>
    </row>
    <row r="29" spans="1:10" ht="30" customHeight="1" thickBot="1" x14ac:dyDescent="0.3">
      <c r="A29" s="4"/>
      <c r="B29" s="79" t="s">
        <v>54</v>
      </c>
      <c r="C29" s="80"/>
      <c r="D29" s="80"/>
      <c r="E29" s="67">
        <f>F28/E28/100*100</f>
        <v>0.71562499999999996</v>
      </c>
      <c r="F29" s="67"/>
      <c r="G29" s="67"/>
      <c r="H29" s="67"/>
      <c r="I29" s="67"/>
      <c r="J29" s="68"/>
    </row>
    <row r="30" spans="1:10" ht="30" customHeight="1" thickBot="1" x14ac:dyDescent="0.3">
      <c r="A30" s="4"/>
      <c r="B30" s="79" t="s">
        <v>55</v>
      </c>
      <c r="C30" s="80"/>
      <c r="D30" s="80"/>
      <c r="E30" s="58" t="str">
        <f>_xlfn.IFS(E29&gt;=90%,"ممتاز",E29&gt;=80%,"جيد جداً",E29&gt;=70%,"جيد",E29&gt;=60%,"مقبول",E29&lt;60%,"راسب")</f>
        <v>جيد</v>
      </c>
      <c r="F30" s="58"/>
      <c r="G30" s="58"/>
      <c r="H30" s="58"/>
      <c r="I30" s="58"/>
      <c r="J30" s="59"/>
    </row>
    <row r="31" spans="1:10" ht="42" customHeight="1" x14ac:dyDescent="0.25">
      <c r="B31" s="54" t="s">
        <v>174</v>
      </c>
      <c r="C31" s="54"/>
      <c r="D31" s="54"/>
      <c r="E31" s="53" t="s">
        <v>52</v>
      </c>
      <c r="F31" s="53"/>
      <c r="G31" s="56" t="s">
        <v>134</v>
      </c>
      <c r="H31" s="56"/>
      <c r="I31" s="56"/>
      <c r="J31" s="56"/>
    </row>
    <row r="32" spans="1:10" ht="51" customHeight="1" x14ac:dyDescent="0.25">
      <c r="A32" s="5"/>
      <c r="B32" s="55"/>
      <c r="C32" s="55"/>
      <c r="D32" s="55"/>
      <c r="E32" s="45" t="s">
        <v>53</v>
      </c>
      <c r="F32" s="45"/>
      <c r="G32" s="57"/>
      <c r="H32" s="57"/>
      <c r="I32" s="57"/>
      <c r="J32" s="5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1">
    <mergeCell ref="B26:D26"/>
    <mergeCell ref="B27:D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8:D28"/>
    <mergeCell ref="B29:D29"/>
    <mergeCell ref="B30:D3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31:D32"/>
    <mergeCell ref="G31:J31"/>
    <mergeCell ref="G32:J32"/>
    <mergeCell ref="E30:J30"/>
    <mergeCell ref="B1:J1"/>
    <mergeCell ref="F2:J2"/>
    <mergeCell ref="B5:D6"/>
    <mergeCell ref="C2:D2"/>
    <mergeCell ref="C3:D3"/>
    <mergeCell ref="F3:J3"/>
    <mergeCell ref="E29:J29"/>
    <mergeCell ref="B7:D7"/>
    <mergeCell ref="E5:H5"/>
    <mergeCell ref="I5:J6"/>
    <mergeCell ref="I7:J7"/>
    <mergeCell ref="I10:J10"/>
    <mergeCell ref="E32:F32"/>
    <mergeCell ref="G28:J28"/>
    <mergeCell ref="I9:J9"/>
    <mergeCell ref="I24:J24"/>
    <mergeCell ref="I25:J25"/>
    <mergeCell ref="I26:J26"/>
    <mergeCell ref="I27:J27"/>
    <mergeCell ref="E31:F3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0">
    <cfRule type="expression" dxfId="14" priority="57">
      <formula>$E30="راسب"</formula>
    </cfRule>
  </conditionalFormatting>
  <conditionalFormatting sqref="E30:J30">
    <cfRule type="expression" dxfId="13" priority="60">
      <formula>$E30="جيد جداً"</formula>
    </cfRule>
    <cfRule type="expression" dxfId="12" priority="59">
      <formula>$E30="جيد"</formula>
    </cfRule>
    <cfRule type="expression" dxfId="11" priority="58">
      <formula>$E30="مقبول"</formula>
    </cfRule>
    <cfRule type="expression" dxfId="10" priority="61">
      <formula>$E30="ممتاز"</formula>
    </cfRule>
  </conditionalFormatting>
  <conditionalFormatting sqref="F8:F2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1:J31">
    <cfRule type="containsText" dxfId="6" priority="15" operator="containsText" text="أدخل اسم المحكم">
      <formula>NOT(ISERROR(SEARCH("أدخل اسم المحكم",G31)))</formula>
    </cfRule>
  </conditionalFormatting>
  <conditionalFormatting sqref="H8:H27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F24:F27 F18:F22 F13:F16 F9:F11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G31:J31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6" workbookViewId="0">
      <selection activeCell="C33" sqref="C33"/>
    </sheetView>
  </sheetViews>
  <sheetFormatPr defaultRowHeight="20.100000000000001" customHeight="1" x14ac:dyDescent="0.25"/>
  <cols>
    <col min="1" max="1" width="42.5703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5">
      <c r="A35" s="18"/>
    </row>
    <row r="36" spans="1:9" s="17" customFormat="1" ht="20.100000000000001" customHeight="1" x14ac:dyDescent="0.25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5">
      <c r="A107" s="14"/>
    </row>
    <row r="108" spans="1:9" ht="20.100000000000001" customHeight="1" x14ac:dyDescent="0.25">
      <c r="A108" s="14"/>
    </row>
    <row r="109" spans="1:9" s="17" customFormat="1" ht="20.100000000000001" customHeight="1" x14ac:dyDescent="0.25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59</v>
      </c>
    </row>
    <row r="199" spans="1:1" ht="20.100000000000001" customHeight="1" x14ac:dyDescent="0.25">
      <c r="A199" s="20" t="s">
        <v>89</v>
      </c>
    </row>
    <row r="200" spans="1:1" ht="20.100000000000001" customHeight="1" x14ac:dyDescent="0.25">
      <c r="A200" s="20" t="s">
        <v>90</v>
      </c>
    </row>
    <row r="201" spans="1:1" ht="20.100000000000001" customHeight="1" x14ac:dyDescent="0.25">
      <c r="A201" s="20" t="s">
        <v>91</v>
      </c>
    </row>
    <row r="202" spans="1:1" ht="20.100000000000001" customHeight="1" x14ac:dyDescent="0.25">
      <c r="A202" s="20" t="s">
        <v>92</v>
      </c>
    </row>
    <row r="203" spans="1:1" ht="20.100000000000001" customHeight="1" x14ac:dyDescent="0.25">
      <c r="A203" s="20" t="s">
        <v>93</v>
      </c>
    </row>
    <row r="204" spans="1:1" ht="20.100000000000001" customHeight="1" x14ac:dyDescent="0.25">
      <c r="A204" s="20" t="s">
        <v>94</v>
      </c>
    </row>
    <row r="205" spans="1:1" ht="20.100000000000001" customHeight="1" x14ac:dyDescent="0.25">
      <c r="A205" s="20" t="s">
        <v>95</v>
      </c>
    </row>
    <row r="206" spans="1:1" ht="20.100000000000001" customHeight="1" x14ac:dyDescent="0.25">
      <c r="A206" s="20" t="s">
        <v>96</v>
      </c>
    </row>
    <row r="207" spans="1:1" ht="20.100000000000001" customHeight="1" x14ac:dyDescent="0.25">
      <c r="A207" s="20" t="s">
        <v>97</v>
      </c>
    </row>
    <row r="208" spans="1:1" ht="20.100000000000001" customHeight="1" x14ac:dyDescent="0.25">
      <c r="A208" s="21" t="s">
        <v>98</v>
      </c>
    </row>
    <row r="209" spans="1:1" ht="20.100000000000001" customHeight="1" x14ac:dyDescent="0.25">
      <c r="A209" s="21" t="s">
        <v>99</v>
      </c>
    </row>
    <row r="210" spans="1:1" ht="20.100000000000001" customHeight="1" x14ac:dyDescent="0.25">
      <c r="A210" s="20" t="s">
        <v>100</v>
      </c>
    </row>
    <row r="211" spans="1:1" ht="20.100000000000001" customHeight="1" x14ac:dyDescent="0.25">
      <c r="A211" s="20" t="s">
        <v>101</v>
      </c>
    </row>
    <row r="212" spans="1:1" ht="20.100000000000001" customHeight="1" x14ac:dyDescent="0.25">
      <c r="A212" s="20" t="s">
        <v>175</v>
      </c>
    </row>
    <row r="213" spans="1:1" ht="20.100000000000001" customHeight="1" x14ac:dyDescent="0.25">
      <c r="A213" s="20" t="s">
        <v>102</v>
      </c>
    </row>
    <row r="214" spans="1:1" ht="20.100000000000001" customHeight="1" x14ac:dyDescent="0.25">
      <c r="A214" s="20" t="s">
        <v>103</v>
      </c>
    </row>
    <row r="215" spans="1:1" ht="20.100000000000001" customHeight="1" x14ac:dyDescent="0.25">
      <c r="A215" s="20" t="s">
        <v>104</v>
      </c>
    </row>
    <row r="216" spans="1:1" ht="20.100000000000001" customHeight="1" x14ac:dyDescent="0.25">
      <c r="A216" s="20" t="s">
        <v>105</v>
      </c>
    </row>
    <row r="217" spans="1:1" ht="20.100000000000001" customHeight="1" x14ac:dyDescent="0.25">
      <c r="A217" s="20" t="s">
        <v>106</v>
      </c>
    </row>
    <row r="218" spans="1:1" ht="20.100000000000001" customHeight="1" x14ac:dyDescent="0.25">
      <c r="A218" s="20" t="s">
        <v>107</v>
      </c>
    </row>
    <row r="219" spans="1:1" ht="20.100000000000001" customHeight="1" x14ac:dyDescent="0.25">
      <c r="A219" s="20" t="s">
        <v>108</v>
      </c>
    </row>
    <row r="220" spans="1:1" ht="20.100000000000001" customHeight="1" x14ac:dyDescent="0.25">
      <c r="A220" s="20" t="s">
        <v>109</v>
      </c>
    </row>
    <row r="221" spans="1:1" ht="20.100000000000001" customHeight="1" x14ac:dyDescent="0.25">
      <c r="A221" s="20" t="s">
        <v>110</v>
      </c>
    </row>
    <row r="222" spans="1:1" ht="20.100000000000001" customHeight="1" x14ac:dyDescent="0.25">
      <c r="A222" s="20" t="s">
        <v>111</v>
      </c>
    </row>
    <row r="223" spans="1:1" ht="20.100000000000001" customHeight="1" x14ac:dyDescent="0.25">
      <c r="A223" s="20" t="s">
        <v>112</v>
      </c>
    </row>
    <row r="224" spans="1:1" ht="20.100000000000001" customHeight="1" x14ac:dyDescent="0.25">
      <c r="A224" s="20" t="s">
        <v>176</v>
      </c>
    </row>
    <row r="225" spans="1:1" ht="20.100000000000001" customHeight="1" x14ac:dyDescent="0.25">
      <c r="A225" s="20" t="s">
        <v>113</v>
      </c>
    </row>
    <row r="226" spans="1:1" ht="20.100000000000001" customHeight="1" x14ac:dyDescent="0.25">
      <c r="A226" s="20" t="s">
        <v>114</v>
      </c>
    </row>
    <row r="227" spans="1:1" ht="20.100000000000001" customHeight="1" x14ac:dyDescent="0.25">
      <c r="A227" s="20" t="s">
        <v>115</v>
      </c>
    </row>
    <row r="228" spans="1:1" ht="20.100000000000001" customHeight="1" x14ac:dyDescent="0.25">
      <c r="A228" s="20" t="s">
        <v>116</v>
      </c>
    </row>
    <row r="229" spans="1:1" ht="20.100000000000001" customHeight="1" x14ac:dyDescent="0.25">
      <c r="A229" s="20" t="s">
        <v>117</v>
      </c>
    </row>
    <row r="230" spans="1:1" ht="20.100000000000001" customHeight="1" x14ac:dyDescent="0.25">
      <c r="A230" s="20" t="s">
        <v>118</v>
      </c>
    </row>
    <row r="231" spans="1:1" ht="20.100000000000001" customHeight="1" x14ac:dyDescent="0.25">
      <c r="A231" s="20" t="s">
        <v>119</v>
      </c>
    </row>
    <row r="232" spans="1:1" ht="20.100000000000001" customHeight="1" x14ac:dyDescent="0.25">
      <c r="A232" s="20" t="s">
        <v>120</v>
      </c>
    </row>
    <row r="233" spans="1:1" ht="20.100000000000001" customHeight="1" x14ac:dyDescent="0.25">
      <c r="A233" s="20" t="s">
        <v>121</v>
      </c>
    </row>
    <row r="234" spans="1:1" ht="20.100000000000001" customHeight="1" x14ac:dyDescent="0.25">
      <c r="A234" s="20" t="s">
        <v>122</v>
      </c>
    </row>
    <row r="235" spans="1:1" ht="20.100000000000001" customHeight="1" x14ac:dyDescent="0.25">
      <c r="A235" s="20" t="s">
        <v>123</v>
      </c>
    </row>
    <row r="236" spans="1:1" ht="20.100000000000001" customHeight="1" x14ac:dyDescent="0.25">
      <c r="A236" s="22" t="s">
        <v>124</v>
      </c>
    </row>
    <row r="237" spans="1:1" ht="20.100000000000001" customHeight="1" x14ac:dyDescent="0.25">
      <c r="A237" s="20" t="s">
        <v>125</v>
      </c>
    </row>
    <row r="238" spans="1:1" ht="20.100000000000001" customHeight="1" x14ac:dyDescent="0.25">
      <c r="A238" s="20" t="s">
        <v>126</v>
      </c>
    </row>
    <row r="239" spans="1:1" ht="20.100000000000001" customHeight="1" x14ac:dyDescent="0.25">
      <c r="A239" s="20" t="s">
        <v>127</v>
      </c>
    </row>
    <row r="240" spans="1:1" ht="20.100000000000001" customHeight="1" x14ac:dyDescent="0.25">
      <c r="A240" s="20" t="s">
        <v>128</v>
      </c>
    </row>
    <row r="241" spans="1:1" ht="20.100000000000001" customHeight="1" x14ac:dyDescent="0.25">
      <c r="A241" s="20" t="s">
        <v>129</v>
      </c>
    </row>
    <row r="242" spans="1:1" ht="20.100000000000001" customHeight="1" x14ac:dyDescent="0.25">
      <c r="A242" s="20" t="s">
        <v>130</v>
      </c>
    </row>
    <row r="243" spans="1:1" ht="20.100000000000001" customHeight="1" x14ac:dyDescent="0.25">
      <c r="A243" s="20" t="s">
        <v>131</v>
      </c>
    </row>
    <row r="244" spans="1:1" ht="20.100000000000001" customHeight="1" x14ac:dyDescent="0.25">
      <c r="A244" s="20" t="s">
        <v>132</v>
      </c>
    </row>
    <row r="245" spans="1:1" ht="20.100000000000001" customHeight="1" x14ac:dyDescent="0.25">
      <c r="A245" s="20" t="s">
        <v>133</v>
      </c>
    </row>
    <row r="246" spans="1:1" ht="20.100000000000001" customHeight="1" x14ac:dyDescent="0.25">
      <c r="A246" s="20" t="s">
        <v>134</v>
      </c>
    </row>
    <row r="247" spans="1:1" ht="20.100000000000001" customHeight="1" x14ac:dyDescent="0.25">
      <c r="A247" s="20" t="s">
        <v>135</v>
      </c>
    </row>
    <row r="248" spans="1:1" ht="20.100000000000001" customHeight="1" x14ac:dyDescent="0.25">
      <c r="A248" s="20" t="s">
        <v>126</v>
      </c>
    </row>
    <row r="249" spans="1:1" ht="20.100000000000001" customHeight="1" x14ac:dyDescent="0.25">
      <c r="A249" s="20" t="s">
        <v>136</v>
      </c>
    </row>
    <row r="250" spans="1:1" ht="20.100000000000001" customHeight="1" x14ac:dyDescent="0.25">
      <c r="A250" s="20" t="s">
        <v>137</v>
      </c>
    </row>
    <row r="251" spans="1:1" ht="20.100000000000001" customHeight="1" x14ac:dyDescent="0.25">
      <c r="A251" s="22" t="s">
        <v>138</v>
      </c>
    </row>
    <row r="252" spans="1:1" ht="20.100000000000001" customHeight="1" x14ac:dyDescent="0.25">
      <c r="A252" s="23" t="s">
        <v>139</v>
      </c>
    </row>
    <row r="253" spans="1:1" ht="20.100000000000001" customHeight="1" x14ac:dyDescent="0.25">
      <c r="A253" s="20" t="s">
        <v>140</v>
      </c>
    </row>
    <row r="254" spans="1:1" ht="20.100000000000001" customHeight="1" x14ac:dyDescent="0.25">
      <c r="A254" s="20" t="s">
        <v>141</v>
      </c>
    </row>
    <row r="255" spans="1:1" ht="20.100000000000001" customHeight="1" x14ac:dyDescent="0.25">
      <c r="A255" s="24" t="s">
        <v>142</v>
      </c>
    </row>
    <row r="256" spans="1:1" ht="20.100000000000001" customHeight="1" x14ac:dyDescent="0.25">
      <c r="A256" s="24" t="s">
        <v>143</v>
      </c>
    </row>
    <row r="257" spans="1:1" ht="20.100000000000001" customHeight="1" x14ac:dyDescent="0.25">
      <c r="A257" s="25" t="s">
        <v>144</v>
      </c>
    </row>
    <row r="258" spans="1:1" ht="20.100000000000001" customHeight="1" x14ac:dyDescent="0.25">
      <c r="A258" s="20" t="s">
        <v>145</v>
      </c>
    </row>
    <row r="259" spans="1:1" ht="20.100000000000001" customHeight="1" x14ac:dyDescent="0.25">
      <c r="A259" s="25" t="s">
        <v>146</v>
      </c>
    </row>
    <row r="260" spans="1:1" ht="20.100000000000001" customHeight="1" x14ac:dyDescent="0.25">
      <c r="A260" s="20" t="s">
        <v>147</v>
      </c>
    </row>
    <row r="261" spans="1:1" ht="20.100000000000001" customHeight="1" x14ac:dyDescent="0.25">
      <c r="A261" s="25" t="s">
        <v>148</v>
      </c>
    </row>
    <row r="262" spans="1:1" ht="20.100000000000001" customHeight="1" x14ac:dyDescent="0.25">
      <c r="A262" s="20" t="s">
        <v>149</v>
      </c>
    </row>
    <row r="263" spans="1:1" ht="20.100000000000001" customHeight="1" x14ac:dyDescent="0.25">
      <c r="A263" s="20" t="s">
        <v>150</v>
      </c>
    </row>
    <row r="264" spans="1:1" ht="20.100000000000001" customHeight="1" x14ac:dyDescent="0.25">
      <c r="A264" s="25" t="s">
        <v>151</v>
      </c>
    </row>
    <row r="265" spans="1:1" ht="20.100000000000001" customHeight="1" x14ac:dyDescent="0.25">
      <c r="A265" s="25" t="s">
        <v>152</v>
      </c>
    </row>
    <row r="266" spans="1:1" ht="20.100000000000001" customHeight="1" x14ac:dyDescent="0.25">
      <c r="A266" s="25" t="s">
        <v>153</v>
      </c>
    </row>
    <row r="267" spans="1:1" ht="20.100000000000001" customHeight="1" x14ac:dyDescent="0.25">
      <c r="A267" s="20" t="s">
        <v>154</v>
      </c>
    </row>
    <row r="268" spans="1:1" ht="20.100000000000001" customHeight="1" x14ac:dyDescent="0.25">
      <c r="A268" s="20" t="s">
        <v>155</v>
      </c>
    </row>
    <row r="269" spans="1:1" ht="20.100000000000001" customHeight="1" x14ac:dyDescent="0.25">
      <c r="A269" s="20" t="s">
        <v>156</v>
      </c>
    </row>
    <row r="270" spans="1:1" ht="20.100000000000001" customHeight="1" x14ac:dyDescent="0.25">
      <c r="A270" s="20" t="s">
        <v>157</v>
      </c>
    </row>
    <row r="271" spans="1:1" ht="20.100000000000001" customHeight="1" x14ac:dyDescent="0.25">
      <c r="A271" s="25" t="s">
        <v>158</v>
      </c>
    </row>
    <row r="272" spans="1:1" ht="20.100000000000001" customHeight="1" x14ac:dyDescent="0.25">
      <c r="A272" s="25" t="s">
        <v>159</v>
      </c>
    </row>
    <row r="273" spans="1:1" ht="20.100000000000001" customHeight="1" x14ac:dyDescent="0.25">
      <c r="A273" s="20" t="s">
        <v>160</v>
      </c>
    </row>
    <row r="274" spans="1:1" ht="20.100000000000001" customHeight="1" x14ac:dyDescent="0.25">
      <c r="A274" s="25" t="s">
        <v>161</v>
      </c>
    </row>
    <row r="275" spans="1:1" ht="20.100000000000001" customHeight="1" x14ac:dyDescent="0.25">
      <c r="A275" s="25" t="s">
        <v>162</v>
      </c>
    </row>
    <row r="276" spans="1:1" ht="20.100000000000001" customHeight="1" x14ac:dyDescent="0.25">
      <c r="A276" s="20" t="s">
        <v>163</v>
      </c>
    </row>
    <row r="277" spans="1:1" ht="20.100000000000001" customHeight="1" x14ac:dyDescent="0.25">
      <c r="A277" s="20" t="s">
        <v>164</v>
      </c>
    </row>
    <row r="278" spans="1:1" ht="20.100000000000001" customHeight="1" x14ac:dyDescent="0.25">
      <c r="A278" s="25" t="s">
        <v>165</v>
      </c>
    </row>
    <row r="279" spans="1:1" ht="20.100000000000001" customHeight="1" x14ac:dyDescent="0.25">
      <c r="A279" s="20" t="s">
        <v>166</v>
      </c>
    </row>
    <row r="280" spans="1:1" ht="20.100000000000001" customHeight="1" x14ac:dyDescent="0.25">
      <c r="A280" s="20" t="s">
        <v>167</v>
      </c>
    </row>
    <row r="281" spans="1:1" ht="20.100000000000001" customHeight="1" x14ac:dyDescent="0.25">
      <c r="A281" s="20" t="s">
        <v>168</v>
      </c>
    </row>
    <row r="282" spans="1:1" ht="20.100000000000001" customHeight="1" x14ac:dyDescent="0.25">
      <c r="A282" s="20" t="s">
        <v>169</v>
      </c>
    </row>
    <row r="283" spans="1:1" ht="20.100000000000001" customHeight="1" x14ac:dyDescent="0.25">
      <c r="A283" s="25" t="s">
        <v>170</v>
      </c>
    </row>
    <row r="284" spans="1:1" ht="20.100000000000001" customHeight="1" x14ac:dyDescent="0.25">
      <c r="A284" s="25" t="s">
        <v>171</v>
      </c>
    </row>
    <row r="285" spans="1:1" ht="20.100000000000001" customHeight="1" x14ac:dyDescent="0.25">
      <c r="A285" s="25" t="s">
        <v>172</v>
      </c>
    </row>
    <row r="286" spans="1:1" ht="20.100000000000001" customHeight="1" thickBot="1" x14ac:dyDescent="0.3">
      <c r="A286" s="20" t="s">
        <v>173</v>
      </c>
    </row>
    <row r="287" spans="1:1" ht="20.100000000000001" customHeight="1" thickBot="1" x14ac:dyDescent="0.3">
      <c r="A287" s="2" t="s">
        <v>58</v>
      </c>
    </row>
    <row r="288" spans="1:1" ht="20.100000000000001" customHeight="1" thickBot="1" x14ac:dyDescent="0.3">
      <c r="A288" s="2" t="s">
        <v>58</v>
      </c>
    </row>
    <row r="289" spans="1:1" ht="20.100000000000001" customHeight="1" thickBot="1" x14ac:dyDescent="0.3">
      <c r="A289" s="2" t="s">
        <v>58</v>
      </c>
    </row>
    <row r="290" spans="1:1" ht="20.100000000000001" customHeight="1" thickBot="1" x14ac:dyDescent="0.3">
      <c r="A290" s="2" t="s">
        <v>58</v>
      </c>
    </row>
    <row r="291" spans="1:1" ht="20.100000000000001" customHeight="1" thickBot="1" x14ac:dyDescent="0.3">
      <c r="A291" s="2" t="s">
        <v>58</v>
      </c>
    </row>
    <row r="292" spans="1:1" ht="20.100000000000001" customHeight="1" thickBot="1" x14ac:dyDescent="0.3">
      <c r="A292" s="2" t="s">
        <v>58</v>
      </c>
    </row>
    <row r="293" spans="1:1" ht="20.100000000000001" customHeight="1" thickBot="1" x14ac:dyDescent="0.3">
      <c r="A293" s="2" t="s">
        <v>58</v>
      </c>
    </row>
    <row r="294" spans="1:1" ht="20.100000000000001" customHeight="1" thickBot="1" x14ac:dyDescent="0.3">
      <c r="A294" s="2" t="s">
        <v>58</v>
      </c>
    </row>
    <row r="295" spans="1:1" ht="20.100000000000001" customHeight="1" thickBot="1" x14ac:dyDescent="0.3">
      <c r="A295" s="2" t="s">
        <v>58</v>
      </c>
    </row>
    <row r="296" spans="1:1" ht="20.100000000000001" customHeight="1" thickBot="1" x14ac:dyDescent="0.3">
      <c r="A296" s="2" t="s">
        <v>58</v>
      </c>
    </row>
    <row r="297" spans="1:1" ht="20.100000000000001" customHeight="1" thickBot="1" x14ac:dyDescent="0.3">
      <c r="A297" s="2" t="s">
        <v>58</v>
      </c>
    </row>
    <row r="298" spans="1:1" ht="20.100000000000001" customHeight="1" thickBot="1" x14ac:dyDescent="0.3">
      <c r="A298" s="2" t="s">
        <v>58</v>
      </c>
    </row>
    <row r="299" spans="1:1" ht="20.100000000000001" customHeight="1" thickBot="1" x14ac:dyDescent="0.3">
      <c r="A299" s="2" t="s">
        <v>58</v>
      </c>
    </row>
    <row r="300" spans="1:1" ht="20.100000000000001" customHeight="1" thickBot="1" x14ac:dyDescent="0.3">
      <c r="A300" s="2" t="s">
        <v>58</v>
      </c>
    </row>
    <row r="301" spans="1:1" ht="20.100000000000001" customHeight="1" thickBot="1" x14ac:dyDescent="0.3">
      <c r="A301" s="2" t="s">
        <v>58</v>
      </c>
    </row>
    <row r="302" spans="1:1" ht="20.100000000000001" customHeight="1" thickBot="1" x14ac:dyDescent="0.3">
      <c r="A302" s="2" t="s">
        <v>58</v>
      </c>
    </row>
    <row r="303" spans="1:1" ht="20.100000000000001" customHeight="1" thickBot="1" x14ac:dyDescent="0.3">
      <c r="A303" s="2" t="s">
        <v>58</v>
      </c>
    </row>
    <row r="304" spans="1:1" ht="20.100000000000001" customHeight="1" thickBot="1" x14ac:dyDescent="0.3">
      <c r="A304" s="2" t="s">
        <v>58</v>
      </c>
    </row>
    <row r="305" spans="1:1" ht="20.100000000000001" customHeight="1" thickBot="1" x14ac:dyDescent="0.3">
      <c r="A305" s="2" t="s">
        <v>58</v>
      </c>
    </row>
    <row r="306" spans="1:1" ht="20.100000000000001" customHeight="1" thickBot="1" x14ac:dyDescent="0.3">
      <c r="A306" s="2" t="s">
        <v>58</v>
      </c>
    </row>
    <row r="307" spans="1:1" ht="20.100000000000001" customHeight="1" thickBot="1" x14ac:dyDescent="0.3">
      <c r="A307" s="2" t="s">
        <v>58</v>
      </c>
    </row>
    <row r="308" spans="1:1" ht="20.100000000000001" customHeight="1" thickBot="1" x14ac:dyDescent="0.3">
      <c r="A308" s="2" t="s">
        <v>58</v>
      </c>
    </row>
    <row r="309" spans="1:1" ht="20.100000000000001" customHeight="1" thickBot="1" x14ac:dyDescent="0.3">
      <c r="A309" s="2" t="s">
        <v>58</v>
      </c>
    </row>
    <row r="310" spans="1:1" ht="20.100000000000001" customHeight="1" thickBot="1" x14ac:dyDescent="0.3">
      <c r="A310" s="2" t="s">
        <v>58</v>
      </c>
    </row>
    <row r="311" spans="1:1" ht="20.100000000000001" customHeight="1" thickBot="1" x14ac:dyDescent="0.3">
      <c r="A311" s="2" t="s">
        <v>58</v>
      </c>
    </row>
    <row r="312" spans="1:1" ht="20.100000000000001" customHeight="1" thickBot="1" x14ac:dyDescent="0.3">
      <c r="A312" s="2" t="s">
        <v>58</v>
      </c>
    </row>
    <row r="313" spans="1:1" ht="20.100000000000001" customHeight="1" thickBot="1" x14ac:dyDescent="0.3">
      <c r="A313" s="2" t="s">
        <v>58</v>
      </c>
    </row>
    <row r="314" spans="1:1" ht="20.100000000000001" customHeight="1" thickBot="1" x14ac:dyDescent="0.3">
      <c r="A314" s="2" t="s">
        <v>58</v>
      </c>
    </row>
    <row r="315" spans="1:1" ht="20.100000000000001" customHeight="1" thickBot="1" x14ac:dyDescent="0.3">
      <c r="A315" s="2" t="s">
        <v>58</v>
      </c>
    </row>
    <row r="316" spans="1:1" ht="20.100000000000001" customHeight="1" thickBot="1" x14ac:dyDescent="0.3">
      <c r="A316" s="2" t="s">
        <v>58</v>
      </c>
    </row>
    <row r="317" spans="1:1" ht="20.100000000000001" customHeight="1" thickBot="1" x14ac:dyDescent="0.3">
      <c r="A317" s="2" t="s">
        <v>58</v>
      </c>
    </row>
    <row r="318" spans="1:1" ht="20.100000000000001" customHeight="1" thickBot="1" x14ac:dyDescent="0.3">
      <c r="A318" s="2" t="s">
        <v>58</v>
      </c>
    </row>
    <row r="319" spans="1:1" ht="20.100000000000001" customHeight="1" thickBot="1" x14ac:dyDescent="0.3">
      <c r="A319" s="2" t="s">
        <v>58</v>
      </c>
    </row>
    <row r="320" spans="1:1" ht="20.100000000000001" customHeight="1" thickBot="1" x14ac:dyDescent="0.3">
      <c r="A320" s="2" t="s">
        <v>58</v>
      </c>
    </row>
    <row r="321" spans="1:1" ht="20.100000000000001" customHeight="1" thickBot="1" x14ac:dyDescent="0.3">
      <c r="A321" s="2" t="s">
        <v>58</v>
      </c>
    </row>
    <row r="322" spans="1:1" ht="20.100000000000001" customHeight="1" thickBot="1" x14ac:dyDescent="0.3">
      <c r="A322" s="2" t="s">
        <v>58</v>
      </c>
    </row>
    <row r="323" spans="1:1" ht="20.100000000000001" customHeight="1" thickBot="1" x14ac:dyDescent="0.3">
      <c r="A323" s="2" t="s">
        <v>58</v>
      </c>
    </row>
    <row r="324" spans="1:1" ht="20.100000000000001" customHeight="1" thickBot="1" x14ac:dyDescent="0.3">
      <c r="A324" s="2" t="s">
        <v>58</v>
      </c>
    </row>
    <row r="325" spans="1:1" ht="20.100000000000001" customHeight="1" thickBot="1" x14ac:dyDescent="0.3">
      <c r="A325" s="2" t="s">
        <v>58</v>
      </c>
    </row>
    <row r="326" spans="1:1" ht="20.100000000000001" customHeight="1" thickBot="1" x14ac:dyDescent="0.3">
      <c r="A326" s="2" t="s">
        <v>58</v>
      </c>
    </row>
    <row r="327" spans="1:1" ht="20.100000000000001" customHeight="1" thickBot="1" x14ac:dyDescent="0.3">
      <c r="A327" s="2" t="s">
        <v>58</v>
      </c>
    </row>
    <row r="328" spans="1:1" ht="20.100000000000001" customHeight="1" thickBot="1" x14ac:dyDescent="0.3">
      <c r="A328" s="2" t="s">
        <v>58</v>
      </c>
    </row>
    <row r="329" spans="1:1" ht="20.100000000000001" customHeight="1" thickBot="1" x14ac:dyDescent="0.3">
      <c r="A329" s="2" t="s">
        <v>58</v>
      </c>
    </row>
    <row r="330" spans="1:1" ht="20.100000000000001" customHeight="1" thickBot="1" x14ac:dyDescent="0.3">
      <c r="A330" s="2" t="s">
        <v>58</v>
      </c>
    </row>
    <row r="331" spans="1:1" ht="20.100000000000001" customHeight="1" thickBot="1" x14ac:dyDescent="0.3">
      <c r="A331" s="2" t="s">
        <v>58</v>
      </c>
    </row>
    <row r="332" spans="1:1" ht="20.100000000000001" customHeight="1" thickBot="1" x14ac:dyDescent="0.3">
      <c r="A332" s="2" t="s">
        <v>58</v>
      </c>
    </row>
    <row r="333" spans="1:1" ht="20.100000000000001" customHeight="1" thickBot="1" x14ac:dyDescent="0.3">
      <c r="A333" s="2" t="s">
        <v>58</v>
      </c>
    </row>
    <row r="334" spans="1:1" ht="20.100000000000001" customHeight="1" thickBot="1" x14ac:dyDescent="0.3">
      <c r="A334" s="2" t="s">
        <v>58</v>
      </c>
    </row>
    <row r="335" spans="1:1" ht="20.100000000000001" customHeight="1" thickBot="1" x14ac:dyDescent="0.3">
      <c r="A335" s="2" t="s">
        <v>58</v>
      </c>
    </row>
    <row r="336" spans="1:1" ht="20.100000000000001" customHeight="1" thickBot="1" x14ac:dyDescent="0.3">
      <c r="A336" s="2" t="s">
        <v>58</v>
      </c>
    </row>
    <row r="337" spans="1:1" ht="20.100000000000001" customHeight="1" thickBot="1" x14ac:dyDescent="0.3">
      <c r="A337" s="2" t="s">
        <v>58</v>
      </c>
    </row>
    <row r="338" spans="1:1" ht="20.100000000000001" customHeight="1" thickBot="1" x14ac:dyDescent="0.3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2025-09-30T05:26:48Z</dcterms:modified>
</cp:coreProperties>
</file>