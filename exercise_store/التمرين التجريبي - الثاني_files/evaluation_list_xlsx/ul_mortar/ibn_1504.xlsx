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8ECCC65-B8EB-2949-AB33-DD6FC711EEE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F54" i="2"/>
  <c r="E54" i="2"/>
  <c r="E55" i="2"/>
  <c r="E56" i="2"/>
</calcChain>
</file>

<file path=xl/sharedStrings.xml><?xml version="1.0" encoding="utf-8"?>
<sst xmlns="http://schemas.openxmlformats.org/spreadsheetml/2006/main" count="283" uniqueCount="227">
  <si>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</si>
  <si>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</si>
  <si>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</si>
  <si>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</si>
  <si>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</si>
  <si>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</si>
  <si>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</si>
  <si>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</si>
  <si>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</si>
  <si>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</si>
  <si>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</si>
  <si>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</si>
  <si>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</si>
  <si>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</si>
  <si>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</si>
  <si>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</si>
  <si>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</si>
  <si>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</si>
  <si>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</si>
  <si>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</si>
  <si>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</si>
  <si>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</si>
  <si>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</si>
  <si>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</si>
  <si>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</si>
  <si>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</si>
  <si>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</si>
  <si>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</si>
  <si>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</si>
  <si>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</si>
  <si>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</si>
  <si>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</si>
  <si>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</si>
  <si>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</si>
  <si>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</si>
  <si>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</si>
  <si>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</si>
  <si>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</si>
  <si>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</si>
  <si>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</si>
  <si>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</si>
  <si>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</si>
  <si>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</si>
  <si>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</si>
  <si>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</si>
  <si>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</si>
  <si>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</si>
  <si>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</si>
  <si>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</si>
  <si>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</si>
  <si>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</si>
  <si>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</si>
  <si>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</si>
  <si>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</si>
  <si>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</si>
  <si>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</si>
  <si>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</si>
  <si>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</si>
  <si>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</si>
  <si>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</si>
  <si>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</si>
  <si>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</si>
  <si>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</si>
  <si>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</si>
  <si>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</si>
  <si>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</si>
  <si>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</si>
  <si>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</si>
  <si>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</si>
  <si>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</si>
  <si>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</si>
  <si>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</si>
  <si>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</si>
  <si>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</si>
  <si>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</si>
  <si>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</si>
  <si>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</si>
  <si>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</si>
  <si>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</si>
  <si>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</si>
  <si>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</si>
  <si>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</si>
  <si>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</si>
  <si>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</si>
  <si>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</si>
  <si>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</si>
  <si>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</si>
  <si>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</si>
  <si>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</si>
  <si>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</si>
  <si>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</si>
  <si>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</si>
  <si>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</si>
  <si>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</si>
  <si>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</si>
  <si>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</si>
  <si>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</si>
  <si>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</si>
  <si>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</si>
  <si>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</si>
  <si>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</si>
  <si>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</si>
  <si>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</si>
  <si>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</si>
  <si>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</si>
  <si>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</si>
  <si>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</si>
  <si>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</si>
  <si>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</si>
  <si>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</si>
  <si>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</si>
  <si>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</si>
  <si>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</si>
  <si>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</si>
  <si>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</si>
  <si>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</si>
  <si>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</si>
  <si>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</si>
  <si>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</si>
  <si>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</si>
  <si>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</si>
  <si>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</si>
  <si>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</si>
  <si>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</si>
  <si>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</si>
  <si>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</si>
  <si>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</si>
  <si>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</si>
  <si>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</si>
  <si>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</si>
  <si>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</si>
  <si>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</si>
  <si>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</si>
  <si>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</si>
  <si>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</si>
  <si>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</si>
  <si>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</si>
  <si>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</si>
  <si>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</si>
  <si>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</si>
  <si>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</si>
  <si>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</si>
  <si>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</si>
  <si>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</si>
  <si>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</si>
  <si>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</si>
  <si>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</si>
  <si>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</si>
  <si>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</si>
  <si>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</si>
  <si>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</si>
  <si>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</si>
  <si>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</si>
  <si>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</si>
  <si>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</si>
  <si>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</si>
  <si>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</si>
  <si>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</si>
  <si>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</si>
  <si>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</si>
  <si>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</si>
  <si>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</si>
  <si>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</si>
  <si>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</si>
  <si>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</si>
  <si>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</si>
  <si>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</si>
  <si>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</si>
  <si>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</si>
  <si>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</si>
  <si>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</si>
  <si>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</si>
  <si>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</si>
  <si>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</si>
  <si>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</si>
  <si>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</si>
  <si>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</si>
  <si>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</si>
  <si>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</si>
  <si>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</si>
  <si>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معسكرات التدريب الخارجية لسرية الهاون - تمرين جاهزية مجموعة لواء الإمارات/1 (جندي الصحراء 2025/20)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</si>
  <si>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الشؤون الإدارية.</t>
    </r>
    <r>
      <rPr>
        <sz val="12"/>
        <color theme="1"/>
        <rFont val="Arial"/>
        <family val="2"/>
      </rPr>
      <t xml:space="preserve"> (يتم التأكد من التالي):</t>
    </r>
  </si>
  <si>
    <t>أ. المظهر العام للمعسكر من حيث (نصب الخيام، النظافة، مداخل ومخارج الطرق المؤدية واللوحات الإرشادية للمعسكر).</t>
  </si>
  <si>
    <t>ب. وجود وصلاحية مخازن الأسلحة والذخيرة والأرزاق.</t>
  </si>
  <si>
    <t>جـ. توفر وصلاحية مكاتب قيادة الوحدة.</t>
  </si>
  <si>
    <t>د. توفر وصلاحية مكتب المخابرة.</t>
  </si>
  <si>
    <t>هـ. توفر مواقف للآليات (إدارية، وقود).</t>
  </si>
  <si>
    <t>و. وجود نظــام للتخلــص مـن النفايــات والمخلـفـات (الطبية والعضوية).</t>
  </si>
  <si>
    <r>
      <t>2.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القوى البشرية والآليـات.</t>
    </r>
  </si>
  <si>
    <t>أ. نسبة الاستكمال من القوى البشرية وتشمل (المرتب، الموجود، المدربين، الموجود اليومي).</t>
  </si>
  <si>
    <t>ب. مدى استكمال التخصصات للمرتب.</t>
  </si>
  <si>
    <t>جـ. مدى استكمال التخصصات الأخرى الملحقة والمعينة (الإسناد الناري والإداري).</t>
  </si>
  <si>
    <t>د. نسبـة استكمال الآليات والمعدات الموجودة على المرتب.</t>
  </si>
  <si>
    <t>هـ. الحالة الفنية للآليات (ب).</t>
  </si>
  <si>
    <r>
      <t>3.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الأسلحــة والذخائــر.</t>
    </r>
  </si>
  <si>
    <t>أ. توفر ذخيرة العمليات حسب مقياس الذخائر وحسب تعليمات رفع حالات الاستعداد القتالي.</t>
  </si>
  <si>
    <t>ب. توفر ذخيرة التدريب حسب المقياس.</t>
  </si>
  <si>
    <t>جـ. الحالة الفنية للذخائر.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</si>
  <si>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مواقف الآليات</t>
    </r>
    <r>
      <rPr>
        <u/>
        <sz val="12"/>
        <color theme="1"/>
        <rFont val="Arial"/>
        <family val="2"/>
      </rPr>
      <t>.</t>
    </r>
    <r>
      <rPr>
        <sz val="12"/>
        <color theme="1"/>
        <rFont val="Arial"/>
        <family val="2"/>
      </rPr>
      <t xml:space="preserve"> عندما تكون محملة بالذخائر والوقود.</t>
    </r>
  </si>
  <si>
    <t>أ. توفر وصلاحية الإنارة في منطقة مواقف الآليات.</t>
  </si>
  <si>
    <t>ب. توفر وصلاحية وسيلة الاتصال.</t>
  </si>
  <si>
    <t>جـ. وجود وصلاحية طفايات الحريق ووجود بطاقة الصلاحية عليها بمواقف الآليات.</t>
  </si>
  <si>
    <t>د. مدى التقيد بالنظافة العامة في مواقف الآليات.</t>
  </si>
  <si>
    <r>
      <t>5.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مساعدات التدريب.</t>
    </r>
  </si>
  <si>
    <t>أ. وجود تعليمات وخطة التدريب لمعسكر التدريب الخارجي.</t>
  </si>
  <si>
    <t>ب. مدى تطابق خطة وتعليمات التدريب الخارجي مع خطة التدريب / الزمنية الشهرية للمستوى الأعلى.</t>
  </si>
  <si>
    <t>جـ. وجود برامج التدريب ومدى تطابقها مع خطة التدريب الشهرية.</t>
  </si>
  <si>
    <t>د. وجود وملائمة مناطق التدريب مع برنامج التدريب.</t>
  </si>
  <si>
    <t>هـ. وجود وثائق وتعليمات التمرين.</t>
  </si>
  <si>
    <t>و. وجود التعليمات التنظيمية للمعسكر.</t>
  </si>
  <si>
    <r>
      <t>6.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وجود خطة الدفاع والحراسة و خطة الحريق.</t>
    </r>
  </si>
  <si>
    <r>
      <t>7.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التدريب.</t>
    </r>
  </si>
  <si>
    <t>أ. التقيد بالتعليمات الإدارية للتدريب.</t>
  </si>
  <si>
    <t>ب. مدى إلمام المرتب والمتدربين بالتعليمات الإدارية.</t>
  </si>
  <si>
    <t>جـ. مدى إلمام المدربين بالتدريب.</t>
  </si>
  <si>
    <t>د. مدى سيطرة المدربين على المتدربين.</t>
  </si>
  <si>
    <t>هـ. مدى تقيد المدربين بتوجيه المتدربين وتصحيح الأخطاء.</t>
  </si>
  <si>
    <t>و. مدى التعاون والعمل بروح الفريق بين المتدربين.</t>
  </si>
  <si>
    <t>ز. التقيد بتوزيع المهام على المتدربين.</t>
  </si>
  <si>
    <t>ح. التقيد بتوقيتات التدريب.</t>
  </si>
  <si>
    <r>
      <t>8.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التقيد بارتداء اللباس الميداني حسب التعليمات.</t>
    </r>
  </si>
  <si>
    <r>
      <t>9.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الإشارة.</t>
    </r>
  </si>
  <si>
    <t>أ. مدى التقيد بالتعليمات الإشارية ومخططات شبكة الاتصالات.</t>
  </si>
  <si>
    <t>ب. توفر وصلاحية وسائل الاتصال في التمرين.</t>
  </si>
  <si>
    <t>جـ. مدى التقيد بأصول المخابرة الصحيحة والالتزام بالأمن اللاسلكي من قبل مستخدمي الأجهزة.</t>
  </si>
  <si>
    <t>د. مدى كفاءة الاتصالات في التمرين.</t>
  </si>
  <si>
    <r>
      <t>10.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Arial"/>
        <family val="2"/>
      </rPr>
      <t>الإشراف والمتابعة من المستوى الأعلى.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</si>
</sst>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b/>
      <u/>
      <sz val="12"/>
      <color theme="1"/>
      <name val="Arial"/>
      <family val="2"/>
    </font>
    <font>
      <b/>
      <sz val="7"/>
      <color theme="1"/>
      <name val="Times New Roman"/>
      <family val="1"/>
    </font>
    <font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21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253895</xdr:colOff>
      <xdr:row>57</xdr:row>
      <xdr:rowOff>99228</xdr:rowOff>
    </xdr:from>
    <xdr:to>
      <xdr:col>8</xdr:col>
      <xdr:colOff>496884</xdr:colOff>
      <xdr:row>57</xdr:row>
      <xdr:rowOff>596028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7C1DC7A-D0B3-D5C7-3F04-6EB56422067D}"/>
                </a:ext>
              </a:extLst>
            </xdr14:cNvPr>
            <xdr14:cNvContentPartPr/>
          </xdr14:nvContentPartPr>
          <xdr14:nvPr macro=""/>
          <xdr14:xfrm>
            <a:off x="10398748025" y="22855320"/>
            <a:ext cx="901080" cy="4968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7C1DC7A-D0B3-D5C7-3F04-6EB5642206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41905" y="22849200"/>
              <a:ext cx="913320" cy="50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455</xdr:colOff>
      <xdr:row>57</xdr:row>
      <xdr:rowOff>595668</xdr:rowOff>
    </xdr:from>
    <xdr:to>
      <xdr:col>7</xdr:col>
      <xdr:colOff>5855</xdr:colOff>
      <xdr:row>57</xdr:row>
      <xdr:rowOff>601788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F0509BE-D1B7-A2D2-CF89-DC5A15FA03A6}"/>
                </a:ext>
              </a:extLst>
            </xdr14:cNvPr>
            <xdr14:cNvContentPartPr/>
          </xdr14:nvContentPartPr>
          <xdr14:nvPr macro=""/>
          <xdr14:xfrm>
            <a:off x="10399897145" y="23351760"/>
            <a:ext cx="5400" cy="61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F0509BE-D1B7-A2D2-CF89-DC5A15FA03A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91025" y="23345640"/>
              <a:ext cx="17640" cy="18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04:14:23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2100 1026,'0'0,"0"0,0 0,0 0,0 0,0 0,0 0,0 0,0 0,0 0,0 0,0 0,0 0,0 0,0 0,0 0,0 0,0 0,-14 0,-3 0,12 0,-7 0,-2-16,-1 16,-4 0,5 0,-1 0,-4 0,-12 0,16 0,-2 0,1 0,1 0,-2 0,-16 0,25 0,1 0,-10 0,3 0,-3 0,0 0,10 0,-3 0,-4-16,7 16,-3 0,3 0,-3 0,27 0,-22 0,-7 0,0 0,10 0,2-16,-7 16,-3 0,-7 0,12 0,-4 0,-8 0,3-7,-3-2,0 9,2 0,-1 0,-33 0,35 7,-5 2,-12-9,9 0,-5 0,-21 16,12-16,-7 0,-22 16,29-9,-7 2,-22 7,36-8,-7 1,-27 7,34-9,-7 2,-29 23,53-32,-7 0,-29 16,34-16,-3 0,0 0,12 0,41-16,12 0,3-6,11-4,99-23,-74 14,19-10,69-19,-95 36,16-8,65-44,-91 59,21-6,133-70,-154 69,21-8,5-12,-69 34,9-4,-2 2,-13 9,6-2,-13-7,-7 9,3-2,-27 9,5 0,-7 0,-29 16,29-16,-10 0,-51 32,37-18,-10 4,-91 46,79-43,-15 6,-64 38,86-37,-14 8,-38 12,66-34,-9 4,-12 14,37-18,-9 4,-11-2,27-2,-6 4,-4-2,9-2,-4 4,9-2,10-16,0 0,-10 16,24-16,3 0,4 0,0-7,6-2,28-7,-22 9,10-2,61-23,-40 11,15-6,73-21,-90 20,17-8,56-12,-78 19,13-6,16-14,-50 35,7-4,12-14,-29 25,10-2,19-23,-33 25,2-2,0-7,-10 16,2 0,6-16,-8 9,-29 14,8-7,-5 0,-29 0,26 0,-4 0,-23 0,23 0,-10 0,-46 16,41-16,-14 0,-56 16,53-9,-14 2,-38-9,59 7,-11 2,-51 23,72-25,-15 2,-40 23,70-25,-10 2,-46 23,46-24,-8 1,-20 23,42-18,-5 4,-21-2,27-9,-6 2,-4 23,17-25,-3 2,-17 7,22-9,-7 2,2 7,10-16,-1 0,-1 0,33 0,-10 0,6 0,11 0,-2-7,7-2,60-7,-41-12,17-8,90-28,-85 28,21-9,63-19,-98 29,19-10,45-19,-84 43,10-6,12-5,-50 18,2-4,31-14,-27 18,6-4,4 2,-16 1,4-3,-5 2,-14 2,0-4,0 2,-12 9,-7-2,-12-7,-5 9,-10-2,-82-7,59 16,-23 0,-100 0,100 7,-23 2,-94 7,125-16,-25 0,-35 16,93-9,-11 2,-17 7,50-9,-7 2,-27 7,34-9,-7 2,-12 7,29-1,-10 3,-19 14,29-18,-10 4,-3 14,18-11,-5 6,4 37,6-35,1 6,8 29,8-29,1 10,6 52,9-62,0 10,24 51,-12-54,10 12,64 59,-59-71,11 12,100 26,-100-59,20 6,77 21,-94-34,14 4,65-18,-86 0,14 0,39-16,-61 9,13-2,16 9,-43-7,10-2,17-7,-39 9,0-2,9 9,-18-7,2-2,14 9,-17-7,6-2,-6 9,-4 0,-3 0,-7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04:14:23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0,'0'0,"0"0,0 0,0 0,-15 16,15-16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C45" zoomScale="130" zoomScaleNormal="100" zoomScaleSheetLayoutView="130" workbookViewId="0">
      <selection activeCell="G58" sqref="G58:J5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5" t="s">
        <v>180</v>
      </c>
      <c r="C1" s="45"/>
      <c r="D1" s="45"/>
      <c r="E1" s="45"/>
      <c r="F1" s="45"/>
      <c r="G1" s="45"/>
      <c r="H1" s="45"/>
      <c r="I1" s="45"/>
      <c r="J1" s="45"/>
    </row>
    <row r="2" spans="1:10" ht="30" customHeight="1" x14ac:dyDescent="0.2">
      <c r="B2" s="13" t="s">
        <v>8</v>
      </c>
      <c r="C2" s="51" t="s">
        <v>11</v>
      </c>
      <c r="D2" s="51"/>
      <c r="E2" s="13" t="s">
        <v>7</v>
      </c>
      <c r="F2" s="46">
        <v>45931</v>
      </c>
      <c r="G2" s="46"/>
      <c r="H2" s="46"/>
      <c r="I2" s="46"/>
      <c r="J2" s="46"/>
    </row>
    <row r="3" spans="1:10" ht="30" customHeight="1" x14ac:dyDescent="0.2">
      <c r="B3" s="13" t="s">
        <v>9</v>
      </c>
      <c r="C3" s="51" t="s">
        <v>69</v>
      </c>
      <c r="D3" s="51"/>
      <c r="E3" s="13" t="s">
        <v>6</v>
      </c>
      <c r="F3" s="51" t="s">
        <v>134</v>
      </c>
      <c r="G3" s="51"/>
      <c r="H3" s="51"/>
      <c r="I3" s="51"/>
      <c r="J3" s="5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47" t="s">
        <v>0</v>
      </c>
      <c r="C5" s="48"/>
      <c r="D5" s="48"/>
      <c r="E5" s="60" t="s">
        <v>1</v>
      </c>
      <c r="F5" s="60"/>
      <c r="G5" s="60"/>
      <c r="H5" s="60"/>
      <c r="I5" s="60" t="s">
        <v>2</v>
      </c>
      <c r="J5" s="63"/>
    </row>
    <row r="6" spans="1:10" ht="24.95" customHeight="1" thickBot="1" x14ac:dyDescent="0.25">
      <c r="A6" s="11"/>
      <c r="B6" s="49"/>
      <c r="C6" s="50"/>
      <c r="D6" s="50"/>
      <c r="E6" s="12" t="s">
        <v>3</v>
      </c>
      <c r="F6" s="12" t="s">
        <v>4</v>
      </c>
      <c r="G6" s="12" t="s">
        <v>23</v>
      </c>
      <c r="H6" s="12" t="s">
        <v>24</v>
      </c>
      <c r="I6" s="64"/>
      <c r="J6" s="65"/>
    </row>
    <row r="7" spans="1:10" ht="24.95" customHeight="1" thickBot="1" x14ac:dyDescent="0.25">
      <c r="A7" s="11"/>
      <c r="B7" s="54" t="s">
        <v>21</v>
      </c>
      <c r="C7" s="55"/>
      <c r="D7" s="55"/>
      <c r="E7" s="30" t="s">
        <v>18</v>
      </c>
      <c r="F7" s="30" t="s">
        <v>19</v>
      </c>
      <c r="G7" s="30" t="s">
        <v>22</v>
      </c>
      <c r="H7" s="30" t="s">
        <v>20</v>
      </c>
      <c r="I7" s="66" t="s">
        <v>25</v>
      </c>
      <c r="J7" s="67"/>
    </row>
    <row r="8" spans="1:10" ht="30" customHeight="1" x14ac:dyDescent="0.2">
      <c r="A8" s="11"/>
      <c r="B8" s="83" t="s">
        <v>181</v>
      </c>
      <c r="C8" s="84"/>
      <c r="D8" s="84"/>
      <c r="E8" s="34"/>
      <c r="F8" s="35"/>
      <c r="G8" s="36"/>
      <c r="H8" s="37"/>
      <c r="I8" s="56"/>
      <c r="J8" s="57"/>
    </row>
    <row r="9" spans="1:10" ht="39.950000000000003" customHeight="1" x14ac:dyDescent="0.2">
      <c r="A9" s="11"/>
      <c r="B9" s="85" t="s">
        <v>182</v>
      </c>
      <c r="C9" s="86"/>
      <c r="D9" s="86"/>
      <c r="E9" s="33">
        <v>5</v>
      </c>
      <c r="F9" s="27">
        <v>3.75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8"/>
      <c r="J9" s="59"/>
    </row>
    <row r="10" spans="1:10" ht="30" customHeight="1" x14ac:dyDescent="0.2">
      <c r="A10" s="11"/>
      <c r="B10" s="85" t="s">
        <v>183</v>
      </c>
      <c r="C10" s="86"/>
      <c r="D10" s="86"/>
      <c r="E10" s="33">
        <v>5</v>
      </c>
      <c r="F10" s="27">
        <v>3.75</v>
      </c>
      <c r="G10" s="31">
        <f t="shared" ref="G10:G53" si="0">IFERROR(F10/E10,"")</f>
        <v>0.75</v>
      </c>
      <c r="H10" s="32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</v>
      </c>
      <c r="I10" s="58"/>
      <c r="J10" s="59"/>
    </row>
    <row r="11" spans="1:10" ht="30" customHeight="1" x14ac:dyDescent="0.2">
      <c r="A11" s="11"/>
      <c r="B11" s="85" t="s">
        <v>184</v>
      </c>
      <c r="C11" s="86"/>
      <c r="D11" s="86"/>
      <c r="E11" s="33">
        <v>5</v>
      </c>
      <c r="F11" s="27">
        <v>3.5</v>
      </c>
      <c r="G11" s="31">
        <f t="shared" si="0"/>
        <v>0.7</v>
      </c>
      <c r="H11" s="32" t="str">
        <f t="shared" si="1"/>
        <v>جيد</v>
      </c>
      <c r="I11" s="58"/>
      <c r="J11" s="59"/>
    </row>
    <row r="12" spans="1:10" ht="30" customHeight="1" x14ac:dyDescent="0.2">
      <c r="A12" s="11"/>
      <c r="B12" s="85" t="s">
        <v>185</v>
      </c>
      <c r="C12" s="86"/>
      <c r="D12" s="86"/>
      <c r="E12" s="33">
        <v>5</v>
      </c>
      <c r="F12" s="27">
        <v>3.5</v>
      </c>
      <c r="G12" s="31">
        <f t="shared" si="0"/>
        <v>0.7</v>
      </c>
      <c r="H12" s="32" t="str">
        <f t="shared" si="1"/>
        <v>جيد</v>
      </c>
      <c r="I12" s="58"/>
      <c r="J12" s="59"/>
    </row>
    <row r="13" spans="1:10" ht="30" customHeight="1" x14ac:dyDescent="0.2">
      <c r="A13" s="11"/>
      <c r="B13" s="85" t="s">
        <v>186</v>
      </c>
      <c r="C13" s="86"/>
      <c r="D13" s="86"/>
      <c r="E13" s="33">
        <v>5</v>
      </c>
      <c r="F13" s="27">
        <v>3.75</v>
      </c>
      <c r="G13" s="31">
        <f t="shared" si="0"/>
        <v>0.75</v>
      </c>
      <c r="H13" s="32" t="str">
        <f t="shared" si="1"/>
        <v>جيد</v>
      </c>
      <c r="I13" s="58"/>
      <c r="J13" s="59"/>
    </row>
    <row r="14" spans="1:10" ht="30" customHeight="1" thickBot="1" x14ac:dyDescent="0.25">
      <c r="A14" s="11"/>
      <c r="B14" s="87" t="s">
        <v>187</v>
      </c>
      <c r="C14" s="88"/>
      <c r="D14" s="88"/>
      <c r="E14" s="38">
        <v>5</v>
      </c>
      <c r="F14" s="29">
        <v>3.5</v>
      </c>
      <c r="G14" s="39">
        <f t="shared" si="0"/>
        <v>0.7</v>
      </c>
      <c r="H14" s="40" t="str">
        <f t="shared" si="1"/>
        <v>جيد</v>
      </c>
      <c r="I14" s="68"/>
      <c r="J14" s="69"/>
    </row>
    <row r="15" spans="1:10" ht="30" customHeight="1" x14ac:dyDescent="0.2">
      <c r="A15" s="11"/>
      <c r="B15" s="89" t="s">
        <v>188</v>
      </c>
      <c r="C15" s="90"/>
      <c r="D15" s="90"/>
      <c r="E15" s="34"/>
      <c r="F15" s="35"/>
      <c r="G15" s="36"/>
      <c r="H15" s="37"/>
      <c r="I15" s="56"/>
      <c r="J15" s="57"/>
    </row>
    <row r="16" spans="1:10" ht="39.950000000000003" customHeight="1" x14ac:dyDescent="0.2">
      <c r="A16" s="11"/>
      <c r="B16" s="85" t="s">
        <v>189</v>
      </c>
      <c r="C16" s="86"/>
      <c r="D16" s="86"/>
      <c r="E16" s="33">
        <v>5</v>
      </c>
      <c r="F16" s="27">
        <v>3.5</v>
      </c>
      <c r="G16" s="31">
        <f t="shared" si="0"/>
        <v>0.7</v>
      </c>
      <c r="H16" s="32" t="str">
        <f t="shared" si="1"/>
        <v>جيد</v>
      </c>
      <c r="I16" s="58"/>
      <c r="J16" s="59"/>
    </row>
    <row r="17" spans="1:10" ht="30" customHeight="1" x14ac:dyDescent="0.2">
      <c r="A17" s="11"/>
      <c r="B17" s="85" t="s">
        <v>190</v>
      </c>
      <c r="C17" s="86"/>
      <c r="D17" s="86"/>
      <c r="E17" s="33">
        <v>5</v>
      </c>
      <c r="F17" s="27">
        <v>3.75</v>
      </c>
      <c r="G17" s="31">
        <f t="shared" si="0"/>
        <v>0.75</v>
      </c>
      <c r="H17" s="32" t="str">
        <f t="shared" si="1"/>
        <v>جيد</v>
      </c>
      <c r="I17" s="58"/>
      <c r="J17" s="59"/>
    </row>
    <row r="18" spans="1:10" ht="39.950000000000003" customHeight="1" x14ac:dyDescent="0.2">
      <c r="A18" s="11"/>
      <c r="B18" s="85" t="s">
        <v>191</v>
      </c>
      <c r="C18" s="86"/>
      <c r="D18" s="86"/>
      <c r="E18" s="33">
        <v>5</v>
      </c>
      <c r="F18" s="27">
        <v>3.5</v>
      </c>
      <c r="G18" s="31">
        <f t="shared" si="0"/>
        <v>0.7</v>
      </c>
      <c r="H18" s="32" t="str">
        <f t="shared" si="1"/>
        <v>جيد</v>
      </c>
      <c r="I18" s="58"/>
      <c r="J18" s="59"/>
    </row>
    <row r="19" spans="1:10" ht="30" customHeight="1" x14ac:dyDescent="0.2">
      <c r="A19" s="11"/>
      <c r="B19" s="85" t="s">
        <v>192</v>
      </c>
      <c r="C19" s="86"/>
      <c r="D19" s="86"/>
      <c r="E19" s="33">
        <v>5</v>
      </c>
      <c r="F19" s="27">
        <v>3.75</v>
      </c>
      <c r="G19" s="31">
        <f t="shared" si="0"/>
        <v>0.75</v>
      </c>
      <c r="H19" s="32" t="str">
        <f t="shared" si="1"/>
        <v>جيد</v>
      </c>
      <c r="I19" s="58"/>
      <c r="J19" s="59"/>
    </row>
    <row r="20" spans="1:10" ht="30" customHeight="1" thickBot="1" x14ac:dyDescent="0.25">
      <c r="A20" s="11"/>
      <c r="B20" s="87" t="s">
        <v>193</v>
      </c>
      <c r="C20" s="88"/>
      <c r="D20" s="88"/>
      <c r="E20" s="38">
        <v>5</v>
      </c>
      <c r="F20" s="29">
        <v>3.5</v>
      </c>
      <c r="G20" s="39">
        <f t="shared" si="0"/>
        <v>0.7</v>
      </c>
      <c r="H20" s="40" t="str">
        <f t="shared" si="1"/>
        <v>جيد</v>
      </c>
      <c r="I20" s="68"/>
      <c r="J20" s="69"/>
    </row>
    <row r="21" spans="1:10" ht="30" customHeight="1" x14ac:dyDescent="0.2">
      <c r="A21" s="11"/>
      <c r="B21" s="89" t="s">
        <v>194</v>
      </c>
      <c r="C21" s="90"/>
      <c r="D21" s="90"/>
      <c r="E21" s="34"/>
      <c r="F21" s="35"/>
      <c r="G21" s="36"/>
      <c r="H21" s="37"/>
      <c r="I21" s="56"/>
      <c r="J21" s="57"/>
    </row>
    <row r="22" spans="1:10" ht="39.950000000000003" customHeight="1" x14ac:dyDescent="0.2">
      <c r="A22" s="11"/>
      <c r="B22" s="85" t="s">
        <v>195</v>
      </c>
      <c r="C22" s="86"/>
      <c r="D22" s="86"/>
      <c r="E22" s="33">
        <v>5</v>
      </c>
      <c r="F22" s="27">
        <v>3.5</v>
      </c>
      <c r="G22" s="31">
        <f t="shared" si="0"/>
        <v>0.7</v>
      </c>
      <c r="H22" s="32" t="str">
        <f t="shared" si="1"/>
        <v>جيد</v>
      </c>
      <c r="I22" s="58"/>
      <c r="J22" s="59"/>
    </row>
    <row r="23" spans="1:10" ht="30" customHeight="1" x14ac:dyDescent="0.2">
      <c r="A23" s="11"/>
      <c r="B23" s="85" t="s">
        <v>196</v>
      </c>
      <c r="C23" s="86"/>
      <c r="D23" s="86"/>
      <c r="E23" s="33">
        <v>5</v>
      </c>
      <c r="F23" s="27">
        <v>3.75</v>
      </c>
      <c r="G23" s="31">
        <f t="shared" si="0"/>
        <v>0.75</v>
      </c>
      <c r="H23" s="32" t="str">
        <f t="shared" si="1"/>
        <v>جيد</v>
      </c>
      <c r="I23" s="58"/>
      <c r="J23" s="59"/>
    </row>
    <row r="24" spans="1:10" ht="30" customHeight="1" thickBot="1" x14ac:dyDescent="0.25">
      <c r="A24" s="11"/>
      <c r="B24" s="87" t="s">
        <v>197</v>
      </c>
      <c r="C24" s="88"/>
      <c r="D24" s="88"/>
      <c r="E24" s="38">
        <v>5</v>
      </c>
      <c r="F24" s="29">
        <v>3.5</v>
      </c>
      <c r="G24" s="39">
        <f t="shared" si="0"/>
        <v>0.7</v>
      </c>
      <c r="H24" s="40" t="str">
        <f t="shared" si="1"/>
        <v>جيد</v>
      </c>
      <c r="I24" s="68"/>
      <c r="J24" s="69"/>
    </row>
    <row r="25" spans="1:10" ht="30" customHeight="1" x14ac:dyDescent="0.2">
      <c r="A25" s="11"/>
      <c r="B25" s="83" t="s">
        <v>198</v>
      </c>
      <c r="C25" s="84"/>
      <c r="D25" s="84"/>
      <c r="E25" s="34"/>
      <c r="F25" s="35"/>
      <c r="G25" s="36"/>
      <c r="H25" s="37"/>
      <c r="I25" s="56"/>
      <c r="J25" s="57"/>
    </row>
    <row r="26" spans="1:10" ht="30" customHeight="1" x14ac:dyDescent="0.2">
      <c r="A26" s="11"/>
      <c r="B26" s="85" t="s">
        <v>199</v>
      </c>
      <c r="C26" s="86"/>
      <c r="D26" s="86"/>
      <c r="E26" s="9">
        <v>5</v>
      </c>
      <c r="F26" s="27">
        <v>3.5</v>
      </c>
      <c r="G26" s="31">
        <f t="shared" si="0"/>
        <v>0.7</v>
      </c>
      <c r="H26" s="32" t="str">
        <f t="shared" si="1"/>
        <v>جيد</v>
      </c>
      <c r="I26" s="58"/>
      <c r="J26" s="59"/>
    </row>
    <row r="27" spans="1:10" ht="30" customHeight="1" x14ac:dyDescent="0.2">
      <c r="A27" s="11"/>
      <c r="B27" s="85" t="s">
        <v>200</v>
      </c>
      <c r="C27" s="86"/>
      <c r="D27" s="86"/>
      <c r="E27" s="9">
        <v>5</v>
      </c>
      <c r="F27" s="27">
        <v>3.5</v>
      </c>
      <c r="G27" s="31">
        <f t="shared" si="0"/>
        <v>0.7</v>
      </c>
      <c r="H27" s="32" t="str">
        <f t="shared" si="1"/>
        <v>جيد</v>
      </c>
      <c r="I27" s="58"/>
      <c r="J27" s="59"/>
    </row>
    <row r="28" spans="1:10" ht="39.950000000000003" customHeight="1" x14ac:dyDescent="0.2">
      <c r="A28" s="11"/>
      <c r="B28" s="85" t="s">
        <v>201</v>
      </c>
      <c r="C28" s="86"/>
      <c r="D28" s="86"/>
      <c r="E28" s="9">
        <v>5</v>
      </c>
      <c r="F28" s="27">
        <v>3.75</v>
      </c>
      <c r="G28" s="31">
        <f t="shared" si="0"/>
        <v>0.75</v>
      </c>
      <c r="H28" s="32" t="str">
        <f t="shared" si="1"/>
        <v>جيد</v>
      </c>
      <c r="I28" s="58"/>
      <c r="J28" s="59"/>
    </row>
    <row r="29" spans="1:10" ht="30" customHeight="1" thickBot="1" x14ac:dyDescent="0.25">
      <c r="A29" s="11"/>
      <c r="B29" s="87" t="s">
        <v>202</v>
      </c>
      <c r="C29" s="88"/>
      <c r="D29" s="88"/>
      <c r="E29" s="41">
        <v>5</v>
      </c>
      <c r="F29" s="29">
        <v>3.5</v>
      </c>
      <c r="G29" s="39">
        <f t="shared" si="0"/>
        <v>0.7</v>
      </c>
      <c r="H29" s="40" t="str">
        <f t="shared" si="1"/>
        <v>جيد</v>
      </c>
      <c r="I29" s="68"/>
      <c r="J29" s="69"/>
    </row>
    <row r="30" spans="1:10" ht="30" customHeight="1" x14ac:dyDescent="0.2">
      <c r="A30" s="11"/>
      <c r="B30" s="89" t="s">
        <v>203</v>
      </c>
      <c r="C30" s="90"/>
      <c r="D30" s="90"/>
      <c r="E30" s="34"/>
      <c r="F30" s="35"/>
      <c r="G30" s="36"/>
      <c r="H30" s="37"/>
      <c r="I30" s="56"/>
      <c r="J30" s="57"/>
    </row>
    <row r="31" spans="1:10" ht="30" customHeight="1" x14ac:dyDescent="0.2">
      <c r="A31" s="11"/>
      <c r="B31" s="85" t="s">
        <v>204</v>
      </c>
      <c r="C31" s="86"/>
      <c r="D31" s="86"/>
      <c r="E31" s="33">
        <v>5</v>
      </c>
      <c r="F31" s="27">
        <v>3.5</v>
      </c>
      <c r="G31" s="31">
        <f t="shared" si="0"/>
        <v>0.7</v>
      </c>
      <c r="H31" s="32" t="str">
        <f t="shared" si="1"/>
        <v>جيد</v>
      </c>
      <c r="I31" s="58"/>
      <c r="J31" s="59"/>
    </row>
    <row r="32" spans="1:10" ht="39.950000000000003" customHeight="1" x14ac:dyDescent="0.2">
      <c r="A32" s="11"/>
      <c r="B32" s="85" t="s">
        <v>205</v>
      </c>
      <c r="C32" s="86"/>
      <c r="D32" s="86"/>
      <c r="E32" s="33">
        <v>5</v>
      </c>
      <c r="F32" s="27">
        <v>3.5</v>
      </c>
      <c r="G32" s="31">
        <f t="shared" si="0"/>
        <v>0.7</v>
      </c>
      <c r="H32" s="32" t="str">
        <f t="shared" si="1"/>
        <v>جيد</v>
      </c>
      <c r="I32" s="58"/>
      <c r="J32" s="59"/>
    </row>
    <row r="33" spans="1:10" ht="30" customHeight="1" x14ac:dyDescent="0.2">
      <c r="A33" s="11"/>
      <c r="B33" s="85" t="s">
        <v>206</v>
      </c>
      <c r="C33" s="86"/>
      <c r="D33" s="86"/>
      <c r="E33" s="33">
        <v>5</v>
      </c>
      <c r="F33" s="27">
        <v>3.5</v>
      </c>
      <c r="G33" s="31">
        <f t="shared" si="0"/>
        <v>0.7</v>
      </c>
      <c r="H33" s="32" t="str">
        <f t="shared" si="1"/>
        <v>جيد</v>
      </c>
      <c r="I33" s="58"/>
      <c r="J33" s="59"/>
    </row>
    <row r="34" spans="1:10" ht="30" customHeight="1" x14ac:dyDescent="0.2">
      <c r="A34" s="11"/>
      <c r="B34" s="85" t="s">
        <v>207</v>
      </c>
      <c r="C34" s="86"/>
      <c r="D34" s="86"/>
      <c r="E34" s="33">
        <v>5</v>
      </c>
      <c r="F34" s="27">
        <v>3.5</v>
      </c>
      <c r="G34" s="31">
        <f t="shared" si="0"/>
        <v>0.7</v>
      </c>
      <c r="H34" s="32" t="str">
        <f t="shared" si="1"/>
        <v>جيد</v>
      </c>
      <c r="I34" s="58"/>
      <c r="J34" s="59"/>
    </row>
    <row r="35" spans="1:10" ht="30" customHeight="1" x14ac:dyDescent="0.2">
      <c r="A35" s="11"/>
      <c r="B35" s="85" t="s">
        <v>208</v>
      </c>
      <c r="C35" s="86"/>
      <c r="D35" s="86"/>
      <c r="E35" s="33">
        <v>5</v>
      </c>
      <c r="F35" s="27">
        <v>3.5</v>
      </c>
      <c r="G35" s="31">
        <f t="shared" si="0"/>
        <v>0.7</v>
      </c>
      <c r="H35" s="32" t="str">
        <f t="shared" si="1"/>
        <v>جيد</v>
      </c>
      <c r="I35" s="58"/>
      <c r="J35" s="59"/>
    </row>
    <row r="36" spans="1:10" ht="30" customHeight="1" thickBot="1" x14ac:dyDescent="0.25">
      <c r="A36" s="11"/>
      <c r="B36" s="87" t="s">
        <v>209</v>
      </c>
      <c r="C36" s="88"/>
      <c r="D36" s="88"/>
      <c r="E36" s="38">
        <v>5</v>
      </c>
      <c r="F36" s="29">
        <v>3.75</v>
      </c>
      <c r="G36" s="39">
        <f t="shared" si="0"/>
        <v>0.75</v>
      </c>
      <c r="H36" s="40" t="str">
        <f t="shared" si="1"/>
        <v>جيد</v>
      </c>
      <c r="I36" s="68"/>
      <c r="J36" s="69"/>
    </row>
    <row r="37" spans="1:10" ht="30" customHeight="1" thickBot="1" x14ac:dyDescent="0.25">
      <c r="A37" s="11"/>
      <c r="B37" s="91" t="s">
        <v>210</v>
      </c>
      <c r="C37" s="92"/>
      <c r="D37" s="92"/>
      <c r="E37" s="42">
        <v>5</v>
      </c>
      <c r="F37" s="43">
        <v>3.5</v>
      </c>
      <c r="G37" s="44">
        <f t="shared" si="0"/>
        <v>0.7</v>
      </c>
      <c r="H37" s="28" t="str">
        <f t="shared" si="1"/>
        <v>جيد</v>
      </c>
      <c r="I37" s="61"/>
      <c r="J37" s="62"/>
    </row>
    <row r="38" spans="1:10" ht="30" customHeight="1" x14ac:dyDescent="0.2">
      <c r="A38" s="11"/>
      <c r="B38" s="89" t="s">
        <v>211</v>
      </c>
      <c r="C38" s="90"/>
      <c r="D38" s="90"/>
      <c r="E38" s="34"/>
      <c r="F38" s="35"/>
      <c r="G38" s="36"/>
      <c r="H38" s="37"/>
      <c r="I38" s="56"/>
      <c r="J38" s="57"/>
    </row>
    <row r="39" spans="1:10" ht="30" customHeight="1" x14ac:dyDescent="0.2">
      <c r="A39" s="11"/>
      <c r="B39" s="85" t="s">
        <v>212</v>
      </c>
      <c r="C39" s="86"/>
      <c r="D39" s="86"/>
      <c r="E39" s="33">
        <v>5</v>
      </c>
      <c r="F39" s="27">
        <v>3.5</v>
      </c>
      <c r="G39" s="31">
        <f t="shared" si="0"/>
        <v>0.7</v>
      </c>
      <c r="H39" s="32" t="str">
        <f t="shared" si="1"/>
        <v>جيد</v>
      </c>
      <c r="I39" s="58"/>
      <c r="J39" s="59"/>
    </row>
    <row r="40" spans="1:10" ht="30" customHeight="1" x14ac:dyDescent="0.2">
      <c r="A40" s="11"/>
      <c r="B40" s="85" t="s">
        <v>213</v>
      </c>
      <c r="C40" s="86"/>
      <c r="D40" s="86"/>
      <c r="E40" s="33">
        <v>5</v>
      </c>
      <c r="F40" s="27">
        <v>3.75</v>
      </c>
      <c r="G40" s="31">
        <f t="shared" si="0"/>
        <v>0.75</v>
      </c>
      <c r="H40" s="32" t="str">
        <f t="shared" si="1"/>
        <v>جيد</v>
      </c>
      <c r="I40" s="58"/>
      <c r="J40" s="59"/>
    </row>
    <row r="41" spans="1:10" ht="30" customHeight="1" x14ac:dyDescent="0.2">
      <c r="A41" s="11"/>
      <c r="B41" s="85" t="s">
        <v>214</v>
      </c>
      <c r="C41" s="86"/>
      <c r="D41" s="86"/>
      <c r="E41" s="33">
        <v>5</v>
      </c>
      <c r="F41" s="27">
        <v>3.5</v>
      </c>
      <c r="G41" s="31">
        <f t="shared" si="0"/>
        <v>0.7</v>
      </c>
      <c r="H41" s="32" t="str">
        <f t="shared" si="1"/>
        <v>جيد</v>
      </c>
      <c r="I41" s="58"/>
      <c r="J41" s="59"/>
    </row>
    <row r="42" spans="1:10" ht="30" customHeight="1" x14ac:dyDescent="0.2">
      <c r="A42" s="11"/>
      <c r="B42" s="85" t="s">
        <v>215</v>
      </c>
      <c r="C42" s="86"/>
      <c r="D42" s="86"/>
      <c r="E42" s="33">
        <v>5</v>
      </c>
      <c r="F42" s="27">
        <v>3.5</v>
      </c>
      <c r="G42" s="31">
        <f t="shared" si="0"/>
        <v>0.7</v>
      </c>
      <c r="H42" s="32" t="str">
        <f t="shared" si="1"/>
        <v>جيد</v>
      </c>
      <c r="I42" s="58"/>
      <c r="J42" s="59"/>
    </row>
    <row r="43" spans="1:10" ht="30" customHeight="1" x14ac:dyDescent="0.2">
      <c r="A43" s="11"/>
      <c r="B43" s="85" t="s">
        <v>216</v>
      </c>
      <c r="C43" s="86"/>
      <c r="D43" s="86"/>
      <c r="E43" s="33">
        <v>5</v>
      </c>
      <c r="F43" s="27">
        <v>3.75</v>
      </c>
      <c r="G43" s="31">
        <f t="shared" si="0"/>
        <v>0.75</v>
      </c>
      <c r="H43" s="32" t="str">
        <f t="shared" si="1"/>
        <v>جيد</v>
      </c>
      <c r="I43" s="58"/>
      <c r="J43" s="59"/>
    </row>
    <row r="44" spans="1:10" ht="30" customHeight="1" x14ac:dyDescent="0.2">
      <c r="A44" s="11"/>
      <c r="B44" s="85" t="s">
        <v>217</v>
      </c>
      <c r="C44" s="86"/>
      <c r="D44" s="86"/>
      <c r="E44" s="33">
        <v>5</v>
      </c>
      <c r="F44" s="27">
        <v>3.75</v>
      </c>
      <c r="G44" s="31">
        <f t="shared" si="0"/>
        <v>0.75</v>
      </c>
      <c r="H44" s="32" t="str">
        <f t="shared" si="1"/>
        <v>جيد</v>
      </c>
      <c r="I44" s="58"/>
      <c r="J44" s="59"/>
    </row>
    <row r="45" spans="1:10" ht="30" customHeight="1" x14ac:dyDescent="0.2">
      <c r="A45" s="11"/>
      <c r="B45" s="85" t="s">
        <v>218</v>
      </c>
      <c r="C45" s="86"/>
      <c r="D45" s="86"/>
      <c r="E45" s="33">
        <v>5</v>
      </c>
      <c r="F45" s="27">
        <v>3.75</v>
      </c>
      <c r="G45" s="31">
        <f t="shared" si="0"/>
        <v>0.75</v>
      </c>
      <c r="H45" s="32" t="str">
        <f t="shared" si="1"/>
        <v>جيد</v>
      </c>
      <c r="I45" s="58"/>
      <c r="J45" s="59"/>
    </row>
    <row r="46" spans="1:10" ht="30" customHeight="1" thickBot="1" x14ac:dyDescent="0.25">
      <c r="A46" s="11"/>
      <c r="B46" s="87" t="s">
        <v>219</v>
      </c>
      <c r="C46" s="88"/>
      <c r="D46" s="88"/>
      <c r="E46" s="38">
        <v>5</v>
      </c>
      <c r="F46" s="29">
        <v>3.5</v>
      </c>
      <c r="G46" s="39">
        <f t="shared" si="0"/>
        <v>0.7</v>
      </c>
      <c r="H46" s="40" t="str">
        <f t="shared" si="1"/>
        <v>جيد</v>
      </c>
      <c r="I46" s="68"/>
      <c r="J46" s="69"/>
    </row>
    <row r="47" spans="1:10" ht="30" customHeight="1" thickBot="1" x14ac:dyDescent="0.25">
      <c r="A47" s="11"/>
      <c r="B47" s="91" t="s">
        <v>220</v>
      </c>
      <c r="C47" s="92"/>
      <c r="D47" s="92"/>
      <c r="E47" s="10">
        <v>5</v>
      </c>
      <c r="F47" s="43">
        <v>3.5</v>
      </c>
      <c r="G47" s="44">
        <f t="shared" si="0"/>
        <v>0.7</v>
      </c>
      <c r="H47" s="28" t="str">
        <f t="shared" si="1"/>
        <v>جيد</v>
      </c>
      <c r="I47" s="61"/>
      <c r="J47" s="62"/>
    </row>
    <row r="48" spans="1:10" ht="30" customHeight="1" x14ac:dyDescent="0.2">
      <c r="A48" s="11"/>
      <c r="B48" s="89" t="s">
        <v>221</v>
      </c>
      <c r="C48" s="90"/>
      <c r="D48" s="90"/>
      <c r="E48" s="34"/>
      <c r="F48" s="35"/>
      <c r="G48" s="36"/>
      <c r="H48" s="37"/>
      <c r="I48" s="56"/>
      <c r="J48" s="57"/>
    </row>
    <row r="49" spans="1:10" ht="30" customHeight="1" x14ac:dyDescent="0.2">
      <c r="A49" s="11"/>
      <c r="B49" s="85" t="s">
        <v>222</v>
      </c>
      <c r="C49" s="86"/>
      <c r="D49" s="86"/>
      <c r="E49" s="33">
        <v>5</v>
      </c>
      <c r="F49" s="27">
        <v>3.5</v>
      </c>
      <c r="G49" s="31">
        <f t="shared" si="0"/>
        <v>0.7</v>
      </c>
      <c r="H49" s="32" t="str">
        <f t="shared" si="1"/>
        <v>جيد</v>
      </c>
      <c r="I49" s="58"/>
      <c r="J49" s="59"/>
    </row>
    <row r="50" spans="1:10" ht="30" customHeight="1" x14ac:dyDescent="0.2">
      <c r="A50" s="11"/>
      <c r="B50" s="85" t="s">
        <v>223</v>
      </c>
      <c r="C50" s="86"/>
      <c r="D50" s="86"/>
      <c r="E50" s="33">
        <v>5</v>
      </c>
      <c r="F50" s="27">
        <v>3.5</v>
      </c>
      <c r="G50" s="31">
        <f t="shared" si="0"/>
        <v>0.7</v>
      </c>
      <c r="H50" s="32" t="str">
        <f t="shared" si="1"/>
        <v>جيد</v>
      </c>
      <c r="I50" s="58"/>
      <c r="J50" s="59"/>
    </row>
    <row r="51" spans="1:10" ht="39.950000000000003" customHeight="1" x14ac:dyDescent="0.2">
      <c r="A51" s="11"/>
      <c r="B51" s="85" t="s">
        <v>224</v>
      </c>
      <c r="C51" s="86"/>
      <c r="D51" s="86"/>
      <c r="E51" s="33">
        <v>5</v>
      </c>
      <c r="F51" s="27">
        <v>3.5</v>
      </c>
      <c r="G51" s="31">
        <f t="shared" si="0"/>
        <v>0.7</v>
      </c>
      <c r="H51" s="32" t="str">
        <f t="shared" si="1"/>
        <v>جيد</v>
      </c>
      <c r="I51" s="58"/>
      <c r="J51" s="59"/>
    </row>
    <row r="52" spans="1:10" ht="30" customHeight="1" thickBot="1" x14ac:dyDescent="0.25">
      <c r="A52" s="11"/>
      <c r="B52" s="87" t="s">
        <v>225</v>
      </c>
      <c r="C52" s="88"/>
      <c r="D52" s="88"/>
      <c r="E52" s="38">
        <v>5</v>
      </c>
      <c r="F52" s="29">
        <v>3.5</v>
      </c>
      <c r="G52" s="39">
        <f t="shared" si="0"/>
        <v>0.7</v>
      </c>
      <c r="H52" s="40" t="str">
        <f t="shared" si="1"/>
        <v>جيد</v>
      </c>
      <c r="I52" s="68"/>
      <c r="J52" s="69"/>
    </row>
    <row r="53" spans="1:10" ht="30" customHeight="1" thickBot="1" x14ac:dyDescent="0.25">
      <c r="A53" s="11"/>
      <c r="B53" s="91" t="s">
        <v>226</v>
      </c>
      <c r="C53" s="92"/>
      <c r="D53" s="92"/>
      <c r="E53" s="42">
        <v>5</v>
      </c>
      <c r="F53" s="43">
        <v>3.5</v>
      </c>
      <c r="G53" s="44">
        <f t="shared" si="0"/>
        <v>0.7</v>
      </c>
      <c r="H53" s="28" t="str">
        <f t="shared" si="1"/>
        <v>جيد</v>
      </c>
      <c r="I53" s="61"/>
      <c r="J53" s="62"/>
    </row>
    <row r="54" spans="1:10" ht="30" customHeight="1" thickBot="1" x14ac:dyDescent="0.25">
      <c r="A54" s="4"/>
      <c r="B54" s="81" t="s">
        <v>5</v>
      </c>
      <c r="C54" s="82"/>
      <c r="D54" s="82"/>
      <c r="E54" s="10">
        <f>SUM(E8:E53)</f>
        <v>195</v>
      </c>
      <c r="F54" s="10">
        <f>SUM(F8:F53)</f>
        <v>139.5</v>
      </c>
      <c r="G54" s="78"/>
      <c r="H54" s="79"/>
      <c r="I54" s="79"/>
      <c r="J54" s="80"/>
    </row>
    <row r="55" spans="1:10" ht="30" customHeight="1" thickBot="1" x14ac:dyDescent="0.25">
      <c r="A55" s="4"/>
      <c r="B55" s="81" t="s">
        <v>54</v>
      </c>
      <c r="C55" s="82"/>
      <c r="D55" s="82"/>
      <c r="E55" s="52">
        <f>F54/E54/100*100</f>
        <v>0.7153846153846154</v>
      </c>
      <c r="F55" s="52"/>
      <c r="G55" s="52"/>
      <c r="H55" s="52"/>
      <c r="I55" s="52"/>
      <c r="J55" s="53"/>
    </row>
    <row r="56" spans="1:10" ht="30" customHeight="1" thickBot="1" x14ac:dyDescent="0.25">
      <c r="A56" s="4"/>
      <c r="B56" s="81" t="s">
        <v>55</v>
      </c>
      <c r="C56" s="82"/>
      <c r="D56" s="82"/>
      <c r="E56" s="74" t="str">
        <f>_xlfn.IFS(E55&gt;=90%,"ممتاز",E55&gt;=80%,"جيد جداً",E55&gt;=70%,"جيد",E55&gt;=60%,"مقبول",E55&lt;60%,"راسب")</f>
        <v>جيد</v>
      </c>
      <c r="F56" s="74"/>
      <c r="G56" s="74"/>
      <c r="H56" s="74"/>
      <c r="I56" s="74"/>
      <c r="J56" s="75"/>
    </row>
    <row r="57" spans="1:10" ht="42" customHeight="1" x14ac:dyDescent="0.2">
      <c r="B57" s="70" t="s">
        <v>174</v>
      </c>
      <c r="C57" s="70"/>
      <c r="D57" s="70"/>
      <c r="E57" s="76" t="s">
        <v>52</v>
      </c>
      <c r="F57" s="76"/>
      <c r="G57" s="72" t="s">
        <v>134</v>
      </c>
      <c r="H57" s="72"/>
      <c r="I57" s="72"/>
      <c r="J57" s="72"/>
    </row>
    <row r="58" spans="1:10" ht="51" customHeight="1" x14ac:dyDescent="0.2">
      <c r="A58" s="5"/>
      <c r="B58" s="71"/>
      <c r="C58" s="71"/>
      <c r="D58" s="71"/>
      <c r="E58" s="77" t="s">
        <v>53</v>
      </c>
      <c r="F58" s="77"/>
      <c r="G58" s="73"/>
      <c r="H58" s="73"/>
      <c r="I58" s="73"/>
      <c r="J58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3">
    <mergeCell ref="B37:D37"/>
    <mergeCell ref="B38:D38"/>
    <mergeCell ref="B39:D39"/>
    <mergeCell ref="B40:D40"/>
    <mergeCell ref="B41:D41"/>
    <mergeCell ref="B42:D42"/>
    <mergeCell ref="B43:D43"/>
    <mergeCell ref="B53:D5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7:D58"/>
    <mergeCell ref="G57:J57"/>
    <mergeCell ref="G58:J58"/>
    <mergeCell ref="E56:J56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45:J45"/>
    <mergeCell ref="I46:J46"/>
    <mergeCell ref="I47:J47"/>
    <mergeCell ref="I48:J48"/>
    <mergeCell ref="E57:F57"/>
    <mergeCell ref="E58:F58"/>
    <mergeCell ref="G54:J54"/>
    <mergeCell ref="B1:J1"/>
    <mergeCell ref="F2:J2"/>
    <mergeCell ref="B5:D6"/>
    <mergeCell ref="C2:D2"/>
    <mergeCell ref="C3:D3"/>
    <mergeCell ref="F3:J3"/>
    <mergeCell ref="E55:J55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14" priority="57">
      <formula>$E56="راسب"</formula>
    </cfRule>
  </conditionalFormatting>
  <conditionalFormatting sqref="E56:J56">
    <cfRule type="expression" dxfId="13" priority="58">
      <formula>$E56="مقبول"</formula>
    </cfRule>
    <cfRule type="expression" dxfId="12" priority="59">
      <formula>$E56="جيد"</formula>
    </cfRule>
    <cfRule type="expression" dxfId="11" priority="60">
      <formula>$E56="جيد جداً"</formula>
    </cfRule>
    <cfRule type="expression" dxfId="10" priority="61">
      <formula>$E56="ممتاز"</formula>
    </cfRule>
  </conditionalFormatting>
  <conditionalFormatting sqref="F8:F5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6" priority="15" operator="containsText" text="أدخل اسم المحكم">
      <formula>NOT(ISERROR(SEARCH("أدخل اسم المحكم",G57)))</formula>
    </cfRule>
  </conditionalFormatting>
  <conditionalFormatting sqref="H8:H5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F49:F53 F39:F47 F31:F37 F26:F29 F22:F24 F16:F20 F9:F14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2025-09-25T09:14:33Z</dcterms:modified>
</cp:coreProperties>
</file>