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codeName="ThisWorkbook"/>
  <xr:revisionPtr revIDLastSave="0" documentId="13_ncr:1_{1F34D82A-3B65-42F4-977F-E784E98C58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التقييم'!$A$1:$J$63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3" i="2"/>
  <c r="H33" i="2"/>
  <c r="G34" i="2"/>
  <c r="H34" i="2"/>
  <c r="G35" i="2"/>
  <c r="H35" i="2"/>
  <c r="G36" i="2"/>
  <c r="H36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6" i="2"/>
  <c r="H46" i="2"/>
  <c r="G47" i="2"/>
  <c r="H47" i="2"/>
  <c r="G48" i="2"/>
  <c r="H48" i="2"/>
  <c r="G49" i="2"/>
  <c r="H49" i="2"/>
  <c r="G50" i="2"/>
  <c r="H50" i="2"/>
  <c r="G51" i="2"/>
  <c r="H51" i="2"/>
  <c r="G53" i="2"/>
  <c r="H53" i="2"/>
  <c r="G54" i="2"/>
  <c r="H54" i="2"/>
  <c r="G55" i="2"/>
  <c r="H55" i="2"/>
  <c r="G57" i="2"/>
  <c r="H57" i="2"/>
  <c r="G58" i="2"/>
  <c r="H58" i="2"/>
  <c r="F59" i="2"/>
  <c r="E59" i="2"/>
  <c r="E60" i="2"/>
  <c r="E61" i="2"/>
</calcChain>
</file>

<file path=xl/sharedStrings.xml><?xml version="1.0" encoding="utf-8"?>
<sst xmlns="http://schemas.openxmlformats.org/spreadsheetml/2006/main" count="288" uniqueCount="232">
  <si>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</si>
  <si>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</si>
  <si>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</si>
  <si>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</si>
  <si>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</si>
  <si>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</si>
  <si>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</si>
  <si>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</si>
  <si>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</si>
  <si>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</si>
  <si>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</si>
  <si>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</si>
  <si>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</si>
  <si>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</si>
  <si>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</si>
  <si>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</si>
  <si>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</si>
  <si>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</si>
  <si>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</si>
  <si>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</si>
  <si>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</si>
  <si>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</si>
  <si>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</si>
  <si>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</si>
  <si>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</si>
  <si>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</si>
  <si>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</si>
  <si>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</si>
  <si>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</si>
  <si>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</si>
  <si>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</si>
  <si>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</si>
  <si>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</si>
  <si>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</si>
  <si>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</si>
  <si>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</si>
  <si>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</si>
  <si>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</si>
  <si>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</si>
  <si>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</si>
  <si>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</si>
  <si>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</si>
  <si>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</si>
  <si>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</si>
  <si>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</si>
  <si>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</si>
  <si>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</si>
  <si>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</si>
  <si>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</si>
  <si>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</si>
  <si>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</si>
  <si>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</si>
  <si>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</si>
  <si>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</si>
  <si>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</si>
  <si>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</si>
  <si>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</si>
  <si>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</si>
  <si>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</si>
  <si>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</si>
  <si>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</si>
  <si>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</si>
  <si>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</si>
  <si>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</si>
  <si>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</si>
  <si>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</si>
  <si>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</si>
  <si>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</si>
  <si>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</si>
  <si>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</si>
  <si>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</si>
  <si>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</si>
  <si>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</si>
  <si>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</si>
  <si>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</si>
  <si>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</si>
  <si>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</si>
  <si>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</si>
  <si>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</si>
  <si>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</si>
  <si>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</si>
  <si>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</si>
  <si>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</si>
  <si>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</si>
  <si>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</si>
  <si>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</si>
  <si>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</si>
  <si>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</si>
  <si>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</si>
  <si>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</si>
  <si>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</si>
  <si>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</si>
  <si>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</si>
  <si>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</si>
  <si>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</si>
  <si>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</si>
  <si>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</si>
  <si>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</si>
  <si>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</si>
  <si>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</si>
  <si>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</si>
  <si>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</si>
  <si>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</si>
  <si>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</si>
  <si>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</si>
  <si>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</si>
  <si>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</si>
  <si>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</si>
  <si>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</si>
  <si>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</si>
  <si>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</si>
  <si>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</si>
  <si>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</si>
  <si>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</si>
  <si>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</si>
  <si>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</si>
  <si>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</si>
  <si>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</si>
  <si>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</si>
  <si>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</si>
  <si>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</si>
  <si>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</si>
  <si>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</si>
  <si>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</si>
  <si>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</si>
  <si>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</si>
  <si>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</si>
  <si>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</si>
  <si>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</si>
  <si>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</si>
  <si>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</si>
  <si>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</si>
  <si>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</si>
  <si>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</si>
  <si>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</si>
  <si>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</si>
  <si>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</si>
  <si>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</si>
  <si>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</si>
  <si>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</si>
  <si>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</si>
  <si>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</si>
  <si>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</si>
  <si>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</si>
  <si>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</si>
  <si>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</si>
  <si>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</si>
  <si>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</si>
  <si>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</si>
  <si>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</si>
  <si>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</si>
  <si>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</si>
  <si>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</si>
  <si>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</si>
  <si>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</si>
  <si>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</si>
  <si>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</si>
  <si>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</si>
  <si>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</si>
  <si>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</si>
  <si>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</si>
  <si>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</si>
  <si>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</si>
  <si>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</si>
  <si>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</si>
  <si>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</si>
  <si>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</si>
  <si>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</si>
  <si>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</si>
  <si>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</si>
  <si>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</si>
  <si>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</si>
  <si>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</si>
  <si>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</si>
  <si>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</si>
  <si>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</si>
  <si>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</si>
  <si>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</si>
  <si>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</si>
  <si>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</si>
  <si>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الشؤون الإدارية</t>
    </r>
    <r>
      <rPr>
        <b/>
        <sz val="12"/>
        <color theme="1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</si>
  <si>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استكمال المرتب من الآليات ونسبة الصلاحية.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</si>
  <si>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استكمال الطاقم المؤهل بالنسبة لعدد الآليات (السواقين).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</si>
  <si>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كشف معتمد من القائد بالمرتب والموجود ونسبة الصلاحية للآليات.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</si>
  <si>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العهدة.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</si>
  <si>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ملف لحفظ سندات الصرف والاستلام للآليات والعـدة.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</si>
  <si>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الحركة.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</si>
  <si>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الحوادث.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</si>
  <si>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تسليم واستلام الآليات.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</si>
  <si>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الدخول والخروج من الورشة / المشاغل / مراكز الإصلاح.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</si>
  <si>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وجود تعليمات وإجراءات الصيانة الدورية واللوحات الإرشادية.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</si>
  <si>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التقيد بالتعليمات والإجراءات لإدخال الآليات لمراكز الإصلاح.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</si>
  <si>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إدامة السجلات الخاصة بكل آلية بواسطة الطاقم وتصديق الضابط المسؤول.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</si>
  <si>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معرفة السائق بالآلية وإلمامه بالتعليمات والصيانة.</t>
    </r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</si>
  <si>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إلمام ضابط النقليات بمهامه وواجباته.</t>
    </r>
  </si>
  <si>
    <r>
      <t>15.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وجود ملف لحفظ نماذج شطب الآليات.</t>
    </r>
  </si>
  <si>
    <r>
      <t>مجموعـة الجسم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</si>
  <si>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النظافة.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</si>
  <si>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عدم وجود أي نواقص.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</si>
  <si>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الضرر.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</si>
  <si>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حالة الصبغ.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</si>
  <si>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فحص الإطارات.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</si>
  <si>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صندوق العدة ومحتوياته.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</si>
  <si>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مقاعد غرفة القيادة والركاب.</t>
    </r>
  </si>
  <si>
    <r>
      <t>الزيـوت / السوائـل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</si>
  <si>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مستـوى الزيـت / المياه (المحرك ، نظـام ناقل الحركة ، الفرامل ، مبرد المياه (الراديتر).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</si>
  <si>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عدم تسرّب الزيت / المياه من أجزاء الآلية.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</si>
  <si>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التقيد بتوقيتات تغيير الزيت.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</si>
  <si>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التشحيــم.</t>
    </r>
  </si>
  <si>
    <r>
      <t>مجموعة القـوى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</si>
  <si>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المحرك.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</si>
  <si>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الوقود.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</si>
  <si>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ناقل الحركة.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</si>
  <si>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التبريد.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</si>
  <si>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الفرامل.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</si>
  <si>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التوجيه.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</si>
  <si>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إطفاء الحريق (طفاية الحريق وصلاحيتها).</t>
    </r>
  </si>
  <si>
    <r>
      <t>الأنظمة الكهربائية والإلكترونية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</si>
  <si>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البطاريات.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</si>
  <si>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التشغيل.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</si>
  <si>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المولــــد.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</si>
  <si>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الإنارة الداخلية.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</si>
  <si>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الإنارة الخارجية.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</si>
  <si>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لوحات العرض.</t>
    </r>
  </si>
  <si>
    <t>فحص الآلية أثناء السير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</si>
  <si>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صلاحية السير على الطريق.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</si>
  <si>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صلاحية أنظمة الآلية (الميكانيكية والكهربائية).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</si>
  <si>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التكييف / نظام التهوية.</t>
    </r>
  </si>
  <si>
    <t>المهمـات الإضافية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</si>
  <si>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مستــودع الـعــــدة وأغطيـــة التمويه وأعمدة التثبيت.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</si>
  <si>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مستودع قطع الغيار.</t>
    </r>
  </si>
  <si>
    <t>تفتيش جاهزية الآليات (ب) لسرية الهاون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</si>
</sst>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21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FF0000"/>
      <name val="Arial"/>
      <family val="2"/>
    </font>
    <font>
      <sz val="11"/>
      <color theme="1"/>
      <name val="Calibri"/>
      <family val="2"/>
    </font>
    <font>
      <b/>
      <u/>
      <sz val="12"/>
      <color theme="1"/>
      <name val="Arial"/>
      <family val="2"/>
    </font>
    <font>
      <sz val="12"/>
      <color theme="1"/>
      <name val="Times New Roman"/>
      <family val="1"/>
    </font>
    <font>
      <sz val="7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2"/>
    </xf>
    <xf numFmtId="0" fontId="14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5" fillId="0" borderId="5" xfId="0" applyFont="1" applyBorder="1" applyAlignment="1">
      <alignment horizontal="right" vertical="center" wrapText="1" readingOrder="2"/>
    </xf>
    <xf numFmtId="0" fontId="15" fillId="0" borderId="4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9" fillId="0" borderId="23" xfId="0" applyFont="1" applyBorder="1" applyAlignment="1">
      <alignment horizontal="right" vertical="center" wrapText="1" readingOrder="2"/>
    </xf>
    <xf numFmtId="0" fontId="19" fillId="0" borderId="3" xfId="0" applyFont="1" applyBorder="1" applyAlignment="1">
      <alignment horizontal="right" vertical="center" wrapText="1" readingOrder="2"/>
    </xf>
    <xf numFmtId="0" fontId="19" fillId="0" borderId="11" xfId="0" applyFont="1" applyBorder="1" applyAlignment="1">
      <alignment horizontal="right" vertical="center" wrapText="1" readingOrder="2"/>
    </xf>
    <xf numFmtId="0" fontId="19" fillId="0" borderId="12" xfId="0" applyFont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131885</xdr:colOff>
      <xdr:row>62</xdr:row>
      <xdr:rowOff>80596</xdr:rowOff>
    </xdr:from>
    <xdr:to>
      <xdr:col>8</xdr:col>
      <xdr:colOff>474917</xdr:colOff>
      <xdr:row>62</xdr:row>
      <xdr:rowOff>498638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294EA98-47A8-496D-9316-049CA30A98BC}"/>
                </a:ext>
              </a:extLst>
            </xdr14:cNvPr>
            <xdr14:cNvContentPartPr/>
          </xdr14:nvContentPartPr>
          <xdr14:nvPr macro=""/>
          <xdr14:xfrm>
            <a:off x="9838798794" y="24347365"/>
            <a:ext cx="965821" cy="418042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DFD374E-E9A3-7D73-B5F5-D6CEF42E6A3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9233518" y="8816040"/>
              <a:ext cx="1014480" cy="638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30T05:27:51.3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2093 1148,'0'0,"0"0,0 0,0 0,0 0,0 0,0 0,0 0,0 0,0 0,0 0,-8 0,-2 0,3 0,2 0,-4 0,-3-4,3 1,-10 3,6 0,6 0,-12-7,5 7,7 0,-22 0,24 0,0 0,-16 0,7 0,-2 0,-2 0,6 0,2 0,-11 0,17 0,-1 0,-16-7,13 7,-2 0,-11 0,17 0,-1 0,-26 0,23-3,-4-1,2 4,-3 0,-4 0,-1 0,2 0,1 0,-5-7,6 7,-3 0,-13 0,17 0,-4 0,-22 0,21 0,-4 0,-7 0,10 0,-2 0,-18 0,17 0,4 0,-23 0,26 0,0 0,-13-6,7 6,-1 0,-7 0,15-4,0 0,-16 4,13 0,4 0,1-6,7 6,1 0,4-6,0 5,9-7,19-3,-5 2,37-19,-18 14,-5 1,62-22,-38 17,-12 2,80-20,-52 10,-12 5,83-35,-73 34,-11 3,78-30,-68 27,-9 3,53-15,-62 15,-13 3,39-12,-45 17,-4 1,15-4,-32 11,-2 0,-3 3,-6 0,0 0,-15 0,-1 3,2 0,-42 11,18-3,8-1,-65 25,25-17,9-2,-53 26,40-13,8-3,-78 22,65-18,10-4,-48 29,59-33,7-2,-25 14,39-22,4-3,-11 12,25-14,-2 0,-14-1,16-2,40-22,-13 15,4 0,31-25,-15 13,-5 2,62-7,-44-4,-4 6,70-37,-57 29,-1 4,66-34,-51 30,-9 4,11-13,-35 21,-3 1,6-15,-15 21,-9-1,6 2,-16 6,0 0,-15 0,-18 8,5-2,-46 15,27-6,5-3,-84 23,52-13,8-3,-86 37,65-19,12-5,-90 29,77-27,9-5,-77 26,82-29,9-3,-31 19,54-28,5-1,-29 8,40-17,3-2,-12-2,25 0,0 0,15-6,11-12,-1 1,29-17,-12 8,-4 3,48-18,-35 8,-5 4,71-34,-42 22,-10 6,67-41,-67 46,-9 5,58-16,-76 26,-5 2,20-8,-24 13,-5 2,8-8,-15 14,-3 0,-9 7,-5-3,1-1,-47 17,30-4,2-3,-41 22,23-13,4-3,-46 29,31-14,7-6,-60 34,65-36,3-3,-18 11,38-22,-2-3,-5 5,10-7,40-28,8-1,-7 3,48-44,-32 30,-3 4,44-54,-34 35,-8 7,53-56,-38 49,-10 6,27-55,-45 45,-5 7,2-17,-25 32,-1 5,-22-16,-15 22,5 3,-71-12,34 17,10 1,-64 10,27 8,12-2,-98 8,76 5,13-3,-98 25,99-15,16-4,-79 34,77-23,9-4,-55 33,51-21,11-6,-43 34,62-28,7-6,1 35,23-37,-2-4,40 33,3-36,-5-4,29 27,16-23,-15-4,101 13,-45-28,-19-1,116-12,-81-2,-21 2,90-16,-97 4,-14 3,82-27,-25 4,-21 7,105-32,-148 37,7-3,-88 29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3"/>
  <sheetViews>
    <sheetView rightToLeft="1" tabSelected="1" view="pageBreakPreview" topLeftCell="A58" zoomScale="130" zoomScaleNormal="100" zoomScaleSheetLayoutView="130" workbookViewId="0">
      <selection activeCell="B62" sqref="B62:D63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3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73" t="s">
        <v>231</v>
      </c>
      <c r="C1" s="73"/>
      <c r="D1" s="73"/>
      <c r="E1" s="73"/>
      <c r="F1" s="73"/>
      <c r="G1" s="73"/>
      <c r="H1" s="73"/>
      <c r="I1" s="73"/>
      <c r="J1" s="73"/>
    </row>
    <row r="2" spans="1:10" ht="30" customHeight="1" x14ac:dyDescent="0.25">
      <c r="B2" s="12" t="s">
        <v>8</v>
      </c>
      <c r="C2" s="79" t="s">
        <v>11</v>
      </c>
      <c r="D2" s="79"/>
      <c r="E2" s="12" t="s">
        <v>7</v>
      </c>
      <c r="F2" s="74">
        <v>45930</v>
      </c>
      <c r="G2" s="74"/>
      <c r="H2" s="74"/>
      <c r="I2" s="74"/>
      <c r="J2" s="74"/>
    </row>
    <row r="3" spans="1:10" ht="30" customHeight="1" x14ac:dyDescent="0.25">
      <c r="B3" s="12" t="s">
        <v>9</v>
      </c>
      <c r="C3" s="79" t="s">
        <v>69</v>
      </c>
      <c r="D3" s="79"/>
      <c r="E3" s="12" t="s">
        <v>6</v>
      </c>
      <c r="F3" s="79" t="s">
        <v>134</v>
      </c>
      <c r="G3" s="79"/>
      <c r="H3" s="79"/>
      <c r="I3" s="79"/>
      <c r="J3" s="79"/>
    </row>
    <row r="4" spans="1:10" ht="30" customHeight="1" thickBot="1" x14ac:dyDescent="0.3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5">
      <c r="A5" s="10"/>
      <c r="B5" s="75" t="s">
        <v>0</v>
      </c>
      <c r="C5" s="76"/>
      <c r="D5" s="76"/>
      <c r="E5" s="84" t="s">
        <v>1</v>
      </c>
      <c r="F5" s="84"/>
      <c r="G5" s="84"/>
      <c r="H5" s="84"/>
      <c r="I5" s="84" t="s">
        <v>2</v>
      </c>
      <c r="J5" s="85"/>
    </row>
    <row r="6" spans="1:10" ht="24.95" customHeight="1" thickBot="1" x14ac:dyDescent="0.3">
      <c r="A6" s="10"/>
      <c r="B6" s="77"/>
      <c r="C6" s="78"/>
      <c r="D6" s="78"/>
      <c r="E6" s="11" t="s">
        <v>3</v>
      </c>
      <c r="F6" s="11" t="s">
        <v>4</v>
      </c>
      <c r="G6" s="11" t="s">
        <v>23</v>
      </c>
      <c r="H6" s="11" t="s">
        <v>24</v>
      </c>
      <c r="I6" s="86"/>
      <c r="J6" s="87"/>
    </row>
    <row r="7" spans="1:10" ht="24.95" customHeight="1" thickBot="1" x14ac:dyDescent="0.3">
      <c r="A7" s="10"/>
      <c r="B7" s="82" t="s">
        <v>21</v>
      </c>
      <c r="C7" s="83"/>
      <c r="D7" s="83"/>
      <c r="E7" s="28" t="s">
        <v>18</v>
      </c>
      <c r="F7" s="28" t="s">
        <v>19</v>
      </c>
      <c r="G7" s="28" t="s">
        <v>22</v>
      </c>
      <c r="H7" s="28" t="s">
        <v>20</v>
      </c>
      <c r="I7" s="88" t="s">
        <v>25</v>
      </c>
      <c r="J7" s="89"/>
    </row>
    <row r="8" spans="1:10" ht="30" customHeight="1" x14ac:dyDescent="0.25">
      <c r="A8" s="10"/>
      <c r="B8" s="42" t="s">
        <v>180</v>
      </c>
      <c r="C8" s="43"/>
      <c r="D8" s="43"/>
      <c r="E8" s="33"/>
      <c r="F8" s="34"/>
      <c r="G8" s="35"/>
      <c r="H8" s="36"/>
      <c r="I8" s="56"/>
      <c r="J8" s="57"/>
    </row>
    <row r="9" spans="1:10" ht="30" customHeight="1" x14ac:dyDescent="0.25">
      <c r="A9" s="10"/>
      <c r="B9" s="40" t="s">
        <v>181</v>
      </c>
      <c r="C9" s="41"/>
      <c r="D9" s="41"/>
      <c r="E9" s="32">
        <v>10</v>
      </c>
      <c r="F9" s="26">
        <v>7</v>
      </c>
      <c r="G9" s="30">
        <f>IFERROR(F9/E9,"")</f>
        <v>0.7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8"/>
      <c r="J9" s="49"/>
    </row>
    <row r="10" spans="1:10" ht="30" customHeight="1" x14ac:dyDescent="0.25">
      <c r="A10" s="10"/>
      <c r="B10" s="40" t="s">
        <v>182</v>
      </c>
      <c r="C10" s="41"/>
      <c r="D10" s="41"/>
      <c r="E10" s="9">
        <v>10</v>
      </c>
      <c r="F10" s="26">
        <v>7</v>
      </c>
      <c r="G10" s="30">
        <f t="shared" ref="G10:G58" si="0">IFERROR(F10/E10,"")</f>
        <v>0.7</v>
      </c>
      <c r="H10" s="31" t="str">
        <f t="shared" ref="H10:H58" si="1">_xlfn.IFS(F10="أدخل العلامة","",F10="لا ينطبق","تم الإلغاء",G10&gt;=90%,"ممتاز",G10&gt;=80%,"جيد جداً",G10&gt;=70%,"جيد",G10&gt;=60%,"مقبول",G10&lt;60%,"راسب")</f>
        <v>جيد</v>
      </c>
      <c r="I10" s="48"/>
      <c r="J10" s="49"/>
    </row>
    <row r="11" spans="1:10" ht="39.950000000000003" customHeight="1" x14ac:dyDescent="0.25">
      <c r="A11" s="10"/>
      <c r="B11" s="40" t="s">
        <v>183</v>
      </c>
      <c r="C11" s="41"/>
      <c r="D11" s="41"/>
      <c r="E11" s="9">
        <v>5</v>
      </c>
      <c r="F11" s="26">
        <v>3.75</v>
      </c>
      <c r="G11" s="30">
        <f t="shared" si="0"/>
        <v>0.75</v>
      </c>
      <c r="H11" s="31" t="str">
        <f t="shared" si="1"/>
        <v>جيد</v>
      </c>
      <c r="I11" s="48"/>
      <c r="J11" s="49"/>
    </row>
    <row r="12" spans="1:10" ht="30" customHeight="1" x14ac:dyDescent="0.25">
      <c r="A12" s="10"/>
      <c r="B12" s="40" t="s">
        <v>184</v>
      </c>
      <c r="C12" s="41"/>
      <c r="D12" s="41"/>
      <c r="E12" s="9">
        <v>5</v>
      </c>
      <c r="F12" s="26">
        <v>3.5</v>
      </c>
      <c r="G12" s="30">
        <f t="shared" si="0"/>
        <v>0.7</v>
      </c>
      <c r="H12" s="31" t="str">
        <f t="shared" si="1"/>
        <v>جيد</v>
      </c>
      <c r="I12" s="48"/>
      <c r="J12" s="49"/>
    </row>
    <row r="13" spans="1:10" ht="30" customHeight="1" x14ac:dyDescent="0.25">
      <c r="A13" s="10"/>
      <c r="B13" s="40" t="s">
        <v>185</v>
      </c>
      <c r="C13" s="41"/>
      <c r="D13" s="41"/>
      <c r="E13" s="9">
        <v>5</v>
      </c>
      <c r="F13" s="26">
        <v>3.5</v>
      </c>
      <c r="G13" s="30">
        <f t="shared" si="0"/>
        <v>0.7</v>
      </c>
      <c r="H13" s="31" t="str">
        <f t="shared" si="1"/>
        <v>جيد</v>
      </c>
      <c r="I13" s="48"/>
      <c r="J13" s="49"/>
    </row>
    <row r="14" spans="1:10" ht="30" customHeight="1" x14ac:dyDescent="0.25">
      <c r="A14" s="10"/>
      <c r="B14" s="40" t="s">
        <v>186</v>
      </c>
      <c r="C14" s="41"/>
      <c r="D14" s="41"/>
      <c r="E14" s="9">
        <v>5</v>
      </c>
      <c r="F14" s="26">
        <v>3.5</v>
      </c>
      <c r="G14" s="30">
        <f t="shared" si="0"/>
        <v>0.7</v>
      </c>
      <c r="H14" s="31" t="str">
        <f t="shared" si="1"/>
        <v>جيد</v>
      </c>
      <c r="I14" s="48"/>
      <c r="J14" s="49"/>
    </row>
    <row r="15" spans="1:10" ht="30" customHeight="1" x14ac:dyDescent="0.25">
      <c r="A15" s="10"/>
      <c r="B15" s="40" t="s">
        <v>187</v>
      </c>
      <c r="C15" s="41"/>
      <c r="D15" s="41"/>
      <c r="E15" s="9">
        <v>5</v>
      </c>
      <c r="F15" s="26">
        <v>3.5</v>
      </c>
      <c r="G15" s="30">
        <f t="shared" si="0"/>
        <v>0.7</v>
      </c>
      <c r="H15" s="31" t="str">
        <f t="shared" si="1"/>
        <v>جيد</v>
      </c>
      <c r="I15" s="48"/>
      <c r="J15" s="49"/>
    </row>
    <row r="16" spans="1:10" ht="30" customHeight="1" x14ac:dyDescent="0.25">
      <c r="A16" s="10"/>
      <c r="B16" s="40" t="s">
        <v>188</v>
      </c>
      <c r="C16" s="41"/>
      <c r="D16" s="41"/>
      <c r="E16" s="9">
        <v>5</v>
      </c>
      <c r="F16" s="26">
        <v>3.5</v>
      </c>
      <c r="G16" s="30">
        <f t="shared" si="0"/>
        <v>0.7</v>
      </c>
      <c r="H16" s="31" t="str">
        <f t="shared" si="1"/>
        <v>جيد</v>
      </c>
      <c r="I16" s="48"/>
      <c r="J16" s="49"/>
    </row>
    <row r="17" spans="1:10" ht="39.950000000000003" customHeight="1" x14ac:dyDescent="0.25">
      <c r="A17" s="10"/>
      <c r="B17" s="40" t="s">
        <v>189</v>
      </c>
      <c r="C17" s="41"/>
      <c r="D17" s="41"/>
      <c r="E17" s="9">
        <v>5</v>
      </c>
      <c r="F17" s="26">
        <v>3.5</v>
      </c>
      <c r="G17" s="30">
        <f t="shared" si="0"/>
        <v>0.7</v>
      </c>
      <c r="H17" s="31" t="str">
        <f t="shared" si="1"/>
        <v>جيد</v>
      </c>
      <c r="I17" s="48"/>
      <c r="J17" s="49"/>
    </row>
    <row r="18" spans="1:10" ht="30" customHeight="1" x14ac:dyDescent="0.25">
      <c r="A18" s="10"/>
      <c r="B18" s="52" t="s">
        <v>190</v>
      </c>
      <c r="C18" s="53"/>
      <c r="D18" s="53"/>
      <c r="E18" s="9">
        <v>5</v>
      </c>
      <c r="F18" s="26">
        <v>3.5</v>
      </c>
      <c r="G18" s="30">
        <f t="shared" si="0"/>
        <v>0.7</v>
      </c>
      <c r="H18" s="31" t="str">
        <f t="shared" si="1"/>
        <v>جيد</v>
      </c>
      <c r="I18" s="48"/>
      <c r="J18" s="49"/>
    </row>
    <row r="19" spans="1:10" ht="30" customHeight="1" x14ac:dyDescent="0.25">
      <c r="A19" s="10"/>
      <c r="B19" s="52" t="s">
        <v>191</v>
      </c>
      <c r="C19" s="53"/>
      <c r="D19" s="53"/>
      <c r="E19" s="9">
        <v>5</v>
      </c>
      <c r="F19" s="26">
        <v>3.5</v>
      </c>
      <c r="G19" s="30">
        <f t="shared" si="0"/>
        <v>0.7</v>
      </c>
      <c r="H19" s="31" t="str">
        <f t="shared" si="1"/>
        <v>جيد</v>
      </c>
      <c r="I19" s="48"/>
      <c r="J19" s="49"/>
    </row>
    <row r="20" spans="1:10" ht="39.950000000000003" customHeight="1" x14ac:dyDescent="0.25">
      <c r="A20" s="10"/>
      <c r="B20" s="52" t="s">
        <v>192</v>
      </c>
      <c r="C20" s="53"/>
      <c r="D20" s="53"/>
      <c r="E20" s="9">
        <v>10</v>
      </c>
      <c r="F20" s="26">
        <v>7</v>
      </c>
      <c r="G20" s="30">
        <f t="shared" si="0"/>
        <v>0.7</v>
      </c>
      <c r="H20" s="31" t="str">
        <f t="shared" si="1"/>
        <v>جيد</v>
      </c>
      <c r="I20" s="48"/>
      <c r="J20" s="49"/>
    </row>
    <row r="21" spans="1:10" ht="30" customHeight="1" x14ac:dyDescent="0.25">
      <c r="A21" s="10"/>
      <c r="B21" s="52" t="s">
        <v>193</v>
      </c>
      <c r="C21" s="53"/>
      <c r="D21" s="53"/>
      <c r="E21" s="9">
        <v>5</v>
      </c>
      <c r="F21" s="26">
        <v>3.75</v>
      </c>
      <c r="G21" s="30">
        <f t="shared" si="0"/>
        <v>0.75</v>
      </c>
      <c r="H21" s="31" t="str">
        <f t="shared" si="1"/>
        <v>جيد</v>
      </c>
      <c r="I21" s="48"/>
      <c r="J21" s="49"/>
    </row>
    <row r="22" spans="1:10" ht="30" customHeight="1" x14ac:dyDescent="0.25">
      <c r="A22" s="10"/>
      <c r="B22" s="52" t="s">
        <v>194</v>
      </c>
      <c r="C22" s="53"/>
      <c r="D22" s="53"/>
      <c r="E22" s="9">
        <v>5</v>
      </c>
      <c r="F22" s="26">
        <v>3.75</v>
      </c>
      <c r="G22" s="30">
        <f t="shared" si="0"/>
        <v>0.75</v>
      </c>
      <c r="H22" s="31" t="str">
        <f t="shared" si="1"/>
        <v>جيد</v>
      </c>
      <c r="I22" s="48"/>
      <c r="J22" s="49"/>
    </row>
    <row r="23" spans="1:10" ht="30" customHeight="1" thickBot="1" x14ac:dyDescent="0.3">
      <c r="A23" s="10"/>
      <c r="B23" s="54" t="s">
        <v>195</v>
      </c>
      <c r="C23" s="55"/>
      <c r="D23" s="55"/>
      <c r="E23" s="37">
        <v>5</v>
      </c>
      <c r="F23" s="27">
        <v>3.75</v>
      </c>
      <c r="G23" s="38">
        <f t="shared" si="0"/>
        <v>0.75</v>
      </c>
      <c r="H23" s="39" t="str">
        <f t="shared" si="1"/>
        <v>جيد</v>
      </c>
      <c r="I23" s="50"/>
      <c r="J23" s="51"/>
    </row>
    <row r="24" spans="1:10" ht="30" customHeight="1" x14ac:dyDescent="0.25">
      <c r="A24" s="10"/>
      <c r="B24" s="46" t="s">
        <v>196</v>
      </c>
      <c r="C24" s="47"/>
      <c r="D24" s="47"/>
      <c r="E24" s="33"/>
      <c r="F24" s="34"/>
      <c r="G24" s="35"/>
      <c r="H24" s="36"/>
      <c r="I24" s="56"/>
      <c r="J24" s="57"/>
    </row>
    <row r="25" spans="1:10" ht="30" customHeight="1" x14ac:dyDescent="0.25">
      <c r="A25" s="10"/>
      <c r="B25" s="40" t="s">
        <v>197</v>
      </c>
      <c r="C25" s="41"/>
      <c r="D25" s="41"/>
      <c r="E25" s="9">
        <v>5</v>
      </c>
      <c r="F25" s="26">
        <v>3.75</v>
      </c>
      <c r="G25" s="30">
        <f t="shared" si="0"/>
        <v>0.75</v>
      </c>
      <c r="H25" s="31" t="str">
        <f t="shared" si="1"/>
        <v>جيد</v>
      </c>
      <c r="I25" s="48"/>
      <c r="J25" s="49"/>
    </row>
    <row r="26" spans="1:10" ht="30" customHeight="1" x14ac:dyDescent="0.25">
      <c r="A26" s="10"/>
      <c r="B26" s="40" t="s">
        <v>198</v>
      </c>
      <c r="C26" s="41"/>
      <c r="D26" s="41"/>
      <c r="E26" s="9">
        <v>5</v>
      </c>
      <c r="F26" s="26">
        <v>3.75</v>
      </c>
      <c r="G26" s="30">
        <f t="shared" si="0"/>
        <v>0.75</v>
      </c>
      <c r="H26" s="31" t="str">
        <f t="shared" si="1"/>
        <v>جيد</v>
      </c>
      <c r="I26" s="48"/>
      <c r="J26" s="49"/>
    </row>
    <row r="27" spans="1:10" ht="30" customHeight="1" x14ac:dyDescent="0.25">
      <c r="A27" s="10"/>
      <c r="B27" s="40" t="s">
        <v>199</v>
      </c>
      <c r="C27" s="41"/>
      <c r="D27" s="41"/>
      <c r="E27" s="9">
        <v>5</v>
      </c>
      <c r="F27" s="26">
        <v>3.75</v>
      </c>
      <c r="G27" s="30">
        <f t="shared" si="0"/>
        <v>0.75</v>
      </c>
      <c r="H27" s="31" t="str">
        <f t="shared" si="1"/>
        <v>جيد</v>
      </c>
      <c r="I27" s="48"/>
      <c r="J27" s="49"/>
    </row>
    <row r="28" spans="1:10" ht="30" customHeight="1" x14ac:dyDescent="0.25">
      <c r="A28" s="10"/>
      <c r="B28" s="40" t="s">
        <v>200</v>
      </c>
      <c r="C28" s="41"/>
      <c r="D28" s="41"/>
      <c r="E28" s="9">
        <v>5</v>
      </c>
      <c r="F28" s="26">
        <v>3.5</v>
      </c>
      <c r="G28" s="30">
        <f t="shared" si="0"/>
        <v>0.7</v>
      </c>
      <c r="H28" s="31" t="str">
        <f t="shared" si="1"/>
        <v>جيد</v>
      </c>
      <c r="I28" s="48"/>
      <c r="J28" s="49"/>
    </row>
    <row r="29" spans="1:10" ht="30" customHeight="1" x14ac:dyDescent="0.25">
      <c r="A29" s="10"/>
      <c r="B29" s="40" t="s">
        <v>201</v>
      </c>
      <c r="C29" s="41"/>
      <c r="D29" s="41"/>
      <c r="E29" s="9">
        <v>5</v>
      </c>
      <c r="F29" s="26">
        <v>3.5</v>
      </c>
      <c r="G29" s="30">
        <f t="shared" si="0"/>
        <v>0.7</v>
      </c>
      <c r="H29" s="31" t="str">
        <f t="shared" si="1"/>
        <v>جيد</v>
      </c>
      <c r="I29" s="48"/>
      <c r="J29" s="49"/>
    </row>
    <row r="30" spans="1:10" ht="30" customHeight="1" x14ac:dyDescent="0.25">
      <c r="A30" s="10"/>
      <c r="B30" s="40" t="s">
        <v>202</v>
      </c>
      <c r="C30" s="41"/>
      <c r="D30" s="41"/>
      <c r="E30" s="9">
        <v>5</v>
      </c>
      <c r="F30" s="26">
        <v>3.5</v>
      </c>
      <c r="G30" s="30">
        <f t="shared" si="0"/>
        <v>0.7</v>
      </c>
      <c r="H30" s="31" t="str">
        <f t="shared" si="1"/>
        <v>جيد</v>
      </c>
      <c r="I30" s="48"/>
      <c r="J30" s="49"/>
    </row>
    <row r="31" spans="1:10" ht="30" customHeight="1" thickBot="1" x14ac:dyDescent="0.3">
      <c r="A31" s="10"/>
      <c r="B31" s="44" t="s">
        <v>203</v>
      </c>
      <c r="C31" s="45"/>
      <c r="D31" s="45"/>
      <c r="E31" s="37">
        <v>5</v>
      </c>
      <c r="F31" s="27">
        <v>3.5</v>
      </c>
      <c r="G31" s="38">
        <f t="shared" si="0"/>
        <v>0.7</v>
      </c>
      <c r="H31" s="39" t="str">
        <f t="shared" si="1"/>
        <v>جيد</v>
      </c>
      <c r="I31" s="50"/>
      <c r="J31" s="51"/>
    </row>
    <row r="32" spans="1:10" ht="30" customHeight="1" x14ac:dyDescent="0.25">
      <c r="A32" s="10"/>
      <c r="B32" s="46" t="s">
        <v>204</v>
      </c>
      <c r="C32" s="47"/>
      <c r="D32" s="47"/>
      <c r="E32" s="33"/>
      <c r="F32" s="34"/>
      <c r="G32" s="35"/>
      <c r="H32" s="36"/>
      <c r="I32" s="56"/>
      <c r="J32" s="57"/>
    </row>
    <row r="33" spans="1:10" ht="39.950000000000003" customHeight="1" x14ac:dyDescent="0.25">
      <c r="A33" s="10"/>
      <c r="B33" s="40" t="s">
        <v>205</v>
      </c>
      <c r="C33" s="41"/>
      <c r="D33" s="41"/>
      <c r="E33" s="9">
        <v>5</v>
      </c>
      <c r="F33" s="26">
        <v>3.5</v>
      </c>
      <c r="G33" s="30">
        <f t="shared" si="0"/>
        <v>0.7</v>
      </c>
      <c r="H33" s="31" t="str">
        <f t="shared" si="1"/>
        <v>جيد</v>
      </c>
      <c r="I33" s="48"/>
      <c r="J33" s="49"/>
    </row>
    <row r="34" spans="1:10" ht="30" customHeight="1" x14ac:dyDescent="0.25">
      <c r="A34" s="10"/>
      <c r="B34" s="40" t="s">
        <v>206</v>
      </c>
      <c r="C34" s="41"/>
      <c r="D34" s="41"/>
      <c r="E34" s="9">
        <v>5</v>
      </c>
      <c r="F34" s="26">
        <v>3.5</v>
      </c>
      <c r="G34" s="30">
        <f t="shared" si="0"/>
        <v>0.7</v>
      </c>
      <c r="H34" s="31" t="str">
        <f t="shared" si="1"/>
        <v>جيد</v>
      </c>
      <c r="I34" s="48"/>
      <c r="J34" s="49"/>
    </row>
    <row r="35" spans="1:10" ht="30" customHeight="1" x14ac:dyDescent="0.25">
      <c r="A35" s="10"/>
      <c r="B35" s="40" t="s">
        <v>207</v>
      </c>
      <c r="C35" s="41"/>
      <c r="D35" s="41"/>
      <c r="E35" s="9">
        <v>5</v>
      </c>
      <c r="F35" s="26">
        <v>3.5</v>
      </c>
      <c r="G35" s="30">
        <f t="shared" si="0"/>
        <v>0.7</v>
      </c>
      <c r="H35" s="31" t="str">
        <f t="shared" si="1"/>
        <v>جيد</v>
      </c>
      <c r="I35" s="48"/>
      <c r="J35" s="49"/>
    </row>
    <row r="36" spans="1:10" ht="30" customHeight="1" thickBot="1" x14ac:dyDescent="0.3">
      <c r="A36" s="10"/>
      <c r="B36" s="44" t="s">
        <v>208</v>
      </c>
      <c r="C36" s="45"/>
      <c r="D36" s="45"/>
      <c r="E36" s="37">
        <v>5</v>
      </c>
      <c r="F36" s="27">
        <v>3.75</v>
      </c>
      <c r="G36" s="38">
        <f t="shared" si="0"/>
        <v>0.75</v>
      </c>
      <c r="H36" s="39" t="str">
        <f t="shared" si="1"/>
        <v>جيد</v>
      </c>
      <c r="I36" s="50"/>
      <c r="J36" s="51"/>
    </row>
    <row r="37" spans="1:10" ht="30" customHeight="1" x14ac:dyDescent="0.25">
      <c r="A37" s="10"/>
      <c r="B37" s="42" t="s">
        <v>209</v>
      </c>
      <c r="C37" s="43"/>
      <c r="D37" s="43"/>
      <c r="E37" s="33"/>
      <c r="F37" s="34"/>
      <c r="G37" s="35"/>
      <c r="H37" s="36"/>
      <c r="I37" s="56"/>
      <c r="J37" s="57"/>
    </row>
    <row r="38" spans="1:10" ht="30" customHeight="1" x14ac:dyDescent="0.25">
      <c r="A38" s="10"/>
      <c r="B38" s="40" t="s">
        <v>210</v>
      </c>
      <c r="C38" s="41"/>
      <c r="D38" s="41"/>
      <c r="E38" s="9">
        <v>5</v>
      </c>
      <c r="F38" s="26">
        <v>3.5</v>
      </c>
      <c r="G38" s="30">
        <f t="shared" si="0"/>
        <v>0.7</v>
      </c>
      <c r="H38" s="31" t="str">
        <f t="shared" si="1"/>
        <v>جيد</v>
      </c>
      <c r="I38" s="48"/>
      <c r="J38" s="49"/>
    </row>
    <row r="39" spans="1:10" ht="30" customHeight="1" x14ac:dyDescent="0.25">
      <c r="A39" s="10"/>
      <c r="B39" s="40" t="s">
        <v>211</v>
      </c>
      <c r="C39" s="41"/>
      <c r="D39" s="41"/>
      <c r="E39" s="9">
        <v>5</v>
      </c>
      <c r="F39" s="26">
        <v>3.5</v>
      </c>
      <c r="G39" s="30">
        <f t="shared" si="0"/>
        <v>0.7</v>
      </c>
      <c r="H39" s="31" t="str">
        <f t="shared" si="1"/>
        <v>جيد</v>
      </c>
      <c r="I39" s="48"/>
      <c r="J39" s="49"/>
    </row>
    <row r="40" spans="1:10" ht="30" customHeight="1" x14ac:dyDescent="0.25">
      <c r="A40" s="10"/>
      <c r="B40" s="40" t="s">
        <v>212</v>
      </c>
      <c r="C40" s="41"/>
      <c r="D40" s="41"/>
      <c r="E40" s="9">
        <v>5</v>
      </c>
      <c r="F40" s="26">
        <v>3.75</v>
      </c>
      <c r="G40" s="30">
        <f t="shared" si="0"/>
        <v>0.75</v>
      </c>
      <c r="H40" s="31" t="str">
        <f t="shared" si="1"/>
        <v>جيد</v>
      </c>
      <c r="I40" s="48"/>
      <c r="J40" s="49"/>
    </row>
    <row r="41" spans="1:10" ht="30" customHeight="1" x14ac:dyDescent="0.25">
      <c r="A41" s="10"/>
      <c r="B41" s="40" t="s">
        <v>213</v>
      </c>
      <c r="C41" s="41"/>
      <c r="D41" s="41"/>
      <c r="E41" s="9">
        <v>5</v>
      </c>
      <c r="F41" s="26">
        <v>3.5</v>
      </c>
      <c r="G41" s="30">
        <f t="shared" si="0"/>
        <v>0.7</v>
      </c>
      <c r="H41" s="31" t="str">
        <f t="shared" si="1"/>
        <v>جيد</v>
      </c>
      <c r="I41" s="48"/>
      <c r="J41" s="49"/>
    </row>
    <row r="42" spans="1:10" ht="30" customHeight="1" x14ac:dyDescent="0.25">
      <c r="A42" s="10"/>
      <c r="B42" s="40" t="s">
        <v>214</v>
      </c>
      <c r="C42" s="41"/>
      <c r="D42" s="41"/>
      <c r="E42" s="9">
        <v>5</v>
      </c>
      <c r="F42" s="26">
        <v>3.5</v>
      </c>
      <c r="G42" s="30">
        <f t="shared" si="0"/>
        <v>0.7</v>
      </c>
      <c r="H42" s="31" t="str">
        <f t="shared" si="1"/>
        <v>جيد</v>
      </c>
      <c r="I42" s="48"/>
      <c r="J42" s="49"/>
    </row>
    <row r="43" spans="1:10" ht="30" customHeight="1" x14ac:dyDescent="0.25">
      <c r="A43" s="10"/>
      <c r="B43" s="40" t="s">
        <v>215</v>
      </c>
      <c r="C43" s="41"/>
      <c r="D43" s="41"/>
      <c r="E43" s="9">
        <v>5</v>
      </c>
      <c r="F43" s="26">
        <v>3.75</v>
      </c>
      <c r="G43" s="30">
        <f t="shared" si="0"/>
        <v>0.75</v>
      </c>
      <c r="H43" s="31" t="str">
        <f t="shared" si="1"/>
        <v>جيد</v>
      </c>
      <c r="I43" s="48"/>
      <c r="J43" s="49"/>
    </row>
    <row r="44" spans="1:10" ht="30" customHeight="1" thickBot="1" x14ac:dyDescent="0.3">
      <c r="A44" s="10"/>
      <c r="B44" s="44" t="s">
        <v>216</v>
      </c>
      <c r="C44" s="45"/>
      <c r="D44" s="45"/>
      <c r="E44" s="37">
        <v>5</v>
      </c>
      <c r="F44" s="27">
        <v>3.75</v>
      </c>
      <c r="G44" s="38">
        <f t="shared" si="0"/>
        <v>0.75</v>
      </c>
      <c r="H44" s="39" t="str">
        <f t="shared" si="1"/>
        <v>جيد</v>
      </c>
      <c r="I44" s="50"/>
      <c r="J44" s="51"/>
    </row>
    <row r="45" spans="1:10" ht="30" customHeight="1" x14ac:dyDescent="0.25">
      <c r="A45" s="10"/>
      <c r="B45" s="46" t="s">
        <v>217</v>
      </c>
      <c r="C45" s="47"/>
      <c r="D45" s="47"/>
      <c r="E45" s="33"/>
      <c r="F45" s="34"/>
      <c r="G45" s="35"/>
      <c r="H45" s="36"/>
      <c r="I45" s="56"/>
      <c r="J45" s="57"/>
    </row>
    <row r="46" spans="1:10" ht="30" customHeight="1" x14ac:dyDescent="0.25">
      <c r="A46" s="10"/>
      <c r="B46" s="40" t="s">
        <v>218</v>
      </c>
      <c r="C46" s="41"/>
      <c r="D46" s="41"/>
      <c r="E46" s="9">
        <v>5</v>
      </c>
      <c r="F46" s="26">
        <v>3.75</v>
      </c>
      <c r="G46" s="30">
        <f t="shared" si="0"/>
        <v>0.75</v>
      </c>
      <c r="H46" s="31" t="str">
        <f t="shared" si="1"/>
        <v>جيد</v>
      </c>
      <c r="I46" s="48"/>
      <c r="J46" s="49"/>
    </row>
    <row r="47" spans="1:10" ht="30" customHeight="1" x14ac:dyDescent="0.25">
      <c r="A47" s="10"/>
      <c r="B47" s="40" t="s">
        <v>219</v>
      </c>
      <c r="C47" s="41"/>
      <c r="D47" s="41"/>
      <c r="E47" s="9">
        <v>5</v>
      </c>
      <c r="F47" s="26">
        <v>3.75</v>
      </c>
      <c r="G47" s="30">
        <f t="shared" si="0"/>
        <v>0.75</v>
      </c>
      <c r="H47" s="31" t="str">
        <f t="shared" si="1"/>
        <v>جيد</v>
      </c>
      <c r="I47" s="48"/>
      <c r="J47" s="49"/>
    </row>
    <row r="48" spans="1:10" ht="30" customHeight="1" x14ac:dyDescent="0.25">
      <c r="A48" s="10"/>
      <c r="B48" s="40" t="s">
        <v>220</v>
      </c>
      <c r="C48" s="41"/>
      <c r="D48" s="41"/>
      <c r="E48" s="9">
        <v>5</v>
      </c>
      <c r="F48" s="26">
        <v>3.5</v>
      </c>
      <c r="G48" s="30">
        <f t="shared" si="0"/>
        <v>0.7</v>
      </c>
      <c r="H48" s="31" t="str">
        <f t="shared" si="1"/>
        <v>جيد</v>
      </c>
      <c r="I48" s="48"/>
      <c r="J48" s="49"/>
    </row>
    <row r="49" spans="1:10" ht="30" customHeight="1" x14ac:dyDescent="0.25">
      <c r="A49" s="10"/>
      <c r="B49" s="40" t="s">
        <v>221</v>
      </c>
      <c r="C49" s="41"/>
      <c r="D49" s="41"/>
      <c r="E49" s="9">
        <v>5</v>
      </c>
      <c r="F49" s="26">
        <v>3.5</v>
      </c>
      <c r="G49" s="30">
        <f t="shared" si="0"/>
        <v>0.7</v>
      </c>
      <c r="H49" s="31" t="str">
        <f t="shared" si="1"/>
        <v>جيد</v>
      </c>
      <c r="I49" s="48"/>
      <c r="J49" s="49"/>
    </row>
    <row r="50" spans="1:10" ht="30" customHeight="1" x14ac:dyDescent="0.25">
      <c r="A50" s="10"/>
      <c r="B50" s="40" t="s">
        <v>222</v>
      </c>
      <c r="C50" s="41"/>
      <c r="D50" s="41"/>
      <c r="E50" s="9">
        <v>5</v>
      </c>
      <c r="F50" s="26">
        <v>3.5</v>
      </c>
      <c r="G50" s="30">
        <f t="shared" si="0"/>
        <v>0.7</v>
      </c>
      <c r="H50" s="31" t="str">
        <f t="shared" si="1"/>
        <v>جيد</v>
      </c>
      <c r="I50" s="48"/>
      <c r="J50" s="49"/>
    </row>
    <row r="51" spans="1:10" ht="30" customHeight="1" thickBot="1" x14ac:dyDescent="0.3">
      <c r="A51" s="10"/>
      <c r="B51" s="44" t="s">
        <v>223</v>
      </c>
      <c r="C51" s="45"/>
      <c r="D51" s="45"/>
      <c r="E51" s="37">
        <v>5</v>
      </c>
      <c r="F51" s="27">
        <v>3.75</v>
      </c>
      <c r="G51" s="38">
        <f t="shared" si="0"/>
        <v>0.75</v>
      </c>
      <c r="H51" s="39" t="str">
        <f t="shared" si="1"/>
        <v>جيد</v>
      </c>
      <c r="I51" s="50"/>
      <c r="J51" s="51"/>
    </row>
    <row r="52" spans="1:10" ht="30" customHeight="1" x14ac:dyDescent="0.25">
      <c r="A52" s="10"/>
      <c r="B52" s="42" t="s">
        <v>224</v>
      </c>
      <c r="C52" s="43"/>
      <c r="D52" s="43"/>
      <c r="E52" s="33"/>
      <c r="F52" s="34"/>
      <c r="G52" s="35"/>
      <c r="H52" s="36"/>
      <c r="I52" s="56"/>
      <c r="J52" s="57"/>
    </row>
    <row r="53" spans="1:10" ht="30" customHeight="1" x14ac:dyDescent="0.25">
      <c r="A53" s="10"/>
      <c r="B53" s="40" t="s">
        <v>225</v>
      </c>
      <c r="C53" s="41"/>
      <c r="D53" s="41"/>
      <c r="E53" s="9">
        <v>5</v>
      </c>
      <c r="F53" s="26">
        <v>3.5</v>
      </c>
      <c r="G53" s="30">
        <f t="shared" si="0"/>
        <v>0.7</v>
      </c>
      <c r="H53" s="31" t="str">
        <f t="shared" si="1"/>
        <v>جيد</v>
      </c>
      <c r="I53" s="48"/>
      <c r="J53" s="49"/>
    </row>
    <row r="54" spans="1:10" ht="30" customHeight="1" x14ac:dyDescent="0.25">
      <c r="A54" s="10"/>
      <c r="B54" s="40" t="s">
        <v>226</v>
      </c>
      <c r="C54" s="41"/>
      <c r="D54" s="41"/>
      <c r="E54" s="9">
        <v>5</v>
      </c>
      <c r="F54" s="26">
        <v>3.5</v>
      </c>
      <c r="G54" s="30">
        <f t="shared" si="0"/>
        <v>0.7</v>
      </c>
      <c r="H54" s="31" t="str">
        <f t="shared" si="1"/>
        <v>جيد</v>
      </c>
      <c r="I54" s="48"/>
      <c r="J54" s="49"/>
    </row>
    <row r="55" spans="1:10" ht="30" customHeight="1" thickBot="1" x14ac:dyDescent="0.3">
      <c r="A55" s="10"/>
      <c r="B55" s="44" t="s">
        <v>227</v>
      </c>
      <c r="C55" s="45"/>
      <c r="D55" s="45"/>
      <c r="E55" s="37">
        <v>5</v>
      </c>
      <c r="F55" s="27">
        <v>3.5</v>
      </c>
      <c r="G55" s="38">
        <f t="shared" si="0"/>
        <v>0.7</v>
      </c>
      <c r="H55" s="39" t="str">
        <f t="shared" si="1"/>
        <v>جيد</v>
      </c>
      <c r="I55" s="50"/>
      <c r="J55" s="51"/>
    </row>
    <row r="56" spans="1:10" ht="30" customHeight="1" x14ac:dyDescent="0.25">
      <c r="A56" s="10"/>
      <c r="B56" s="42" t="s">
        <v>228</v>
      </c>
      <c r="C56" s="43"/>
      <c r="D56" s="43"/>
      <c r="E56" s="33"/>
      <c r="F56" s="34"/>
      <c r="G56" s="35"/>
      <c r="H56" s="36"/>
      <c r="I56" s="56"/>
      <c r="J56" s="57"/>
    </row>
    <row r="57" spans="1:10" ht="30" customHeight="1" x14ac:dyDescent="0.25">
      <c r="A57" s="10"/>
      <c r="B57" s="40" t="s">
        <v>229</v>
      </c>
      <c r="C57" s="41"/>
      <c r="D57" s="41"/>
      <c r="E57" s="9">
        <v>5</v>
      </c>
      <c r="F57" s="26">
        <v>3.5</v>
      </c>
      <c r="G57" s="30">
        <f t="shared" si="0"/>
        <v>0.7</v>
      </c>
      <c r="H57" s="31" t="str">
        <f t="shared" si="1"/>
        <v>جيد</v>
      </c>
      <c r="I57" s="48"/>
      <c r="J57" s="49"/>
    </row>
    <row r="58" spans="1:10" ht="30" customHeight="1" thickBot="1" x14ac:dyDescent="0.3">
      <c r="A58" s="10"/>
      <c r="B58" s="44" t="s">
        <v>230</v>
      </c>
      <c r="C58" s="45"/>
      <c r="D58" s="45"/>
      <c r="E58" s="37">
        <v>5</v>
      </c>
      <c r="F58" s="27">
        <v>3.5</v>
      </c>
      <c r="G58" s="38">
        <f t="shared" si="0"/>
        <v>0.7</v>
      </c>
      <c r="H58" s="39" t="str">
        <f t="shared" si="1"/>
        <v>جيد</v>
      </c>
      <c r="I58" s="50"/>
      <c r="J58" s="51"/>
    </row>
    <row r="59" spans="1:10" ht="30" customHeight="1" thickBot="1" x14ac:dyDescent="0.3">
      <c r="A59" s="4"/>
      <c r="B59" s="58" t="s">
        <v>5</v>
      </c>
      <c r="C59" s="59"/>
      <c r="D59" s="59"/>
      <c r="E59" s="29">
        <f>SUM(E8:E58)</f>
        <v>235</v>
      </c>
      <c r="F59" s="29">
        <f>SUM(F8:F58)</f>
        <v>168</v>
      </c>
      <c r="G59" s="62"/>
      <c r="H59" s="63"/>
      <c r="I59" s="63"/>
      <c r="J59" s="64"/>
    </row>
    <row r="60" spans="1:10" ht="30" customHeight="1" thickBot="1" x14ac:dyDescent="0.3">
      <c r="A60" s="4"/>
      <c r="B60" s="60" t="s">
        <v>54</v>
      </c>
      <c r="C60" s="61"/>
      <c r="D60" s="61"/>
      <c r="E60" s="80">
        <f>F59/E59/100*100</f>
        <v>0.71489361702127663</v>
      </c>
      <c r="F60" s="80"/>
      <c r="G60" s="80"/>
      <c r="H60" s="80"/>
      <c r="I60" s="80"/>
      <c r="J60" s="81"/>
    </row>
    <row r="61" spans="1:10" ht="30" customHeight="1" thickBot="1" x14ac:dyDescent="0.3">
      <c r="A61" s="4"/>
      <c r="B61" s="60" t="s">
        <v>55</v>
      </c>
      <c r="C61" s="61"/>
      <c r="D61" s="61"/>
      <c r="E61" s="69" t="str">
        <f>_xlfn.IFS(E60&gt;=90%,"ممتاز",E60&gt;=80%,"جيد جداً",E60&gt;=70%,"جيد",E60&gt;=60%,"مقبول",E60&lt;60%,"راسب")</f>
        <v>جيد</v>
      </c>
      <c r="F61" s="69"/>
      <c r="G61" s="69"/>
      <c r="H61" s="69"/>
      <c r="I61" s="69"/>
      <c r="J61" s="70"/>
    </row>
    <row r="62" spans="1:10" ht="42" customHeight="1" x14ac:dyDescent="0.25">
      <c r="B62" s="65" t="s">
        <v>174</v>
      </c>
      <c r="C62" s="65"/>
      <c r="D62" s="65"/>
      <c r="E62" s="71" t="s">
        <v>52</v>
      </c>
      <c r="F62" s="71"/>
      <c r="G62" s="67" t="s">
        <v>134</v>
      </c>
      <c r="H62" s="67"/>
      <c r="I62" s="67"/>
      <c r="J62" s="67"/>
    </row>
    <row r="63" spans="1:10" ht="51" customHeight="1" x14ac:dyDescent="0.25">
      <c r="A63" s="5"/>
      <c r="B63" s="66"/>
      <c r="C63" s="66"/>
      <c r="D63" s="66"/>
      <c r="E63" s="72" t="s">
        <v>53</v>
      </c>
      <c r="F63" s="72"/>
      <c r="G63" s="68"/>
      <c r="H63" s="68"/>
      <c r="I63" s="68"/>
      <c r="J63" s="6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23">
    <mergeCell ref="B1:J1"/>
    <mergeCell ref="F2:J2"/>
    <mergeCell ref="B5:D6"/>
    <mergeCell ref="C2:D2"/>
    <mergeCell ref="C3:D3"/>
    <mergeCell ref="F3:J3"/>
    <mergeCell ref="E60:J60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62:D63"/>
    <mergeCell ref="G62:J62"/>
    <mergeCell ref="G63:J63"/>
    <mergeCell ref="E61:J61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45:J45"/>
    <mergeCell ref="I46:J46"/>
    <mergeCell ref="I47:J47"/>
    <mergeCell ref="I48:J48"/>
    <mergeCell ref="E62:F62"/>
    <mergeCell ref="E63:F63"/>
    <mergeCell ref="I8:J8"/>
    <mergeCell ref="B59:D59"/>
    <mergeCell ref="B60:D60"/>
    <mergeCell ref="B61:D61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8:J58"/>
    <mergeCell ref="I26:J26"/>
    <mergeCell ref="I27:J27"/>
    <mergeCell ref="G59:J59"/>
    <mergeCell ref="I9:J9"/>
    <mergeCell ref="B26:D26"/>
    <mergeCell ref="B27:D27"/>
    <mergeCell ref="B28:D28"/>
    <mergeCell ref="B29:D29"/>
    <mergeCell ref="I32:J32"/>
    <mergeCell ref="I33:J33"/>
    <mergeCell ref="I34:J34"/>
    <mergeCell ref="I35:J35"/>
    <mergeCell ref="I36:J3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30:D30"/>
    <mergeCell ref="B31:D31"/>
    <mergeCell ref="B32:D32"/>
    <mergeCell ref="B33:D33"/>
    <mergeCell ref="B34:D34"/>
    <mergeCell ref="B35:D35"/>
    <mergeCell ref="B36:D36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56:D56"/>
    <mergeCell ref="B57:D57"/>
    <mergeCell ref="B58:D58"/>
    <mergeCell ref="B48:D48"/>
    <mergeCell ref="B49:D49"/>
    <mergeCell ref="B50:D50"/>
    <mergeCell ref="B51:D51"/>
    <mergeCell ref="B52:D52"/>
    <mergeCell ref="B53:D53"/>
    <mergeCell ref="B54:D54"/>
    <mergeCell ref="B55:D5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61">
    <cfRule type="expression" dxfId="14" priority="57">
      <formula>$E61="راسب"</formula>
    </cfRule>
  </conditionalFormatting>
  <conditionalFormatting sqref="E61:J61">
    <cfRule type="expression" dxfId="13" priority="60">
      <formula>$E61="جيد جداً"</formula>
    </cfRule>
    <cfRule type="expression" dxfId="12" priority="59">
      <formula>$E61="جيد"</formula>
    </cfRule>
    <cfRule type="expression" dxfId="11" priority="58">
      <formula>$E61="مقبول"</formula>
    </cfRule>
    <cfRule type="expression" dxfId="10" priority="61">
      <formula>$E61="ممتاز"</formula>
    </cfRule>
  </conditionalFormatting>
  <conditionalFormatting sqref="F8:F58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62:J62">
    <cfRule type="containsText" dxfId="6" priority="15" operator="containsText" text="أدخل اسم المحكم">
      <formula>NOT(ISERROR(SEARCH("أدخل اسم المحكم",G62)))</formula>
    </cfRule>
  </conditionalFormatting>
  <conditionalFormatting sqref="H8:H58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G62:J62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F57:F58 F53:F55 F46:F51 F38:F44 F33:F36 F25:F31 F21:F23 F11:F19</xm:sqref>
        </x14:dataValidation>
        <x14:dataValidation type="list" allowBlank="1" showInputMessage="1" showErrorMessage="1" xr:uid="{11C890B5-4F47-485E-A15D-253CF0D8CFB6}">
          <x14:formula1>
            <xm:f>'بيانات التقييم'!$A$111:$A$153</xm:f>
          </x14:formula1>
          <xm:sqref>F9 F10 F20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6" workbookViewId="0">
      <selection activeCell="C33" sqref="C33"/>
    </sheetView>
  </sheetViews>
  <sheetFormatPr defaultRowHeight="20.100000000000001" customHeight="1" x14ac:dyDescent="0.25"/>
  <cols>
    <col min="1" max="1" width="42.5703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5">
      <c r="A35" s="18"/>
    </row>
    <row r="36" spans="1:9" s="17" customFormat="1" ht="20.100000000000001" customHeight="1" x14ac:dyDescent="0.25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5">
      <c r="A107" s="14"/>
    </row>
    <row r="108" spans="1:9" ht="20.100000000000001" customHeight="1" x14ac:dyDescent="0.25">
      <c r="A108" s="14"/>
    </row>
    <row r="109" spans="1:9" s="17" customFormat="1" ht="20.100000000000001" customHeight="1" x14ac:dyDescent="0.25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59</v>
      </c>
    </row>
    <row r="199" spans="1:1" ht="20.100000000000001" customHeight="1" x14ac:dyDescent="0.25">
      <c r="A199" s="20" t="s">
        <v>89</v>
      </c>
    </row>
    <row r="200" spans="1:1" ht="20.100000000000001" customHeight="1" x14ac:dyDescent="0.25">
      <c r="A200" s="20" t="s">
        <v>90</v>
      </c>
    </row>
    <row r="201" spans="1:1" ht="20.100000000000001" customHeight="1" x14ac:dyDescent="0.25">
      <c r="A201" s="20" t="s">
        <v>91</v>
      </c>
    </row>
    <row r="202" spans="1:1" ht="20.100000000000001" customHeight="1" x14ac:dyDescent="0.25">
      <c r="A202" s="20" t="s">
        <v>92</v>
      </c>
    </row>
    <row r="203" spans="1:1" ht="20.100000000000001" customHeight="1" x14ac:dyDescent="0.25">
      <c r="A203" s="20" t="s">
        <v>93</v>
      </c>
    </row>
    <row r="204" spans="1:1" ht="20.100000000000001" customHeight="1" x14ac:dyDescent="0.25">
      <c r="A204" s="20" t="s">
        <v>94</v>
      </c>
    </row>
    <row r="205" spans="1:1" ht="20.100000000000001" customHeight="1" x14ac:dyDescent="0.25">
      <c r="A205" s="20" t="s">
        <v>95</v>
      </c>
    </row>
    <row r="206" spans="1:1" ht="20.100000000000001" customHeight="1" x14ac:dyDescent="0.25">
      <c r="A206" s="20" t="s">
        <v>96</v>
      </c>
    </row>
    <row r="207" spans="1:1" ht="20.100000000000001" customHeight="1" x14ac:dyDescent="0.25">
      <c r="A207" s="20" t="s">
        <v>97</v>
      </c>
    </row>
    <row r="208" spans="1:1" ht="20.100000000000001" customHeight="1" x14ac:dyDescent="0.25">
      <c r="A208" s="21" t="s">
        <v>98</v>
      </c>
    </row>
    <row r="209" spans="1:1" ht="20.100000000000001" customHeight="1" x14ac:dyDescent="0.25">
      <c r="A209" s="21" t="s">
        <v>99</v>
      </c>
    </row>
    <row r="210" spans="1:1" ht="20.100000000000001" customHeight="1" x14ac:dyDescent="0.25">
      <c r="A210" s="20" t="s">
        <v>100</v>
      </c>
    </row>
    <row r="211" spans="1:1" ht="20.100000000000001" customHeight="1" x14ac:dyDescent="0.25">
      <c r="A211" s="20" t="s">
        <v>101</v>
      </c>
    </row>
    <row r="212" spans="1:1" ht="20.100000000000001" customHeight="1" x14ac:dyDescent="0.25">
      <c r="A212" s="20" t="s">
        <v>175</v>
      </c>
    </row>
    <row r="213" spans="1:1" ht="20.100000000000001" customHeight="1" x14ac:dyDescent="0.25">
      <c r="A213" s="20" t="s">
        <v>102</v>
      </c>
    </row>
    <row r="214" spans="1:1" ht="20.100000000000001" customHeight="1" x14ac:dyDescent="0.25">
      <c r="A214" s="20" t="s">
        <v>103</v>
      </c>
    </row>
    <row r="215" spans="1:1" ht="20.100000000000001" customHeight="1" x14ac:dyDescent="0.25">
      <c r="A215" s="20" t="s">
        <v>104</v>
      </c>
    </row>
    <row r="216" spans="1:1" ht="20.100000000000001" customHeight="1" x14ac:dyDescent="0.25">
      <c r="A216" s="20" t="s">
        <v>105</v>
      </c>
    </row>
    <row r="217" spans="1:1" ht="20.100000000000001" customHeight="1" x14ac:dyDescent="0.25">
      <c r="A217" s="20" t="s">
        <v>106</v>
      </c>
    </row>
    <row r="218" spans="1:1" ht="20.100000000000001" customHeight="1" x14ac:dyDescent="0.25">
      <c r="A218" s="20" t="s">
        <v>107</v>
      </c>
    </row>
    <row r="219" spans="1:1" ht="20.100000000000001" customHeight="1" x14ac:dyDescent="0.25">
      <c r="A219" s="20" t="s">
        <v>108</v>
      </c>
    </row>
    <row r="220" spans="1:1" ht="20.100000000000001" customHeight="1" x14ac:dyDescent="0.25">
      <c r="A220" s="20" t="s">
        <v>109</v>
      </c>
    </row>
    <row r="221" spans="1:1" ht="20.100000000000001" customHeight="1" x14ac:dyDescent="0.25">
      <c r="A221" s="20" t="s">
        <v>110</v>
      </c>
    </row>
    <row r="222" spans="1:1" ht="20.100000000000001" customHeight="1" x14ac:dyDescent="0.25">
      <c r="A222" s="20" t="s">
        <v>111</v>
      </c>
    </row>
    <row r="223" spans="1:1" ht="20.100000000000001" customHeight="1" x14ac:dyDescent="0.25">
      <c r="A223" s="20" t="s">
        <v>112</v>
      </c>
    </row>
    <row r="224" spans="1:1" ht="20.100000000000001" customHeight="1" x14ac:dyDescent="0.25">
      <c r="A224" s="20" t="s">
        <v>176</v>
      </c>
    </row>
    <row r="225" spans="1:1" ht="20.100000000000001" customHeight="1" x14ac:dyDescent="0.25">
      <c r="A225" s="20" t="s">
        <v>113</v>
      </c>
    </row>
    <row r="226" spans="1:1" ht="20.100000000000001" customHeight="1" x14ac:dyDescent="0.25">
      <c r="A226" s="20" t="s">
        <v>114</v>
      </c>
    </row>
    <row r="227" spans="1:1" ht="20.100000000000001" customHeight="1" x14ac:dyDescent="0.25">
      <c r="A227" s="20" t="s">
        <v>115</v>
      </c>
    </row>
    <row r="228" spans="1:1" ht="20.100000000000001" customHeight="1" x14ac:dyDescent="0.25">
      <c r="A228" s="20" t="s">
        <v>116</v>
      </c>
    </row>
    <row r="229" spans="1:1" ht="20.100000000000001" customHeight="1" x14ac:dyDescent="0.25">
      <c r="A229" s="20" t="s">
        <v>117</v>
      </c>
    </row>
    <row r="230" spans="1:1" ht="20.100000000000001" customHeight="1" x14ac:dyDescent="0.25">
      <c r="A230" s="20" t="s">
        <v>118</v>
      </c>
    </row>
    <row r="231" spans="1:1" ht="20.100000000000001" customHeight="1" x14ac:dyDescent="0.25">
      <c r="A231" s="20" t="s">
        <v>119</v>
      </c>
    </row>
    <row r="232" spans="1:1" ht="20.100000000000001" customHeight="1" x14ac:dyDescent="0.25">
      <c r="A232" s="20" t="s">
        <v>120</v>
      </c>
    </row>
    <row r="233" spans="1:1" ht="20.100000000000001" customHeight="1" x14ac:dyDescent="0.25">
      <c r="A233" s="20" t="s">
        <v>121</v>
      </c>
    </row>
    <row r="234" spans="1:1" ht="20.100000000000001" customHeight="1" x14ac:dyDescent="0.25">
      <c r="A234" s="20" t="s">
        <v>122</v>
      </c>
    </row>
    <row r="235" spans="1:1" ht="20.100000000000001" customHeight="1" x14ac:dyDescent="0.25">
      <c r="A235" s="20" t="s">
        <v>123</v>
      </c>
    </row>
    <row r="236" spans="1:1" ht="20.100000000000001" customHeight="1" x14ac:dyDescent="0.25">
      <c r="A236" s="22" t="s">
        <v>124</v>
      </c>
    </row>
    <row r="237" spans="1:1" ht="20.100000000000001" customHeight="1" x14ac:dyDescent="0.25">
      <c r="A237" s="20" t="s">
        <v>125</v>
      </c>
    </row>
    <row r="238" spans="1:1" ht="20.100000000000001" customHeight="1" x14ac:dyDescent="0.25">
      <c r="A238" s="20" t="s">
        <v>126</v>
      </c>
    </row>
    <row r="239" spans="1:1" ht="20.100000000000001" customHeight="1" x14ac:dyDescent="0.25">
      <c r="A239" s="20" t="s">
        <v>127</v>
      </c>
    </row>
    <row r="240" spans="1:1" ht="20.100000000000001" customHeight="1" x14ac:dyDescent="0.25">
      <c r="A240" s="20" t="s">
        <v>128</v>
      </c>
    </row>
    <row r="241" spans="1:1" ht="20.100000000000001" customHeight="1" x14ac:dyDescent="0.25">
      <c r="A241" s="20" t="s">
        <v>129</v>
      </c>
    </row>
    <row r="242" spans="1:1" ht="20.100000000000001" customHeight="1" x14ac:dyDescent="0.25">
      <c r="A242" s="20" t="s">
        <v>130</v>
      </c>
    </row>
    <row r="243" spans="1:1" ht="20.100000000000001" customHeight="1" x14ac:dyDescent="0.25">
      <c r="A243" s="20" t="s">
        <v>131</v>
      </c>
    </row>
    <row r="244" spans="1:1" ht="20.100000000000001" customHeight="1" x14ac:dyDescent="0.25">
      <c r="A244" s="20" t="s">
        <v>132</v>
      </c>
    </row>
    <row r="245" spans="1:1" ht="20.100000000000001" customHeight="1" x14ac:dyDescent="0.25">
      <c r="A245" s="20" t="s">
        <v>133</v>
      </c>
    </row>
    <row r="246" spans="1:1" ht="20.100000000000001" customHeight="1" x14ac:dyDescent="0.25">
      <c r="A246" s="20" t="s">
        <v>134</v>
      </c>
    </row>
    <row r="247" spans="1:1" ht="20.100000000000001" customHeight="1" x14ac:dyDescent="0.25">
      <c r="A247" s="20" t="s">
        <v>135</v>
      </c>
    </row>
    <row r="248" spans="1:1" ht="20.100000000000001" customHeight="1" x14ac:dyDescent="0.25">
      <c r="A248" s="20" t="s">
        <v>126</v>
      </c>
    </row>
    <row r="249" spans="1:1" ht="20.100000000000001" customHeight="1" x14ac:dyDescent="0.25">
      <c r="A249" s="20" t="s">
        <v>136</v>
      </c>
    </row>
    <row r="250" spans="1:1" ht="20.100000000000001" customHeight="1" x14ac:dyDescent="0.25">
      <c r="A250" s="20" t="s">
        <v>137</v>
      </c>
    </row>
    <row r="251" spans="1:1" ht="20.100000000000001" customHeight="1" x14ac:dyDescent="0.25">
      <c r="A251" s="22" t="s">
        <v>138</v>
      </c>
    </row>
    <row r="252" spans="1:1" ht="20.100000000000001" customHeight="1" x14ac:dyDescent="0.25">
      <c r="A252" s="23" t="s">
        <v>139</v>
      </c>
    </row>
    <row r="253" spans="1:1" ht="20.100000000000001" customHeight="1" x14ac:dyDescent="0.25">
      <c r="A253" s="20" t="s">
        <v>140</v>
      </c>
    </row>
    <row r="254" spans="1:1" ht="20.100000000000001" customHeight="1" x14ac:dyDescent="0.25">
      <c r="A254" s="20" t="s">
        <v>141</v>
      </c>
    </row>
    <row r="255" spans="1:1" ht="20.100000000000001" customHeight="1" x14ac:dyDescent="0.25">
      <c r="A255" s="24" t="s">
        <v>142</v>
      </c>
    </row>
    <row r="256" spans="1:1" ht="20.100000000000001" customHeight="1" x14ac:dyDescent="0.25">
      <c r="A256" s="24" t="s">
        <v>143</v>
      </c>
    </row>
    <row r="257" spans="1:1" ht="20.100000000000001" customHeight="1" x14ac:dyDescent="0.25">
      <c r="A257" s="25" t="s">
        <v>144</v>
      </c>
    </row>
    <row r="258" spans="1:1" ht="20.100000000000001" customHeight="1" x14ac:dyDescent="0.25">
      <c r="A258" s="20" t="s">
        <v>145</v>
      </c>
    </row>
    <row r="259" spans="1:1" ht="20.100000000000001" customHeight="1" x14ac:dyDescent="0.25">
      <c r="A259" s="25" t="s">
        <v>146</v>
      </c>
    </row>
    <row r="260" spans="1:1" ht="20.100000000000001" customHeight="1" x14ac:dyDescent="0.25">
      <c r="A260" s="20" t="s">
        <v>147</v>
      </c>
    </row>
    <row r="261" spans="1:1" ht="20.100000000000001" customHeight="1" x14ac:dyDescent="0.25">
      <c r="A261" s="25" t="s">
        <v>148</v>
      </c>
    </row>
    <row r="262" spans="1:1" ht="20.100000000000001" customHeight="1" x14ac:dyDescent="0.25">
      <c r="A262" s="20" t="s">
        <v>149</v>
      </c>
    </row>
    <row r="263" spans="1:1" ht="20.100000000000001" customHeight="1" x14ac:dyDescent="0.25">
      <c r="A263" s="20" t="s">
        <v>150</v>
      </c>
    </row>
    <row r="264" spans="1:1" ht="20.100000000000001" customHeight="1" x14ac:dyDescent="0.25">
      <c r="A264" s="25" t="s">
        <v>151</v>
      </c>
    </row>
    <row r="265" spans="1:1" ht="20.100000000000001" customHeight="1" x14ac:dyDescent="0.25">
      <c r="A265" s="25" t="s">
        <v>152</v>
      </c>
    </row>
    <row r="266" spans="1:1" ht="20.100000000000001" customHeight="1" x14ac:dyDescent="0.25">
      <c r="A266" s="25" t="s">
        <v>153</v>
      </c>
    </row>
    <row r="267" spans="1:1" ht="20.100000000000001" customHeight="1" x14ac:dyDescent="0.25">
      <c r="A267" s="20" t="s">
        <v>154</v>
      </c>
    </row>
    <row r="268" spans="1:1" ht="20.100000000000001" customHeight="1" x14ac:dyDescent="0.25">
      <c r="A268" s="20" t="s">
        <v>155</v>
      </c>
    </row>
    <row r="269" spans="1:1" ht="20.100000000000001" customHeight="1" x14ac:dyDescent="0.25">
      <c r="A269" s="20" t="s">
        <v>156</v>
      </c>
    </row>
    <row r="270" spans="1:1" ht="20.100000000000001" customHeight="1" x14ac:dyDescent="0.25">
      <c r="A270" s="20" t="s">
        <v>157</v>
      </c>
    </row>
    <row r="271" spans="1:1" ht="20.100000000000001" customHeight="1" x14ac:dyDescent="0.25">
      <c r="A271" s="25" t="s">
        <v>158</v>
      </c>
    </row>
    <row r="272" spans="1:1" ht="20.100000000000001" customHeight="1" x14ac:dyDescent="0.25">
      <c r="A272" s="25" t="s">
        <v>159</v>
      </c>
    </row>
    <row r="273" spans="1:1" ht="20.100000000000001" customHeight="1" x14ac:dyDescent="0.25">
      <c r="A273" s="20" t="s">
        <v>160</v>
      </c>
    </row>
    <row r="274" spans="1:1" ht="20.100000000000001" customHeight="1" x14ac:dyDescent="0.25">
      <c r="A274" s="25" t="s">
        <v>161</v>
      </c>
    </row>
    <row r="275" spans="1:1" ht="20.100000000000001" customHeight="1" x14ac:dyDescent="0.25">
      <c r="A275" s="25" t="s">
        <v>162</v>
      </c>
    </row>
    <row r="276" spans="1:1" ht="20.100000000000001" customHeight="1" x14ac:dyDescent="0.25">
      <c r="A276" s="20" t="s">
        <v>163</v>
      </c>
    </row>
    <row r="277" spans="1:1" ht="20.100000000000001" customHeight="1" x14ac:dyDescent="0.25">
      <c r="A277" s="20" t="s">
        <v>164</v>
      </c>
    </row>
    <row r="278" spans="1:1" ht="20.100000000000001" customHeight="1" x14ac:dyDescent="0.25">
      <c r="A278" s="25" t="s">
        <v>165</v>
      </c>
    </row>
    <row r="279" spans="1:1" ht="20.100000000000001" customHeight="1" x14ac:dyDescent="0.25">
      <c r="A279" s="20" t="s">
        <v>166</v>
      </c>
    </row>
    <row r="280" spans="1:1" ht="20.100000000000001" customHeight="1" x14ac:dyDescent="0.25">
      <c r="A280" s="20" t="s">
        <v>167</v>
      </c>
    </row>
    <row r="281" spans="1:1" ht="20.100000000000001" customHeight="1" x14ac:dyDescent="0.25">
      <c r="A281" s="20" t="s">
        <v>168</v>
      </c>
    </row>
    <row r="282" spans="1:1" ht="20.100000000000001" customHeight="1" x14ac:dyDescent="0.25">
      <c r="A282" s="20" t="s">
        <v>169</v>
      </c>
    </row>
    <row r="283" spans="1:1" ht="20.100000000000001" customHeight="1" x14ac:dyDescent="0.25">
      <c r="A283" s="25" t="s">
        <v>170</v>
      </c>
    </row>
    <row r="284" spans="1:1" ht="20.100000000000001" customHeight="1" x14ac:dyDescent="0.25">
      <c r="A284" s="25" t="s">
        <v>171</v>
      </c>
    </row>
    <row r="285" spans="1:1" ht="20.100000000000001" customHeight="1" x14ac:dyDescent="0.25">
      <c r="A285" s="25" t="s">
        <v>172</v>
      </c>
    </row>
    <row r="286" spans="1:1" ht="20.100000000000001" customHeight="1" thickBot="1" x14ac:dyDescent="0.3">
      <c r="A286" s="20" t="s">
        <v>173</v>
      </c>
    </row>
    <row r="287" spans="1:1" ht="20.100000000000001" customHeight="1" thickBot="1" x14ac:dyDescent="0.3">
      <c r="A287" s="2" t="s">
        <v>58</v>
      </c>
    </row>
    <row r="288" spans="1:1" ht="20.100000000000001" customHeight="1" thickBot="1" x14ac:dyDescent="0.3">
      <c r="A288" s="2" t="s">
        <v>58</v>
      </c>
    </row>
    <row r="289" spans="1:1" ht="20.100000000000001" customHeight="1" thickBot="1" x14ac:dyDescent="0.3">
      <c r="A289" s="2" t="s">
        <v>58</v>
      </c>
    </row>
    <row r="290" spans="1:1" ht="20.100000000000001" customHeight="1" thickBot="1" x14ac:dyDescent="0.3">
      <c r="A290" s="2" t="s">
        <v>58</v>
      </c>
    </row>
    <row r="291" spans="1:1" ht="20.100000000000001" customHeight="1" thickBot="1" x14ac:dyDescent="0.3">
      <c r="A291" s="2" t="s">
        <v>58</v>
      </c>
    </row>
    <row r="292" spans="1:1" ht="20.100000000000001" customHeight="1" thickBot="1" x14ac:dyDescent="0.3">
      <c r="A292" s="2" t="s">
        <v>58</v>
      </c>
    </row>
    <row r="293" spans="1:1" ht="20.100000000000001" customHeight="1" thickBot="1" x14ac:dyDescent="0.3">
      <c r="A293" s="2" t="s">
        <v>58</v>
      </c>
    </row>
    <row r="294" spans="1:1" ht="20.100000000000001" customHeight="1" thickBot="1" x14ac:dyDescent="0.3">
      <c r="A294" s="2" t="s">
        <v>58</v>
      </c>
    </row>
    <row r="295" spans="1:1" ht="20.100000000000001" customHeight="1" thickBot="1" x14ac:dyDescent="0.3">
      <c r="A295" s="2" t="s">
        <v>58</v>
      </c>
    </row>
    <row r="296" spans="1:1" ht="20.100000000000001" customHeight="1" thickBot="1" x14ac:dyDescent="0.3">
      <c r="A296" s="2" t="s">
        <v>58</v>
      </c>
    </row>
    <row r="297" spans="1:1" ht="20.100000000000001" customHeight="1" thickBot="1" x14ac:dyDescent="0.3">
      <c r="A297" s="2" t="s">
        <v>58</v>
      </c>
    </row>
    <row r="298" spans="1:1" ht="20.100000000000001" customHeight="1" thickBot="1" x14ac:dyDescent="0.3">
      <c r="A298" s="2" t="s">
        <v>58</v>
      </c>
    </row>
    <row r="299" spans="1:1" ht="20.100000000000001" customHeight="1" thickBot="1" x14ac:dyDescent="0.3">
      <c r="A299" s="2" t="s">
        <v>58</v>
      </c>
    </row>
    <row r="300" spans="1:1" ht="20.100000000000001" customHeight="1" thickBot="1" x14ac:dyDescent="0.3">
      <c r="A300" s="2" t="s">
        <v>58</v>
      </c>
    </row>
    <row r="301" spans="1:1" ht="20.100000000000001" customHeight="1" thickBot="1" x14ac:dyDescent="0.3">
      <c r="A301" s="2" t="s">
        <v>58</v>
      </c>
    </row>
    <row r="302" spans="1:1" ht="20.100000000000001" customHeight="1" thickBot="1" x14ac:dyDescent="0.3">
      <c r="A302" s="2" t="s">
        <v>58</v>
      </c>
    </row>
    <row r="303" spans="1:1" ht="20.100000000000001" customHeight="1" thickBot="1" x14ac:dyDescent="0.3">
      <c r="A303" s="2" t="s">
        <v>58</v>
      </c>
    </row>
    <row r="304" spans="1:1" ht="20.100000000000001" customHeight="1" thickBot="1" x14ac:dyDescent="0.3">
      <c r="A304" s="2" t="s">
        <v>58</v>
      </c>
    </row>
    <row r="305" spans="1:1" ht="20.100000000000001" customHeight="1" thickBot="1" x14ac:dyDescent="0.3">
      <c r="A305" s="2" t="s">
        <v>58</v>
      </c>
    </row>
    <row r="306" spans="1:1" ht="20.100000000000001" customHeight="1" thickBot="1" x14ac:dyDescent="0.3">
      <c r="A306" s="2" t="s">
        <v>58</v>
      </c>
    </row>
    <row r="307" spans="1:1" ht="20.100000000000001" customHeight="1" thickBot="1" x14ac:dyDescent="0.3">
      <c r="A307" s="2" t="s">
        <v>58</v>
      </c>
    </row>
    <row r="308" spans="1:1" ht="20.100000000000001" customHeight="1" thickBot="1" x14ac:dyDescent="0.3">
      <c r="A308" s="2" t="s">
        <v>58</v>
      </c>
    </row>
    <row r="309" spans="1:1" ht="20.100000000000001" customHeight="1" thickBot="1" x14ac:dyDescent="0.3">
      <c r="A309" s="2" t="s">
        <v>58</v>
      </c>
    </row>
    <row r="310" spans="1:1" ht="20.100000000000001" customHeight="1" thickBot="1" x14ac:dyDescent="0.3">
      <c r="A310" s="2" t="s">
        <v>58</v>
      </c>
    </row>
    <row r="311" spans="1:1" ht="20.100000000000001" customHeight="1" thickBot="1" x14ac:dyDescent="0.3">
      <c r="A311" s="2" t="s">
        <v>58</v>
      </c>
    </row>
    <row r="312" spans="1:1" ht="20.100000000000001" customHeight="1" thickBot="1" x14ac:dyDescent="0.3">
      <c r="A312" s="2" t="s">
        <v>58</v>
      </c>
    </row>
    <row r="313" spans="1:1" ht="20.100000000000001" customHeight="1" thickBot="1" x14ac:dyDescent="0.3">
      <c r="A313" s="2" t="s">
        <v>58</v>
      </c>
    </row>
    <row r="314" spans="1:1" ht="20.100000000000001" customHeight="1" thickBot="1" x14ac:dyDescent="0.3">
      <c r="A314" s="2" t="s">
        <v>58</v>
      </c>
    </row>
    <row r="315" spans="1:1" ht="20.100000000000001" customHeight="1" thickBot="1" x14ac:dyDescent="0.3">
      <c r="A315" s="2" t="s">
        <v>58</v>
      </c>
    </row>
    <row r="316" spans="1:1" ht="20.100000000000001" customHeight="1" thickBot="1" x14ac:dyDescent="0.3">
      <c r="A316" s="2" t="s">
        <v>58</v>
      </c>
    </row>
    <row r="317" spans="1:1" ht="20.100000000000001" customHeight="1" thickBot="1" x14ac:dyDescent="0.3">
      <c r="A317" s="2" t="s">
        <v>58</v>
      </c>
    </row>
    <row r="318" spans="1:1" ht="20.100000000000001" customHeight="1" thickBot="1" x14ac:dyDescent="0.3">
      <c r="A318" s="2" t="s">
        <v>58</v>
      </c>
    </row>
    <row r="319" spans="1:1" ht="20.100000000000001" customHeight="1" thickBot="1" x14ac:dyDescent="0.3">
      <c r="A319" s="2" t="s">
        <v>58</v>
      </c>
    </row>
    <row r="320" spans="1:1" ht="20.100000000000001" customHeight="1" thickBot="1" x14ac:dyDescent="0.3">
      <c r="A320" s="2" t="s">
        <v>58</v>
      </c>
    </row>
    <row r="321" spans="1:1" ht="20.100000000000001" customHeight="1" thickBot="1" x14ac:dyDescent="0.3">
      <c r="A321" s="2" t="s">
        <v>58</v>
      </c>
    </row>
    <row r="322" spans="1:1" ht="20.100000000000001" customHeight="1" thickBot="1" x14ac:dyDescent="0.3">
      <c r="A322" s="2" t="s">
        <v>58</v>
      </c>
    </row>
    <row r="323" spans="1:1" ht="20.100000000000001" customHeight="1" thickBot="1" x14ac:dyDescent="0.3">
      <c r="A323" s="2" t="s">
        <v>58</v>
      </c>
    </row>
    <row r="324" spans="1:1" ht="20.100000000000001" customHeight="1" thickBot="1" x14ac:dyDescent="0.3">
      <c r="A324" s="2" t="s">
        <v>58</v>
      </c>
    </row>
    <row r="325" spans="1:1" ht="20.100000000000001" customHeight="1" thickBot="1" x14ac:dyDescent="0.3">
      <c r="A325" s="2" t="s">
        <v>58</v>
      </c>
    </row>
    <row r="326" spans="1:1" ht="20.100000000000001" customHeight="1" thickBot="1" x14ac:dyDescent="0.3">
      <c r="A326" s="2" t="s">
        <v>58</v>
      </c>
    </row>
    <row r="327" spans="1:1" ht="20.100000000000001" customHeight="1" thickBot="1" x14ac:dyDescent="0.3">
      <c r="A327" s="2" t="s">
        <v>58</v>
      </c>
    </row>
    <row r="328" spans="1:1" ht="20.100000000000001" customHeight="1" thickBot="1" x14ac:dyDescent="0.3">
      <c r="A328" s="2" t="s">
        <v>58</v>
      </c>
    </row>
    <row r="329" spans="1:1" ht="20.100000000000001" customHeight="1" thickBot="1" x14ac:dyDescent="0.3">
      <c r="A329" s="2" t="s">
        <v>58</v>
      </c>
    </row>
    <row r="330" spans="1:1" ht="20.100000000000001" customHeight="1" thickBot="1" x14ac:dyDescent="0.3">
      <c r="A330" s="2" t="s">
        <v>58</v>
      </c>
    </row>
    <row r="331" spans="1:1" ht="20.100000000000001" customHeight="1" thickBot="1" x14ac:dyDescent="0.3">
      <c r="A331" s="2" t="s">
        <v>58</v>
      </c>
    </row>
    <row r="332" spans="1:1" ht="20.100000000000001" customHeight="1" thickBot="1" x14ac:dyDescent="0.3">
      <c r="A332" s="2" t="s">
        <v>58</v>
      </c>
    </row>
    <row r="333" spans="1:1" ht="20.100000000000001" customHeight="1" thickBot="1" x14ac:dyDescent="0.3">
      <c r="A333" s="2" t="s">
        <v>58</v>
      </c>
    </row>
    <row r="334" spans="1:1" ht="20.100000000000001" customHeight="1" thickBot="1" x14ac:dyDescent="0.3">
      <c r="A334" s="2" t="s">
        <v>58</v>
      </c>
    </row>
    <row r="335" spans="1:1" ht="20.100000000000001" customHeight="1" thickBot="1" x14ac:dyDescent="0.3">
      <c r="A335" s="2" t="s">
        <v>58</v>
      </c>
    </row>
    <row r="336" spans="1:1" ht="20.100000000000001" customHeight="1" thickBot="1" x14ac:dyDescent="0.3">
      <c r="A336" s="2" t="s">
        <v>58</v>
      </c>
    </row>
    <row r="337" spans="1:1" ht="20.100000000000001" customHeight="1" thickBot="1" x14ac:dyDescent="0.3">
      <c r="A337" s="2" t="s">
        <v>58</v>
      </c>
    </row>
    <row r="338" spans="1:1" ht="20.100000000000001" customHeight="1" thickBot="1" x14ac:dyDescent="0.3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2025-09-30T05:28:14Z</dcterms:modified>
</cp:coreProperties>
</file>