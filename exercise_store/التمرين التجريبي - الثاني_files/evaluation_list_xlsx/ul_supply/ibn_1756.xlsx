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7CBCA2D-4EB0-451D-8ECC-A4AD2D9F36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F34" i="2"/>
  <c r="E35" i="2" s="1"/>
  <c r="E36" i="2" s="1"/>
  <c r="E34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<sst xmlns="http://schemas.openxmlformats.org/spreadsheetml/2006/main" count="264" uniqueCount="208">
  <si>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</si>
  <si>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</si>
  <si>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</si>
  <si>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</si>
  <si>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</si>
  <si>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</si>
  <si>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</si>
  <si>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</si>
  <si>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</si>
  <si>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</si>
  <si>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</si>
  <si>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</si>
  <si>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</si>
  <si>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</si>
  <si>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</si>
  <si>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</si>
  <si>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</si>
  <si>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</si>
  <si>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</si>
  <si>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</si>
  <si>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</si>
  <si>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</si>
  <si>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</si>
  <si>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</si>
  <si>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</si>
  <si>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</si>
  <si>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</si>
  <si>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</si>
  <si>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</si>
  <si>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</si>
  <si>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</si>
  <si>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</si>
  <si>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</si>
  <si>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</si>
  <si>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</si>
  <si>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</si>
  <si>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</si>
  <si>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</si>
  <si>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</si>
  <si>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</si>
  <si>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</si>
  <si>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</si>
  <si>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</si>
  <si>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</si>
  <si>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</si>
  <si>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</si>
  <si>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</si>
  <si>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</si>
  <si>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</si>
  <si>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</si>
  <si>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</si>
  <si>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</si>
  <si>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</si>
  <si>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</si>
  <si>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</si>
  <si>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</si>
  <si>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</si>
  <si>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</si>
  <si>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</si>
  <si>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</si>
  <si>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</si>
  <si>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</si>
  <si>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</si>
  <si>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</si>
  <si>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</si>
  <si>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</si>
  <si>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</si>
  <si>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</si>
  <si>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</si>
  <si>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</si>
  <si>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</si>
  <si>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</si>
  <si>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</si>
  <si>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</si>
  <si>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</si>
  <si>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</si>
  <si>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</si>
  <si>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</si>
  <si>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</si>
  <si>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</si>
  <si>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</si>
  <si>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</si>
  <si>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</si>
  <si>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</si>
  <si>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</si>
  <si>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</si>
  <si>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</si>
  <si>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</si>
  <si>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</si>
  <si>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</si>
  <si>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</si>
  <si>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</si>
  <si>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</si>
  <si>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</si>
  <si>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</si>
  <si>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</si>
  <si>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</si>
  <si>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</si>
  <si>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</si>
  <si>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</si>
  <si>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</si>
  <si>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</si>
  <si>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</si>
  <si>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</si>
  <si>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</si>
  <si>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</si>
  <si>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</si>
  <si>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</si>
  <si>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</si>
  <si>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</si>
  <si>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</si>
  <si>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</si>
  <si>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</si>
  <si>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</si>
  <si>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</si>
  <si>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</si>
  <si>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</si>
  <si>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</si>
  <si>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</si>
  <si>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</si>
  <si>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</si>
  <si>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</si>
  <si>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</si>
  <si>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</si>
  <si>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</si>
  <si>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</si>
  <si>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</si>
  <si>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</si>
  <si>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</si>
  <si>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</si>
  <si>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</si>
  <si>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</si>
  <si>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</si>
  <si>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</si>
  <si>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</si>
  <si>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</si>
  <si>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</si>
  <si>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</si>
  <si>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</si>
  <si>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</si>
  <si>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</si>
  <si>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</si>
  <si>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</si>
  <si>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</si>
  <si>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</si>
  <si>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</si>
  <si>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</si>
  <si>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</si>
  <si>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</si>
  <si>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</si>
  <si>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</si>
  <si>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</si>
  <si>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</si>
  <si>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</si>
  <si>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</si>
  <si>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</si>
  <si>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</si>
  <si>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</si>
  <si>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</si>
  <si>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</si>
  <si>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</si>
  <si>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</si>
  <si>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</si>
  <si>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</si>
  <si>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</si>
  <si>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</si>
  <si>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</si>
  <si>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</si>
  <si>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</si>
  <si>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</si>
  <si>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</si>
  <si>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</si>
  <si>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</si>
  <si>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</si>
  <si>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</si>
  <si>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</si>
  <si>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</si>
  <si>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</si>
  <si>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</si>
  <si>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</si>
  <si>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التعبوي لسرية التزويد والنقل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</si>
  <si>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تهيئة وتحضير السرية للحركة وإصدار أمر التنقل.</t>
    </r>
  </si>
  <si>
    <r>
      <t xml:space="preserve">أ. </t>
    </r>
    <r>
      <rPr>
        <b/>
        <sz val="12"/>
        <color rgb="FF000000"/>
        <rFont val="Arial"/>
        <family val="2"/>
      </rPr>
      <t>توفر خطة الاسناد الإداري</t>
    </r>
    <r>
      <rPr>
        <sz val="12"/>
        <color rgb="FF000000"/>
        <rFont val="Arial"/>
        <family val="2"/>
      </rPr>
      <t>.</t>
    </r>
  </si>
  <si>
    <r>
      <t xml:space="preserve">ب. </t>
    </r>
    <r>
      <rPr>
        <b/>
        <sz val="12"/>
        <color rgb="FF000000"/>
        <rFont val="Arial"/>
        <family val="2"/>
      </rPr>
      <t>أمر التنقل</t>
    </r>
    <r>
      <rPr>
        <sz val="12"/>
        <color rgb="FF000000"/>
        <rFont val="Arial"/>
        <family val="2"/>
      </rPr>
      <t>.</t>
    </r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</si>
  <si>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 المسير التعبوي ونقاط التفقد.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</si>
  <si>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 المسير البديل.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</si>
  <si>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موقع نقطة التجمع عند الوصول.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</si>
  <si>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توقيتات الحركة.</t>
    </r>
  </si>
  <si>
    <r>
      <t>(5)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تنظيم القافلة.</t>
    </r>
  </si>
  <si>
    <r>
      <t>(6)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سرعة القافلة.</t>
    </r>
  </si>
  <si>
    <r>
      <t>(7)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المسافات الفاصلة بين الآليات.</t>
    </r>
  </si>
  <si>
    <r>
      <t>(8)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الإمداد / التوقف للاستراحة.</t>
    </r>
  </si>
  <si>
    <r>
      <t xml:space="preserve">جـ. </t>
    </r>
    <r>
      <rPr>
        <b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</si>
  <si>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تجهيز الخرائط وأوامر الحركة وتفقدات ما قبل الحركة.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</si>
  <si>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إصدار الأوامر والخرائط والشفافات وتدريب الوحدة عليها.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</si>
  <si>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صهاريج المياه.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</si>
  <si>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صهاريج الوقود.</t>
    </r>
  </si>
  <si>
    <r>
      <t>(5)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آليات نقل الذخيرة الخط الثالث.</t>
    </r>
  </si>
  <si>
    <r>
      <t>(6)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أجهزة اللاسلكي.</t>
    </r>
  </si>
  <si>
    <r>
      <t>(7)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استكمال الطاقم الاداري المؤهل بالنسبة لعدد الآليات.</t>
    </r>
  </si>
  <si>
    <r>
      <t>(8)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الأسلحة الشخصية والخوذة والبيكات.</t>
    </r>
  </si>
  <si>
    <r>
      <t>2.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التعبوي.</t>
    </r>
  </si>
  <si>
    <t>أ. عبور نقطة البدء على التوقيت المحدد.</t>
  </si>
  <si>
    <t>ب. توفر المناظير الليلية.</t>
  </si>
  <si>
    <t>جـ. الحفاظ على السرعة المحددة.</t>
  </si>
  <si>
    <t>د. الحفاظ على المسافات الفاصلة.</t>
  </si>
  <si>
    <t>هـ. تمركز القائد مناسب لتحقيق أفضل سيطرة على الوحدة.</t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</si>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</sst>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25" xfId="0" applyFont="1" applyBorder="1" applyAlignment="1">
      <alignment horizontal="right" vertical="center" wrapText="1" readingOrder="2"/>
    </xf>
    <xf numFmtId="0" fontId="2" fillId="0" borderId="26" xfId="0" applyFont="1" applyBorder="1" applyAlignment="1">
      <alignment horizontal="right" vertical="center" wrapText="1" readingOrder="2"/>
    </xf>
    <xf numFmtId="0" fontId="2" fillId="0" borderId="27" xfId="0" applyFont="1" applyBorder="1" applyAlignment="1">
      <alignment horizontal="right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4" readingOrder="2"/>
    </xf>
    <xf numFmtId="0" fontId="12" fillId="0" borderId="1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50237</xdr:colOff>
      <xdr:row>37</xdr:row>
      <xdr:rowOff>60773</xdr:rowOff>
    </xdr:from>
    <xdr:to>
      <xdr:col>8</xdr:col>
      <xdr:colOff>214397</xdr:colOff>
      <xdr:row>37</xdr:row>
      <xdr:rowOff>155453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439C11-90F1-2772-D77B-D184EF78EEF8}"/>
                </a:ext>
              </a:extLst>
            </xdr14:cNvPr>
            <xdr14:cNvContentPartPr/>
          </xdr14:nvContentPartPr>
          <xdr14:nvPr macro=""/>
          <xdr14:xfrm>
            <a:off x="10399030509" y="14296320"/>
            <a:ext cx="164160" cy="94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0439C11-90F1-2772-D77B-D184EF78EE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67869" y="14233680"/>
              <a:ext cx="28980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307277</xdr:colOff>
      <xdr:row>37</xdr:row>
      <xdr:rowOff>272813</xdr:rowOff>
    </xdr:from>
    <xdr:to>
      <xdr:col>8</xdr:col>
      <xdr:colOff>348677</xdr:colOff>
      <xdr:row>37</xdr:row>
      <xdr:rowOff>294773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5A5E06F-7756-1CDB-4ADE-02879071358D}"/>
                </a:ext>
              </a:extLst>
            </xdr14:cNvPr>
            <xdr14:cNvContentPartPr/>
          </xdr14:nvContentPartPr>
          <xdr14:nvPr macro=""/>
          <xdr14:xfrm>
            <a:off x="10398896229" y="14508360"/>
            <a:ext cx="41400" cy="219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5A5E06F-7756-1CDB-4ADE-02879071358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33589" y="14445360"/>
              <a:ext cx="1670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251117</xdr:colOff>
      <xdr:row>37</xdr:row>
      <xdr:rowOff>137453</xdr:rowOff>
    </xdr:from>
    <xdr:to>
      <xdr:col>8</xdr:col>
      <xdr:colOff>315557</xdr:colOff>
      <xdr:row>37</xdr:row>
      <xdr:rowOff>177773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AAA309A-ABD7-A46C-BF41-43F7755C7D97}"/>
                </a:ext>
              </a:extLst>
            </xdr14:cNvPr>
            <xdr14:cNvContentPartPr/>
          </xdr14:nvContentPartPr>
          <xdr14:nvPr macro=""/>
          <xdr14:xfrm>
            <a:off x="10398929349" y="14373000"/>
            <a:ext cx="64440" cy="40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AAA309A-ABD7-A46C-BF41-43F7755C7D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66349" y="14310360"/>
              <a:ext cx="1900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507451</xdr:colOff>
      <xdr:row>37</xdr:row>
      <xdr:rowOff>53573</xdr:rowOff>
    </xdr:from>
    <xdr:to>
      <xdr:col>9</xdr:col>
      <xdr:colOff>410947</xdr:colOff>
      <xdr:row>38</xdr:row>
      <xdr:rowOff>169870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21123B7-8882-ACF3-1EF2-077160FAA75A}"/>
                </a:ext>
              </a:extLst>
            </xdr14:cNvPr>
            <xdr14:cNvContentPartPr/>
          </xdr14:nvContentPartPr>
          <xdr14:nvPr macro=""/>
          <xdr14:xfrm>
            <a:off x="10398175869" y="14289120"/>
            <a:ext cx="1219680" cy="762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21123B7-8882-ACF3-1EF2-077160FAA75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113229" y="14226480"/>
              <a:ext cx="1345320" cy="88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438711</xdr:colOff>
      <xdr:row>36</xdr:row>
      <xdr:rowOff>522387</xdr:rowOff>
    </xdr:from>
    <xdr:to>
      <xdr:col>10</xdr:col>
      <xdr:colOff>17931</xdr:colOff>
      <xdr:row>42</xdr:row>
      <xdr:rowOff>12257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F71442D-E912-8488-D0B1-3D334BC0F37E}"/>
                </a:ext>
              </a:extLst>
            </xdr14:cNvPr>
            <xdr14:cNvContentPartPr/>
          </xdr14:nvContentPartPr>
          <xdr14:nvPr macro=""/>
          <xdr14:xfrm>
            <a:off x="10397472069" y="14226840"/>
            <a:ext cx="3308400" cy="1452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F71442D-E912-8488-D0B1-3D334BC0F37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7409069" y="14163840"/>
              <a:ext cx="3434040" cy="157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9:39.214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169 262 5369,'0'0'0,"-41"-57"1192,-4 0-1064,-4-2-64,49 59-64,-21-34 48,16 31-40,3-3 8,-3 3 16,5 3-32,0-5 0,7-4 8,0 3-56,34 1-56,-41 5 104,43-6-56,13 0-24,11 3-16,10 1-504,-77 2 600,75 0-1753,6 0-543,-81 0 2296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9:39.866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114 60 24,'0'0'0,"0"0"0,-26-6 24,-1-2-8,-2-4-16,3 1-8,26 11 8,-3-12-32,1 1 16,2 11 16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9:40.227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0 112 24,'0'0'0,"5"-6"40,5 3 24,-10 3-64,7-8 72,15 2 0,-22 3-24,0 0 0,0 0-16,0 3-32,0-2 24,7-1 0,-7 0-32,5 0 16,-5 3-8,7-3 8,0-2 8,0-1-8,-2 3-8,-5 3 0,7-6-8,1 3 0,-1-2 8,0-1-24,-7 6 24,7-6-32,0-2-32,1 5-16,-1-3-32,-7 6 112,24-2-64,-17-1 24,0 0 0,-7 3 40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9:41.540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2478 348 272,'0'0'0,"0"-9"304,-2-17 128,2 26-432,-3-11 312,1-17 16,0 25 168,2 0 128,0 3-624,0-6 728,0-2 88,4-1-175,6-2-169,-10 11-472,7-12 296,0 1-168,3 0-96,0 2-72,-10 9 40,7-23-16,0 21-8,20-7 40,-20-2-40,-7 11 24,21-12-16,-16 4 16,24-1 0,-19-2 16,-10 11-16,31-9 0,-5 1-16,-4-1 8,7 1-8,-29 8 16,29-9-40,0 1 8,7-1 16,0 1 16,-36 8 0,41-12 0,-3 4 0,3-1-8,-2 4-24,-39 5 32,43-3-8,-5 3 0,3 5-8,0 18-24,-41-23 40,39 23-64,-3 8-56,2 6-64,-9 9-72,-29-46 256,27 51-281,-20 3-39,14 5 0,-21 1 88,0-60 232,0 63-280,0-1 8,-4-2 0,-25 0-8,29-60 280,-34 54-160,-7 0 96,-2-3 96,-5-3 0,48-48-32,-56 43 16,-1-6-24,4-9 0,2-19-8,51-9 16,-55 25-8,4-25 0,-4 0-8,2 0 8,53 0 8,-43-22 56,7-7 24,9-8 72,6-8 16,21 45-168,-10-51 160,3-9-16,-3-3-40,8-5 0,2 68-104,0-74 72,24 3-40,-2-3 0,-1 6-8,-21 68-24,24-63 32,3 7 8,-6 7-8,6 9 0,-27 40-32,7-31 8,22 20 0,-24-1-8,4 4 0,-9 8 0,5-3 16,-5 3-32,7 6-16,-7 2 32,0-8 0,0 29-32,-2-7 0,-8 4 8,-16 8-16,26-34 40,-24 37-48,-7 3 40,-5 0 32,-5-1-48,41-39 24,-46 43 8,0-6-40,-2 3-24,0-3 56,48-37 0,-43 34-32,2 0 24,-5-3 16,8-2-8,38-29 0,-46 25-8,5-2 0,-5-14-8,-2 22-16,48-31 32,-38 6-32,-3 16 40,2-16-8,-6 17 0,45-23 0,-46 0 0,5 8-16,5-2 8,5 0 24,31-6-16,-32 0 32,-1 5-16,6-5 16,-4 6-16,31-6-16,-10 0 16,-16 6-16,21-1 8,-4 1-8,9-6 0,-8 9-16,-1 16 48,-1-16-40,3 28 16,7-37-8,-7 34 8,-5 0-40,2 3 32,-2 3 8,12-40-8,-12 37 0,2-6-8,-2-3-8,-14-2-8,26-26 24,-7 23-8,-20-15-8,6 23 24,9-22 0,12-9-8,-32 28 0,8-22 32,-2 17-16,-1-17-16,27-6 0,-29 8 0,3 1 16,-3-1-24,-2-2 16,31-6-8,-22 0 0,10 0 32,-22 0-16,27 0-8,7 0-8,-29-3 16,17-3-48,3 1 16,-20 2 0,29 3 16,-3-3 8,-6 0 16,2 3-16,-3 0 0,10 0-8,-10 0 0,-2 6-8,3-1 32,-15 18-40,24-23 16,-10 9-8,-21 22 24,0 0-8,2 1 24,29-32-32,-36 39 16,-5 4 16,-5 0-32,3-4-16,43-39 16,-51 40-32,8 0 0,-5 0 48,7 3-8,41-43-8,-43 36 8,4-1-8,1-4-16,2-6 0,36-25 16,-32 26 16,1-3-16,0 0-32,2-15-8,29-8 40,-27 31-48,-4-22-192,0 16-248,0-16-176,31-9 664,-34 26-608,-7-4-112,-2 7 208,43-29 512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9:42.252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1229 2084 3176,'0'0'0,"-7"-28"1569,-24 2-657,0-5-472,31 31-440,-27-11 112,3-1-48,14 6-24,3 4 32,7 2-72,-7 0 72,-3 0-40,8 0 40,-3 5-72,5-5 0,-9 9 32,1 14-32,-4-1-64,0 7 64,12-29 0,-29 40-16,22 8 8,-22 6-8,5 6-8,24-60 24,-36 65-64,-2 3 0,-10 3 40,2 0-8,46-71 32,-46 74-40,-7 0 8,-2 6 32,-5-3-24,60-77 24,-65 79 16,2 4 0,-4-4-56,-3 1 16,70-80 24,-60 77 0,7-6-32,5 0 40,7-3 16,41-68-24,-36 68-8,7-2 40,17-4-64,0 1 24,12-63 8,0 59-80,0-2-48,34-6-136,2-2-160,-36-49 424,46 42-520,16-5-177,10-8 113,25-23 24,-97-6 560,115 0-504,27-32 144,26-25 112,30-34 72,-198 91 176,223-125-80,25-37-8,29-31-8,26-29 0,-303 222 96,336-239-40,32-19 48,27-7-8,9-2 8,-404 267-8,419-267 0,-1 11-24,5 9-16,-9 16 8,-414 231 32,404-213-48,-14 20 16,-27 22 40,-12 29 16,-351 142-24,318-117 24,-37 26 8,-28 23-16,-37 20-64,-216 48 48,200-26-16,-20 18-8,-11 2-8,-6 3 16,-163 3 16,164-3-96,9 1-32,2-7-160,16-14-32,-191 23 320,0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0" t="s">
        <v>8</v>
      </c>
      <c r="C2" s="71" t="s">
        <v>33</v>
      </c>
      <c r="D2" s="71"/>
      <c r="E2" s="10" t="s">
        <v>7</v>
      </c>
      <c r="F2" s="66">
        <v>45952</v>
      </c>
      <c r="G2" s="66"/>
      <c r="H2" s="66"/>
      <c r="I2" s="66"/>
      <c r="J2" s="66"/>
    </row>
    <row r="3" spans="1:10" ht="30" customHeight="1" x14ac:dyDescent="0.3">
      <c r="B3" s="10" t="s">
        <v>9</v>
      </c>
      <c r="C3" s="71" t="s">
        <v>60</v>
      </c>
      <c r="D3" s="71"/>
      <c r="E3" s="10" t="s">
        <v>6</v>
      </c>
      <c r="F3" s="71" t="s">
        <v>120</v>
      </c>
      <c r="G3" s="71"/>
      <c r="H3" s="71"/>
      <c r="I3" s="71"/>
      <c r="J3" s="71"/>
    </row>
    <row r="4" spans="1:10" ht="30" customHeight="1" thickBot="1" x14ac:dyDescent="0.35">
      <c r="B4" s="6"/>
      <c r="C4" s="76" t="s">
        <v>207</v>
      </c>
      <c r="D4" s="76"/>
      <c r="E4" s="6"/>
      <c r="F4" s="76"/>
      <c r="G4" s="76"/>
      <c r="H4" s="76"/>
      <c r="I4" s="76"/>
      <c r="J4" s="76"/>
    </row>
    <row r="5" spans="1:10" ht="24.9" customHeight="1" x14ac:dyDescent="0.3">
      <c r="A5" s="8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 x14ac:dyDescent="0.35">
      <c r="A6" s="8"/>
      <c r="B6" s="69"/>
      <c r="C6" s="70"/>
      <c r="D6" s="70"/>
      <c r="E6" s="9" t="s">
        <v>3</v>
      </c>
      <c r="F6" s="9" t="s">
        <v>4</v>
      </c>
      <c r="G6" s="9" t="s">
        <v>23</v>
      </c>
      <c r="H6" s="9" t="s">
        <v>24</v>
      </c>
      <c r="I6" s="74"/>
      <c r="J6" s="75"/>
    </row>
    <row r="7" spans="1:10" ht="24.9" customHeight="1" thickBot="1" x14ac:dyDescent="0.35">
      <c r="A7" s="8"/>
      <c r="B7" s="35" t="s">
        <v>21</v>
      </c>
      <c r="C7" s="36"/>
      <c r="D7" s="36"/>
      <c r="E7" s="26" t="s">
        <v>18</v>
      </c>
      <c r="F7" s="26" t="s">
        <v>19</v>
      </c>
      <c r="G7" s="26" t="s">
        <v>22</v>
      </c>
      <c r="H7" s="26" t="s">
        <v>20</v>
      </c>
      <c r="I7" s="77" t="s">
        <v>25</v>
      </c>
      <c r="J7" s="78"/>
    </row>
    <row r="8" spans="1:10" ht="30" customHeight="1" x14ac:dyDescent="0.3">
      <c r="A8" s="8"/>
      <c r="B8" s="43" t="s">
        <v>181</v>
      </c>
      <c r="C8" s="44"/>
      <c r="D8" s="44"/>
      <c r="E8" s="44"/>
      <c r="F8" s="44"/>
      <c r="G8" s="44"/>
      <c r="H8" s="44"/>
      <c r="I8" s="44"/>
      <c r="J8" s="45"/>
    </row>
    <row r="9" spans="1:10" ht="30" customHeight="1" x14ac:dyDescent="0.3">
      <c r="A9" s="8"/>
      <c r="B9" s="49" t="s">
        <v>182</v>
      </c>
      <c r="C9" s="50"/>
      <c r="D9" s="50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7"/>
      <c r="J9" s="38"/>
    </row>
    <row r="10" spans="1:10" ht="30" customHeight="1" x14ac:dyDescent="0.3">
      <c r="A10" s="8"/>
      <c r="B10" s="49" t="s">
        <v>183</v>
      </c>
      <c r="C10" s="50"/>
      <c r="D10" s="50"/>
      <c r="E10" s="7"/>
      <c r="F10" s="24"/>
      <c r="G10" s="28"/>
      <c r="H10" s="29"/>
      <c r="I10" s="37"/>
      <c r="J10" s="38"/>
    </row>
    <row r="11" spans="1:10" ht="30" customHeight="1" x14ac:dyDescent="0.3">
      <c r="A11" s="8"/>
      <c r="B11" s="33" t="s">
        <v>184</v>
      </c>
      <c r="C11" s="34"/>
      <c r="D11" s="34"/>
      <c r="E11" s="7">
        <v>5</v>
      </c>
      <c r="F11" s="24">
        <v>3.75</v>
      </c>
      <c r="G11" s="28">
        <f t="shared" ref="G11:G33" si="0">IFERROR(F11/E11,"")</f>
        <v>0.75</v>
      </c>
      <c r="H11" s="29" t="str">
        <f t="shared" ref="H11:H33" si="1">_xlfn.IFS(F11="أدخل العلامة","",F11="لا ينطبق","تم الإلغاء",G11&gt;=90%,"ممتاز",G11&gt;=80%,"جيد جداً",G11&gt;=70%,"جيد",G11&gt;=60%,"مقبول",G11&lt;60%,"راسب")</f>
        <v>جيد</v>
      </c>
      <c r="I11" s="37"/>
      <c r="J11" s="38"/>
    </row>
    <row r="12" spans="1:10" ht="30" customHeight="1" x14ac:dyDescent="0.3">
      <c r="A12" s="8"/>
      <c r="B12" s="33" t="s">
        <v>185</v>
      </c>
      <c r="C12" s="34"/>
      <c r="D12" s="34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37"/>
      <c r="J12" s="38"/>
    </row>
    <row r="13" spans="1:10" ht="30" customHeight="1" x14ac:dyDescent="0.3">
      <c r="A13" s="8"/>
      <c r="B13" s="33" t="s">
        <v>186</v>
      </c>
      <c r="C13" s="34"/>
      <c r="D13" s="34"/>
      <c r="E13" s="7">
        <v>5</v>
      </c>
      <c r="F13" s="24">
        <v>3.75</v>
      </c>
      <c r="G13" s="28">
        <f t="shared" si="0"/>
        <v>0.75</v>
      </c>
      <c r="H13" s="29" t="str">
        <f t="shared" si="1"/>
        <v>جيد</v>
      </c>
      <c r="I13" s="37"/>
      <c r="J13" s="38"/>
    </row>
    <row r="14" spans="1:10" ht="30" customHeight="1" x14ac:dyDescent="0.3">
      <c r="A14" s="8"/>
      <c r="B14" s="33" t="s">
        <v>187</v>
      </c>
      <c r="C14" s="34"/>
      <c r="D14" s="34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37"/>
      <c r="J14" s="38"/>
    </row>
    <row r="15" spans="1:10" ht="30" customHeight="1" x14ac:dyDescent="0.3">
      <c r="A15" s="8"/>
      <c r="B15" s="33" t="s">
        <v>188</v>
      </c>
      <c r="C15" s="34"/>
      <c r="D15" s="34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37"/>
      <c r="J15" s="38"/>
    </row>
    <row r="16" spans="1:10" ht="30" customHeight="1" x14ac:dyDescent="0.3">
      <c r="A16" s="8"/>
      <c r="B16" s="33" t="s">
        <v>189</v>
      </c>
      <c r="C16" s="34"/>
      <c r="D16" s="34"/>
      <c r="E16" s="7">
        <v>5</v>
      </c>
      <c r="F16" s="24">
        <v>3.5</v>
      </c>
      <c r="G16" s="28">
        <f t="shared" si="0"/>
        <v>0.7</v>
      </c>
      <c r="H16" s="29" t="str">
        <f t="shared" si="1"/>
        <v>جيد</v>
      </c>
      <c r="I16" s="37"/>
      <c r="J16" s="38"/>
    </row>
    <row r="17" spans="1:10" ht="30" customHeight="1" x14ac:dyDescent="0.3">
      <c r="A17" s="8"/>
      <c r="B17" s="33" t="s">
        <v>190</v>
      </c>
      <c r="C17" s="34"/>
      <c r="D17" s="34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37"/>
      <c r="J17" s="38"/>
    </row>
    <row r="18" spans="1:10" ht="30" customHeight="1" x14ac:dyDescent="0.3">
      <c r="A18" s="8"/>
      <c r="B18" s="33" t="s">
        <v>191</v>
      </c>
      <c r="C18" s="34"/>
      <c r="D18" s="34"/>
      <c r="E18" s="7">
        <v>5</v>
      </c>
      <c r="F18" s="24">
        <v>3.5</v>
      </c>
      <c r="G18" s="28">
        <f t="shared" si="0"/>
        <v>0.7</v>
      </c>
      <c r="H18" s="29" t="str">
        <f t="shared" si="1"/>
        <v>جيد</v>
      </c>
      <c r="I18" s="37"/>
      <c r="J18" s="38"/>
    </row>
    <row r="19" spans="1:10" ht="30" customHeight="1" x14ac:dyDescent="0.3">
      <c r="A19" s="8"/>
      <c r="B19" s="49" t="s">
        <v>192</v>
      </c>
      <c r="C19" s="50"/>
      <c r="D19" s="50"/>
      <c r="E19" s="7"/>
      <c r="F19" s="24"/>
      <c r="G19" s="28" t="str">
        <f t="shared" si="0"/>
        <v/>
      </c>
      <c r="H19" s="29"/>
      <c r="I19" s="37"/>
      <c r="J19" s="38"/>
    </row>
    <row r="20" spans="1:10" ht="30" customHeight="1" x14ac:dyDescent="0.3">
      <c r="A20" s="8"/>
      <c r="B20" s="33" t="s">
        <v>193</v>
      </c>
      <c r="C20" s="34"/>
      <c r="D20" s="34"/>
      <c r="E20" s="7">
        <v>5</v>
      </c>
      <c r="F20" s="24">
        <v>3.5</v>
      </c>
      <c r="G20" s="28">
        <f t="shared" si="0"/>
        <v>0.7</v>
      </c>
      <c r="H20" s="29" t="str">
        <f t="shared" si="1"/>
        <v>جيد</v>
      </c>
      <c r="I20" s="37"/>
      <c r="J20" s="38"/>
    </row>
    <row r="21" spans="1:10" ht="30" customHeight="1" x14ac:dyDescent="0.3">
      <c r="A21" s="8"/>
      <c r="B21" s="33" t="s">
        <v>194</v>
      </c>
      <c r="C21" s="34"/>
      <c r="D21" s="34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37"/>
      <c r="J21" s="38"/>
    </row>
    <row r="22" spans="1:10" ht="30" customHeight="1" x14ac:dyDescent="0.3">
      <c r="A22" s="8"/>
      <c r="B22" s="33" t="s">
        <v>195</v>
      </c>
      <c r="C22" s="34"/>
      <c r="D22" s="34"/>
      <c r="E22" s="7">
        <v>5</v>
      </c>
      <c r="F22" s="24">
        <v>4</v>
      </c>
      <c r="G22" s="28">
        <f t="shared" si="0"/>
        <v>0.8</v>
      </c>
      <c r="H22" s="29" t="str">
        <f t="shared" si="1"/>
        <v>جيد جداً</v>
      </c>
      <c r="I22" s="37"/>
      <c r="J22" s="38"/>
    </row>
    <row r="23" spans="1:10" ht="30" customHeight="1" x14ac:dyDescent="0.3">
      <c r="A23" s="8"/>
      <c r="B23" s="33" t="s">
        <v>196</v>
      </c>
      <c r="C23" s="34"/>
      <c r="D23" s="34"/>
      <c r="E23" s="7">
        <v>5</v>
      </c>
      <c r="F23" s="24">
        <v>4</v>
      </c>
      <c r="G23" s="28">
        <f t="shared" si="0"/>
        <v>0.8</v>
      </c>
      <c r="H23" s="29" t="str">
        <f t="shared" si="1"/>
        <v>جيد جداً</v>
      </c>
      <c r="I23" s="37"/>
      <c r="J23" s="38"/>
    </row>
    <row r="24" spans="1:10" ht="30" customHeight="1" x14ac:dyDescent="0.3">
      <c r="A24" s="8"/>
      <c r="B24" s="33" t="s">
        <v>197</v>
      </c>
      <c r="C24" s="34"/>
      <c r="D24" s="34"/>
      <c r="E24" s="7">
        <v>5</v>
      </c>
      <c r="F24" s="24">
        <v>4</v>
      </c>
      <c r="G24" s="28">
        <f t="shared" si="0"/>
        <v>0.8</v>
      </c>
      <c r="H24" s="29" t="str">
        <f t="shared" si="1"/>
        <v>جيد جداً</v>
      </c>
      <c r="I24" s="37"/>
      <c r="J24" s="38"/>
    </row>
    <row r="25" spans="1:10" ht="30" customHeight="1" x14ac:dyDescent="0.3">
      <c r="A25" s="8"/>
      <c r="B25" s="33" t="s">
        <v>198</v>
      </c>
      <c r="C25" s="34"/>
      <c r="D25" s="34"/>
      <c r="E25" s="7">
        <v>5</v>
      </c>
      <c r="F25" s="24">
        <v>3.5</v>
      </c>
      <c r="G25" s="28">
        <f t="shared" si="0"/>
        <v>0.7</v>
      </c>
      <c r="H25" s="29" t="str">
        <f t="shared" si="1"/>
        <v>جيد</v>
      </c>
      <c r="I25" s="37"/>
      <c r="J25" s="38"/>
    </row>
    <row r="26" spans="1:10" ht="30" customHeight="1" x14ac:dyDescent="0.3">
      <c r="A26" s="8"/>
      <c r="B26" s="33" t="s">
        <v>199</v>
      </c>
      <c r="C26" s="34"/>
      <c r="D26" s="34"/>
      <c r="E26" s="7">
        <v>5</v>
      </c>
      <c r="F26" s="24">
        <v>3.5</v>
      </c>
      <c r="G26" s="28">
        <f t="shared" si="0"/>
        <v>0.7</v>
      </c>
      <c r="H26" s="29" t="str">
        <f t="shared" si="1"/>
        <v>جيد</v>
      </c>
      <c r="I26" s="37"/>
      <c r="J26" s="38"/>
    </row>
    <row r="27" spans="1:10" ht="30" customHeight="1" thickBot="1" x14ac:dyDescent="0.35">
      <c r="A27" s="8"/>
      <c r="B27" s="79" t="s">
        <v>200</v>
      </c>
      <c r="C27" s="80"/>
      <c r="D27" s="80"/>
      <c r="E27" s="30">
        <v>5</v>
      </c>
      <c r="F27" s="25">
        <v>3.5</v>
      </c>
      <c r="G27" s="31">
        <f t="shared" si="0"/>
        <v>0.7</v>
      </c>
      <c r="H27" s="32" t="str">
        <f t="shared" si="1"/>
        <v>جيد</v>
      </c>
      <c r="I27" s="41"/>
      <c r="J27" s="42"/>
    </row>
    <row r="28" spans="1:10" ht="30" customHeight="1" x14ac:dyDescent="0.3">
      <c r="A28" s="8"/>
      <c r="B28" s="43" t="s">
        <v>201</v>
      </c>
      <c r="C28" s="44"/>
      <c r="D28" s="44"/>
      <c r="E28" s="44"/>
      <c r="F28" s="44"/>
      <c r="G28" s="44"/>
      <c r="H28" s="44"/>
      <c r="I28" s="44"/>
      <c r="J28" s="45"/>
    </row>
    <row r="29" spans="1:10" ht="30" customHeight="1" x14ac:dyDescent="0.3">
      <c r="A29" s="8"/>
      <c r="B29" s="49" t="s">
        <v>202</v>
      </c>
      <c r="C29" s="50"/>
      <c r="D29" s="50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37"/>
      <c r="J29" s="38"/>
    </row>
    <row r="30" spans="1:10" ht="30" customHeight="1" x14ac:dyDescent="0.3">
      <c r="A30" s="8"/>
      <c r="B30" s="49" t="s">
        <v>203</v>
      </c>
      <c r="C30" s="50"/>
      <c r="D30" s="50"/>
      <c r="E30" s="7">
        <v>5</v>
      </c>
      <c r="F30" s="24">
        <v>3.5</v>
      </c>
      <c r="G30" s="28">
        <f t="shared" si="0"/>
        <v>0.7</v>
      </c>
      <c r="H30" s="29" t="str">
        <f t="shared" si="1"/>
        <v>جيد</v>
      </c>
      <c r="I30" s="37"/>
      <c r="J30" s="38"/>
    </row>
    <row r="31" spans="1:10" ht="30" customHeight="1" x14ac:dyDescent="0.3">
      <c r="A31" s="8"/>
      <c r="B31" s="49" t="s">
        <v>204</v>
      </c>
      <c r="C31" s="50"/>
      <c r="D31" s="50"/>
      <c r="E31" s="7">
        <v>5</v>
      </c>
      <c r="F31" s="24">
        <v>3.5</v>
      </c>
      <c r="G31" s="28">
        <f t="shared" si="0"/>
        <v>0.7</v>
      </c>
      <c r="H31" s="29" t="str">
        <f t="shared" si="1"/>
        <v>جيد</v>
      </c>
      <c r="I31" s="37"/>
      <c r="J31" s="38"/>
    </row>
    <row r="32" spans="1:10" ht="30" customHeight="1" x14ac:dyDescent="0.3">
      <c r="A32" s="8"/>
      <c r="B32" s="49" t="s">
        <v>205</v>
      </c>
      <c r="C32" s="50"/>
      <c r="D32" s="50"/>
      <c r="E32" s="7">
        <v>5</v>
      </c>
      <c r="F32" s="24">
        <v>3.75</v>
      </c>
      <c r="G32" s="28">
        <f t="shared" si="0"/>
        <v>0.75</v>
      </c>
      <c r="H32" s="29" t="str">
        <f t="shared" si="1"/>
        <v>جيد</v>
      </c>
      <c r="I32" s="37"/>
      <c r="J32" s="38"/>
    </row>
    <row r="33" spans="1:10" ht="30" customHeight="1" thickBot="1" x14ac:dyDescent="0.35">
      <c r="A33" s="8"/>
      <c r="B33" s="51" t="s">
        <v>206</v>
      </c>
      <c r="C33" s="52"/>
      <c r="D33" s="52"/>
      <c r="E33" s="30">
        <v>5</v>
      </c>
      <c r="F33" s="25">
        <v>3.5</v>
      </c>
      <c r="G33" s="31">
        <f t="shared" si="0"/>
        <v>0.7</v>
      </c>
      <c r="H33" s="32" t="str">
        <f t="shared" si="1"/>
        <v>جيد</v>
      </c>
      <c r="I33" s="41"/>
      <c r="J33" s="42"/>
    </row>
    <row r="34" spans="1:10" ht="30" customHeight="1" thickBot="1" x14ac:dyDescent="0.35">
      <c r="A34" s="4"/>
      <c r="B34" s="39" t="s">
        <v>5</v>
      </c>
      <c r="C34" s="40"/>
      <c r="D34" s="40"/>
      <c r="E34" s="27">
        <f>SUM(E8:E33)</f>
        <v>110</v>
      </c>
      <c r="F34" s="27">
        <f>SUM(F8:F33)</f>
        <v>80.5</v>
      </c>
      <c r="G34" s="46"/>
      <c r="H34" s="47"/>
      <c r="I34" s="47"/>
      <c r="J34" s="48"/>
    </row>
    <row r="35" spans="1:10" ht="30" customHeight="1" thickBot="1" x14ac:dyDescent="0.35">
      <c r="A35" s="4"/>
      <c r="B35" s="59" t="s">
        <v>54</v>
      </c>
      <c r="C35" s="60"/>
      <c r="D35" s="60"/>
      <c r="E35" s="63">
        <f>F34/E34/100*100</f>
        <v>0.73181818181818181</v>
      </c>
      <c r="F35" s="63"/>
      <c r="G35" s="63"/>
      <c r="H35" s="63"/>
      <c r="I35" s="63"/>
      <c r="J35" s="64"/>
    </row>
    <row r="36" spans="1:10" ht="30" customHeight="1" thickBot="1" x14ac:dyDescent="0.35">
      <c r="A36" s="4"/>
      <c r="B36" s="59" t="s">
        <v>55</v>
      </c>
      <c r="C36" s="60"/>
      <c r="D36" s="60"/>
      <c r="E36" s="57" t="str">
        <f>_xlfn.IFS(E35&gt;=90%,"ممتاز",E35&gt;=80%,"جيد جداً",E35&gt;=70%,"جيد",E35&gt;=60%,"مقبول",E35&lt;60%,"راسب")</f>
        <v>جيد</v>
      </c>
      <c r="F36" s="57"/>
      <c r="G36" s="57"/>
      <c r="H36" s="57"/>
      <c r="I36" s="57"/>
      <c r="J36" s="58"/>
    </row>
    <row r="37" spans="1:10" ht="42" customHeight="1" x14ac:dyDescent="0.3">
      <c r="B37" s="53" t="s">
        <v>174</v>
      </c>
      <c r="C37" s="53"/>
      <c r="D37" s="53"/>
      <c r="E37" s="61" t="s">
        <v>52</v>
      </c>
      <c r="F37" s="61"/>
      <c r="G37" s="55" t="s">
        <v>120</v>
      </c>
      <c r="H37" s="55"/>
      <c r="I37" s="55"/>
      <c r="J37" s="55"/>
    </row>
    <row r="38" spans="1:10" ht="51" customHeight="1" x14ac:dyDescent="0.3">
      <c r="A38" s="5"/>
      <c r="B38" s="54"/>
      <c r="C38" s="54"/>
      <c r="D38" s="54"/>
      <c r="E38" s="62" t="s">
        <v>53</v>
      </c>
      <c r="F38" s="62"/>
      <c r="G38" s="56"/>
      <c r="H38" s="56"/>
      <c r="I38" s="56"/>
      <c r="J38" s="56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B30:D30"/>
    <mergeCell ref="B22:D22"/>
    <mergeCell ref="B23:D23"/>
    <mergeCell ref="B24:D24"/>
    <mergeCell ref="B25:D25"/>
    <mergeCell ref="B26:D26"/>
    <mergeCell ref="I7:J7"/>
    <mergeCell ref="B13:D13"/>
    <mergeCell ref="B14:D14"/>
    <mergeCell ref="B15:D15"/>
    <mergeCell ref="B16:D16"/>
    <mergeCell ref="I9:J9"/>
    <mergeCell ref="I10:J10"/>
    <mergeCell ref="I11:J11"/>
    <mergeCell ref="I12:J12"/>
    <mergeCell ref="I13:J13"/>
    <mergeCell ref="I14:J14"/>
    <mergeCell ref="I15:J15"/>
    <mergeCell ref="I16:J16"/>
    <mergeCell ref="B9:D9"/>
    <mergeCell ref="B10:D10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B37:D38"/>
    <mergeCell ref="G37:J37"/>
    <mergeCell ref="G38:J38"/>
    <mergeCell ref="E36:J36"/>
    <mergeCell ref="B35:D35"/>
    <mergeCell ref="B36:D36"/>
    <mergeCell ref="E37:F37"/>
    <mergeCell ref="E38:F38"/>
    <mergeCell ref="E35:J35"/>
    <mergeCell ref="B18:D18"/>
    <mergeCell ref="B19:D19"/>
    <mergeCell ref="I32:J32"/>
    <mergeCell ref="I33:J33"/>
    <mergeCell ref="I17:J17"/>
    <mergeCell ref="I18:J18"/>
    <mergeCell ref="I29:J29"/>
    <mergeCell ref="I19:J19"/>
    <mergeCell ref="I20:J20"/>
    <mergeCell ref="I21:J21"/>
    <mergeCell ref="I22:J22"/>
    <mergeCell ref="I23:J23"/>
    <mergeCell ref="I24:J24"/>
    <mergeCell ref="I25:J25"/>
    <mergeCell ref="B27:D27"/>
    <mergeCell ref="B29:D29"/>
    <mergeCell ref="B20:D20"/>
    <mergeCell ref="B21:D21"/>
    <mergeCell ref="B7:D7"/>
    <mergeCell ref="I30:J30"/>
    <mergeCell ref="B34:D34"/>
    <mergeCell ref="I26:J26"/>
    <mergeCell ref="I27:J27"/>
    <mergeCell ref="B8:J8"/>
    <mergeCell ref="B28:J28"/>
    <mergeCell ref="G34:J34"/>
    <mergeCell ref="I31:J31"/>
    <mergeCell ref="B12:D12"/>
    <mergeCell ref="B31:D31"/>
    <mergeCell ref="B32:D32"/>
    <mergeCell ref="B33:D33"/>
    <mergeCell ref="B17:D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21" priority="57">
      <formula>$E36="راسب"</formula>
    </cfRule>
  </conditionalFormatting>
  <conditionalFormatting sqref="E36:J36">
    <cfRule type="expression" dxfId="20" priority="60">
      <formula>$E36="جيد جداً"</formula>
    </cfRule>
    <cfRule type="expression" dxfId="19" priority="59">
      <formula>$E36="جيد"</formula>
    </cfRule>
    <cfRule type="expression" dxfId="18" priority="58">
      <formula>$E36="مقبول"</formula>
    </cfRule>
    <cfRule type="expression" dxfId="17" priority="61">
      <formula>$E36="ممتاز"</formula>
    </cfRule>
  </conditionalFormatting>
  <conditionalFormatting sqref="F9:F27">
    <cfRule type="containsText" dxfId="16" priority="4" operator="containsText" text="أدخل العلامة">
      <formula>NOT(ISERROR(SEARCH("أدخل العلامة",F9)))</formula>
    </cfRule>
  </conditionalFormatting>
  <conditionalFormatting sqref="F29:F33">
    <cfRule type="containsText" dxfId="15" priority="14" operator="containsText" text="أدخل العلامة">
      <formula>NOT(ISERROR(SEARCH("أدخل العلامة",F29)))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12" priority="15" operator="containsText" text="أدخل اسم المحكم">
      <formula>NOT(ISERROR(SEARCH("أدخل اسم المحكم",G37)))</formula>
    </cfRule>
  </conditionalFormatting>
  <conditionalFormatting sqref="H9:H2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9:H33">
    <cfRule type="containsText" dxfId="5" priority="38" operator="containsText" text="أدخل العلامة">
      <formula>NOT(ISERROR(SEARCH("أدخل العلامة",H29)))</formula>
    </cfRule>
    <cfRule type="containsText" dxfId="4" priority="39" operator="containsText" text="ممتاز">
      <formula>NOT(ISERROR(SEARCH("ممتاز",H29)))</formula>
    </cfRule>
    <cfRule type="containsText" dxfId="3" priority="40" operator="containsText" text="جيد جداً">
      <formula>NOT(ISERROR(SEARCH("جيد جداً",H29)))</formula>
    </cfRule>
    <cfRule type="containsText" dxfId="2" priority="41" operator="containsText" text="جيد">
      <formula>NOT(ISERROR(SEARCH("جيد",H29)))</formula>
    </cfRule>
    <cfRule type="containsText" dxfId="1" priority="42" operator="containsText" text="مقبول">
      <formula>NOT(ISERROR(SEARCH("مقبول",H29)))</formula>
    </cfRule>
    <cfRule type="containsText" dxfId="0" priority="43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F11:F27 F29:F33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2025-10-25T04:32:17Z</dcterms:modified>
</cp:coreProperties>
</file>