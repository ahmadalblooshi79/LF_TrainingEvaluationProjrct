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F0023B4B-5927-4071-A146-C3E3AEB0339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التقييم'!$A$1:$J$100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3" i="2"/>
  <c r="H23" i="2"/>
  <c r="G24" i="2"/>
  <c r="H24" i="2"/>
  <c r="G25" i="2"/>
  <c r="H25" i="2"/>
  <c r="G26" i="2"/>
  <c r="H26" i="2"/>
  <c r="G27" i="2"/>
  <c r="H27" i="2"/>
  <c r="G28" i="2"/>
  <c r="H28" i="2"/>
  <c r="G29" i="2"/>
  <c r="H29" i="2"/>
  <c r="G31" i="2"/>
  <c r="H31" i="2"/>
  <c r="G32" i="2"/>
  <c r="H32" i="2"/>
  <c r="G33" i="2"/>
  <c r="H33" i="2"/>
  <c r="G35" i="2"/>
  <c r="H35" i="2"/>
  <c r="G36" i="2"/>
  <c r="H36" i="2"/>
  <c r="G37" i="2"/>
  <c r="H37" i="2"/>
  <c r="G38" i="2"/>
  <c r="H38" i="2"/>
  <c r="G39" i="2"/>
  <c r="H39" i="2"/>
  <c r="G40" i="2"/>
  <c r="H40" i="2"/>
  <c r="G41" i="2"/>
  <c r="H41" i="2"/>
  <c r="G42" i="2"/>
  <c r="H42" i="2"/>
  <c r="G43" i="2"/>
  <c r="H43" i="2"/>
  <c r="G44" i="2"/>
  <c r="H44" i="2"/>
  <c r="G45" i="2"/>
  <c r="H45" i="2"/>
  <c r="G46" i="2"/>
  <c r="H46" i="2"/>
  <c r="G47" i="2"/>
  <c r="H47" i="2"/>
  <c r="G48" i="2"/>
  <c r="H48" i="2"/>
  <c r="G50" i="2"/>
  <c r="H50" i="2"/>
  <c r="G51" i="2"/>
  <c r="H51" i="2"/>
  <c r="G52" i="2"/>
  <c r="H52" i="2"/>
  <c r="G53" i="2"/>
  <c r="H53" i="2"/>
  <c r="G54" i="2"/>
  <c r="H54" i="2"/>
  <c r="G55" i="2"/>
  <c r="H55" i="2"/>
  <c r="G56" i="2"/>
  <c r="H56" i="2"/>
  <c r="G57" i="2"/>
  <c r="H57" i="2"/>
  <c r="G58" i="2"/>
  <c r="H58" i="2"/>
  <c r="G59" i="2"/>
  <c r="H59" i="2"/>
  <c r="G60" i="2"/>
  <c r="H60" i="2"/>
  <c r="G62" i="2"/>
  <c r="H62" i="2"/>
  <c r="G63" i="2"/>
  <c r="H63" i="2"/>
  <c r="G64" i="2"/>
  <c r="H64" i="2"/>
  <c r="G65" i="2"/>
  <c r="H65" i="2"/>
  <c r="G66" i="2"/>
  <c r="H66" i="2"/>
  <c r="G67" i="2"/>
  <c r="H67" i="2"/>
  <c r="G68" i="2"/>
  <c r="H68" i="2"/>
  <c r="G69" i="2"/>
  <c r="H69" i="2"/>
  <c r="G70" i="2"/>
  <c r="H70" i="2"/>
  <c r="G71" i="2"/>
  <c r="H71" i="2"/>
  <c r="G72" i="2"/>
  <c r="H72" i="2"/>
  <c r="G73" i="2"/>
  <c r="H73" i="2"/>
  <c r="G74" i="2"/>
  <c r="H74" i="2"/>
  <c r="G75" i="2"/>
  <c r="H75" i="2"/>
  <c r="G77" i="2"/>
  <c r="H77" i="2"/>
  <c r="G78" i="2"/>
  <c r="H78" i="2"/>
  <c r="G79" i="2"/>
  <c r="H79" i="2"/>
  <c r="G80" i="2"/>
  <c r="H80" i="2"/>
  <c r="G81" i="2"/>
  <c r="H81" i="2"/>
  <c r="G82" i="2"/>
  <c r="H82" i="2"/>
  <c r="G84" i="2"/>
  <c r="H84" i="2"/>
  <c r="G85" i="2"/>
  <c r="H85" i="2"/>
  <c r="G86" i="2"/>
  <c r="H86" i="2"/>
  <c r="G87" i="2"/>
  <c r="H87" i="2"/>
  <c r="G88" i="2"/>
  <c r="H88" i="2"/>
  <c r="G89" i="2"/>
  <c r="H89" i="2"/>
  <c r="G90" i="2"/>
  <c r="H90" i="2"/>
  <c r="G91" i="2"/>
  <c r="H91" i="2"/>
  <c r="G92" i="2"/>
  <c r="H92" i="2"/>
  <c r="G93" i="2"/>
  <c r="H93" i="2"/>
  <c r="G94" i="2"/>
  <c r="H94" i="2"/>
  <c r="G95" i="2"/>
  <c r="H95" i="2"/>
  <c r="G8" i="2"/>
  <c r="H8" i="2"/>
  <c r="F96" i="2"/>
  <c r="E96" i="2"/>
  <c r="E97" i="2"/>
  <c r="E98" i="2"/>
</calcChain>
</file>

<file path=xl/sharedStrings.xml><?xml version="1.0" encoding="utf-8"?>
<sst xmlns="http://schemas.openxmlformats.org/spreadsheetml/2006/main" count="326" uniqueCount="270">
  <si>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</si>
  <si>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</si>
  <si>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</si>
  <si>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</si>
  <si>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</si>
  <si>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</si>
  <si>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</si>
  <si>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</si>
  <si>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</si>
  <si>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</si>
  <si>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</si>
  <si>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</si>
  <si>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</si>
  <si>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</si>
  <si>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</si>
  <si>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</si>
  <si>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</si>
  <si>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</si>
  <si>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</si>
  <si>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</si>
  <si>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</si>
  <si>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</si>
  <si>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</si>
  <si>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</si>
  <si>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</si>
  <si>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</si>
  <si>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</si>
  <si>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</si>
  <si>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</si>
  <si>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</si>
  <si>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</si>
  <si>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</si>
  <si>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</si>
  <si>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</si>
  <si>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</si>
  <si>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</si>
  <si>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</si>
  <si>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</si>
  <si>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</si>
  <si>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</si>
  <si>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</si>
  <si>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</si>
  <si>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</si>
  <si>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</si>
  <si>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</si>
  <si>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</si>
  <si>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</si>
  <si>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</si>
  <si>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</si>
  <si>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</si>
  <si>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</si>
  <si>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</si>
  <si>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</si>
  <si>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</si>
  <si>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</si>
  <si>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</si>
  <si>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</si>
  <si>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</si>
  <si>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</si>
  <si>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</si>
  <si>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</si>
  <si>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</si>
  <si>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</si>
  <si>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</si>
  <si>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</si>
  <si>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</si>
  <si>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</si>
  <si>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</si>
  <si>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</si>
  <si>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</si>
  <si>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</si>
  <si>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</si>
  <si>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</si>
  <si>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</si>
  <si>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</si>
  <si>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</si>
  <si>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</si>
  <si>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</si>
  <si>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</si>
  <si>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</si>
  <si>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</si>
  <si>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</si>
  <si>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</si>
  <si>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</si>
  <si>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</si>
  <si>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</si>
  <si>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</si>
  <si>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</si>
  <si>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</si>
  <si>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</si>
  <si>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</si>
  <si>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</si>
  <si>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</si>
  <si>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</si>
  <si>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</si>
  <si>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</si>
  <si>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</si>
  <si>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</si>
  <si>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</si>
  <si>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</si>
  <si>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</si>
  <si>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</si>
  <si>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</si>
  <si>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</si>
  <si>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</si>
  <si>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</si>
  <si>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</si>
  <si>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</si>
  <si>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</si>
  <si>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</si>
  <si>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</si>
  <si>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</si>
  <si>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</si>
  <si>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</si>
  <si>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</si>
  <si>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</si>
  <si>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</si>
  <si>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</si>
  <si>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</si>
  <si>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</si>
  <si>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</si>
  <si>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</si>
  <si>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</si>
  <si>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</si>
  <si>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</si>
  <si>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</si>
  <si>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</si>
  <si>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</si>
  <si>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</si>
  <si>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</si>
  <si>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</si>
  <si>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</si>
  <si>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</si>
  <si>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</si>
  <si>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</si>
  <si>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</si>
  <si>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</si>
  <si>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</si>
  <si>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</si>
  <si>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</si>
  <si>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</si>
  <si>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</si>
  <si>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</si>
  <si>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</si>
  <si>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</si>
  <si>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</si>
  <si>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</si>
  <si>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</si>
  <si>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</si>
  <si>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</si>
  <si>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</si>
  <si>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</si>
  <si>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</si>
  <si>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</si>
  <si>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</si>
  <si>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</si>
  <si>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</si>
  <si>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</si>
  <si>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</si>
  <si>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</si>
  <si>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</si>
  <si>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</si>
  <si>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</si>
  <si>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</si>
  <si>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</si>
  <si>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</si>
  <si>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</si>
  <si>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</si>
  <si>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</si>
  <si>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</si>
  <si>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</si>
  <si>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</si>
  <si>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</si>
  <si>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</si>
  <si>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</si>
  <si>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</si>
  <si>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</si>
  <si>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</si>
  <si>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</si>
  <si>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</si>
  <si>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rPr>
        <b/>
        <sz val="14"/>
        <color rgb="FF000000"/>
        <rFont val="Arial"/>
        <family val="2"/>
      </rPr>
      <t>تقييم حالات رفع الجاهزية لسرية التزويد والنقل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</si>
  <si>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1.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sz val="12"/>
        <color rgb="FF000000"/>
        <rFont val="Arial"/>
        <family val="2"/>
      </rPr>
      <t>استلام برقية رفع الحالة وتفهم القائد لمضمون البرقية في الوقت المحدد.</t>
    </r>
  </si>
  <si>
    <r>
      <t>2.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إجراءات القائد.</t>
    </r>
  </si>
  <si>
    <t>أ. استلام المهمة وتفهم المطلوب في الوقت المحدد.</t>
  </si>
  <si>
    <t>ب. الرد بالاعتراف على البرقية حسب الوقت المحدد.</t>
  </si>
  <si>
    <t>جـ. تحرير برقية رفع الحالة وإرسالها إلى مستوى الأعلى والأدنى.</t>
  </si>
  <si>
    <t>د. الكشف من الخارطة.</t>
  </si>
  <si>
    <t>هـ. إصدار أمر إنذاري والحصول على الاعتراف من المستوى الأدنى.</t>
  </si>
  <si>
    <t>و. تسجيل برقية رفع الحالة في سجل الحوادث.</t>
  </si>
  <si>
    <t>ز. عمل تقدير موقف للوقت من قبل القائد مع مراعاة ثلثي الوقت لعمل وإجراءات المرؤوسين وتشمل الإجراءات منذ استلام المهمة وحتى ساعة الصفر.</t>
  </si>
  <si>
    <t>ح. عمل تقدير موقف ذهني سريع من قبل القائد.</t>
  </si>
  <si>
    <t>ط. إنذار الوحدة بالمهمة ووسائل الإنذار المتوفرة.</t>
  </si>
  <si>
    <t>ي. توضيح المطلوب للقادة المرؤوسين والإجابة على استفساراتهم.</t>
  </si>
  <si>
    <t>ك. التقيد بأصول المخابرة في عملية إرسال البرقية.</t>
  </si>
  <si>
    <t>ل. التقيد بواجبات الأركان الصغرى في كتابة الأمر الإنذاري.</t>
  </si>
  <si>
    <r>
      <t>3.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التقييد بمشتملات الأمر الإنذاري.</t>
    </r>
    <r>
      <rPr>
        <sz val="12"/>
        <color rgb="FF000000"/>
        <rFont val="Arial"/>
        <family val="2"/>
      </rPr>
      <t xml:space="preserve"> يسلم مكتوب لنائب القائد ونسخة للمحكم ويشمل:</t>
    </r>
  </si>
  <si>
    <t>أ. ملخص عن العمليات المقبلة.</t>
  </si>
  <si>
    <t>ب. موقع ووقت اجتماع قسم الأمر.</t>
  </si>
  <si>
    <t>جـ. تفاصيل عن منطقة التجمع.</t>
  </si>
  <si>
    <t>د. تحديدات الحركة (حسب المهمة).</t>
  </si>
  <si>
    <t>هـ. منطقة التجمع.</t>
  </si>
  <si>
    <t>و. حدود الكشف.</t>
  </si>
  <si>
    <t>ز. التعليمات الإدارية.</t>
  </si>
  <si>
    <r>
      <t>4.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وسائل الإنذار</t>
    </r>
    <r>
      <rPr>
        <b/>
        <sz val="12"/>
        <color rgb="FF000000"/>
        <rFont val="Arial"/>
        <family val="2"/>
      </rPr>
      <t>.</t>
    </r>
  </si>
  <si>
    <t>أ. التأكد من استخدام وسائل الإنذار المتوفرة (المسموعة، المرئية، الضوئية) حسب ما جاء في تعليمات التحول.</t>
  </si>
  <si>
    <t>ب. التأكد من وصول البرقية إلى المرؤوسين وتفهمها من قبلهم.</t>
  </si>
  <si>
    <t>جـ. التأكد من إصدار الأوامر إلى القادة المرؤوسين (شفهية، مكتوبة، بواسطة اللاسلكي).</t>
  </si>
  <si>
    <r>
      <t>5.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إجراءات التحـول.</t>
    </r>
  </si>
  <si>
    <t>أ. تحرك الوحدات المرؤوسة لتنفيذ التحول حسب تعليمات رفع حالات الاستعداد القتالي (حسب الخطة الزمنية لتعليمات رفع حالات الاستعداد القتالي).</t>
  </si>
  <si>
    <t>ب. وجود خطة مفصلة موضح بها الإجراءات خلال وقت محدد.</t>
  </si>
  <si>
    <t>جـ. التزام مرتب الوحدة (الفصائل) بالخطة الموضوعة وتنفيذها بطريقة سليمة وحسب الحالة المطلوبة.</t>
  </si>
  <si>
    <t>د. مدى سيطرة ضباط السرية على تحركات ضباط الصف والجنود، ومرونة القيادة في التغلب على العقبات التي قد تحدث إثناء العمل.</t>
  </si>
  <si>
    <t>هـ. مدى التقيد بالتوقيتات المبينة في الخطة الزمنية.</t>
  </si>
  <si>
    <t>و. أسلوب وإجراءات تنفيذ الخطة الزمنية.</t>
  </si>
  <si>
    <t>ز. التأكد من الحماس وجديـة الضبـاط والرتـب الأخرى في تنفيـذ الواجبات ومـــدى تفهمهم لإجراءات رفع الحالة.</t>
  </si>
  <si>
    <t>ح. التأكد من إجراءات التحميل / تعبئة الذخيرة (التقيد باحتياطات الأمان ومخطط التحميل).</t>
  </si>
  <si>
    <t>ط. التأكد من استلام المهمات الكيميائية.</t>
  </si>
  <si>
    <t>ي. التأكد من تعبئة وتحميل الوقود والمياه.</t>
  </si>
  <si>
    <t>ك. التأكد من تحميل الأرزاق لـ (48) ساعة.</t>
  </si>
  <si>
    <t>ل. التأكد من تحميل المهمات الإدارية والهندسية التابعة للسرية.</t>
  </si>
  <si>
    <t>م. التأكد من تركيب الأسلحة والأجهزة واختبارها.</t>
  </si>
  <si>
    <t>ن. وجود خطة التحميل ومدى التقيد بها أثناء عملية التحميل ومدى فعاليتها.</t>
  </si>
  <si>
    <r>
      <t>6.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جاهزية القوة.</t>
    </r>
  </si>
  <si>
    <t>أ. اصطفاف القوة بالميدان في الوقت المحدد في تعليمات رفع حالات الاستعداد القتالي.</t>
  </si>
  <si>
    <t>ب. التأكد من نسبة استكمال وجاهزية الضباط والأفراد من حيث (السلاح وملحقاته، حقائب الكتف، القلادة المعدنية، البطاقة، رخصة السواقة، حقيبة الميدان، مفكرة الميدان للضباط).</t>
  </si>
  <si>
    <t>جـ. مدى إلمام الضباط والرتب الأخرى باستخدام المعدات والآليات حسب تخصصاتهم.</t>
  </si>
  <si>
    <t>د. تعبئة وإدامة جداول الركوب والتحميل طبقاً لحالات الاستعداد القتالي ومطابقته للواقع.</t>
  </si>
  <si>
    <t xml:space="preserve">هـ. التأكد من عدم تحميل الآليات أكثر من حمولتها المقررة </t>
  </si>
  <si>
    <t>و. تعبئة وإدامة سجلات استلام الذخائر.</t>
  </si>
  <si>
    <t>ز. التأكد من جاهزية الآليات من حيث (الوقود، المياه، العدة، سجل الآلية، وتحميل شباك التمويه مع العصي، إلخ...).</t>
  </si>
  <si>
    <t>ح. مدى التقيد بتعليمات المؤخرة للقوة.</t>
  </si>
  <si>
    <t>ط. التأكد من نسبة استكمال الأسلحة والمعدات.</t>
  </si>
  <si>
    <t>ي. مدى توفر نقليات (ب) لحمل (مواد الخط الثاني).</t>
  </si>
  <si>
    <t>ك. التأكد من نسبة استكمال القوة البشرية.</t>
  </si>
  <si>
    <r>
      <t>7.</t>
    </r>
    <r>
      <rPr>
        <b/>
        <sz val="7"/>
        <color rgb="FF000000"/>
        <rFont val="Times New Roman"/>
        <family val="1"/>
      </rPr>
      <t xml:space="preserve">          </t>
    </r>
    <r>
      <rPr>
        <b/>
        <u/>
        <sz val="11"/>
        <color rgb="FF000000"/>
        <rFont val="Arial"/>
        <family val="2"/>
      </rPr>
      <t>فـرش المتاع</t>
    </r>
    <r>
      <rPr>
        <b/>
        <sz val="11"/>
        <color rgb="FF000000"/>
        <rFont val="Arial"/>
        <family val="2"/>
      </rPr>
      <t xml:space="preserve">. </t>
    </r>
    <r>
      <rPr>
        <sz val="11"/>
        <color rgb="FF000000"/>
        <rFont val="Arial"/>
        <family val="2"/>
      </rPr>
      <t>حقيبة الميدان وتشمل:</t>
    </r>
  </si>
  <si>
    <t>أ. عدد (1) بدلة مموهه.</t>
  </si>
  <si>
    <t>ب. خـوذه.</t>
  </si>
  <si>
    <t>جـ. فوطه.</t>
  </si>
  <si>
    <t>د. جراب.</t>
  </si>
  <si>
    <t>هـ. ملابس داخلية.</t>
  </si>
  <si>
    <t>و. ملابس رياضة (شورت، حذاء، فانله).</t>
  </si>
  <si>
    <t>ز. أدوات الطعام.</t>
  </si>
  <si>
    <t>ح. أدوات الخياطة.</t>
  </si>
  <si>
    <t>ط. أدوات حلاقة + معجون وفرشاة أسنان.</t>
  </si>
  <si>
    <t>ي. كيس النوم.</t>
  </si>
  <si>
    <t>ك. لباس مدني.</t>
  </si>
  <si>
    <t>ل. شماغ (عسكري / مدني).</t>
  </si>
  <si>
    <t>م. مشمع أرضي.</t>
  </si>
  <si>
    <t>ن. ترتيب ونظافة محتويات الحقيبة.</t>
  </si>
  <si>
    <r>
      <t>8.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اختبار المعلومات العسكرية للمرتب</t>
    </r>
    <r>
      <rPr>
        <b/>
        <sz val="12"/>
        <color rgb="FF000000"/>
        <rFont val="Arial"/>
        <family val="2"/>
      </rPr>
      <t>.</t>
    </r>
  </si>
  <si>
    <t>أ. الأسلحة وخصائصها الفنية ومسمياتها.</t>
  </si>
  <si>
    <t>ب. الذخائر (الخطوط، الوحدة الحسابية).</t>
  </si>
  <si>
    <t>جـ. الهيكل التنظيمي للوحدة تحت التفتيش.</t>
  </si>
  <si>
    <t>د. أمن الأفراد والمعسكرات والمنشآت.</t>
  </si>
  <si>
    <t>هـ. التخصصات المهنية.</t>
  </si>
  <si>
    <t>و. حالات الاستعداد القتالي.</t>
  </si>
  <si>
    <r>
      <t>9.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صندوق أو آلية الوثائق.</t>
    </r>
  </si>
  <si>
    <t>أ. توفر صندوق لحفظ الوثائق والسجلات والقرطاسية اللازمة.</t>
  </si>
  <si>
    <t>ب. توفر الخرائط والخطط الضرورية.</t>
  </si>
  <si>
    <t>جـ. توفر وصلاحية الإضاءة الرئيسة والبديلة.</t>
  </si>
  <si>
    <t>د. توفر وصلاحية وسائل الاتصالات الإشارية.</t>
  </si>
  <si>
    <t>هـ. التأكد من إعداد وتجهيز الآلية.</t>
  </si>
  <si>
    <t>و. التأكد من وجود فهرس بمحتويات الصندوق ومطابقته مع الموجود.</t>
  </si>
  <si>
    <t>ز. وجود الأوامر الثابتة لقيادته.</t>
  </si>
  <si>
    <t>ح. وجود قوائم التوزيع الشهرية.</t>
  </si>
  <si>
    <t>ط. وجود نموذج برقيــات.</t>
  </si>
  <si>
    <t>ي. توفر كشف بأرقام الهواتف الهامة (عسكرية، مدنية).</t>
  </si>
  <si>
    <t>ك. وجود وإدامة سجل الوارد والصادر.</t>
  </si>
  <si>
    <r>
      <t>10.</t>
    </r>
    <r>
      <rPr>
        <b/>
        <sz val="7"/>
        <color rgb="FF000000"/>
        <rFont val="Times New Roman"/>
        <family val="1"/>
      </rPr>
      <t xml:space="preserve">     </t>
    </r>
    <r>
      <rPr>
        <b/>
        <sz val="12"/>
        <color rgb="FF000000"/>
        <rFont val="Arial"/>
        <family val="2"/>
      </rPr>
      <t>التأكد من الإشراف والمتابعة من المستوى الأعلى وقيادة المستوى نفسه.</t>
    </r>
  </si>
  <si>
    <t>رائد/ محمد خليفة النعيمي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</si>
</sst>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7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sz val="7"/>
      <color rgb="FF000000"/>
      <name val="Times New Roman"/>
      <family val="1"/>
    </font>
    <font>
      <b/>
      <u/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 readingOrder="1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3" fillId="0" borderId="8" xfId="0" applyFont="1" applyBorder="1" applyAlignment="1" applyProtection="1">
      <alignment horizontal="center" vertical="center" wrapText="1" readingOrder="2"/>
      <protection locked="0"/>
    </xf>
    <xf numFmtId="9" fontId="3" fillId="0" borderId="8" xfId="0" applyNumberFormat="1" applyFont="1" applyBorder="1" applyAlignment="1">
      <alignment horizontal="center" vertical="center" wrapText="1" readingOrder="2"/>
    </xf>
    <xf numFmtId="0" fontId="2" fillId="0" borderId="18" xfId="0" applyFont="1" applyBorder="1" applyAlignment="1">
      <alignment horizontal="center" vertical="center" wrapText="1" readingOrder="2"/>
    </xf>
    <xf numFmtId="0" fontId="3" fillId="0" borderId="18" xfId="0" applyFont="1" applyBorder="1" applyAlignment="1" applyProtection="1">
      <alignment horizontal="center" vertical="center" wrapText="1" readingOrder="2"/>
      <protection locked="0"/>
    </xf>
    <xf numFmtId="9" fontId="3" fillId="0" borderId="18" xfId="0" applyNumberFormat="1" applyFont="1" applyBorder="1" applyAlignment="1">
      <alignment horizontal="center" vertical="center" wrapText="1" readingOrder="2"/>
    </xf>
    <xf numFmtId="0" fontId="2" fillId="0" borderId="18" xfId="0" applyFont="1" applyBorder="1" applyAlignment="1">
      <alignment horizontal="center" vertical="center" wrapText="1" readingOrder="1"/>
    </xf>
    <xf numFmtId="0" fontId="2" fillId="0" borderId="21" xfId="0" applyFont="1" applyBorder="1" applyAlignment="1">
      <alignment horizontal="center" vertical="center" wrapText="1" readingOrder="2"/>
    </xf>
    <xf numFmtId="0" fontId="3" fillId="0" borderId="21" xfId="0" applyFont="1" applyBorder="1" applyAlignment="1" applyProtection="1">
      <alignment horizontal="center" vertical="center" wrapText="1" readingOrder="2"/>
      <protection locked="0"/>
    </xf>
    <xf numFmtId="9" fontId="3" fillId="0" borderId="21" xfId="0" applyNumberFormat="1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1"/>
    </xf>
    <xf numFmtId="0" fontId="2" fillId="0" borderId="24" xfId="0" applyFont="1" applyBorder="1" applyAlignment="1">
      <alignment horizontal="center" vertical="center" wrapText="1" readingOrder="2"/>
    </xf>
    <xf numFmtId="0" fontId="3" fillId="0" borderId="24" xfId="0" applyFont="1" applyBorder="1" applyAlignment="1" applyProtection="1">
      <alignment horizontal="center" vertical="center" wrapText="1" readingOrder="2"/>
      <protection locked="0"/>
    </xf>
    <xf numFmtId="9" fontId="3" fillId="0" borderId="24" xfId="0" applyNumberFormat="1" applyFont="1" applyBorder="1" applyAlignment="1">
      <alignment horizontal="center" vertical="center" wrapText="1" readingOrder="2"/>
    </xf>
    <xf numFmtId="0" fontId="2" fillId="0" borderId="24" xfId="0" applyFont="1" applyBorder="1" applyAlignment="1">
      <alignment horizontal="center" vertical="center" wrapText="1" readingOrder="1"/>
    </xf>
    <xf numFmtId="0" fontId="12" fillId="0" borderId="23" xfId="0" applyFont="1" applyBorder="1" applyAlignment="1">
      <alignment horizontal="right" vertical="center" wrapText="1" indent="2" readingOrder="2"/>
    </xf>
    <xf numFmtId="0" fontId="12" fillId="0" borderId="24" xfId="0" applyFont="1" applyBorder="1" applyAlignment="1">
      <alignment horizontal="right" vertical="center" wrapText="1" indent="2" readingOrder="2"/>
    </xf>
    <xf numFmtId="0" fontId="2" fillId="0" borderId="23" xfId="0" applyFont="1" applyBorder="1" applyAlignment="1">
      <alignment horizontal="right" vertical="center" wrapText="1" readingOrder="2"/>
    </xf>
    <xf numFmtId="0" fontId="2" fillId="0" borderId="24" xfId="0" applyFont="1" applyBorder="1" applyAlignment="1">
      <alignment horizontal="right" vertical="center" wrapText="1" readingOrder="2"/>
    </xf>
    <xf numFmtId="0" fontId="12" fillId="0" borderId="20" xfId="0" applyFont="1" applyBorder="1" applyAlignment="1">
      <alignment horizontal="right" vertical="center" wrapText="1" indent="2" readingOrder="2"/>
    </xf>
    <xf numFmtId="0" fontId="12" fillId="0" borderId="21" xfId="0" applyFont="1" applyBorder="1" applyAlignment="1">
      <alignment horizontal="right" vertical="center" wrapText="1" indent="2" readingOrder="2"/>
    </xf>
    <xf numFmtId="0" fontId="2" fillId="0" borderId="17" xfId="0" applyFont="1" applyBorder="1" applyAlignment="1">
      <alignment horizontal="right" vertical="center" wrapText="1" readingOrder="2"/>
    </xf>
    <xf numFmtId="0" fontId="2" fillId="0" borderId="18" xfId="0" applyFont="1" applyBorder="1" applyAlignment="1">
      <alignment horizontal="right" vertical="center" wrapText="1" readingOrder="2"/>
    </xf>
    <xf numFmtId="0" fontId="6" fillId="0" borderId="17" xfId="0" applyFont="1" applyBorder="1" applyAlignment="1">
      <alignment horizontal="right" vertical="center" wrapText="1" readingOrder="2"/>
    </xf>
    <xf numFmtId="0" fontId="6" fillId="0" borderId="18" xfId="0" applyFont="1" applyBorder="1" applyAlignment="1">
      <alignment horizontal="right" vertical="center" wrapText="1" readingOrder="2"/>
    </xf>
    <xf numFmtId="0" fontId="3" fillId="0" borderId="8" xfId="0" applyFont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6" fillId="4" borderId="7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3" fillId="0" borderId="21" xfId="0" applyFont="1" applyBorder="1" applyAlignment="1" applyProtection="1">
      <alignment horizontal="center" vertical="center" wrapText="1" readingOrder="2"/>
      <protection locked="0"/>
    </xf>
    <xf numFmtId="0" fontId="3" fillId="0" borderId="22" xfId="0" applyFont="1" applyBorder="1" applyAlignment="1" applyProtection="1">
      <alignment horizontal="center" vertical="center" wrapText="1" readingOrder="2"/>
      <protection locked="0"/>
    </xf>
    <xf numFmtId="0" fontId="3" fillId="0" borderId="24" xfId="0" applyFont="1" applyBorder="1" applyAlignment="1" applyProtection="1">
      <alignment horizontal="center" vertical="center" wrapText="1" readingOrder="2"/>
      <protection locked="0"/>
    </xf>
    <xf numFmtId="0" fontId="3" fillId="0" borderId="25" xfId="0" applyFont="1" applyBorder="1" applyAlignment="1" applyProtection="1">
      <alignment horizontal="center" vertical="center" wrapText="1" readingOrder="2"/>
      <protection locked="0"/>
    </xf>
    <xf numFmtId="0" fontId="3" fillId="0" borderId="18" xfId="0" applyFont="1" applyBorder="1" applyAlignment="1" applyProtection="1">
      <alignment horizontal="center" vertical="center" wrapText="1" readingOrder="2"/>
      <protection locked="0"/>
    </xf>
    <xf numFmtId="0" fontId="3" fillId="0" borderId="19" xfId="0" applyFont="1" applyBorder="1" applyAlignment="1" applyProtection="1">
      <alignment horizontal="center" vertical="center" wrapText="1" readingOrder="2"/>
      <protection locked="0"/>
    </xf>
    <xf numFmtId="0" fontId="2" fillId="0" borderId="7" xfId="0" applyFont="1" applyBorder="1" applyAlignment="1">
      <alignment horizontal="right" vertical="center" wrapText="1" readingOrder="2"/>
    </xf>
    <xf numFmtId="0" fontId="2" fillId="0" borderId="8" xfId="0" applyFont="1" applyBorder="1" applyAlignment="1">
      <alignment horizontal="right" vertical="center" wrapText="1" readingOrder="2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0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3" xfId="0" applyFont="1" applyBorder="1" applyAlignment="1">
      <alignment horizontal="center" vertical="center" wrapText="1" readingOrder="2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182822</xdr:colOff>
      <xdr:row>99</xdr:row>
      <xdr:rowOff>158808</xdr:rowOff>
    </xdr:from>
    <xdr:to>
      <xdr:col>8</xdr:col>
      <xdr:colOff>83811</xdr:colOff>
      <xdr:row>99</xdr:row>
      <xdr:rowOff>389928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DD0B944F-067B-EFC4-D516-9F1068C14E1F}"/>
                </a:ext>
              </a:extLst>
            </xdr14:cNvPr>
            <xdr14:cNvContentPartPr/>
          </xdr14:nvContentPartPr>
          <xdr14:nvPr macro=""/>
          <xdr14:xfrm>
            <a:off x="10399161098" y="40631400"/>
            <a:ext cx="559080" cy="231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DD0B944F-067B-EFC4-D516-9F1068C14E1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154978" y="40625280"/>
              <a:ext cx="571320" cy="24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335472</xdr:colOff>
      <xdr:row>99</xdr:row>
      <xdr:rowOff>337368</xdr:rowOff>
    </xdr:from>
    <xdr:to>
      <xdr:col>8</xdr:col>
      <xdr:colOff>587811</xdr:colOff>
      <xdr:row>100</xdr:row>
      <xdr:rowOff>7623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E8751CDE-F772-95EF-972A-24FD60625771}"/>
                </a:ext>
              </a:extLst>
            </xdr14:cNvPr>
            <xdr14:cNvContentPartPr/>
          </xdr14:nvContentPartPr>
          <xdr14:nvPr macro=""/>
          <xdr14:xfrm>
            <a:off x="10398657098" y="40809960"/>
            <a:ext cx="1568520" cy="31680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E8751CDE-F772-95EF-972A-24FD60625771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8650978" y="40803840"/>
              <a:ext cx="1580760" cy="3290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3:40:18.3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1018 343 376,'0'0'0,"-10"-1"344,4-2-144,-11-1-40,17 4-160,-9-12 144,7 11 24,0-3 72,2 0-72,0 4-168,-3-5 168,3 0 40,-2-1 8,2-6 0,0 12-216,0-2 200,0-10-56,0 8-48,0-7-16,0 11-80,0-5 136,0-6 40,5 5 32,-3-8 48,-2 14-256,4-6 200,-2-9-16,10 3-32,-9 1 32,-3 11-184,11-11 161,-6-1-25,9 1-24,-11 5-64,-3 6-48,18-14 16,-16 3 8,14-1-16,-4 7-32,-12 5 24,12-16-16,-1 10-32,4-7 0,0 8 0,-15 5 48,17-12-24,1 8 8,-2-7-8,4 7 0,-20 4 24,18-5-24,5 0-32,-3 0 8,2 1 8,-22 4 40,21-3-65,2 2 9,-5 1 0,6 0 0,-24 0 56,18 0-56,1 3 24,-5 1 0,4 9 32,-18-13 0,17 4-8,-6 13 0,1-6-16,-7 4-56,-5-15 80,13 14-48,-10 0-88,-3 2 0,0-2 24,0-14 112,0 13-144,-3 1 64,-8 0-64,7-1-24,4-13 168,-15 13-176,6-1 0,-5 1 40,0-1 48,14-12 88,-14 11-48,-4 0 24,-1 1 0,0-8 8,19-4 16,-23 14-8,3-10-8,-8 8 48,-1-9-8,29-3-24,-25 3 40,-6-1 0,3-2-16,3 0 16,25 0-40,-28 0 72,10-2 24,-3-10 32,9 8 40,12 4-168,-7-16 176,-4 3 56,9-1 8,-1 0-16,3 14-224,-2-16 216,2 2-56,2 1-32,1 1-23,-3 12-105,4-6 104,7-7-48,-8 9-24,-1-2 16,-2 6-48,5-4 8,0 0 8,-3 1-16,3 1-32,-5 2 32,4-1-48,-2 1-32,3 0-49,-3 0 9,-2 0 120,3 4-168,-1 9 32,-2-9-24,0 12-64,0-16 224,0 14-192,-2 3-104,-3 0-24,-8 0 40,13-17 280,-5 16-336,-12-2-136,1-1 120,2 0-160,14-13 512,-21 11-488,0-7 176,3 11 112,-3-13 136,21-2 64,-26 5-16,5-1 16,-2 0 0,3-1 0,20-3 0,-20 0 0,7 0 0,-1-4 0,9 0 0,5 4 0,-4-5 0,-1 0 0,3-7 8,-1 8 24,3 4-32,0-4 48,0-1 0,0 1 8,0 1-24,0 3-32,0-1 24,-2-1-16,0 2-8,2 0-8,0 0 8,-5 0 0,0 12-8,-4-8 8,-3 16 0,12-20 0,-12 17 8,-4 3 0,-2 3 0,-1-1 0,19-22-8,-21 22-16,-2-2 16,0 1-8,0-1 0,23-20 8,-26 18 0,0-1-8,6-1 0,-3-5-8,23-11 16,-21 5-16,-3 9 8,1-11-8,0 1 16,23-4 0,-26 4-8,3-1 16,0-3 0,2 0-8,21 0 0,-21 0-8,5 0 8,-6 0 0,2 0-8,20 0 8,-19 0 0,-4 0 0,0 0-8,-1 4 16,24-4-8,-28 13 0,3-10 0,4 8 8,3-8 16,18-3-24,-17 5 32,4 7 0,-2-9-24,2 0-56,3 0-96,10-3 144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3:40:19.2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1418 5 1480,'0'0'0,"-2"-3"432,-15 2-192,1 1-88,16 0-152,-14 4 48,-1 12-16,-3 2-40,-1 2-24,19-20 32,-21 22 0,-5 5-24,0-1 8,-2 1 16,28-27 0,-33 26-8,0 1 16,0 1 0,-6 2-32,39-30 24,-45 29-24,0 0 0,-8-1-8,-4 0 40,57-28-8,-56 26-16,-5-2 0,0 1 0,2-3-16,59-22 32,-59 18-16,1 2-16,1-5 24,6 1-16,51-16 24,-54 13 0,4-1 0,3 1 0,3-9-8,44-4 8,-38 13-8,3-10 0,7 8 16,5-8-24,23-3 16,-19 4-24,2 1 16,6-1-8,6 0 0,5-4 16,-2 3 8,-1 0-24,-4 0-8,7 2 24,0-5 0,-2 4-16,2 9 24,0-9 8,0 13 0,0-17-16,-3 12 16,1 0 0,0 1 16,2-2 0,0-11-32,0 13 0,0 0 16,0-1-8,0 4-32,0-16 24,0 15 0,-3 0-24,2-1 0,-2-1 32,3-13-8,-2 12-16,0-8 32,-1 9 8,1-13-32,2 0 8,0 4 16,-3 1-8,3-3-24,-2-2 24,2 0-8,-3 0 16,8 0 0,-2 0 64,-3 0-80,12 0 96,-8 0 48,12-4-24,-1-2-56,-15 6-64,13-12 16,9 7-48,-1-8 0,5 8-16,-26 5 48,25-11-48,8 7 8,2-9 16,5 2-56,-40 11 80,52-13-64,9-5 0,10-1 0,13-2 8,-84 21 56,98-28 8,15-6-8,21-7 32,13-5 24,-147 46-56,167-50 40,19-5-16,17 0 8,11 0 8,-214 55-40,225-53 16,1 2 0,4 6-24,-3 7 16,-227 38-8,221-37 16,-2 7 8,-9 5 0,-12 7-24,-198 18 0,183-6-16,-18 2-136,-28 4-64,-19 3-48,-118-3 264,91 3-1512,-91-3 1512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100"/>
  <sheetViews>
    <sheetView rightToLeft="1" tabSelected="1" view="pageBreakPreview" topLeftCell="A2" zoomScale="130" zoomScaleNormal="100" zoomScaleSheetLayoutView="130" workbookViewId="0">
      <selection activeCell="D4" sqref="D4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70" t="s">
        <v>180</v>
      </c>
      <c r="C1" s="70"/>
      <c r="D1" s="70"/>
      <c r="E1" s="70"/>
      <c r="F1" s="70"/>
      <c r="G1" s="70"/>
      <c r="H1" s="70"/>
      <c r="I1" s="70"/>
      <c r="J1" s="70"/>
    </row>
    <row r="2" spans="1:10" ht="30" customHeight="1" x14ac:dyDescent="0.3">
      <c r="B2" s="12" t="s">
        <v>8</v>
      </c>
      <c r="C2" s="76" t="s">
        <v>33</v>
      </c>
      <c r="D2" s="76"/>
      <c r="E2" s="12" t="s">
        <v>7</v>
      </c>
      <c r="F2" s="71">
        <v>45929</v>
      </c>
      <c r="G2" s="71"/>
      <c r="H2" s="71"/>
      <c r="I2" s="71"/>
      <c r="J2" s="71"/>
    </row>
    <row r="3" spans="1:10" ht="30" customHeight="1" x14ac:dyDescent="0.3">
      <c r="B3" s="12" t="s">
        <v>9</v>
      </c>
      <c r="C3" s="76" t="s">
        <v>60</v>
      </c>
      <c r="D3" s="76"/>
      <c r="E3" s="12" t="s">
        <v>6</v>
      </c>
      <c r="F3" s="76" t="s">
        <v>120</v>
      </c>
      <c r="G3" s="76"/>
      <c r="H3" s="76"/>
      <c r="I3" s="76"/>
      <c r="J3" s="76"/>
    </row>
    <row r="4" spans="1:10" ht="30" customHeight="1" thickBot="1" x14ac:dyDescent="0.35">
      <c r="B4" s="6"/>
      <c r="C4" s="7"/>
      <c r="D4" s="7" t="s">
        <v>269</v>
      </c>
      <c r="E4" s="6"/>
      <c r="F4" s="7"/>
      <c r="G4" s="7"/>
      <c r="H4" s="8"/>
      <c r="I4" s="7"/>
      <c r="J4" s="7"/>
    </row>
    <row r="5" spans="1:10" ht="24.9" customHeight="1" x14ac:dyDescent="0.3">
      <c r="A5" s="10"/>
      <c r="B5" s="72" t="s">
        <v>0</v>
      </c>
      <c r="C5" s="73"/>
      <c r="D5" s="73"/>
      <c r="E5" s="81" t="s">
        <v>1</v>
      </c>
      <c r="F5" s="81"/>
      <c r="G5" s="81"/>
      <c r="H5" s="81"/>
      <c r="I5" s="81" t="s">
        <v>2</v>
      </c>
      <c r="J5" s="82"/>
    </row>
    <row r="6" spans="1:10" ht="24.9" customHeight="1" thickBot="1" x14ac:dyDescent="0.35">
      <c r="A6" s="10"/>
      <c r="B6" s="74"/>
      <c r="C6" s="75"/>
      <c r="D6" s="75"/>
      <c r="E6" s="11" t="s">
        <v>3</v>
      </c>
      <c r="F6" s="11" t="s">
        <v>4</v>
      </c>
      <c r="G6" s="11" t="s">
        <v>23</v>
      </c>
      <c r="H6" s="11" t="s">
        <v>24</v>
      </c>
      <c r="I6" s="83"/>
      <c r="J6" s="84"/>
    </row>
    <row r="7" spans="1:10" ht="24.9" customHeight="1" thickBot="1" x14ac:dyDescent="0.35">
      <c r="A7" s="10"/>
      <c r="B7" s="79" t="s">
        <v>21</v>
      </c>
      <c r="C7" s="80"/>
      <c r="D7" s="80"/>
      <c r="E7" s="27" t="s">
        <v>18</v>
      </c>
      <c r="F7" s="27" t="s">
        <v>19</v>
      </c>
      <c r="G7" s="27" t="s">
        <v>22</v>
      </c>
      <c r="H7" s="27" t="s">
        <v>20</v>
      </c>
      <c r="I7" s="85" t="s">
        <v>25</v>
      </c>
      <c r="J7" s="86"/>
    </row>
    <row r="8" spans="1:10" ht="39.9" customHeight="1" thickBot="1" x14ac:dyDescent="0.35">
      <c r="A8" s="10"/>
      <c r="B8" s="62" t="s">
        <v>181</v>
      </c>
      <c r="C8" s="63"/>
      <c r="D8" s="63"/>
      <c r="E8" s="9">
        <v>5</v>
      </c>
      <c r="F8" s="28">
        <v>3.5</v>
      </c>
      <c r="G8" s="29">
        <f>IFERROR(F8/E8,"")</f>
        <v>0.7</v>
      </c>
      <c r="H8" s="26" t="str">
        <f>_xlfn.IFS(F8="أدخل العلامة","",F8="لا ينطبق","تم الإلغاء",G8&gt;=90%,"ممتاز",G8&gt;=80%,"جيد جداً",G8&gt;=70%,"جيد",G8&gt;=60%,"مقبول",G8&lt;60%,"راسب")</f>
        <v>جيد</v>
      </c>
      <c r="I8" s="52"/>
      <c r="J8" s="53"/>
    </row>
    <row r="9" spans="1:10" ht="30" customHeight="1" x14ac:dyDescent="0.3">
      <c r="A9" s="10"/>
      <c r="B9" s="48" t="s">
        <v>182</v>
      </c>
      <c r="C9" s="49"/>
      <c r="D9" s="49"/>
      <c r="E9" s="30"/>
      <c r="F9" s="31"/>
      <c r="G9" s="32"/>
      <c r="H9" s="33"/>
      <c r="I9" s="60"/>
      <c r="J9" s="61"/>
    </row>
    <row r="10" spans="1:10" ht="30" customHeight="1" x14ac:dyDescent="0.3">
      <c r="A10" s="10"/>
      <c r="B10" s="46" t="s">
        <v>183</v>
      </c>
      <c r="C10" s="47"/>
      <c r="D10" s="47"/>
      <c r="E10" s="34">
        <v>5</v>
      </c>
      <c r="F10" s="35">
        <v>3.5</v>
      </c>
      <c r="G10" s="36">
        <f t="shared" ref="G10:G73" si="0">IFERROR(F10/E10,"")</f>
        <v>0.7</v>
      </c>
      <c r="H10" s="37" t="str">
        <f t="shared" ref="H10:H73" si="1">_xlfn.IFS(F10="أدخل العلامة","",F10="لا ينطبق","تم الإلغاء",G10&gt;=90%,"ممتاز",G10&gt;=80%,"جيد جداً",G10&gt;=70%,"جيد",G10&gt;=60%,"مقبول",G10&lt;60%,"راسب")</f>
        <v>جيد</v>
      </c>
      <c r="I10" s="56"/>
      <c r="J10" s="57"/>
    </row>
    <row r="11" spans="1:10" ht="30" customHeight="1" x14ac:dyDescent="0.3">
      <c r="A11" s="10"/>
      <c r="B11" s="46" t="s">
        <v>184</v>
      </c>
      <c r="C11" s="47"/>
      <c r="D11" s="47"/>
      <c r="E11" s="34">
        <v>5</v>
      </c>
      <c r="F11" s="35">
        <v>3.5</v>
      </c>
      <c r="G11" s="36">
        <f t="shared" si="0"/>
        <v>0.7</v>
      </c>
      <c r="H11" s="37" t="str">
        <f t="shared" si="1"/>
        <v>جيد</v>
      </c>
      <c r="I11" s="56"/>
      <c r="J11" s="57"/>
    </row>
    <row r="12" spans="1:10" ht="30" customHeight="1" x14ac:dyDescent="0.3">
      <c r="A12" s="10"/>
      <c r="B12" s="46" t="s">
        <v>185</v>
      </c>
      <c r="C12" s="47"/>
      <c r="D12" s="47"/>
      <c r="E12" s="34">
        <v>5</v>
      </c>
      <c r="F12" s="35">
        <v>3.75</v>
      </c>
      <c r="G12" s="36">
        <f t="shared" si="0"/>
        <v>0.75</v>
      </c>
      <c r="H12" s="37" t="str">
        <f t="shared" si="1"/>
        <v>جيد</v>
      </c>
      <c r="I12" s="56"/>
      <c r="J12" s="57"/>
    </row>
    <row r="13" spans="1:10" ht="30" customHeight="1" x14ac:dyDescent="0.3">
      <c r="A13" s="10"/>
      <c r="B13" s="46" t="s">
        <v>186</v>
      </c>
      <c r="C13" s="47"/>
      <c r="D13" s="47"/>
      <c r="E13" s="34">
        <v>5</v>
      </c>
      <c r="F13" s="35">
        <v>3.75</v>
      </c>
      <c r="G13" s="36">
        <f t="shared" si="0"/>
        <v>0.75</v>
      </c>
      <c r="H13" s="37" t="str">
        <f t="shared" si="1"/>
        <v>جيد</v>
      </c>
      <c r="I13" s="56"/>
      <c r="J13" s="57"/>
    </row>
    <row r="14" spans="1:10" ht="30" customHeight="1" x14ac:dyDescent="0.3">
      <c r="A14" s="10"/>
      <c r="B14" s="46" t="s">
        <v>187</v>
      </c>
      <c r="C14" s="47"/>
      <c r="D14" s="47"/>
      <c r="E14" s="34">
        <v>5</v>
      </c>
      <c r="F14" s="35">
        <v>3.75</v>
      </c>
      <c r="G14" s="36">
        <f t="shared" si="0"/>
        <v>0.75</v>
      </c>
      <c r="H14" s="37" t="str">
        <f t="shared" si="1"/>
        <v>جيد</v>
      </c>
      <c r="I14" s="56"/>
      <c r="J14" s="57"/>
    </row>
    <row r="15" spans="1:10" ht="30" customHeight="1" x14ac:dyDescent="0.3">
      <c r="A15" s="10"/>
      <c r="B15" s="46" t="s">
        <v>188</v>
      </c>
      <c r="C15" s="47"/>
      <c r="D15" s="47"/>
      <c r="E15" s="34">
        <v>5</v>
      </c>
      <c r="F15" s="35">
        <v>3.5</v>
      </c>
      <c r="G15" s="36">
        <f t="shared" si="0"/>
        <v>0.7</v>
      </c>
      <c r="H15" s="37" t="str">
        <f t="shared" si="1"/>
        <v>جيد</v>
      </c>
      <c r="I15" s="56"/>
      <c r="J15" s="57"/>
    </row>
    <row r="16" spans="1:10" ht="53.25" customHeight="1" x14ac:dyDescent="0.3">
      <c r="A16" s="10"/>
      <c r="B16" s="46" t="s">
        <v>189</v>
      </c>
      <c r="C16" s="47"/>
      <c r="D16" s="47"/>
      <c r="E16" s="34">
        <v>5</v>
      </c>
      <c r="F16" s="35">
        <v>3.5</v>
      </c>
      <c r="G16" s="36">
        <f t="shared" si="0"/>
        <v>0.7</v>
      </c>
      <c r="H16" s="37" t="str">
        <f t="shared" si="1"/>
        <v>جيد</v>
      </c>
      <c r="I16" s="56"/>
      <c r="J16" s="57"/>
    </row>
    <row r="17" spans="1:10" ht="30" customHeight="1" x14ac:dyDescent="0.3">
      <c r="A17" s="10"/>
      <c r="B17" s="46" t="s">
        <v>190</v>
      </c>
      <c r="C17" s="47"/>
      <c r="D17" s="47"/>
      <c r="E17" s="34">
        <v>5</v>
      </c>
      <c r="F17" s="35">
        <v>3.75</v>
      </c>
      <c r="G17" s="36">
        <f t="shared" si="0"/>
        <v>0.75</v>
      </c>
      <c r="H17" s="37" t="str">
        <f t="shared" si="1"/>
        <v>جيد</v>
      </c>
      <c r="I17" s="56"/>
      <c r="J17" s="57"/>
    </row>
    <row r="18" spans="1:10" ht="30" customHeight="1" x14ac:dyDescent="0.3">
      <c r="A18" s="10"/>
      <c r="B18" s="46" t="s">
        <v>191</v>
      </c>
      <c r="C18" s="47"/>
      <c r="D18" s="47"/>
      <c r="E18" s="34">
        <v>5</v>
      </c>
      <c r="F18" s="35">
        <v>3.75</v>
      </c>
      <c r="G18" s="36">
        <f t="shared" si="0"/>
        <v>0.75</v>
      </c>
      <c r="H18" s="37" t="str">
        <f t="shared" si="1"/>
        <v>جيد</v>
      </c>
      <c r="I18" s="56"/>
      <c r="J18" s="57"/>
    </row>
    <row r="19" spans="1:10" ht="30" customHeight="1" x14ac:dyDescent="0.3">
      <c r="A19" s="10"/>
      <c r="B19" s="46" t="s">
        <v>192</v>
      </c>
      <c r="C19" s="47"/>
      <c r="D19" s="47"/>
      <c r="E19" s="34">
        <v>5</v>
      </c>
      <c r="F19" s="35">
        <v>3.75</v>
      </c>
      <c r="G19" s="36">
        <f t="shared" si="0"/>
        <v>0.75</v>
      </c>
      <c r="H19" s="37" t="str">
        <f t="shared" si="1"/>
        <v>جيد</v>
      </c>
      <c r="I19" s="56"/>
      <c r="J19" s="57"/>
    </row>
    <row r="20" spans="1:10" ht="30" customHeight="1" x14ac:dyDescent="0.3">
      <c r="A20" s="10"/>
      <c r="B20" s="46" t="s">
        <v>193</v>
      </c>
      <c r="C20" s="47"/>
      <c r="D20" s="47"/>
      <c r="E20" s="34">
        <v>5</v>
      </c>
      <c r="F20" s="35">
        <v>3.75</v>
      </c>
      <c r="G20" s="36">
        <f t="shared" si="0"/>
        <v>0.75</v>
      </c>
      <c r="H20" s="37" t="str">
        <f t="shared" si="1"/>
        <v>جيد</v>
      </c>
      <c r="I20" s="56"/>
      <c r="J20" s="57"/>
    </row>
    <row r="21" spans="1:10" ht="30" customHeight="1" thickBot="1" x14ac:dyDescent="0.35">
      <c r="A21" s="10"/>
      <c r="B21" s="42" t="s">
        <v>194</v>
      </c>
      <c r="C21" s="43"/>
      <c r="D21" s="43"/>
      <c r="E21" s="38">
        <v>5</v>
      </c>
      <c r="F21" s="39">
        <v>3.75</v>
      </c>
      <c r="G21" s="40">
        <f t="shared" si="0"/>
        <v>0.75</v>
      </c>
      <c r="H21" s="41" t="str">
        <f t="shared" si="1"/>
        <v>جيد</v>
      </c>
      <c r="I21" s="58"/>
      <c r="J21" s="59"/>
    </row>
    <row r="22" spans="1:10" ht="39.9" customHeight="1" x14ac:dyDescent="0.3">
      <c r="A22" s="10"/>
      <c r="B22" s="48" t="s">
        <v>195</v>
      </c>
      <c r="C22" s="49"/>
      <c r="D22" s="49"/>
      <c r="E22" s="30"/>
      <c r="F22" s="31"/>
      <c r="G22" s="32"/>
      <c r="H22" s="33"/>
      <c r="I22" s="60"/>
      <c r="J22" s="61"/>
    </row>
    <row r="23" spans="1:10" ht="30" customHeight="1" x14ac:dyDescent="0.3">
      <c r="A23" s="10"/>
      <c r="B23" s="46" t="s">
        <v>196</v>
      </c>
      <c r="C23" s="47"/>
      <c r="D23" s="47"/>
      <c r="E23" s="34">
        <v>5</v>
      </c>
      <c r="F23" s="35">
        <v>3.75</v>
      </c>
      <c r="G23" s="36">
        <f t="shared" si="0"/>
        <v>0.75</v>
      </c>
      <c r="H23" s="37" t="str">
        <f t="shared" si="1"/>
        <v>جيد</v>
      </c>
      <c r="I23" s="56"/>
      <c r="J23" s="57"/>
    </row>
    <row r="24" spans="1:10" ht="30" customHeight="1" x14ac:dyDescent="0.3">
      <c r="A24" s="10"/>
      <c r="B24" s="46" t="s">
        <v>197</v>
      </c>
      <c r="C24" s="47"/>
      <c r="D24" s="47"/>
      <c r="E24" s="34">
        <v>5</v>
      </c>
      <c r="F24" s="35">
        <v>3.75</v>
      </c>
      <c r="G24" s="36">
        <f t="shared" si="0"/>
        <v>0.75</v>
      </c>
      <c r="H24" s="37" t="str">
        <f t="shared" si="1"/>
        <v>جيد</v>
      </c>
      <c r="I24" s="56"/>
      <c r="J24" s="57"/>
    </row>
    <row r="25" spans="1:10" ht="30" customHeight="1" x14ac:dyDescent="0.3">
      <c r="A25" s="10"/>
      <c r="B25" s="46" t="s">
        <v>198</v>
      </c>
      <c r="C25" s="47"/>
      <c r="D25" s="47"/>
      <c r="E25" s="34">
        <v>5</v>
      </c>
      <c r="F25" s="35">
        <v>3.75</v>
      </c>
      <c r="G25" s="36">
        <f t="shared" si="0"/>
        <v>0.75</v>
      </c>
      <c r="H25" s="37" t="str">
        <f t="shared" si="1"/>
        <v>جيد</v>
      </c>
      <c r="I25" s="56"/>
      <c r="J25" s="57"/>
    </row>
    <row r="26" spans="1:10" ht="30" customHeight="1" x14ac:dyDescent="0.3">
      <c r="A26" s="10"/>
      <c r="B26" s="46" t="s">
        <v>199</v>
      </c>
      <c r="C26" s="47"/>
      <c r="D26" s="47"/>
      <c r="E26" s="34">
        <v>5</v>
      </c>
      <c r="F26" s="35">
        <v>3.5</v>
      </c>
      <c r="G26" s="36">
        <f t="shared" si="0"/>
        <v>0.7</v>
      </c>
      <c r="H26" s="37" t="str">
        <f t="shared" si="1"/>
        <v>جيد</v>
      </c>
      <c r="I26" s="56"/>
      <c r="J26" s="57"/>
    </row>
    <row r="27" spans="1:10" ht="30" customHeight="1" x14ac:dyDescent="0.3">
      <c r="A27" s="10"/>
      <c r="B27" s="46" t="s">
        <v>200</v>
      </c>
      <c r="C27" s="47"/>
      <c r="D27" s="47"/>
      <c r="E27" s="34">
        <v>5</v>
      </c>
      <c r="F27" s="35">
        <v>3.75</v>
      </c>
      <c r="G27" s="36">
        <f t="shared" si="0"/>
        <v>0.75</v>
      </c>
      <c r="H27" s="37" t="str">
        <f t="shared" si="1"/>
        <v>جيد</v>
      </c>
      <c r="I27" s="56"/>
      <c r="J27" s="57"/>
    </row>
    <row r="28" spans="1:10" ht="30" customHeight="1" x14ac:dyDescent="0.3">
      <c r="A28" s="10"/>
      <c r="B28" s="46" t="s">
        <v>201</v>
      </c>
      <c r="C28" s="47"/>
      <c r="D28" s="47"/>
      <c r="E28" s="34">
        <v>5</v>
      </c>
      <c r="F28" s="35">
        <v>3.75</v>
      </c>
      <c r="G28" s="36">
        <f t="shared" si="0"/>
        <v>0.75</v>
      </c>
      <c r="H28" s="37" t="str">
        <f t="shared" si="1"/>
        <v>جيد</v>
      </c>
      <c r="I28" s="56"/>
      <c r="J28" s="57"/>
    </row>
    <row r="29" spans="1:10" ht="30" customHeight="1" thickBot="1" x14ac:dyDescent="0.35">
      <c r="A29" s="10"/>
      <c r="B29" s="42" t="s">
        <v>202</v>
      </c>
      <c r="C29" s="43"/>
      <c r="D29" s="43"/>
      <c r="E29" s="38">
        <v>5</v>
      </c>
      <c r="F29" s="39">
        <v>3.5</v>
      </c>
      <c r="G29" s="40">
        <f t="shared" si="0"/>
        <v>0.7</v>
      </c>
      <c r="H29" s="41" t="str">
        <f t="shared" si="1"/>
        <v>جيد</v>
      </c>
      <c r="I29" s="58"/>
      <c r="J29" s="59"/>
    </row>
    <row r="30" spans="1:10" ht="30" customHeight="1" x14ac:dyDescent="0.3">
      <c r="A30" s="10"/>
      <c r="B30" s="48" t="s">
        <v>203</v>
      </c>
      <c r="C30" s="49"/>
      <c r="D30" s="49"/>
      <c r="E30" s="30"/>
      <c r="F30" s="31"/>
      <c r="G30" s="32"/>
      <c r="H30" s="33"/>
      <c r="I30" s="60"/>
      <c r="J30" s="61"/>
    </row>
    <row r="31" spans="1:10" ht="39.9" customHeight="1" x14ac:dyDescent="0.3">
      <c r="A31" s="10"/>
      <c r="B31" s="46" t="s">
        <v>204</v>
      </c>
      <c r="C31" s="47"/>
      <c r="D31" s="47"/>
      <c r="E31" s="34">
        <v>5</v>
      </c>
      <c r="F31" s="35">
        <v>3.5</v>
      </c>
      <c r="G31" s="36">
        <f t="shared" si="0"/>
        <v>0.7</v>
      </c>
      <c r="H31" s="37" t="str">
        <f t="shared" si="1"/>
        <v>جيد</v>
      </c>
      <c r="I31" s="56"/>
      <c r="J31" s="57"/>
    </row>
    <row r="32" spans="1:10" ht="39.9" customHeight="1" x14ac:dyDescent="0.3">
      <c r="A32" s="10"/>
      <c r="B32" s="46" t="s">
        <v>205</v>
      </c>
      <c r="C32" s="47"/>
      <c r="D32" s="47"/>
      <c r="E32" s="34">
        <v>5</v>
      </c>
      <c r="F32" s="35">
        <v>3.75</v>
      </c>
      <c r="G32" s="36">
        <f t="shared" si="0"/>
        <v>0.75</v>
      </c>
      <c r="H32" s="37" t="str">
        <f t="shared" si="1"/>
        <v>جيد</v>
      </c>
      <c r="I32" s="56"/>
      <c r="J32" s="57"/>
    </row>
    <row r="33" spans="1:10" ht="39.9" customHeight="1" thickBot="1" x14ac:dyDescent="0.35">
      <c r="A33" s="10"/>
      <c r="B33" s="42" t="s">
        <v>206</v>
      </c>
      <c r="C33" s="43"/>
      <c r="D33" s="43"/>
      <c r="E33" s="38">
        <v>5</v>
      </c>
      <c r="F33" s="39">
        <v>3.75</v>
      </c>
      <c r="G33" s="40">
        <f t="shared" si="0"/>
        <v>0.75</v>
      </c>
      <c r="H33" s="41" t="str">
        <f t="shared" si="1"/>
        <v>جيد</v>
      </c>
      <c r="I33" s="58"/>
      <c r="J33" s="59"/>
    </row>
    <row r="34" spans="1:10" ht="30" customHeight="1" x14ac:dyDescent="0.3">
      <c r="A34" s="10"/>
      <c r="B34" s="48" t="s">
        <v>207</v>
      </c>
      <c r="C34" s="49"/>
      <c r="D34" s="49"/>
      <c r="E34" s="30"/>
      <c r="F34" s="31"/>
      <c r="G34" s="32"/>
      <c r="H34" s="33"/>
      <c r="I34" s="60"/>
      <c r="J34" s="61"/>
    </row>
    <row r="35" spans="1:10" ht="39.9" customHeight="1" x14ac:dyDescent="0.3">
      <c r="A35" s="10"/>
      <c r="B35" s="46" t="s">
        <v>208</v>
      </c>
      <c r="C35" s="47"/>
      <c r="D35" s="47"/>
      <c r="E35" s="34">
        <v>5</v>
      </c>
      <c r="F35" s="35">
        <v>3.75</v>
      </c>
      <c r="G35" s="36">
        <f t="shared" si="0"/>
        <v>0.75</v>
      </c>
      <c r="H35" s="37" t="str">
        <f t="shared" si="1"/>
        <v>جيد</v>
      </c>
      <c r="I35" s="56"/>
      <c r="J35" s="57"/>
    </row>
    <row r="36" spans="1:10" ht="30" customHeight="1" x14ac:dyDescent="0.3">
      <c r="A36" s="10"/>
      <c r="B36" s="46" t="s">
        <v>209</v>
      </c>
      <c r="C36" s="47"/>
      <c r="D36" s="47"/>
      <c r="E36" s="34">
        <v>5</v>
      </c>
      <c r="F36" s="35">
        <v>3.75</v>
      </c>
      <c r="G36" s="36">
        <f t="shared" si="0"/>
        <v>0.75</v>
      </c>
      <c r="H36" s="37" t="str">
        <f t="shared" si="1"/>
        <v>جيد</v>
      </c>
      <c r="I36" s="56"/>
      <c r="J36" s="57"/>
    </row>
    <row r="37" spans="1:10" ht="39.9" customHeight="1" x14ac:dyDescent="0.3">
      <c r="A37" s="10"/>
      <c r="B37" s="46" t="s">
        <v>210</v>
      </c>
      <c r="C37" s="47"/>
      <c r="D37" s="47"/>
      <c r="E37" s="34">
        <v>5</v>
      </c>
      <c r="F37" s="35">
        <v>3.75</v>
      </c>
      <c r="G37" s="36">
        <f t="shared" si="0"/>
        <v>0.75</v>
      </c>
      <c r="H37" s="37" t="str">
        <f t="shared" si="1"/>
        <v>جيد</v>
      </c>
      <c r="I37" s="56"/>
      <c r="J37" s="57"/>
    </row>
    <row r="38" spans="1:10" ht="39.9" customHeight="1" x14ac:dyDescent="0.3">
      <c r="A38" s="10"/>
      <c r="B38" s="46" t="s">
        <v>211</v>
      </c>
      <c r="C38" s="47"/>
      <c r="D38" s="47"/>
      <c r="E38" s="34">
        <v>5</v>
      </c>
      <c r="F38" s="35">
        <v>3.75</v>
      </c>
      <c r="G38" s="36">
        <f t="shared" si="0"/>
        <v>0.75</v>
      </c>
      <c r="H38" s="37" t="str">
        <f t="shared" si="1"/>
        <v>جيد</v>
      </c>
      <c r="I38" s="56"/>
      <c r="J38" s="57"/>
    </row>
    <row r="39" spans="1:10" ht="30" customHeight="1" x14ac:dyDescent="0.3">
      <c r="A39" s="10"/>
      <c r="B39" s="46" t="s">
        <v>212</v>
      </c>
      <c r="C39" s="47"/>
      <c r="D39" s="47"/>
      <c r="E39" s="34">
        <v>5</v>
      </c>
      <c r="F39" s="35">
        <v>3.75</v>
      </c>
      <c r="G39" s="36">
        <f t="shared" si="0"/>
        <v>0.75</v>
      </c>
      <c r="H39" s="37" t="str">
        <f t="shared" si="1"/>
        <v>جيد</v>
      </c>
      <c r="I39" s="56"/>
      <c r="J39" s="57"/>
    </row>
    <row r="40" spans="1:10" ht="30" customHeight="1" x14ac:dyDescent="0.3">
      <c r="A40" s="10"/>
      <c r="B40" s="46" t="s">
        <v>213</v>
      </c>
      <c r="C40" s="47"/>
      <c r="D40" s="47"/>
      <c r="E40" s="34">
        <v>5</v>
      </c>
      <c r="F40" s="35">
        <v>3.75</v>
      </c>
      <c r="G40" s="36">
        <f t="shared" si="0"/>
        <v>0.75</v>
      </c>
      <c r="H40" s="37" t="str">
        <f t="shared" si="1"/>
        <v>جيد</v>
      </c>
      <c r="I40" s="56"/>
      <c r="J40" s="57"/>
    </row>
    <row r="41" spans="1:10" ht="41.25" customHeight="1" x14ac:dyDescent="0.3">
      <c r="A41" s="10"/>
      <c r="B41" s="46" t="s">
        <v>214</v>
      </c>
      <c r="C41" s="47"/>
      <c r="D41" s="47"/>
      <c r="E41" s="34">
        <v>5</v>
      </c>
      <c r="F41" s="35">
        <v>3.75</v>
      </c>
      <c r="G41" s="36">
        <f t="shared" si="0"/>
        <v>0.75</v>
      </c>
      <c r="H41" s="37" t="str">
        <f t="shared" si="1"/>
        <v>جيد</v>
      </c>
      <c r="I41" s="56"/>
      <c r="J41" s="57"/>
    </row>
    <row r="42" spans="1:10" ht="41.25" customHeight="1" x14ac:dyDescent="0.3">
      <c r="A42" s="10"/>
      <c r="B42" s="46" t="s">
        <v>215</v>
      </c>
      <c r="C42" s="47"/>
      <c r="D42" s="47"/>
      <c r="E42" s="34">
        <v>5</v>
      </c>
      <c r="F42" s="35">
        <v>3.5</v>
      </c>
      <c r="G42" s="36">
        <f t="shared" si="0"/>
        <v>0.7</v>
      </c>
      <c r="H42" s="37" t="str">
        <f t="shared" si="1"/>
        <v>جيد</v>
      </c>
      <c r="I42" s="56"/>
      <c r="J42" s="57"/>
    </row>
    <row r="43" spans="1:10" ht="30" customHeight="1" x14ac:dyDescent="0.3">
      <c r="A43" s="10"/>
      <c r="B43" s="46" t="s">
        <v>216</v>
      </c>
      <c r="C43" s="47"/>
      <c r="D43" s="47"/>
      <c r="E43" s="34">
        <v>5</v>
      </c>
      <c r="F43" s="35">
        <v>3.75</v>
      </c>
      <c r="G43" s="36">
        <f t="shared" si="0"/>
        <v>0.75</v>
      </c>
      <c r="H43" s="37" t="str">
        <f t="shared" si="1"/>
        <v>جيد</v>
      </c>
      <c r="I43" s="56"/>
      <c r="J43" s="57"/>
    </row>
    <row r="44" spans="1:10" ht="30" customHeight="1" x14ac:dyDescent="0.3">
      <c r="A44" s="10"/>
      <c r="B44" s="46" t="s">
        <v>217</v>
      </c>
      <c r="C44" s="47"/>
      <c r="D44" s="47"/>
      <c r="E44" s="34">
        <v>5</v>
      </c>
      <c r="F44" s="35">
        <v>3.5</v>
      </c>
      <c r="G44" s="36">
        <f t="shared" si="0"/>
        <v>0.7</v>
      </c>
      <c r="H44" s="37" t="str">
        <f t="shared" si="1"/>
        <v>جيد</v>
      </c>
      <c r="I44" s="56"/>
      <c r="J44" s="57"/>
    </row>
    <row r="45" spans="1:10" ht="30" customHeight="1" x14ac:dyDescent="0.3">
      <c r="A45" s="10"/>
      <c r="B45" s="46" t="s">
        <v>218</v>
      </c>
      <c r="C45" s="47"/>
      <c r="D45" s="47"/>
      <c r="E45" s="34">
        <v>5</v>
      </c>
      <c r="F45" s="35">
        <v>3.75</v>
      </c>
      <c r="G45" s="36">
        <f t="shared" si="0"/>
        <v>0.75</v>
      </c>
      <c r="H45" s="37" t="str">
        <f t="shared" si="1"/>
        <v>جيد</v>
      </c>
      <c r="I45" s="56"/>
      <c r="J45" s="57"/>
    </row>
    <row r="46" spans="1:10" ht="30" customHeight="1" x14ac:dyDescent="0.3">
      <c r="A46" s="10"/>
      <c r="B46" s="46" t="s">
        <v>219</v>
      </c>
      <c r="C46" s="47"/>
      <c r="D46" s="47"/>
      <c r="E46" s="34">
        <v>5</v>
      </c>
      <c r="F46" s="35">
        <v>3.75</v>
      </c>
      <c r="G46" s="36">
        <f t="shared" si="0"/>
        <v>0.75</v>
      </c>
      <c r="H46" s="37" t="str">
        <f t="shared" si="1"/>
        <v>جيد</v>
      </c>
      <c r="I46" s="56"/>
      <c r="J46" s="57"/>
    </row>
    <row r="47" spans="1:10" ht="30" customHeight="1" x14ac:dyDescent="0.3">
      <c r="A47" s="10"/>
      <c r="B47" s="46" t="s">
        <v>220</v>
      </c>
      <c r="C47" s="47"/>
      <c r="D47" s="47"/>
      <c r="E47" s="34">
        <v>5</v>
      </c>
      <c r="F47" s="35">
        <v>3.75</v>
      </c>
      <c r="G47" s="36">
        <f t="shared" si="0"/>
        <v>0.75</v>
      </c>
      <c r="H47" s="37" t="str">
        <f t="shared" si="1"/>
        <v>جيد</v>
      </c>
      <c r="I47" s="56"/>
      <c r="J47" s="57"/>
    </row>
    <row r="48" spans="1:10" ht="30" customHeight="1" thickBot="1" x14ac:dyDescent="0.35">
      <c r="A48" s="10"/>
      <c r="B48" s="42" t="s">
        <v>221</v>
      </c>
      <c r="C48" s="43"/>
      <c r="D48" s="43"/>
      <c r="E48" s="38">
        <v>5</v>
      </c>
      <c r="F48" s="39">
        <v>3.75</v>
      </c>
      <c r="G48" s="40">
        <f t="shared" si="0"/>
        <v>0.75</v>
      </c>
      <c r="H48" s="41" t="str">
        <f t="shared" si="1"/>
        <v>جيد</v>
      </c>
      <c r="I48" s="58"/>
      <c r="J48" s="59"/>
    </row>
    <row r="49" spans="1:10" ht="30" customHeight="1" x14ac:dyDescent="0.3">
      <c r="A49" s="10"/>
      <c r="B49" s="48" t="s">
        <v>222</v>
      </c>
      <c r="C49" s="49"/>
      <c r="D49" s="49"/>
      <c r="E49" s="30"/>
      <c r="F49" s="31"/>
      <c r="G49" s="32"/>
      <c r="H49" s="33"/>
      <c r="I49" s="60"/>
      <c r="J49" s="61"/>
    </row>
    <row r="50" spans="1:10" ht="41.25" customHeight="1" x14ac:dyDescent="0.3">
      <c r="A50" s="10"/>
      <c r="B50" s="46" t="s">
        <v>223</v>
      </c>
      <c r="C50" s="47"/>
      <c r="D50" s="47"/>
      <c r="E50" s="34">
        <v>5</v>
      </c>
      <c r="F50" s="35">
        <v>3.75</v>
      </c>
      <c r="G50" s="36">
        <f t="shared" si="0"/>
        <v>0.75</v>
      </c>
      <c r="H50" s="37" t="str">
        <f t="shared" si="1"/>
        <v>جيد</v>
      </c>
      <c r="I50" s="56"/>
      <c r="J50" s="57"/>
    </row>
    <row r="51" spans="1:10" ht="54.75" customHeight="1" x14ac:dyDescent="0.3">
      <c r="A51" s="10"/>
      <c r="B51" s="46" t="s">
        <v>224</v>
      </c>
      <c r="C51" s="47"/>
      <c r="D51" s="47"/>
      <c r="E51" s="34">
        <v>5</v>
      </c>
      <c r="F51" s="35">
        <v>3.5</v>
      </c>
      <c r="G51" s="36">
        <f t="shared" si="0"/>
        <v>0.7</v>
      </c>
      <c r="H51" s="37" t="str">
        <f t="shared" si="1"/>
        <v>جيد</v>
      </c>
      <c r="I51" s="56"/>
      <c r="J51" s="57"/>
    </row>
    <row r="52" spans="1:10" ht="41.25" customHeight="1" x14ac:dyDescent="0.3">
      <c r="A52" s="10"/>
      <c r="B52" s="46" t="s">
        <v>225</v>
      </c>
      <c r="C52" s="47"/>
      <c r="D52" s="47"/>
      <c r="E52" s="34">
        <v>5</v>
      </c>
      <c r="F52" s="35">
        <v>3.75</v>
      </c>
      <c r="G52" s="36">
        <f t="shared" si="0"/>
        <v>0.75</v>
      </c>
      <c r="H52" s="37" t="str">
        <f t="shared" si="1"/>
        <v>جيد</v>
      </c>
      <c r="I52" s="56"/>
      <c r="J52" s="57"/>
    </row>
    <row r="53" spans="1:10" ht="41.25" customHeight="1" x14ac:dyDescent="0.3">
      <c r="A53" s="10"/>
      <c r="B53" s="46" t="s">
        <v>226</v>
      </c>
      <c r="C53" s="47"/>
      <c r="D53" s="47"/>
      <c r="E53" s="34">
        <v>5</v>
      </c>
      <c r="F53" s="35">
        <v>3.75</v>
      </c>
      <c r="G53" s="36">
        <f t="shared" si="0"/>
        <v>0.75</v>
      </c>
      <c r="H53" s="37" t="str">
        <f t="shared" si="1"/>
        <v>جيد</v>
      </c>
      <c r="I53" s="56"/>
      <c r="J53" s="57"/>
    </row>
    <row r="54" spans="1:10" ht="30" customHeight="1" x14ac:dyDescent="0.3">
      <c r="A54" s="10"/>
      <c r="B54" s="46" t="s">
        <v>227</v>
      </c>
      <c r="C54" s="47"/>
      <c r="D54" s="47"/>
      <c r="E54" s="34">
        <v>5</v>
      </c>
      <c r="F54" s="35">
        <v>3.5</v>
      </c>
      <c r="G54" s="36">
        <f t="shared" si="0"/>
        <v>0.7</v>
      </c>
      <c r="H54" s="37" t="str">
        <f t="shared" si="1"/>
        <v>جيد</v>
      </c>
      <c r="I54" s="56"/>
      <c r="J54" s="57"/>
    </row>
    <row r="55" spans="1:10" ht="30" customHeight="1" x14ac:dyDescent="0.3">
      <c r="A55" s="10"/>
      <c r="B55" s="46" t="s">
        <v>228</v>
      </c>
      <c r="C55" s="47"/>
      <c r="D55" s="47"/>
      <c r="E55" s="34">
        <v>5</v>
      </c>
      <c r="F55" s="35">
        <v>3.5</v>
      </c>
      <c r="G55" s="36">
        <f t="shared" si="0"/>
        <v>0.7</v>
      </c>
      <c r="H55" s="37" t="str">
        <f t="shared" si="1"/>
        <v>جيد</v>
      </c>
      <c r="I55" s="56"/>
      <c r="J55" s="57"/>
    </row>
    <row r="56" spans="1:10" ht="39.9" customHeight="1" x14ac:dyDescent="0.3">
      <c r="A56" s="10"/>
      <c r="B56" s="46" t="s">
        <v>229</v>
      </c>
      <c r="C56" s="47"/>
      <c r="D56" s="47"/>
      <c r="E56" s="34">
        <v>5</v>
      </c>
      <c r="F56" s="35">
        <v>3.75</v>
      </c>
      <c r="G56" s="36">
        <f t="shared" si="0"/>
        <v>0.75</v>
      </c>
      <c r="H56" s="37" t="str">
        <f t="shared" si="1"/>
        <v>جيد</v>
      </c>
      <c r="I56" s="56"/>
      <c r="J56" s="57"/>
    </row>
    <row r="57" spans="1:10" ht="30" customHeight="1" x14ac:dyDescent="0.3">
      <c r="A57" s="10"/>
      <c r="B57" s="46" t="s">
        <v>230</v>
      </c>
      <c r="C57" s="47"/>
      <c r="D57" s="47"/>
      <c r="E57" s="34">
        <v>5</v>
      </c>
      <c r="F57" s="35">
        <v>3.75</v>
      </c>
      <c r="G57" s="36">
        <f t="shared" si="0"/>
        <v>0.75</v>
      </c>
      <c r="H57" s="37" t="str">
        <f t="shared" si="1"/>
        <v>جيد</v>
      </c>
      <c r="I57" s="56"/>
      <c r="J57" s="57"/>
    </row>
    <row r="58" spans="1:10" ht="30" customHeight="1" x14ac:dyDescent="0.3">
      <c r="A58" s="10"/>
      <c r="B58" s="46" t="s">
        <v>231</v>
      </c>
      <c r="C58" s="47"/>
      <c r="D58" s="47"/>
      <c r="E58" s="34">
        <v>5</v>
      </c>
      <c r="F58" s="35">
        <v>3.75</v>
      </c>
      <c r="G58" s="36">
        <f t="shared" si="0"/>
        <v>0.75</v>
      </c>
      <c r="H58" s="37" t="str">
        <f t="shared" si="1"/>
        <v>جيد</v>
      </c>
      <c r="I58" s="56"/>
      <c r="J58" s="57"/>
    </row>
    <row r="59" spans="1:10" ht="30" customHeight="1" x14ac:dyDescent="0.3">
      <c r="A59" s="10"/>
      <c r="B59" s="46" t="s">
        <v>232</v>
      </c>
      <c r="C59" s="47"/>
      <c r="D59" s="47"/>
      <c r="E59" s="34">
        <v>5</v>
      </c>
      <c r="F59" s="35">
        <v>3.5</v>
      </c>
      <c r="G59" s="36">
        <f t="shared" si="0"/>
        <v>0.7</v>
      </c>
      <c r="H59" s="37" t="str">
        <f t="shared" si="1"/>
        <v>جيد</v>
      </c>
      <c r="I59" s="56"/>
      <c r="J59" s="57"/>
    </row>
    <row r="60" spans="1:10" ht="30" customHeight="1" thickBot="1" x14ac:dyDescent="0.35">
      <c r="A60" s="10"/>
      <c r="B60" s="42" t="s">
        <v>233</v>
      </c>
      <c r="C60" s="43"/>
      <c r="D60" s="43"/>
      <c r="E60" s="38">
        <v>5</v>
      </c>
      <c r="F60" s="39">
        <v>3.5</v>
      </c>
      <c r="G60" s="40">
        <f t="shared" si="0"/>
        <v>0.7</v>
      </c>
      <c r="H60" s="41" t="str">
        <f t="shared" si="1"/>
        <v>جيد</v>
      </c>
      <c r="I60" s="58"/>
      <c r="J60" s="59"/>
    </row>
    <row r="61" spans="1:10" ht="30" customHeight="1" x14ac:dyDescent="0.3">
      <c r="A61" s="10"/>
      <c r="B61" s="50" t="s">
        <v>234</v>
      </c>
      <c r="C61" s="51"/>
      <c r="D61" s="51"/>
      <c r="E61" s="30"/>
      <c r="F61" s="31"/>
      <c r="G61" s="32"/>
      <c r="H61" s="33"/>
      <c r="I61" s="60"/>
      <c r="J61" s="61"/>
    </row>
    <row r="62" spans="1:10" ht="30" customHeight="1" x14ac:dyDescent="0.3">
      <c r="A62" s="10"/>
      <c r="B62" s="46" t="s">
        <v>235</v>
      </c>
      <c r="C62" s="47"/>
      <c r="D62" s="47"/>
      <c r="E62" s="34">
        <v>5</v>
      </c>
      <c r="F62" s="35">
        <v>3.5</v>
      </c>
      <c r="G62" s="36">
        <f t="shared" si="0"/>
        <v>0.7</v>
      </c>
      <c r="H62" s="37" t="str">
        <f t="shared" si="1"/>
        <v>جيد</v>
      </c>
      <c r="I62" s="56"/>
      <c r="J62" s="57"/>
    </row>
    <row r="63" spans="1:10" ht="30" customHeight="1" x14ac:dyDescent="0.3">
      <c r="A63" s="10"/>
      <c r="B63" s="46" t="s">
        <v>236</v>
      </c>
      <c r="C63" s="47"/>
      <c r="D63" s="47"/>
      <c r="E63" s="34">
        <v>5</v>
      </c>
      <c r="F63" s="35">
        <v>3.5</v>
      </c>
      <c r="G63" s="36">
        <f t="shared" si="0"/>
        <v>0.7</v>
      </c>
      <c r="H63" s="37" t="str">
        <f t="shared" si="1"/>
        <v>جيد</v>
      </c>
      <c r="I63" s="56"/>
      <c r="J63" s="57"/>
    </row>
    <row r="64" spans="1:10" ht="30" customHeight="1" x14ac:dyDescent="0.3">
      <c r="A64" s="10"/>
      <c r="B64" s="46" t="s">
        <v>237</v>
      </c>
      <c r="C64" s="47"/>
      <c r="D64" s="47"/>
      <c r="E64" s="34">
        <v>5</v>
      </c>
      <c r="F64" s="35">
        <v>3.5</v>
      </c>
      <c r="G64" s="36">
        <f t="shared" si="0"/>
        <v>0.7</v>
      </c>
      <c r="H64" s="37" t="str">
        <f t="shared" si="1"/>
        <v>جيد</v>
      </c>
      <c r="I64" s="56"/>
      <c r="J64" s="57"/>
    </row>
    <row r="65" spans="1:10" ht="30" customHeight="1" x14ac:dyDescent="0.3">
      <c r="A65" s="10"/>
      <c r="B65" s="46" t="s">
        <v>238</v>
      </c>
      <c r="C65" s="47"/>
      <c r="D65" s="47"/>
      <c r="E65" s="34">
        <v>5</v>
      </c>
      <c r="F65" s="35">
        <v>3.75</v>
      </c>
      <c r="G65" s="36">
        <f t="shared" si="0"/>
        <v>0.75</v>
      </c>
      <c r="H65" s="37" t="str">
        <f t="shared" si="1"/>
        <v>جيد</v>
      </c>
      <c r="I65" s="56"/>
      <c r="J65" s="57"/>
    </row>
    <row r="66" spans="1:10" ht="30" customHeight="1" x14ac:dyDescent="0.3">
      <c r="A66" s="10"/>
      <c r="B66" s="46" t="s">
        <v>239</v>
      </c>
      <c r="C66" s="47"/>
      <c r="D66" s="47"/>
      <c r="E66" s="34">
        <v>5</v>
      </c>
      <c r="F66" s="35">
        <v>3.75</v>
      </c>
      <c r="G66" s="36">
        <f t="shared" si="0"/>
        <v>0.75</v>
      </c>
      <c r="H66" s="37" t="str">
        <f t="shared" si="1"/>
        <v>جيد</v>
      </c>
      <c r="I66" s="56"/>
      <c r="J66" s="57"/>
    </row>
    <row r="67" spans="1:10" ht="30" customHeight="1" x14ac:dyDescent="0.3">
      <c r="A67" s="10"/>
      <c r="B67" s="46" t="s">
        <v>240</v>
      </c>
      <c r="C67" s="47"/>
      <c r="D67" s="47"/>
      <c r="E67" s="34">
        <v>5</v>
      </c>
      <c r="F67" s="35">
        <v>3.75</v>
      </c>
      <c r="G67" s="36">
        <f t="shared" si="0"/>
        <v>0.75</v>
      </c>
      <c r="H67" s="37" t="str">
        <f t="shared" si="1"/>
        <v>جيد</v>
      </c>
      <c r="I67" s="56"/>
      <c r="J67" s="57"/>
    </row>
    <row r="68" spans="1:10" ht="30" customHeight="1" x14ac:dyDescent="0.3">
      <c r="A68" s="10"/>
      <c r="B68" s="46" t="s">
        <v>241</v>
      </c>
      <c r="C68" s="47"/>
      <c r="D68" s="47"/>
      <c r="E68" s="34">
        <v>5</v>
      </c>
      <c r="F68" s="35">
        <v>3.5</v>
      </c>
      <c r="G68" s="36">
        <f t="shared" si="0"/>
        <v>0.7</v>
      </c>
      <c r="H68" s="37" t="str">
        <f t="shared" si="1"/>
        <v>جيد</v>
      </c>
      <c r="I68" s="56"/>
      <c r="J68" s="57"/>
    </row>
    <row r="69" spans="1:10" ht="30" customHeight="1" x14ac:dyDescent="0.3">
      <c r="A69" s="10"/>
      <c r="B69" s="46" t="s">
        <v>242</v>
      </c>
      <c r="C69" s="47"/>
      <c r="D69" s="47"/>
      <c r="E69" s="34">
        <v>5</v>
      </c>
      <c r="F69" s="35">
        <v>3.75</v>
      </c>
      <c r="G69" s="36">
        <f t="shared" si="0"/>
        <v>0.75</v>
      </c>
      <c r="H69" s="37" t="str">
        <f t="shared" si="1"/>
        <v>جيد</v>
      </c>
      <c r="I69" s="56"/>
      <c r="J69" s="57"/>
    </row>
    <row r="70" spans="1:10" ht="30" customHeight="1" x14ac:dyDescent="0.3">
      <c r="A70" s="10"/>
      <c r="B70" s="46" t="s">
        <v>243</v>
      </c>
      <c r="C70" s="47"/>
      <c r="D70" s="47"/>
      <c r="E70" s="34">
        <v>5</v>
      </c>
      <c r="F70" s="35">
        <v>3.5</v>
      </c>
      <c r="G70" s="36">
        <f t="shared" si="0"/>
        <v>0.7</v>
      </c>
      <c r="H70" s="37" t="str">
        <f t="shared" si="1"/>
        <v>جيد</v>
      </c>
      <c r="I70" s="56"/>
      <c r="J70" s="57"/>
    </row>
    <row r="71" spans="1:10" ht="30" customHeight="1" x14ac:dyDescent="0.3">
      <c r="A71" s="10"/>
      <c r="B71" s="46" t="s">
        <v>244</v>
      </c>
      <c r="C71" s="47"/>
      <c r="D71" s="47"/>
      <c r="E71" s="34">
        <v>5</v>
      </c>
      <c r="F71" s="35">
        <v>3.5</v>
      </c>
      <c r="G71" s="36">
        <f t="shared" si="0"/>
        <v>0.7</v>
      </c>
      <c r="H71" s="37" t="str">
        <f t="shared" si="1"/>
        <v>جيد</v>
      </c>
      <c r="I71" s="56"/>
      <c r="J71" s="57"/>
    </row>
    <row r="72" spans="1:10" ht="30" customHeight="1" x14ac:dyDescent="0.3">
      <c r="A72" s="10"/>
      <c r="B72" s="46" t="s">
        <v>245</v>
      </c>
      <c r="C72" s="47"/>
      <c r="D72" s="47"/>
      <c r="E72" s="34">
        <v>5</v>
      </c>
      <c r="F72" s="35">
        <v>3.75</v>
      </c>
      <c r="G72" s="36">
        <f t="shared" si="0"/>
        <v>0.75</v>
      </c>
      <c r="H72" s="37" t="str">
        <f t="shared" si="1"/>
        <v>جيد</v>
      </c>
      <c r="I72" s="56"/>
      <c r="J72" s="57"/>
    </row>
    <row r="73" spans="1:10" ht="30" customHeight="1" x14ac:dyDescent="0.3">
      <c r="A73" s="10"/>
      <c r="B73" s="46" t="s">
        <v>246</v>
      </c>
      <c r="C73" s="47"/>
      <c r="D73" s="47"/>
      <c r="E73" s="34">
        <v>5</v>
      </c>
      <c r="F73" s="35">
        <v>3.5</v>
      </c>
      <c r="G73" s="36">
        <f t="shared" si="0"/>
        <v>0.7</v>
      </c>
      <c r="H73" s="37" t="str">
        <f t="shared" si="1"/>
        <v>جيد</v>
      </c>
      <c r="I73" s="56"/>
      <c r="J73" s="57"/>
    </row>
    <row r="74" spans="1:10" ht="30" customHeight="1" x14ac:dyDescent="0.3">
      <c r="A74" s="10"/>
      <c r="B74" s="46" t="s">
        <v>247</v>
      </c>
      <c r="C74" s="47"/>
      <c r="D74" s="47"/>
      <c r="E74" s="34">
        <v>5</v>
      </c>
      <c r="F74" s="35">
        <v>3.75</v>
      </c>
      <c r="G74" s="36">
        <f t="shared" ref="G74:G95" si="2">IFERROR(F74/E74,"")</f>
        <v>0.75</v>
      </c>
      <c r="H74" s="37" t="str">
        <f t="shared" ref="H74:H95" si="3">_xlfn.IFS(F74="أدخل العلامة","",F74="لا ينطبق","تم الإلغاء",G74&gt;=90%,"ممتاز",G74&gt;=80%,"جيد جداً",G74&gt;=70%,"جيد",G74&gt;=60%,"مقبول",G74&lt;60%,"راسب")</f>
        <v>جيد</v>
      </c>
      <c r="I74" s="56"/>
      <c r="J74" s="57"/>
    </row>
    <row r="75" spans="1:10" ht="30" customHeight="1" thickBot="1" x14ac:dyDescent="0.35">
      <c r="A75" s="10"/>
      <c r="B75" s="42" t="s">
        <v>248</v>
      </c>
      <c r="C75" s="43"/>
      <c r="D75" s="43"/>
      <c r="E75" s="38">
        <v>5</v>
      </c>
      <c r="F75" s="39">
        <v>3.75</v>
      </c>
      <c r="G75" s="40">
        <f t="shared" si="2"/>
        <v>0.75</v>
      </c>
      <c r="H75" s="41" t="str">
        <f t="shared" si="3"/>
        <v>جيد</v>
      </c>
      <c r="I75" s="58"/>
      <c r="J75" s="59"/>
    </row>
    <row r="76" spans="1:10" ht="30" customHeight="1" x14ac:dyDescent="0.3">
      <c r="A76" s="10"/>
      <c r="B76" s="48" t="s">
        <v>249</v>
      </c>
      <c r="C76" s="49"/>
      <c r="D76" s="49"/>
      <c r="E76" s="30"/>
      <c r="F76" s="31"/>
      <c r="G76" s="32"/>
      <c r="H76" s="33"/>
      <c r="I76" s="60"/>
      <c r="J76" s="61"/>
    </row>
    <row r="77" spans="1:10" ht="30" customHeight="1" x14ac:dyDescent="0.3">
      <c r="A77" s="10"/>
      <c r="B77" s="46" t="s">
        <v>250</v>
      </c>
      <c r="C77" s="47"/>
      <c r="D77" s="47"/>
      <c r="E77" s="34">
        <v>5</v>
      </c>
      <c r="F77" s="35">
        <v>3.5</v>
      </c>
      <c r="G77" s="36">
        <f t="shared" si="2"/>
        <v>0.7</v>
      </c>
      <c r="H77" s="37" t="str">
        <f t="shared" si="3"/>
        <v>جيد</v>
      </c>
      <c r="I77" s="56"/>
      <c r="J77" s="57"/>
    </row>
    <row r="78" spans="1:10" ht="30" customHeight="1" x14ac:dyDescent="0.3">
      <c r="A78" s="10"/>
      <c r="B78" s="46" t="s">
        <v>251</v>
      </c>
      <c r="C78" s="47"/>
      <c r="D78" s="47"/>
      <c r="E78" s="34">
        <v>5</v>
      </c>
      <c r="F78" s="35">
        <v>3.5</v>
      </c>
      <c r="G78" s="36">
        <f t="shared" si="2"/>
        <v>0.7</v>
      </c>
      <c r="H78" s="37" t="str">
        <f t="shared" si="3"/>
        <v>جيد</v>
      </c>
      <c r="I78" s="56"/>
      <c r="J78" s="57"/>
    </row>
    <row r="79" spans="1:10" ht="30" customHeight="1" x14ac:dyDescent="0.3">
      <c r="A79" s="10"/>
      <c r="B79" s="46" t="s">
        <v>252</v>
      </c>
      <c r="C79" s="47"/>
      <c r="D79" s="47"/>
      <c r="E79" s="34">
        <v>5</v>
      </c>
      <c r="F79" s="35">
        <v>3.75</v>
      </c>
      <c r="G79" s="36">
        <f t="shared" si="2"/>
        <v>0.75</v>
      </c>
      <c r="H79" s="37" t="str">
        <f t="shared" si="3"/>
        <v>جيد</v>
      </c>
      <c r="I79" s="56"/>
      <c r="J79" s="57"/>
    </row>
    <row r="80" spans="1:10" ht="30" customHeight="1" x14ac:dyDescent="0.3">
      <c r="A80" s="10"/>
      <c r="B80" s="46" t="s">
        <v>253</v>
      </c>
      <c r="C80" s="47"/>
      <c r="D80" s="47"/>
      <c r="E80" s="34">
        <v>5</v>
      </c>
      <c r="F80" s="35">
        <v>3.75</v>
      </c>
      <c r="G80" s="36">
        <f t="shared" si="2"/>
        <v>0.75</v>
      </c>
      <c r="H80" s="37" t="str">
        <f t="shared" si="3"/>
        <v>جيد</v>
      </c>
      <c r="I80" s="56"/>
      <c r="J80" s="57"/>
    </row>
    <row r="81" spans="1:10" ht="30" customHeight="1" x14ac:dyDescent="0.3">
      <c r="A81" s="10"/>
      <c r="B81" s="46" t="s">
        <v>254</v>
      </c>
      <c r="C81" s="47"/>
      <c r="D81" s="47"/>
      <c r="E81" s="34">
        <v>5</v>
      </c>
      <c r="F81" s="35">
        <v>3.75</v>
      </c>
      <c r="G81" s="36">
        <f t="shared" si="2"/>
        <v>0.75</v>
      </c>
      <c r="H81" s="37" t="str">
        <f t="shared" si="3"/>
        <v>جيد</v>
      </c>
      <c r="I81" s="56"/>
      <c r="J81" s="57"/>
    </row>
    <row r="82" spans="1:10" ht="30" customHeight="1" thickBot="1" x14ac:dyDescent="0.35">
      <c r="A82" s="10"/>
      <c r="B82" s="42" t="s">
        <v>255</v>
      </c>
      <c r="C82" s="43"/>
      <c r="D82" s="43"/>
      <c r="E82" s="38">
        <v>5</v>
      </c>
      <c r="F82" s="39">
        <v>3.75</v>
      </c>
      <c r="G82" s="40">
        <f t="shared" si="2"/>
        <v>0.75</v>
      </c>
      <c r="H82" s="41" t="str">
        <f t="shared" si="3"/>
        <v>جيد</v>
      </c>
      <c r="I82" s="58"/>
      <c r="J82" s="59"/>
    </row>
    <row r="83" spans="1:10" ht="30" customHeight="1" x14ac:dyDescent="0.3">
      <c r="A83" s="10"/>
      <c r="B83" s="48" t="s">
        <v>256</v>
      </c>
      <c r="C83" s="49"/>
      <c r="D83" s="49"/>
      <c r="E83" s="30"/>
      <c r="F83" s="31"/>
      <c r="G83" s="32"/>
      <c r="H83" s="33"/>
      <c r="I83" s="60"/>
      <c r="J83" s="61"/>
    </row>
    <row r="84" spans="1:10" ht="30" customHeight="1" x14ac:dyDescent="0.3">
      <c r="A84" s="10"/>
      <c r="B84" s="46" t="s">
        <v>257</v>
      </c>
      <c r="C84" s="47"/>
      <c r="D84" s="47"/>
      <c r="E84" s="34">
        <v>5</v>
      </c>
      <c r="F84" s="35">
        <v>3.75</v>
      </c>
      <c r="G84" s="36">
        <f t="shared" si="2"/>
        <v>0.75</v>
      </c>
      <c r="H84" s="37" t="str">
        <f t="shared" si="3"/>
        <v>جيد</v>
      </c>
      <c r="I84" s="56"/>
      <c r="J84" s="57"/>
    </row>
    <row r="85" spans="1:10" ht="30" customHeight="1" x14ac:dyDescent="0.3">
      <c r="A85" s="10"/>
      <c r="B85" s="46" t="s">
        <v>258</v>
      </c>
      <c r="C85" s="47"/>
      <c r="D85" s="47"/>
      <c r="E85" s="34">
        <v>5</v>
      </c>
      <c r="F85" s="35">
        <v>3.75</v>
      </c>
      <c r="G85" s="36">
        <f t="shared" si="2"/>
        <v>0.75</v>
      </c>
      <c r="H85" s="37" t="str">
        <f t="shared" si="3"/>
        <v>جيد</v>
      </c>
      <c r="I85" s="56"/>
      <c r="J85" s="57"/>
    </row>
    <row r="86" spans="1:10" ht="30" customHeight="1" x14ac:dyDescent="0.3">
      <c r="A86" s="10"/>
      <c r="B86" s="46" t="s">
        <v>259</v>
      </c>
      <c r="C86" s="47"/>
      <c r="D86" s="47"/>
      <c r="E86" s="34">
        <v>5</v>
      </c>
      <c r="F86" s="35">
        <v>3.75</v>
      </c>
      <c r="G86" s="36">
        <f t="shared" si="2"/>
        <v>0.75</v>
      </c>
      <c r="H86" s="37" t="str">
        <f t="shared" si="3"/>
        <v>جيد</v>
      </c>
      <c r="I86" s="56"/>
      <c r="J86" s="57"/>
    </row>
    <row r="87" spans="1:10" ht="30" customHeight="1" x14ac:dyDescent="0.3">
      <c r="A87" s="10"/>
      <c r="B87" s="46" t="s">
        <v>260</v>
      </c>
      <c r="C87" s="47"/>
      <c r="D87" s="47"/>
      <c r="E87" s="34">
        <v>5</v>
      </c>
      <c r="F87" s="35">
        <v>3.75</v>
      </c>
      <c r="G87" s="36">
        <f t="shared" si="2"/>
        <v>0.75</v>
      </c>
      <c r="H87" s="37" t="str">
        <f t="shared" si="3"/>
        <v>جيد</v>
      </c>
      <c r="I87" s="56"/>
      <c r="J87" s="57"/>
    </row>
    <row r="88" spans="1:10" ht="30" customHeight="1" x14ac:dyDescent="0.3">
      <c r="A88" s="10"/>
      <c r="B88" s="46" t="s">
        <v>261</v>
      </c>
      <c r="C88" s="47"/>
      <c r="D88" s="47"/>
      <c r="E88" s="34">
        <v>5</v>
      </c>
      <c r="F88" s="35">
        <v>3.75</v>
      </c>
      <c r="G88" s="36">
        <f t="shared" si="2"/>
        <v>0.75</v>
      </c>
      <c r="H88" s="37" t="str">
        <f t="shared" si="3"/>
        <v>جيد</v>
      </c>
      <c r="I88" s="56"/>
      <c r="J88" s="57"/>
    </row>
    <row r="89" spans="1:10" ht="30" customHeight="1" x14ac:dyDescent="0.3">
      <c r="A89" s="10"/>
      <c r="B89" s="46" t="s">
        <v>262</v>
      </c>
      <c r="C89" s="47"/>
      <c r="D89" s="47"/>
      <c r="E89" s="34">
        <v>5</v>
      </c>
      <c r="F89" s="35">
        <v>3.5</v>
      </c>
      <c r="G89" s="36">
        <f t="shared" si="2"/>
        <v>0.7</v>
      </c>
      <c r="H89" s="37" t="str">
        <f t="shared" si="3"/>
        <v>جيد</v>
      </c>
      <c r="I89" s="56"/>
      <c r="J89" s="57"/>
    </row>
    <row r="90" spans="1:10" ht="30" customHeight="1" x14ac:dyDescent="0.3">
      <c r="A90" s="10"/>
      <c r="B90" s="46" t="s">
        <v>263</v>
      </c>
      <c r="C90" s="47"/>
      <c r="D90" s="47"/>
      <c r="E90" s="34">
        <v>5</v>
      </c>
      <c r="F90" s="35">
        <v>3.75</v>
      </c>
      <c r="G90" s="36">
        <f t="shared" si="2"/>
        <v>0.75</v>
      </c>
      <c r="H90" s="37" t="str">
        <f t="shared" si="3"/>
        <v>جيد</v>
      </c>
      <c r="I90" s="56"/>
      <c r="J90" s="57"/>
    </row>
    <row r="91" spans="1:10" ht="30" customHeight="1" x14ac:dyDescent="0.3">
      <c r="A91" s="10"/>
      <c r="B91" s="46" t="s">
        <v>264</v>
      </c>
      <c r="C91" s="47"/>
      <c r="D91" s="47"/>
      <c r="E91" s="34">
        <v>5</v>
      </c>
      <c r="F91" s="35">
        <v>3.75</v>
      </c>
      <c r="G91" s="36">
        <f t="shared" si="2"/>
        <v>0.75</v>
      </c>
      <c r="H91" s="37" t="str">
        <f t="shared" si="3"/>
        <v>جيد</v>
      </c>
      <c r="I91" s="56"/>
      <c r="J91" s="57"/>
    </row>
    <row r="92" spans="1:10" ht="30" customHeight="1" x14ac:dyDescent="0.3">
      <c r="A92" s="10"/>
      <c r="B92" s="46" t="s">
        <v>265</v>
      </c>
      <c r="C92" s="47"/>
      <c r="D92" s="47"/>
      <c r="E92" s="34">
        <v>5</v>
      </c>
      <c r="F92" s="35">
        <v>3.75</v>
      </c>
      <c r="G92" s="36">
        <f t="shared" si="2"/>
        <v>0.75</v>
      </c>
      <c r="H92" s="37" t="str">
        <f t="shared" si="3"/>
        <v>جيد</v>
      </c>
      <c r="I92" s="56"/>
      <c r="J92" s="57"/>
    </row>
    <row r="93" spans="1:10" ht="30" customHeight="1" x14ac:dyDescent="0.3">
      <c r="A93" s="10"/>
      <c r="B93" s="46" t="s">
        <v>266</v>
      </c>
      <c r="C93" s="47"/>
      <c r="D93" s="47"/>
      <c r="E93" s="34">
        <v>5</v>
      </c>
      <c r="F93" s="35">
        <v>3.75</v>
      </c>
      <c r="G93" s="36">
        <f t="shared" si="2"/>
        <v>0.75</v>
      </c>
      <c r="H93" s="37" t="str">
        <f t="shared" si="3"/>
        <v>جيد</v>
      </c>
      <c r="I93" s="56"/>
      <c r="J93" s="57"/>
    </row>
    <row r="94" spans="1:10" ht="30" customHeight="1" thickBot="1" x14ac:dyDescent="0.35">
      <c r="A94" s="10"/>
      <c r="B94" s="42" t="s">
        <v>267</v>
      </c>
      <c r="C94" s="43"/>
      <c r="D94" s="43"/>
      <c r="E94" s="38">
        <v>5</v>
      </c>
      <c r="F94" s="39">
        <v>3.5</v>
      </c>
      <c r="G94" s="40">
        <f t="shared" si="2"/>
        <v>0.7</v>
      </c>
      <c r="H94" s="41" t="str">
        <f t="shared" si="3"/>
        <v>جيد</v>
      </c>
      <c r="I94" s="58"/>
      <c r="J94" s="59"/>
    </row>
    <row r="95" spans="1:10" ht="39.9" customHeight="1" thickBot="1" x14ac:dyDescent="0.35">
      <c r="A95" s="10"/>
      <c r="B95" s="44" t="s">
        <v>268</v>
      </c>
      <c r="C95" s="45"/>
      <c r="D95" s="45"/>
      <c r="E95" s="38">
        <v>5</v>
      </c>
      <c r="F95" s="39">
        <v>3.5</v>
      </c>
      <c r="G95" s="40">
        <f t="shared" si="2"/>
        <v>0.7</v>
      </c>
      <c r="H95" s="41" t="str">
        <f t="shared" si="3"/>
        <v>جيد</v>
      </c>
      <c r="I95" s="58"/>
      <c r="J95" s="59"/>
    </row>
    <row r="96" spans="1:10" ht="30" customHeight="1" thickBot="1" x14ac:dyDescent="0.35">
      <c r="A96" s="4"/>
      <c r="B96" s="54" t="s">
        <v>5</v>
      </c>
      <c r="C96" s="55"/>
      <c r="D96" s="55"/>
      <c r="E96" s="9">
        <f>SUM(E8:E95)</f>
        <v>400</v>
      </c>
      <c r="F96" s="9">
        <f>SUM(F8:F95)</f>
        <v>293.25</v>
      </c>
      <c r="G96" s="89"/>
      <c r="H96" s="90"/>
      <c r="I96" s="90"/>
      <c r="J96" s="91"/>
    </row>
    <row r="97" spans="1:10" ht="30" customHeight="1" thickBot="1" x14ac:dyDescent="0.35">
      <c r="A97" s="4"/>
      <c r="B97" s="54" t="s">
        <v>54</v>
      </c>
      <c r="C97" s="55"/>
      <c r="D97" s="55"/>
      <c r="E97" s="77">
        <f>F96/E96/100*100</f>
        <v>0.73312500000000003</v>
      </c>
      <c r="F97" s="77"/>
      <c r="G97" s="77"/>
      <c r="H97" s="77"/>
      <c r="I97" s="77"/>
      <c r="J97" s="78"/>
    </row>
    <row r="98" spans="1:10" ht="30" customHeight="1" thickBot="1" x14ac:dyDescent="0.35">
      <c r="A98" s="4"/>
      <c r="B98" s="54" t="s">
        <v>55</v>
      </c>
      <c r="C98" s="55"/>
      <c r="D98" s="55"/>
      <c r="E98" s="68" t="str">
        <f>_xlfn.IFS(E97&gt;=90%,"ممتاز",E97&gt;=80%,"جيد جداً",E97&gt;=70%,"جيد",E97&gt;=60%,"مقبول",E97&lt;60%,"راسب")</f>
        <v>جيد</v>
      </c>
      <c r="F98" s="68"/>
      <c r="G98" s="68"/>
      <c r="H98" s="68"/>
      <c r="I98" s="68"/>
      <c r="J98" s="69"/>
    </row>
    <row r="99" spans="1:10" ht="42" customHeight="1" x14ac:dyDescent="0.3">
      <c r="B99" s="64" t="s">
        <v>174</v>
      </c>
      <c r="C99" s="64"/>
      <c r="D99" s="64"/>
      <c r="E99" s="87" t="s">
        <v>52</v>
      </c>
      <c r="F99" s="87"/>
      <c r="G99" s="66" t="s">
        <v>120</v>
      </c>
      <c r="H99" s="66"/>
      <c r="I99" s="66"/>
      <c r="J99" s="66"/>
    </row>
    <row r="100" spans="1:10" ht="51" customHeight="1" x14ac:dyDescent="0.3">
      <c r="A100" s="5"/>
      <c r="B100" s="65"/>
      <c r="C100" s="65"/>
      <c r="D100" s="65"/>
      <c r="E100" s="88" t="s">
        <v>53</v>
      </c>
      <c r="F100" s="88"/>
      <c r="G100" s="67"/>
      <c r="H100" s="67"/>
      <c r="I100" s="67"/>
      <c r="J100" s="67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97">
    <mergeCell ref="I9:J9"/>
    <mergeCell ref="I69:J69"/>
    <mergeCell ref="I70:J70"/>
    <mergeCell ref="I71:J71"/>
    <mergeCell ref="E99:F99"/>
    <mergeCell ref="E100:F100"/>
    <mergeCell ref="G96:J96"/>
    <mergeCell ref="I72:J72"/>
    <mergeCell ref="I73:J73"/>
    <mergeCell ref="I74:J74"/>
    <mergeCell ref="I75:J75"/>
    <mergeCell ref="I76:J76"/>
    <mergeCell ref="I77:J77"/>
    <mergeCell ref="I78:J78"/>
    <mergeCell ref="I79:J79"/>
    <mergeCell ref="I92:J92"/>
    <mergeCell ref="I93:J93"/>
    <mergeCell ref="I94:J94"/>
    <mergeCell ref="I95:J95"/>
    <mergeCell ref="I47:J47"/>
    <mergeCell ref="I48:J48"/>
    <mergeCell ref="I62:J62"/>
    <mergeCell ref="I63:J63"/>
    <mergeCell ref="I64:J64"/>
    <mergeCell ref="I65:J65"/>
    <mergeCell ref="I66:J66"/>
    <mergeCell ref="I67:J67"/>
    <mergeCell ref="I68:J68"/>
    <mergeCell ref="I20:J20"/>
    <mergeCell ref="I21:J21"/>
    <mergeCell ref="I22:J22"/>
    <mergeCell ref="I23:J23"/>
    <mergeCell ref="I24:J24"/>
    <mergeCell ref="I25:J25"/>
    <mergeCell ref="I26:J26"/>
    <mergeCell ref="I27:J27"/>
    <mergeCell ref="I45:J45"/>
    <mergeCell ref="I32:J32"/>
    <mergeCell ref="I33:J33"/>
    <mergeCell ref="I34:J34"/>
    <mergeCell ref="I35:J35"/>
    <mergeCell ref="I36:J36"/>
    <mergeCell ref="B1:J1"/>
    <mergeCell ref="F2:J2"/>
    <mergeCell ref="B5:D6"/>
    <mergeCell ref="C2:D2"/>
    <mergeCell ref="C3:D3"/>
    <mergeCell ref="F3:J3"/>
    <mergeCell ref="E97:J97"/>
    <mergeCell ref="B7:D7"/>
    <mergeCell ref="I38:J38"/>
    <mergeCell ref="I39:J39"/>
    <mergeCell ref="I84:J84"/>
    <mergeCell ref="I85:J85"/>
    <mergeCell ref="I86:J86"/>
    <mergeCell ref="I87:J87"/>
    <mergeCell ref="I88:J88"/>
    <mergeCell ref="I90:J90"/>
    <mergeCell ref="I91:J91"/>
    <mergeCell ref="I30:J30"/>
    <mergeCell ref="I31:J31"/>
    <mergeCell ref="E5:H5"/>
    <mergeCell ref="I37:J37"/>
    <mergeCell ref="I5:J6"/>
    <mergeCell ref="I7:J7"/>
    <mergeCell ref="I10:J10"/>
    <mergeCell ref="B99:D100"/>
    <mergeCell ref="G99:J99"/>
    <mergeCell ref="G100:J100"/>
    <mergeCell ref="E98:J98"/>
    <mergeCell ref="I40:J40"/>
    <mergeCell ref="I41:J41"/>
    <mergeCell ref="I42:J42"/>
    <mergeCell ref="I43:J43"/>
    <mergeCell ref="I44:J44"/>
    <mergeCell ref="I80:J80"/>
    <mergeCell ref="I81:J81"/>
    <mergeCell ref="I82:J82"/>
    <mergeCell ref="I83:J83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46:J46"/>
    <mergeCell ref="I8:J8"/>
    <mergeCell ref="B96:D96"/>
    <mergeCell ref="B97:D97"/>
    <mergeCell ref="B98:D98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59:J59"/>
    <mergeCell ref="I60:J60"/>
    <mergeCell ref="I61:J61"/>
    <mergeCell ref="I89:J89"/>
    <mergeCell ref="I19:J19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64:D64"/>
    <mergeCell ref="B65:D65"/>
    <mergeCell ref="B66:D66"/>
    <mergeCell ref="B67:D67"/>
    <mergeCell ref="B68:D68"/>
    <mergeCell ref="B69:D69"/>
    <mergeCell ref="B70:D70"/>
    <mergeCell ref="B71:D71"/>
    <mergeCell ref="B72:D72"/>
    <mergeCell ref="B73:D73"/>
    <mergeCell ref="B74:D74"/>
    <mergeCell ref="B75:D75"/>
    <mergeCell ref="B76:D76"/>
    <mergeCell ref="B77:D77"/>
    <mergeCell ref="B78:D78"/>
    <mergeCell ref="B79:D79"/>
    <mergeCell ref="B89:D89"/>
    <mergeCell ref="B90:D90"/>
    <mergeCell ref="B91:D91"/>
    <mergeCell ref="B92:D92"/>
    <mergeCell ref="B93:D93"/>
    <mergeCell ref="B94:D94"/>
    <mergeCell ref="B95:D95"/>
    <mergeCell ref="B80:D80"/>
    <mergeCell ref="B81:D81"/>
    <mergeCell ref="B82:D82"/>
    <mergeCell ref="B83:D83"/>
    <mergeCell ref="B84:D84"/>
    <mergeCell ref="B85:D85"/>
    <mergeCell ref="B86:D86"/>
    <mergeCell ref="B87:D87"/>
    <mergeCell ref="B88:D88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98">
    <cfRule type="expression" dxfId="14" priority="57">
      <formula>$E98="راسب"</formula>
    </cfRule>
  </conditionalFormatting>
  <conditionalFormatting sqref="E98:J98">
    <cfRule type="expression" dxfId="13" priority="58">
      <formula>$E98="مقبول"</formula>
    </cfRule>
    <cfRule type="expression" dxfId="12" priority="59">
      <formula>$E98="جيد"</formula>
    </cfRule>
    <cfRule type="expression" dxfId="11" priority="60">
      <formula>$E98="جيد جداً"</formula>
    </cfRule>
    <cfRule type="expression" dxfId="10" priority="61">
      <formula>$E98="ممتاز"</formula>
    </cfRule>
  </conditionalFormatting>
  <conditionalFormatting sqref="F8:F95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99:J99">
    <cfRule type="containsText" dxfId="6" priority="15" operator="containsText" text="أدخل اسم المحكم">
      <formula>NOT(ISERROR(SEARCH("أدخل اسم المحكم",G99)))</formula>
    </cfRule>
  </conditionalFormatting>
  <conditionalFormatting sqref="H8:H95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F84:F95 F77:F82 F62:F75 F50:F60 F35:F48 F31:F33 F23:F29 F8 F10:F21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G99:J99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workbookViewId="0">
      <selection activeCell="D25" sqref="D25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9" t="s">
        <v>62</v>
      </c>
    </row>
    <row r="3" spans="1:3" ht="20.100000000000001" customHeight="1" thickBot="1" x14ac:dyDescent="0.35">
      <c r="A3" s="2" t="s">
        <v>26</v>
      </c>
      <c r="C3" s="19" t="s">
        <v>63</v>
      </c>
    </row>
    <row r="4" spans="1:3" ht="20.100000000000001" customHeight="1" thickBot="1" x14ac:dyDescent="0.35">
      <c r="A4" s="2" t="s">
        <v>36</v>
      </c>
      <c r="C4" s="19" t="s">
        <v>64</v>
      </c>
    </row>
    <row r="5" spans="1:3" ht="20.100000000000001" customHeight="1" thickBot="1" x14ac:dyDescent="0.35">
      <c r="A5" s="2" t="s">
        <v>37</v>
      </c>
      <c r="C5" s="19" t="s">
        <v>65</v>
      </c>
    </row>
    <row r="6" spans="1:3" ht="20.100000000000001" customHeight="1" thickBot="1" x14ac:dyDescent="0.35">
      <c r="A6" s="2" t="s">
        <v>38</v>
      </c>
      <c r="C6" s="19" t="s">
        <v>66</v>
      </c>
    </row>
    <row r="7" spans="1:3" ht="20.100000000000001" customHeight="1" thickBot="1" x14ac:dyDescent="0.35">
      <c r="A7" s="2" t="s">
        <v>39</v>
      </c>
      <c r="C7" s="19" t="s">
        <v>67</v>
      </c>
    </row>
    <row r="8" spans="1:3" ht="20.100000000000001" customHeight="1" thickBot="1" x14ac:dyDescent="0.35">
      <c r="A8" s="2" t="s">
        <v>40</v>
      </c>
      <c r="C8" s="19" t="s">
        <v>68</v>
      </c>
    </row>
    <row r="9" spans="1:3" ht="20.100000000000001" customHeight="1" thickBot="1" x14ac:dyDescent="0.35">
      <c r="A9" s="2" t="s">
        <v>41</v>
      </c>
      <c r="C9" s="19" t="s">
        <v>69</v>
      </c>
    </row>
    <row r="10" spans="1:3" ht="20.100000000000001" customHeight="1" thickBot="1" x14ac:dyDescent="0.35">
      <c r="A10" s="2" t="s">
        <v>42</v>
      </c>
      <c r="C10" s="19" t="s">
        <v>70</v>
      </c>
    </row>
    <row r="11" spans="1:3" ht="20.100000000000001" customHeight="1" thickBot="1" x14ac:dyDescent="0.35">
      <c r="A11" s="2" t="s">
        <v>43</v>
      </c>
      <c r="C11" s="19" t="s">
        <v>71</v>
      </c>
    </row>
    <row r="12" spans="1:3" ht="20.100000000000001" customHeight="1" thickBot="1" x14ac:dyDescent="0.35">
      <c r="A12" s="2" t="s">
        <v>44</v>
      </c>
      <c r="C12" s="19" t="s">
        <v>72</v>
      </c>
    </row>
    <row r="13" spans="1:3" ht="20.100000000000001" customHeight="1" thickBot="1" x14ac:dyDescent="0.35">
      <c r="A13" s="2" t="s">
        <v>45</v>
      </c>
      <c r="C13" s="19" t="s">
        <v>73</v>
      </c>
    </row>
    <row r="14" spans="1:3" ht="20.100000000000001" customHeight="1" thickBot="1" x14ac:dyDescent="0.35">
      <c r="A14" s="2" t="s">
        <v>46</v>
      </c>
      <c r="C14" s="19" t="s">
        <v>74</v>
      </c>
    </row>
    <row r="15" spans="1:3" ht="20.100000000000001" customHeight="1" thickBot="1" x14ac:dyDescent="0.35">
      <c r="A15" s="2" t="s">
        <v>47</v>
      </c>
      <c r="C15" s="19" t="s">
        <v>75</v>
      </c>
    </row>
    <row r="16" spans="1:3" ht="20.100000000000001" customHeight="1" thickBot="1" x14ac:dyDescent="0.35">
      <c r="A16" s="2" t="s">
        <v>10</v>
      </c>
      <c r="C16" s="19" t="s">
        <v>76</v>
      </c>
    </row>
    <row r="17" spans="1:3" ht="20.100000000000001" customHeight="1" thickBot="1" x14ac:dyDescent="0.35">
      <c r="A17" s="2" t="s">
        <v>27</v>
      </c>
      <c r="C17" s="19" t="s">
        <v>77</v>
      </c>
    </row>
    <row r="18" spans="1:3" ht="20.100000000000001" customHeight="1" thickBot="1" x14ac:dyDescent="0.35">
      <c r="A18" s="2" t="s">
        <v>48</v>
      </c>
      <c r="C18" s="19" t="s">
        <v>78</v>
      </c>
    </row>
    <row r="19" spans="1:3" ht="20.100000000000001" customHeight="1" thickBot="1" x14ac:dyDescent="0.35">
      <c r="A19" s="2" t="s">
        <v>49</v>
      </c>
      <c r="C19" s="19" t="s">
        <v>79</v>
      </c>
    </row>
    <row r="20" spans="1:3" ht="20.100000000000001" customHeight="1" thickBot="1" x14ac:dyDescent="0.35">
      <c r="A20" s="2" t="s">
        <v>50</v>
      </c>
      <c r="C20" s="19" t="s">
        <v>80</v>
      </c>
    </row>
    <row r="21" spans="1:3" ht="20.100000000000001" customHeight="1" thickBot="1" x14ac:dyDescent="0.35">
      <c r="A21" s="2" t="s">
        <v>51</v>
      </c>
      <c r="C21" s="19" t="s">
        <v>81</v>
      </c>
    </row>
    <row r="22" spans="1:3" ht="20.100000000000001" customHeight="1" thickBot="1" x14ac:dyDescent="0.35">
      <c r="A22" s="2" t="s">
        <v>11</v>
      </c>
      <c r="C22" s="19" t="s">
        <v>82</v>
      </c>
    </row>
    <row r="23" spans="1:3" ht="20.100000000000001" customHeight="1" thickBot="1" x14ac:dyDescent="0.35">
      <c r="A23" s="2" t="s">
        <v>12</v>
      </c>
      <c r="C23" s="19" t="s">
        <v>83</v>
      </c>
    </row>
    <row r="24" spans="1:3" ht="20.100000000000001" customHeight="1" thickBot="1" x14ac:dyDescent="0.35">
      <c r="A24" s="2" t="s">
        <v>15</v>
      </c>
      <c r="C24" s="19" t="s">
        <v>84</v>
      </c>
    </row>
    <row r="25" spans="1:3" ht="20.100000000000001" customHeight="1" thickBot="1" x14ac:dyDescent="0.35">
      <c r="A25" s="2" t="s">
        <v>28</v>
      </c>
      <c r="C25" s="19" t="s">
        <v>85</v>
      </c>
    </row>
    <row r="26" spans="1:3" ht="20.100000000000001" customHeight="1" thickBot="1" x14ac:dyDescent="0.35">
      <c r="A26" s="2" t="s">
        <v>29</v>
      </c>
      <c r="C26" s="19" t="s">
        <v>86</v>
      </c>
    </row>
    <row r="27" spans="1:3" ht="20.100000000000001" customHeight="1" thickBot="1" x14ac:dyDescent="0.35">
      <c r="A27" s="2" t="s">
        <v>13</v>
      </c>
      <c r="C27" s="19" t="s">
        <v>87</v>
      </c>
    </row>
    <row r="28" spans="1:3" ht="20.100000000000001" customHeight="1" thickBot="1" x14ac:dyDescent="0.35">
      <c r="A28" s="2" t="s">
        <v>30</v>
      </c>
      <c r="C28" s="19" t="s">
        <v>88</v>
      </c>
    </row>
    <row r="29" spans="1:3" ht="20.100000000000001" customHeight="1" thickBot="1" x14ac:dyDescent="0.35">
      <c r="A29" s="2" t="s">
        <v>31</v>
      </c>
      <c r="C29" s="19" t="s">
        <v>177</v>
      </c>
    </row>
    <row r="30" spans="1:3" ht="20.100000000000001" customHeight="1" thickBot="1" x14ac:dyDescent="0.35">
      <c r="A30" s="2" t="s">
        <v>32</v>
      </c>
      <c r="C30" s="19" t="s">
        <v>178</v>
      </c>
    </row>
    <row r="31" spans="1:3" ht="20.100000000000001" customHeight="1" thickBot="1" x14ac:dyDescent="0.35">
      <c r="A31" s="2" t="s">
        <v>33</v>
      </c>
      <c r="C31" s="19" t="s">
        <v>179</v>
      </c>
    </row>
    <row r="32" spans="1:3" ht="20.100000000000001" customHeight="1" thickBot="1" x14ac:dyDescent="0.35">
      <c r="A32" s="2" t="s">
        <v>16</v>
      </c>
      <c r="C32" s="19"/>
    </row>
    <row r="33" spans="1:9" ht="20.100000000000001" customHeight="1" thickBot="1" x14ac:dyDescent="0.35">
      <c r="A33" s="2" t="s">
        <v>14</v>
      </c>
      <c r="C33" s="19"/>
    </row>
    <row r="34" spans="1:9" ht="20.100000000000001" customHeight="1" thickBot="1" x14ac:dyDescent="0.35">
      <c r="A34" s="2" t="s">
        <v>34</v>
      </c>
      <c r="C34" s="19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3">
        <v>45901</v>
      </c>
    </row>
    <row r="40" spans="1:9" ht="20.100000000000001" customHeight="1" thickBot="1" x14ac:dyDescent="0.35">
      <c r="A40" s="13">
        <v>45902</v>
      </c>
    </row>
    <row r="41" spans="1:9" ht="20.100000000000001" customHeight="1" thickBot="1" x14ac:dyDescent="0.35">
      <c r="A41" s="13">
        <v>45903</v>
      </c>
    </row>
    <row r="42" spans="1:9" ht="20.100000000000001" customHeight="1" thickBot="1" x14ac:dyDescent="0.35">
      <c r="A42" s="13">
        <v>45904</v>
      </c>
    </row>
    <row r="43" spans="1:9" ht="20.100000000000001" customHeight="1" thickBot="1" x14ac:dyDescent="0.35">
      <c r="A43" s="13">
        <v>45905</v>
      </c>
    </row>
    <row r="44" spans="1:9" ht="20.100000000000001" customHeight="1" thickBot="1" x14ac:dyDescent="0.35">
      <c r="A44" s="13">
        <v>45906</v>
      </c>
    </row>
    <row r="45" spans="1:9" ht="20.100000000000001" customHeight="1" thickBot="1" x14ac:dyDescent="0.35">
      <c r="A45" s="13">
        <v>45907</v>
      </c>
    </row>
    <row r="46" spans="1:9" ht="20.100000000000001" customHeight="1" thickBot="1" x14ac:dyDescent="0.35">
      <c r="A46" s="13">
        <v>45908</v>
      </c>
    </row>
    <row r="47" spans="1:9" ht="20.100000000000001" customHeight="1" thickBot="1" x14ac:dyDescent="0.35">
      <c r="A47" s="13">
        <v>45909</v>
      </c>
    </row>
    <row r="48" spans="1:9" ht="20.100000000000001" customHeight="1" thickBot="1" x14ac:dyDescent="0.35">
      <c r="A48" s="13">
        <v>45910</v>
      </c>
    </row>
    <row r="49" spans="1:1" ht="20.100000000000001" customHeight="1" thickBot="1" x14ac:dyDescent="0.35">
      <c r="A49" s="13">
        <v>45911</v>
      </c>
    </row>
    <row r="50" spans="1:1" ht="20.100000000000001" customHeight="1" thickBot="1" x14ac:dyDescent="0.35">
      <c r="A50" s="13">
        <v>45912</v>
      </c>
    </row>
    <row r="51" spans="1:1" ht="20.100000000000001" customHeight="1" thickBot="1" x14ac:dyDescent="0.35">
      <c r="A51" s="13">
        <v>45913</v>
      </c>
    </row>
    <row r="52" spans="1:1" ht="20.100000000000001" customHeight="1" thickBot="1" x14ac:dyDescent="0.35">
      <c r="A52" s="13">
        <v>45914</v>
      </c>
    </row>
    <row r="53" spans="1:1" ht="20.100000000000001" customHeight="1" thickBot="1" x14ac:dyDescent="0.35">
      <c r="A53" s="13">
        <v>45915</v>
      </c>
    </row>
    <row r="54" spans="1:1" ht="20.100000000000001" customHeight="1" thickBot="1" x14ac:dyDescent="0.35">
      <c r="A54" s="13">
        <v>45916</v>
      </c>
    </row>
    <row r="55" spans="1:1" ht="20.100000000000001" customHeight="1" thickBot="1" x14ac:dyDescent="0.35">
      <c r="A55" s="13">
        <v>45917</v>
      </c>
    </row>
    <row r="56" spans="1:1" ht="20.100000000000001" customHeight="1" thickBot="1" x14ac:dyDescent="0.35">
      <c r="A56" s="13">
        <v>45918</v>
      </c>
    </row>
    <row r="57" spans="1:1" ht="20.100000000000001" customHeight="1" thickBot="1" x14ac:dyDescent="0.35">
      <c r="A57" s="13">
        <v>45919</v>
      </c>
    </row>
    <row r="58" spans="1:1" ht="20.100000000000001" customHeight="1" thickBot="1" x14ac:dyDescent="0.35">
      <c r="A58" s="13">
        <v>45920</v>
      </c>
    </row>
    <row r="59" spans="1:1" ht="20.100000000000001" customHeight="1" thickBot="1" x14ac:dyDescent="0.35">
      <c r="A59" s="13">
        <v>45921</v>
      </c>
    </row>
    <row r="60" spans="1:1" ht="20.100000000000001" customHeight="1" thickBot="1" x14ac:dyDescent="0.35">
      <c r="A60" s="13">
        <v>45922</v>
      </c>
    </row>
    <row r="61" spans="1:1" ht="20.100000000000001" customHeight="1" thickBot="1" x14ac:dyDescent="0.35">
      <c r="A61" s="13">
        <v>45923</v>
      </c>
    </row>
    <row r="62" spans="1:1" ht="20.100000000000001" customHeight="1" thickBot="1" x14ac:dyDescent="0.35">
      <c r="A62" s="13">
        <v>45924</v>
      </c>
    </row>
    <row r="63" spans="1:1" ht="20.100000000000001" customHeight="1" thickBot="1" x14ac:dyDescent="0.35">
      <c r="A63" s="13">
        <v>45925</v>
      </c>
    </row>
    <row r="64" spans="1:1" ht="20.100000000000001" customHeight="1" thickBot="1" x14ac:dyDescent="0.35">
      <c r="A64" s="13">
        <v>45926</v>
      </c>
    </row>
    <row r="65" spans="1:1" ht="20.100000000000001" customHeight="1" thickBot="1" x14ac:dyDescent="0.35">
      <c r="A65" s="13">
        <v>45927</v>
      </c>
    </row>
    <row r="66" spans="1:1" ht="20.100000000000001" customHeight="1" thickBot="1" x14ac:dyDescent="0.35">
      <c r="A66" s="13">
        <v>45928</v>
      </c>
    </row>
    <row r="67" spans="1:1" ht="20.100000000000001" customHeight="1" thickBot="1" x14ac:dyDescent="0.35">
      <c r="A67" s="13">
        <v>45929</v>
      </c>
    </row>
    <row r="68" spans="1:1" ht="20.100000000000001" customHeight="1" thickBot="1" x14ac:dyDescent="0.35">
      <c r="A68" s="13">
        <v>45930</v>
      </c>
    </row>
    <row r="69" spans="1:1" ht="20.100000000000001" customHeight="1" thickBot="1" x14ac:dyDescent="0.35">
      <c r="A69" s="13">
        <v>45931</v>
      </c>
    </row>
    <row r="70" spans="1:1" ht="20.100000000000001" customHeight="1" thickBot="1" x14ac:dyDescent="0.35">
      <c r="A70" s="13">
        <v>45932</v>
      </c>
    </row>
    <row r="71" spans="1:1" ht="20.100000000000001" customHeight="1" thickBot="1" x14ac:dyDescent="0.35">
      <c r="A71" s="13">
        <v>45933</v>
      </c>
    </row>
    <row r="72" spans="1:1" ht="20.100000000000001" customHeight="1" thickBot="1" x14ac:dyDescent="0.35">
      <c r="A72" s="13">
        <v>45934</v>
      </c>
    </row>
    <row r="73" spans="1:1" ht="20.100000000000001" customHeight="1" thickBot="1" x14ac:dyDescent="0.35">
      <c r="A73" s="13">
        <v>45935</v>
      </c>
    </row>
    <row r="74" spans="1:1" ht="20.100000000000001" customHeight="1" thickBot="1" x14ac:dyDescent="0.35">
      <c r="A74" s="13">
        <v>45936</v>
      </c>
    </row>
    <row r="75" spans="1:1" ht="20.100000000000001" customHeight="1" thickBot="1" x14ac:dyDescent="0.35">
      <c r="A75" s="13">
        <v>45937</v>
      </c>
    </row>
    <row r="76" spans="1:1" ht="20.100000000000001" customHeight="1" thickBot="1" x14ac:dyDescent="0.35">
      <c r="A76" s="13">
        <v>45938</v>
      </c>
    </row>
    <row r="77" spans="1:1" ht="20.100000000000001" customHeight="1" thickBot="1" x14ac:dyDescent="0.35">
      <c r="A77" s="13">
        <v>45939</v>
      </c>
    </row>
    <row r="78" spans="1:1" ht="20.100000000000001" customHeight="1" thickBot="1" x14ac:dyDescent="0.35">
      <c r="A78" s="13">
        <v>45940</v>
      </c>
    </row>
    <row r="79" spans="1:1" ht="20.100000000000001" customHeight="1" thickBot="1" x14ac:dyDescent="0.35">
      <c r="A79" s="13">
        <v>45941</v>
      </c>
    </row>
    <row r="80" spans="1:1" ht="20.100000000000001" customHeight="1" thickBot="1" x14ac:dyDescent="0.35">
      <c r="A80" s="13">
        <v>45942</v>
      </c>
    </row>
    <row r="81" spans="1:1" ht="20.100000000000001" customHeight="1" thickBot="1" x14ac:dyDescent="0.35">
      <c r="A81" s="13">
        <v>45943</v>
      </c>
    </row>
    <row r="82" spans="1:1" ht="20.100000000000001" customHeight="1" thickBot="1" x14ac:dyDescent="0.35">
      <c r="A82" s="13">
        <v>45944</v>
      </c>
    </row>
    <row r="83" spans="1:1" ht="20.100000000000001" customHeight="1" thickBot="1" x14ac:dyDescent="0.35">
      <c r="A83" s="13">
        <v>45945</v>
      </c>
    </row>
    <row r="84" spans="1:1" ht="20.100000000000001" customHeight="1" thickBot="1" x14ac:dyDescent="0.35">
      <c r="A84" s="13">
        <v>45946</v>
      </c>
    </row>
    <row r="85" spans="1:1" ht="20.100000000000001" customHeight="1" thickBot="1" x14ac:dyDescent="0.35">
      <c r="A85" s="13">
        <v>45947</v>
      </c>
    </row>
    <row r="86" spans="1:1" ht="20.100000000000001" customHeight="1" thickBot="1" x14ac:dyDescent="0.35">
      <c r="A86" s="13">
        <v>45948</v>
      </c>
    </row>
    <row r="87" spans="1:1" ht="20.100000000000001" customHeight="1" thickBot="1" x14ac:dyDescent="0.35">
      <c r="A87" s="13">
        <v>45949</v>
      </c>
    </row>
    <row r="88" spans="1:1" ht="20.100000000000001" customHeight="1" thickBot="1" x14ac:dyDescent="0.35">
      <c r="A88" s="13">
        <v>45950</v>
      </c>
    </row>
    <row r="89" spans="1:1" ht="20.100000000000001" customHeight="1" thickBot="1" x14ac:dyDescent="0.35">
      <c r="A89" s="13">
        <v>45951</v>
      </c>
    </row>
    <row r="90" spans="1:1" ht="20.100000000000001" customHeight="1" thickBot="1" x14ac:dyDescent="0.35">
      <c r="A90" s="13">
        <v>45952</v>
      </c>
    </row>
    <row r="91" spans="1:1" ht="20.100000000000001" customHeight="1" thickBot="1" x14ac:dyDescent="0.35">
      <c r="A91" s="13">
        <v>45953</v>
      </c>
    </row>
    <row r="92" spans="1:1" ht="20.100000000000001" customHeight="1" thickBot="1" x14ac:dyDescent="0.35">
      <c r="A92" s="13">
        <v>45954</v>
      </c>
    </row>
    <row r="93" spans="1:1" ht="20.100000000000001" customHeight="1" thickBot="1" x14ac:dyDescent="0.35">
      <c r="A93" s="13">
        <v>45955</v>
      </c>
    </row>
    <row r="94" spans="1:1" ht="20.100000000000001" customHeight="1" thickBot="1" x14ac:dyDescent="0.35">
      <c r="A94" s="13">
        <v>45956</v>
      </c>
    </row>
    <row r="95" spans="1:1" ht="20.100000000000001" customHeight="1" thickBot="1" x14ac:dyDescent="0.35">
      <c r="A95" s="13">
        <v>45957</v>
      </c>
    </row>
    <row r="96" spans="1:1" ht="20.100000000000001" customHeight="1" thickBot="1" x14ac:dyDescent="0.35">
      <c r="A96" s="13">
        <v>45958</v>
      </c>
    </row>
    <row r="97" spans="1:9" ht="20.100000000000001" customHeight="1" thickBot="1" x14ac:dyDescent="0.35">
      <c r="A97" s="13">
        <v>45959</v>
      </c>
    </row>
    <row r="98" spans="1:9" ht="20.100000000000001" customHeight="1" thickBot="1" x14ac:dyDescent="0.35">
      <c r="A98" s="13">
        <v>45960</v>
      </c>
    </row>
    <row r="99" spans="1:9" ht="20.100000000000001" customHeight="1" thickBot="1" x14ac:dyDescent="0.35">
      <c r="A99" s="13">
        <v>45961</v>
      </c>
    </row>
    <row r="100" spans="1:9" ht="20.100000000000001" customHeight="1" thickBot="1" x14ac:dyDescent="0.35">
      <c r="A100" s="13">
        <v>45962</v>
      </c>
    </row>
    <row r="101" spans="1:9" ht="20.100000000000001" customHeight="1" thickBot="1" x14ac:dyDescent="0.35">
      <c r="A101" s="13">
        <v>45963</v>
      </c>
    </row>
    <row r="102" spans="1:9" ht="20.100000000000001" customHeight="1" thickBot="1" x14ac:dyDescent="0.35">
      <c r="A102" s="13">
        <v>45964</v>
      </c>
    </row>
    <row r="103" spans="1:9" ht="20.100000000000001" customHeight="1" thickBot="1" x14ac:dyDescent="0.35">
      <c r="A103" s="13">
        <v>45965</v>
      </c>
    </row>
    <row r="104" spans="1:9" ht="20.100000000000001" customHeight="1" thickBot="1" x14ac:dyDescent="0.35">
      <c r="A104" s="13">
        <v>45966</v>
      </c>
    </row>
    <row r="105" spans="1:9" ht="20.100000000000001" customHeight="1" thickBot="1" x14ac:dyDescent="0.35">
      <c r="A105" s="13">
        <v>45967</v>
      </c>
    </row>
    <row r="106" spans="1:9" ht="20.100000000000001" customHeight="1" thickBot="1" x14ac:dyDescent="0.35">
      <c r="A106" s="13">
        <v>45968</v>
      </c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0" t="s">
        <v>89</v>
      </c>
    </row>
    <row r="200" spans="1:1" ht="20.100000000000001" customHeight="1" x14ac:dyDescent="0.3">
      <c r="A200" s="20" t="s">
        <v>90</v>
      </c>
    </row>
    <row r="201" spans="1:1" ht="20.100000000000001" customHeight="1" x14ac:dyDescent="0.3">
      <c r="A201" s="20" t="s">
        <v>91</v>
      </c>
    </row>
    <row r="202" spans="1:1" ht="20.100000000000001" customHeight="1" x14ac:dyDescent="0.3">
      <c r="A202" s="20" t="s">
        <v>92</v>
      </c>
    </row>
    <row r="203" spans="1:1" ht="20.100000000000001" customHeight="1" x14ac:dyDescent="0.3">
      <c r="A203" s="20" t="s">
        <v>93</v>
      </c>
    </row>
    <row r="204" spans="1:1" ht="20.100000000000001" customHeight="1" x14ac:dyDescent="0.3">
      <c r="A204" s="20" t="s">
        <v>94</v>
      </c>
    </row>
    <row r="205" spans="1:1" ht="20.100000000000001" customHeight="1" x14ac:dyDescent="0.3">
      <c r="A205" s="20" t="s">
        <v>95</v>
      </c>
    </row>
    <row r="206" spans="1:1" ht="20.100000000000001" customHeight="1" x14ac:dyDescent="0.3">
      <c r="A206" s="20" t="s">
        <v>96</v>
      </c>
    </row>
    <row r="207" spans="1:1" ht="20.100000000000001" customHeight="1" x14ac:dyDescent="0.3">
      <c r="A207" s="20" t="s">
        <v>97</v>
      </c>
    </row>
    <row r="208" spans="1:1" ht="20.100000000000001" customHeight="1" x14ac:dyDescent="0.3">
      <c r="A208" s="21" t="s">
        <v>98</v>
      </c>
    </row>
    <row r="209" spans="1:1" ht="20.100000000000001" customHeight="1" x14ac:dyDescent="0.3">
      <c r="A209" s="21" t="s">
        <v>99</v>
      </c>
    </row>
    <row r="210" spans="1:1" ht="20.100000000000001" customHeight="1" x14ac:dyDescent="0.3">
      <c r="A210" s="20" t="s">
        <v>100</v>
      </c>
    </row>
    <row r="211" spans="1:1" ht="20.100000000000001" customHeight="1" x14ac:dyDescent="0.3">
      <c r="A211" s="20" t="s">
        <v>101</v>
      </c>
    </row>
    <row r="212" spans="1:1" ht="20.100000000000001" customHeight="1" x14ac:dyDescent="0.3">
      <c r="A212" s="20" t="s">
        <v>175</v>
      </c>
    </row>
    <row r="213" spans="1:1" ht="20.100000000000001" customHeight="1" x14ac:dyDescent="0.3">
      <c r="A213" s="20" t="s">
        <v>102</v>
      </c>
    </row>
    <row r="214" spans="1:1" ht="20.100000000000001" customHeight="1" x14ac:dyDescent="0.3">
      <c r="A214" s="20" t="s">
        <v>103</v>
      </c>
    </row>
    <row r="215" spans="1:1" ht="20.100000000000001" customHeight="1" x14ac:dyDescent="0.3">
      <c r="A215" s="20" t="s">
        <v>104</v>
      </c>
    </row>
    <row r="216" spans="1:1" ht="20.100000000000001" customHeight="1" x14ac:dyDescent="0.3">
      <c r="A216" s="20" t="s">
        <v>105</v>
      </c>
    </row>
    <row r="217" spans="1:1" ht="20.100000000000001" customHeight="1" x14ac:dyDescent="0.3">
      <c r="A217" s="20" t="s">
        <v>106</v>
      </c>
    </row>
    <row r="218" spans="1:1" ht="20.100000000000001" customHeight="1" x14ac:dyDescent="0.3">
      <c r="A218" s="20" t="s">
        <v>107</v>
      </c>
    </row>
    <row r="219" spans="1:1" ht="20.100000000000001" customHeight="1" x14ac:dyDescent="0.3">
      <c r="A219" s="20" t="s">
        <v>108</v>
      </c>
    </row>
    <row r="220" spans="1:1" ht="20.100000000000001" customHeight="1" x14ac:dyDescent="0.3">
      <c r="A220" s="20" t="s">
        <v>109</v>
      </c>
    </row>
    <row r="221" spans="1:1" ht="20.100000000000001" customHeight="1" x14ac:dyDescent="0.3">
      <c r="A221" s="20" t="s">
        <v>110</v>
      </c>
    </row>
    <row r="222" spans="1:1" ht="20.100000000000001" customHeight="1" x14ac:dyDescent="0.3">
      <c r="A222" s="20" t="s">
        <v>111</v>
      </c>
    </row>
    <row r="223" spans="1:1" ht="20.100000000000001" customHeight="1" x14ac:dyDescent="0.3">
      <c r="A223" s="20" t="s">
        <v>112</v>
      </c>
    </row>
    <row r="224" spans="1:1" ht="20.100000000000001" customHeight="1" x14ac:dyDescent="0.3">
      <c r="A224" s="20" t="s">
        <v>176</v>
      </c>
    </row>
    <row r="225" spans="1:1" ht="20.100000000000001" customHeight="1" x14ac:dyDescent="0.3">
      <c r="A225" s="20" t="s">
        <v>113</v>
      </c>
    </row>
    <row r="226" spans="1:1" ht="20.100000000000001" customHeight="1" x14ac:dyDescent="0.3">
      <c r="A226" s="20" t="s">
        <v>114</v>
      </c>
    </row>
    <row r="227" spans="1:1" ht="20.100000000000001" customHeight="1" x14ac:dyDescent="0.3">
      <c r="A227" s="20" t="s">
        <v>115</v>
      </c>
    </row>
    <row r="228" spans="1:1" ht="20.100000000000001" customHeight="1" x14ac:dyDescent="0.3">
      <c r="A228" s="20" t="s">
        <v>116</v>
      </c>
    </row>
    <row r="229" spans="1:1" ht="20.100000000000001" customHeight="1" x14ac:dyDescent="0.3">
      <c r="A229" s="20" t="s">
        <v>117</v>
      </c>
    </row>
    <row r="230" spans="1:1" ht="20.100000000000001" customHeight="1" x14ac:dyDescent="0.3">
      <c r="A230" s="20" t="s">
        <v>118</v>
      </c>
    </row>
    <row r="231" spans="1:1" ht="20.100000000000001" customHeight="1" x14ac:dyDescent="0.3">
      <c r="A231" s="20" t="s">
        <v>119</v>
      </c>
    </row>
    <row r="232" spans="1:1" ht="20.100000000000001" customHeight="1" x14ac:dyDescent="0.3">
      <c r="A232" s="20" t="s">
        <v>120</v>
      </c>
    </row>
    <row r="233" spans="1:1" ht="20.100000000000001" customHeight="1" x14ac:dyDescent="0.3">
      <c r="A233" s="20" t="s">
        <v>121</v>
      </c>
    </row>
    <row r="234" spans="1:1" ht="20.100000000000001" customHeight="1" x14ac:dyDescent="0.3">
      <c r="A234" s="20" t="s">
        <v>122</v>
      </c>
    </row>
    <row r="235" spans="1:1" ht="20.100000000000001" customHeight="1" x14ac:dyDescent="0.3">
      <c r="A235" s="20" t="s">
        <v>123</v>
      </c>
    </row>
    <row r="236" spans="1:1" ht="20.100000000000001" customHeight="1" x14ac:dyDescent="0.3">
      <c r="A236" s="22" t="s">
        <v>124</v>
      </c>
    </row>
    <row r="237" spans="1:1" ht="20.100000000000001" customHeight="1" x14ac:dyDescent="0.3">
      <c r="A237" s="20" t="s">
        <v>125</v>
      </c>
    </row>
    <row r="238" spans="1:1" ht="20.100000000000001" customHeight="1" x14ac:dyDescent="0.3">
      <c r="A238" s="20" t="s">
        <v>126</v>
      </c>
    </row>
    <row r="239" spans="1:1" ht="20.100000000000001" customHeight="1" x14ac:dyDescent="0.3">
      <c r="A239" s="20" t="s">
        <v>127</v>
      </c>
    </row>
    <row r="240" spans="1:1" ht="20.100000000000001" customHeight="1" x14ac:dyDescent="0.3">
      <c r="A240" s="20" t="s">
        <v>128</v>
      </c>
    </row>
    <row r="241" spans="1:1" ht="20.100000000000001" customHeight="1" x14ac:dyDescent="0.3">
      <c r="A241" s="20" t="s">
        <v>129</v>
      </c>
    </row>
    <row r="242" spans="1:1" ht="20.100000000000001" customHeight="1" x14ac:dyDescent="0.3">
      <c r="A242" s="20" t="s">
        <v>130</v>
      </c>
    </row>
    <row r="243" spans="1:1" ht="20.100000000000001" customHeight="1" x14ac:dyDescent="0.3">
      <c r="A243" s="20" t="s">
        <v>131</v>
      </c>
    </row>
    <row r="244" spans="1:1" ht="20.100000000000001" customHeight="1" x14ac:dyDescent="0.3">
      <c r="A244" s="20" t="s">
        <v>132</v>
      </c>
    </row>
    <row r="245" spans="1:1" ht="20.100000000000001" customHeight="1" x14ac:dyDescent="0.3">
      <c r="A245" s="20" t="s">
        <v>133</v>
      </c>
    </row>
    <row r="246" spans="1:1" ht="20.100000000000001" customHeight="1" x14ac:dyDescent="0.3">
      <c r="A246" s="20" t="s">
        <v>134</v>
      </c>
    </row>
    <row r="247" spans="1:1" ht="20.100000000000001" customHeight="1" x14ac:dyDescent="0.3">
      <c r="A247" s="20" t="s">
        <v>135</v>
      </c>
    </row>
    <row r="248" spans="1:1" ht="20.100000000000001" customHeight="1" x14ac:dyDescent="0.3">
      <c r="A248" s="20" t="s">
        <v>126</v>
      </c>
    </row>
    <row r="249" spans="1:1" ht="20.100000000000001" customHeight="1" x14ac:dyDescent="0.3">
      <c r="A249" s="20" t="s">
        <v>136</v>
      </c>
    </row>
    <row r="250" spans="1:1" ht="20.100000000000001" customHeight="1" x14ac:dyDescent="0.3">
      <c r="A250" s="20" t="s">
        <v>137</v>
      </c>
    </row>
    <row r="251" spans="1:1" ht="20.100000000000001" customHeight="1" x14ac:dyDescent="0.3">
      <c r="A251" s="22" t="s">
        <v>138</v>
      </c>
    </row>
    <row r="252" spans="1:1" ht="20.100000000000001" customHeight="1" x14ac:dyDescent="0.3">
      <c r="A252" s="23" t="s">
        <v>139</v>
      </c>
    </row>
    <row r="253" spans="1:1" ht="20.100000000000001" customHeight="1" x14ac:dyDescent="0.3">
      <c r="A253" s="20" t="s">
        <v>140</v>
      </c>
    </row>
    <row r="254" spans="1:1" ht="20.100000000000001" customHeight="1" x14ac:dyDescent="0.3">
      <c r="A254" s="20" t="s">
        <v>141</v>
      </c>
    </row>
    <row r="255" spans="1:1" ht="20.100000000000001" customHeight="1" x14ac:dyDescent="0.3">
      <c r="A255" s="24" t="s">
        <v>142</v>
      </c>
    </row>
    <row r="256" spans="1:1" ht="20.100000000000001" customHeight="1" x14ac:dyDescent="0.3">
      <c r="A256" s="24" t="s">
        <v>143</v>
      </c>
    </row>
    <row r="257" spans="1:1" ht="20.100000000000001" customHeight="1" x14ac:dyDescent="0.3">
      <c r="A257" s="25" t="s">
        <v>144</v>
      </c>
    </row>
    <row r="258" spans="1:1" ht="20.100000000000001" customHeight="1" x14ac:dyDescent="0.3">
      <c r="A258" s="20" t="s">
        <v>145</v>
      </c>
    </row>
    <row r="259" spans="1:1" ht="20.100000000000001" customHeight="1" x14ac:dyDescent="0.3">
      <c r="A259" s="25" t="s">
        <v>146</v>
      </c>
    </row>
    <row r="260" spans="1:1" ht="20.100000000000001" customHeight="1" x14ac:dyDescent="0.3">
      <c r="A260" s="20" t="s">
        <v>147</v>
      </c>
    </row>
    <row r="261" spans="1:1" ht="20.100000000000001" customHeight="1" x14ac:dyDescent="0.3">
      <c r="A261" s="25" t="s">
        <v>148</v>
      </c>
    </row>
    <row r="262" spans="1:1" ht="20.100000000000001" customHeight="1" x14ac:dyDescent="0.3">
      <c r="A262" s="20" t="s">
        <v>149</v>
      </c>
    </row>
    <row r="263" spans="1:1" ht="20.100000000000001" customHeight="1" x14ac:dyDescent="0.3">
      <c r="A263" s="20" t="s">
        <v>150</v>
      </c>
    </row>
    <row r="264" spans="1:1" ht="20.100000000000001" customHeight="1" x14ac:dyDescent="0.3">
      <c r="A264" s="25" t="s">
        <v>151</v>
      </c>
    </row>
    <row r="265" spans="1:1" ht="20.100000000000001" customHeight="1" x14ac:dyDescent="0.3">
      <c r="A265" s="25" t="s">
        <v>152</v>
      </c>
    </row>
    <row r="266" spans="1:1" ht="20.100000000000001" customHeight="1" x14ac:dyDescent="0.3">
      <c r="A266" s="25" t="s">
        <v>153</v>
      </c>
    </row>
    <row r="267" spans="1:1" ht="20.100000000000001" customHeight="1" x14ac:dyDescent="0.3">
      <c r="A267" s="20" t="s">
        <v>154</v>
      </c>
    </row>
    <row r="268" spans="1:1" ht="20.100000000000001" customHeight="1" x14ac:dyDescent="0.3">
      <c r="A268" s="20" t="s">
        <v>155</v>
      </c>
    </row>
    <row r="269" spans="1:1" ht="20.100000000000001" customHeight="1" x14ac:dyDescent="0.3">
      <c r="A269" s="20" t="s">
        <v>156</v>
      </c>
    </row>
    <row r="270" spans="1:1" ht="20.100000000000001" customHeight="1" x14ac:dyDescent="0.3">
      <c r="A270" s="20" t="s">
        <v>157</v>
      </c>
    </row>
    <row r="271" spans="1:1" ht="20.100000000000001" customHeight="1" x14ac:dyDescent="0.3">
      <c r="A271" s="25" t="s">
        <v>158</v>
      </c>
    </row>
    <row r="272" spans="1:1" ht="20.100000000000001" customHeight="1" x14ac:dyDescent="0.3">
      <c r="A272" s="25" t="s">
        <v>159</v>
      </c>
    </row>
    <row r="273" spans="1:1" ht="20.100000000000001" customHeight="1" x14ac:dyDescent="0.3">
      <c r="A273" s="20" t="s">
        <v>160</v>
      </c>
    </row>
    <row r="274" spans="1:1" ht="20.100000000000001" customHeight="1" x14ac:dyDescent="0.3">
      <c r="A274" s="25" t="s">
        <v>161</v>
      </c>
    </row>
    <row r="275" spans="1:1" ht="20.100000000000001" customHeight="1" x14ac:dyDescent="0.3">
      <c r="A275" s="25" t="s">
        <v>162</v>
      </c>
    </row>
    <row r="276" spans="1:1" ht="20.100000000000001" customHeight="1" x14ac:dyDescent="0.3">
      <c r="A276" s="20" t="s">
        <v>163</v>
      </c>
    </row>
    <row r="277" spans="1:1" ht="20.100000000000001" customHeight="1" x14ac:dyDescent="0.3">
      <c r="A277" s="20" t="s">
        <v>164</v>
      </c>
    </row>
    <row r="278" spans="1:1" ht="20.100000000000001" customHeight="1" x14ac:dyDescent="0.3">
      <c r="A278" s="25" t="s">
        <v>165</v>
      </c>
    </row>
    <row r="279" spans="1:1" ht="20.100000000000001" customHeight="1" x14ac:dyDescent="0.3">
      <c r="A279" s="20" t="s">
        <v>166</v>
      </c>
    </row>
    <row r="280" spans="1:1" ht="20.100000000000001" customHeight="1" x14ac:dyDescent="0.3">
      <c r="A280" s="20" t="s">
        <v>167</v>
      </c>
    </row>
    <row r="281" spans="1:1" ht="20.100000000000001" customHeight="1" x14ac:dyDescent="0.3">
      <c r="A281" s="20" t="s">
        <v>168</v>
      </c>
    </row>
    <row r="282" spans="1:1" ht="20.100000000000001" customHeight="1" x14ac:dyDescent="0.3">
      <c r="A282" s="20" t="s">
        <v>169</v>
      </c>
    </row>
    <row r="283" spans="1:1" ht="20.100000000000001" customHeight="1" x14ac:dyDescent="0.3">
      <c r="A283" s="25" t="s">
        <v>170</v>
      </c>
    </row>
    <row r="284" spans="1:1" ht="20.100000000000001" customHeight="1" x14ac:dyDescent="0.3">
      <c r="A284" s="25" t="s">
        <v>171</v>
      </c>
    </row>
    <row r="285" spans="1:1" ht="20.100000000000001" customHeight="1" x14ac:dyDescent="0.3">
      <c r="A285" s="25" t="s">
        <v>172</v>
      </c>
    </row>
    <row r="286" spans="1:1" ht="20.100000000000001" customHeight="1" thickBot="1" x14ac:dyDescent="0.35">
      <c r="A286" s="20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2025-10-07T15:51:29Z</dcterms:modified>
</cp:coreProperties>
</file>