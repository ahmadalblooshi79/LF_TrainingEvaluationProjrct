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E9B459F-67A7-4A3D-809D-0407CE3004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<sst xmlns="http://schemas.openxmlformats.org/spreadsheetml/2006/main" count="247" uniqueCount="191">
  <si>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</si>
  <si>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</si>
  <si>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</si>
  <si>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</si>
  <si>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</si>
  <si>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</si>
  <si>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</si>
  <si>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</si>
  <si>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</si>
  <si>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</si>
  <si>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</si>
  <si>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</si>
  <si>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</si>
  <si>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</si>
  <si>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</si>
  <si>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</si>
  <si>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</si>
  <si>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</si>
  <si>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</si>
  <si>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</si>
  <si>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</si>
  <si>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</si>
  <si>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</si>
  <si>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</si>
  <si>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</si>
  <si>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</si>
  <si>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</si>
  <si>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</si>
  <si>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</si>
  <si>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</si>
  <si>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</si>
  <si>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</si>
  <si>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</si>
  <si>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</si>
  <si>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</si>
  <si>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</si>
  <si>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</si>
  <si>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</si>
  <si>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</si>
  <si>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</si>
  <si>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</si>
  <si>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</si>
  <si>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</si>
  <si>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</si>
  <si>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</si>
  <si>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</si>
  <si>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</si>
  <si>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</si>
  <si>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</si>
  <si>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</si>
  <si>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</si>
  <si>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</si>
  <si>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</si>
  <si>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</si>
  <si>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</si>
  <si>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</si>
  <si>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</si>
  <si>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</si>
  <si>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</si>
  <si>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</si>
  <si>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</si>
  <si>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</si>
  <si>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</si>
  <si>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</si>
  <si>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</si>
  <si>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</si>
  <si>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</si>
  <si>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</si>
  <si>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</si>
  <si>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</si>
  <si>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</si>
  <si>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</si>
  <si>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</si>
  <si>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</si>
  <si>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</si>
  <si>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</si>
  <si>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</si>
  <si>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</si>
  <si>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</si>
  <si>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</si>
  <si>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</si>
  <si>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</si>
  <si>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</si>
  <si>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</si>
  <si>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</si>
  <si>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</si>
  <si>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</si>
  <si>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</si>
  <si>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</si>
  <si>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</si>
  <si>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</si>
  <si>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</si>
  <si>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</si>
  <si>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</si>
  <si>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</si>
  <si>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</si>
  <si>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</si>
  <si>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</si>
  <si>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</si>
  <si>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</si>
  <si>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</si>
  <si>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</si>
  <si>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</si>
  <si>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</si>
  <si>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</si>
  <si>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</si>
  <si>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</si>
  <si>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</si>
  <si>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</si>
  <si>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</si>
  <si>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</si>
  <si>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</si>
  <si>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</si>
  <si>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</si>
  <si>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</si>
  <si>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</si>
  <si>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</si>
  <si>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</si>
  <si>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</si>
  <si>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</si>
  <si>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</si>
  <si>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</si>
  <si>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</si>
  <si>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</si>
  <si>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</si>
  <si>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</si>
  <si>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</si>
  <si>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</si>
  <si>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</si>
  <si>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</si>
  <si>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</si>
  <si>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</si>
  <si>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</si>
  <si>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</si>
  <si>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</si>
  <si>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</si>
  <si>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</si>
  <si>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</si>
  <si>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</si>
  <si>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</si>
  <si>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</si>
  <si>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</si>
  <si>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</si>
  <si>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</si>
  <si>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</si>
  <si>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</si>
  <si>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</si>
  <si>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</si>
  <si>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</si>
  <si>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</si>
  <si>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</si>
  <si>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</si>
  <si>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</si>
  <si>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</si>
  <si>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</si>
  <si>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</si>
  <si>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</si>
  <si>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</si>
  <si>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</si>
  <si>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</si>
  <si>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</si>
  <si>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</si>
  <si>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</si>
  <si>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</si>
  <si>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</si>
  <si>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</si>
  <si>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</si>
  <si>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</si>
  <si>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</si>
  <si>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</si>
  <si>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</si>
  <si>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</si>
  <si>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</si>
  <si>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</si>
  <si>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</si>
  <si>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</si>
  <si>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</si>
  <si>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</si>
  <si>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</si>
  <si>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</si>
  <si>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خطة الانتشار</t>
    </r>
    <r>
      <rPr>
        <b/>
        <sz val="12"/>
        <color theme="1"/>
        <rFont val="Arial"/>
        <family val="2"/>
      </rPr>
      <t xml:space="preserve">. </t>
    </r>
    <r>
      <rPr>
        <sz val="12"/>
        <color rgb="FF000000"/>
        <rFont val="Arial"/>
        <family val="2"/>
      </rPr>
      <t>يتم التأكد من التالي: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</si>
  <si>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الخطة واعتمادها.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</si>
  <si>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بالإطار العام.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</si>
  <si>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بواجبات الأركان الصغرى في إعداد الخطة.</t>
    </r>
  </si>
  <si>
    <t>4.    التقيد بالتدريب على تنفيذ الخطة ومدى واقعيتها للتطبيق (التدريب على مهام العمليات).</t>
  </si>
  <si>
    <t>5.    مدى إلمام المرتب بالخطة ومتطلباتها والواجبات المحددة لكل منهم.</t>
  </si>
  <si>
    <t>6.    مدى توفر المهمات والمعدات المطلوبة لتنفيذ الخطة (آليات، معدات، إلخ...).</t>
  </si>
  <si>
    <t>7.     التأكد من التنسيق مع المعنيين لتنفيذ الخطة.</t>
  </si>
  <si>
    <t>8.     مدى تنفيذ المستوى الخاضع للتقييم لجميع الإجراءات المطلوبة منهم في تطبيق الخطة حسب المعاضل التي تفرض من قبل فريق التقييم.</t>
  </si>
  <si>
    <r>
      <rPr>
        <b/>
        <sz val="14"/>
        <color rgb="FF000000"/>
        <rFont val="Arial"/>
        <family val="2"/>
      </rPr>
      <t>تقييم خطة انتشار سرية التزويد والنقل  في تمرين الجاهزية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</si>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</sst>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12" xfId="0" applyFont="1" applyBorder="1" applyAlignment="1">
      <alignment horizontal="right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75162</xdr:colOff>
      <xdr:row>20</xdr:row>
      <xdr:rowOff>95548</xdr:rowOff>
    </xdr:from>
    <xdr:to>
      <xdr:col>8</xdr:col>
      <xdr:colOff>40231</xdr:colOff>
      <xdr:row>20</xdr:row>
      <xdr:rowOff>411268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2CF5794-F0B7-6377-183C-BFE1AAED87CC}"/>
                </a:ext>
              </a:extLst>
            </xdr14:cNvPr>
            <xdr14:cNvContentPartPr/>
          </xdr14:nvContentPartPr>
          <xdr14:nvPr macro=""/>
          <xdr14:xfrm>
            <a:off x="10399204678" y="9008640"/>
            <a:ext cx="623160" cy="315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2CF5794-F0B7-6377-183C-BFE1AAED87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98558" y="9002520"/>
              <a:ext cx="63540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173092</xdr:colOff>
      <xdr:row>20</xdr:row>
      <xdr:rowOff>189868</xdr:rowOff>
    </xdr:from>
    <xdr:to>
      <xdr:col>8</xdr:col>
      <xdr:colOff>390871</xdr:colOff>
      <xdr:row>21</xdr:row>
      <xdr:rowOff>48403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AB4DB1C-4388-973B-A7CE-0D11D9FD6818}"/>
                </a:ext>
              </a:extLst>
            </xdr14:cNvPr>
            <xdr14:cNvContentPartPr/>
          </xdr14:nvContentPartPr>
          <xdr14:nvPr macro=""/>
          <xdr14:xfrm>
            <a:off x="10398854038" y="9102960"/>
            <a:ext cx="1533960" cy="505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B4DB1C-4388-973B-A7CE-0D11D9FD681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847918" y="9096840"/>
              <a:ext cx="1546200" cy="517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3:13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1304 555 1448,'0'0'0,"-2"-12"816,-3 7-448,-7-11-144,12 16-224,-3-6 200,-1 1 104,0-1-40,-4 0-16,8 6-248,-4-5 200,-7-1 40,6-5 72,-7 6 41,12 5-353,-12-14 400,8 3-64,-8-1 40,10-2-8,2 14-368,-15-13 368,9-1 24,-9 0-104,11 0-40,4 14-248,-14-14 200,9-2-8,1-1-24,-1 0-32,5 17-136,-3-19 152,3 2-56,0-1-16,5-1 8,-5 19-88,17-20 24,-6 1-40,6-1 32,-1 1-88,-16 19 72,17-20-24,6 3-24,0 0 40,0 2 16,-23 15-8,24-15-8,1 1 0,1 1-48,2 2 0,-28 11 56,27-6-48,4-5 32,-1 7 0,0 1-48,-30 3 64,33-3-40,-5 1-48,-2 2 16,-3 3 32,-23-3 40,21 5-56,-4 7 24,-4-7-72,-10 13-136,-3-18 240,4 14-256,-1 2-120,-3 1 24,-5 2 80,5-19 272,-11 18-264,-1 2 48,-3 3 32,-5-1 40,20-22 144,-23 23-96,-3-2 72,-3 2-24,-1 0 32,30-23 16,-34 23-8,-1-1 8,0-2 16,0-1-40,35-19 24,-35 15 8,5 0-16,2-4 0,5-7 32,23-4-24,-20 12 8,5-12-8,12 0 32,-2 0-16,5 0-16,-2-2 64,2-2 120,0-7 80,7 5 8,-7 6-272,9-16 296,-4 3-104,14 1-96,-8-3 32,-11 15-128,17-14 8,-4 1 24,4 1-32,-1 6 0,-16 6 0,14-11 8,0 8-16,2 0-24,-3 3 16,-13 0 16,11 0-32,-9 4-48,3 10 32,0 1-40,-5-15 88,2 15-152,-2 5-8,-5 0-8,-14 1-8,19-21 176,-16 20-120,-5 2 40,-6-1 48,-2-1 0,29-20 32,-31 20 8,-5-2 32,1-1-56,-3 0 24,38-17-8,-40 13-8,5-9 0,3 9 16,-1-13 0,33 0-8,-25 3 16,-1-3-24,6 0 24,0-1-32,20 1 16,-13-5 0,8-6-16,-7 8 32,7-8-16,5 11 0,-2-5 32,-3 1-16,1-1 16,2 0 24,2 5-56,0-4-8,-5 1 40,3 2-48,-3 1 16,5 0 0,-3 0 8,-10 3 8,-4 9 8,-1 4-56,18-16 32,-28 20-8,1 3-16,-8 4-32,1 0 40,34-27 16,-37 28-16,-8-1-24,3 0 56,1-1-16,41-26 0,-43 25-24,1-2 32,5-2-8,2-4 0,35-17 0,-35 15 8,3-11-24,1 10-24,-6-14 16,37 0 24,-30 0-8,-1-1-72,1-5 64,5-10 8,25 16 8,-31-14-120,5-1-384,3-4-713,-3-1-1287,26 20 2504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3:14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1414 48,'0'0'0,"0"0"0,75-43 48,19-11-32,32-18 8,4-7 8,-130 79-32,129-79 16,9-1 0,10-1-8,12 1 16,-160 80-24,170-77 24,0 1 24,10 4-8,1 5 0,-181 67-40,185-62 80,3 5-40,-8 3 32,8 3-40,-188 51-32,176-49-16,7 5 8,-10 2-24,-6 7 0,-167 35 32,162-31-16,-15 4-24,-4 4 0,-6 1-16,-137 22 56,122-19 0,-10 5 0,-11 3-40,-12-2-280,-89 13 320,0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189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1" t="s">
        <v>8</v>
      </c>
      <c r="C2" s="63" t="s">
        <v>33</v>
      </c>
      <c r="D2" s="63"/>
      <c r="E2" s="11" t="s">
        <v>7</v>
      </c>
      <c r="F2" s="58">
        <v>45931</v>
      </c>
      <c r="G2" s="58"/>
      <c r="H2" s="58"/>
      <c r="I2" s="58"/>
      <c r="J2" s="58"/>
    </row>
    <row r="3" spans="1:10" ht="30" customHeight="1" x14ac:dyDescent="0.3">
      <c r="B3" s="11" t="s">
        <v>9</v>
      </c>
      <c r="C3" s="63" t="s">
        <v>60</v>
      </c>
      <c r="D3" s="63"/>
      <c r="E3" s="11" t="s">
        <v>6</v>
      </c>
      <c r="F3" s="63" t="s">
        <v>120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 t="s">
        <v>190</v>
      </c>
      <c r="E4" s="6"/>
      <c r="F4" s="7"/>
      <c r="G4" s="7"/>
      <c r="H4" s="8"/>
      <c r="I4" s="7"/>
      <c r="J4" s="7"/>
    </row>
    <row r="5" spans="1:10" ht="24.9" customHeight="1" x14ac:dyDescent="0.3">
      <c r="A5" s="9"/>
      <c r="B5" s="59" t="s">
        <v>0</v>
      </c>
      <c r="C5" s="60"/>
      <c r="D5" s="60"/>
      <c r="E5" s="47" t="s">
        <v>1</v>
      </c>
      <c r="F5" s="47"/>
      <c r="G5" s="47"/>
      <c r="H5" s="47"/>
      <c r="I5" s="47" t="s">
        <v>2</v>
      </c>
      <c r="J5" s="48"/>
    </row>
    <row r="6" spans="1:10" ht="24.9" customHeight="1" thickBot="1" x14ac:dyDescent="0.35">
      <c r="A6" s="9"/>
      <c r="B6" s="61"/>
      <c r="C6" s="62"/>
      <c r="D6" s="62"/>
      <c r="E6" s="10" t="s">
        <v>3</v>
      </c>
      <c r="F6" s="10" t="s">
        <v>4</v>
      </c>
      <c r="G6" s="10" t="s">
        <v>23</v>
      </c>
      <c r="H6" s="10" t="s">
        <v>24</v>
      </c>
      <c r="I6" s="49"/>
      <c r="J6" s="50"/>
    </row>
    <row r="7" spans="1:10" ht="24.9" customHeight="1" thickBot="1" x14ac:dyDescent="0.35">
      <c r="A7" s="9"/>
      <c r="B7" s="45" t="s">
        <v>21</v>
      </c>
      <c r="C7" s="46"/>
      <c r="D7" s="46"/>
      <c r="E7" s="28" t="s">
        <v>18</v>
      </c>
      <c r="F7" s="28" t="s">
        <v>19</v>
      </c>
      <c r="G7" s="28" t="s">
        <v>22</v>
      </c>
      <c r="H7" s="28" t="s">
        <v>20</v>
      </c>
      <c r="I7" s="51" t="s">
        <v>25</v>
      </c>
      <c r="J7" s="52"/>
    </row>
    <row r="8" spans="1:10" ht="39.9" customHeight="1" x14ac:dyDescent="0.3">
      <c r="A8" s="9"/>
      <c r="B8" s="55" t="s">
        <v>180</v>
      </c>
      <c r="C8" s="56"/>
      <c r="D8" s="56"/>
      <c r="E8" s="32"/>
      <c r="F8" s="33"/>
      <c r="G8" s="34"/>
      <c r="H8" s="35"/>
      <c r="I8" s="53"/>
      <c r="J8" s="54"/>
    </row>
    <row r="9" spans="1:10" ht="39.9" customHeight="1" x14ac:dyDescent="0.3">
      <c r="A9" s="9"/>
      <c r="B9" s="39" t="s">
        <v>181</v>
      </c>
      <c r="C9" s="39"/>
      <c r="D9" s="39"/>
      <c r="E9" s="27">
        <v>10</v>
      </c>
      <c r="F9" s="25">
        <v>7.5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9.9" customHeight="1" x14ac:dyDescent="0.3">
      <c r="A10" s="9"/>
      <c r="B10" s="39" t="s">
        <v>182</v>
      </c>
      <c r="C10" s="39"/>
      <c r="D10" s="39"/>
      <c r="E10" s="27">
        <v>5</v>
      </c>
      <c r="F10" s="25">
        <v>3.75</v>
      </c>
      <c r="G10" s="30">
        <f t="shared" ref="G10:G16" si="0">IFERROR(F10/E10,"")</f>
        <v>0.75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1"/>
    </row>
    <row r="11" spans="1:10" ht="39.9" customHeight="1" x14ac:dyDescent="0.3">
      <c r="A11" s="9"/>
      <c r="B11" s="39" t="s">
        <v>183</v>
      </c>
      <c r="C11" s="39"/>
      <c r="D11" s="39"/>
      <c r="E11" s="27">
        <v>5</v>
      </c>
      <c r="F11" s="25">
        <v>3.5</v>
      </c>
      <c r="G11" s="30">
        <f t="shared" si="0"/>
        <v>0.7</v>
      </c>
      <c r="H11" s="31" t="str">
        <f t="shared" si="1"/>
        <v>جيد</v>
      </c>
      <c r="I11" s="40"/>
      <c r="J11" s="41"/>
    </row>
    <row r="12" spans="1:10" ht="39.9" customHeight="1" x14ac:dyDescent="0.3">
      <c r="A12" s="9"/>
      <c r="B12" s="39" t="s">
        <v>184</v>
      </c>
      <c r="C12" s="39"/>
      <c r="D12" s="39"/>
      <c r="E12" s="27">
        <v>20</v>
      </c>
      <c r="F12" s="25">
        <v>14</v>
      </c>
      <c r="G12" s="30">
        <f t="shared" si="0"/>
        <v>0.7</v>
      </c>
      <c r="H12" s="31" t="str">
        <f t="shared" si="1"/>
        <v>جيد</v>
      </c>
      <c r="I12" s="40"/>
      <c r="J12" s="41"/>
    </row>
    <row r="13" spans="1:10" ht="39.9" customHeight="1" x14ac:dyDescent="0.3">
      <c r="A13" s="9"/>
      <c r="B13" s="39" t="s">
        <v>185</v>
      </c>
      <c r="C13" s="39"/>
      <c r="D13" s="39"/>
      <c r="E13" s="27">
        <v>10</v>
      </c>
      <c r="F13" s="25">
        <v>7</v>
      </c>
      <c r="G13" s="30">
        <f t="shared" si="0"/>
        <v>0.7</v>
      </c>
      <c r="H13" s="31" t="str">
        <f t="shared" si="1"/>
        <v>جيد</v>
      </c>
      <c r="I13" s="40"/>
      <c r="J13" s="41"/>
    </row>
    <row r="14" spans="1:10" ht="39.9" customHeight="1" x14ac:dyDescent="0.3">
      <c r="A14" s="9"/>
      <c r="B14" s="39" t="s">
        <v>186</v>
      </c>
      <c r="C14" s="39"/>
      <c r="D14" s="39"/>
      <c r="E14" s="27">
        <v>10</v>
      </c>
      <c r="F14" s="25">
        <v>7.25</v>
      </c>
      <c r="G14" s="30">
        <f t="shared" si="0"/>
        <v>0.72499999999999998</v>
      </c>
      <c r="H14" s="31" t="str">
        <f t="shared" si="1"/>
        <v>جيد</v>
      </c>
      <c r="I14" s="40"/>
      <c r="J14" s="41"/>
    </row>
    <row r="15" spans="1:10" ht="39.9" customHeight="1" x14ac:dyDescent="0.3">
      <c r="A15" s="9"/>
      <c r="B15" s="39" t="s">
        <v>187</v>
      </c>
      <c r="C15" s="39"/>
      <c r="D15" s="39"/>
      <c r="E15" s="27">
        <v>5</v>
      </c>
      <c r="F15" s="25">
        <v>3.5</v>
      </c>
      <c r="G15" s="30">
        <f t="shared" si="0"/>
        <v>0.7</v>
      </c>
      <c r="H15" s="31" t="str">
        <f t="shared" si="1"/>
        <v>جيد</v>
      </c>
      <c r="I15" s="40"/>
      <c r="J15" s="41"/>
    </row>
    <row r="16" spans="1:10" ht="39.9" customHeight="1" thickBot="1" x14ac:dyDescent="0.35">
      <c r="A16" s="9"/>
      <c r="B16" s="44" t="s">
        <v>188</v>
      </c>
      <c r="C16" s="44"/>
      <c r="D16" s="44"/>
      <c r="E16" s="36">
        <v>5</v>
      </c>
      <c r="F16" s="26">
        <v>3.75</v>
      </c>
      <c r="G16" s="37">
        <f t="shared" si="0"/>
        <v>0.75</v>
      </c>
      <c r="H16" s="38" t="str">
        <f t="shared" si="1"/>
        <v>جيد</v>
      </c>
      <c r="I16" s="42"/>
      <c r="J16" s="43"/>
    </row>
    <row r="17" spans="1:10" ht="30" customHeight="1" thickBot="1" x14ac:dyDescent="0.35">
      <c r="A17" s="4"/>
      <c r="B17" s="77" t="s">
        <v>5</v>
      </c>
      <c r="C17" s="78"/>
      <c r="D17" s="78"/>
      <c r="E17" s="29">
        <f>SUM(E8:E16)</f>
        <v>70</v>
      </c>
      <c r="F17" s="29">
        <f>SUM(F8:F16)</f>
        <v>50.25</v>
      </c>
      <c r="G17" s="66"/>
      <c r="H17" s="67"/>
      <c r="I17" s="67"/>
      <c r="J17" s="68"/>
    </row>
    <row r="18" spans="1:10" ht="30" customHeight="1" thickBot="1" x14ac:dyDescent="0.35">
      <c r="A18" s="4"/>
      <c r="B18" s="79" t="s">
        <v>54</v>
      </c>
      <c r="C18" s="80"/>
      <c r="D18" s="80"/>
      <c r="E18" s="75">
        <f>F17/E17/100*100</f>
        <v>0.71785714285714286</v>
      </c>
      <c r="F18" s="75"/>
      <c r="G18" s="75"/>
      <c r="H18" s="75"/>
      <c r="I18" s="75"/>
      <c r="J18" s="76"/>
    </row>
    <row r="19" spans="1:10" ht="30" customHeight="1" thickBot="1" x14ac:dyDescent="0.35">
      <c r="A19" s="4"/>
      <c r="B19" s="79" t="s">
        <v>55</v>
      </c>
      <c r="C19" s="80"/>
      <c r="D19" s="80"/>
      <c r="E19" s="73" t="str">
        <f>_xlfn.IFS(E18&gt;=90%,"ممتاز",E18&gt;=80%,"جيد جداً",E18&gt;=70%,"جيد",E18&gt;=60%,"مقبول",E18&lt;60%,"راسب")</f>
        <v>جيد</v>
      </c>
      <c r="F19" s="73"/>
      <c r="G19" s="73"/>
      <c r="H19" s="73"/>
      <c r="I19" s="73"/>
      <c r="J19" s="74"/>
    </row>
    <row r="20" spans="1:10" ht="42" customHeight="1" x14ac:dyDescent="0.3">
      <c r="B20" s="69" t="s">
        <v>174</v>
      </c>
      <c r="C20" s="69"/>
      <c r="D20" s="69"/>
      <c r="E20" s="64" t="s">
        <v>52</v>
      </c>
      <c r="F20" s="64"/>
      <c r="G20" s="71" t="s">
        <v>120</v>
      </c>
      <c r="H20" s="71"/>
      <c r="I20" s="71"/>
      <c r="J20" s="71"/>
    </row>
    <row r="21" spans="1:10" ht="51" customHeight="1" x14ac:dyDescent="0.3">
      <c r="A21" s="5"/>
      <c r="B21" s="70"/>
      <c r="C21" s="70"/>
      <c r="D21" s="70"/>
      <c r="E21" s="65" t="s">
        <v>53</v>
      </c>
      <c r="F21" s="65"/>
      <c r="G21" s="72"/>
      <c r="H21" s="72"/>
      <c r="I21" s="72"/>
      <c r="J21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49BEA5CD-5EB3-4C04-AE61-4302BF6F32EF}">
          <x14:formula1>
            <xm:f>'بيانات التقييم'!$A$111:$A$153</xm:f>
          </x14:formula1>
          <xm:sqref>F9 F13:F14</xm:sqref>
        </x14:dataValidation>
        <x14:dataValidation type="list" allowBlank="1" showInputMessage="1" showErrorMessage="1" xr:uid="{E3FD0B2A-614A-4F07-87E4-DAA1F63D797E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9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2025-10-07T15:52:22Z</dcterms:modified>
</cp:coreProperties>
</file>