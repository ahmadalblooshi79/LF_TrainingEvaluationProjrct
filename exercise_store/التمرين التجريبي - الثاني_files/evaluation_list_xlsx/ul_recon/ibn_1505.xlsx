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2B9D713E-B0BE-43F4-992C-854744BA3ED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التقييم'!$A$1:$J$35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4" i="2"/>
  <c r="H14" i="2"/>
  <c r="G15" i="2"/>
  <c r="H15" i="2"/>
  <c r="G16" i="2"/>
  <c r="H16" i="2"/>
  <c r="G17" i="2"/>
  <c r="H17" i="2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G27" i="2"/>
  <c r="H27" i="2"/>
  <c r="G28" i="2"/>
  <c r="H28" i="2"/>
  <c r="G29" i="2"/>
  <c r="H29" i="2"/>
  <c r="G30" i="2"/>
  <c r="H30" i="2"/>
  <c r="F31" i="2"/>
  <c r="E31" i="2"/>
  <c r="E32" i="2"/>
  <c r="E33" i="2"/>
</calcChain>
</file>

<file path=xl/sharedStrings.xml><?xml version="1.0" encoding="utf-8"?>
<sst xmlns="http://schemas.openxmlformats.org/spreadsheetml/2006/main" count="260" uniqueCount="204">
  <si>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</si>
  <si>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</si>
  <si>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</si>
  <si>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</si>
  <si>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</si>
  <si>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</si>
  <si>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</si>
  <si>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</si>
  <si>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</si>
  <si>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</si>
  <si>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</si>
  <si>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</si>
  <si>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</si>
  <si>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</si>
  <si>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</si>
  <si>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</si>
  <si>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</si>
  <si>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</si>
  <si>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</si>
  <si>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</si>
  <si>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</si>
  <si>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</si>
  <si>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</si>
  <si>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</si>
  <si>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</si>
  <si>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</si>
  <si>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</si>
  <si>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</si>
  <si>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</si>
  <si>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</si>
  <si>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</si>
  <si>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</si>
  <si>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</si>
  <si>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</si>
  <si>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</si>
  <si>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</si>
  <si>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</si>
  <si>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</si>
  <si>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</si>
  <si>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</si>
  <si>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</si>
  <si>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</si>
  <si>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</si>
  <si>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</si>
  <si>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</si>
  <si>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</si>
  <si>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</si>
  <si>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</si>
  <si>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</si>
  <si>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</si>
  <si>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</si>
  <si>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</si>
  <si>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</si>
  <si>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</si>
  <si>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</si>
  <si>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</si>
  <si>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</si>
  <si>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</si>
  <si>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</si>
  <si>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</si>
  <si>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</si>
  <si>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</si>
  <si>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</si>
  <si>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</si>
  <si>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</si>
  <si>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</si>
  <si>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</si>
  <si>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</si>
  <si>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</si>
  <si>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</si>
  <si>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</si>
  <si>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</si>
  <si>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</si>
  <si>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</si>
  <si>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</si>
  <si>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</si>
  <si>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</si>
  <si>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</si>
  <si>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</si>
  <si>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</si>
  <si>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</si>
  <si>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</si>
  <si>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</si>
  <si>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</si>
  <si>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</si>
  <si>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</si>
  <si>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</si>
  <si>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</si>
  <si>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</si>
  <si>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</si>
  <si>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</si>
  <si>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</si>
  <si>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</si>
  <si>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</si>
  <si>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</si>
  <si>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</si>
  <si>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</si>
  <si>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</si>
  <si>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</si>
  <si>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</si>
  <si>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</si>
  <si>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</si>
  <si>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</si>
  <si>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</si>
  <si>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</si>
  <si>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</si>
  <si>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</si>
  <si>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</si>
  <si>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</si>
  <si>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</si>
  <si>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</si>
  <si>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</si>
  <si>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</si>
  <si>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</si>
  <si>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</si>
  <si>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</si>
  <si>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</si>
  <si>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</si>
  <si>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</si>
  <si>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</si>
  <si>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</si>
  <si>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</si>
  <si>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</si>
  <si>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</si>
  <si>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</si>
  <si>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</si>
  <si>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</si>
  <si>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</si>
  <si>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</si>
  <si>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</si>
  <si>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</si>
  <si>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</si>
  <si>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</si>
  <si>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</si>
  <si>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</si>
  <si>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</si>
  <si>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</si>
  <si>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</si>
  <si>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</si>
  <si>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</si>
  <si>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</si>
  <si>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</si>
  <si>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</si>
  <si>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</si>
  <si>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</si>
  <si>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</si>
  <si>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</si>
  <si>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</si>
  <si>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</si>
  <si>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</si>
  <si>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</si>
  <si>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</si>
  <si>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</si>
  <si>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</si>
  <si>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</si>
  <si>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</si>
  <si>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</si>
  <si>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</si>
  <si>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</si>
  <si>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</si>
  <si>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</si>
  <si>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</si>
  <si>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</si>
  <si>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</si>
  <si>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</si>
  <si>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</si>
  <si>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</si>
  <si>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</si>
  <si>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</si>
  <si>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</si>
  <si>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</si>
  <si>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</si>
  <si>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</si>
  <si>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</si>
  <si>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</si>
  <si>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</si>
  <si>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</si>
  <si>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</si>
  <si>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</si>
  <si>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</si>
  <si>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تقييم إجراءات سرية الاستطلاع في منطقة الانتشار - تمرين جاهزية مجموعة لواء الإمارات/1 (جندي الصحراء 2025/20)</t>
  </si>
  <si>
    <r>
      <t>1.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إجراءات القائد قبل بدء التحرك إلى مناطق الانتشار</t>
    </r>
  </si>
  <si>
    <t>أ. إبلاغ المرؤوسين بالبدء بتنفيذ خطة التحرك لمناطق الانتشار.</t>
  </si>
  <si>
    <t>ب. إرسال مجموعات الحماية والاستطلاع والأدلاء إلى مناطق الانتشار.</t>
  </si>
  <si>
    <t>جـ. تحميل وثائق العمليات.</t>
  </si>
  <si>
    <t>د. دفع مجاميع الاستطلاع لتأمين المنطقة.</t>
  </si>
  <si>
    <r>
      <t>2.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إجراءات القادة والقوات أثناء التحرك لمناطق الانتشار</t>
    </r>
  </si>
  <si>
    <t>أ. التقيد بتنفيذ إجراءات التحرك حسب أمر / جدول التنقل.</t>
  </si>
  <si>
    <t>ب. سيطرة القادة على قواتهم أثناء التحرك.</t>
  </si>
  <si>
    <t>جـ. توفر الحماية للقوات أثناء التحرك.</t>
  </si>
  <si>
    <t>د. تحقيـق الاتصال بالمستـوى الأعلى والادنى.</t>
  </si>
  <si>
    <r>
      <t>3.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تجهيز وإعداد مناطق الانتشار والإجراءات المتخذة فيها.</t>
    </r>
  </si>
  <si>
    <t>أ. التأكد من توزيع عناصر الاستطلاع بالطريقة الصحيحة مع تقسيم منطقة الانتشار إلى قطاعات.</t>
  </si>
  <si>
    <t>ب. مدى جاهزية عناصر الاستطلاع لتنفيذ مجاميع الاستطلاع ونقاط المراقبة.</t>
  </si>
  <si>
    <t>جـ. توفير تغطية راداريه لمنطقة الانتشار.</t>
  </si>
  <si>
    <t>د. التأكد من الإخفاء والتمويه.</t>
  </si>
  <si>
    <r>
      <t>4.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sz val="12"/>
        <color rgb="FF000000"/>
        <rFont val="Arial"/>
        <family val="2"/>
      </rPr>
      <t>التأكد من فتح وإدامة مراكز القيادة والاتصالات والسيطرة.</t>
    </r>
  </si>
  <si>
    <r>
      <t>5.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sz val="12"/>
        <color rgb="FF000000"/>
        <rFont val="Arial"/>
        <family val="2"/>
      </rPr>
      <t>التأكد من تأمين مناطق الانتشار بالاتصالات.</t>
    </r>
  </si>
  <si>
    <r>
      <t>6.</t>
    </r>
    <r>
      <rPr>
        <b/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Arial"/>
        <family val="2"/>
      </rPr>
      <t>وجود تعليمات الإنـــذار.</t>
    </r>
  </si>
  <si>
    <r>
      <t>7.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إجراءات الإسناد الإداري.</t>
    </r>
  </si>
  <si>
    <t>أ. التزويد (الوقود / الأرزاق / المياه، الخ..).</t>
  </si>
  <si>
    <t>ب. الإخـلاء.</t>
  </si>
  <si>
    <t>جـ. الإنقـاذ.</t>
  </si>
  <si>
    <t>د. الطرق الرئيسة والتبادلية المؤديـة إلى ومن مناطق الانتشــار.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</si>
</sst>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1"/>
      <color theme="1"/>
      <name val="Calibri"/>
      <family val="2"/>
    </font>
    <font>
      <b/>
      <sz val="7"/>
      <color rgb="FF000000"/>
      <name val="Times New Roman"/>
      <family val="1"/>
    </font>
    <font>
      <b/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2"/>
    </xf>
    <xf numFmtId="0" fontId="13" fillId="0" borderId="4" xfId="0" applyFont="1" applyBorder="1" applyAlignment="1">
      <alignment vertical="center" wrapText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12" xfId="0" applyFont="1" applyBorder="1" applyAlignment="1">
      <alignment horizontal="center" vertical="center" wrapText="1" readingOrder="2"/>
    </xf>
    <xf numFmtId="0" fontId="3" fillId="0" borderId="9" xfId="0" applyFont="1" applyBorder="1" applyAlignment="1">
      <alignment horizontal="center" vertical="center" wrapText="1" readingOrder="2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2" fillId="0" borderId="11" xfId="0" applyFont="1" applyBorder="1" applyAlignment="1">
      <alignment horizontal="right" vertical="center" wrapText="1" indent="2"/>
    </xf>
    <xf numFmtId="0" fontId="12" fillId="0" borderId="12" xfId="0" applyFont="1" applyBorder="1" applyAlignment="1">
      <alignment horizontal="right" vertical="center" wrapText="1" indent="2"/>
    </xf>
    <xf numFmtId="0" fontId="2" fillId="0" borderId="8" xfId="0" applyFont="1" applyBorder="1" applyAlignment="1">
      <alignment horizontal="right" vertical="center" wrapText="1" readingOrder="2"/>
    </xf>
    <xf numFmtId="0" fontId="2" fillId="0" borderId="9" xfId="0" applyFont="1" applyBorder="1" applyAlignment="1">
      <alignment horizontal="right" vertical="center" wrapText="1" readingOrder="2"/>
    </xf>
    <xf numFmtId="0" fontId="3" fillId="0" borderId="8" xfId="0" applyFont="1" applyBorder="1" applyAlignment="1">
      <alignment horizontal="right" vertical="center" wrapText="1" readingOrder="2"/>
    </xf>
    <xf numFmtId="0" fontId="3" fillId="0" borderId="9" xfId="0" applyFont="1" applyBorder="1" applyAlignment="1">
      <alignment horizontal="right" vertical="center" wrapText="1" readingOrder="2"/>
    </xf>
    <xf numFmtId="0" fontId="2" fillId="0" borderId="5" xfId="0" applyFont="1" applyBorder="1" applyAlignment="1">
      <alignment horizontal="right" vertical="center" wrapText="1" readingOrder="2"/>
    </xf>
    <xf numFmtId="0" fontId="2" fillId="0" borderId="4" xfId="0" applyFont="1" applyBorder="1" applyAlignment="1">
      <alignment horizontal="right" vertical="center" wrapText="1" readingOrder="2"/>
    </xf>
    <xf numFmtId="0" fontId="12" fillId="0" borderId="23" xfId="0" applyFont="1" applyBorder="1" applyAlignment="1">
      <alignment horizontal="right" vertical="center" wrapText="1" indent="2"/>
    </xf>
    <xf numFmtId="0" fontId="12" fillId="0" borderId="3" xfId="0" applyFont="1" applyBorder="1" applyAlignment="1">
      <alignment horizontal="right" vertical="center" wrapText="1" indent="2"/>
    </xf>
  </cellXfs>
  <cellStyles count="1">
    <cellStyle name="Normal" xfId="0" builtinId="0"/>
  </cellStyles>
  <dxfs count="17"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83625</xdr:colOff>
      <xdr:row>33</xdr:row>
      <xdr:rowOff>514600</xdr:rowOff>
    </xdr:from>
    <xdr:to>
      <xdr:col>9</xdr:col>
      <xdr:colOff>347114</xdr:colOff>
      <xdr:row>35</xdr:row>
      <xdr:rowOff>12683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5327C3F8-08E5-B4F4-C21F-6A8F072B06E7}"/>
                </a:ext>
              </a:extLst>
            </xdr14:cNvPr>
            <xdr14:cNvContentPartPr/>
          </xdr14:nvContentPartPr>
          <xdr14:nvPr macro=""/>
          <xdr14:xfrm>
            <a:off x="10398239705" y="13341600"/>
            <a:ext cx="2237760" cy="6757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5327C3F8-08E5-B4F4-C21F-6A8F072B06E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231065" y="13332960"/>
              <a:ext cx="2255400" cy="6933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7T03:37:53.26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5518 811,'0'0,"0"0,0 0,0 0,0 0,0 0,0 0,0 0,-16 0,-1 0,10-8,0 0,-9 24,-1-16,3 0,-19 16,19-8,-3 0,-13 8,21 8,2 1,-9 7,8-7,1-2,7 26,0-23,0-4,15 27,1-24,0-2,14 27,3-34,-2 0,47 16,-36-15,-7-1,58 0,-50-16,-6 0,24 16,-19-16,-5 0,11 0,-25-8,1 0,6 8,-23-8,3 0,3 8,-3 0,-33 16,-24 0,4-8,6 0,-71 41,43-24,3-2,-78 9,58 3,9-5,-84 18,68-13,7-4,-91 1,102-16,1 1,-37-1,50-16,3 0,-24 0,37-9,3 2,-39-26,43 7,4 4,-30-60,17 22,6 7,-10-76,33 60,-3 9,1-87,25 62,-2 9,24-102,-14 92,-2 9,32-36,-23 71,0 4,6-27,-7 31,1 2,6 0,-20 24,-3 0,9 8,-9 0,0 0,-19 13,10-10,-14 29,-8 2,1-2,-54 33,20-15,4-4,-58 51,41-37,-1-7,-84 62,65-56,7-5,-104 59,98-62,6-5,-87 35,78-47,10-3,-73 34,90-49,4 0,-46 16,64-24,6 0,-41-8,38 0,3 0,-10 0,30-8,1 0,-14-8,13-1,3 2,-2-18,9 0,-3 2,27-51,8 24,-3 3,24-74,4 61,-6 7,66-102,-47 95,-1 7,48-68,-61 77,-5 7,33-21,-34 41,-8 2,12 6,-21 9,-5 0,-4 24,-11-16,4 0,-10 17,0-8,0-2,0 9,-10 1,4-2,-25 35,-18-8,4-4,-65 43,54-21,2-7,-117 60,81-53,9-6,-123 76,96-71,12-5,-122 59,110-54,12-4,-105 26,95-39,8-4,-74 43,81-47,9-3,-73 17,99-31,2-1,-40 17,45-17,5 0,-19 0,39-16,1 0,-8 0,24 0,-2 0,9-16,0 7,0 2,16-9,-9 7,2 2,21-27,13 9,-8 2,59-42,-19 40,-10 2,62-26,-54 24,-5 2,103-26,-73 32,-8 2,97-17,-77 14,-17 4,96-3,-82 8,-13 1,110-40,-94 31,-16 1,107-48,-91 30,-16 3,110-66,-96 46,-15 5,81-52,-91 39,-11 5,85-43,-99 55,-6 4,41-27,-43 22,-5 4,15-25,-34 38,-5 3,12-9,-16 15,-4 2,4-2,-10 8,0 2,9-9,-16 8,0 0,-12 20,8-8,-27 28,-1 11,1-5,-30 59,12-37,5-6,-36 92,24-54,4-7,-42 110,45-94,5-8,-50 134,68-114,4-16,-24 114,27-107,6-14,13-90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5"/>
  <sheetViews>
    <sheetView rightToLeft="1" tabSelected="1" view="pageBreakPreview" topLeftCell="A27" zoomScale="130" zoomScaleNormal="100" zoomScaleSheetLayoutView="130" workbookViewId="0">
      <selection activeCell="F2" sqref="F2:J2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4" t="s">
        <v>180</v>
      </c>
      <c r="C1" s="64"/>
      <c r="D1" s="64"/>
      <c r="E1" s="64"/>
      <c r="F1" s="64"/>
      <c r="G1" s="64"/>
      <c r="H1" s="64"/>
      <c r="I1" s="64"/>
      <c r="J1" s="64"/>
    </row>
    <row r="2" spans="1:10" ht="30" customHeight="1" x14ac:dyDescent="0.3">
      <c r="B2" s="12" t="s">
        <v>8</v>
      </c>
      <c r="C2" s="70" t="s">
        <v>10</v>
      </c>
      <c r="D2" s="70"/>
      <c r="E2" s="12" t="s">
        <v>7</v>
      </c>
      <c r="F2" s="65">
        <v>45929</v>
      </c>
      <c r="G2" s="65"/>
      <c r="H2" s="65"/>
      <c r="I2" s="65"/>
      <c r="J2" s="65"/>
    </row>
    <row r="3" spans="1:10" ht="30" customHeight="1" x14ac:dyDescent="0.3">
      <c r="B3" s="12" t="s">
        <v>9</v>
      </c>
      <c r="C3" s="70" t="s">
        <v>65</v>
      </c>
      <c r="D3" s="70"/>
      <c r="E3" s="12" t="s">
        <v>6</v>
      </c>
      <c r="F3" s="70" t="s">
        <v>113</v>
      </c>
      <c r="G3" s="70"/>
      <c r="H3" s="70"/>
      <c r="I3" s="70"/>
      <c r="J3" s="70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66" t="s">
        <v>0</v>
      </c>
      <c r="C5" s="67"/>
      <c r="D5" s="67"/>
      <c r="E5" s="75" t="s">
        <v>1</v>
      </c>
      <c r="F5" s="75"/>
      <c r="G5" s="75"/>
      <c r="H5" s="75"/>
      <c r="I5" s="75" t="s">
        <v>2</v>
      </c>
      <c r="J5" s="76"/>
    </row>
    <row r="6" spans="1:10" ht="24.9" customHeight="1" thickBot="1" x14ac:dyDescent="0.35">
      <c r="A6" s="10"/>
      <c r="B6" s="68"/>
      <c r="C6" s="69"/>
      <c r="D6" s="69"/>
      <c r="E6" s="11" t="s">
        <v>3</v>
      </c>
      <c r="F6" s="11" t="s">
        <v>4</v>
      </c>
      <c r="G6" s="11" t="s">
        <v>23</v>
      </c>
      <c r="H6" s="11" t="s">
        <v>24</v>
      </c>
      <c r="I6" s="77"/>
      <c r="J6" s="78"/>
    </row>
    <row r="7" spans="1:10" ht="24.9" customHeight="1" thickBot="1" x14ac:dyDescent="0.35">
      <c r="A7" s="10"/>
      <c r="B7" s="73" t="s">
        <v>21</v>
      </c>
      <c r="C7" s="74"/>
      <c r="D7" s="74"/>
      <c r="E7" s="29" t="s">
        <v>18</v>
      </c>
      <c r="F7" s="29" t="s">
        <v>19</v>
      </c>
      <c r="G7" s="29" t="s">
        <v>22</v>
      </c>
      <c r="H7" s="29" t="s">
        <v>20</v>
      </c>
      <c r="I7" s="79" t="s">
        <v>25</v>
      </c>
      <c r="J7" s="80"/>
    </row>
    <row r="8" spans="1:10" ht="30" customHeight="1" x14ac:dyDescent="0.3">
      <c r="A8" s="10"/>
      <c r="B8" s="91" t="s">
        <v>181</v>
      </c>
      <c r="C8" s="92"/>
      <c r="D8" s="92"/>
      <c r="E8" s="34"/>
      <c r="F8" s="35"/>
      <c r="G8" s="36"/>
      <c r="H8" s="37"/>
      <c r="I8" s="49"/>
      <c r="J8" s="50"/>
    </row>
    <row r="9" spans="1:10" ht="30" customHeight="1" x14ac:dyDescent="0.3">
      <c r="A9" s="10"/>
      <c r="B9" s="93" t="s">
        <v>182</v>
      </c>
      <c r="C9" s="94"/>
      <c r="D9" s="94"/>
      <c r="E9" s="33">
        <v>5</v>
      </c>
      <c r="F9" s="26">
        <v>3.75</v>
      </c>
      <c r="G9" s="31">
        <f>IFERROR(F9/E9,"")</f>
        <v>0.75</v>
      </c>
      <c r="H9" s="32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5"/>
      <c r="J9" s="46"/>
    </row>
    <row r="10" spans="1:10" ht="30" customHeight="1" x14ac:dyDescent="0.3">
      <c r="A10" s="10"/>
      <c r="B10" s="93" t="s">
        <v>183</v>
      </c>
      <c r="C10" s="94"/>
      <c r="D10" s="94"/>
      <c r="E10" s="33">
        <v>5</v>
      </c>
      <c r="F10" s="26">
        <v>3.75</v>
      </c>
      <c r="G10" s="31">
        <f t="shared" ref="G10:G30" si="0">IFERROR(F10/E10,"")</f>
        <v>0.75</v>
      </c>
      <c r="H10" s="32" t="str">
        <f t="shared" ref="H10:H30" si="1">_xlfn.IFS(F10="أدخل العلامة","",F10="لا ينطبق","تم الإلغاء",G10&gt;=90%,"ممتاز",G10&gt;=80%,"جيد جداً",G10&gt;=70%,"جيد",G10&gt;=60%,"مقبول",G10&lt;60%,"راسب")</f>
        <v>جيد</v>
      </c>
      <c r="I10" s="45"/>
      <c r="J10" s="46"/>
    </row>
    <row r="11" spans="1:10" ht="30" customHeight="1" x14ac:dyDescent="0.3">
      <c r="A11" s="10"/>
      <c r="B11" s="93" t="s">
        <v>184</v>
      </c>
      <c r="C11" s="94"/>
      <c r="D11" s="94"/>
      <c r="E11" s="33">
        <v>5</v>
      </c>
      <c r="F11" s="26">
        <v>3.75</v>
      </c>
      <c r="G11" s="31">
        <f t="shared" si="0"/>
        <v>0.75</v>
      </c>
      <c r="H11" s="32" t="str">
        <f t="shared" si="1"/>
        <v>جيد</v>
      </c>
      <c r="I11" s="45"/>
      <c r="J11" s="46"/>
    </row>
    <row r="12" spans="1:10" ht="30" customHeight="1" thickBot="1" x14ac:dyDescent="0.35">
      <c r="A12" s="10"/>
      <c r="B12" s="85" t="s">
        <v>185</v>
      </c>
      <c r="C12" s="86"/>
      <c r="D12" s="86"/>
      <c r="E12" s="41">
        <v>5</v>
      </c>
      <c r="F12" s="28">
        <v>3.75</v>
      </c>
      <c r="G12" s="39">
        <f t="shared" si="0"/>
        <v>0.75</v>
      </c>
      <c r="H12" s="40" t="str">
        <f t="shared" si="1"/>
        <v>جيد</v>
      </c>
      <c r="I12" s="56"/>
      <c r="J12" s="57"/>
    </row>
    <row r="13" spans="1:10" ht="30" customHeight="1" x14ac:dyDescent="0.3">
      <c r="A13" s="10"/>
      <c r="B13" s="91" t="s">
        <v>186</v>
      </c>
      <c r="C13" s="92"/>
      <c r="D13" s="92"/>
      <c r="E13" s="34"/>
      <c r="F13" s="35"/>
      <c r="G13" s="36"/>
      <c r="H13" s="37"/>
      <c r="I13" s="49"/>
      <c r="J13" s="50"/>
    </row>
    <row r="14" spans="1:10" ht="30" customHeight="1" x14ac:dyDescent="0.3">
      <c r="A14" s="10"/>
      <c r="B14" s="93" t="s">
        <v>187</v>
      </c>
      <c r="C14" s="94"/>
      <c r="D14" s="94"/>
      <c r="E14" s="9">
        <v>5</v>
      </c>
      <c r="F14" s="26">
        <v>3.75</v>
      </c>
      <c r="G14" s="31">
        <f t="shared" si="0"/>
        <v>0.75</v>
      </c>
      <c r="H14" s="32" t="str">
        <f t="shared" si="1"/>
        <v>جيد</v>
      </c>
      <c r="I14" s="45"/>
      <c r="J14" s="46"/>
    </row>
    <row r="15" spans="1:10" ht="30" customHeight="1" x14ac:dyDescent="0.3">
      <c r="A15" s="10"/>
      <c r="B15" s="93" t="s">
        <v>188</v>
      </c>
      <c r="C15" s="94"/>
      <c r="D15" s="94"/>
      <c r="E15" s="9">
        <v>5</v>
      </c>
      <c r="F15" s="26">
        <v>3.75</v>
      </c>
      <c r="G15" s="31">
        <f t="shared" si="0"/>
        <v>0.75</v>
      </c>
      <c r="H15" s="32" t="str">
        <f t="shared" si="1"/>
        <v>جيد</v>
      </c>
      <c r="I15" s="45"/>
      <c r="J15" s="46"/>
    </row>
    <row r="16" spans="1:10" ht="30" customHeight="1" x14ac:dyDescent="0.3">
      <c r="A16" s="10"/>
      <c r="B16" s="93" t="s">
        <v>189</v>
      </c>
      <c r="C16" s="94"/>
      <c r="D16" s="94"/>
      <c r="E16" s="9">
        <v>5</v>
      </c>
      <c r="F16" s="26">
        <v>3.75</v>
      </c>
      <c r="G16" s="31">
        <f t="shared" si="0"/>
        <v>0.75</v>
      </c>
      <c r="H16" s="32" t="str">
        <f t="shared" si="1"/>
        <v>جيد</v>
      </c>
      <c r="I16" s="45"/>
      <c r="J16" s="46"/>
    </row>
    <row r="17" spans="1:10" ht="30" customHeight="1" thickBot="1" x14ac:dyDescent="0.35">
      <c r="A17" s="10"/>
      <c r="B17" s="85" t="s">
        <v>190</v>
      </c>
      <c r="C17" s="86"/>
      <c r="D17" s="86"/>
      <c r="E17" s="38">
        <v>5</v>
      </c>
      <c r="F17" s="28">
        <v>3.75</v>
      </c>
      <c r="G17" s="39">
        <f t="shared" si="0"/>
        <v>0.75</v>
      </c>
      <c r="H17" s="40" t="str">
        <f t="shared" si="1"/>
        <v>جيد</v>
      </c>
      <c r="I17" s="56"/>
      <c r="J17" s="57"/>
    </row>
    <row r="18" spans="1:10" ht="30" customHeight="1" x14ac:dyDescent="0.3">
      <c r="A18" s="10"/>
      <c r="B18" s="91" t="s">
        <v>191</v>
      </c>
      <c r="C18" s="92"/>
      <c r="D18" s="92"/>
      <c r="E18" s="34"/>
      <c r="F18" s="35"/>
      <c r="G18" s="36"/>
      <c r="H18" s="37"/>
      <c r="I18" s="49"/>
      <c r="J18" s="50"/>
    </row>
    <row r="19" spans="1:10" ht="39.9" customHeight="1" x14ac:dyDescent="0.3">
      <c r="A19" s="10"/>
      <c r="B19" s="93" t="s">
        <v>192</v>
      </c>
      <c r="C19" s="94"/>
      <c r="D19" s="94"/>
      <c r="E19" s="33">
        <v>5</v>
      </c>
      <c r="F19" s="26">
        <v>3.75</v>
      </c>
      <c r="G19" s="31">
        <f t="shared" si="0"/>
        <v>0.75</v>
      </c>
      <c r="H19" s="32" t="str">
        <f t="shared" si="1"/>
        <v>جيد</v>
      </c>
      <c r="I19" s="45"/>
      <c r="J19" s="46"/>
    </row>
    <row r="20" spans="1:10" ht="39.9" customHeight="1" x14ac:dyDescent="0.3">
      <c r="A20" s="10"/>
      <c r="B20" s="93" t="s">
        <v>193</v>
      </c>
      <c r="C20" s="94"/>
      <c r="D20" s="94"/>
      <c r="E20" s="33">
        <v>5</v>
      </c>
      <c r="F20" s="26">
        <v>3.75</v>
      </c>
      <c r="G20" s="31">
        <f t="shared" si="0"/>
        <v>0.75</v>
      </c>
      <c r="H20" s="32" t="str">
        <f t="shared" si="1"/>
        <v>جيد</v>
      </c>
      <c r="I20" s="45"/>
      <c r="J20" s="46"/>
    </row>
    <row r="21" spans="1:10" ht="30" customHeight="1" x14ac:dyDescent="0.3">
      <c r="A21" s="10"/>
      <c r="B21" s="93" t="s">
        <v>194</v>
      </c>
      <c r="C21" s="94"/>
      <c r="D21" s="94"/>
      <c r="E21" s="33">
        <v>5</v>
      </c>
      <c r="F21" s="26">
        <v>3.75</v>
      </c>
      <c r="G21" s="31">
        <f t="shared" si="0"/>
        <v>0.75</v>
      </c>
      <c r="H21" s="32" t="str">
        <f t="shared" si="1"/>
        <v>جيد</v>
      </c>
      <c r="I21" s="45"/>
      <c r="J21" s="46"/>
    </row>
    <row r="22" spans="1:10" ht="30" customHeight="1" thickBot="1" x14ac:dyDescent="0.35">
      <c r="A22" s="10"/>
      <c r="B22" s="85" t="s">
        <v>195</v>
      </c>
      <c r="C22" s="86"/>
      <c r="D22" s="86"/>
      <c r="E22" s="41">
        <v>5</v>
      </c>
      <c r="F22" s="28">
        <v>3.75</v>
      </c>
      <c r="G22" s="39">
        <f t="shared" si="0"/>
        <v>0.75</v>
      </c>
      <c r="H22" s="40" t="str">
        <f t="shared" si="1"/>
        <v>جيد</v>
      </c>
      <c r="I22" s="56"/>
      <c r="J22" s="57"/>
    </row>
    <row r="23" spans="1:10" ht="30" customHeight="1" thickBot="1" x14ac:dyDescent="0.35">
      <c r="A23" s="10"/>
      <c r="B23" s="87" t="s">
        <v>196</v>
      </c>
      <c r="C23" s="88"/>
      <c r="D23" s="88"/>
      <c r="E23" s="42">
        <v>5</v>
      </c>
      <c r="F23" s="43">
        <v>3.75</v>
      </c>
      <c r="G23" s="44">
        <f t="shared" si="0"/>
        <v>0.75</v>
      </c>
      <c r="H23" s="27" t="str">
        <f t="shared" si="1"/>
        <v>جيد</v>
      </c>
      <c r="I23" s="47"/>
      <c r="J23" s="48"/>
    </row>
    <row r="24" spans="1:10" ht="30" customHeight="1" thickBot="1" x14ac:dyDescent="0.35">
      <c r="A24" s="10"/>
      <c r="B24" s="87" t="s">
        <v>197</v>
      </c>
      <c r="C24" s="88"/>
      <c r="D24" s="88"/>
      <c r="E24" s="42">
        <v>5</v>
      </c>
      <c r="F24" s="43">
        <v>3.75</v>
      </c>
      <c r="G24" s="44">
        <f t="shared" si="0"/>
        <v>0.75</v>
      </c>
      <c r="H24" s="27" t="str">
        <f t="shared" si="1"/>
        <v>جيد</v>
      </c>
      <c r="I24" s="47"/>
      <c r="J24" s="48"/>
    </row>
    <row r="25" spans="1:10" ht="30" customHeight="1" thickBot="1" x14ac:dyDescent="0.35">
      <c r="A25" s="10"/>
      <c r="B25" s="89" t="s">
        <v>198</v>
      </c>
      <c r="C25" s="90"/>
      <c r="D25" s="90"/>
      <c r="E25" s="42">
        <v>5</v>
      </c>
      <c r="F25" s="43">
        <v>3.75</v>
      </c>
      <c r="G25" s="44">
        <f t="shared" si="0"/>
        <v>0.75</v>
      </c>
      <c r="H25" s="27" t="str">
        <f t="shared" si="1"/>
        <v>جيد</v>
      </c>
      <c r="I25" s="47"/>
      <c r="J25" s="48"/>
    </row>
    <row r="26" spans="1:10" ht="30" customHeight="1" x14ac:dyDescent="0.3">
      <c r="A26" s="10"/>
      <c r="B26" s="91" t="s">
        <v>199</v>
      </c>
      <c r="C26" s="92"/>
      <c r="D26" s="92"/>
      <c r="E26" s="34"/>
      <c r="F26" s="35"/>
      <c r="G26" s="36"/>
      <c r="H26" s="37"/>
      <c r="I26" s="49"/>
      <c r="J26" s="50"/>
    </row>
    <row r="27" spans="1:10" ht="30" customHeight="1" x14ac:dyDescent="0.3">
      <c r="A27" s="10"/>
      <c r="B27" s="93" t="s">
        <v>200</v>
      </c>
      <c r="C27" s="94"/>
      <c r="D27" s="94"/>
      <c r="E27" s="9">
        <v>5</v>
      </c>
      <c r="F27" s="26">
        <v>3.75</v>
      </c>
      <c r="G27" s="31">
        <f t="shared" si="0"/>
        <v>0.75</v>
      </c>
      <c r="H27" s="32" t="str">
        <f t="shared" si="1"/>
        <v>جيد</v>
      </c>
      <c r="I27" s="45"/>
      <c r="J27" s="46"/>
    </row>
    <row r="28" spans="1:10" ht="30" customHeight="1" x14ac:dyDescent="0.3">
      <c r="A28" s="10"/>
      <c r="B28" s="93" t="s">
        <v>201</v>
      </c>
      <c r="C28" s="94"/>
      <c r="D28" s="94"/>
      <c r="E28" s="9">
        <v>5</v>
      </c>
      <c r="F28" s="26">
        <v>3.75</v>
      </c>
      <c r="G28" s="31">
        <f t="shared" si="0"/>
        <v>0.75</v>
      </c>
      <c r="H28" s="32" t="str">
        <f t="shared" si="1"/>
        <v>جيد</v>
      </c>
      <c r="I28" s="45"/>
      <c r="J28" s="46"/>
    </row>
    <row r="29" spans="1:10" ht="30" customHeight="1" x14ac:dyDescent="0.3">
      <c r="A29" s="10"/>
      <c r="B29" s="93" t="s">
        <v>202</v>
      </c>
      <c r="C29" s="94"/>
      <c r="D29" s="94"/>
      <c r="E29" s="9">
        <v>5</v>
      </c>
      <c r="F29" s="26">
        <v>3.75</v>
      </c>
      <c r="G29" s="31">
        <f t="shared" si="0"/>
        <v>0.75</v>
      </c>
      <c r="H29" s="32" t="str">
        <f t="shared" si="1"/>
        <v>جيد</v>
      </c>
      <c r="I29" s="45"/>
      <c r="J29" s="46"/>
    </row>
    <row r="30" spans="1:10" ht="30" customHeight="1" thickBot="1" x14ac:dyDescent="0.35">
      <c r="A30" s="10"/>
      <c r="B30" s="85" t="s">
        <v>203</v>
      </c>
      <c r="C30" s="86"/>
      <c r="D30" s="86"/>
      <c r="E30" s="38">
        <v>5</v>
      </c>
      <c r="F30" s="28">
        <v>3.75</v>
      </c>
      <c r="G30" s="39">
        <f t="shared" si="0"/>
        <v>0.75</v>
      </c>
      <c r="H30" s="40" t="str">
        <f t="shared" si="1"/>
        <v>جيد</v>
      </c>
      <c r="I30" s="56"/>
      <c r="J30" s="57"/>
    </row>
    <row r="31" spans="1:10" ht="30" customHeight="1" thickBot="1" x14ac:dyDescent="0.35">
      <c r="A31" s="4"/>
      <c r="B31" s="81" t="s">
        <v>5</v>
      </c>
      <c r="C31" s="82"/>
      <c r="D31" s="82"/>
      <c r="E31" s="30">
        <f>SUM(E8:E30)</f>
        <v>95</v>
      </c>
      <c r="F31" s="30">
        <f>SUM(F8:F30)</f>
        <v>71.25</v>
      </c>
      <c r="G31" s="53"/>
      <c r="H31" s="54"/>
      <c r="I31" s="54"/>
      <c r="J31" s="55"/>
    </row>
    <row r="32" spans="1:10" ht="30" customHeight="1" thickBot="1" x14ac:dyDescent="0.35">
      <c r="A32" s="4"/>
      <c r="B32" s="83" t="s">
        <v>54</v>
      </c>
      <c r="C32" s="84"/>
      <c r="D32" s="84"/>
      <c r="E32" s="71">
        <f>F31/E31/100*100</f>
        <v>0.75</v>
      </c>
      <c r="F32" s="71"/>
      <c r="G32" s="71"/>
      <c r="H32" s="71"/>
      <c r="I32" s="71"/>
      <c r="J32" s="72"/>
    </row>
    <row r="33" spans="1:10" ht="30" customHeight="1" thickBot="1" x14ac:dyDescent="0.35">
      <c r="A33" s="4"/>
      <c r="B33" s="83" t="s">
        <v>55</v>
      </c>
      <c r="C33" s="84"/>
      <c r="D33" s="84"/>
      <c r="E33" s="62" t="str">
        <f>_xlfn.IFS(E32&gt;=90%,"ممتاز",E32&gt;=80%,"جيد جداً",E32&gt;=70%,"جيد",E32&gt;=60%,"مقبول",E32&lt;60%,"راسب")</f>
        <v>جيد</v>
      </c>
      <c r="F33" s="62"/>
      <c r="G33" s="62"/>
      <c r="H33" s="62"/>
      <c r="I33" s="62"/>
      <c r="J33" s="63"/>
    </row>
    <row r="34" spans="1:10" ht="42" customHeight="1" x14ac:dyDescent="0.3">
      <c r="B34" s="58" t="s">
        <v>174</v>
      </c>
      <c r="C34" s="58"/>
      <c r="D34" s="58"/>
      <c r="E34" s="51" t="s">
        <v>52</v>
      </c>
      <c r="F34" s="51"/>
      <c r="G34" s="60" t="s">
        <v>113</v>
      </c>
      <c r="H34" s="60"/>
      <c r="I34" s="60"/>
      <c r="J34" s="60"/>
    </row>
    <row r="35" spans="1:10" ht="51" customHeight="1" x14ac:dyDescent="0.3">
      <c r="A35" s="5"/>
      <c r="B35" s="59"/>
      <c r="C35" s="59"/>
      <c r="D35" s="59"/>
      <c r="E35" s="52" t="s">
        <v>53</v>
      </c>
      <c r="F35" s="52"/>
      <c r="G35" s="61"/>
      <c r="H35" s="61"/>
      <c r="I35" s="61"/>
      <c r="J35" s="61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67">
    <mergeCell ref="B29:D29"/>
    <mergeCell ref="B30:D30"/>
    <mergeCell ref="B20:D20"/>
    <mergeCell ref="B21:D21"/>
    <mergeCell ref="B26:D26"/>
    <mergeCell ref="B27:D27"/>
    <mergeCell ref="B28:D28"/>
    <mergeCell ref="B22:D22"/>
    <mergeCell ref="B23:D23"/>
    <mergeCell ref="B24:D24"/>
    <mergeCell ref="B25:D25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I8:J8"/>
    <mergeCell ref="B31:D31"/>
    <mergeCell ref="B32:D32"/>
    <mergeCell ref="B33:D33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10:J10"/>
    <mergeCell ref="I19:J19"/>
    <mergeCell ref="B34:D35"/>
    <mergeCell ref="G34:J34"/>
    <mergeCell ref="G35:J35"/>
    <mergeCell ref="E33:J33"/>
    <mergeCell ref="B1:J1"/>
    <mergeCell ref="F2:J2"/>
    <mergeCell ref="B5:D6"/>
    <mergeCell ref="C2:D2"/>
    <mergeCell ref="C3:D3"/>
    <mergeCell ref="F3:J3"/>
    <mergeCell ref="E32:J32"/>
    <mergeCell ref="B7:D7"/>
    <mergeCell ref="I30:J30"/>
    <mergeCell ref="E5:H5"/>
    <mergeCell ref="I5:J6"/>
    <mergeCell ref="I7:J7"/>
    <mergeCell ref="E35:F35"/>
    <mergeCell ref="G31:J31"/>
    <mergeCell ref="I20:J20"/>
    <mergeCell ref="I21:J21"/>
    <mergeCell ref="I22:J22"/>
    <mergeCell ref="I23:J23"/>
    <mergeCell ref="I24:J24"/>
    <mergeCell ref="I9:J9"/>
    <mergeCell ref="I25:J25"/>
    <mergeCell ref="I26:J26"/>
    <mergeCell ref="I27:J27"/>
    <mergeCell ref="E34:F34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3">
    <cfRule type="expression" dxfId="14" priority="57">
      <formula>$E33="راسب"</formula>
    </cfRule>
  </conditionalFormatting>
  <conditionalFormatting sqref="E33:J33">
    <cfRule type="expression" dxfId="13" priority="60">
      <formula>$E33="جيد جداً"</formula>
    </cfRule>
    <cfRule type="expression" dxfId="12" priority="59">
      <formula>$E33="جيد"</formula>
    </cfRule>
    <cfRule type="expression" dxfId="11" priority="58">
      <formula>$E33="مقبول"</formula>
    </cfRule>
    <cfRule type="expression" dxfId="10" priority="61">
      <formula>$E33="ممتاز"</formula>
    </cfRule>
  </conditionalFormatting>
  <conditionalFormatting sqref="F8:F30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34:J34">
    <cfRule type="containsText" dxfId="6" priority="15" operator="containsText" text="أدخل اسم المحكم">
      <formula>NOT(ISERROR(SEARCH("أدخل اسم المحكم",G34)))</formula>
    </cfRule>
  </conditionalFormatting>
  <conditionalFormatting sqref="H8:H30">
    <cfRule type="containsText" dxfId="5" priority="10" operator="containsText" text="راسب">
      <formula>NOT(ISERROR(SEARCH("راسب",H8)))</formula>
    </cfRule>
    <cfRule type="containsText" dxfId="4" priority="9" operator="containsText" text="مقبول">
      <formula>NOT(ISERROR(SEARCH("مقبول",H8)))</formula>
    </cfRule>
    <cfRule type="containsText" dxfId="3" priority="8" operator="containsText" text="جيد">
      <formula>NOT(ISERROR(SEARCH("جيد",H8)))</formula>
    </cfRule>
    <cfRule type="containsText" dxfId="2" priority="7" operator="containsText" text="جيد جداً">
      <formula>NOT(ISERROR(SEARCH("جيد جداً",H8)))</formula>
    </cfRule>
    <cfRule type="containsText" dxfId="1" priority="6" operator="containsText" text="ممتاز">
      <formula>NOT(ISERROR(SEARCH("ممتاز",H8)))</formula>
    </cfRule>
    <cfRule type="containsText" dxfId="0" priority="5" operator="containsText" text="أدخل العلامة">
      <formula>NOT(ISERROR(SEARCH("أدخل العلامة",H8)))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F27:F30 F19:F25 F14:F17 F9:F12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G34:J34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6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19" t="s">
        <v>177</v>
      </c>
    </row>
    <row r="30" spans="1:3" ht="20.100000000000001" customHeight="1" thickBot="1" x14ac:dyDescent="0.35">
      <c r="A30" s="2" t="s">
        <v>32</v>
      </c>
      <c r="C30" s="19" t="s">
        <v>178</v>
      </c>
    </row>
    <row r="31" spans="1:3" ht="20.100000000000001" customHeight="1" thickBot="1" x14ac:dyDescent="0.35">
      <c r="A31" s="2" t="s">
        <v>33</v>
      </c>
      <c r="C31" s="19" t="s">
        <v>179</v>
      </c>
    </row>
    <row r="32" spans="1:3" ht="20.100000000000001" customHeight="1" thickBot="1" x14ac:dyDescent="0.35">
      <c r="A32" s="2" t="s">
        <v>16</v>
      </c>
      <c r="C32" s="19"/>
    </row>
    <row r="33" spans="1:9" ht="20.100000000000001" customHeight="1" thickBot="1" x14ac:dyDescent="0.35">
      <c r="A33" s="2" t="s">
        <v>14</v>
      </c>
      <c r="C33" s="19"/>
    </row>
    <row r="34" spans="1:9" ht="20.100000000000001" customHeight="1" thickBot="1" x14ac:dyDescent="0.35">
      <c r="A34" s="2" t="s">
        <v>34</v>
      </c>
      <c r="C34" s="19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45901</v>
      </c>
    </row>
    <row r="40" spans="1:9" ht="20.100000000000001" customHeight="1" thickBot="1" x14ac:dyDescent="0.35">
      <c r="A40" s="13">
        <v>45902</v>
      </c>
    </row>
    <row r="41" spans="1:9" ht="20.100000000000001" customHeight="1" thickBot="1" x14ac:dyDescent="0.35">
      <c r="A41" s="13">
        <v>45903</v>
      </c>
    </row>
    <row r="42" spans="1:9" ht="20.100000000000001" customHeight="1" thickBot="1" x14ac:dyDescent="0.35">
      <c r="A42" s="13">
        <v>45904</v>
      </c>
    </row>
    <row r="43" spans="1:9" ht="20.100000000000001" customHeight="1" thickBot="1" x14ac:dyDescent="0.35">
      <c r="A43" s="13">
        <v>45905</v>
      </c>
    </row>
    <row r="44" spans="1:9" ht="20.100000000000001" customHeight="1" thickBot="1" x14ac:dyDescent="0.35">
      <c r="A44" s="13">
        <v>45906</v>
      </c>
    </row>
    <row r="45" spans="1:9" ht="20.100000000000001" customHeight="1" thickBot="1" x14ac:dyDescent="0.35">
      <c r="A45" s="13">
        <v>45907</v>
      </c>
    </row>
    <row r="46" spans="1:9" ht="20.100000000000001" customHeight="1" thickBot="1" x14ac:dyDescent="0.35">
      <c r="A46" s="13">
        <v>45908</v>
      </c>
    </row>
    <row r="47" spans="1:9" ht="20.100000000000001" customHeight="1" thickBot="1" x14ac:dyDescent="0.35">
      <c r="A47" s="13">
        <v>45909</v>
      </c>
    </row>
    <row r="48" spans="1:9" ht="20.100000000000001" customHeight="1" thickBot="1" x14ac:dyDescent="0.35">
      <c r="A48" s="13">
        <v>45910</v>
      </c>
    </row>
    <row r="49" spans="1:1" ht="20.100000000000001" customHeight="1" thickBot="1" x14ac:dyDescent="0.35">
      <c r="A49" s="13">
        <v>45911</v>
      </c>
    </row>
    <row r="50" spans="1:1" ht="20.100000000000001" customHeight="1" thickBot="1" x14ac:dyDescent="0.35">
      <c r="A50" s="13">
        <v>45912</v>
      </c>
    </row>
    <row r="51" spans="1:1" ht="20.100000000000001" customHeight="1" thickBot="1" x14ac:dyDescent="0.35">
      <c r="A51" s="13">
        <v>45913</v>
      </c>
    </row>
    <row r="52" spans="1:1" ht="20.100000000000001" customHeight="1" thickBot="1" x14ac:dyDescent="0.35">
      <c r="A52" s="13">
        <v>45914</v>
      </c>
    </row>
    <row r="53" spans="1:1" ht="20.100000000000001" customHeight="1" thickBot="1" x14ac:dyDescent="0.35">
      <c r="A53" s="13">
        <v>45915</v>
      </c>
    </row>
    <row r="54" spans="1:1" ht="20.100000000000001" customHeight="1" thickBot="1" x14ac:dyDescent="0.35">
      <c r="A54" s="13">
        <v>45916</v>
      </c>
    </row>
    <row r="55" spans="1:1" ht="20.100000000000001" customHeight="1" thickBot="1" x14ac:dyDescent="0.35">
      <c r="A55" s="13">
        <v>45917</v>
      </c>
    </row>
    <row r="56" spans="1:1" ht="20.100000000000001" customHeight="1" thickBot="1" x14ac:dyDescent="0.35">
      <c r="A56" s="13">
        <v>45918</v>
      </c>
    </row>
    <row r="57" spans="1:1" ht="20.100000000000001" customHeight="1" thickBot="1" x14ac:dyDescent="0.35">
      <c r="A57" s="13">
        <v>45919</v>
      </c>
    </row>
    <row r="58" spans="1:1" ht="20.100000000000001" customHeight="1" thickBot="1" x14ac:dyDescent="0.35">
      <c r="A58" s="13">
        <v>45920</v>
      </c>
    </row>
    <row r="59" spans="1:1" ht="20.100000000000001" customHeight="1" thickBot="1" x14ac:dyDescent="0.35">
      <c r="A59" s="13">
        <v>45921</v>
      </c>
    </row>
    <row r="60" spans="1:1" ht="20.100000000000001" customHeight="1" thickBot="1" x14ac:dyDescent="0.35">
      <c r="A60" s="13">
        <v>45922</v>
      </c>
    </row>
    <row r="61" spans="1:1" ht="20.100000000000001" customHeight="1" thickBot="1" x14ac:dyDescent="0.35">
      <c r="A61" s="13">
        <v>45923</v>
      </c>
    </row>
    <row r="62" spans="1:1" ht="20.100000000000001" customHeight="1" thickBot="1" x14ac:dyDescent="0.35">
      <c r="A62" s="13">
        <v>45924</v>
      </c>
    </row>
    <row r="63" spans="1:1" ht="20.100000000000001" customHeight="1" thickBot="1" x14ac:dyDescent="0.35">
      <c r="A63" s="13">
        <v>45925</v>
      </c>
    </row>
    <row r="64" spans="1:1" ht="20.100000000000001" customHeight="1" thickBot="1" x14ac:dyDescent="0.35">
      <c r="A64" s="13">
        <v>45926</v>
      </c>
    </row>
    <row r="65" spans="1:1" ht="20.100000000000001" customHeight="1" thickBot="1" x14ac:dyDescent="0.35">
      <c r="A65" s="13">
        <v>45927</v>
      </c>
    </row>
    <row r="66" spans="1:1" ht="20.100000000000001" customHeight="1" thickBot="1" x14ac:dyDescent="0.35">
      <c r="A66" s="13">
        <v>45928</v>
      </c>
    </row>
    <row r="67" spans="1:1" ht="20.100000000000001" customHeight="1" thickBot="1" x14ac:dyDescent="0.35">
      <c r="A67" s="13">
        <v>45929</v>
      </c>
    </row>
    <row r="68" spans="1:1" ht="20.100000000000001" customHeight="1" thickBot="1" x14ac:dyDescent="0.35">
      <c r="A68" s="13">
        <v>45930</v>
      </c>
    </row>
    <row r="69" spans="1:1" ht="20.100000000000001" customHeight="1" thickBot="1" x14ac:dyDescent="0.35">
      <c r="A69" s="13">
        <v>45931</v>
      </c>
    </row>
    <row r="70" spans="1:1" ht="20.100000000000001" customHeight="1" thickBot="1" x14ac:dyDescent="0.35">
      <c r="A70" s="13">
        <v>45932</v>
      </c>
    </row>
    <row r="71" spans="1:1" ht="20.100000000000001" customHeight="1" thickBot="1" x14ac:dyDescent="0.35">
      <c r="A71" s="13">
        <v>45933</v>
      </c>
    </row>
    <row r="72" spans="1:1" ht="20.100000000000001" customHeight="1" thickBot="1" x14ac:dyDescent="0.35">
      <c r="A72" s="13">
        <v>45934</v>
      </c>
    </row>
    <row r="73" spans="1:1" ht="20.100000000000001" customHeight="1" thickBot="1" x14ac:dyDescent="0.35">
      <c r="A73" s="13">
        <v>45935</v>
      </c>
    </row>
    <row r="74" spans="1:1" ht="20.100000000000001" customHeight="1" thickBot="1" x14ac:dyDescent="0.35">
      <c r="A74" s="13">
        <v>45936</v>
      </c>
    </row>
    <row r="75" spans="1:1" ht="20.100000000000001" customHeight="1" thickBot="1" x14ac:dyDescent="0.35">
      <c r="A75" s="13">
        <v>45937</v>
      </c>
    </row>
    <row r="76" spans="1:1" ht="20.100000000000001" customHeight="1" thickBot="1" x14ac:dyDescent="0.35">
      <c r="A76" s="13">
        <v>45938</v>
      </c>
    </row>
    <row r="77" spans="1:1" ht="20.100000000000001" customHeight="1" thickBot="1" x14ac:dyDescent="0.35">
      <c r="A77" s="13">
        <v>45939</v>
      </c>
    </row>
    <row r="78" spans="1:1" ht="20.100000000000001" customHeight="1" thickBot="1" x14ac:dyDescent="0.35">
      <c r="A78" s="13">
        <v>45940</v>
      </c>
    </row>
    <row r="79" spans="1:1" ht="20.100000000000001" customHeight="1" thickBot="1" x14ac:dyDescent="0.35">
      <c r="A79" s="13">
        <v>45941</v>
      </c>
    </row>
    <row r="80" spans="1:1" ht="20.100000000000001" customHeight="1" thickBot="1" x14ac:dyDescent="0.35">
      <c r="A80" s="13">
        <v>45942</v>
      </c>
    </row>
    <row r="81" spans="1:1" ht="20.100000000000001" customHeight="1" thickBot="1" x14ac:dyDescent="0.35">
      <c r="A81" s="13">
        <v>45943</v>
      </c>
    </row>
    <row r="82" spans="1:1" ht="20.100000000000001" customHeight="1" thickBot="1" x14ac:dyDescent="0.35">
      <c r="A82" s="13">
        <v>45944</v>
      </c>
    </row>
    <row r="83" spans="1:1" ht="20.100000000000001" customHeight="1" thickBot="1" x14ac:dyDescent="0.35">
      <c r="A83" s="13">
        <v>45945</v>
      </c>
    </row>
    <row r="84" spans="1:1" ht="20.100000000000001" customHeight="1" thickBot="1" x14ac:dyDescent="0.35">
      <c r="A84" s="13">
        <v>45946</v>
      </c>
    </row>
    <row r="85" spans="1:1" ht="20.100000000000001" customHeight="1" thickBot="1" x14ac:dyDescent="0.35">
      <c r="A85" s="13">
        <v>45947</v>
      </c>
    </row>
    <row r="86" spans="1:1" ht="20.100000000000001" customHeight="1" thickBot="1" x14ac:dyDescent="0.35">
      <c r="A86" s="13">
        <v>45948</v>
      </c>
    </row>
    <row r="87" spans="1:1" ht="20.100000000000001" customHeight="1" thickBot="1" x14ac:dyDescent="0.35">
      <c r="A87" s="13">
        <v>45949</v>
      </c>
    </row>
    <row r="88" spans="1:1" ht="20.100000000000001" customHeight="1" thickBot="1" x14ac:dyDescent="0.35">
      <c r="A88" s="13">
        <v>45950</v>
      </c>
    </row>
    <row r="89" spans="1:1" ht="20.100000000000001" customHeight="1" thickBot="1" x14ac:dyDescent="0.35">
      <c r="A89" s="13">
        <v>45951</v>
      </c>
    </row>
    <row r="90" spans="1:1" ht="20.100000000000001" customHeight="1" thickBot="1" x14ac:dyDescent="0.35">
      <c r="A90" s="13">
        <v>45952</v>
      </c>
    </row>
    <row r="91" spans="1:1" ht="20.100000000000001" customHeight="1" thickBot="1" x14ac:dyDescent="0.35">
      <c r="A91" s="13">
        <v>45953</v>
      </c>
    </row>
    <row r="92" spans="1:1" ht="20.100000000000001" customHeight="1" thickBot="1" x14ac:dyDescent="0.35">
      <c r="A92" s="13">
        <v>45954</v>
      </c>
    </row>
    <row r="93" spans="1:1" ht="20.100000000000001" customHeight="1" thickBot="1" x14ac:dyDescent="0.35">
      <c r="A93" s="13">
        <v>45955</v>
      </c>
    </row>
    <row r="94" spans="1:1" ht="20.100000000000001" customHeight="1" thickBot="1" x14ac:dyDescent="0.35">
      <c r="A94" s="13">
        <v>45956</v>
      </c>
    </row>
    <row r="95" spans="1:1" ht="20.100000000000001" customHeight="1" thickBot="1" x14ac:dyDescent="0.35">
      <c r="A95" s="13">
        <v>45957</v>
      </c>
    </row>
    <row r="96" spans="1:1" ht="20.100000000000001" customHeight="1" thickBot="1" x14ac:dyDescent="0.35">
      <c r="A96" s="13">
        <v>45958</v>
      </c>
    </row>
    <row r="97" spans="1:9" ht="20.100000000000001" customHeight="1" thickBot="1" x14ac:dyDescent="0.35">
      <c r="A97" s="13">
        <v>45959</v>
      </c>
    </row>
    <row r="98" spans="1:9" ht="20.100000000000001" customHeight="1" thickBot="1" x14ac:dyDescent="0.35">
      <c r="A98" s="13">
        <v>45960</v>
      </c>
    </row>
    <row r="99" spans="1:9" ht="20.100000000000001" customHeight="1" thickBot="1" x14ac:dyDescent="0.35">
      <c r="A99" s="13">
        <v>45961</v>
      </c>
    </row>
    <row r="100" spans="1:9" ht="20.100000000000001" customHeight="1" thickBot="1" x14ac:dyDescent="0.35">
      <c r="A100" s="13">
        <v>45962</v>
      </c>
    </row>
    <row r="101" spans="1:9" ht="20.100000000000001" customHeight="1" thickBot="1" x14ac:dyDescent="0.35">
      <c r="A101" s="13">
        <v>45963</v>
      </c>
    </row>
    <row r="102" spans="1:9" ht="20.100000000000001" customHeight="1" thickBot="1" x14ac:dyDescent="0.35">
      <c r="A102" s="13">
        <v>45964</v>
      </c>
    </row>
    <row r="103" spans="1:9" ht="20.100000000000001" customHeight="1" thickBot="1" x14ac:dyDescent="0.35">
      <c r="A103" s="13">
        <v>45965</v>
      </c>
    </row>
    <row r="104" spans="1:9" ht="20.100000000000001" customHeight="1" thickBot="1" x14ac:dyDescent="0.35">
      <c r="A104" s="13">
        <v>45966</v>
      </c>
    </row>
    <row r="105" spans="1:9" ht="20.100000000000001" customHeight="1" thickBot="1" x14ac:dyDescent="0.35">
      <c r="A105" s="13">
        <v>45967</v>
      </c>
    </row>
    <row r="106" spans="1:9" ht="20.100000000000001" customHeight="1" thickBot="1" x14ac:dyDescent="0.35">
      <c r="A106" s="13">
        <v>45968</v>
      </c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175</v>
      </c>
    </row>
    <row r="213" spans="1:1" ht="20.100000000000001" customHeight="1" x14ac:dyDescent="0.3">
      <c r="A213" s="20" t="s">
        <v>102</v>
      </c>
    </row>
    <row r="214" spans="1:1" ht="20.100000000000001" customHeight="1" x14ac:dyDescent="0.3">
      <c r="A214" s="20" t="s">
        <v>103</v>
      </c>
    </row>
    <row r="215" spans="1:1" ht="20.100000000000001" customHeight="1" x14ac:dyDescent="0.3">
      <c r="A215" s="20" t="s">
        <v>104</v>
      </c>
    </row>
    <row r="216" spans="1:1" ht="20.100000000000001" customHeight="1" x14ac:dyDescent="0.3">
      <c r="A216" s="20" t="s">
        <v>105</v>
      </c>
    </row>
    <row r="217" spans="1:1" ht="20.100000000000001" customHeight="1" x14ac:dyDescent="0.3">
      <c r="A217" s="20" t="s">
        <v>106</v>
      </c>
    </row>
    <row r="218" spans="1:1" ht="20.100000000000001" customHeight="1" x14ac:dyDescent="0.3">
      <c r="A218" s="20" t="s">
        <v>107</v>
      </c>
    </row>
    <row r="219" spans="1:1" ht="20.100000000000001" customHeight="1" x14ac:dyDescent="0.3">
      <c r="A219" s="20" t="s">
        <v>108</v>
      </c>
    </row>
    <row r="220" spans="1:1" ht="20.100000000000001" customHeight="1" x14ac:dyDescent="0.3">
      <c r="A220" s="20" t="s">
        <v>109</v>
      </c>
    </row>
    <row r="221" spans="1:1" ht="20.100000000000001" customHeight="1" x14ac:dyDescent="0.3">
      <c r="A221" s="20" t="s">
        <v>110</v>
      </c>
    </row>
    <row r="222" spans="1:1" ht="20.100000000000001" customHeight="1" x14ac:dyDescent="0.3">
      <c r="A222" s="20" t="s">
        <v>111</v>
      </c>
    </row>
    <row r="223" spans="1:1" ht="20.100000000000001" customHeight="1" x14ac:dyDescent="0.3">
      <c r="A223" s="20" t="s">
        <v>112</v>
      </c>
    </row>
    <row r="224" spans="1:1" ht="20.100000000000001" customHeight="1" x14ac:dyDescent="0.3">
      <c r="A224" s="20" t="s">
        <v>176</v>
      </c>
    </row>
    <row r="225" spans="1:1" ht="20.100000000000001" customHeight="1" x14ac:dyDescent="0.3">
      <c r="A225" s="20" t="s">
        <v>113</v>
      </c>
    </row>
    <row r="226" spans="1:1" ht="20.100000000000001" customHeight="1" x14ac:dyDescent="0.3">
      <c r="A226" s="20" t="s">
        <v>114</v>
      </c>
    </row>
    <row r="227" spans="1:1" ht="20.100000000000001" customHeight="1" x14ac:dyDescent="0.3">
      <c r="A227" s="20" t="s">
        <v>115</v>
      </c>
    </row>
    <row r="228" spans="1:1" ht="20.100000000000001" customHeight="1" x14ac:dyDescent="0.3">
      <c r="A228" s="20" t="s">
        <v>116</v>
      </c>
    </row>
    <row r="229" spans="1:1" ht="20.100000000000001" customHeight="1" x14ac:dyDescent="0.3">
      <c r="A229" s="20" t="s">
        <v>117</v>
      </c>
    </row>
    <row r="230" spans="1:1" ht="20.100000000000001" customHeight="1" x14ac:dyDescent="0.3">
      <c r="A230" s="20" t="s">
        <v>118</v>
      </c>
    </row>
    <row r="231" spans="1:1" ht="20.100000000000001" customHeight="1" x14ac:dyDescent="0.3">
      <c r="A231" s="20" t="s">
        <v>119</v>
      </c>
    </row>
    <row r="232" spans="1:1" ht="20.100000000000001" customHeight="1" x14ac:dyDescent="0.3">
      <c r="A232" s="20" t="s">
        <v>120</v>
      </c>
    </row>
    <row r="233" spans="1:1" ht="20.100000000000001" customHeight="1" x14ac:dyDescent="0.3">
      <c r="A233" s="20" t="s">
        <v>121</v>
      </c>
    </row>
    <row r="234" spans="1:1" ht="20.100000000000001" customHeight="1" x14ac:dyDescent="0.3">
      <c r="A234" s="20" t="s">
        <v>122</v>
      </c>
    </row>
    <row r="235" spans="1:1" ht="20.100000000000001" customHeight="1" x14ac:dyDescent="0.3">
      <c r="A235" s="20" t="s">
        <v>123</v>
      </c>
    </row>
    <row r="236" spans="1:1" ht="20.100000000000001" customHeight="1" x14ac:dyDescent="0.3">
      <c r="A236" s="22" t="s">
        <v>124</v>
      </c>
    </row>
    <row r="237" spans="1:1" ht="20.100000000000001" customHeight="1" x14ac:dyDescent="0.3">
      <c r="A237" s="20" t="s">
        <v>125</v>
      </c>
    </row>
    <row r="238" spans="1:1" ht="20.100000000000001" customHeight="1" x14ac:dyDescent="0.3">
      <c r="A238" s="20" t="s">
        <v>126</v>
      </c>
    </row>
    <row r="239" spans="1:1" ht="20.100000000000001" customHeight="1" x14ac:dyDescent="0.3">
      <c r="A239" s="20" t="s">
        <v>127</v>
      </c>
    </row>
    <row r="240" spans="1:1" ht="20.100000000000001" customHeight="1" x14ac:dyDescent="0.3">
      <c r="A240" s="20" t="s">
        <v>128</v>
      </c>
    </row>
    <row r="241" spans="1:1" ht="20.100000000000001" customHeight="1" x14ac:dyDescent="0.3">
      <c r="A241" s="20" t="s">
        <v>129</v>
      </c>
    </row>
    <row r="242" spans="1:1" ht="20.100000000000001" customHeight="1" x14ac:dyDescent="0.3">
      <c r="A242" s="20" t="s">
        <v>130</v>
      </c>
    </row>
    <row r="243" spans="1:1" ht="20.100000000000001" customHeight="1" x14ac:dyDescent="0.3">
      <c r="A243" s="20" t="s">
        <v>131</v>
      </c>
    </row>
    <row r="244" spans="1:1" ht="20.100000000000001" customHeight="1" x14ac:dyDescent="0.3">
      <c r="A244" s="20" t="s">
        <v>132</v>
      </c>
    </row>
    <row r="245" spans="1:1" ht="20.100000000000001" customHeight="1" x14ac:dyDescent="0.3">
      <c r="A245" s="20" t="s">
        <v>133</v>
      </c>
    </row>
    <row r="246" spans="1:1" ht="20.100000000000001" customHeight="1" x14ac:dyDescent="0.3">
      <c r="A246" s="20" t="s">
        <v>134</v>
      </c>
    </row>
    <row r="247" spans="1:1" ht="20.100000000000001" customHeight="1" x14ac:dyDescent="0.3">
      <c r="A247" s="20" t="s">
        <v>135</v>
      </c>
    </row>
    <row r="248" spans="1:1" ht="20.100000000000001" customHeight="1" x14ac:dyDescent="0.3">
      <c r="A248" s="20" t="s">
        <v>126</v>
      </c>
    </row>
    <row r="249" spans="1:1" ht="20.100000000000001" customHeight="1" x14ac:dyDescent="0.3">
      <c r="A249" s="20" t="s">
        <v>136</v>
      </c>
    </row>
    <row r="250" spans="1:1" ht="20.100000000000001" customHeight="1" x14ac:dyDescent="0.3">
      <c r="A250" s="20" t="s">
        <v>137</v>
      </c>
    </row>
    <row r="251" spans="1:1" ht="20.100000000000001" customHeight="1" x14ac:dyDescent="0.3">
      <c r="A251" s="22" t="s">
        <v>138</v>
      </c>
    </row>
    <row r="252" spans="1:1" ht="20.100000000000001" customHeight="1" x14ac:dyDescent="0.3">
      <c r="A252" s="23" t="s">
        <v>139</v>
      </c>
    </row>
    <row r="253" spans="1:1" ht="20.100000000000001" customHeight="1" x14ac:dyDescent="0.3">
      <c r="A253" s="20" t="s">
        <v>140</v>
      </c>
    </row>
    <row r="254" spans="1:1" ht="20.100000000000001" customHeight="1" x14ac:dyDescent="0.3">
      <c r="A254" s="20" t="s">
        <v>141</v>
      </c>
    </row>
    <row r="255" spans="1:1" ht="20.100000000000001" customHeight="1" x14ac:dyDescent="0.3">
      <c r="A255" s="24" t="s">
        <v>142</v>
      </c>
    </row>
    <row r="256" spans="1:1" ht="20.100000000000001" customHeight="1" x14ac:dyDescent="0.3">
      <c r="A256" s="24" t="s">
        <v>143</v>
      </c>
    </row>
    <row r="257" spans="1:1" ht="20.100000000000001" customHeight="1" x14ac:dyDescent="0.3">
      <c r="A257" s="25" t="s">
        <v>144</v>
      </c>
    </row>
    <row r="258" spans="1:1" ht="20.100000000000001" customHeight="1" x14ac:dyDescent="0.3">
      <c r="A258" s="20" t="s">
        <v>145</v>
      </c>
    </row>
    <row r="259" spans="1:1" ht="20.100000000000001" customHeight="1" x14ac:dyDescent="0.3">
      <c r="A259" s="25" t="s">
        <v>146</v>
      </c>
    </row>
    <row r="260" spans="1:1" ht="20.100000000000001" customHeight="1" x14ac:dyDescent="0.3">
      <c r="A260" s="20" t="s">
        <v>147</v>
      </c>
    </row>
    <row r="261" spans="1:1" ht="20.100000000000001" customHeight="1" x14ac:dyDescent="0.3">
      <c r="A261" s="25" t="s">
        <v>148</v>
      </c>
    </row>
    <row r="262" spans="1:1" ht="20.100000000000001" customHeight="1" x14ac:dyDescent="0.3">
      <c r="A262" s="20" t="s">
        <v>149</v>
      </c>
    </row>
    <row r="263" spans="1:1" ht="20.100000000000001" customHeight="1" x14ac:dyDescent="0.3">
      <c r="A263" s="20" t="s">
        <v>150</v>
      </c>
    </row>
    <row r="264" spans="1:1" ht="20.100000000000001" customHeight="1" x14ac:dyDescent="0.3">
      <c r="A264" s="25" t="s">
        <v>151</v>
      </c>
    </row>
    <row r="265" spans="1:1" ht="20.100000000000001" customHeight="1" x14ac:dyDescent="0.3">
      <c r="A265" s="25" t="s">
        <v>152</v>
      </c>
    </row>
    <row r="266" spans="1:1" ht="20.100000000000001" customHeight="1" x14ac:dyDescent="0.3">
      <c r="A266" s="25" t="s">
        <v>153</v>
      </c>
    </row>
    <row r="267" spans="1:1" ht="20.100000000000001" customHeight="1" x14ac:dyDescent="0.3">
      <c r="A267" s="20" t="s">
        <v>154</v>
      </c>
    </row>
    <row r="268" spans="1:1" ht="20.100000000000001" customHeight="1" x14ac:dyDescent="0.3">
      <c r="A268" s="20" t="s">
        <v>155</v>
      </c>
    </row>
    <row r="269" spans="1:1" ht="20.100000000000001" customHeight="1" x14ac:dyDescent="0.3">
      <c r="A269" s="20" t="s">
        <v>156</v>
      </c>
    </row>
    <row r="270" spans="1:1" ht="20.100000000000001" customHeight="1" x14ac:dyDescent="0.3">
      <c r="A270" s="20" t="s">
        <v>157</v>
      </c>
    </row>
    <row r="271" spans="1:1" ht="20.100000000000001" customHeight="1" x14ac:dyDescent="0.3">
      <c r="A271" s="25" t="s">
        <v>158</v>
      </c>
    </row>
    <row r="272" spans="1:1" ht="20.100000000000001" customHeight="1" x14ac:dyDescent="0.3">
      <c r="A272" s="25" t="s">
        <v>159</v>
      </c>
    </row>
    <row r="273" spans="1:1" ht="20.100000000000001" customHeight="1" x14ac:dyDescent="0.3">
      <c r="A273" s="20" t="s">
        <v>160</v>
      </c>
    </row>
    <row r="274" spans="1:1" ht="20.100000000000001" customHeight="1" x14ac:dyDescent="0.3">
      <c r="A274" s="25" t="s">
        <v>161</v>
      </c>
    </row>
    <row r="275" spans="1:1" ht="20.100000000000001" customHeight="1" x14ac:dyDescent="0.3">
      <c r="A275" s="25" t="s">
        <v>162</v>
      </c>
    </row>
    <row r="276" spans="1:1" ht="20.100000000000001" customHeight="1" x14ac:dyDescent="0.3">
      <c r="A276" s="20" t="s">
        <v>163</v>
      </c>
    </row>
    <row r="277" spans="1:1" ht="20.100000000000001" customHeight="1" x14ac:dyDescent="0.3">
      <c r="A277" s="20" t="s">
        <v>164</v>
      </c>
    </row>
    <row r="278" spans="1:1" ht="20.100000000000001" customHeight="1" x14ac:dyDescent="0.3">
      <c r="A278" s="25" t="s">
        <v>165</v>
      </c>
    </row>
    <row r="279" spans="1:1" ht="20.100000000000001" customHeight="1" x14ac:dyDescent="0.3">
      <c r="A279" s="20" t="s">
        <v>166</v>
      </c>
    </row>
    <row r="280" spans="1:1" ht="20.100000000000001" customHeight="1" x14ac:dyDescent="0.3">
      <c r="A280" s="20" t="s">
        <v>167</v>
      </c>
    </row>
    <row r="281" spans="1:1" ht="20.100000000000001" customHeight="1" x14ac:dyDescent="0.3">
      <c r="A281" s="20" t="s">
        <v>168</v>
      </c>
    </row>
    <row r="282" spans="1:1" ht="20.100000000000001" customHeight="1" x14ac:dyDescent="0.3">
      <c r="A282" s="20" t="s">
        <v>169</v>
      </c>
    </row>
    <row r="283" spans="1:1" ht="20.100000000000001" customHeight="1" x14ac:dyDescent="0.3">
      <c r="A283" s="25" t="s">
        <v>170</v>
      </c>
    </row>
    <row r="284" spans="1:1" ht="20.100000000000001" customHeight="1" x14ac:dyDescent="0.3">
      <c r="A284" s="25" t="s">
        <v>171</v>
      </c>
    </row>
    <row r="285" spans="1:1" ht="20.100000000000001" customHeight="1" x14ac:dyDescent="0.3">
      <c r="A285" s="25" t="s">
        <v>172</v>
      </c>
    </row>
    <row r="286" spans="1:1" ht="20.100000000000001" customHeight="1" thickBot="1" x14ac:dyDescent="0.35">
      <c r="A286" s="20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2025-10-07T17:03:51Z</dcterms:modified>
</cp:coreProperties>
</file>