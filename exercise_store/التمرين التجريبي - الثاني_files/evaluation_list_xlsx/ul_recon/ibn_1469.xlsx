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A159645-ABC0-468B-A2BE-2CC03E19AA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2" i="2"/>
  <c r="H82" i="2"/>
  <c r="G83" i="2"/>
  <c r="H83" i="2"/>
  <c r="G84" i="2"/>
  <c r="H84" i="2"/>
  <c r="G86" i="2"/>
  <c r="H86" i="2"/>
  <c r="G87" i="2"/>
  <c r="H87" i="2"/>
  <c r="G88" i="2"/>
  <c r="H88" i="2"/>
  <c r="G90" i="2"/>
  <c r="H90" i="2"/>
  <c r="G91" i="2"/>
  <c r="H91" i="2"/>
  <c r="G93" i="2"/>
  <c r="H93" i="2"/>
  <c r="G94" i="2"/>
  <c r="H94" i="2"/>
  <c r="G95" i="2"/>
  <c r="H95" i="2"/>
  <c r="G96" i="2"/>
  <c r="H96" i="2"/>
  <c r="G97" i="2"/>
  <c r="H97" i="2"/>
  <c r="G98" i="2"/>
  <c r="H98" i="2"/>
  <c r="F99" i="2"/>
  <c r="E99" i="2"/>
  <c r="E100" i="2"/>
  <c r="E101" i="2"/>
</calcChain>
</file>

<file path=xl/sharedStrings.xml><?xml version="1.0" encoding="utf-8"?>
<sst xmlns="http://schemas.openxmlformats.org/spreadsheetml/2006/main" count="328" uniqueCount="272">
  <si>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</si>
  <si>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</si>
  <si>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</si>
  <si>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</si>
  <si>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</si>
  <si>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</si>
  <si>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</si>
  <si>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</si>
  <si>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</si>
  <si>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</si>
  <si>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</si>
  <si>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</si>
  <si>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</si>
  <si>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</si>
  <si>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</si>
  <si>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</si>
  <si>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</si>
  <si>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</si>
  <si>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</si>
  <si>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</si>
  <si>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</si>
  <si>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</si>
  <si>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</si>
  <si>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</si>
  <si>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</si>
  <si>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</si>
  <si>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</si>
  <si>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</si>
  <si>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</si>
  <si>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</si>
  <si>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</si>
  <si>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</si>
  <si>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</si>
  <si>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</si>
  <si>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</si>
  <si>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</si>
  <si>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</si>
  <si>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</si>
  <si>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</si>
  <si>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</si>
  <si>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</si>
  <si>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</si>
  <si>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</si>
  <si>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</si>
  <si>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</si>
  <si>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</si>
  <si>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</si>
  <si>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</si>
  <si>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</si>
  <si>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</si>
  <si>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</si>
  <si>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</si>
  <si>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</si>
  <si>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</si>
  <si>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</si>
  <si>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</si>
  <si>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</si>
  <si>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</si>
  <si>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</si>
  <si>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</si>
  <si>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</si>
  <si>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</si>
  <si>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</si>
  <si>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</si>
  <si>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</si>
  <si>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</si>
  <si>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</si>
  <si>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</si>
  <si>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</si>
  <si>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</si>
  <si>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</si>
  <si>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</si>
  <si>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</si>
  <si>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</si>
  <si>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</si>
  <si>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</si>
  <si>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</si>
  <si>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</si>
  <si>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</si>
  <si>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</si>
  <si>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</si>
  <si>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</si>
  <si>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</si>
  <si>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</si>
  <si>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</si>
  <si>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</si>
  <si>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</si>
  <si>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</si>
  <si>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</si>
  <si>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</si>
  <si>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</si>
  <si>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</si>
  <si>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</si>
  <si>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</si>
  <si>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</si>
  <si>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</si>
  <si>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</si>
  <si>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</si>
  <si>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</si>
  <si>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</si>
  <si>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</si>
  <si>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</si>
  <si>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</si>
  <si>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</si>
  <si>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</si>
  <si>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</si>
  <si>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</si>
  <si>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</si>
  <si>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</si>
  <si>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</si>
  <si>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</si>
  <si>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</si>
  <si>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</si>
  <si>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</si>
  <si>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</si>
  <si>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</si>
  <si>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</si>
  <si>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</si>
  <si>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</si>
  <si>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</si>
  <si>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</si>
  <si>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</si>
  <si>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</si>
  <si>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</si>
  <si>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</si>
  <si>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</si>
  <si>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</si>
  <si>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</si>
  <si>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</si>
  <si>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</si>
  <si>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</si>
  <si>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</si>
  <si>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</si>
  <si>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</si>
  <si>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</si>
  <si>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</si>
  <si>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</si>
  <si>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</si>
  <si>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</si>
  <si>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</si>
  <si>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</si>
  <si>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</si>
  <si>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</si>
  <si>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</si>
  <si>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</si>
  <si>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</si>
  <si>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</si>
  <si>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</si>
  <si>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</si>
  <si>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</si>
  <si>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</si>
  <si>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</si>
  <si>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</si>
  <si>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</si>
  <si>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</si>
  <si>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</si>
  <si>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</si>
  <si>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</si>
  <si>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</si>
  <si>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</si>
  <si>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</si>
  <si>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</si>
  <si>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</si>
  <si>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</si>
  <si>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</si>
  <si>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</si>
  <si>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</si>
  <si>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</si>
  <si>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</si>
  <si>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</si>
  <si>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</si>
  <si>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</si>
  <si>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</si>
  <si>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</si>
  <si>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</si>
  <si>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</si>
  <si>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</si>
  <si>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</si>
  <si>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</si>
  <si>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</si>
  <si>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تفتيش جاهزية الآليات ( أ ) لسرية الاستطلاع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</si>
  <si>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السجلات والوثائق</t>
    </r>
    <r>
      <rPr>
        <b/>
        <sz val="12"/>
        <color rgb="FF000000"/>
        <rFont val="Arial"/>
        <family val="2"/>
      </rPr>
      <t>.</t>
    </r>
  </si>
  <si>
    <t>أ. مدى استكمال المرتب من الآليات ونسبة الصلاحية.</t>
  </si>
  <si>
    <t>ب. وجود كشف معتمد من القائد بالمرتب والموجود ونسبة الصلاحية للآليات.</t>
  </si>
  <si>
    <t>جـ. وجود وإدامة سجل تدوين إطلاق الذخائر من المدفع، الآلية، الراجمة.</t>
  </si>
  <si>
    <t>د. وجود وإدامة سجلات الصيانة الدورية لكل آلية.</t>
  </si>
  <si>
    <t>هـ. وجود تعليمات وإجراءات الصيانة الدورية واللوحات الإرشادية.</t>
  </si>
  <si>
    <t>و. وجود وإدامة السجلات الخاصة بكل آلية وتصديق الضابط المسئول بالإضافة لسندات الاستلام والتسليم وتصديقها وحفظها.</t>
  </si>
  <si>
    <t>ز. وجود وإدامة سجل تسليم واستلام الآليات.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</si>
  <si>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مجموعة الجسم</t>
    </r>
    <r>
      <rPr>
        <b/>
        <sz val="12"/>
        <color rgb="FF000000"/>
        <rFont val="Arial"/>
        <family val="2"/>
      </rPr>
      <t>.</t>
    </r>
  </si>
  <si>
    <t>أ. التأكد من الفحص الداخلي والخارجي (النظافة، النواقص، الأضرار، الصبغ، إلخ...).</t>
  </si>
  <si>
    <t>ب. التأكد من صلاحية الإطارات ونظام ضغط الهواء ونفخ الإطارات.</t>
  </si>
  <si>
    <t>جـ. وجود صناديق العدة ومحتوياتها وصلاحية الطفاية اليدوية.</t>
  </si>
  <si>
    <t>د. التأكد من صلاحية مقاعد غرفة الطاقم والأبواب الخارجية.</t>
  </si>
  <si>
    <t>هـ. وجود وصلاحية أجهزة الرؤية (المراقيب، المناظير).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</si>
  <si>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الزيوت / السوائل</t>
    </r>
    <r>
      <rPr>
        <sz val="12"/>
        <color rgb="FF000000"/>
        <rFont val="Arial"/>
        <family val="2"/>
      </rPr>
      <t>.</t>
    </r>
  </si>
  <si>
    <t>أ. التأكد من مستـوى الزيـت / الماء (المحرك، نظام ناقل الحركـة، الفرامـل، المقــود، البطاريات، المبرد (RADIATOR)، عمود ناقل الحركة ((DEFRATION، نظام الهيدروليك).</t>
  </si>
  <si>
    <t>ب. التأكد من عدم تسرّب الزيت / الماء من الأجزاء.</t>
  </si>
  <si>
    <t>جـ. التقيد بتوقيتات تغيير الزيت / الماء.</t>
  </si>
  <si>
    <t>د. التأكد من التشحيم والتزييت.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</si>
  <si>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مجموعة القوى.</t>
    </r>
    <r>
      <rPr>
        <sz val="12"/>
        <color rgb="FF000000"/>
        <rFont val="Arial"/>
        <family val="2"/>
      </rPr>
      <t xml:space="preserve"> يتم التأكد من الحالة العامة للاتي:</t>
    </r>
  </si>
  <si>
    <t>أ. نظام المحرك.</t>
  </si>
  <si>
    <t>ب. نظام ناقل الحركة.</t>
  </si>
  <si>
    <t>جـ. نظام التبريد.</t>
  </si>
  <si>
    <t>د. نظام الفرامل.</t>
  </si>
  <si>
    <t>هـ. نظام التوجيه.</t>
  </si>
  <si>
    <t xml:space="preserve">و. نظام الوقود. </t>
  </si>
  <si>
    <t>ز. مولد الطاقة الرئيس / الإضافي.</t>
  </si>
  <si>
    <t>ح. نظام العادم ونظام الهواء المضغوط.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</si>
  <si>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البرج</t>
    </r>
    <r>
      <rPr>
        <sz val="12"/>
        <color rgb="FF000000"/>
        <rFont val="Arial"/>
        <family val="2"/>
      </rPr>
      <t>. يتم التأكد من التالي:</t>
    </r>
  </si>
  <si>
    <t>أ. الفحص الداخلي والخارجي.</t>
  </si>
  <si>
    <t>ب. فحص المدفع الرئيس وتوابعه.</t>
  </si>
  <si>
    <t>جـ. فحص الأسلحة الثانوية والأغطية المطاطية.</t>
  </si>
  <si>
    <t>د. نظام إدارة المعركة.</t>
  </si>
  <si>
    <t>هـ. نظام القواذف الدخانية.</t>
  </si>
  <si>
    <t xml:space="preserve">و. نظام الرؤية الليلية. </t>
  </si>
  <si>
    <t>ز. نظام التعبئة.</t>
  </si>
  <si>
    <t>ح. خادعات الصواريخ.</t>
  </si>
  <si>
    <t>ط. نظام التعبئة الآلي.</t>
  </si>
  <si>
    <t>ي. جهاز الاستقرار.</t>
  </si>
  <si>
    <t>ك. جهـاز التسديـد الرئيس/ الاحتياطي الســوج.</t>
  </si>
  <si>
    <t>ل. جهاز تسديد الآمـــر.</t>
  </si>
  <si>
    <t>م. الكاميرا والناموت.</t>
  </si>
  <si>
    <t>ن. الحاسب الآلي.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</si>
  <si>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الرشاش 12.7</t>
    </r>
    <r>
      <rPr>
        <sz val="12"/>
        <color rgb="FF000000"/>
        <rFont val="Arial"/>
        <family val="2"/>
      </rPr>
      <t xml:space="preserve"> يتم التأكد من التالي:</t>
    </r>
  </si>
  <si>
    <t>أ. الحالة العامة للفوهة والسبطانة.</t>
  </si>
  <si>
    <t>ب. نتاش الدخان.</t>
  </si>
  <si>
    <t>جـ. مشبك السبطانة.</t>
  </si>
  <si>
    <t>د. جهاز الرجوع والإعادة.</t>
  </si>
  <si>
    <t>هـ. المغلاق.</t>
  </si>
  <si>
    <t>و. الزناد الميكانيكي.</t>
  </si>
  <si>
    <t>ز. جهاز المدك.</t>
  </si>
  <si>
    <t xml:space="preserve">ح. وحدة الطاقة الخلفية. </t>
  </si>
  <si>
    <t>ط. جهاز التوجيه والملاحة (FEWAS).</t>
  </si>
  <si>
    <t>ي. نظام الدفع والخفض.</t>
  </si>
  <si>
    <t>ك. لوحة ونظام التحكم بالمدفع.</t>
  </si>
  <si>
    <t>ل. مقبض الدفع والخفض والانحراف الهيدروليكي.</t>
  </si>
  <si>
    <t xml:space="preserve">م. عجلات الفتح. </t>
  </si>
  <si>
    <t xml:space="preserve">ن. مقرات تخزين الحشوات والذخائر. </t>
  </si>
  <si>
    <t>س. الزناد الميكانيكي ونظام الأطلاق الرئيس والاضطراري.</t>
  </si>
  <si>
    <t>ع. حالة نظام أمن الرمي للمدفع.</t>
  </si>
  <si>
    <r>
      <t>7.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نظام رادار بورا</t>
    </r>
    <r>
      <rPr>
        <sz val="12"/>
        <color rgb="FF000000"/>
        <rFont val="Arial"/>
        <family val="2"/>
      </rPr>
      <t>. خاص لآلية الاستطلاع الراداري - يتم التأكد من الحالة العامة للآتي:</t>
    </r>
  </si>
  <si>
    <t>أ. نظام الملاحة ( الشاشة + عصا التحكم ).</t>
  </si>
  <si>
    <t>ب. رادار بورا ( الصلاحية )</t>
  </si>
  <si>
    <t>جـ. الكاميرا الحرارية.</t>
  </si>
  <si>
    <t>د. الكاميرا النهارية.</t>
  </si>
  <si>
    <t>هـ. جهاز قياس المسافة بالليزر.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</si>
  <si>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الأنظمة الكهربائية والإلكترونية</t>
    </r>
    <r>
      <rPr>
        <sz val="12"/>
        <color rgb="FF000000"/>
        <rFont val="Arial"/>
        <family val="2"/>
      </rPr>
      <t>. يتم التأكد من الحالة العامة للآتي:</t>
    </r>
  </si>
  <si>
    <t>أ. البطاريات ونظام الشحن.</t>
  </si>
  <si>
    <t>ب. نظام التشغيل وبدء الحركة.</t>
  </si>
  <si>
    <t>جـ. الإنارة الداخلية والخارجية.</t>
  </si>
  <si>
    <t>د. لوحات العرض.</t>
  </si>
  <si>
    <t>هـ. نظام الملاحة.</t>
  </si>
  <si>
    <t>و. أجهزة التحكم والسيطرة وإدارة المعركة (الحاسب الآلي، أجهزة الاتصال، إلخ...).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</si>
  <si>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أنظمة البيئة.</t>
    </r>
    <r>
      <rPr>
        <sz val="12"/>
        <color rgb="FF000000"/>
        <rFont val="Arial"/>
        <family val="2"/>
      </rPr>
      <t xml:space="preserve"> يتم التأكد من الحالة العامة للآتي:</t>
    </r>
  </si>
  <si>
    <t>أ. نظام التكييف.</t>
  </si>
  <si>
    <t>ب. نظام الوقاية من أسلحة الدمار الشامل.</t>
  </si>
  <si>
    <t>جـ. نظام إطفاء الحريق.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</si>
  <si>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المهمات الإضافية</t>
    </r>
    <r>
      <rPr>
        <sz val="12"/>
        <color rgb="FF000000"/>
        <rFont val="Arial"/>
        <family val="2"/>
      </rPr>
      <t>.</t>
    </r>
  </si>
  <si>
    <t>أ. وجود وصلاحية قطع الغيار الاحتياطية.</t>
  </si>
  <si>
    <t>ب. وجود وصلاحية الأغطية الكتانية مع الركائز.</t>
  </si>
  <si>
    <t>جـ. وجود وصلاحية معدات مطابقة محاور المدفع (على مستوى سرية / قسم).</t>
  </si>
  <si>
    <r>
      <t>11.</t>
    </r>
    <r>
      <rPr>
        <b/>
        <sz val="7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المستوى الفني للطاقم</t>
    </r>
    <r>
      <rPr>
        <sz val="12"/>
        <color rgb="FF000000"/>
        <rFont val="Arial"/>
        <family val="2"/>
      </rPr>
      <t>.</t>
    </r>
  </si>
  <si>
    <t xml:space="preserve">أ. التأكد من اكتمال الطاقم المؤهل (نسبة لعدد الآليات). </t>
  </si>
  <si>
    <t>ب. مدى إلمام الطاقم بواجباته والأجهزة والمعدات.</t>
  </si>
  <si>
    <r>
      <t>12.</t>
    </r>
    <r>
      <rPr>
        <b/>
        <sz val="7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الأنظمة المساعـدة للآليات</t>
    </r>
    <r>
      <rPr>
        <sz val="12"/>
        <color rgb="FF000000"/>
        <rFont val="Arial"/>
        <family val="2"/>
      </rPr>
      <t>. يتم التأكد من الحالة العامة للآتي:</t>
    </r>
  </si>
  <si>
    <t xml:space="preserve">أ. وحدة القدرة المساعدة. </t>
  </si>
  <si>
    <t>ب. أعمدة الارتكاز (حواضن الرفع والخفض للآلية).</t>
  </si>
  <si>
    <t>جـ. الأنظمة الهيدروليكية.</t>
  </si>
  <si>
    <t>د. نظام الوقود الاحتياطي.</t>
  </si>
  <si>
    <t>هـ. مدى توفر ونظافة المواقف المغطاة الخاصة للآليات.</t>
  </si>
  <si>
    <t>و. مدى التقيد بقيود الاستخدام.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</si>
</sst>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top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45105</xdr:colOff>
      <xdr:row>101</xdr:row>
      <xdr:rowOff>482943</xdr:rowOff>
    </xdr:from>
    <xdr:to>
      <xdr:col>8</xdr:col>
      <xdr:colOff>416244</xdr:colOff>
      <xdr:row>102</xdr:row>
      <xdr:rowOff>584373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799E82A-DBD8-5D60-DF69-20F4986A086D}"/>
                </a:ext>
              </a:extLst>
            </xdr14:cNvPr>
            <xdr14:cNvContentPartPr/>
          </xdr14:nvContentPartPr>
          <xdr14:nvPr macro=""/>
          <xdr14:xfrm>
            <a:off x="10398828665" y="40078080"/>
            <a:ext cx="1687320" cy="6325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799E82A-DBD8-5D60-DF69-20F4986A08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19665" y="40069440"/>
              <a:ext cx="1704960" cy="65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29:10.8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3919 556,'0'0,"0"0,0 0,0 0,0 0,0 0,0 0,0 0,-16 0,2 16,11-14,-11-4,-2 18,16-14,-15 28,-1-13,14-15,-27 44,29-14,0-27,0 38,31-11,-27-27,23 22,36 22,-54-41,46 1,22 23,-65-27,53-10,15 5,-68 0,70-16,-20 16,-50 0,39-16,-4-1,-40 14,17-10,9-3,-31 13,9-11,6 14,-14 0,-23 0,7 17,11-15,-60 28,-32 19,80-42,-82 50,-29 39,108-83,-137 55,-20 44,152-97,-128 84,-21-3,144-82,-105 36,39-2,79-41,-66 18,3 8,65-28,-40-10,-11 5,53 0,-27-16,5-1,28 15,-22-28,-21-2,40 28,-33-56,7-36,28 80,-20-82,8-30,17 108,0-105,17-3,-15 107,12-72,17-19,-27 95,22-47,7 0,-31 54,26-28,-11 22,-15 13,26-26,-11 13,-14 13,-6-10,3 5,15-2,-7 3,-31 32,-9 7,29-28,-42 40,-32 36,65-68,-70 89,-12-5,79-81,-95 83,-17 31,108-110,-86 74,-6 4,97-82,-50 34,0 0,56-42,-30 18,-9 8,40-29,-17 8,-6-12,25 0,-23 16,-2-16,25 0,-37 16,10-16,28 0,-39 16,11-16,29 0,-25 0,-2 0,25 0,-37 16,8-16,32 0,-26 0,-2 0,25 0,-23 0,-3 0,26 0,-21-16,10 0,13 13,-10-42,13-36,0 68,0-87,32-29,-27 109,21-104,21-38,-40 137,33-95,7-8,-40 108,16-74,24 30,-37 54,14-28,6 6,-22 27,0-22,7 27,-13 0,12 0,-11 0,10 0,2 0,-13 0,-4 16,2 16,0-27,-15 22,-1 37,14-54,-27 78,-17 8,36-82,-44 85,-23 29,65-108,-70 106,-29 18,95-123,-79 87,-29 21,105-110,-72 59,-3-14,82-55,-85 46,3-7,80-41,-52 35,-11-26,65-13,-40 26,6-29,38 0,-31 16,-23 0,52-13,-13-6,9 19,12-13,-29-6,17 3,11 0,-10 17,-4-17,17 0,17-17,13 1,-25 14,37-12,38-34,-68 41,101-51,-2-6,-95 54,108-60,32-27,-131 81,137-81,27 1,-159 81,128-99,16 2,-149 94,122-78,10-16,-132 94,105-77,-4-1,-106 81,86-68,-13 3,-76 68,30-40,0 4,-40 40,33-16,-9-9,-24 28,2-22,-9 11,0 13,31-10,-15-3,-13 13,8-10,6 13,-15 0,-4-16,2 8,0 32,-17 8,3 0,12-27,-29 39,-16 52,40-82,-32 68,-23 32,52-97,-27 94,-10 2,37-95,-27 76,-10 36,37-110,-13 72,8-12,13-66,4 69,-17-3,12-66,6 53,-20 30,17-82,0 114,0-129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3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180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3" t="s">
        <v>8</v>
      </c>
      <c r="C2" s="57" t="s">
        <v>10</v>
      </c>
      <c r="D2" s="57"/>
      <c r="E2" s="13" t="s">
        <v>7</v>
      </c>
      <c r="F2" s="52">
        <v>45929</v>
      </c>
      <c r="G2" s="52"/>
      <c r="H2" s="52"/>
      <c r="I2" s="52"/>
      <c r="J2" s="52"/>
    </row>
    <row r="3" spans="1:10" ht="30" customHeight="1" x14ac:dyDescent="0.3">
      <c r="B3" s="13" t="s">
        <v>9</v>
      </c>
      <c r="C3" s="57" t="s">
        <v>65</v>
      </c>
      <c r="D3" s="57"/>
      <c r="E3" s="13" t="s">
        <v>6</v>
      </c>
      <c r="F3" s="57" t="s">
        <v>113</v>
      </c>
      <c r="G3" s="57"/>
      <c r="H3" s="57"/>
      <c r="I3" s="57"/>
      <c r="J3" s="5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3" t="s">
        <v>0</v>
      </c>
      <c r="C5" s="54"/>
      <c r="D5" s="54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1"/>
      <c r="B6" s="55"/>
      <c r="C6" s="56"/>
      <c r="D6" s="56"/>
      <c r="E6" s="12" t="s">
        <v>3</v>
      </c>
      <c r="F6" s="12" t="s">
        <v>4</v>
      </c>
      <c r="G6" s="12" t="s">
        <v>23</v>
      </c>
      <c r="H6" s="12" t="s">
        <v>24</v>
      </c>
      <c r="I6" s="64"/>
      <c r="J6" s="65"/>
    </row>
    <row r="7" spans="1:10" ht="24.9" customHeight="1" thickBot="1" x14ac:dyDescent="0.35">
      <c r="A7" s="11"/>
      <c r="B7" s="60" t="s">
        <v>21</v>
      </c>
      <c r="C7" s="61"/>
      <c r="D7" s="61"/>
      <c r="E7" s="29" t="s">
        <v>18</v>
      </c>
      <c r="F7" s="29" t="s">
        <v>19</v>
      </c>
      <c r="G7" s="29" t="s">
        <v>22</v>
      </c>
      <c r="H7" s="29" t="s">
        <v>20</v>
      </c>
      <c r="I7" s="66" t="s">
        <v>25</v>
      </c>
      <c r="J7" s="67"/>
    </row>
    <row r="8" spans="1:10" ht="30" customHeight="1" x14ac:dyDescent="0.3">
      <c r="A8" s="11"/>
      <c r="B8" s="76" t="s">
        <v>181</v>
      </c>
      <c r="C8" s="77"/>
      <c r="D8" s="77"/>
      <c r="E8" s="32"/>
      <c r="F8" s="33"/>
      <c r="G8" s="34"/>
      <c r="H8" s="35"/>
      <c r="I8" s="49"/>
      <c r="J8" s="50"/>
    </row>
    <row r="9" spans="1:10" ht="30" customHeight="1" x14ac:dyDescent="0.3">
      <c r="A9" s="11"/>
      <c r="B9" s="78" t="s">
        <v>182</v>
      </c>
      <c r="C9" s="79"/>
      <c r="D9" s="79"/>
      <c r="E9" s="9">
        <v>5</v>
      </c>
      <c r="F9" s="27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9.9" customHeight="1" x14ac:dyDescent="0.3">
      <c r="A10" s="11"/>
      <c r="B10" s="78" t="s">
        <v>183</v>
      </c>
      <c r="C10" s="79"/>
      <c r="D10" s="79"/>
      <c r="E10" s="9">
        <v>5</v>
      </c>
      <c r="F10" s="27">
        <v>3.75</v>
      </c>
      <c r="G10" s="30">
        <f t="shared" ref="G10:G73" si="0">IFERROR(F10/E10,"")</f>
        <v>0.75</v>
      </c>
      <c r="H10" s="31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1"/>
    </row>
    <row r="11" spans="1:10" ht="30" customHeight="1" x14ac:dyDescent="0.3">
      <c r="A11" s="11"/>
      <c r="B11" s="78" t="s">
        <v>184</v>
      </c>
      <c r="C11" s="79"/>
      <c r="D11" s="79"/>
      <c r="E11" s="9">
        <v>5</v>
      </c>
      <c r="F11" s="27">
        <v>3.75</v>
      </c>
      <c r="G11" s="30">
        <f t="shared" si="0"/>
        <v>0.75</v>
      </c>
      <c r="H11" s="31" t="str">
        <f t="shared" si="1"/>
        <v>جيد</v>
      </c>
      <c r="I11" s="40"/>
      <c r="J11" s="41"/>
    </row>
    <row r="12" spans="1:10" ht="30" customHeight="1" x14ac:dyDescent="0.3">
      <c r="A12" s="11"/>
      <c r="B12" s="78" t="s">
        <v>185</v>
      </c>
      <c r="C12" s="79"/>
      <c r="D12" s="79"/>
      <c r="E12" s="9">
        <v>5</v>
      </c>
      <c r="F12" s="27">
        <v>3.75</v>
      </c>
      <c r="G12" s="30">
        <f t="shared" si="0"/>
        <v>0.75</v>
      </c>
      <c r="H12" s="31" t="str">
        <f t="shared" si="1"/>
        <v>جيد</v>
      </c>
      <c r="I12" s="40"/>
      <c r="J12" s="41"/>
    </row>
    <row r="13" spans="1:10" ht="30" customHeight="1" x14ac:dyDescent="0.3">
      <c r="A13" s="11"/>
      <c r="B13" s="78" t="s">
        <v>186</v>
      </c>
      <c r="C13" s="79"/>
      <c r="D13" s="79"/>
      <c r="E13" s="9">
        <v>5</v>
      </c>
      <c r="F13" s="27">
        <v>3.75</v>
      </c>
      <c r="G13" s="30">
        <f t="shared" si="0"/>
        <v>0.75</v>
      </c>
      <c r="H13" s="31" t="str">
        <f t="shared" si="1"/>
        <v>جيد</v>
      </c>
      <c r="I13" s="40"/>
      <c r="J13" s="41"/>
    </row>
    <row r="14" spans="1:10" ht="39.9" customHeight="1" x14ac:dyDescent="0.3">
      <c r="A14" s="11"/>
      <c r="B14" s="78" t="s">
        <v>187</v>
      </c>
      <c r="C14" s="79"/>
      <c r="D14" s="79"/>
      <c r="E14" s="9">
        <v>5</v>
      </c>
      <c r="F14" s="27">
        <v>3.75</v>
      </c>
      <c r="G14" s="30">
        <f t="shared" si="0"/>
        <v>0.75</v>
      </c>
      <c r="H14" s="31" t="str">
        <f t="shared" si="1"/>
        <v>جيد</v>
      </c>
      <c r="I14" s="40"/>
      <c r="J14" s="41"/>
    </row>
    <row r="15" spans="1:10" ht="30" customHeight="1" thickBot="1" x14ac:dyDescent="0.35">
      <c r="A15" s="11"/>
      <c r="B15" s="80" t="s">
        <v>188</v>
      </c>
      <c r="C15" s="81"/>
      <c r="D15" s="81"/>
      <c r="E15" s="36">
        <v>5</v>
      </c>
      <c r="F15" s="28">
        <v>3.75</v>
      </c>
      <c r="G15" s="37">
        <f t="shared" si="0"/>
        <v>0.75</v>
      </c>
      <c r="H15" s="38" t="str">
        <f t="shared" si="1"/>
        <v>جيد</v>
      </c>
      <c r="I15" s="47"/>
      <c r="J15" s="48"/>
    </row>
    <row r="16" spans="1:10" ht="30" customHeight="1" x14ac:dyDescent="0.3">
      <c r="A16" s="11"/>
      <c r="B16" s="76" t="s">
        <v>189</v>
      </c>
      <c r="C16" s="77"/>
      <c r="D16" s="77"/>
      <c r="E16" s="32"/>
      <c r="F16" s="33"/>
      <c r="G16" s="34"/>
      <c r="H16" s="35"/>
      <c r="I16" s="49"/>
      <c r="J16" s="50"/>
    </row>
    <row r="17" spans="1:10" ht="39.9" customHeight="1" x14ac:dyDescent="0.3">
      <c r="A17" s="11"/>
      <c r="B17" s="78" t="s">
        <v>190</v>
      </c>
      <c r="C17" s="79"/>
      <c r="D17" s="79"/>
      <c r="E17" s="9">
        <v>5</v>
      </c>
      <c r="F17" s="27">
        <v>3.75</v>
      </c>
      <c r="G17" s="30">
        <f t="shared" si="0"/>
        <v>0.75</v>
      </c>
      <c r="H17" s="31" t="str">
        <f t="shared" si="1"/>
        <v>جيد</v>
      </c>
      <c r="I17" s="40"/>
      <c r="J17" s="41"/>
    </row>
    <row r="18" spans="1:10" ht="30" customHeight="1" x14ac:dyDescent="0.3">
      <c r="A18" s="11"/>
      <c r="B18" s="78" t="s">
        <v>191</v>
      </c>
      <c r="C18" s="79"/>
      <c r="D18" s="79"/>
      <c r="E18" s="9">
        <v>5</v>
      </c>
      <c r="F18" s="27">
        <v>3.75</v>
      </c>
      <c r="G18" s="30">
        <f t="shared" si="0"/>
        <v>0.75</v>
      </c>
      <c r="H18" s="31" t="str">
        <f t="shared" si="1"/>
        <v>جيد</v>
      </c>
      <c r="I18" s="40"/>
      <c r="J18" s="41"/>
    </row>
    <row r="19" spans="1:10" ht="30" customHeight="1" x14ac:dyDescent="0.3">
      <c r="A19" s="11"/>
      <c r="B19" s="78" t="s">
        <v>192</v>
      </c>
      <c r="C19" s="79"/>
      <c r="D19" s="79"/>
      <c r="E19" s="9">
        <v>5</v>
      </c>
      <c r="F19" s="27">
        <v>3.75</v>
      </c>
      <c r="G19" s="30">
        <f t="shared" si="0"/>
        <v>0.75</v>
      </c>
      <c r="H19" s="31" t="str">
        <f t="shared" si="1"/>
        <v>جيد</v>
      </c>
      <c r="I19" s="40"/>
      <c r="J19" s="41"/>
    </row>
    <row r="20" spans="1:10" ht="30" customHeight="1" x14ac:dyDescent="0.3">
      <c r="A20" s="11"/>
      <c r="B20" s="78" t="s">
        <v>193</v>
      </c>
      <c r="C20" s="79"/>
      <c r="D20" s="79"/>
      <c r="E20" s="9">
        <v>5</v>
      </c>
      <c r="F20" s="27">
        <v>3.75</v>
      </c>
      <c r="G20" s="30">
        <f t="shared" si="0"/>
        <v>0.75</v>
      </c>
      <c r="H20" s="31" t="str">
        <f t="shared" si="1"/>
        <v>جيد</v>
      </c>
      <c r="I20" s="40"/>
      <c r="J20" s="41"/>
    </row>
    <row r="21" spans="1:10" ht="30" customHeight="1" thickBot="1" x14ac:dyDescent="0.35">
      <c r="A21" s="11"/>
      <c r="B21" s="80" t="s">
        <v>194</v>
      </c>
      <c r="C21" s="81"/>
      <c r="D21" s="81"/>
      <c r="E21" s="36">
        <v>5</v>
      </c>
      <c r="F21" s="28">
        <v>3.75</v>
      </c>
      <c r="G21" s="37">
        <f t="shared" si="0"/>
        <v>0.75</v>
      </c>
      <c r="H21" s="38" t="str">
        <f t="shared" si="1"/>
        <v>جيد</v>
      </c>
      <c r="I21" s="47"/>
      <c r="J21" s="48"/>
    </row>
    <row r="22" spans="1:10" ht="30" customHeight="1" x14ac:dyDescent="0.3">
      <c r="A22" s="11"/>
      <c r="B22" s="76" t="s">
        <v>195</v>
      </c>
      <c r="C22" s="77"/>
      <c r="D22" s="77"/>
      <c r="E22" s="39"/>
      <c r="F22" s="33"/>
      <c r="G22" s="34"/>
      <c r="H22" s="35"/>
      <c r="I22" s="49"/>
      <c r="J22" s="50"/>
    </row>
    <row r="23" spans="1:10" ht="57.75" customHeight="1" x14ac:dyDescent="0.3">
      <c r="A23" s="11"/>
      <c r="B23" s="78" t="s">
        <v>196</v>
      </c>
      <c r="C23" s="79"/>
      <c r="D23" s="79"/>
      <c r="E23" s="9">
        <v>5</v>
      </c>
      <c r="F23" s="27">
        <v>3.75</v>
      </c>
      <c r="G23" s="30">
        <f t="shared" si="0"/>
        <v>0.75</v>
      </c>
      <c r="H23" s="31" t="str">
        <f t="shared" si="1"/>
        <v>جيد</v>
      </c>
      <c r="I23" s="40"/>
      <c r="J23" s="41"/>
    </row>
    <row r="24" spans="1:10" ht="30" customHeight="1" x14ac:dyDescent="0.3">
      <c r="A24" s="11"/>
      <c r="B24" s="78" t="s">
        <v>197</v>
      </c>
      <c r="C24" s="79"/>
      <c r="D24" s="79"/>
      <c r="E24" s="9">
        <v>5</v>
      </c>
      <c r="F24" s="27">
        <v>3.75</v>
      </c>
      <c r="G24" s="30">
        <f t="shared" si="0"/>
        <v>0.75</v>
      </c>
      <c r="H24" s="31" t="str">
        <f t="shared" si="1"/>
        <v>جيد</v>
      </c>
      <c r="I24" s="40"/>
      <c r="J24" s="41"/>
    </row>
    <row r="25" spans="1:10" ht="30" customHeight="1" x14ac:dyDescent="0.3">
      <c r="A25" s="11"/>
      <c r="B25" s="78" t="s">
        <v>198</v>
      </c>
      <c r="C25" s="79"/>
      <c r="D25" s="79"/>
      <c r="E25" s="9">
        <v>5</v>
      </c>
      <c r="F25" s="27">
        <v>3.75</v>
      </c>
      <c r="G25" s="30">
        <f t="shared" si="0"/>
        <v>0.75</v>
      </c>
      <c r="H25" s="31" t="str">
        <f t="shared" si="1"/>
        <v>جيد</v>
      </c>
      <c r="I25" s="40"/>
      <c r="J25" s="41"/>
    </row>
    <row r="26" spans="1:10" ht="30" customHeight="1" thickBot="1" x14ac:dyDescent="0.35">
      <c r="A26" s="11"/>
      <c r="B26" s="80" t="s">
        <v>199</v>
      </c>
      <c r="C26" s="81"/>
      <c r="D26" s="81"/>
      <c r="E26" s="36">
        <v>5</v>
      </c>
      <c r="F26" s="28">
        <v>3.75</v>
      </c>
      <c r="G26" s="37">
        <f t="shared" si="0"/>
        <v>0.75</v>
      </c>
      <c r="H26" s="38" t="str">
        <f t="shared" si="1"/>
        <v>جيد</v>
      </c>
      <c r="I26" s="47"/>
      <c r="J26" s="48"/>
    </row>
    <row r="27" spans="1:10" ht="30" customHeight="1" x14ac:dyDescent="0.3">
      <c r="A27" s="11"/>
      <c r="B27" s="76" t="s">
        <v>200</v>
      </c>
      <c r="C27" s="77"/>
      <c r="D27" s="77"/>
      <c r="E27" s="39"/>
      <c r="F27" s="33"/>
      <c r="G27" s="34"/>
      <c r="H27" s="35"/>
      <c r="I27" s="49"/>
      <c r="J27" s="50"/>
    </row>
    <row r="28" spans="1:10" ht="30" customHeight="1" x14ac:dyDescent="0.3">
      <c r="A28" s="11"/>
      <c r="B28" s="78" t="s">
        <v>201</v>
      </c>
      <c r="C28" s="79"/>
      <c r="D28" s="79"/>
      <c r="E28" s="9">
        <v>5</v>
      </c>
      <c r="F28" s="27">
        <v>3.75</v>
      </c>
      <c r="G28" s="30">
        <f t="shared" si="0"/>
        <v>0.75</v>
      </c>
      <c r="H28" s="31" t="str">
        <f t="shared" si="1"/>
        <v>جيد</v>
      </c>
      <c r="I28" s="40"/>
      <c r="J28" s="41"/>
    </row>
    <row r="29" spans="1:10" ht="30" customHeight="1" x14ac:dyDescent="0.3">
      <c r="A29" s="11"/>
      <c r="B29" s="78" t="s">
        <v>202</v>
      </c>
      <c r="C29" s="79"/>
      <c r="D29" s="79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40"/>
      <c r="J29" s="41"/>
    </row>
    <row r="30" spans="1:10" ht="30" customHeight="1" x14ac:dyDescent="0.3">
      <c r="A30" s="11"/>
      <c r="B30" s="78" t="s">
        <v>203</v>
      </c>
      <c r="C30" s="79"/>
      <c r="D30" s="79"/>
      <c r="E30" s="9">
        <v>5</v>
      </c>
      <c r="F30" s="27">
        <v>3.75</v>
      </c>
      <c r="G30" s="30">
        <f t="shared" si="0"/>
        <v>0.75</v>
      </c>
      <c r="H30" s="31" t="str">
        <f t="shared" si="1"/>
        <v>جيد</v>
      </c>
      <c r="I30" s="40"/>
      <c r="J30" s="41"/>
    </row>
    <row r="31" spans="1:10" ht="30" customHeight="1" x14ac:dyDescent="0.3">
      <c r="A31" s="11"/>
      <c r="B31" s="78" t="s">
        <v>204</v>
      </c>
      <c r="C31" s="79"/>
      <c r="D31" s="79"/>
      <c r="E31" s="9">
        <v>5</v>
      </c>
      <c r="F31" s="27">
        <v>3.75</v>
      </c>
      <c r="G31" s="30">
        <f t="shared" si="0"/>
        <v>0.75</v>
      </c>
      <c r="H31" s="31" t="str">
        <f t="shared" si="1"/>
        <v>جيد</v>
      </c>
      <c r="I31" s="40"/>
      <c r="J31" s="41"/>
    </row>
    <row r="32" spans="1:10" ht="30" customHeight="1" x14ac:dyDescent="0.3">
      <c r="A32" s="11"/>
      <c r="B32" s="78" t="s">
        <v>205</v>
      </c>
      <c r="C32" s="79"/>
      <c r="D32" s="79"/>
      <c r="E32" s="9">
        <v>5</v>
      </c>
      <c r="F32" s="27">
        <v>3.75</v>
      </c>
      <c r="G32" s="30">
        <f t="shared" si="0"/>
        <v>0.75</v>
      </c>
      <c r="H32" s="31" t="str">
        <f t="shared" si="1"/>
        <v>جيد</v>
      </c>
      <c r="I32" s="40"/>
      <c r="J32" s="41"/>
    </row>
    <row r="33" spans="1:10" ht="30" customHeight="1" x14ac:dyDescent="0.3">
      <c r="A33" s="11"/>
      <c r="B33" s="78" t="s">
        <v>206</v>
      </c>
      <c r="C33" s="79"/>
      <c r="D33" s="79"/>
      <c r="E33" s="9">
        <v>5</v>
      </c>
      <c r="F33" s="27">
        <v>3.75</v>
      </c>
      <c r="G33" s="30">
        <f t="shared" si="0"/>
        <v>0.75</v>
      </c>
      <c r="H33" s="31" t="str">
        <f t="shared" si="1"/>
        <v>جيد</v>
      </c>
      <c r="I33" s="40"/>
      <c r="J33" s="41"/>
    </row>
    <row r="34" spans="1:10" ht="30" customHeight="1" x14ac:dyDescent="0.3">
      <c r="A34" s="11"/>
      <c r="B34" s="78" t="s">
        <v>207</v>
      </c>
      <c r="C34" s="79"/>
      <c r="D34" s="79"/>
      <c r="E34" s="9">
        <v>5</v>
      </c>
      <c r="F34" s="27">
        <v>3.75</v>
      </c>
      <c r="G34" s="30">
        <f t="shared" si="0"/>
        <v>0.75</v>
      </c>
      <c r="H34" s="31" t="str">
        <f t="shared" si="1"/>
        <v>جيد</v>
      </c>
      <c r="I34" s="40"/>
      <c r="J34" s="41"/>
    </row>
    <row r="35" spans="1:10" ht="30" customHeight="1" thickBot="1" x14ac:dyDescent="0.35">
      <c r="A35" s="11"/>
      <c r="B35" s="80" t="s">
        <v>208</v>
      </c>
      <c r="C35" s="81"/>
      <c r="D35" s="81"/>
      <c r="E35" s="36">
        <v>5</v>
      </c>
      <c r="F35" s="28">
        <v>3.75</v>
      </c>
      <c r="G35" s="37">
        <f t="shared" si="0"/>
        <v>0.75</v>
      </c>
      <c r="H35" s="38" t="str">
        <f t="shared" si="1"/>
        <v>جيد</v>
      </c>
      <c r="I35" s="47"/>
      <c r="J35" s="48"/>
    </row>
    <row r="36" spans="1:10" ht="30" customHeight="1" x14ac:dyDescent="0.3">
      <c r="A36" s="11"/>
      <c r="B36" s="76" t="s">
        <v>209</v>
      </c>
      <c r="C36" s="77"/>
      <c r="D36" s="77"/>
      <c r="E36" s="39"/>
      <c r="F36" s="33"/>
      <c r="G36" s="34"/>
      <c r="H36" s="35"/>
      <c r="I36" s="49"/>
      <c r="J36" s="50"/>
    </row>
    <row r="37" spans="1:10" ht="30" customHeight="1" x14ac:dyDescent="0.3">
      <c r="A37" s="11"/>
      <c r="B37" s="78" t="s">
        <v>210</v>
      </c>
      <c r="C37" s="79"/>
      <c r="D37" s="79"/>
      <c r="E37" s="9">
        <v>5</v>
      </c>
      <c r="F37" s="27">
        <v>3.75</v>
      </c>
      <c r="G37" s="30">
        <f t="shared" si="0"/>
        <v>0.75</v>
      </c>
      <c r="H37" s="31" t="str">
        <f t="shared" si="1"/>
        <v>جيد</v>
      </c>
      <c r="I37" s="40"/>
      <c r="J37" s="41"/>
    </row>
    <row r="38" spans="1:10" ht="30" customHeight="1" x14ac:dyDescent="0.3">
      <c r="A38" s="11"/>
      <c r="B38" s="78" t="s">
        <v>211</v>
      </c>
      <c r="C38" s="79"/>
      <c r="D38" s="79"/>
      <c r="E38" s="9">
        <v>5</v>
      </c>
      <c r="F38" s="27">
        <v>3.75</v>
      </c>
      <c r="G38" s="30">
        <f t="shared" si="0"/>
        <v>0.75</v>
      </c>
      <c r="H38" s="31" t="str">
        <f t="shared" si="1"/>
        <v>جيد</v>
      </c>
      <c r="I38" s="40"/>
      <c r="J38" s="41"/>
    </row>
    <row r="39" spans="1:10" ht="30" customHeight="1" x14ac:dyDescent="0.3">
      <c r="A39" s="11"/>
      <c r="B39" s="78" t="s">
        <v>212</v>
      </c>
      <c r="C39" s="79"/>
      <c r="D39" s="79"/>
      <c r="E39" s="9">
        <v>5</v>
      </c>
      <c r="F39" s="27">
        <v>3.75</v>
      </c>
      <c r="G39" s="30">
        <f t="shared" si="0"/>
        <v>0.75</v>
      </c>
      <c r="H39" s="31" t="str">
        <f t="shared" si="1"/>
        <v>جيد</v>
      </c>
      <c r="I39" s="40"/>
      <c r="J39" s="41"/>
    </row>
    <row r="40" spans="1:10" ht="30" customHeight="1" x14ac:dyDescent="0.3">
      <c r="A40" s="11"/>
      <c r="B40" s="78" t="s">
        <v>213</v>
      </c>
      <c r="C40" s="79"/>
      <c r="D40" s="79"/>
      <c r="E40" s="9">
        <v>5</v>
      </c>
      <c r="F40" s="27">
        <v>3.75</v>
      </c>
      <c r="G40" s="30">
        <f t="shared" si="0"/>
        <v>0.75</v>
      </c>
      <c r="H40" s="31" t="str">
        <f t="shared" si="1"/>
        <v>جيد</v>
      </c>
      <c r="I40" s="40"/>
      <c r="J40" s="41"/>
    </row>
    <row r="41" spans="1:10" ht="30" customHeight="1" x14ac:dyDescent="0.3">
      <c r="A41" s="11"/>
      <c r="B41" s="78" t="s">
        <v>214</v>
      </c>
      <c r="C41" s="79"/>
      <c r="D41" s="79"/>
      <c r="E41" s="9">
        <v>5</v>
      </c>
      <c r="F41" s="27">
        <v>3.75</v>
      </c>
      <c r="G41" s="30">
        <f t="shared" si="0"/>
        <v>0.75</v>
      </c>
      <c r="H41" s="31" t="str">
        <f t="shared" si="1"/>
        <v>جيد</v>
      </c>
      <c r="I41" s="40"/>
      <c r="J41" s="41"/>
    </row>
    <row r="42" spans="1:10" ht="30" customHeight="1" x14ac:dyDescent="0.3">
      <c r="A42" s="11"/>
      <c r="B42" s="78" t="s">
        <v>215</v>
      </c>
      <c r="C42" s="79"/>
      <c r="D42" s="79"/>
      <c r="E42" s="9">
        <v>5</v>
      </c>
      <c r="F42" s="27">
        <v>3.75</v>
      </c>
      <c r="G42" s="30">
        <f t="shared" si="0"/>
        <v>0.75</v>
      </c>
      <c r="H42" s="31" t="str">
        <f t="shared" si="1"/>
        <v>جيد</v>
      </c>
      <c r="I42" s="40"/>
      <c r="J42" s="41"/>
    </row>
    <row r="43" spans="1:10" ht="30" customHeight="1" x14ac:dyDescent="0.3">
      <c r="A43" s="11"/>
      <c r="B43" s="78" t="s">
        <v>216</v>
      </c>
      <c r="C43" s="79"/>
      <c r="D43" s="79"/>
      <c r="E43" s="9">
        <v>5</v>
      </c>
      <c r="F43" s="27">
        <v>3.75</v>
      </c>
      <c r="G43" s="30">
        <f t="shared" si="0"/>
        <v>0.75</v>
      </c>
      <c r="H43" s="31" t="str">
        <f t="shared" si="1"/>
        <v>جيد</v>
      </c>
      <c r="I43" s="40"/>
      <c r="J43" s="41"/>
    </row>
    <row r="44" spans="1:10" ht="30" customHeight="1" x14ac:dyDescent="0.3">
      <c r="A44" s="11"/>
      <c r="B44" s="78" t="s">
        <v>217</v>
      </c>
      <c r="C44" s="79"/>
      <c r="D44" s="79"/>
      <c r="E44" s="9">
        <v>5</v>
      </c>
      <c r="F44" s="27">
        <v>3.75</v>
      </c>
      <c r="G44" s="30">
        <f t="shared" si="0"/>
        <v>0.75</v>
      </c>
      <c r="H44" s="31" t="str">
        <f t="shared" si="1"/>
        <v>جيد</v>
      </c>
      <c r="I44" s="40"/>
      <c r="J44" s="41"/>
    </row>
    <row r="45" spans="1:10" ht="30" customHeight="1" x14ac:dyDescent="0.3">
      <c r="A45" s="11"/>
      <c r="B45" s="78" t="s">
        <v>218</v>
      </c>
      <c r="C45" s="79"/>
      <c r="D45" s="79"/>
      <c r="E45" s="9">
        <v>5</v>
      </c>
      <c r="F45" s="27">
        <v>3.75</v>
      </c>
      <c r="G45" s="30">
        <f t="shared" si="0"/>
        <v>0.75</v>
      </c>
      <c r="H45" s="31" t="str">
        <f t="shared" si="1"/>
        <v>جيد</v>
      </c>
      <c r="I45" s="40"/>
      <c r="J45" s="41"/>
    </row>
    <row r="46" spans="1:10" ht="30" customHeight="1" x14ac:dyDescent="0.3">
      <c r="A46" s="11"/>
      <c r="B46" s="78" t="s">
        <v>219</v>
      </c>
      <c r="C46" s="79"/>
      <c r="D46" s="79"/>
      <c r="E46" s="9">
        <v>5</v>
      </c>
      <c r="F46" s="27">
        <v>3.75</v>
      </c>
      <c r="G46" s="30">
        <f t="shared" si="0"/>
        <v>0.75</v>
      </c>
      <c r="H46" s="31" t="str">
        <f t="shared" si="1"/>
        <v>جيد</v>
      </c>
      <c r="I46" s="40"/>
      <c r="J46" s="41"/>
    </row>
    <row r="47" spans="1:10" ht="30" customHeight="1" x14ac:dyDescent="0.3">
      <c r="A47" s="11"/>
      <c r="B47" s="78" t="s">
        <v>220</v>
      </c>
      <c r="C47" s="79"/>
      <c r="D47" s="79"/>
      <c r="E47" s="9">
        <v>5</v>
      </c>
      <c r="F47" s="27">
        <v>3.75</v>
      </c>
      <c r="G47" s="30">
        <f t="shared" si="0"/>
        <v>0.75</v>
      </c>
      <c r="H47" s="31" t="str">
        <f t="shared" si="1"/>
        <v>جيد</v>
      </c>
      <c r="I47" s="40"/>
      <c r="J47" s="41"/>
    </row>
    <row r="48" spans="1:10" ht="30" customHeight="1" x14ac:dyDescent="0.3">
      <c r="A48" s="11"/>
      <c r="B48" s="78" t="s">
        <v>221</v>
      </c>
      <c r="C48" s="79"/>
      <c r="D48" s="79"/>
      <c r="E48" s="9">
        <v>5</v>
      </c>
      <c r="F48" s="27">
        <v>3.75</v>
      </c>
      <c r="G48" s="30">
        <f t="shared" si="0"/>
        <v>0.75</v>
      </c>
      <c r="H48" s="31" t="str">
        <f t="shared" si="1"/>
        <v>جيد</v>
      </c>
      <c r="I48" s="40"/>
      <c r="J48" s="41"/>
    </row>
    <row r="49" spans="1:10" ht="30" customHeight="1" x14ac:dyDescent="0.3">
      <c r="A49" s="11"/>
      <c r="B49" s="78" t="s">
        <v>222</v>
      </c>
      <c r="C49" s="79"/>
      <c r="D49" s="79"/>
      <c r="E49" s="9">
        <v>5</v>
      </c>
      <c r="F49" s="27">
        <v>3.75</v>
      </c>
      <c r="G49" s="30">
        <f t="shared" si="0"/>
        <v>0.75</v>
      </c>
      <c r="H49" s="31" t="str">
        <f t="shared" si="1"/>
        <v>جيد</v>
      </c>
      <c r="I49" s="40"/>
      <c r="J49" s="41"/>
    </row>
    <row r="50" spans="1:10" ht="30" customHeight="1" thickBot="1" x14ac:dyDescent="0.35">
      <c r="A50" s="11"/>
      <c r="B50" s="80" t="s">
        <v>223</v>
      </c>
      <c r="C50" s="81"/>
      <c r="D50" s="81"/>
      <c r="E50" s="36">
        <v>5</v>
      </c>
      <c r="F50" s="28">
        <v>3.75</v>
      </c>
      <c r="G50" s="37">
        <f t="shared" si="0"/>
        <v>0.75</v>
      </c>
      <c r="H50" s="38" t="str">
        <f t="shared" si="1"/>
        <v>جيد</v>
      </c>
      <c r="I50" s="47"/>
      <c r="J50" s="48"/>
    </row>
    <row r="51" spans="1:10" ht="30" customHeight="1" x14ac:dyDescent="0.3">
      <c r="A51" s="11"/>
      <c r="B51" s="76" t="s">
        <v>224</v>
      </c>
      <c r="C51" s="77"/>
      <c r="D51" s="77"/>
      <c r="E51" s="39"/>
      <c r="F51" s="33"/>
      <c r="G51" s="34"/>
      <c r="H51" s="35"/>
      <c r="I51" s="49"/>
      <c r="J51" s="50"/>
    </row>
    <row r="52" spans="1:10" ht="30" customHeight="1" x14ac:dyDescent="0.3">
      <c r="A52" s="11"/>
      <c r="B52" s="78" t="s">
        <v>225</v>
      </c>
      <c r="C52" s="79"/>
      <c r="D52" s="79"/>
      <c r="E52" s="9">
        <v>5</v>
      </c>
      <c r="F52" s="27">
        <v>3.75</v>
      </c>
      <c r="G52" s="30">
        <f t="shared" si="0"/>
        <v>0.75</v>
      </c>
      <c r="H52" s="31" t="str">
        <f t="shared" si="1"/>
        <v>جيد</v>
      </c>
      <c r="I52" s="40"/>
      <c r="J52" s="41"/>
    </row>
    <row r="53" spans="1:10" ht="30" customHeight="1" x14ac:dyDescent="0.3">
      <c r="A53" s="11"/>
      <c r="B53" s="78" t="s">
        <v>226</v>
      </c>
      <c r="C53" s="79"/>
      <c r="D53" s="79"/>
      <c r="E53" s="9">
        <v>5</v>
      </c>
      <c r="F53" s="27">
        <v>3.75</v>
      </c>
      <c r="G53" s="30">
        <f t="shared" si="0"/>
        <v>0.75</v>
      </c>
      <c r="H53" s="31" t="str">
        <f t="shared" si="1"/>
        <v>جيد</v>
      </c>
      <c r="I53" s="40"/>
      <c r="J53" s="41"/>
    </row>
    <row r="54" spans="1:10" ht="30" customHeight="1" x14ac:dyDescent="0.3">
      <c r="A54" s="11"/>
      <c r="B54" s="78" t="s">
        <v>227</v>
      </c>
      <c r="C54" s="79"/>
      <c r="D54" s="79"/>
      <c r="E54" s="9">
        <v>5</v>
      </c>
      <c r="F54" s="27">
        <v>3.75</v>
      </c>
      <c r="G54" s="30">
        <f t="shared" si="0"/>
        <v>0.75</v>
      </c>
      <c r="H54" s="31" t="str">
        <f t="shared" si="1"/>
        <v>جيد</v>
      </c>
      <c r="I54" s="40"/>
      <c r="J54" s="41"/>
    </row>
    <row r="55" spans="1:10" ht="30" customHeight="1" x14ac:dyDescent="0.3">
      <c r="A55" s="11"/>
      <c r="B55" s="78" t="s">
        <v>228</v>
      </c>
      <c r="C55" s="79"/>
      <c r="D55" s="79"/>
      <c r="E55" s="9">
        <v>5</v>
      </c>
      <c r="F55" s="27">
        <v>3.75</v>
      </c>
      <c r="G55" s="30">
        <f t="shared" si="0"/>
        <v>0.75</v>
      </c>
      <c r="H55" s="31" t="str">
        <f t="shared" si="1"/>
        <v>جيد</v>
      </c>
      <c r="I55" s="40"/>
      <c r="J55" s="41"/>
    </row>
    <row r="56" spans="1:10" ht="30" customHeight="1" x14ac:dyDescent="0.3">
      <c r="A56" s="11"/>
      <c r="B56" s="78" t="s">
        <v>229</v>
      </c>
      <c r="C56" s="79"/>
      <c r="D56" s="79"/>
      <c r="E56" s="9">
        <v>5</v>
      </c>
      <c r="F56" s="27">
        <v>3.75</v>
      </c>
      <c r="G56" s="30">
        <f t="shared" si="0"/>
        <v>0.75</v>
      </c>
      <c r="H56" s="31" t="str">
        <f t="shared" si="1"/>
        <v>جيد</v>
      </c>
      <c r="I56" s="40"/>
      <c r="J56" s="41"/>
    </row>
    <row r="57" spans="1:10" ht="30" customHeight="1" x14ac:dyDescent="0.3">
      <c r="A57" s="11"/>
      <c r="B57" s="78" t="s">
        <v>230</v>
      </c>
      <c r="C57" s="79"/>
      <c r="D57" s="79"/>
      <c r="E57" s="9">
        <v>5</v>
      </c>
      <c r="F57" s="27">
        <v>3.75</v>
      </c>
      <c r="G57" s="30">
        <f t="shared" si="0"/>
        <v>0.75</v>
      </c>
      <c r="H57" s="31" t="str">
        <f t="shared" si="1"/>
        <v>جيد</v>
      </c>
      <c r="I57" s="40"/>
      <c r="J57" s="41"/>
    </row>
    <row r="58" spans="1:10" ht="30" customHeight="1" x14ac:dyDescent="0.3">
      <c r="A58" s="11"/>
      <c r="B58" s="78" t="s">
        <v>231</v>
      </c>
      <c r="C58" s="79"/>
      <c r="D58" s="79"/>
      <c r="E58" s="9">
        <v>5</v>
      </c>
      <c r="F58" s="27">
        <v>3.75</v>
      </c>
      <c r="G58" s="30">
        <f t="shared" si="0"/>
        <v>0.75</v>
      </c>
      <c r="H58" s="31" t="str">
        <f t="shared" si="1"/>
        <v>جيد</v>
      </c>
      <c r="I58" s="40"/>
      <c r="J58" s="41"/>
    </row>
    <row r="59" spans="1:10" ht="30" customHeight="1" x14ac:dyDescent="0.3">
      <c r="A59" s="11"/>
      <c r="B59" s="78" t="s">
        <v>232</v>
      </c>
      <c r="C59" s="79"/>
      <c r="D59" s="79"/>
      <c r="E59" s="9">
        <v>5</v>
      </c>
      <c r="F59" s="27">
        <v>3.75</v>
      </c>
      <c r="G59" s="30">
        <f t="shared" si="0"/>
        <v>0.75</v>
      </c>
      <c r="H59" s="31" t="str">
        <f t="shared" si="1"/>
        <v>جيد</v>
      </c>
      <c r="I59" s="40"/>
      <c r="J59" s="41"/>
    </row>
    <row r="60" spans="1:10" ht="30" customHeight="1" x14ac:dyDescent="0.3">
      <c r="A60" s="11"/>
      <c r="B60" s="78" t="s">
        <v>233</v>
      </c>
      <c r="C60" s="79"/>
      <c r="D60" s="79"/>
      <c r="E60" s="9">
        <v>5</v>
      </c>
      <c r="F60" s="27">
        <v>3.75</v>
      </c>
      <c r="G60" s="30">
        <f t="shared" si="0"/>
        <v>0.75</v>
      </c>
      <c r="H60" s="31" t="str">
        <f t="shared" si="1"/>
        <v>جيد</v>
      </c>
      <c r="I60" s="40"/>
      <c r="J60" s="41"/>
    </row>
    <row r="61" spans="1:10" ht="30" customHeight="1" x14ac:dyDescent="0.3">
      <c r="A61" s="11"/>
      <c r="B61" s="78" t="s">
        <v>234</v>
      </c>
      <c r="C61" s="79"/>
      <c r="D61" s="79"/>
      <c r="E61" s="9">
        <v>5</v>
      </c>
      <c r="F61" s="27">
        <v>3.75</v>
      </c>
      <c r="G61" s="30">
        <f t="shared" si="0"/>
        <v>0.75</v>
      </c>
      <c r="H61" s="31" t="str">
        <f t="shared" si="1"/>
        <v>جيد</v>
      </c>
      <c r="I61" s="40"/>
      <c r="J61" s="41"/>
    </row>
    <row r="62" spans="1:10" ht="30" customHeight="1" x14ac:dyDescent="0.3">
      <c r="A62" s="11"/>
      <c r="B62" s="78" t="s">
        <v>235</v>
      </c>
      <c r="C62" s="79"/>
      <c r="D62" s="79"/>
      <c r="E62" s="9">
        <v>5</v>
      </c>
      <c r="F62" s="27">
        <v>3.75</v>
      </c>
      <c r="G62" s="30">
        <f t="shared" si="0"/>
        <v>0.75</v>
      </c>
      <c r="H62" s="31" t="str">
        <f t="shared" si="1"/>
        <v>جيد</v>
      </c>
      <c r="I62" s="40"/>
      <c r="J62" s="41"/>
    </row>
    <row r="63" spans="1:10" ht="30" customHeight="1" x14ac:dyDescent="0.3">
      <c r="A63" s="11"/>
      <c r="B63" s="78" t="s">
        <v>236</v>
      </c>
      <c r="C63" s="79"/>
      <c r="D63" s="79"/>
      <c r="E63" s="9">
        <v>5</v>
      </c>
      <c r="F63" s="27">
        <v>3.75</v>
      </c>
      <c r="G63" s="30">
        <f t="shared" si="0"/>
        <v>0.75</v>
      </c>
      <c r="H63" s="31" t="str">
        <f t="shared" si="1"/>
        <v>جيد</v>
      </c>
      <c r="I63" s="40"/>
      <c r="J63" s="41"/>
    </row>
    <row r="64" spans="1:10" ht="30" customHeight="1" x14ac:dyDescent="0.3">
      <c r="A64" s="11"/>
      <c r="B64" s="78" t="s">
        <v>237</v>
      </c>
      <c r="C64" s="79"/>
      <c r="D64" s="79"/>
      <c r="E64" s="9">
        <v>5</v>
      </c>
      <c r="F64" s="27">
        <v>3.75</v>
      </c>
      <c r="G64" s="30">
        <f t="shared" si="0"/>
        <v>0.75</v>
      </c>
      <c r="H64" s="31" t="str">
        <f t="shared" si="1"/>
        <v>جيد</v>
      </c>
      <c r="I64" s="40"/>
      <c r="J64" s="41"/>
    </row>
    <row r="65" spans="1:10" ht="30" customHeight="1" x14ac:dyDescent="0.3">
      <c r="A65" s="11"/>
      <c r="B65" s="78" t="s">
        <v>238</v>
      </c>
      <c r="C65" s="79"/>
      <c r="D65" s="79"/>
      <c r="E65" s="9">
        <v>5</v>
      </c>
      <c r="F65" s="27">
        <v>3.75</v>
      </c>
      <c r="G65" s="30">
        <f t="shared" si="0"/>
        <v>0.75</v>
      </c>
      <c r="H65" s="31" t="str">
        <f t="shared" si="1"/>
        <v>جيد</v>
      </c>
      <c r="I65" s="40"/>
      <c r="J65" s="41"/>
    </row>
    <row r="66" spans="1:10" ht="30" customHeight="1" x14ac:dyDescent="0.3">
      <c r="A66" s="11"/>
      <c r="B66" s="78" t="s">
        <v>239</v>
      </c>
      <c r="C66" s="79"/>
      <c r="D66" s="79"/>
      <c r="E66" s="9">
        <v>5</v>
      </c>
      <c r="F66" s="27">
        <v>3.75</v>
      </c>
      <c r="G66" s="30">
        <f t="shared" si="0"/>
        <v>0.75</v>
      </c>
      <c r="H66" s="31" t="str">
        <f t="shared" si="1"/>
        <v>جيد</v>
      </c>
      <c r="I66" s="40"/>
      <c r="J66" s="41"/>
    </row>
    <row r="67" spans="1:10" ht="30" customHeight="1" thickBot="1" x14ac:dyDescent="0.35">
      <c r="A67" s="11"/>
      <c r="B67" s="80" t="s">
        <v>240</v>
      </c>
      <c r="C67" s="81"/>
      <c r="D67" s="81"/>
      <c r="E67" s="36">
        <v>5</v>
      </c>
      <c r="F67" s="28">
        <v>3.75</v>
      </c>
      <c r="G67" s="37">
        <f t="shared" si="0"/>
        <v>0.75</v>
      </c>
      <c r="H67" s="38" t="str">
        <f t="shared" si="1"/>
        <v>جيد</v>
      </c>
      <c r="I67" s="47"/>
      <c r="J67" s="48"/>
    </row>
    <row r="68" spans="1:10" ht="39.9" customHeight="1" x14ac:dyDescent="0.3">
      <c r="A68" s="11"/>
      <c r="B68" s="76" t="s">
        <v>241</v>
      </c>
      <c r="C68" s="77"/>
      <c r="D68" s="77"/>
      <c r="E68" s="39"/>
      <c r="F68" s="33"/>
      <c r="G68" s="34"/>
      <c r="H68" s="35"/>
      <c r="I68" s="49"/>
      <c r="J68" s="50"/>
    </row>
    <row r="69" spans="1:10" ht="30" customHeight="1" x14ac:dyDescent="0.3">
      <c r="A69" s="11"/>
      <c r="B69" s="78" t="s">
        <v>242</v>
      </c>
      <c r="C69" s="79"/>
      <c r="D69" s="79"/>
      <c r="E69" s="9">
        <v>5</v>
      </c>
      <c r="F69" s="27">
        <v>3.75</v>
      </c>
      <c r="G69" s="30">
        <f t="shared" si="0"/>
        <v>0.75</v>
      </c>
      <c r="H69" s="31" t="str">
        <f t="shared" si="1"/>
        <v>جيد</v>
      </c>
      <c r="I69" s="40"/>
      <c r="J69" s="41"/>
    </row>
    <row r="70" spans="1:10" ht="30" customHeight="1" x14ac:dyDescent="0.3">
      <c r="A70" s="11"/>
      <c r="B70" s="78" t="s">
        <v>243</v>
      </c>
      <c r="C70" s="79"/>
      <c r="D70" s="79"/>
      <c r="E70" s="9">
        <v>5</v>
      </c>
      <c r="F70" s="27">
        <v>3.75</v>
      </c>
      <c r="G70" s="30">
        <f t="shared" si="0"/>
        <v>0.75</v>
      </c>
      <c r="H70" s="31" t="str">
        <f t="shared" si="1"/>
        <v>جيد</v>
      </c>
      <c r="I70" s="40"/>
      <c r="J70" s="41"/>
    </row>
    <row r="71" spans="1:10" ht="30" customHeight="1" x14ac:dyDescent="0.3">
      <c r="A71" s="11"/>
      <c r="B71" s="78" t="s">
        <v>244</v>
      </c>
      <c r="C71" s="79"/>
      <c r="D71" s="79"/>
      <c r="E71" s="9">
        <v>5</v>
      </c>
      <c r="F71" s="27">
        <v>3.75</v>
      </c>
      <c r="G71" s="30">
        <f t="shared" si="0"/>
        <v>0.75</v>
      </c>
      <c r="H71" s="31" t="str">
        <f t="shared" si="1"/>
        <v>جيد</v>
      </c>
      <c r="I71" s="40"/>
      <c r="J71" s="41"/>
    </row>
    <row r="72" spans="1:10" ht="30" customHeight="1" x14ac:dyDescent="0.3">
      <c r="A72" s="11"/>
      <c r="B72" s="78" t="s">
        <v>245</v>
      </c>
      <c r="C72" s="79"/>
      <c r="D72" s="79"/>
      <c r="E72" s="9">
        <v>5</v>
      </c>
      <c r="F72" s="27">
        <v>3.75</v>
      </c>
      <c r="G72" s="30">
        <f t="shared" si="0"/>
        <v>0.75</v>
      </c>
      <c r="H72" s="31" t="str">
        <f t="shared" si="1"/>
        <v>جيد</v>
      </c>
      <c r="I72" s="40"/>
      <c r="J72" s="41"/>
    </row>
    <row r="73" spans="1:10" ht="30" customHeight="1" thickBot="1" x14ac:dyDescent="0.35">
      <c r="A73" s="11"/>
      <c r="B73" s="80" t="s">
        <v>246</v>
      </c>
      <c r="C73" s="81"/>
      <c r="D73" s="81"/>
      <c r="E73" s="36">
        <v>5</v>
      </c>
      <c r="F73" s="28">
        <v>3.75</v>
      </c>
      <c r="G73" s="37">
        <f t="shared" si="0"/>
        <v>0.75</v>
      </c>
      <c r="H73" s="38" t="str">
        <f t="shared" si="1"/>
        <v>جيد</v>
      </c>
      <c r="I73" s="47"/>
      <c r="J73" s="48"/>
    </row>
    <row r="74" spans="1:10" ht="30" customHeight="1" x14ac:dyDescent="0.3">
      <c r="A74" s="11"/>
      <c r="B74" s="76" t="s">
        <v>247</v>
      </c>
      <c r="C74" s="77"/>
      <c r="D74" s="77"/>
      <c r="E74" s="39"/>
      <c r="F74" s="33"/>
      <c r="G74" s="34"/>
      <c r="H74" s="35"/>
      <c r="I74" s="49"/>
      <c r="J74" s="50"/>
    </row>
    <row r="75" spans="1:10" ht="30" customHeight="1" x14ac:dyDescent="0.3">
      <c r="A75" s="11"/>
      <c r="B75" s="78" t="s">
        <v>248</v>
      </c>
      <c r="C75" s="79"/>
      <c r="D75" s="79"/>
      <c r="E75" s="9">
        <v>5</v>
      </c>
      <c r="F75" s="27">
        <v>3.75</v>
      </c>
      <c r="G75" s="30">
        <f t="shared" ref="G75:G98" si="2">IFERROR(F75/E75,"")</f>
        <v>0.75</v>
      </c>
      <c r="H75" s="31" t="str">
        <f t="shared" ref="H75:H98" si="3">_xlfn.IFS(F75="أدخل العلامة","",F75="لا ينطبق","تم الإلغاء",G75&gt;=90%,"ممتاز",G75&gt;=80%,"جيد جداً",G75&gt;=70%,"جيد",G75&gt;=60%,"مقبول",G75&lt;60%,"راسب")</f>
        <v>جيد</v>
      </c>
      <c r="I75" s="40"/>
      <c r="J75" s="41"/>
    </row>
    <row r="76" spans="1:10" ht="30" customHeight="1" x14ac:dyDescent="0.3">
      <c r="A76" s="11"/>
      <c r="B76" s="78" t="s">
        <v>249</v>
      </c>
      <c r="C76" s="79"/>
      <c r="D76" s="79"/>
      <c r="E76" s="9">
        <v>5</v>
      </c>
      <c r="F76" s="27">
        <v>3.75</v>
      </c>
      <c r="G76" s="30">
        <f t="shared" si="2"/>
        <v>0.75</v>
      </c>
      <c r="H76" s="31" t="str">
        <f t="shared" si="3"/>
        <v>جيد</v>
      </c>
      <c r="I76" s="40"/>
      <c r="J76" s="41"/>
    </row>
    <row r="77" spans="1:10" ht="30" customHeight="1" x14ac:dyDescent="0.3">
      <c r="A77" s="11"/>
      <c r="B77" s="78" t="s">
        <v>250</v>
      </c>
      <c r="C77" s="79"/>
      <c r="D77" s="79"/>
      <c r="E77" s="9">
        <v>5</v>
      </c>
      <c r="F77" s="27">
        <v>3.75</v>
      </c>
      <c r="G77" s="30">
        <f t="shared" si="2"/>
        <v>0.75</v>
      </c>
      <c r="H77" s="31" t="str">
        <f t="shared" si="3"/>
        <v>جيد</v>
      </c>
      <c r="I77" s="40"/>
      <c r="J77" s="41"/>
    </row>
    <row r="78" spans="1:10" ht="30" customHeight="1" x14ac:dyDescent="0.3">
      <c r="A78" s="11"/>
      <c r="B78" s="78" t="s">
        <v>251</v>
      </c>
      <c r="C78" s="79"/>
      <c r="D78" s="79"/>
      <c r="E78" s="9">
        <v>5</v>
      </c>
      <c r="F78" s="27">
        <v>3.75</v>
      </c>
      <c r="G78" s="30">
        <f t="shared" si="2"/>
        <v>0.75</v>
      </c>
      <c r="H78" s="31" t="str">
        <f t="shared" si="3"/>
        <v>جيد</v>
      </c>
      <c r="I78" s="40"/>
      <c r="J78" s="41"/>
    </row>
    <row r="79" spans="1:10" ht="30" customHeight="1" x14ac:dyDescent="0.3">
      <c r="A79" s="11"/>
      <c r="B79" s="78" t="s">
        <v>252</v>
      </c>
      <c r="C79" s="79"/>
      <c r="D79" s="79"/>
      <c r="E79" s="9">
        <v>5</v>
      </c>
      <c r="F79" s="27">
        <v>3.75</v>
      </c>
      <c r="G79" s="30">
        <f t="shared" si="2"/>
        <v>0.75</v>
      </c>
      <c r="H79" s="31" t="str">
        <f t="shared" si="3"/>
        <v>جيد</v>
      </c>
      <c r="I79" s="40"/>
      <c r="J79" s="41"/>
    </row>
    <row r="80" spans="1:10" ht="39.9" customHeight="1" thickBot="1" x14ac:dyDescent="0.35">
      <c r="A80" s="11"/>
      <c r="B80" s="80" t="s">
        <v>253</v>
      </c>
      <c r="C80" s="81"/>
      <c r="D80" s="81"/>
      <c r="E80" s="36">
        <v>5</v>
      </c>
      <c r="F80" s="28">
        <v>3.75</v>
      </c>
      <c r="G80" s="37">
        <f t="shared" si="2"/>
        <v>0.75</v>
      </c>
      <c r="H80" s="38" t="str">
        <f t="shared" si="3"/>
        <v>جيد</v>
      </c>
      <c r="I80" s="47"/>
      <c r="J80" s="48"/>
    </row>
    <row r="81" spans="1:10" ht="30" customHeight="1" x14ac:dyDescent="0.3">
      <c r="A81" s="11"/>
      <c r="B81" s="76" t="s">
        <v>254</v>
      </c>
      <c r="C81" s="77"/>
      <c r="D81" s="77"/>
      <c r="E81" s="39"/>
      <c r="F81" s="33"/>
      <c r="G81" s="34"/>
      <c r="H81" s="35"/>
      <c r="I81" s="49"/>
      <c r="J81" s="50"/>
    </row>
    <row r="82" spans="1:10" ht="30" customHeight="1" x14ac:dyDescent="0.3">
      <c r="A82" s="11"/>
      <c r="B82" s="78" t="s">
        <v>255</v>
      </c>
      <c r="C82" s="79"/>
      <c r="D82" s="79"/>
      <c r="E82" s="9">
        <v>5</v>
      </c>
      <c r="F82" s="27">
        <v>3.75</v>
      </c>
      <c r="G82" s="30">
        <f t="shared" si="2"/>
        <v>0.75</v>
      </c>
      <c r="H82" s="31" t="str">
        <f t="shared" si="3"/>
        <v>جيد</v>
      </c>
      <c r="I82" s="40"/>
      <c r="J82" s="41"/>
    </row>
    <row r="83" spans="1:10" ht="30" customHeight="1" x14ac:dyDescent="0.3">
      <c r="A83" s="11"/>
      <c r="B83" s="78" t="s">
        <v>256</v>
      </c>
      <c r="C83" s="79"/>
      <c r="D83" s="79"/>
      <c r="E83" s="9">
        <v>5</v>
      </c>
      <c r="F83" s="27">
        <v>3.75</v>
      </c>
      <c r="G83" s="30">
        <f t="shared" si="2"/>
        <v>0.75</v>
      </c>
      <c r="H83" s="31" t="str">
        <f t="shared" si="3"/>
        <v>جيد</v>
      </c>
      <c r="I83" s="40"/>
      <c r="J83" s="41"/>
    </row>
    <row r="84" spans="1:10" ht="30" customHeight="1" thickBot="1" x14ac:dyDescent="0.35">
      <c r="A84" s="11"/>
      <c r="B84" s="80" t="s">
        <v>257</v>
      </c>
      <c r="C84" s="81"/>
      <c r="D84" s="81"/>
      <c r="E84" s="36">
        <v>5</v>
      </c>
      <c r="F84" s="28">
        <v>3.75</v>
      </c>
      <c r="G84" s="37">
        <f t="shared" si="2"/>
        <v>0.75</v>
      </c>
      <c r="H84" s="38" t="str">
        <f t="shared" si="3"/>
        <v>جيد</v>
      </c>
      <c r="I84" s="47"/>
      <c r="J84" s="48"/>
    </row>
    <row r="85" spans="1:10" ht="30" customHeight="1" x14ac:dyDescent="0.3">
      <c r="A85" s="11"/>
      <c r="B85" s="76" t="s">
        <v>258</v>
      </c>
      <c r="C85" s="77"/>
      <c r="D85" s="77"/>
      <c r="E85" s="39"/>
      <c r="F85" s="33"/>
      <c r="G85" s="34"/>
      <c r="H85" s="35"/>
      <c r="I85" s="49"/>
      <c r="J85" s="50"/>
    </row>
    <row r="86" spans="1:10" ht="30" customHeight="1" x14ac:dyDescent="0.3">
      <c r="A86" s="11"/>
      <c r="B86" s="78" t="s">
        <v>259</v>
      </c>
      <c r="C86" s="79"/>
      <c r="D86" s="79"/>
      <c r="E86" s="9">
        <v>5</v>
      </c>
      <c r="F86" s="27">
        <v>3.75</v>
      </c>
      <c r="G86" s="30">
        <f t="shared" si="2"/>
        <v>0.75</v>
      </c>
      <c r="H86" s="31" t="str">
        <f t="shared" si="3"/>
        <v>جيد</v>
      </c>
      <c r="I86" s="40"/>
      <c r="J86" s="41"/>
    </row>
    <row r="87" spans="1:10" ht="30" customHeight="1" x14ac:dyDescent="0.3">
      <c r="A87" s="11"/>
      <c r="B87" s="78" t="s">
        <v>260</v>
      </c>
      <c r="C87" s="79"/>
      <c r="D87" s="79"/>
      <c r="E87" s="9">
        <v>5</v>
      </c>
      <c r="F87" s="27">
        <v>3.75</v>
      </c>
      <c r="G87" s="30">
        <f t="shared" si="2"/>
        <v>0.75</v>
      </c>
      <c r="H87" s="31" t="str">
        <f t="shared" si="3"/>
        <v>جيد</v>
      </c>
      <c r="I87" s="40"/>
      <c r="J87" s="41"/>
    </row>
    <row r="88" spans="1:10" ht="39.9" customHeight="1" thickBot="1" x14ac:dyDescent="0.35">
      <c r="A88" s="11"/>
      <c r="B88" s="80" t="s">
        <v>261</v>
      </c>
      <c r="C88" s="81"/>
      <c r="D88" s="81"/>
      <c r="E88" s="36">
        <v>5</v>
      </c>
      <c r="F88" s="28">
        <v>3.75</v>
      </c>
      <c r="G88" s="37">
        <f t="shared" si="2"/>
        <v>0.75</v>
      </c>
      <c r="H88" s="38" t="str">
        <f t="shared" si="3"/>
        <v>جيد</v>
      </c>
      <c r="I88" s="47"/>
      <c r="J88" s="48"/>
    </row>
    <row r="89" spans="1:10" ht="30" customHeight="1" x14ac:dyDescent="0.3">
      <c r="A89" s="11"/>
      <c r="B89" s="76" t="s">
        <v>262</v>
      </c>
      <c r="C89" s="77"/>
      <c r="D89" s="77"/>
      <c r="E89" s="39"/>
      <c r="F89" s="33"/>
      <c r="G89" s="34"/>
      <c r="H89" s="35"/>
      <c r="I89" s="49"/>
      <c r="J89" s="50"/>
    </row>
    <row r="90" spans="1:10" ht="30" customHeight="1" x14ac:dyDescent="0.3">
      <c r="A90" s="11"/>
      <c r="B90" s="78" t="s">
        <v>263</v>
      </c>
      <c r="C90" s="79"/>
      <c r="D90" s="79"/>
      <c r="E90" s="9">
        <v>5</v>
      </c>
      <c r="F90" s="27">
        <v>3.75</v>
      </c>
      <c r="G90" s="30">
        <f t="shared" si="2"/>
        <v>0.75</v>
      </c>
      <c r="H90" s="31" t="str">
        <f t="shared" si="3"/>
        <v>جيد</v>
      </c>
      <c r="I90" s="40"/>
      <c r="J90" s="41"/>
    </row>
    <row r="91" spans="1:10" ht="30" customHeight="1" thickBot="1" x14ac:dyDescent="0.35">
      <c r="A91" s="11"/>
      <c r="B91" s="80" t="s">
        <v>264</v>
      </c>
      <c r="C91" s="81"/>
      <c r="D91" s="81"/>
      <c r="E91" s="36">
        <v>5</v>
      </c>
      <c r="F91" s="28">
        <v>3.75</v>
      </c>
      <c r="G91" s="37">
        <f t="shared" si="2"/>
        <v>0.75</v>
      </c>
      <c r="H91" s="38" t="str">
        <f t="shared" si="3"/>
        <v>جيد</v>
      </c>
      <c r="I91" s="47"/>
      <c r="J91" s="48"/>
    </row>
    <row r="92" spans="1:10" ht="30" customHeight="1" x14ac:dyDescent="0.3">
      <c r="A92" s="11"/>
      <c r="B92" s="76" t="s">
        <v>265</v>
      </c>
      <c r="C92" s="77"/>
      <c r="D92" s="77"/>
      <c r="E92" s="32"/>
      <c r="F92" s="33"/>
      <c r="G92" s="34"/>
      <c r="H92" s="35"/>
      <c r="I92" s="49"/>
      <c r="J92" s="50"/>
    </row>
    <row r="93" spans="1:10" ht="30" customHeight="1" x14ac:dyDescent="0.3">
      <c r="A93" s="11"/>
      <c r="B93" s="78" t="s">
        <v>266</v>
      </c>
      <c r="C93" s="79"/>
      <c r="D93" s="79"/>
      <c r="E93" s="9">
        <v>5</v>
      </c>
      <c r="F93" s="27">
        <v>3.75</v>
      </c>
      <c r="G93" s="30">
        <f t="shared" si="2"/>
        <v>0.75</v>
      </c>
      <c r="H93" s="31" t="str">
        <f t="shared" si="3"/>
        <v>جيد</v>
      </c>
      <c r="I93" s="40"/>
      <c r="J93" s="41"/>
    </row>
    <row r="94" spans="1:10" ht="30" customHeight="1" x14ac:dyDescent="0.3">
      <c r="A94" s="11"/>
      <c r="B94" s="78" t="s">
        <v>267</v>
      </c>
      <c r="C94" s="79"/>
      <c r="D94" s="79"/>
      <c r="E94" s="9">
        <v>5</v>
      </c>
      <c r="F94" s="27">
        <v>3.75</v>
      </c>
      <c r="G94" s="30">
        <f t="shared" si="2"/>
        <v>0.75</v>
      </c>
      <c r="H94" s="31" t="str">
        <f t="shared" si="3"/>
        <v>جيد</v>
      </c>
      <c r="I94" s="40"/>
      <c r="J94" s="41"/>
    </row>
    <row r="95" spans="1:10" ht="30" customHeight="1" x14ac:dyDescent="0.3">
      <c r="A95" s="11"/>
      <c r="B95" s="78" t="s">
        <v>268</v>
      </c>
      <c r="C95" s="79"/>
      <c r="D95" s="79"/>
      <c r="E95" s="9">
        <v>5</v>
      </c>
      <c r="F95" s="27">
        <v>3.75</v>
      </c>
      <c r="G95" s="30">
        <f t="shared" si="2"/>
        <v>0.75</v>
      </c>
      <c r="H95" s="31" t="str">
        <f t="shared" si="3"/>
        <v>جيد</v>
      </c>
      <c r="I95" s="40"/>
      <c r="J95" s="41"/>
    </row>
    <row r="96" spans="1:10" ht="30" customHeight="1" x14ac:dyDescent="0.3">
      <c r="A96" s="11"/>
      <c r="B96" s="78" t="s">
        <v>269</v>
      </c>
      <c r="C96" s="79"/>
      <c r="D96" s="79"/>
      <c r="E96" s="9">
        <v>5</v>
      </c>
      <c r="F96" s="27">
        <v>3.75</v>
      </c>
      <c r="G96" s="30">
        <f t="shared" si="2"/>
        <v>0.75</v>
      </c>
      <c r="H96" s="31" t="str">
        <f t="shared" si="3"/>
        <v>جيد</v>
      </c>
      <c r="I96" s="40"/>
      <c r="J96" s="41"/>
    </row>
    <row r="97" spans="1:10" ht="30" customHeight="1" x14ac:dyDescent="0.3">
      <c r="A97" s="11"/>
      <c r="B97" s="78" t="s">
        <v>270</v>
      </c>
      <c r="C97" s="79"/>
      <c r="D97" s="79"/>
      <c r="E97" s="9">
        <v>5</v>
      </c>
      <c r="F97" s="27">
        <v>3.75</v>
      </c>
      <c r="G97" s="30">
        <f t="shared" si="2"/>
        <v>0.75</v>
      </c>
      <c r="H97" s="31" t="str">
        <f t="shared" si="3"/>
        <v>جيد</v>
      </c>
      <c r="I97" s="40"/>
      <c r="J97" s="41"/>
    </row>
    <row r="98" spans="1:10" ht="30" customHeight="1" thickBot="1" x14ac:dyDescent="0.35">
      <c r="A98" s="11"/>
      <c r="B98" s="80" t="s">
        <v>271</v>
      </c>
      <c r="C98" s="81"/>
      <c r="D98" s="81"/>
      <c r="E98" s="36">
        <v>5</v>
      </c>
      <c r="F98" s="28">
        <v>3.75</v>
      </c>
      <c r="G98" s="37">
        <f t="shared" si="2"/>
        <v>0.75</v>
      </c>
      <c r="H98" s="38" t="str">
        <f t="shared" si="3"/>
        <v>جيد</v>
      </c>
      <c r="I98" s="47"/>
      <c r="J98" s="48"/>
    </row>
    <row r="99" spans="1:10" ht="30" customHeight="1" thickBot="1" x14ac:dyDescent="0.35">
      <c r="A99" s="4"/>
      <c r="B99" s="74" t="s">
        <v>5</v>
      </c>
      <c r="C99" s="75"/>
      <c r="D99" s="75"/>
      <c r="E99" s="10">
        <f>SUM(E8:E98)</f>
        <v>395</v>
      </c>
      <c r="F99" s="10">
        <f>SUM(F8:F98)</f>
        <v>296.25</v>
      </c>
      <c r="G99" s="44"/>
      <c r="H99" s="45"/>
      <c r="I99" s="45"/>
      <c r="J99" s="46"/>
    </row>
    <row r="100" spans="1:10" ht="30" customHeight="1" thickBot="1" x14ac:dyDescent="0.35">
      <c r="A100" s="4"/>
      <c r="B100" s="74" t="s">
        <v>54</v>
      </c>
      <c r="C100" s="75"/>
      <c r="D100" s="75"/>
      <c r="E100" s="58">
        <f>F99/E99/100*100</f>
        <v>0.75</v>
      </c>
      <c r="F100" s="58"/>
      <c r="G100" s="58"/>
      <c r="H100" s="58"/>
      <c r="I100" s="58"/>
      <c r="J100" s="59"/>
    </row>
    <row r="101" spans="1:10" ht="30" customHeight="1" thickBot="1" x14ac:dyDescent="0.35">
      <c r="A101" s="4"/>
      <c r="B101" s="74" t="s">
        <v>55</v>
      </c>
      <c r="C101" s="75"/>
      <c r="D101" s="75"/>
      <c r="E101" s="72" t="str">
        <f>_xlfn.IFS(E100&gt;=90%,"ممتاز",E100&gt;=80%,"جيد جداً",E100&gt;=70%,"جيد",E100&gt;=60%,"مقبول",E100&lt;60%,"راسب")</f>
        <v>جيد</v>
      </c>
      <c r="F101" s="72"/>
      <c r="G101" s="72"/>
      <c r="H101" s="72"/>
      <c r="I101" s="72"/>
      <c r="J101" s="73"/>
    </row>
    <row r="102" spans="1:10" ht="42" customHeight="1" x14ac:dyDescent="0.3">
      <c r="B102" s="68" t="s">
        <v>174</v>
      </c>
      <c r="C102" s="68"/>
      <c r="D102" s="68"/>
      <c r="E102" s="42" t="s">
        <v>52</v>
      </c>
      <c r="F102" s="42"/>
      <c r="G102" s="70" t="s">
        <v>113</v>
      </c>
      <c r="H102" s="70"/>
      <c r="I102" s="70"/>
      <c r="J102" s="70"/>
    </row>
    <row r="103" spans="1:10" ht="51" customHeight="1" x14ac:dyDescent="0.3">
      <c r="A103" s="5"/>
      <c r="B103" s="69"/>
      <c r="C103" s="69"/>
      <c r="D103" s="69"/>
      <c r="E103" s="43" t="s">
        <v>53</v>
      </c>
      <c r="F103" s="43"/>
      <c r="G103" s="71"/>
      <c r="H103" s="71"/>
      <c r="I103" s="71"/>
      <c r="J103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03">
    <mergeCell ref="B85:D85"/>
    <mergeCell ref="B86:D86"/>
    <mergeCell ref="B87:D87"/>
    <mergeCell ref="B88:D88"/>
    <mergeCell ref="B98:D9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99:D99"/>
    <mergeCell ref="B100:D100"/>
    <mergeCell ref="B101:D10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02:D103"/>
    <mergeCell ref="G102:J102"/>
    <mergeCell ref="G103:J103"/>
    <mergeCell ref="E101:J101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100:J100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62:J62"/>
    <mergeCell ref="I63:J63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102:F102"/>
    <mergeCell ref="E103:F103"/>
    <mergeCell ref="G99:J99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97:J97"/>
    <mergeCell ref="I98:J98"/>
    <mergeCell ref="I47:J47"/>
    <mergeCell ref="I48:J4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01">
    <cfRule type="expression" dxfId="14" priority="57">
      <formula>$E101="راسب"</formula>
    </cfRule>
  </conditionalFormatting>
  <conditionalFormatting sqref="E101:J101">
    <cfRule type="expression" dxfId="13" priority="58">
      <formula>$E101="مقبول"</formula>
    </cfRule>
    <cfRule type="expression" dxfId="12" priority="59">
      <formula>$E101="جيد"</formula>
    </cfRule>
    <cfRule type="expression" dxfId="11" priority="60">
      <formula>$E101="جيد جداً"</formula>
    </cfRule>
    <cfRule type="expression" dxfId="10" priority="61">
      <formula>$E101="ممتاز"</formula>
    </cfRule>
  </conditionalFormatting>
  <conditionalFormatting sqref="F8:F9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02:J102">
    <cfRule type="containsText" dxfId="6" priority="15" operator="containsText" text="أدخل اسم المحكم">
      <formula>NOT(ISERROR(SEARCH("أدخل اسم المحكم",G102)))</formula>
    </cfRule>
  </conditionalFormatting>
  <conditionalFormatting sqref="H8:H9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F93:F98 F90:F91 F86:F88 F82:F84 F75:F80 F69:F73 F52:F67 F37:F50 F28:F35 F23:F26 F17:F21 F9:F15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G102:J102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2025-10-07T17:01:07Z</dcterms:modified>
</cp:coreProperties>
</file>