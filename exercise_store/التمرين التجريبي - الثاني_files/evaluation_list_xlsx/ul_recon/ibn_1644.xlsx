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853E4E5-BC17-4751-8941-03341EC432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F20" i="2"/>
  <c r="E20" i="2"/>
  <c r="E21" i="2"/>
  <c r="E22" i="2"/>
</calcChain>
</file>

<file path=xl/sharedStrings.xml><?xml version="1.0" encoding="utf-8"?>
<sst xmlns="http://schemas.openxmlformats.org/spreadsheetml/2006/main" count="251" uniqueCount="190">
  <si>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</si>
  <si>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</si>
  <si>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</si>
  <si>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</si>
  <si>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</si>
  <si>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</si>
  <si>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</si>
  <si>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</si>
  <si>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</si>
  <si>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</si>
  <si>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</si>
  <si>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</si>
  <si>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</si>
  <si>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</si>
  <si>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</si>
  <si>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</si>
  <si>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</si>
  <si>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</si>
  <si>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</si>
  <si>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</si>
  <si>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</si>
  <si>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</si>
  <si>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</si>
  <si>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</si>
  <si>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</si>
  <si>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</si>
  <si>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</si>
  <si>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</si>
  <si>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</si>
  <si>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</si>
  <si>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</si>
  <si>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</si>
  <si>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</si>
  <si>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</si>
  <si>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</si>
  <si>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</si>
  <si>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</si>
  <si>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</si>
  <si>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</si>
  <si>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</si>
  <si>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</si>
  <si>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</si>
  <si>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</si>
  <si>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</si>
  <si>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</si>
  <si>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</si>
  <si>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</si>
  <si>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</si>
  <si>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</si>
  <si>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</si>
  <si>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</si>
  <si>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</si>
  <si>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</si>
  <si>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</si>
  <si>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</si>
  <si>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</si>
  <si>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</si>
  <si>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</si>
  <si>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</si>
  <si>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</si>
  <si>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</si>
  <si>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</si>
  <si>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</si>
  <si>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</si>
  <si>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استخبارات مجموعة اللواء بتحليل المتطلبات وإعداد وتطوير قائمة متطلبات المعلومات ذات الأولوية من خلال الإجراءات التالية:</t>
    </r>
  </si>
  <si>
    <t xml:space="preserve">ب. مراجعة متطلبات المعلومات وتقييم متطلبات المعلومات ذات الأولوية.  </t>
  </si>
  <si>
    <t>جـ. تحليل متطلبات الجمع لتحديد مصادر الجمع الأكثر فعالية في الاستخدام.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</si>
  <si>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</si>
  <si>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الاستخبارات لمجموعة اللواء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</si>
  <si>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الاستخبارات بتحديث خطة جمع المعلومات وتأكيد التزامن من خلال:</t>
    </r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</si>
  <si>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</si>
  <si>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</si>
  <si>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أ.   حذف المتطلبات التي تمت تلبيتها.</t>
  </si>
  <si>
    <t>د.  إدامة الإلمام بالموقف.</t>
  </si>
  <si>
    <t>أ.   استلام متطلبات المعلومات الهامة للقائد.</t>
  </si>
  <si>
    <t>د.  تطوير متطلبات المعلومات المعينة التي تجيب على كل متطلب من متطلبات المعلومات.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</si>
  <si>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</si>
  <si>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</si>
  <si>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</si>
  <si>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</si>
  <si>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</si>
  <si>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</si>
  <si>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</si>
  <si>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</si>
  <si>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</si>
  <si>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</si>
  <si>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</si>
  <si>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</si>
  <si>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</si>
  <si>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</si>
  <si>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</si>
  <si>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</si>
  <si>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</si>
  <si>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</si>
  <si>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</si>
  <si>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</si>
  <si>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</si>
  <si>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</si>
  <si>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</si>
  <si>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</si>
  <si>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</si>
  <si>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</si>
  <si>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</si>
  <si>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</si>
  <si>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</si>
  <si>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</si>
  <si>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</si>
  <si>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</si>
  <si>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</si>
  <si>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</si>
  <si>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</si>
  <si>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</si>
  <si>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</si>
  <si>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</si>
  <si>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</si>
  <si>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</si>
  <si>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</si>
  <si>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</si>
  <si>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</si>
  <si>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</si>
  <si>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</si>
  <si>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</si>
  <si>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</si>
  <si>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</si>
  <si>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</si>
  <si>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</si>
  <si>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</si>
  <si>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</si>
  <si>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</si>
  <si>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</si>
  <si>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</si>
  <si>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</si>
  <si>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</si>
  <si>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</si>
  <si>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</si>
  <si>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</si>
  <si>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</si>
  <si>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</si>
  <si>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</si>
  <si>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</si>
  <si>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</si>
  <si>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</si>
  <si>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</si>
  <si>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</si>
  <si>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</si>
  <si>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</si>
  <si>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</si>
  <si>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</si>
  <si>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</si>
  <si>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</si>
  <si>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</si>
  <si>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</si>
  <si>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</si>
  <si>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</si>
  <si>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</si>
  <si>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</si>
  <si>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</si>
  <si>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</si>
  <si>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</si>
  <si>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</si>
  <si>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</si>
  <si>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</si>
  <si>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</si>
  <si>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</si>
  <si>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</si>
  <si>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</si>
  <si>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</si>
  <si>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</si>
  <si>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</si>
  <si>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</si>
  <si>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</si>
  <si>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</si>
  <si>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</si>
  <si>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</si>
  <si>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</si>
  <si>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</si>
  <si>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</si>
  <si>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</si>
  <si>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</si>
  <si>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</si>
  <si>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</si>
  <si>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</si>
  <si>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</si>
  <si>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</si>
  <si>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</si>
  <si>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</si>
  <si>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</si>
  <si>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</si>
  <si>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</si>
  <si>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سرية الاستطلاع في إعداد وتطوير خطة الاستخبارات والمراقبة والاستطلاع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</si>
</sst>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7" fillId="5" borderId="3" xfId="0" applyFont="1" applyFill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9" fillId="5" borderId="5" xfId="0" applyFont="1" applyFill="1" applyBorder="1" applyAlignment="1">
      <alignment horizontal="right" vertical="center" wrapText="1" readingOrder="2"/>
    </xf>
    <xf numFmtId="0" fontId="9" fillId="5" borderId="4" xfId="0" applyFont="1" applyFill="1" applyBorder="1" applyAlignment="1">
      <alignment horizontal="right" vertical="center" wrapText="1" readingOrder="2"/>
    </xf>
    <xf numFmtId="0" fontId="9" fillId="5" borderId="22" xfId="0" applyFont="1" applyFill="1" applyBorder="1" applyAlignment="1">
      <alignment horizontal="right" vertical="center" wrapText="1" readingOrder="2"/>
    </xf>
    <xf numFmtId="0" fontId="9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274065</xdr:colOff>
      <xdr:row>23</xdr:row>
      <xdr:rowOff>110682</xdr:rowOff>
    </xdr:from>
    <xdr:to>
      <xdr:col>8</xdr:col>
      <xdr:colOff>485724</xdr:colOff>
      <xdr:row>23</xdr:row>
      <xdr:rowOff>538362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007D15-3803-A219-F673-417740938BA5}"/>
                </a:ext>
              </a:extLst>
            </xdr14:cNvPr>
            <xdr14:cNvContentPartPr/>
          </xdr14:nvContentPartPr>
          <xdr14:nvPr macro=""/>
          <xdr14:xfrm>
            <a:off x="10398759185" y="11304000"/>
            <a:ext cx="1527840" cy="427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8007D15-3803-A219-F673-417740938B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50545" y="11295000"/>
              <a:ext cx="1545480" cy="445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22:44.4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4051 433,'0'0,"0"0,0 0,0 0,0 0,0 0,-16 0,11 0,-5-16,-6 16,5 0,-9 0,-12 0,17 0,-1 0,-31 16,24-16,-1 0,-6 32,7-23,-1-2,-23 26,31-17,-1 0,-13 16,23-16,-3 0,10 0,0-8,0 0,17 8,0-16,-4 0,34 0,-24 0,1 0,56-32,-55 23,-3 2,39-9,-36 7,-3 2,25-9,-31 7,1 2,30 7,-41-9,1 2,3-1,-33 16,13 0,3 0,-56 8,6 0,5 0,-88 48,50-39,6-2,-117 57,100-46,14-4,-86 18,83-14,8-3,-58 17,58-31,7-2,-50 17,85-32,3 0,-26 0,36 0,7 0,-27-16,31 16,1 0,-17-16,17 7,-1 2,-15-9,22-1,2 2,23-17,-9 6,1 3,39-25,-5 15,-5 2,10-17,44-37,-11 10,139-86,-138 94,-6 6,49-19,-72 37,-9 6,4 5,-22 15,-3 2,-6-1,-9 16,3 0,3-16,-3 7,-33 18,6-1,1 0,-63 24,7 1,4-2,-119 49,65-30,9-4,-152 50,115-28,19-7,-151 67,149-69,16-6,-102 59,121-70,9-3,-21 25,60-47,5-2,-32 1,52-8,3 0,-24-24,29 16,0 0,-43 0,34 0,4 0,-25 0,39-9,1 2,-10-9,9 7,2 2,6-9,6-1,2 2,24-17,-5 6,-7 3,42-25,-4 6,-6 4,58-26,-54 22,-4 4,58-26,-68 39,-7 2,29-26,-38 33,-5 0,9 0,-20 8,-4 0,-6-4,0 8,-16 20,2-7,-2-2,-78 25,29 3,6-5,-114 50,83-21,8-6,-105 59,95-43,12-9,-47 20,87-46,3-4,-9 18,38-40,-1 0,41 8,-5-16,-6 0,103-16,-24-9,-13 2,148-57,-75 20,-23 7,175-75,-138 52,-19 8,143-92,-157 83,-17 9,111-60,-135 85,-13 6,38-27,-77 39,-3 2,18 6,-46 9,-3 0,2 8,-9 0,17 0,-15 0,-2 0,10 0,-17 17,0-1,0 16,0 1,0-2,0 65,0-13,0-6,-17 100,17-74,0-14,0 120,7-123,3-12,-10-74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B1" zoomScale="130" zoomScaleNormal="100" zoomScaleSheetLayoutView="130" workbookViewId="0">
      <selection activeCell="F4" sqref="F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189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11" t="s">
        <v>8</v>
      </c>
      <c r="C2" s="67" t="s">
        <v>10</v>
      </c>
      <c r="D2" s="67"/>
      <c r="E2" s="11" t="s">
        <v>7</v>
      </c>
      <c r="F2" s="62">
        <v>45951</v>
      </c>
      <c r="G2" s="62"/>
      <c r="H2" s="62"/>
      <c r="I2" s="62"/>
      <c r="J2" s="62"/>
    </row>
    <row r="3" spans="1:10" ht="30" customHeight="1" x14ac:dyDescent="0.3">
      <c r="B3" s="11" t="s">
        <v>9</v>
      </c>
      <c r="C3" s="67" t="s">
        <v>79</v>
      </c>
      <c r="D3" s="67"/>
      <c r="E3" s="11" t="s">
        <v>6</v>
      </c>
      <c r="F3" s="67" t="s">
        <v>128</v>
      </c>
      <c r="G3" s="67"/>
      <c r="H3" s="67"/>
      <c r="I3" s="67"/>
      <c r="J3" s="67"/>
    </row>
    <row r="4" spans="1:10" ht="30" customHeight="1" thickBot="1" x14ac:dyDescent="0.35">
      <c r="B4" s="6"/>
      <c r="C4" s="85"/>
      <c r="D4" s="85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3" t="s">
        <v>0</v>
      </c>
      <c r="C5" s="64"/>
      <c r="D5" s="64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9"/>
      <c r="B6" s="65"/>
      <c r="C6" s="66"/>
      <c r="D6" s="66"/>
      <c r="E6" s="10" t="s">
        <v>3</v>
      </c>
      <c r="F6" s="10" t="s">
        <v>4</v>
      </c>
      <c r="G6" s="10" t="s">
        <v>23</v>
      </c>
      <c r="H6" s="10" t="s">
        <v>24</v>
      </c>
      <c r="I6" s="55"/>
      <c r="J6" s="56"/>
    </row>
    <row r="7" spans="1:10" ht="24.9" customHeight="1" thickBot="1" x14ac:dyDescent="0.35">
      <c r="A7" s="9"/>
      <c r="B7" s="51" t="s">
        <v>21</v>
      </c>
      <c r="C7" s="52"/>
      <c r="D7" s="52"/>
      <c r="E7" s="20" t="s">
        <v>18</v>
      </c>
      <c r="F7" s="20" t="s">
        <v>19</v>
      </c>
      <c r="G7" s="20" t="s">
        <v>22</v>
      </c>
      <c r="H7" s="20" t="s">
        <v>20</v>
      </c>
      <c r="I7" s="57" t="s">
        <v>25</v>
      </c>
      <c r="J7" s="58"/>
    </row>
    <row r="8" spans="1:10" ht="79.5" customHeight="1" x14ac:dyDescent="0.3">
      <c r="A8" s="9"/>
      <c r="B8" s="43" t="s">
        <v>64</v>
      </c>
      <c r="C8" s="44"/>
      <c r="D8" s="44"/>
      <c r="E8" s="25"/>
      <c r="F8" s="26"/>
      <c r="G8" s="27"/>
      <c r="H8" s="28"/>
      <c r="I8" s="59"/>
      <c r="J8" s="60"/>
    </row>
    <row r="9" spans="1:10" ht="30" customHeight="1" x14ac:dyDescent="0.3">
      <c r="A9" s="9"/>
      <c r="B9" s="39" t="s">
        <v>74</v>
      </c>
      <c r="C9" s="40"/>
      <c r="D9" s="40"/>
      <c r="E9" s="22">
        <v>5</v>
      </c>
      <c r="F9" s="18">
        <v>4</v>
      </c>
      <c r="G9" s="23">
        <f>IFERROR(F9/E9,"")</f>
        <v>0.8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7"/>
      <c r="J9" s="48"/>
    </row>
    <row r="10" spans="1:10" ht="39.9" customHeight="1" x14ac:dyDescent="0.3">
      <c r="A10" s="9"/>
      <c r="B10" s="39" t="s">
        <v>65</v>
      </c>
      <c r="C10" s="40"/>
      <c r="D10" s="40"/>
      <c r="E10" s="22">
        <v>5</v>
      </c>
      <c r="F10" s="18">
        <v>3.75</v>
      </c>
      <c r="G10" s="23">
        <f t="shared" ref="G10:G19" si="0">IFERROR(F10/E10,"")</f>
        <v>0.75</v>
      </c>
      <c r="H10" s="24" t="str">
        <f t="shared" ref="H10:H19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" customHeight="1" x14ac:dyDescent="0.3">
      <c r="A11" s="9"/>
      <c r="B11" s="39" t="s">
        <v>66</v>
      </c>
      <c r="C11" s="40"/>
      <c r="D11" s="40"/>
      <c r="E11" s="22">
        <v>5</v>
      </c>
      <c r="F11" s="18">
        <v>3.75</v>
      </c>
      <c r="G11" s="23">
        <f t="shared" si="0"/>
        <v>0.75</v>
      </c>
      <c r="H11" s="24" t="str">
        <f t="shared" si="1"/>
        <v>جيد</v>
      </c>
      <c r="I11" s="47"/>
      <c r="J11" s="48"/>
    </row>
    <row r="12" spans="1:10" ht="39.9" customHeight="1" x14ac:dyDescent="0.3">
      <c r="A12" s="9"/>
      <c r="B12" s="39" t="s">
        <v>75</v>
      </c>
      <c r="C12" s="40"/>
      <c r="D12" s="40"/>
      <c r="E12" s="22">
        <v>5</v>
      </c>
      <c r="F12" s="18">
        <v>3.75</v>
      </c>
      <c r="G12" s="23">
        <f t="shared" si="0"/>
        <v>0.75</v>
      </c>
      <c r="H12" s="24" t="str">
        <f t="shared" si="1"/>
        <v>جيد</v>
      </c>
      <c r="I12" s="47"/>
      <c r="J12" s="48"/>
    </row>
    <row r="13" spans="1:10" ht="39.9" customHeight="1" x14ac:dyDescent="0.3">
      <c r="A13" s="9"/>
      <c r="B13" s="39" t="s">
        <v>67</v>
      </c>
      <c r="C13" s="40"/>
      <c r="D13" s="40"/>
      <c r="E13" s="22">
        <v>5</v>
      </c>
      <c r="F13" s="18">
        <v>3.75</v>
      </c>
      <c r="G13" s="23">
        <f t="shared" si="0"/>
        <v>0.75</v>
      </c>
      <c r="H13" s="24" t="str">
        <f t="shared" si="1"/>
        <v>جيد</v>
      </c>
      <c r="I13" s="47"/>
      <c r="J13" s="48"/>
    </row>
    <row r="14" spans="1:10" ht="60" customHeight="1" x14ac:dyDescent="0.3">
      <c r="A14" s="9"/>
      <c r="B14" s="45" t="s">
        <v>68</v>
      </c>
      <c r="C14" s="46"/>
      <c r="D14" s="46"/>
      <c r="E14" s="22">
        <v>5</v>
      </c>
      <c r="F14" s="18">
        <v>3.75</v>
      </c>
      <c r="G14" s="23">
        <f t="shared" si="0"/>
        <v>0.75</v>
      </c>
      <c r="H14" s="24" t="str">
        <f t="shared" si="1"/>
        <v>جيد</v>
      </c>
      <c r="I14" s="47"/>
      <c r="J14" s="48"/>
    </row>
    <row r="15" spans="1:10" ht="54.9" customHeight="1" x14ac:dyDescent="0.3">
      <c r="A15" s="9"/>
      <c r="B15" s="45" t="s">
        <v>69</v>
      </c>
      <c r="C15" s="46"/>
      <c r="D15" s="46"/>
      <c r="E15" s="22"/>
      <c r="F15" s="18"/>
      <c r="G15" s="23"/>
      <c r="H15" s="24"/>
      <c r="I15" s="47"/>
      <c r="J15" s="48"/>
    </row>
    <row r="16" spans="1:10" ht="30" customHeight="1" x14ac:dyDescent="0.3">
      <c r="A16" s="9"/>
      <c r="B16" s="39" t="s">
        <v>72</v>
      </c>
      <c r="C16" s="40"/>
      <c r="D16" s="40"/>
      <c r="E16" s="22">
        <v>5</v>
      </c>
      <c r="F16" s="18">
        <v>3.75</v>
      </c>
      <c r="G16" s="23">
        <f t="shared" si="0"/>
        <v>0.75</v>
      </c>
      <c r="H16" s="24" t="str">
        <f t="shared" si="1"/>
        <v>جيد</v>
      </c>
      <c r="I16" s="47"/>
      <c r="J16" s="48"/>
    </row>
    <row r="17" spans="1:10" ht="39.9" customHeight="1" x14ac:dyDescent="0.3">
      <c r="A17" s="9"/>
      <c r="B17" s="39" t="s">
        <v>70</v>
      </c>
      <c r="C17" s="40"/>
      <c r="D17" s="40"/>
      <c r="E17" s="22">
        <v>5</v>
      </c>
      <c r="F17" s="18">
        <v>3.75</v>
      </c>
      <c r="G17" s="23">
        <f t="shared" si="0"/>
        <v>0.75</v>
      </c>
      <c r="H17" s="24" t="str">
        <f t="shared" si="1"/>
        <v>جيد</v>
      </c>
      <c r="I17" s="47"/>
      <c r="J17" s="48"/>
    </row>
    <row r="18" spans="1:10" ht="54.9" customHeight="1" x14ac:dyDescent="0.3">
      <c r="A18" s="9"/>
      <c r="B18" s="39" t="s">
        <v>71</v>
      </c>
      <c r="C18" s="40"/>
      <c r="D18" s="40"/>
      <c r="E18" s="22">
        <v>5</v>
      </c>
      <c r="F18" s="18">
        <v>3.75</v>
      </c>
      <c r="G18" s="23">
        <f t="shared" si="0"/>
        <v>0.75</v>
      </c>
      <c r="H18" s="24" t="str">
        <f t="shared" si="1"/>
        <v>جيد</v>
      </c>
      <c r="I18" s="47"/>
      <c r="J18" s="48"/>
    </row>
    <row r="19" spans="1:10" ht="30" customHeight="1" thickBot="1" x14ac:dyDescent="0.35">
      <c r="A19" s="9"/>
      <c r="B19" s="41" t="s">
        <v>73</v>
      </c>
      <c r="C19" s="42"/>
      <c r="D19" s="42"/>
      <c r="E19" s="29">
        <v>5</v>
      </c>
      <c r="F19" s="19">
        <v>4</v>
      </c>
      <c r="G19" s="30">
        <f t="shared" si="0"/>
        <v>0.8</v>
      </c>
      <c r="H19" s="31" t="str">
        <f t="shared" si="1"/>
        <v>جيد جداً</v>
      </c>
      <c r="I19" s="49"/>
      <c r="J19" s="50"/>
    </row>
    <row r="20" spans="1:10" ht="30" customHeight="1" thickBot="1" x14ac:dyDescent="0.35">
      <c r="A20" s="4"/>
      <c r="B20" s="81" t="s">
        <v>5</v>
      </c>
      <c r="C20" s="82"/>
      <c r="D20" s="82"/>
      <c r="E20" s="21">
        <f>SUM(E8:E19)</f>
        <v>50</v>
      </c>
      <c r="F20" s="21">
        <f>SUM(F8:F19)</f>
        <v>38</v>
      </c>
      <c r="G20" s="70"/>
      <c r="H20" s="71"/>
      <c r="I20" s="71"/>
      <c r="J20" s="72"/>
    </row>
    <row r="21" spans="1:10" ht="30" customHeight="1" thickBot="1" x14ac:dyDescent="0.35">
      <c r="A21" s="4"/>
      <c r="B21" s="83" t="s">
        <v>54</v>
      </c>
      <c r="C21" s="84"/>
      <c r="D21" s="84"/>
      <c r="E21" s="79">
        <f>F20/E20/100*100</f>
        <v>0.76</v>
      </c>
      <c r="F21" s="79"/>
      <c r="G21" s="79"/>
      <c r="H21" s="79"/>
      <c r="I21" s="79"/>
      <c r="J21" s="80"/>
    </row>
    <row r="22" spans="1:10" ht="30" customHeight="1" thickBot="1" x14ac:dyDescent="0.35">
      <c r="A22" s="4"/>
      <c r="B22" s="83" t="s">
        <v>55</v>
      </c>
      <c r="C22" s="84"/>
      <c r="D22" s="84"/>
      <c r="E22" s="77" t="str">
        <f>_xlfn.IFS(E21&gt;=90%,"ممتاز",E21&gt;=80%,"جيد جداً",E21&gt;=70%,"جيد",E21&gt;=60%,"مقبول",E21&lt;60%,"راسب")</f>
        <v>جيد</v>
      </c>
      <c r="F22" s="77"/>
      <c r="G22" s="77"/>
      <c r="H22" s="77"/>
      <c r="I22" s="77"/>
      <c r="J22" s="78"/>
    </row>
    <row r="23" spans="1:10" ht="42" customHeight="1" x14ac:dyDescent="0.3">
      <c r="B23" s="73" t="s">
        <v>63</v>
      </c>
      <c r="C23" s="73"/>
      <c r="D23" s="73"/>
      <c r="E23" s="68" t="s">
        <v>52</v>
      </c>
      <c r="F23" s="68"/>
      <c r="G23" s="75" t="s">
        <v>128</v>
      </c>
      <c r="H23" s="75"/>
      <c r="I23" s="75"/>
      <c r="J23" s="75"/>
    </row>
    <row r="24" spans="1:10" ht="51" customHeight="1" x14ac:dyDescent="0.3">
      <c r="A24" s="5"/>
      <c r="B24" s="74"/>
      <c r="C24" s="74"/>
      <c r="D24" s="74"/>
      <c r="E24" s="69" t="s">
        <v>53</v>
      </c>
      <c r="F24" s="69"/>
      <c r="G24" s="76"/>
      <c r="H24" s="76"/>
      <c r="I24" s="76"/>
      <c r="J24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10:J10"/>
    <mergeCell ref="I8:J8"/>
    <mergeCell ref="I15:J15"/>
    <mergeCell ref="I16:J16"/>
    <mergeCell ref="I17:J17"/>
    <mergeCell ref="I18:J18"/>
    <mergeCell ref="I19:J19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2">
    <cfRule type="expression" dxfId="14" priority="57">
      <formula>$E22="راسب"</formula>
    </cfRule>
  </conditionalFormatting>
  <conditionalFormatting sqref="E22:J22">
    <cfRule type="expression" dxfId="13" priority="58">
      <formula>$E22="مقبول"</formula>
    </cfRule>
    <cfRule type="expression" dxfId="12" priority="59">
      <formula>$E22="جيد"</formula>
    </cfRule>
    <cfRule type="expression" dxfId="11" priority="60">
      <formula>$E22="جيد جداً"</formula>
    </cfRule>
    <cfRule type="expression" dxfId="10" priority="61">
      <formula>$E22="ممتاز"</formula>
    </cfRule>
  </conditionalFormatting>
  <conditionalFormatting sqref="F8:F1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6" priority="15" operator="containsText" text="أدخل اسم المحكم">
      <formula>NOT(ISERROR(SEARCH("أدخل اسم المحكم",G23)))</formula>
    </cfRule>
  </conditionalFormatting>
  <conditionalFormatting sqref="H8:H1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G23:J23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2" t="s">
        <v>76</v>
      </c>
    </row>
    <row r="3" spans="1:3" ht="20.100000000000001" customHeight="1" thickBot="1" x14ac:dyDescent="0.35">
      <c r="A3" s="2" t="s">
        <v>26</v>
      </c>
      <c r="C3" s="32" t="s">
        <v>77</v>
      </c>
    </row>
    <row r="4" spans="1:3" ht="20.100000000000001" customHeight="1" thickBot="1" x14ac:dyDescent="0.35">
      <c r="A4" s="2" t="s">
        <v>36</v>
      </c>
      <c r="C4" s="32" t="s">
        <v>78</v>
      </c>
    </row>
    <row r="5" spans="1:3" ht="20.100000000000001" customHeight="1" thickBot="1" x14ac:dyDescent="0.35">
      <c r="A5" s="2" t="s">
        <v>37</v>
      </c>
      <c r="C5" s="32" t="s">
        <v>79</v>
      </c>
    </row>
    <row r="6" spans="1:3" ht="20.100000000000001" customHeight="1" thickBot="1" x14ac:dyDescent="0.35">
      <c r="A6" s="2" t="s">
        <v>38</v>
      </c>
      <c r="C6" s="32" t="s">
        <v>80</v>
      </c>
    </row>
    <row r="7" spans="1:3" ht="20.100000000000001" customHeight="1" thickBot="1" x14ac:dyDescent="0.35">
      <c r="A7" s="2" t="s">
        <v>39</v>
      </c>
      <c r="C7" s="32" t="s">
        <v>81</v>
      </c>
    </row>
    <row r="8" spans="1:3" ht="20.100000000000001" customHeight="1" thickBot="1" x14ac:dyDescent="0.35">
      <c r="A8" s="2" t="s">
        <v>40</v>
      </c>
      <c r="C8" s="32" t="s">
        <v>82</v>
      </c>
    </row>
    <row r="9" spans="1:3" ht="20.100000000000001" customHeight="1" thickBot="1" x14ac:dyDescent="0.35">
      <c r="A9" s="2" t="s">
        <v>41</v>
      </c>
      <c r="C9" s="32" t="s">
        <v>83</v>
      </c>
    </row>
    <row r="10" spans="1:3" ht="20.100000000000001" customHeight="1" thickBot="1" x14ac:dyDescent="0.35">
      <c r="A10" s="2" t="s">
        <v>42</v>
      </c>
      <c r="C10" s="32" t="s">
        <v>84</v>
      </c>
    </row>
    <row r="11" spans="1:3" ht="20.100000000000001" customHeight="1" thickBot="1" x14ac:dyDescent="0.35">
      <c r="A11" s="2" t="s">
        <v>43</v>
      </c>
      <c r="C11" s="32" t="s">
        <v>85</v>
      </c>
    </row>
    <row r="12" spans="1:3" ht="20.100000000000001" customHeight="1" thickBot="1" x14ac:dyDescent="0.35">
      <c r="A12" s="2" t="s">
        <v>44</v>
      </c>
      <c r="C12" s="32" t="s">
        <v>86</v>
      </c>
    </row>
    <row r="13" spans="1:3" ht="20.100000000000001" customHeight="1" thickBot="1" x14ac:dyDescent="0.35">
      <c r="A13" s="2" t="s">
        <v>45</v>
      </c>
      <c r="C13" s="32" t="s">
        <v>87</v>
      </c>
    </row>
    <row r="14" spans="1:3" ht="20.100000000000001" customHeight="1" thickBot="1" x14ac:dyDescent="0.35">
      <c r="A14" s="2" t="s">
        <v>46</v>
      </c>
      <c r="C14" s="32" t="s">
        <v>88</v>
      </c>
    </row>
    <row r="15" spans="1:3" ht="20.100000000000001" customHeight="1" thickBot="1" x14ac:dyDescent="0.35">
      <c r="A15" s="2" t="s">
        <v>47</v>
      </c>
      <c r="C15" s="32" t="s">
        <v>89</v>
      </c>
    </row>
    <row r="16" spans="1:3" ht="20.100000000000001" customHeight="1" thickBot="1" x14ac:dyDescent="0.35">
      <c r="A16" s="2" t="s">
        <v>10</v>
      </c>
      <c r="C16" s="32" t="s">
        <v>90</v>
      </c>
    </row>
    <row r="17" spans="1:3" ht="20.100000000000001" customHeight="1" thickBot="1" x14ac:dyDescent="0.35">
      <c r="A17" s="2" t="s">
        <v>27</v>
      </c>
      <c r="C17" s="32" t="s">
        <v>91</v>
      </c>
    </row>
    <row r="18" spans="1:3" ht="20.100000000000001" customHeight="1" thickBot="1" x14ac:dyDescent="0.35">
      <c r="A18" s="2" t="s">
        <v>48</v>
      </c>
      <c r="C18" s="32" t="s">
        <v>92</v>
      </c>
    </row>
    <row r="19" spans="1:3" ht="20.100000000000001" customHeight="1" thickBot="1" x14ac:dyDescent="0.35">
      <c r="A19" s="2" t="s">
        <v>49</v>
      </c>
      <c r="C19" s="32" t="s">
        <v>93</v>
      </c>
    </row>
    <row r="20" spans="1:3" ht="20.100000000000001" customHeight="1" thickBot="1" x14ac:dyDescent="0.35">
      <c r="A20" s="2" t="s">
        <v>50</v>
      </c>
      <c r="C20" s="32" t="s">
        <v>94</v>
      </c>
    </row>
    <row r="21" spans="1:3" ht="20.100000000000001" customHeight="1" thickBot="1" x14ac:dyDescent="0.35">
      <c r="A21" s="2" t="s">
        <v>51</v>
      </c>
      <c r="C21" s="32" t="s">
        <v>95</v>
      </c>
    </row>
    <row r="22" spans="1:3" ht="20.100000000000001" customHeight="1" thickBot="1" x14ac:dyDescent="0.35">
      <c r="A22" s="2" t="s">
        <v>11</v>
      </c>
      <c r="C22" s="32" t="s">
        <v>96</v>
      </c>
    </row>
    <row r="23" spans="1:3" ht="20.100000000000001" customHeight="1" thickBot="1" x14ac:dyDescent="0.35">
      <c r="A23" s="2" t="s">
        <v>12</v>
      </c>
      <c r="C23" s="32" t="s">
        <v>97</v>
      </c>
    </row>
    <row r="24" spans="1:3" ht="20.100000000000001" customHeight="1" thickBot="1" x14ac:dyDescent="0.35">
      <c r="A24" s="2" t="s">
        <v>15</v>
      </c>
      <c r="C24" s="32" t="s">
        <v>98</v>
      </c>
    </row>
    <row r="25" spans="1:3" ht="20.100000000000001" customHeight="1" thickBot="1" x14ac:dyDescent="0.35">
      <c r="A25" s="2" t="s">
        <v>28</v>
      </c>
      <c r="C25" s="32" t="s">
        <v>99</v>
      </c>
    </row>
    <row r="26" spans="1:3" ht="20.100000000000001" customHeight="1" thickBot="1" x14ac:dyDescent="0.35">
      <c r="A26" s="2" t="s">
        <v>29</v>
      </c>
      <c r="C26" s="32" t="s">
        <v>100</v>
      </c>
    </row>
    <row r="27" spans="1:3" ht="20.100000000000001" customHeight="1" thickBot="1" x14ac:dyDescent="0.35">
      <c r="A27" s="2" t="s">
        <v>13</v>
      </c>
      <c r="C27" s="32" t="s">
        <v>101</v>
      </c>
    </row>
    <row r="28" spans="1:3" ht="20.100000000000001" customHeight="1" thickBot="1" x14ac:dyDescent="0.35">
      <c r="A28" s="2" t="s">
        <v>30</v>
      </c>
      <c r="C28" s="32" t="s">
        <v>102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3" t="s">
        <v>103</v>
      </c>
    </row>
    <row r="200" spans="1:1" ht="20.100000000000001" customHeight="1" x14ac:dyDescent="0.3">
      <c r="A200" s="33" t="s">
        <v>104</v>
      </c>
    </row>
    <row r="201" spans="1:1" ht="20.100000000000001" customHeight="1" x14ac:dyDescent="0.3">
      <c r="A201" s="33" t="s">
        <v>105</v>
      </c>
    </row>
    <row r="202" spans="1:1" ht="20.100000000000001" customHeight="1" x14ac:dyDescent="0.3">
      <c r="A202" s="33" t="s">
        <v>106</v>
      </c>
    </row>
    <row r="203" spans="1:1" ht="20.100000000000001" customHeight="1" x14ac:dyDescent="0.3">
      <c r="A203" s="33" t="s">
        <v>107</v>
      </c>
    </row>
    <row r="204" spans="1:1" ht="20.100000000000001" customHeight="1" x14ac:dyDescent="0.3">
      <c r="A204" s="33" t="s">
        <v>108</v>
      </c>
    </row>
    <row r="205" spans="1:1" ht="20.100000000000001" customHeight="1" x14ac:dyDescent="0.3">
      <c r="A205" s="33" t="s">
        <v>109</v>
      </c>
    </row>
    <row r="206" spans="1:1" ht="20.100000000000001" customHeight="1" x14ac:dyDescent="0.3">
      <c r="A206" s="33" t="s">
        <v>110</v>
      </c>
    </row>
    <row r="207" spans="1:1" ht="20.100000000000001" customHeight="1" x14ac:dyDescent="0.3">
      <c r="A207" s="33" t="s">
        <v>111</v>
      </c>
    </row>
    <row r="208" spans="1:1" ht="20.100000000000001" customHeight="1" x14ac:dyDescent="0.3">
      <c r="A208" s="34" t="s">
        <v>112</v>
      </c>
    </row>
    <row r="209" spans="1:1" ht="20.100000000000001" customHeight="1" x14ac:dyDescent="0.3">
      <c r="A209" s="34" t="s">
        <v>113</v>
      </c>
    </row>
    <row r="210" spans="1:1" ht="20.100000000000001" customHeight="1" x14ac:dyDescent="0.3">
      <c r="A210" s="33" t="s">
        <v>114</v>
      </c>
    </row>
    <row r="211" spans="1:1" ht="20.100000000000001" customHeight="1" x14ac:dyDescent="0.3">
      <c r="A211" s="33" t="s">
        <v>115</v>
      </c>
    </row>
    <row r="212" spans="1:1" ht="20.100000000000001" customHeight="1" x14ac:dyDescent="0.3">
      <c r="A212" s="33" t="s">
        <v>116</v>
      </c>
    </row>
    <row r="213" spans="1:1" ht="20.100000000000001" customHeight="1" x14ac:dyDescent="0.3">
      <c r="A213" s="33" t="s">
        <v>117</v>
      </c>
    </row>
    <row r="214" spans="1:1" ht="20.100000000000001" customHeight="1" x14ac:dyDescent="0.3">
      <c r="A214" s="33" t="s">
        <v>118</v>
      </c>
    </row>
    <row r="215" spans="1:1" ht="20.100000000000001" customHeight="1" x14ac:dyDescent="0.3">
      <c r="A215" s="33" t="s">
        <v>119</v>
      </c>
    </row>
    <row r="216" spans="1:1" ht="20.100000000000001" customHeight="1" x14ac:dyDescent="0.3">
      <c r="A216" s="33" t="s">
        <v>120</v>
      </c>
    </row>
    <row r="217" spans="1:1" ht="20.100000000000001" customHeight="1" x14ac:dyDescent="0.3">
      <c r="A217" s="33" t="s">
        <v>121</v>
      </c>
    </row>
    <row r="218" spans="1:1" ht="20.100000000000001" customHeight="1" x14ac:dyDescent="0.3">
      <c r="A218" s="33" t="s">
        <v>122</v>
      </c>
    </row>
    <row r="219" spans="1:1" ht="20.100000000000001" customHeight="1" x14ac:dyDescent="0.3">
      <c r="A219" s="33" t="s">
        <v>123</v>
      </c>
    </row>
    <row r="220" spans="1:1" ht="20.100000000000001" customHeight="1" x14ac:dyDescent="0.3">
      <c r="A220" s="33" t="s">
        <v>124</v>
      </c>
    </row>
    <row r="221" spans="1:1" ht="20.100000000000001" customHeight="1" x14ac:dyDescent="0.3">
      <c r="A221" s="33" t="s">
        <v>125</v>
      </c>
    </row>
    <row r="222" spans="1:1" ht="20.100000000000001" customHeight="1" x14ac:dyDescent="0.3">
      <c r="A222" s="33" t="s">
        <v>126</v>
      </c>
    </row>
    <row r="223" spans="1:1" ht="20.100000000000001" customHeight="1" x14ac:dyDescent="0.3">
      <c r="A223" s="33" t="s">
        <v>127</v>
      </c>
    </row>
    <row r="224" spans="1:1" ht="20.100000000000001" customHeight="1" x14ac:dyDescent="0.3">
      <c r="A224" s="33" t="s">
        <v>128</v>
      </c>
    </row>
    <row r="225" spans="1:1" ht="20.100000000000001" customHeight="1" x14ac:dyDescent="0.3">
      <c r="A225" s="33" t="s">
        <v>129</v>
      </c>
    </row>
    <row r="226" spans="1:1" ht="20.100000000000001" customHeight="1" x14ac:dyDescent="0.3">
      <c r="A226" s="33" t="s">
        <v>130</v>
      </c>
    </row>
    <row r="227" spans="1:1" ht="20.100000000000001" customHeight="1" x14ac:dyDescent="0.3">
      <c r="A227" s="33" t="s">
        <v>131</v>
      </c>
    </row>
    <row r="228" spans="1:1" ht="20.100000000000001" customHeight="1" x14ac:dyDescent="0.3">
      <c r="A228" s="33" t="s">
        <v>132</v>
      </c>
    </row>
    <row r="229" spans="1:1" ht="20.100000000000001" customHeight="1" x14ac:dyDescent="0.3">
      <c r="A229" s="33" t="s">
        <v>133</v>
      </c>
    </row>
    <row r="230" spans="1:1" ht="20.100000000000001" customHeight="1" x14ac:dyDescent="0.3">
      <c r="A230" s="33" t="s">
        <v>134</v>
      </c>
    </row>
    <row r="231" spans="1:1" ht="20.100000000000001" customHeight="1" x14ac:dyDescent="0.3">
      <c r="A231" s="33" t="s">
        <v>135</v>
      </c>
    </row>
    <row r="232" spans="1:1" ht="20.100000000000001" customHeight="1" x14ac:dyDescent="0.3">
      <c r="A232" s="33" t="s">
        <v>136</v>
      </c>
    </row>
    <row r="233" spans="1:1" ht="20.100000000000001" customHeight="1" x14ac:dyDescent="0.3">
      <c r="A233" s="33" t="s">
        <v>137</v>
      </c>
    </row>
    <row r="234" spans="1:1" ht="20.100000000000001" customHeight="1" x14ac:dyDescent="0.3">
      <c r="A234" s="33" t="s">
        <v>138</v>
      </c>
    </row>
    <row r="235" spans="1:1" ht="20.100000000000001" customHeight="1" x14ac:dyDescent="0.3">
      <c r="A235" s="35" t="s">
        <v>139</v>
      </c>
    </row>
    <row r="236" spans="1:1" ht="20.100000000000001" customHeight="1" x14ac:dyDescent="0.3">
      <c r="A236" s="33" t="s">
        <v>140</v>
      </c>
    </row>
    <row r="237" spans="1:1" ht="20.100000000000001" customHeight="1" x14ac:dyDescent="0.3">
      <c r="A237" s="33" t="s">
        <v>141</v>
      </c>
    </row>
    <row r="238" spans="1:1" ht="20.100000000000001" customHeight="1" x14ac:dyDescent="0.3">
      <c r="A238" s="33" t="s">
        <v>142</v>
      </c>
    </row>
    <row r="239" spans="1:1" ht="20.100000000000001" customHeight="1" x14ac:dyDescent="0.3">
      <c r="A239" s="33" t="s">
        <v>143</v>
      </c>
    </row>
    <row r="240" spans="1:1" ht="20.100000000000001" customHeight="1" x14ac:dyDescent="0.3">
      <c r="A240" s="33" t="s">
        <v>144</v>
      </c>
    </row>
    <row r="241" spans="1:1" ht="20.100000000000001" customHeight="1" x14ac:dyDescent="0.3">
      <c r="A241" s="33" t="s">
        <v>145</v>
      </c>
    </row>
    <row r="242" spans="1:1" ht="20.100000000000001" customHeight="1" x14ac:dyDescent="0.3">
      <c r="A242" s="33" t="s">
        <v>146</v>
      </c>
    </row>
    <row r="243" spans="1:1" ht="20.100000000000001" customHeight="1" x14ac:dyDescent="0.3">
      <c r="A243" s="33" t="s">
        <v>147</v>
      </c>
    </row>
    <row r="244" spans="1:1" ht="20.100000000000001" customHeight="1" x14ac:dyDescent="0.3">
      <c r="A244" s="33" t="s">
        <v>148</v>
      </c>
    </row>
    <row r="245" spans="1:1" ht="20.100000000000001" customHeight="1" x14ac:dyDescent="0.3">
      <c r="A245" s="33" t="s">
        <v>149</v>
      </c>
    </row>
    <row r="246" spans="1:1" ht="20.100000000000001" customHeight="1" x14ac:dyDescent="0.3">
      <c r="A246" s="33" t="s">
        <v>150</v>
      </c>
    </row>
    <row r="247" spans="1:1" ht="20.100000000000001" customHeight="1" x14ac:dyDescent="0.3">
      <c r="A247" s="33" t="s">
        <v>141</v>
      </c>
    </row>
    <row r="248" spans="1:1" ht="20.100000000000001" customHeight="1" x14ac:dyDescent="0.3">
      <c r="A248" s="33" t="s">
        <v>151</v>
      </c>
    </row>
    <row r="249" spans="1:1" ht="20.100000000000001" customHeight="1" x14ac:dyDescent="0.3">
      <c r="A249" s="33" t="s">
        <v>152</v>
      </c>
    </row>
    <row r="250" spans="1:1" ht="20.100000000000001" customHeight="1" x14ac:dyDescent="0.3">
      <c r="A250" s="35" t="s">
        <v>153</v>
      </c>
    </row>
    <row r="251" spans="1:1" ht="20.100000000000001" customHeight="1" x14ac:dyDescent="0.3">
      <c r="A251" s="36" t="s">
        <v>154</v>
      </c>
    </row>
    <row r="252" spans="1:1" ht="20.100000000000001" customHeight="1" x14ac:dyDescent="0.3">
      <c r="A252" s="33" t="s">
        <v>155</v>
      </c>
    </row>
    <row r="253" spans="1:1" ht="20.100000000000001" customHeight="1" x14ac:dyDescent="0.3">
      <c r="A253" s="33" t="s">
        <v>156</v>
      </c>
    </row>
    <row r="254" spans="1:1" ht="20.100000000000001" customHeight="1" x14ac:dyDescent="0.3">
      <c r="A254" s="37" t="s">
        <v>157</v>
      </c>
    </row>
    <row r="255" spans="1:1" ht="20.100000000000001" customHeight="1" x14ac:dyDescent="0.3">
      <c r="A255" s="37" t="s">
        <v>158</v>
      </c>
    </row>
    <row r="256" spans="1:1" ht="20.100000000000001" customHeight="1" x14ac:dyDescent="0.3">
      <c r="A256" s="38" t="s">
        <v>159</v>
      </c>
    </row>
    <row r="257" spans="1:1" ht="20.100000000000001" customHeight="1" x14ac:dyDescent="0.3">
      <c r="A257" s="33" t="s">
        <v>160</v>
      </c>
    </row>
    <row r="258" spans="1:1" ht="20.100000000000001" customHeight="1" x14ac:dyDescent="0.3">
      <c r="A258" s="38" t="s">
        <v>161</v>
      </c>
    </row>
    <row r="259" spans="1:1" ht="20.100000000000001" customHeight="1" x14ac:dyDescent="0.3">
      <c r="A259" s="33" t="s">
        <v>162</v>
      </c>
    </row>
    <row r="260" spans="1:1" ht="20.100000000000001" customHeight="1" x14ac:dyDescent="0.3">
      <c r="A260" s="38" t="s">
        <v>163</v>
      </c>
    </row>
    <row r="261" spans="1:1" ht="20.100000000000001" customHeight="1" x14ac:dyDescent="0.3">
      <c r="A261" s="33" t="s">
        <v>164</v>
      </c>
    </row>
    <row r="262" spans="1:1" ht="20.100000000000001" customHeight="1" x14ac:dyDescent="0.3">
      <c r="A262" s="33" t="s">
        <v>165</v>
      </c>
    </row>
    <row r="263" spans="1:1" ht="20.100000000000001" customHeight="1" x14ac:dyDescent="0.3">
      <c r="A263" s="38" t="s">
        <v>166</v>
      </c>
    </row>
    <row r="264" spans="1:1" ht="20.100000000000001" customHeight="1" x14ac:dyDescent="0.3">
      <c r="A264" s="38" t="s">
        <v>167</v>
      </c>
    </row>
    <row r="265" spans="1:1" ht="20.100000000000001" customHeight="1" x14ac:dyDescent="0.3">
      <c r="A265" s="38" t="s">
        <v>168</v>
      </c>
    </row>
    <row r="266" spans="1:1" ht="20.100000000000001" customHeight="1" x14ac:dyDescent="0.3">
      <c r="A266" s="33" t="s">
        <v>169</v>
      </c>
    </row>
    <row r="267" spans="1:1" ht="20.100000000000001" customHeight="1" x14ac:dyDescent="0.3">
      <c r="A267" s="33" t="s">
        <v>170</v>
      </c>
    </row>
    <row r="268" spans="1:1" ht="20.100000000000001" customHeight="1" x14ac:dyDescent="0.3">
      <c r="A268" s="33" t="s">
        <v>171</v>
      </c>
    </row>
    <row r="269" spans="1:1" ht="20.100000000000001" customHeight="1" x14ac:dyDescent="0.3">
      <c r="A269" s="33" t="s">
        <v>172</v>
      </c>
    </row>
    <row r="270" spans="1:1" ht="20.100000000000001" customHeight="1" x14ac:dyDescent="0.3">
      <c r="A270" s="38" t="s">
        <v>173</v>
      </c>
    </row>
    <row r="271" spans="1:1" ht="20.100000000000001" customHeight="1" x14ac:dyDescent="0.3">
      <c r="A271" s="38" t="s">
        <v>174</v>
      </c>
    </row>
    <row r="272" spans="1:1" ht="20.100000000000001" customHeight="1" x14ac:dyDescent="0.3">
      <c r="A272" s="33" t="s">
        <v>175</v>
      </c>
    </row>
    <row r="273" spans="1:1" ht="20.100000000000001" customHeight="1" x14ac:dyDescent="0.3">
      <c r="A273" s="38" t="s">
        <v>176</v>
      </c>
    </row>
    <row r="274" spans="1:1" ht="20.100000000000001" customHeight="1" x14ac:dyDescent="0.3">
      <c r="A274" s="38" t="s">
        <v>177</v>
      </c>
    </row>
    <row r="275" spans="1:1" ht="20.100000000000001" customHeight="1" x14ac:dyDescent="0.3">
      <c r="A275" s="33" t="s">
        <v>178</v>
      </c>
    </row>
    <row r="276" spans="1:1" ht="20.100000000000001" customHeight="1" x14ac:dyDescent="0.3">
      <c r="A276" s="33" t="s">
        <v>179</v>
      </c>
    </row>
    <row r="277" spans="1:1" ht="20.100000000000001" customHeight="1" x14ac:dyDescent="0.3">
      <c r="A277" s="38" t="s">
        <v>180</v>
      </c>
    </row>
    <row r="278" spans="1:1" ht="20.100000000000001" customHeight="1" x14ac:dyDescent="0.3">
      <c r="A278" s="33" t="s">
        <v>181</v>
      </c>
    </row>
    <row r="279" spans="1:1" ht="20.100000000000001" customHeight="1" x14ac:dyDescent="0.3">
      <c r="A279" s="33" t="s">
        <v>182</v>
      </c>
    </row>
    <row r="280" spans="1:1" ht="20.100000000000001" customHeight="1" x14ac:dyDescent="0.3">
      <c r="A280" s="33" t="s">
        <v>183</v>
      </c>
    </row>
    <row r="281" spans="1:1" ht="20.100000000000001" customHeight="1" x14ac:dyDescent="0.3">
      <c r="A281" s="33" t="s">
        <v>184</v>
      </c>
    </row>
    <row r="282" spans="1:1" ht="20.100000000000001" customHeight="1" x14ac:dyDescent="0.3">
      <c r="A282" s="38" t="s">
        <v>185</v>
      </c>
    </row>
    <row r="283" spans="1:1" ht="20.100000000000001" customHeight="1" x14ac:dyDescent="0.3">
      <c r="A283" s="38" t="s">
        <v>186</v>
      </c>
    </row>
    <row r="284" spans="1:1" ht="20.100000000000001" customHeight="1" x14ac:dyDescent="0.3">
      <c r="A284" s="38" t="s">
        <v>187</v>
      </c>
    </row>
    <row r="285" spans="1:1" ht="20.100000000000001" customHeight="1" thickBot="1" x14ac:dyDescent="0.35">
      <c r="A285" s="33" t="s">
        <v>188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2025-10-21T20:59:26Z</dcterms:modified>
</cp:coreProperties>
</file>