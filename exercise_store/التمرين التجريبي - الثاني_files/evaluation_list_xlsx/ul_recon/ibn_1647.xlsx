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F207E7A-F3D3-432F-99EE-CEF33A6F0C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F32" i="2"/>
  <c r="E33" i="2" s="1"/>
  <c r="E34" i="2" s="1"/>
  <c r="E32" i="2"/>
</calcChain>
</file>

<file path=xl/sharedStrings.xml><?xml version="1.0" encoding="utf-8"?>
<sst xmlns="http://schemas.openxmlformats.org/spreadsheetml/2006/main" count="262" uniqueCount="206">
  <si>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</si>
  <si>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</si>
  <si>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</si>
  <si>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</si>
  <si>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</si>
  <si>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</si>
  <si>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</si>
  <si>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</si>
  <si>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</si>
  <si>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</si>
  <si>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</si>
  <si>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</si>
  <si>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</si>
  <si>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</si>
  <si>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</si>
  <si>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</si>
  <si>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</si>
  <si>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</si>
  <si>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</si>
  <si>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</si>
  <si>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</si>
  <si>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</si>
  <si>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</si>
  <si>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</si>
  <si>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</si>
  <si>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</si>
  <si>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</si>
  <si>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</si>
  <si>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</si>
  <si>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</si>
  <si>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</si>
  <si>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</si>
  <si>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</si>
  <si>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</si>
  <si>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</si>
  <si>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</si>
  <si>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</si>
  <si>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</si>
  <si>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</si>
  <si>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</si>
  <si>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</si>
  <si>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</si>
  <si>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</si>
  <si>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</si>
  <si>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</si>
  <si>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</si>
  <si>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</si>
  <si>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</si>
  <si>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</si>
  <si>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</si>
  <si>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</si>
  <si>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</si>
  <si>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</si>
  <si>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</si>
  <si>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</si>
  <si>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</si>
  <si>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</si>
  <si>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</si>
  <si>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</si>
  <si>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</si>
  <si>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</si>
  <si>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</si>
  <si>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</si>
  <si>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</si>
  <si>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</si>
  <si>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</si>
  <si>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</si>
  <si>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</si>
  <si>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</si>
  <si>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</si>
  <si>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</si>
  <si>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</si>
  <si>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</si>
  <si>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</si>
  <si>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</si>
  <si>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</si>
  <si>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</si>
  <si>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</si>
  <si>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</si>
  <si>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</si>
  <si>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</si>
  <si>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</si>
  <si>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</si>
  <si>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</si>
  <si>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</si>
  <si>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</si>
  <si>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</si>
  <si>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</si>
  <si>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</si>
  <si>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</si>
  <si>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</si>
  <si>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</si>
  <si>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</si>
  <si>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</si>
  <si>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</si>
  <si>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</si>
  <si>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</si>
  <si>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</si>
  <si>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</si>
  <si>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</si>
  <si>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</si>
  <si>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</si>
  <si>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</si>
  <si>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</si>
  <si>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</si>
  <si>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</si>
  <si>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</si>
  <si>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</si>
  <si>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</si>
  <si>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</si>
  <si>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</si>
  <si>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</si>
  <si>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</si>
  <si>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</si>
  <si>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</si>
  <si>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</si>
  <si>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</si>
  <si>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</si>
  <si>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</si>
  <si>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</si>
  <si>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</si>
  <si>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</si>
  <si>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</si>
  <si>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</si>
  <si>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</si>
  <si>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</si>
  <si>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</si>
  <si>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</si>
  <si>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</si>
  <si>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</si>
  <si>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</si>
  <si>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</si>
  <si>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</si>
  <si>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</si>
  <si>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</si>
  <si>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</si>
  <si>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</si>
  <si>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</si>
  <si>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</si>
  <si>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</si>
  <si>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</si>
  <si>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</si>
  <si>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</si>
  <si>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</si>
  <si>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</si>
  <si>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</si>
  <si>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</si>
  <si>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</si>
  <si>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</si>
  <si>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</si>
  <si>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</si>
  <si>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</si>
  <si>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</si>
  <si>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</si>
  <si>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</si>
  <si>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</si>
  <si>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</si>
  <si>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</si>
  <si>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</si>
  <si>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</si>
  <si>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</si>
  <si>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</si>
  <si>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</si>
  <si>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</si>
  <si>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</si>
  <si>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</si>
  <si>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</si>
  <si>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</si>
  <si>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</si>
  <si>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</si>
  <si>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</si>
  <si>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</si>
  <si>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</si>
  <si>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</si>
  <si>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</si>
  <si>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</si>
  <si>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</si>
  <si>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</si>
  <si>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</si>
  <si>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</si>
  <si>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</si>
  <si>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قائد سرية الاستطلاع على فهم الموقف باستخدام معدات الاتصال المتوفرة، والخرائط،  وتقارير الموقف، ومصادر المعلومات المتوفرة الأخرى.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</si>
  <si>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الاستطلاع من الخارطة.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</si>
  <si>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الأرض إن أمكن.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</si>
  <si>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التخطيط لتأمين منطقة التجمع لمجموعة اللواء التي يجب أن توفر ما يلي:</t>
    </r>
  </si>
  <si>
    <t>ب. أن تكون محمية ومستورة.</t>
  </si>
  <si>
    <t xml:space="preserve">جـ. أن تكون واسعة بحيث تساعد القوات على الانفتاح والانتشار </t>
  </si>
  <si>
    <t>د. لها مداخل ومخارج جيدة.</t>
  </si>
  <si>
    <t>هـ. أن يتم وضع الإشارات والعلامات فيها بعناية وحذر.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</si>
  <si>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سرية الاستطلاع بتحديد موقع لكل وحدة في قيادة اللواء في منطقة التجمع.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</si>
  <si>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أولوية العمل وتوفير أعمال الصيانة وإعادة التزويد.</t>
    </r>
  </si>
  <si>
    <t>مرحلة التحضير</t>
  </si>
  <si>
    <t>إجراء التجارب خلال ساعات النهار وفي ظل ظروف الرؤية المحدودة إن أمكن.</t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</si>
  <si>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</si>
  <si>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تحريك سرية الاستطلاع وتأمين منطقة التجمع حسب الخطة الموضوعة.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</si>
  <si>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تطبق إجراءات الحماية أثناء الحركة.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</si>
  <si>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تنظيم الدخول لمنطقة التجمع وحسب تسلسل بدء الحركة ونظام المسير لكل فصيل ويأخذ كل فصيل قطاع محدد.  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</si>
  <si>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السيطرة على الطرق المؤدية من وإلى منطقة التجمع.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</si>
  <si>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الأعمال التالية في منطقة التجمع حسب الأولوية والأوامر التعبوية المستديمة :</t>
    </r>
  </si>
  <si>
    <t>ب. تأكيد تفهم الأوامر وخطة العملية القادمة.</t>
  </si>
  <si>
    <t>جـ. إعادة تزويد الآليات في حال كانت المسافة بعيدة بين منطقة الحشد والتجمع أو كانت الأرض وعرة وساعات تشغيل الآليات طويلة.</t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</si>
  <si>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المكوث في منطقة التجمع أقل وقت ممكن لتنفيذ الواجبات والعمل بشكل متوازي للجميع لتحقيق أقل وقت ممكن في منطقة التجمع.</t>
    </r>
  </si>
  <si>
    <t>أ.   أن تكون خارج مدى مراقبة العدو الأرضية من مواقعه الأمامية.</t>
  </si>
  <si>
    <t>أ.   الدفاع الدائري ودفع نقاط الحراسات والإنذار المبكر.</t>
  </si>
  <si>
    <r>
      <rPr>
        <b/>
        <sz val="14"/>
        <color rgb="FF000000"/>
        <rFont val="Arial"/>
        <family val="2"/>
      </rPr>
      <t>تقييم سرية الاستطلاع في تأمين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</si>
  <si>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تعديل الدرجة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</si>
</sst>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6" borderId="24" xfId="0" applyFont="1" applyFill="1" applyBorder="1" applyAlignment="1">
      <alignment vertical="center" wrapText="1" readingOrder="2"/>
    </xf>
    <xf numFmtId="0" fontId="3" fillId="6" borderId="25" xfId="0" applyFont="1" applyFill="1" applyBorder="1" applyAlignment="1">
      <alignment vertical="center" wrapText="1" readingOrder="2"/>
    </xf>
    <xf numFmtId="0" fontId="3" fillId="6" borderId="26" xfId="0" applyFont="1" applyFill="1" applyBorder="1" applyAlignment="1">
      <alignment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200985</xdr:colOff>
      <xdr:row>35</xdr:row>
      <xdr:rowOff>23338</xdr:rowOff>
    </xdr:from>
    <xdr:to>
      <xdr:col>8</xdr:col>
      <xdr:colOff>337404</xdr:colOff>
      <xdr:row>35</xdr:row>
      <xdr:rowOff>611218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57C207D-D7F3-D968-4B58-B36D49375189}"/>
                </a:ext>
              </a:extLst>
            </xdr14:cNvPr>
            <xdr14:cNvContentPartPr/>
          </xdr14:nvContentPartPr>
          <xdr14:nvPr macro=""/>
          <xdr14:xfrm>
            <a:off x="10398907505" y="16706520"/>
            <a:ext cx="1452600" cy="587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57C207D-D7F3-D968-4B58-B36D493751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98505" y="16697520"/>
              <a:ext cx="1470240" cy="60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9:44:46.0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3722 99,'0'0,"0"0,0 0,0 0,-14-16,11 14,6-12,-20 14,14 0,3 0,-27 0,22 0,-23 0,-2 32,25-27,-21 22,-6 37,27-54,-5 60,-7 10,16-66,2 52,16 15,-14-69,9 40,20 12,-27-54,37 28,5 10,-40-40,33 16,7-8,-40-13,32 10,-8 2,-27-12,38 10,-25 3,-15-13,10 10,4-13,-13 0,-6 16,3 17,0-28,-30 6,-3 21,29-27,-39 22,-34 5,65-27,-39 22,-10 5,52-27,-46 6,8 5,41-14,-34 12,10-14,25 0,-24 16,-1-16,25 0,-36-16,-6 16,40 0,-50-16,11 16,39 0,-64 0,-6-16,63 13,-66 6,-13-3,76 0,-60-16,-17 16,77 0,-46 0,-14-16,64 13,-37-10,3-19,40 27,-32-22,-8-21,40 40,-16-49,6-7,17 55,0-77,17-42,-15 107,42-86,20-6,-56 95,30-60,23-2,-50 67,24-38,-1 3,-30 40,22 0,-10-8,-14 13,11-10,2-3,-12 13,-21 38,-13-3,26-28,-54 40,-48 68,88-94,-72 92,-66 51,133-136,-93 110,-23 8,119-120,-66 83,7-26,69-67,-38 38,2-3,37-41,4 2,-25 23,26-27,-23 6,-2 5,25-13,-21-6,10-13,13 14,-25 4,-19-18,39 14,-30-12,-9 14,37 0,-43-16,-11 0,56 13,-77-26,8-3,65 27,-70-22,5-5,65 27,-70-38,2 11,69 27,-24-23,-12-20,40 41,-33-18,-7-22,40 39,-17-32,-6 8,23 27,-3-38,10-5,0 40,-16-32,16 8,0 27,0-38,16 10,-13 28,-6-6,3-21,0 27,0-6,0 3,0 0,0 1,-16 30,2-23,11 0,-10 32,-4-16,17-13,-30 27,-17 34,40-54,-33 60,-6 10,38-67,-31 70,8 28,24-93,14 61,7 33,-12-94,43 44,18 18,-54-67,92 54,40-34,-120-29,129 24,37-44,-157 13,144-43,-3-18,-143 54,84-60,13-26,-105 80,23-32,20-32,-54 66,-4-21,12-13,-16 41,14-18,-15-6,0 26,14-38,-14 27,0 14,0-28,0 14,0 64,0-16,0-27,-14 69,-2 55,14-109,-13 120,-15 36,25-148,-7 89,-1 43,10-133,6-54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6"/>
  <sheetViews>
    <sheetView rightToLeft="1" tabSelected="1" view="pageBreakPreview" topLeftCell="A29" zoomScale="130" zoomScaleNormal="100" zoomScaleSheetLayoutView="130" workbookViewId="0">
      <selection activeCell="I21" sqref="I21:J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204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1" t="s">
        <v>8</v>
      </c>
      <c r="C2" s="65" t="s">
        <v>10</v>
      </c>
      <c r="D2" s="65"/>
      <c r="E2" s="11" t="s">
        <v>7</v>
      </c>
      <c r="F2" s="60">
        <v>45952</v>
      </c>
      <c r="G2" s="60"/>
      <c r="H2" s="60"/>
      <c r="I2" s="60"/>
      <c r="J2" s="60"/>
    </row>
    <row r="3" spans="1:10" ht="30" customHeight="1" x14ac:dyDescent="0.3">
      <c r="B3" s="11" t="s">
        <v>9</v>
      </c>
      <c r="C3" s="65" t="s">
        <v>65</v>
      </c>
      <c r="D3" s="65"/>
      <c r="E3" s="11" t="s">
        <v>6</v>
      </c>
      <c r="F3" s="65" t="s">
        <v>113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" customHeight="1" thickBot="1" x14ac:dyDescent="0.35">
      <c r="A6" s="9"/>
      <c r="B6" s="63"/>
      <c r="C6" s="64"/>
      <c r="D6" s="64"/>
      <c r="E6" s="10" t="s">
        <v>3</v>
      </c>
      <c r="F6" s="10" t="s">
        <v>4</v>
      </c>
      <c r="G6" s="10" t="s">
        <v>23</v>
      </c>
      <c r="H6" s="10" t="s">
        <v>24</v>
      </c>
      <c r="I6" s="72"/>
      <c r="J6" s="73"/>
    </row>
    <row r="7" spans="1:10" ht="24.9" customHeight="1" thickBot="1" x14ac:dyDescent="0.35">
      <c r="A7" s="9"/>
      <c r="B7" s="68" t="s">
        <v>21</v>
      </c>
      <c r="C7" s="69"/>
      <c r="D7" s="69"/>
      <c r="E7" s="27" t="s">
        <v>18</v>
      </c>
      <c r="F7" s="27" t="s">
        <v>19</v>
      </c>
      <c r="G7" s="27" t="s">
        <v>22</v>
      </c>
      <c r="H7" s="27" t="s">
        <v>20</v>
      </c>
      <c r="I7" s="42" t="s">
        <v>25</v>
      </c>
      <c r="J7" s="43"/>
    </row>
    <row r="8" spans="1:10" ht="39.9" customHeight="1" x14ac:dyDescent="0.3">
      <c r="A8" s="9"/>
      <c r="B8" s="46" t="s">
        <v>180</v>
      </c>
      <c r="C8" s="47"/>
      <c r="D8" s="47"/>
      <c r="E8" s="47"/>
      <c r="F8" s="47"/>
      <c r="G8" s="47"/>
      <c r="H8" s="47"/>
      <c r="I8" s="47"/>
      <c r="J8" s="48"/>
    </row>
    <row r="9" spans="1:10" ht="51.75" customHeight="1" x14ac:dyDescent="0.3">
      <c r="A9" s="9"/>
      <c r="B9" s="49" t="s">
        <v>181</v>
      </c>
      <c r="C9" s="50"/>
      <c r="D9" s="50"/>
      <c r="E9" s="31">
        <v>5</v>
      </c>
      <c r="F9" s="25">
        <v>4.25</v>
      </c>
      <c r="G9" s="29">
        <f>IFERROR(F9/E9,"")</f>
        <v>0.85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0"/>
      <c r="J9" s="41"/>
    </row>
    <row r="10" spans="1:10" ht="39.9" customHeight="1" x14ac:dyDescent="0.3">
      <c r="A10" s="9"/>
      <c r="B10" s="49" t="s">
        <v>182</v>
      </c>
      <c r="C10" s="50"/>
      <c r="D10" s="50"/>
      <c r="E10" s="31">
        <v>5</v>
      </c>
      <c r="F10" s="25">
        <v>4</v>
      </c>
      <c r="G10" s="29">
        <f t="shared" ref="G10:G31" si="0">IFERROR(F10/E10,"")</f>
        <v>0.8</v>
      </c>
      <c r="H10" s="30" t="str">
        <f t="shared" ref="H10:H3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0"/>
      <c r="J10" s="41"/>
    </row>
    <row r="11" spans="1:10" ht="39.9" customHeight="1" x14ac:dyDescent="0.3">
      <c r="A11" s="9"/>
      <c r="B11" s="49" t="s">
        <v>183</v>
      </c>
      <c r="C11" s="50"/>
      <c r="D11" s="50"/>
      <c r="E11" s="31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0"/>
      <c r="J11" s="41"/>
    </row>
    <row r="12" spans="1:10" ht="39.9" customHeight="1" x14ac:dyDescent="0.3">
      <c r="A12" s="9"/>
      <c r="B12" s="49" t="s">
        <v>184</v>
      </c>
      <c r="C12" s="50"/>
      <c r="D12" s="50"/>
      <c r="E12" s="31"/>
      <c r="F12" s="25"/>
      <c r="G12" s="29"/>
      <c r="H12" s="30"/>
      <c r="I12" s="40"/>
      <c r="J12" s="41"/>
    </row>
    <row r="13" spans="1:10" ht="39.9" customHeight="1" x14ac:dyDescent="0.3">
      <c r="A13" s="9"/>
      <c r="B13" s="51" t="s">
        <v>202</v>
      </c>
      <c r="C13" s="52"/>
      <c r="D13" s="52"/>
      <c r="E13" s="31">
        <v>5</v>
      </c>
      <c r="F13" s="25">
        <v>4</v>
      </c>
      <c r="G13" s="29">
        <f t="shared" si="0"/>
        <v>0.8</v>
      </c>
      <c r="H13" s="30" t="str">
        <f t="shared" si="1"/>
        <v>جيد جداً</v>
      </c>
      <c r="I13" s="40"/>
      <c r="J13" s="41"/>
    </row>
    <row r="14" spans="1:10" ht="39.9" customHeight="1" x14ac:dyDescent="0.3">
      <c r="A14" s="9"/>
      <c r="B14" s="51" t="s">
        <v>185</v>
      </c>
      <c r="C14" s="52"/>
      <c r="D14" s="52"/>
      <c r="E14" s="31">
        <v>5</v>
      </c>
      <c r="F14" s="25">
        <v>3.75</v>
      </c>
      <c r="G14" s="29">
        <f t="shared" si="0"/>
        <v>0.75</v>
      </c>
      <c r="H14" s="30" t="str">
        <f t="shared" si="1"/>
        <v>جيد</v>
      </c>
      <c r="I14" s="40"/>
      <c r="J14" s="41"/>
    </row>
    <row r="15" spans="1:10" ht="39.9" customHeight="1" x14ac:dyDescent="0.3">
      <c r="A15" s="9"/>
      <c r="B15" s="51" t="s">
        <v>186</v>
      </c>
      <c r="C15" s="52"/>
      <c r="D15" s="52"/>
      <c r="E15" s="31">
        <v>5</v>
      </c>
      <c r="F15" s="25">
        <v>4</v>
      </c>
      <c r="G15" s="29">
        <f t="shared" si="0"/>
        <v>0.8</v>
      </c>
      <c r="H15" s="30" t="str">
        <f t="shared" si="1"/>
        <v>جيد جداً</v>
      </c>
      <c r="I15" s="40"/>
      <c r="J15" s="41"/>
    </row>
    <row r="16" spans="1:10" ht="39.9" customHeight="1" x14ac:dyDescent="0.3">
      <c r="A16" s="9"/>
      <c r="B16" s="51" t="s">
        <v>187</v>
      </c>
      <c r="C16" s="52"/>
      <c r="D16" s="52"/>
      <c r="E16" s="31">
        <v>5</v>
      </c>
      <c r="F16" s="25">
        <v>4</v>
      </c>
      <c r="G16" s="29">
        <f t="shared" si="0"/>
        <v>0.8</v>
      </c>
      <c r="H16" s="30" t="str">
        <f t="shared" si="1"/>
        <v>جيد جداً</v>
      </c>
      <c r="I16" s="40"/>
      <c r="J16" s="41"/>
    </row>
    <row r="17" spans="1:10" ht="39.9" customHeight="1" x14ac:dyDescent="0.3">
      <c r="A17" s="9"/>
      <c r="B17" s="51" t="s">
        <v>188</v>
      </c>
      <c r="C17" s="52"/>
      <c r="D17" s="52"/>
      <c r="E17" s="31">
        <v>5</v>
      </c>
      <c r="F17" s="25">
        <v>3.75</v>
      </c>
      <c r="G17" s="29">
        <f t="shared" si="0"/>
        <v>0.75</v>
      </c>
      <c r="H17" s="30" t="str">
        <f t="shared" si="1"/>
        <v>جيد</v>
      </c>
      <c r="I17" s="40"/>
      <c r="J17" s="41"/>
    </row>
    <row r="18" spans="1:10" ht="39.9" customHeight="1" x14ac:dyDescent="0.3">
      <c r="A18" s="9"/>
      <c r="B18" s="78" t="s">
        <v>189</v>
      </c>
      <c r="C18" s="79"/>
      <c r="D18" s="79"/>
      <c r="E18" s="31">
        <v>5</v>
      </c>
      <c r="F18" s="25">
        <v>3.75</v>
      </c>
      <c r="G18" s="29">
        <f t="shared" si="0"/>
        <v>0.75</v>
      </c>
      <c r="H18" s="30" t="str">
        <f t="shared" si="1"/>
        <v>جيد</v>
      </c>
      <c r="I18" s="40"/>
      <c r="J18" s="41"/>
    </row>
    <row r="19" spans="1:10" ht="39.9" customHeight="1" thickBot="1" x14ac:dyDescent="0.35">
      <c r="A19" s="9"/>
      <c r="B19" s="76" t="s">
        <v>190</v>
      </c>
      <c r="C19" s="77"/>
      <c r="D19" s="77"/>
      <c r="E19" s="32">
        <v>5</v>
      </c>
      <c r="F19" s="26">
        <v>4.25</v>
      </c>
      <c r="G19" s="33">
        <f t="shared" si="0"/>
        <v>0.85</v>
      </c>
      <c r="H19" s="34" t="str">
        <f t="shared" si="1"/>
        <v>جيد جداً</v>
      </c>
      <c r="I19" s="44"/>
      <c r="J19" s="45"/>
    </row>
    <row r="20" spans="1:10" ht="39.9" customHeight="1" x14ac:dyDescent="0.3">
      <c r="A20" s="9"/>
      <c r="B20" s="46" t="s">
        <v>191</v>
      </c>
      <c r="C20" s="47"/>
      <c r="D20" s="47"/>
      <c r="E20" s="47"/>
      <c r="F20" s="47"/>
      <c r="G20" s="47"/>
      <c r="H20" s="47"/>
      <c r="I20" s="47"/>
      <c r="J20" s="48"/>
    </row>
    <row r="21" spans="1:10" ht="39.9" customHeight="1" thickBot="1" x14ac:dyDescent="0.35">
      <c r="A21" s="9"/>
      <c r="B21" s="76" t="s">
        <v>192</v>
      </c>
      <c r="C21" s="77"/>
      <c r="D21" s="77"/>
      <c r="E21" s="32">
        <v>10</v>
      </c>
      <c r="F21" s="26">
        <v>4.75</v>
      </c>
      <c r="G21" s="33">
        <f t="shared" si="0"/>
        <v>0.47499999999999998</v>
      </c>
      <c r="H21" s="34" t="str">
        <f t="shared" si="1"/>
        <v>راسب</v>
      </c>
      <c r="I21" s="44" t="s">
        <v>205</v>
      </c>
      <c r="J21" s="45"/>
    </row>
    <row r="22" spans="1:10" ht="39.9" customHeight="1" x14ac:dyDescent="0.3">
      <c r="A22" s="9"/>
      <c r="B22" s="46" t="s">
        <v>193</v>
      </c>
      <c r="C22" s="47"/>
      <c r="D22" s="47"/>
      <c r="E22" s="47"/>
      <c r="F22" s="47"/>
      <c r="G22" s="47"/>
      <c r="H22" s="47"/>
      <c r="I22" s="47"/>
      <c r="J22" s="48"/>
    </row>
    <row r="23" spans="1:10" ht="39.9" customHeight="1" x14ac:dyDescent="0.3">
      <c r="A23" s="9"/>
      <c r="B23" s="49" t="s">
        <v>194</v>
      </c>
      <c r="C23" s="50"/>
      <c r="D23" s="50"/>
      <c r="E23" s="31">
        <v>5</v>
      </c>
      <c r="F23" s="25">
        <v>3.5</v>
      </c>
      <c r="G23" s="29">
        <f t="shared" si="0"/>
        <v>0.7</v>
      </c>
      <c r="H23" s="30" t="str">
        <f t="shared" si="1"/>
        <v>جيد</v>
      </c>
      <c r="I23" s="40"/>
      <c r="J23" s="41"/>
    </row>
    <row r="24" spans="1:10" ht="39.9" customHeight="1" x14ac:dyDescent="0.3">
      <c r="A24" s="9"/>
      <c r="B24" s="49" t="s">
        <v>195</v>
      </c>
      <c r="C24" s="50"/>
      <c r="D24" s="50"/>
      <c r="E24" s="31">
        <v>5</v>
      </c>
      <c r="F24" s="25">
        <v>4.25</v>
      </c>
      <c r="G24" s="29">
        <f t="shared" si="0"/>
        <v>0.85</v>
      </c>
      <c r="H24" s="30" t="str">
        <f t="shared" si="1"/>
        <v>جيد جداً</v>
      </c>
      <c r="I24" s="40"/>
      <c r="J24" s="41"/>
    </row>
    <row r="25" spans="1:10" ht="39.9" customHeight="1" x14ac:dyDescent="0.3">
      <c r="A25" s="9"/>
      <c r="B25" s="49" t="s">
        <v>196</v>
      </c>
      <c r="C25" s="50"/>
      <c r="D25" s="50"/>
      <c r="E25" s="31">
        <v>5</v>
      </c>
      <c r="F25" s="25">
        <v>4.25</v>
      </c>
      <c r="G25" s="29">
        <f t="shared" si="0"/>
        <v>0.85</v>
      </c>
      <c r="H25" s="30" t="str">
        <f t="shared" si="1"/>
        <v>جيد جداً</v>
      </c>
      <c r="I25" s="40"/>
      <c r="J25" s="41"/>
    </row>
    <row r="26" spans="1:10" ht="39.9" customHeight="1" x14ac:dyDescent="0.3">
      <c r="A26" s="9"/>
      <c r="B26" s="49" t="s">
        <v>197</v>
      </c>
      <c r="C26" s="50"/>
      <c r="D26" s="50"/>
      <c r="E26" s="31">
        <v>5</v>
      </c>
      <c r="F26" s="25">
        <v>4.25</v>
      </c>
      <c r="G26" s="29">
        <f t="shared" si="0"/>
        <v>0.85</v>
      </c>
      <c r="H26" s="30" t="str">
        <f t="shared" si="1"/>
        <v>جيد جداً</v>
      </c>
      <c r="I26" s="40"/>
      <c r="J26" s="41"/>
    </row>
    <row r="27" spans="1:10" ht="39.9" customHeight="1" x14ac:dyDescent="0.3">
      <c r="A27" s="9"/>
      <c r="B27" s="49" t="s">
        <v>198</v>
      </c>
      <c r="C27" s="50"/>
      <c r="D27" s="50"/>
      <c r="E27" s="31"/>
      <c r="F27" s="25"/>
      <c r="G27" s="29"/>
      <c r="H27" s="30"/>
      <c r="I27" s="40"/>
      <c r="J27" s="41"/>
    </row>
    <row r="28" spans="1:10" ht="39.9" customHeight="1" x14ac:dyDescent="0.3">
      <c r="A28" s="9"/>
      <c r="B28" s="51" t="s">
        <v>203</v>
      </c>
      <c r="C28" s="52"/>
      <c r="D28" s="52"/>
      <c r="E28" s="31">
        <v>5</v>
      </c>
      <c r="F28" s="25">
        <v>3.75</v>
      </c>
      <c r="G28" s="29">
        <f t="shared" si="0"/>
        <v>0.75</v>
      </c>
      <c r="H28" s="30" t="str">
        <f t="shared" si="1"/>
        <v>جيد</v>
      </c>
      <c r="I28" s="40"/>
      <c r="J28" s="41"/>
    </row>
    <row r="29" spans="1:10" ht="39.9" customHeight="1" x14ac:dyDescent="0.3">
      <c r="A29" s="9"/>
      <c r="B29" s="51" t="s">
        <v>199</v>
      </c>
      <c r="C29" s="52"/>
      <c r="D29" s="52"/>
      <c r="E29" s="31">
        <v>5</v>
      </c>
      <c r="F29" s="25">
        <v>4</v>
      </c>
      <c r="G29" s="29">
        <f t="shared" si="0"/>
        <v>0.8</v>
      </c>
      <c r="H29" s="30" t="str">
        <f t="shared" si="1"/>
        <v>جيد جداً</v>
      </c>
      <c r="I29" s="40"/>
      <c r="J29" s="41"/>
    </row>
    <row r="30" spans="1:10" ht="39.9" customHeight="1" x14ac:dyDescent="0.3">
      <c r="A30" s="9"/>
      <c r="B30" s="51" t="s">
        <v>200</v>
      </c>
      <c r="C30" s="52"/>
      <c r="D30" s="52"/>
      <c r="E30" s="31">
        <v>5</v>
      </c>
      <c r="F30" s="25">
        <v>3.5</v>
      </c>
      <c r="G30" s="29">
        <f t="shared" si="0"/>
        <v>0.7</v>
      </c>
      <c r="H30" s="30" t="str">
        <f t="shared" si="1"/>
        <v>جيد</v>
      </c>
      <c r="I30" s="40"/>
      <c r="J30" s="41"/>
    </row>
    <row r="31" spans="1:10" ht="39.9" customHeight="1" thickBot="1" x14ac:dyDescent="0.35">
      <c r="A31" s="9"/>
      <c r="B31" s="76" t="s">
        <v>201</v>
      </c>
      <c r="C31" s="77"/>
      <c r="D31" s="77"/>
      <c r="E31" s="32">
        <v>5</v>
      </c>
      <c r="F31" s="26">
        <v>3.5</v>
      </c>
      <c r="G31" s="33">
        <f t="shared" si="0"/>
        <v>0.7</v>
      </c>
      <c r="H31" s="34" t="str">
        <f t="shared" si="1"/>
        <v>جيد</v>
      </c>
      <c r="I31" s="44"/>
      <c r="J31" s="45"/>
    </row>
    <row r="32" spans="1:10" ht="30" customHeight="1" thickBot="1" x14ac:dyDescent="0.35">
      <c r="A32" s="4"/>
      <c r="B32" s="80" t="s">
        <v>5</v>
      </c>
      <c r="C32" s="81"/>
      <c r="D32" s="81"/>
      <c r="E32" s="28">
        <f>SUM(E8:E31)</f>
        <v>100</v>
      </c>
      <c r="F32" s="28">
        <f>SUM(F8:F31)</f>
        <v>75.25</v>
      </c>
      <c r="G32" s="37"/>
      <c r="H32" s="38"/>
      <c r="I32" s="38"/>
      <c r="J32" s="39"/>
    </row>
    <row r="33" spans="1:10" ht="30" customHeight="1" thickBot="1" x14ac:dyDescent="0.35">
      <c r="A33" s="4"/>
      <c r="B33" s="74" t="s">
        <v>54</v>
      </c>
      <c r="C33" s="75"/>
      <c r="D33" s="75"/>
      <c r="E33" s="66">
        <f>F32/E32/100*100</f>
        <v>0.75249999999999995</v>
      </c>
      <c r="F33" s="66"/>
      <c r="G33" s="66"/>
      <c r="H33" s="66"/>
      <c r="I33" s="66"/>
      <c r="J33" s="67"/>
    </row>
    <row r="34" spans="1:10" ht="30" customHeight="1" thickBot="1" x14ac:dyDescent="0.35">
      <c r="A34" s="4"/>
      <c r="B34" s="74" t="s">
        <v>55</v>
      </c>
      <c r="C34" s="75"/>
      <c r="D34" s="75"/>
      <c r="E34" s="57" t="str">
        <f>_xlfn.IFS(E33&gt;=90%,"ممتاز",E33&gt;=80%,"جيد جداً",E33&gt;=70%,"جيد",E33&gt;=60%,"مقبول",E33&lt;60%,"راسب")</f>
        <v>جيد</v>
      </c>
      <c r="F34" s="57"/>
      <c r="G34" s="57"/>
      <c r="H34" s="57"/>
      <c r="I34" s="57"/>
      <c r="J34" s="58"/>
    </row>
    <row r="35" spans="1:10" ht="42" customHeight="1" x14ac:dyDescent="0.3">
      <c r="B35" s="53" t="s">
        <v>174</v>
      </c>
      <c r="C35" s="53"/>
      <c r="D35" s="53"/>
      <c r="E35" s="35" t="s">
        <v>52</v>
      </c>
      <c r="F35" s="35"/>
      <c r="G35" s="55" t="s">
        <v>113</v>
      </c>
      <c r="H35" s="55"/>
      <c r="I35" s="55"/>
      <c r="J35" s="55"/>
    </row>
    <row r="36" spans="1:10" ht="51" customHeight="1" x14ac:dyDescent="0.3">
      <c r="A36" s="5"/>
      <c r="B36" s="54"/>
      <c r="C36" s="54"/>
      <c r="D36" s="54"/>
      <c r="E36" s="36" t="s">
        <v>53</v>
      </c>
      <c r="F36" s="36"/>
      <c r="G36" s="56"/>
      <c r="H36" s="56"/>
      <c r="I36" s="56"/>
      <c r="J36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6">
    <mergeCell ref="B15:D15"/>
    <mergeCell ref="B16:D16"/>
    <mergeCell ref="B32:D32"/>
    <mergeCell ref="B33:D33"/>
    <mergeCell ref="B31:D31"/>
    <mergeCell ref="B22:J22"/>
    <mergeCell ref="B20:J20"/>
    <mergeCell ref="B17:D17"/>
    <mergeCell ref="B18:D18"/>
    <mergeCell ref="B19:D19"/>
    <mergeCell ref="B21:D21"/>
    <mergeCell ref="B23:D23"/>
    <mergeCell ref="B24:D24"/>
    <mergeCell ref="B25:D25"/>
    <mergeCell ref="B26:D26"/>
    <mergeCell ref="B27:D27"/>
    <mergeCell ref="B29:D29"/>
    <mergeCell ref="B30:D30"/>
    <mergeCell ref="B34:D3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4:J24"/>
    <mergeCell ref="I25:J25"/>
    <mergeCell ref="I26:J26"/>
    <mergeCell ref="I27:J27"/>
    <mergeCell ref="B14:D14"/>
    <mergeCell ref="B35:D36"/>
    <mergeCell ref="G35:J35"/>
    <mergeCell ref="G36:J36"/>
    <mergeCell ref="E34:J34"/>
    <mergeCell ref="B1:J1"/>
    <mergeCell ref="F2:J2"/>
    <mergeCell ref="B5:D6"/>
    <mergeCell ref="C2:D2"/>
    <mergeCell ref="C3:D3"/>
    <mergeCell ref="F3:J3"/>
    <mergeCell ref="E33:J33"/>
    <mergeCell ref="B7:D7"/>
    <mergeCell ref="I30:J30"/>
    <mergeCell ref="I31:J31"/>
    <mergeCell ref="E5:H5"/>
    <mergeCell ref="I5:J6"/>
    <mergeCell ref="E35:F35"/>
    <mergeCell ref="E36:F36"/>
    <mergeCell ref="G32:J32"/>
    <mergeCell ref="I9:J9"/>
    <mergeCell ref="I7:J7"/>
    <mergeCell ref="I10:J10"/>
    <mergeCell ref="I19:J19"/>
    <mergeCell ref="I21:J21"/>
    <mergeCell ref="I23:J23"/>
    <mergeCell ref="B8:J8"/>
    <mergeCell ref="B9:D9"/>
    <mergeCell ref="B10:D10"/>
    <mergeCell ref="B11:D11"/>
    <mergeCell ref="B12:D12"/>
    <mergeCell ref="B13:D13"/>
    <mergeCell ref="B28:D28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4">
    <cfRule type="expression" dxfId="21" priority="57">
      <formula>$E34="راسب"</formula>
    </cfRule>
  </conditionalFormatting>
  <conditionalFormatting sqref="E34:J34">
    <cfRule type="expression" dxfId="20" priority="60">
      <formula>$E34="جيد جداً"</formula>
    </cfRule>
    <cfRule type="expression" dxfId="19" priority="59">
      <formula>$E34="جيد"</formula>
    </cfRule>
    <cfRule type="expression" dxfId="18" priority="58">
      <formula>$E34="مقبول"</formula>
    </cfRule>
    <cfRule type="expression" dxfId="17" priority="61">
      <formula>$E34="ممتاز"</formula>
    </cfRule>
  </conditionalFormatting>
  <conditionalFormatting sqref="F9:F19">
    <cfRule type="containsText" dxfId="16" priority="4" operator="containsText" text="أدخل العلامة">
      <formula>NOT(ISERROR(SEARCH("أدخل العلامة",F9)))</formula>
    </cfRule>
  </conditionalFormatting>
  <conditionalFormatting sqref="F21 F23:F31">
    <cfRule type="containsText" dxfId="15" priority="14" operator="containsText" text="أدخل العلامة">
      <formula>NOT(ISERROR(SEARCH("أدخل العلامة",F21)))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12" priority="15" operator="containsText" text="أدخل اسم المحكم">
      <formula>NOT(ISERROR(SEARCH("أدخل اسم المحكم",G35)))</formula>
    </cfRule>
  </conditionalFormatting>
  <conditionalFormatting sqref="H9:H1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1 H23:H31">
    <cfRule type="containsText" dxfId="5" priority="38" operator="containsText" text="أدخل العلامة">
      <formula>NOT(ISERROR(SEARCH("أدخل العلامة",H21)))</formula>
    </cfRule>
    <cfRule type="containsText" dxfId="4" priority="39" operator="containsText" text="ممتاز">
      <formula>NOT(ISERROR(SEARCH("ممتاز",H21)))</formula>
    </cfRule>
    <cfRule type="containsText" dxfId="3" priority="40" operator="containsText" text="جيد جداً">
      <formula>NOT(ISERROR(SEARCH("جيد جداً",H21)))</formula>
    </cfRule>
    <cfRule type="containsText" dxfId="2" priority="41" operator="containsText" text="جيد">
      <formula>NOT(ISERROR(SEARCH("جيد",H21)))</formula>
    </cfRule>
    <cfRule type="containsText" dxfId="1" priority="42" operator="containsText" text="مقبول">
      <formula>NOT(ISERROR(SEARCH("مقبول",H21)))</formula>
    </cfRule>
    <cfRule type="containsText" dxfId="0" priority="43" operator="containsText" text="راسب">
      <formula>NOT(ISERROR(SEARCH("راسب",H21)))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F28:F31 F9:F11 F13:F19 F21 F23:F26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G35:J35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2025-10-23T21:09:10Z</dcterms:modified>
</cp:coreProperties>
</file>