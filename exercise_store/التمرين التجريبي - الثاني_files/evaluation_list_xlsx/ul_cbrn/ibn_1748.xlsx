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2FF12878-28EA-4240-A259-E7D68ABA74FE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3" i="2"/>
  <c r="H23" i="2"/>
  <c r="G24" i="2"/>
  <c r="H24" i="2"/>
  <c r="G25" i="2"/>
  <c r="H25" i="2"/>
  <c r="G26" i="2"/>
  <c r="H26" i="2"/>
  <c r="G28" i="2"/>
  <c r="H28" i="2"/>
  <c r="G29" i="2"/>
  <c r="H29" i="2"/>
  <c r="G30" i="2"/>
  <c r="H30" i="2"/>
  <c r="G31" i="2"/>
  <c r="H31" i="2"/>
  <c r="F32" i="2"/>
  <c r="E32" i="2"/>
  <c r="E33" i="2"/>
  <c r="E34" i="2"/>
</calcChain>
</file>

<file path=xl/sharedStrings.xml><?xml version="1.0" encoding="utf-8"?>
<sst xmlns="http://schemas.openxmlformats.org/spreadsheetml/2006/main" count="261" uniqueCount="205">
  <si>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</si>
  <si>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</si>
  <si>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</si>
  <si>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</si>
  <si>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</si>
  <si>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</si>
  <si>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</si>
  <si>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</si>
  <si>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</si>
  <si>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</si>
  <si>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</si>
  <si>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</si>
  <si>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</si>
  <si>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</si>
  <si>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</si>
  <si>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</si>
  <si>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</si>
  <si>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</si>
  <si>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</si>
  <si>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</si>
  <si>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</si>
  <si>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</si>
  <si>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</si>
  <si>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</si>
  <si>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</si>
  <si>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</si>
  <si>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</si>
  <si>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</si>
  <si>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</si>
  <si>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</si>
  <si>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</si>
  <si>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</si>
  <si>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</si>
  <si>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</si>
  <si>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</si>
  <si>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</si>
  <si>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</si>
  <si>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</si>
  <si>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</si>
  <si>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</si>
  <si>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</si>
  <si>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</si>
  <si>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</si>
  <si>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</si>
  <si>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</si>
  <si>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</si>
  <si>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</si>
  <si>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</si>
  <si>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</si>
  <si>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</si>
  <si>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</si>
  <si>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</si>
  <si>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</si>
  <si>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</si>
  <si>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</si>
  <si>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</si>
  <si>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</si>
  <si>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</si>
  <si>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</si>
  <si>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</si>
  <si>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</si>
  <si>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</si>
  <si>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</si>
  <si>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</si>
  <si>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</si>
  <si>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</si>
  <si>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</si>
  <si>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</si>
  <si>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</si>
  <si>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</si>
  <si>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</si>
  <si>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</si>
  <si>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</si>
  <si>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</si>
  <si>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</si>
  <si>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</si>
  <si>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</si>
  <si>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</si>
  <si>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</si>
  <si>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</si>
  <si>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</si>
  <si>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</si>
  <si>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</si>
  <si>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</si>
  <si>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</si>
  <si>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</si>
  <si>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</si>
  <si>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</si>
  <si>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</si>
  <si>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</si>
  <si>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</si>
  <si>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</si>
  <si>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</si>
  <si>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</si>
  <si>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</si>
  <si>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</si>
  <si>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</si>
  <si>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</si>
  <si>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</si>
  <si>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</si>
  <si>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</si>
  <si>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</si>
  <si>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</si>
  <si>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</si>
  <si>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</si>
  <si>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</si>
  <si>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</si>
  <si>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</si>
  <si>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</si>
  <si>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</si>
  <si>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</si>
  <si>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</si>
  <si>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</si>
  <si>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</si>
  <si>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</si>
  <si>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</si>
  <si>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</si>
  <si>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</si>
  <si>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</si>
  <si>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</si>
  <si>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</si>
  <si>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</si>
  <si>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</si>
  <si>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</si>
  <si>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</si>
  <si>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</si>
  <si>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</si>
  <si>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</si>
  <si>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</si>
  <si>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</si>
  <si>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</si>
  <si>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</si>
  <si>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</si>
  <si>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</si>
  <si>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</si>
  <si>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</si>
  <si>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</si>
  <si>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</si>
  <si>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</si>
  <si>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</si>
  <si>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</si>
  <si>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</si>
  <si>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</si>
  <si>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</si>
  <si>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</si>
  <si>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</si>
  <si>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</si>
  <si>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</si>
  <si>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</si>
  <si>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</si>
  <si>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</si>
  <si>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</si>
  <si>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</si>
  <si>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</si>
  <si>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</si>
  <si>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</si>
  <si>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</si>
  <si>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</si>
  <si>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</si>
  <si>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</si>
  <si>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</si>
  <si>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</si>
  <si>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</si>
  <si>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</si>
  <si>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</si>
  <si>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</si>
  <si>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</si>
  <si>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</si>
  <si>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</si>
  <si>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</si>
  <si>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</si>
  <si>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</si>
  <si>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</si>
  <si>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</si>
  <si>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</si>
  <si>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</si>
  <si>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</si>
  <si>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</si>
  <si>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</si>
  <si>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</si>
  <si>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الدفاع الكيميائي في تأمين منطقة التجمع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</si>
  <si>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مرحلة التخطيط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</si>
  <si>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يعمل قائد سرية الدفاع الكيميائي على فهم الموقف باستخدام معدات الاتصال المتوفرة، والخرائط،  وتقارير الموقف، ومصادر المعلومات المتوفرة الأخرى.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</si>
  <si>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الاستطلاع من الخارطة.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</si>
  <si>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الاستطلاع من الأرض إن أمكن.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</si>
  <si>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التخطيط للتأمين الكيميائي لمنطقة التجمع التي يجب أن توفر ما يلي:</t>
    </r>
  </si>
  <si>
    <t>أ. أن تكون خارج مدى مراقبة العدو الأرضية من مواقعه الأمامية.</t>
  </si>
  <si>
    <t>ب. أن تكون محمية ومستورة.</t>
  </si>
  <si>
    <t xml:space="preserve">جـ. أن تكون واسعة بحيث تساعد القوات على الانفتاح والانتشار </t>
  </si>
  <si>
    <t>د. لها مداخل ومخارج جيدة.</t>
  </si>
  <si>
    <t>هـ. أن يتم وضع الإشارات والعلامات فيها بعناية وحذر.</t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</si>
  <si>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تقوم سرية الدفاع الكيميائي بتحديد موقع لكل وحدة في قيادة اللواء في منطقة التجمع.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</si>
  <si>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أولوية العمل وتوفير أعمال الصيانة وإعادة التزويد.</t>
    </r>
  </si>
  <si>
    <t>مرحلة التحضير</t>
  </si>
  <si>
    <t>إجراء التجارب خلال ساعات النهار وفي ظل ظروف الرؤية المحدودة إن أمكن.</t>
  </si>
  <si>
    <t>مرحلة التنفيذ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</si>
  <si>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تحريك سرية الدفاع الكيميائي وتأمين منطقة التجمع حسب الخطة الموضوعة.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</si>
  <si>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تطبق إجراءات الحماية أثناء الحركة.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</si>
  <si>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تنظيم الدخول لمنطقة التجمع وحسب تسلسل بدء الحركة ونظام المسير لكل فصيل ويأخذ كل فصيل قطاع محدد.  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</si>
  <si>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السيطرة على الطرق المؤدية من وإلى منطقة التجمع.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</si>
  <si>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الأعمال التالية في منطقة التجمع حسب الأولوية والأوامر التعبوية المستديمة :</t>
    </r>
  </si>
  <si>
    <t>أ. الدفاع الدائري ودفع نقاط الحراسات والإنذار المبكر.</t>
  </si>
  <si>
    <t>ب. تأكيد تفهم الأوامر وخطة العملية القادمة.</t>
  </si>
  <si>
    <t>جـ. إعادة تزويد الآليات في حال كانت المسافة بعيدة بين منطقة الحشد والتجمع أو كانت الأرض وعرة وساعات تشغيل الآليات طويلة.</t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</si>
  <si>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المكوث في منطقة التجمع أقل وقت ممكن لتنفيذ الواجبات والعمل بشكل متوازي للجميع لتحقيق أقل وقت ممكن في منطقة التجمع.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</si>
</sst>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5" borderId="12" xfId="0" applyFont="1" applyFill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4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24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  <xf numFmtId="0" fontId="3" fillId="6" borderId="25" xfId="0" applyFont="1" applyFill="1" applyBorder="1" applyAlignment="1">
      <alignment vertical="center" wrapText="1" readingOrder="2"/>
    </xf>
    <xf numFmtId="0" fontId="3" fillId="6" borderId="26" xfId="0" applyFont="1" applyFill="1" applyBorder="1" applyAlignment="1">
      <alignment vertical="center" wrapText="1" readingOrder="2"/>
    </xf>
    <xf numFmtId="0" fontId="3" fillId="6" borderId="27" xfId="0" applyFont="1" applyFill="1" applyBorder="1" applyAlignment="1">
      <alignment vertical="center" wrapText="1" readingOrder="2"/>
    </xf>
    <xf numFmtId="0" fontId="12" fillId="5" borderId="24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262191</xdr:colOff>
      <xdr:row>35</xdr:row>
      <xdr:rowOff>108512</xdr:rowOff>
    </xdr:from>
    <xdr:to>
      <xdr:col>8</xdr:col>
      <xdr:colOff>268649</xdr:colOff>
      <xdr:row>35</xdr:row>
      <xdr:rowOff>554552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A896F00B-1A46-B402-00A7-1EAACA82CE39}"/>
                </a:ext>
              </a:extLst>
            </xdr14:cNvPr>
            <xdr14:cNvContentPartPr/>
          </xdr14:nvContentPartPr>
          <xdr14:nvPr macro=""/>
          <xdr14:xfrm>
            <a:off x="10436783007" y="16727040"/>
            <a:ext cx="1322640" cy="44604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A896F00B-1A46-B402-00A7-1EAACA82C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776887" y="16720920"/>
              <a:ext cx="1334880" cy="458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05:01:40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1238,'0'0,"0"0,0 0,0 0,0 0,0 0,0 0,0 0,0 0,0 0,0 0,0 0,0 0,0 0,0 0,19 0,-14 0,9 0,6 0,-16 0,30-19,5 19,-32 0,43 0,27 0,-67 0,57 0,-9 0,-51 0,63 0,-12 0,-51 0,43 0,8 0,-51 0,5 0,27 0,-34 0,9-20,-4 11,-1 18,1-9,-39-19,10 19,0-19,16 17,-14 4,-2-2,17 0,4-19,-21 19,17 0,-15-19,7 9,39 20,-29-30,38 20,-33 0,29 0,4-19,-33 17,29 4,24-21,-51 16,43 6,27-22,-67 16,38-14,29 17,-67 0,38-19,9 19,-49 0,23-19,27 19,-49 0,1-19,28 19,-33 0,10 0,4 0,-17 0,-23-20,-18 20,34 0,-28 0,-6-19,34 16,-67 6,-5-22,65 16,-53-13,-12-4,65 17,-53 6,8-22,47 16,-57-13,9-3,48 16,-38 6,10-23,33 17,-48-13,14 16,32 0,-24-19,12 0,16 16,-33-14,-2-2,31 16,-5 6,12-22,0 16,-20-13,20-4,0 17,0-32,20 16,-18 16,15-14,2-21,-17 32,35-26,39-7,-63 33,71-46,70-5,-133 48,131-59,40 10,-160 49,129-40,108-9,-226 49,203-20,42-10,-242 33,158 12,47-6,-215 0,159 20,-3 18,-161-32,92 7,-8 7,-95-17,76 32,-38-16,-49-16,20 14,-10 2,-16-16,-6 13,-16 3,17-16,4 14,-60 21,51-32,-101 46,-65 6,146-50,-158 41,-46-10,197-33,-163 26,-72 26,228-49,-168 20,-118-9,278-17,-172 13,-29 3,211-16,-114-6,-1 3,130 0,-87 0,15 0,81 0,-67 19,-14-19,82 0,-29 0,-15 0,48 0,-57 20,9-20,49 0,-40 19,-8-19,47 0,-19 19,-48 0,63-15,28-8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6"/>
  <sheetViews>
    <sheetView rightToLeft="1" tabSelected="1" view="pageBreakPreview" topLeftCell="C20" zoomScale="130" zoomScaleNormal="100" zoomScaleSheetLayoutView="130" workbookViewId="0">
      <selection activeCell="G36" sqref="G36:J36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9" t="s">
        <v>180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2">
      <c r="B2" s="9" t="s">
        <v>8</v>
      </c>
      <c r="C2" s="65" t="s">
        <v>13</v>
      </c>
      <c r="D2" s="65"/>
      <c r="E2" s="9" t="s">
        <v>7</v>
      </c>
      <c r="F2" s="60">
        <v>45952</v>
      </c>
      <c r="G2" s="60"/>
      <c r="H2" s="60"/>
      <c r="I2" s="60"/>
      <c r="J2" s="60"/>
    </row>
    <row r="3" spans="1:10" ht="30" customHeight="1" x14ac:dyDescent="0.2">
      <c r="B3" s="9" t="s">
        <v>9</v>
      </c>
      <c r="C3" s="65" t="s">
        <v>71</v>
      </c>
      <c r="D3" s="65"/>
      <c r="E3" s="9" t="s">
        <v>6</v>
      </c>
      <c r="F3" s="65" t="s">
        <v>135</v>
      </c>
      <c r="G3" s="65"/>
      <c r="H3" s="65"/>
      <c r="I3" s="65"/>
      <c r="J3" s="65"/>
    </row>
    <row r="4" spans="1:10" ht="30" customHeight="1" thickBot="1" x14ac:dyDescent="0.25">
      <c r="B4" s="6"/>
      <c r="C4" s="78"/>
      <c r="D4" s="78"/>
      <c r="E4" s="6"/>
      <c r="F4" s="78"/>
      <c r="G4" s="78"/>
      <c r="H4" s="78"/>
      <c r="I4" s="78"/>
      <c r="J4" s="78"/>
    </row>
    <row r="5" spans="1:10" ht="24.95" customHeight="1" x14ac:dyDescent="0.2">
      <c r="A5" s="7"/>
      <c r="B5" s="61" t="s">
        <v>0</v>
      </c>
      <c r="C5" s="62"/>
      <c r="D5" s="62"/>
      <c r="E5" s="72" t="s">
        <v>1</v>
      </c>
      <c r="F5" s="72"/>
      <c r="G5" s="72"/>
      <c r="H5" s="72"/>
      <c r="I5" s="72" t="s">
        <v>2</v>
      </c>
      <c r="J5" s="73"/>
    </row>
    <row r="6" spans="1:10" ht="24.95" customHeight="1" thickBot="1" x14ac:dyDescent="0.25">
      <c r="A6" s="7"/>
      <c r="B6" s="63"/>
      <c r="C6" s="64"/>
      <c r="D6" s="64"/>
      <c r="E6" s="8" t="s">
        <v>3</v>
      </c>
      <c r="F6" s="8" t="s">
        <v>4</v>
      </c>
      <c r="G6" s="8" t="s">
        <v>23</v>
      </c>
      <c r="H6" s="8" t="s">
        <v>24</v>
      </c>
      <c r="I6" s="74"/>
      <c r="J6" s="75"/>
    </row>
    <row r="7" spans="1:10" ht="24.95" customHeight="1" thickBot="1" x14ac:dyDescent="0.25">
      <c r="A7" s="7"/>
      <c r="B7" s="68" t="s">
        <v>21</v>
      </c>
      <c r="C7" s="69"/>
      <c r="D7" s="69"/>
      <c r="E7" s="25" t="s">
        <v>18</v>
      </c>
      <c r="F7" s="25" t="s">
        <v>19</v>
      </c>
      <c r="G7" s="25" t="s">
        <v>22</v>
      </c>
      <c r="H7" s="25" t="s">
        <v>20</v>
      </c>
      <c r="I7" s="76" t="s">
        <v>25</v>
      </c>
      <c r="J7" s="77"/>
    </row>
    <row r="8" spans="1:10" ht="39.950000000000003" customHeight="1" x14ac:dyDescent="0.2">
      <c r="A8" s="7"/>
      <c r="B8" s="37" t="s">
        <v>181</v>
      </c>
      <c r="C8" s="38"/>
      <c r="D8" s="38"/>
      <c r="E8" s="38"/>
      <c r="F8" s="38"/>
      <c r="G8" s="38"/>
      <c r="H8" s="38"/>
      <c r="I8" s="38"/>
      <c r="J8" s="39"/>
    </row>
    <row r="9" spans="1:10" ht="50.25" customHeight="1" x14ac:dyDescent="0.2">
      <c r="A9" s="7"/>
      <c r="B9" s="33" t="s">
        <v>182</v>
      </c>
      <c r="C9" s="34"/>
      <c r="D9" s="34"/>
      <c r="E9" s="29">
        <v>5</v>
      </c>
      <c r="F9" s="23">
        <v>4</v>
      </c>
      <c r="G9" s="27">
        <f>IFERROR(F9/E9,"")</f>
        <v>0.8</v>
      </c>
      <c r="H9" s="28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4"/>
      <c r="J9" s="45"/>
    </row>
    <row r="10" spans="1:10" ht="39.950000000000003" customHeight="1" x14ac:dyDescent="0.2">
      <c r="A10" s="7"/>
      <c r="B10" s="33" t="s">
        <v>183</v>
      </c>
      <c r="C10" s="34"/>
      <c r="D10" s="34"/>
      <c r="E10" s="29">
        <v>5</v>
      </c>
      <c r="F10" s="23">
        <v>4</v>
      </c>
      <c r="G10" s="27">
        <f t="shared" ref="G10:G31" si="0">IFERROR(F10/E10,"")</f>
        <v>0.8</v>
      </c>
      <c r="H10" s="28" t="str">
        <f t="shared" ref="H10:H31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9.950000000000003" customHeight="1" x14ac:dyDescent="0.2">
      <c r="A11" s="7"/>
      <c r="B11" s="33" t="s">
        <v>184</v>
      </c>
      <c r="C11" s="34"/>
      <c r="D11" s="34"/>
      <c r="E11" s="29">
        <v>5</v>
      </c>
      <c r="F11" s="23">
        <v>4</v>
      </c>
      <c r="G11" s="27">
        <f t="shared" si="0"/>
        <v>0.8</v>
      </c>
      <c r="H11" s="28" t="str">
        <f t="shared" si="1"/>
        <v>جيد جداً</v>
      </c>
      <c r="I11" s="44"/>
      <c r="J11" s="45"/>
    </row>
    <row r="12" spans="1:10" ht="39.950000000000003" customHeight="1" x14ac:dyDescent="0.2">
      <c r="A12" s="7"/>
      <c r="B12" s="33" t="s">
        <v>185</v>
      </c>
      <c r="C12" s="34"/>
      <c r="D12" s="34"/>
      <c r="E12" s="29"/>
      <c r="F12" s="23"/>
      <c r="G12" s="27"/>
      <c r="H12" s="28"/>
      <c r="I12" s="44"/>
      <c r="J12" s="45"/>
    </row>
    <row r="13" spans="1:10" ht="39.950000000000003" customHeight="1" x14ac:dyDescent="0.2">
      <c r="A13" s="7"/>
      <c r="B13" s="35" t="s">
        <v>186</v>
      </c>
      <c r="C13" s="36"/>
      <c r="D13" s="36"/>
      <c r="E13" s="29">
        <v>5</v>
      </c>
      <c r="F13" s="23">
        <v>4</v>
      </c>
      <c r="G13" s="27">
        <f t="shared" si="0"/>
        <v>0.8</v>
      </c>
      <c r="H13" s="28" t="str">
        <f t="shared" si="1"/>
        <v>جيد جداً</v>
      </c>
      <c r="I13" s="44"/>
      <c r="J13" s="45"/>
    </row>
    <row r="14" spans="1:10" ht="39.950000000000003" customHeight="1" x14ac:dyDescent="0.2">
      <c r="A14" s="7"/>
      <c r="B14" s="35" t="s">
        <v>187</v>
      </c>
      <c r="C14" s="36"/>
      <c r="D14" s="36"/>
      <c r="E14" s="29">
        <v>5</v>
      </c>
      <c r="F14" s="23">
        <v>4</v>
      </c>
      <c r="G14" s="27">
        <f t="shared" si="0"/>
        <v>0.8</v>
      </c>
      <c r="H14" s="28" t="str">
        <f t="shared" si="1"/>
        <v>جيد جداً</v>
      </c>
      <c r="I14" s="44"/>
      <c r="J14" s="45"/>
    </row>
    <row r="15" spans="1:10" ht="39.950000000000003" customHeight="1" x14ac:dyDescent="0.2">
      <c r="A15" s="7"/>
      <c r="B15" s="35" t="s">
        <v>188</v>
      </c>
      <c r="C15" s="36"/>
      <c r="D15" s="36"/>
      <c r="E15" s="29">
        <v>5</v>
      </c>
      <c r="F15" s="23">
        <v>4</v>
      </c>
      <c r="G15" s="27">
        <f t="shared" si="0"/>
        <v>0.8</v>
      </c>
      <c r="H15" s="28" t="str">
        <f t="shared" si="1"/>
        <v>جيد جداً</v>
      </c>
      <c r="I15" s="44"/>
      <c r="J15" s="45"/>
    </row>
    <row r="16" spans="1:10" ht="39.950000000000003" customHeight="1" x14ac:dyDescent="0.2">
      <c r="A16" s="7"/>
      <c r="B16" s="35" t="s">
        <v>189</v>
      </c>
      <c r="C16" s="36"/>
      <c r="D16" s="36"/>
      <c r="E16" s="29">
        <v>5</v>
      </c>
      <c r="F16" s="23">
        <v>4</v>
      </c>
      <c r="G16" s="27">
        <f t="shared" si="0"/>
        <v>0.8</v>
      </c>
      <c r="H16" s="28" t="str">
        <f t="shared" si="1"/>
        <v>جيد جداً</v>
      </c>
      <c r="I16" s="44"/>
      <c r="J16" s="45"/>
    </row>
    <row r="17" spans="1:10" ht="39.950000000000003" customHeight="1" x14ac:dyDescent="0.2">
      <c r="A17" s="7"/>
      <c r="B17" s="35" t="s">
        <v>190</v>
      </c>
      <c r="C17" s="36"/>
      <c r="D17" s="36"/>
      <c r="E17" s="29">
        <v>5</v>
      </c>
      <c r="F17" s="23">
        <v>3.75</v>
      </c>
      <c r="G17" s="27">
        <f t="shared" si="0"/>
        <v>0.75</v>
      </c>
      <c r="H17" s="28" t="str">
        <f t="shared" si="1"/>
        <v>جيد</v>
      </c>
      <c r="I17" s="44"/>
      <c r="J17" s="45"/>
    </row>
    <row r="18" spans="1:10" ht="39.950000000000003" customHeight="1" x14ac:dyDescent="0.2">
      <c r="A18" s="7"/>
      <c r="B18" s="40" t="s">
        <v>191</v>
      </c>
      <c r="C18" s="41"/>
      <c r="D18" s="41"/>
      <c r="E18" s="29">
        <v>5</v>
      </c>
      <c r="F18" s="23">
        <v>3.75</v>
      </c>
      <c r="G18" s="27">
        <f t="shared" si="0"/>
        <v>0.75</v>
      </c>
      <c r="H18" s="28" t="str">
        <f t="shared" si="1"/>
        <v>جيد</v>
      </c>
      <c r="I18" s="44"/>
      <c r="J18" s="45"/>
    </row>
    <row r="19" spans="1:10" ht="39.950000000000003" customHeight="1" thickBot="1" x14ac:dyDescent="0.25">
      <c r="A19" s="7"/>
      <c r="B19" s="42" t="s">
        <v>192</v>
      </c>
      <c r="C19" s="43"/>
      <c r="D19" s="43"/>
      <c r="E19" s="30">
        <v>5</v>
      </c>
      <c r="F19" s="24">
        <v>3.75</v>
      </c>
      <c r="G19" s="31">
        <f t="shared" si="0"/>
        <v>0.75</v>
      </c>
      <c r="H19" s="32" t="str">
        <f t="shared" si="1"/>
        <v>جيد</v>
      </c>
      <c r="I19" s="70"/>
      <c r="J19" s="71"/>
    </row>
    <row r="20" spans="1:10" ht="39.950000000000003" customHeight="1" x14ac:dyDescent="0.2">
      <c r="A20" s="7"/>
      <c r="B20" s="37" t="s">
        <v>193</v>
      </c>
      <c r="C20" s="38"/>
      <c r="D20" s="38"/>
      <c r="E20" s="38"/>
      <c r="F20" s="38"/>
      <c r="G20" s="38"/>
      <c r="H20" s="38"/>
      <c r="I20" s="38"/>
      <c r="J20" s="39"/>
    </row>
    <row r="21" spans="1:10" ht="39.950000000000003" customHeight="1" thickBot="1" x14ac:dyDescent="0.25">
      <c r="A21" s="7"/>
      <c r="B21" s="42" t="s">
        <v>194</v>
      </c>
      <c r="C21" s="43"/>
      <c r="D21" s="43"/>
      <c r="E21" s="30">
        <v>10</v>
      </c>
      <c r="F21" s="24">
        <v>7.5</v>
      </c>
      <c r="G21" s="31">
        <f t="shared" si="0"/>
        <v>0.75</v>
      </c>
      <c r="H21" s="32" t="str">
        <f t="shared" si="1"/>
        <v>جيد</v>
      </c>
      <c r="I21" s="70"/>
      <c r="J21" s="71"/>
    </row>
    <row r="22" spans="1:10" ht="39.950000000000003" customHeight="1" x14ac:dyDescent="0.2">
      <c r="A22" s="7"/>
      <c r="B22" s="37" t="s">
        <v>195</v>
      </c>
      <c r="C22" s="38"/>
      <c r="D22" s="38"/>
      <c r="E22" s="38"/>
      <c r="F22" s="38"/>
      <c r="G22" s="38"/>
      <c r="H22" s="38"/>
      <c r="I22" s="38"/>
      <c r="J22" s="39"/>
    </row>
    <row r="23" spans="1:10" ht="39.950000000000003" customHeight="1" x14ac:dyDescent="0.2">
      <c r="A23" s="7"/>
      <c r="B23" s="33" t="s">
        <v>196</v>
      </c>
      <c r="C23" s="34"/>
      <c r="D23" s="34"/>
      <c r="E23" s="29">
        <v>5</v>
      </c>
      <c r="F23" s="23">
        <v>4</v>
      </c>
      <c r="G23" s="27">
        <f t="shared" si="0"/>
        <v>0.8</v>
      </c>
      <c r="H23" s="28" t="str">
        <f t="shared" si="1"/>
        <v>جيد جداً</v>
      </c>
      <c r="I23" s="44"/>
      <c r="J23" s="45"/>
    </row>
    <row r="24" spans="1:10" ht="39.950000000000003" customHeight="1" x14ac:dyDescent="0.2">
      <c r="A24" s="7"/>
      <c r="B24" s="33" t="s">
        <v>197</v>
      </c>
      <c r="C24" s="34"/>
      <c r="D24" s="34"/>
      <c r="E24" s="29">
        <v>5</v>
      </c>
      <c r="F24" s="23">
        <v>4</v>
      </c>
      <c r="G24" s="27">
        <f t="shared" si="0"/>
        <v>0.8</v>
      </c>
      <c r="H24" s="28" t="str">
        <f t="shared" si="1"/>
        <v>جيد جداً</v>
      </c>
      <c r="I24" s="44"/>
      <c r="J24" s="45"/>
    </row>
    <row r="25" spans="1:10" ht="39.950000000000003" customHeight="1" x14ac:dyDescent="0.2">
      <c r="A25" s="7"/>
      <c r="B25" s="33" t="s">
        <v>198</v>
      </c>
      <c r="C25" s="34"/>
      <c r="D25" s="34"/>
      <c r="E25" s="29">
        <v>5</v>
      </c>
      <c r="F25" s="23">
        <v>3.75</v>
      </c>
      <c r="G25" s="27">
        <f t="shared" si="0"/>
        <v>0.75</v>
      </c>
      <c r="H25" s="28" t="str">
        <f t="shared" si="1"/>
        <v>جيد</v>
      </c>
      <c r="I25" s="44"/>
      <c r="J25" s="45"/>
    </row>
    <row r="26" spans="1:10" ht="39.950000000000003" customHeight="1" x14ac:dyDescent="0.2">
      <c r="A26" s="7"/>
      <c r="B26" s="33" t="s">
        <v>199</v>
      </c>
      <c r="C26" s="34"/>
      <c r="D26" s="34"/>
      <c r="E26" s="29">
        <v>5</v>
      </c>
      <c r="F26" s="23">
        <v>4</v>
      </c>
      <c r="G26" s="27">
        <f t="shared" si="0"/>
        <v>0.8</v>
      </c>
      <c r="H26" s="28" t="str">
        <f t="shared" si="1"/>
        <v>جيد جداً</v>
      </c>
      <c r="I26" s="44"/>
      <c r="J26" s="45"/>
    </row>
    <row r="27" spans="1:10" ht="39.950000000000003" customHeight="1" x14ac:dyDescent="0.2">
      <c r="A27" s="7"/>
      <c r="B27" s="33" t="s">
        <v>200</v>
      </c>
      <c r="C27" s="34"/>
      <c r="D27" s="34"/>
      <c r="E27" s="29"/>
      <c r="F27" s="23"/>
      <c r="G27" s="27"/>
      <c r="H27" s="28"/>
      <c r="I27" s="44"/>
      <c r="J27" s="45"/>
    </row>
    <row r="28" spans="1:10" ht="39.950000000000003" customHeight="1" x14ac:dyDescent="0.2">
      <c r="A28" s="7"/>
      <c r="B28" s="35" t="s">
        <v>201</v>
      </c>
      <c r="C28" s="36"/>
      <c r="D28" s="36"/>
      <c r="E28" s="29">
        <v>5</v>
      </c>
      <c r="F28" s="23">
        <v>4</v>
      </c>
      <c r="G28" s="27">
        <f t="shared" si="0"/>
        <v>0.8</v>
      </c>
      <c r="H28" s="28" t="str">
        <f t="shared" si="1"/>
        <v>جيد جداً</v>
      </c>
      <c r="I28" s="44"/>
      <c r="J28" s="45"/>
    </row>
    <row r="29" spans="1:10" ht="39.950000000000003" customHeight="1" x14ac:dyDescent="0.2">
      <c r="A29" s="7"/>
      <c r="B29" s="35" t="s">
        <v>202</v>
      </c>
      <c r="C29" s="36"/>
      <c r="D29" s="36"/>
      <c r="E29" s="29">
        <v>5</v>
      </c>
      <c r="F29" s="23">
        <v>3.75</v>
      </c>
      <c r="G29" s="27">
        <f t="shared" si="0"/>
        <v>0.75</v>
      </c>
      <c r="H29" s="28" t="str">
        <f t="shared" si="1"/>
        <v>جيد</v>
      </c>
      <c r="I29" s="44"/>
      <c r="J29" s="45"/>
    </row>
    <row r="30" spans="1:10" ht="39.950000000000003" customHeight="1" x14ac:dyDescent="0.2">
      <c r="A30" s="7"/>
      <c r="B30" s="35" t="s">
        <v>203</v>
      </c>
      <c r="C30" s="36"/>
      <c r="D30" s="36"/>
      <c r="E30" s="29">
        <v>5</v>
      </c>
      <c r="F30" s="23">
        <v>3.75</v>
      </c>
      <c r="G30" s="27">
        <f t="shared" si="0"/>
        <v>0.75</v>
      </c>
      <c r="H30" s="28" t="str">
        <f t="shared" si="1"/>
        <v>جيد</v>
      </c>
      <c r="I30" s="44"/>
      <c r="J30" s="45"/>
    </row>
    <row r="31" spans="1:10" ht="39.950000000000003" customHeight="1" thickBot="1" x14ac:dyDescent="0.25">
      <c r="A31" s="7"/>
      <c r="B31" s="42" t="s">
        <v>204</v>
      </c>
      <c r="C31" s="43"/>
      <c r="D31" s="43"/>
      <c r="E31" s="30">
        <v>5</v>
      </c>
      <c r="F31" s="24">
        <v>4</v>
      </c>
      <c r="G31" s="31">
        <f t="shared" si="0"/>
        <v>0.8</v>
      </c>
      <c r="H31" s="32" t="str">
        <f t="shared" si="1"/>
        <v>جيد جداً</v>
      </c>
      <c r="I31" s="70"/>
      <c r="J31" s="71"/>
    </row>
    <row r="32" spans="1:10" ht="30" customHeight="1" thickBot="1" x14ac:dyDescent="0.25">
      <c r="A32" s="4"/>
      <c r="B32" s="79" t="s">
        <v>5</v>
      </c>
      <c r="C32" s="80"/>
      <c r="D32" s="80"/>
      <c r="E32" s="26">
        <f>SUM(E8:E31)</f>
        <v>100</v>
      </c>
      <c r="F32" s="26">
        <f>SUM(F8:F31)</f>
        <v>78</v>
      </c>
      <c r="G32" s="56"/>
      <c r="H32" s="57"/>
      <c r="I32" s="57"/>
      <c r="J32" s="58"/>
    </row>
    <row r="33" spans="1:10" ht="30" customHeight="1" thickBot="1" x14ac:dyDescent="0.25">
      <c r="A33" s="4"/>
      <c r="B33" s="53" t="s">
        <v>54</v>
      </c>
      <c r="C33" s="54"/>
      <c r="D33" s="54"/>
      <c r="E33" s="66">
        <f>F32/E32/100*100</f>
        <v>0.78</v>
      </c>
      <c r="F33" s="66"/>
      <c r="G33" s="66"/>
      <c r="H33" s="66"/>
      <c r="I33" s="66"/>
      <c r="J33" s="67"/>
    </row>
    <row r="34" spans="1:10" ht="30" customHeight="1" thickBot="1" x14ac:dyDescent="0.25">
      <c r="A34" s="4"/>
      <c r="B34" s="53" t="s">
        <v>55</v>
      </c>
      <c r="C34" s="54"/>
      <c r="D34" s="54"/>
      <c r="E34" s="51" t="str">
        <f>_xlfn.IFS(E33&gt;=90%,"ممتاز",E33&gt;=80%,"جيد جداً",E33&gt;=70%,"جيد",E33&gt;=60%,"مقبول",E33&lt;60%,"راسب")</f>
        <v>جيد</v>
      </c>
      <c r="F34" s="51"/>
      <c r="G34" s="51"/>
      <c r="H34" s="51"/>
      <c r="I34" s="51"/>
      <c r="J34" s="52"/>
    </row>
    <row r="35" spans="1:10" ht="42" customHeight="1" x14ac:dyDescent="0.2">
      <c r="B35" s="47" t="s">
        <v>174</v>
      </c>
      <c r="C35" s="47"/>
      <c r="D35" s="47"/>
      <c r="E35" s="46" t="s">
        <v>52</v>
      </c>
      <c r="F35" s="46"/>
      <c r="G35" s="49" t="s">
        <v>135</v>
      </c>
      <c r="H35" s="49"/>
      <c r="I35" s="49"/>
      <c r="J35" s="49"/>
    </row>
    <row r="36" spans="1:10" ht="51" customHeight="1" x14ac:dyDescent="0.2">
      <c r="A36" s="5"/>
      <c r="B36" s="48"/>
      <c r="C36" s="48"/>
      <c r="D36" s="48"/>
      <c r="E36" s="55" t="s">
        <v>53</v>
      </c>
      <c r="F36" s="55"/>
      <c r="G36" s="50"/>
      <c r="H36" s="50"/>
      <c r="I36" s="50"/>
      <c r="J36" s="5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8">
    <mergeCell ref="B7:D7"/>
    <mergeCell ref="I30:J30"/>
    <mergeCell ref="I31:J31"/>
    <mergeCell ref="E5:H5"/>
    <mergeCell ref="I5:J6"/>
    <mergeCell ref="I7:J7"/>
    <mergeCell ref="I10:J10"/>
    <mergeCell ref="I26:J26"/>
    <mergeCell ref="I27:J27"/>
    <mergeCell ref="I16:J16"/>
    <mergeCell ref="I17:J17"/>
    <mergeCell ref="I18:J18"/>
    <mergeCell ref="I28:J28"/>
    <mergeCell ref="I29:J29"/>
    <mergeCell ref="I19:J19"/>
    <mergeCell ref="I21:J21"/>
    <mergeCell ref="B1:J1"/>
    <mergeCell ref="F2:J2"/>
    <mergeCell ref="B5:D6"/>
    <mergeCell ref="C2:D2"/>
    <mergeCell ref="C3:D3"/>
    <mergeCell ref="F3:J3"/>
    <mergeCell ref="F4:J4"/>
    <mergeCell ref="C4:D4"/>
    <mergeCell ref="B33:D33"/>
    <mergeCell ref="B34:D34"/>
    <mergeCell ref="I11:J11"/>
    <mergeCell ref="I12:J12"/>
    <mergeCell ref="I13:J13"/>
    <mergeCell ref="I14:J14"/>
    <mergeCell ref="I15:J15"/>
    <mergeCell ref="B31:D31"/>
    <mergeCell ref="G32:J32"/>
    <mergeCell ref="E33:J33"/>
    <mergeCell ref="B32:D32"/>
    <mergeCell ref="I23:J23"/>
    <mergeCell ref="I24:J24"/>
    <mergeCell ref="I25:J25"/>
    <mergeCell ref="B14:D14"/>
    <mergeCell ref="E35:F35"/>
    <mergeCell ref="B35:D36"/>
    <mergeCell ref="G35:J35"/>
    <mergeCell ref="G36:J36"/>
    <mergeCell ref="E34:J34"/>
    <mergeCell ref="E36:F36"/>
    <mergeCell ref="B8:J8"/>
    <mergeCell ref="B20:J20"/>
    <mergeCell ref="B17:D17"/>
    <mergeCell ref="B18:D18"/>
    <mergeCell ref="B19:D19"/>
    <mergeCell ref="B15:D15"/>
    <mergeCell ref="B16:D16"/>
    <mergeCell ref="I9:J9"/>
    <mergeCell ref="B23:D23"/>
    <mergeCell ref="B24:D24"/>
    <mergeCell ref="B25:D25"/>
    <mergeCell ref="B9:D9"/>
    <mergeCell ref="B10:D10"/>
    <mergeCell ref="B11:D11"/>
    <mergeCell ref="B12:D12"/>
    <mergeCell ref="B13:D13"/>
    <mergeCell ref="B22:J22"/>
    <mergeCell ref="B21:D21"/>
    <mergeCell ref="B26:D26"/>
    <mergeCell ref="B27:D27"/>
    <mergeCell ref="B28:D28"/>
    <mergeCell ref="B29:D29"/>
    <mergeCell ref="B30:D3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4">
    <cfRule type="expression" dxfId="21" priority="57">
      <formula>$E34="راسب"</formula>
    </cfRule>
  </conditionalFormatting>
  <conditionalFormatting sqref="E34:J34">
    <cfRule type="expression" dxfId="20" priority="60">
      <formula>$E34="جيد جداً"</formula>
    </cfRule>
    <cfRule type="expression" dxfId="19" priority="59">
      <formula>$E34="جيد"</formula>
    </cfRule>
    <cfRule type="expression" dxfId="18" priority="58">
      <formula>$E34="مقبول"</formula>
    </cfRule>
    <cfRule type="expression" dxfId="17" priority="61">
      <formula>$E34="ممتاز"</formula>
    </cfRule>
  </conditionalFormatting>
  <conditionalFormatting sqref="F9:F19">
    <cfRule type="containsText" dxfId="16" priority="4" operator="containsText" text="أدخل العلامة">
      <formula>NOT(ISERROR(SEARCH("أدخل العلامة",F9)))</formula>
    </cfRule>
  </conditionalFormatting>
  <conditionalFormatting sqref="F21 F23:F31">
    <cfRule type="containsText" dxfId="15" priority="14" operator="containsText" text="أدخل العلامة">
      <formula>NOT(ISERROR(SEARCH("أدخل العلامة",F21)))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5:J35">
    <cfRule type="containsText" dxfId="12" priority="15" operator="containsText" text="أدخل اسم المحكم">
      <formula>NOT(ISERROR(SEARCH("أدخل اسم المحكم",G35)))</formula>
    </cfRule>
  </conditionalFormatting>
  <conditionalFormatting sqref="H9:H19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1 H23:H31">
    <cfRule type="containsText" dxfId="5" priority="38" operator="containsText" text="أدخل العلامة">
      <formula>NOT(ISERROR(SEARCH("أدخل العلامة",H21)))</formula>
    </cfRule>
    <cfRule type="containsText" dxfId="4" priority="39" operator="containsText" text="ممتاز">
      <formula>NOT(ISERROR(SEARCH("ممتاز",H21)))</formula>
    </cfRule>
    <cfRule type="containsText" dxfId="3" priority="40" operator="containsText" text="جيد جداً">
      <formula>NOT(ISERROR(SEARCH("جيد جداً",H21)))</formula>
    </cfRule>
    <cfRule type="containsText" dxfId="2" priority="41" operator="containsText" text="جيد">
      <formula>NOT(ISERROR(SEARCH("جيد",H21)))</formula>
    </cfRule>
    <cfRule type="containsText" dxfId="1" priority="42" operator="containsText" text="مقبول">
      <formula>NOT(ISERROR(SEARCH("مقبول",H21)))</formula>
    </cfRule>
    <cfRule type="containsText" dxfId="0" priority="43" operator="containsText" text="راسب">
      <formula>NOT(ISERROR(SEARCH("راسب",H21)))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F28:F31 F23:F26 F9:F11 F13:F19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G35:J35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95F67342-F82A-4CCA-95D0-68AE9C645C91}">
          <x14:formula1>
            <xm:f>'بيانات التقييم'!$A$111:$A$153</xm:f>
          </x14:formula1>
          <xm:sqref>F21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51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6" t="s">
        <v>62</v>
      </c>
    </row>
    <row r="3" spans="1:3" ht="20.100000000000001" customHeight="1" thickBot="1" x14ac:dyDescent="0.3">
      <c r="A3" s="2" t="s">
        <v>26</v>
      </c>
      <c r="C3" s="16" t="s">
        <v>63</v>
      </c>
    </row>
    <row r="4" spans="1:3" ht="20.100000000000001" customHeight="1" thickBot="1" x14ac:dyDescent="0.3">
      <c r="A4" s="2" t="s">
        <v>36</v>
      </c>
      <c r="C4" s="16" t="s">
        <v>64</v>
      </c>
    </row>
    <row r="5" spans="1:3" ht="20.100000000000001" customHeight="1" thickBot="1" x14ac:dyDescent="0.3">
      <c r="A5" s="2" t="s">
        <v>37</v>
      </c>
      <c r="C5" s="16" t="s">
        <v>65</v>
      </c>
    </row>
    <row r="6" spans="1:3" ht="20.100000000000001" customHeight="1" thickBot="1" x14ac:dyDescent="0.3">
      <c r="A6" s="2" t="s">
        <v>38</v>
      </c>
      <c r="C6" s="16" t="s">
        <v>66</v>
      </c>
    </row>
    <row r="7" spans="1:3" ht="20.100000000000001" customHeight="1" thickBot="1" x14ac:dyDescent="0.3">
      <c r="A7" s="2" t="s">
        <v>39</v>
      </c>
      <c r="C7" s="16" t="s">
        <v>67</v>
      </c>
    </row>
    <row r="8" spans="1:3" ht="20.100000000000001" customHeight="1" thickBot="1" x14ac:dyDescent="0.3">
      <c r="A8" s="2" t="s">
        <v>40</v>
      </c>
      <c r="C8" s="16" t="s">
        <v>68</v>
      </c>
    </row>
    <row r="9" spans="1:3" ht="20.100000000000001" customHeight="1" thickBot="1" x14ac:dyDescent="0.3">
      <c r="A9" s="2" t="s">
        <v>41</v>
      </c>
      <c r="C9" s="16" t="s">
        <v>69</v>
      </c>
    </row>
    <row r="10" spans="1:3" ht="20.100000000000001" customHeight="1" thickBot="1" x14ac:dyDescent="0.3">
      <c r="A10" s="2" t="s">
        <v>42</v>
      </c>
      <c r="C10" s="16" t="s">
        <v>70</v>
      </c>
    </row>
    <row r="11" spans="1:3" ht="20.100000000000001" customHeight="1" thickBot="1" x14ac:dyDescent="0.3">
      <c r="A11" s="2" t="s">
        <v>43</v>
      </c>
      <c r="C11" s="16" t="s">
        <v>71</v>
      </c>
    </row>
    <row r="12" spans="1:3" ht="20.100000000000001" customHeight="1" thickBot="1" x14ac:dyDescent="0.3">
      <c r="A12" s="2" t="s">
        <v>44</v>
      </c>
      <c r="C12" s="16" t="s">
        <v>72</v>
      </c>
    </row>
    <row r="13" spans="1:3" ht="20.100000000000001" customHeight="1" thickBot="1" x14ac:dyDescent="0.3">
      <c r="A13" s="2" t="s">
        <v>45</v>
      </c>
      <c r="C13" s="16" t="s">
        <v>73</v>
      </c>
    </row>
    <row r="14" spans="1:3" ht="20.100000000000001" customHeight="1" thickBot="1" x14ac:dyDescent="0.3">
      <c r="A14" s="2" t="s">
        <v>46</v>
      </c>
      <c r="C14" s="16" t="s">
        <v>74</v>
      </c>
    </row>
    <row r="15" spans="1:3" ht="20.100000000000001" customHeight="1" thickBot="1" x14ac:dyDescent="0.3">
      <c r="A15" s="2" t="s">
        <v>47</v>
      </c>
      <c r="C15" s="16" t="s">
        <v>75</v>
      </c>
    </row>
    <row r="16" spans="1:3" ht="20.100000000000001" customHeight="1" thickBot="1" x14ac:dyDescent="0.3">
      <c r="A16" s="2" t="s">
        <v>10</v>
      </c>
      <c r="C16" s="16" t="s">
        <v>76</v>
      </c>
    </row>
    <row r="17" spans="1:3" ht="20.100000000000001" customHeight="1" thickBot="1" x14ac:dyDescent="0.3">
      <c r="A17" s="2" t="s">
        <v>27</v>
      </c>
      <c r="C17" s="16" t="s">
        <v>77</v>
      </c>
    </row>
    <row r="18" spans="1:3" ht="20.100000000000001" customHeight="1" thickBot="1" x14ac:dyDescent="0.3">
      <c r="A18" s="2" t="s">
        <v>48</v>
      </c>
      <c r="C18" s="16" t="s">
        <v>78</v>
      </c>
    </row>
    <row r="19" spans="1:3" ht="20.100000000000001" customHeight="1" thickBot="1" x14ac:dyDescent="0.3">
      <c r="A19" s="2" t="s">
        <v>49</v>
      </c>
      <c r="C19" s="16" t="s">
        <v>79</v>
      </c>
    </row>
    <row r="20" spans="1:3" ht="20.100000000000001" customHeight="1" thickBot="1" x14ac:dyDescent="0.3">
      <c r="A20" s="2" t="s">
        <v>50</v>
      </c>
      <c r="C20" s="16" t="s">
        <v>80</v>
      </c>
    </row>
    <row r="21" spans="1:3" ht="20.100000000000001" customHeight="1" thickBot="1" x14ac:dyDescent="0.3">
      <c r="A21" s="2" t="s">
        <v>51</v>
      </c>
      <c r="C21" s="16" t="s">
        <v>81</v>
      </c>
    </row>
    <row r="22" spans="1:3" ht="20.100000000000001" customHeight="1" thickBot="1" x14ac:dyDescent="0.3">
      <c r="A22" s="2" t="s">
        <v>11</v>
      </c>
      <c r="C22" s="16" t="s">
        <v>82</v>
      </c>
    </row>
    <row r="23" spans="1:3" ht="20.100000000000001" customHeight="1" thickBot="1" x14ac:dyDescent="0.3">
      <c r="A23" s="2" t="s">
        <v>12</v>
      </c>
      <c r="C23" s="16" t="s">
        <v>83</v>
      </c>
    </row>
    <row r="24" spans="1:3" ht="20.100000000000001" customHeight="1" thickBot="1" x14ac:dyDescent="0.3">
      <c r="A24" s="2" t="s">
        <v>15</v>
      </c>
      <c r="C24" s="16" t="s">
        <v>84</v>
      </c>
    </row>
    <row r="25" spans="1:3" ht="20.100000000000001" customHeight="1" thickBot="1" x14ac:dyDescent="0.3">
      <c r="A25" s="2" t="s">
        <v>28</v>
      </c>
      <c r="C25" s="16" t="s">
        <v>85</v>
      </c>
    </row>
    <row r="26" spans="1:3" ht="20.100000000000001" customHeight="1" thickBot="1" x14ac:dyDescent="0.3">
      <c r="A26" s="2" t="s">
        <v>29</v>
      </c>
      <c r="C26" s="16" t="s">
        <v>86</v>
      </c>
    </row>
    <row r="27" spans="1:3" ht="20.100000000000001" customHeight="1" thickBot="1" x14ac:dyDescent="0.3">
      <c r="A27" s="2" t="s">
        <v>13</v>
      </c>
      <c r="C27" s="16" t="s">
        <v>87</v>
      </c>
    </row>
    <row r="28" spans="1:3" ht="20.100000000000001" customHeight="1" thickBot="1" x14ac:dyDescent="0.3">
      <c r="A28" s="2" t="s">
        <v>30</v>
      </c>
      <c r="C28" s="16" t="s">
        <v>88</v>
      </c>
    </row>
    <row r="29" spans="1:3" ht="20.100000000000001" customHeight="1" thickBot="1" x14ac:dyDescent="0.3">
      <c r="A29" s="2" t="s">
        <v>31</v>
      </c>
      <c r="C29" s="16" t="s">
        <v>177</v>
      </c>
    </row>
    <row r="30" spans="1:3" ht="20.100000000000001" customHeight="1" thickBot="1" x14ac:dyDescent="0.3">
      <c r="A30" s="2" t="s">
        <v>32</v>
      </c>
      <c r="C30" s="16" t="s">
        <v>178</v>
      </c>
    </row>
    <row r="31" spans="1:3" ht="20.100000000000001" customHeight="1" thickBot="1" x14ac:dyDescent="0.3">
      <c r="A31" s="2" t="s">
        <v>33</v>
      </c>
      <c r="C31" s="16" t="s">
        <v>179</v>
      </c>
    </row>
    <row r="32" spans="1:3" ht="20.100000000000001" customHeight="1" thickBot="1" x14ac:dyDescent="0.3">
      <c r="A32" s="2" t="s">
        <v>16</v>
      </c>
      <c r="C32" s="16"/>
    </row>
    <row r="33" spans="1:9" ht="20.100000000000001" customHeight="1" thickBot="1" x14ac:dyDescent="0.3">
      <c r="A33" s="2" t="s">
        <v>14</v>
      </c>
      <c r="C33" s="16"/>
    </row>
    <row r="34" spans="1:9" ht="20.100000000000001" customHeight="1" thickBot="1" x14ac:dyDescent="0.3">
      <c r="A34" s="2" t="s">
        <v>34</v>
      </c>
      <c r="C34" s="16"/>
    </row>
    <row r="35" spans="1:9" ht="20.100000000000001" customHeight="1" x14ac:dyDescent="0.2">
      <c r="A35" s="15"/>
    </row>
    <row r="36" spans="1:9" s="14" customFormat="1" ht="20.100000000000001" customHeight="1" x14ac:dyDescent="0.2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0">
        <v>45931</v>
      </c>
    </row>
    <row r="40" spans="1:9" ht="20.100000000000001" customHeight="1" thickBot="1" x14ac:dyDescent="0.3">
      <c r="A40" s="10">
        <v>45932</v>
      </c>
    </row>
    <row r="41" spans="1:9" ht="20.100000000000001" customHeight="1" thickBot="1" x14ac:dyDescent="0.3">
      <c r="A41" s="10">
        <v>45933</v>
      </c>
    </row>
    <row r="42" spans="1:9" ht="20.100000000000001" customHeight="1" thickBot="1" x14ac:dyDescent="0.3">
      <c r="A42" s="10">
        <v>45934</v>
      </c>
    </row>
    <row r="43" spans="1:9" ht="20.100000000000001" customHeight="1" thickBot="1" x14ac:dyDescent="0.3">
      <c r="A43" s="10">
        <v>45935</v>
      </c>
    </row>
    <row r="44" spans="1:9" ht="20.100000000000001" customHeight="1" thickBot="1" x14ac:dyDescent="0.3">
      <c r="A44" s="10">
        <v>45936</v>
      </c>
    </row>
    <row r="45" spans="1:9" ht="20.100000000000001" customHeight="1" thickBot="1" x14ac:dyDescent="0.3">
      <c r="A45" s="10">
        <v>45937</v>
      </c>
    </row>
    <row r="46" spans="1:9" ht="20.100000000000001" customHeight="1" thickBot="1" x14ac:dyDescent="0.3">
      <c r="A46" s="10">
        <v>45938</v>
      </c>
    </row>
    <row r="47" spans="1:9" ht="20.100000000000001" customHeight="1" thickBot="1" x14ac:dyDescent="0.3">
      <c r="A47" s="10">
        <v>45939</v>
      </c>
    </row>
    <row r="48" spans="1:9" ht="20.100000000000001" customHeight="1" thickBot="1" x14ac:dyDescent="0.3">
      <c r="A48" s="10">
        <v>45940</v>
      </c>
    </row>
    <row r="49" spans="1:1" ht="20.100000000000001" customHeight="1" thickBot="1" x14ac:dyDescent="0.3">
      <c r="A49" s="10">
        <v>45941</v>
      </c>
    </row>
    <row r="50" spans="1:1" ht="20.100000000000001" customHeight="1" thickBot="1" x14ac:dyDescent="0.3">
      <c r="A50" s="10">
        <v>45942</v>
      </c>
    </row>
    <row r="51" spans="1:1" ht="20.100000000000001" customHeight="1" thickBot="1" x14ac:dyDescent="0.3">
      <c r="A51" s="10">
        <v>45943</v>
      </c>
    </row>
    <row r="52" spans="1:1" ht="20.100000000000001" customHeight="1" thickBot="1" x14ac:dyDescent="0.3">
      <c r="A52" s="10">
        <v>45944</v>
      </c>
    </row>
    <row r="53" spans="1:1" ht="20.100000000000001" customHeight="1" thickBot="1" x14ac:dyDescent="0.3">
      <c r="A53" s="10">
        <v>45945</v>
      </c>
    </row>
    <row r="54" spans="1:1" ht="20.100000000000001" customHeight="1" thickBot="1" x14ac:dyDescent="0.3">
      <c r="A54" s="10">
        <v>45946</v>
      </c>
    </row>
    <row r="55" spans="1:1" ht="20.100000000000001" customHeight="1" thickBot="1" x14ac:dyDescent="0.3">
      <c r="A55" s="10">
        <v>45947</v>
      </c>
    </row>
    <row r="56" spans="1:1" ht="20.100000000000001" customHeight="1" thickBot="1" x14ac:dyDescent="0.3">
      <c r="A56" s="10">
        <v>45948</v>
      </c>
    </row>
    <row r="57" spans="1:1" ht="20.100000000000001" customHeight="1" thickBot="1" x14ac:dyDescent="0.3">
      <c r="A57" s="10">
        <v>45949</v>
      </c>
    </row>
    <row r="58" spans="1:1" ht="20.100000000000001" customHeight="1" thickBot="1" x14ac:dyDescent="0.3">
      <c r="A58" s="10">
        <v>45950</v>
      </c>
    </row>
    <row r="59" spans="1:1" ht="20.100000000000001" customHeight="1" thickBot="1" x14ac:dyDescent="0.3">
      <c r="A59" s="10">
        <v>45951</v>
      </c>
    </row>
    <row r="60" spans="1:1" ht="20.100000000000001" customHeight="1" thickBot="1" x14ac:dyDescent="0.3">
      <c r="A60" s="10">
        <v>45952</v>
      </c>
    </row>
    <row r="61" spans="1:1" ht="20.100000000000001" customHeight="1" thickBot="1" x14ac:dyDescent="0.3">
      <c r="A61" s="10">
        <v>45953</v>
      </c>
    </row>
    <row r="62" spans="1:1" ht="20.100000000000001" customHeight="1" thickBot="1" x14ac:dyDescent="0.3">
      <c r="A62" s="10">
        <v>45954</v>
      </c>
    </row>
    <row r="63" spans="1:1" ht="20.100000000000001" customHeight="1" thickBot="1" x14ac:dyDescent="0.3">
      <c r="A63" s="10">
        <v>45955</v>
      </c>
    </row>
    <row r="64" spans="1:1" ht="20.100000000000001" customHeight="1" thickBot="1" x14ac:dyDescent="0.3">
      <c r="A64" s="10">
        <v>45956</v>
      </c>
    </row>
    <row r="65" spans="1:1" ht="20.100000000000001" customHeight="1" thickBot="1" x14ac:dyDescent="0.3">
      <c r="A65" s="10">
        <v>45957</v>
      </c>
    </row>
    <row r="66" spans="1:1" ht="20.100000000000001" customHeight="1" thickBot="1" x14ac:dyDescent="0.3">
      <c r="A66" s="10">
        <v>45958</v>
      </c>
    </row>
    <row r="67" spans="1:1" ht="20.100000000000001" customHeight="1" thickBot="1" x14ac:dyDescent="0.3">
      <c r="A67" s="10">
        <v>45959</v>
      </c>
    </row>
    <row r="68" spans="1:1" ht="20.100000000000001" customHeight="1" thickBot="1" x14ac:dyDescent="0.3">
      <c r="A68" s="10">
        <v>45960</v>
      </c>
    </row>
    <row r="69" spans="1:1" ht="20.100000000000001" customHeight="1" thickBot="1" x14ac:dyDescent="0.3">
      <c r="A69" s="10">
        <v>45961</v>
      </c>
    </row>
    <row r="70" spans="1:1" ht="20.100000000000001" customHeight="1" thickBot="1" x14ac:dyDescent="0.25">
      <c r="A70" s="10"/>
    </row>
    <row r="71" spans="1:1" ht="20.100000000000001" customHeight="1" thickBot="1" x14ac:dyDescent="0.25">
      <c r="A71" s="10"/>
    </row>
    <row r="72" spans="1:1" ht="20.100000000000001" customHeight="1" thickBot="1" x14ac:dyDescent="0.25">
      <c r="A72" s="10"/>
    </row>
    <row r="73" spans="1:1" ht="20.100000000000001" customHeight="1" thickBot="1" x14ac:dyDescent="0.25">
      <c r="A73" s="10"/>
    </row>
    <row r="74" spans="1:1" ht="20.100000000000001" customHeight="1" thickBot="1" x14ac:dyDescent="0.25">
      <c r="A74" s="10"/>
    </row>
    <row r="75" spans="1:1" ht="20.100000000000001" customHeight="1" thickBot="1" x14ac:dyDescent="0.25">
      <c r="A75" s="10"/>
    </row>
    <row r="76" spans="1:1" ht="20.100000000000001" customHeight="1" thickBot="1" x14ac:dyDescent="0.25">
      <c r="A76" s="10"/>
    </row>
    <row r="77" spans="1:1" ht="20.100000000000001" customHeight="1" thickBot="1" x14ac:dyDescent="0.25">
      <c r="A77" s="10"/>
    </row>
    <row r="78" spans="1:1" ht="20.100000000000001" customHeight="1" thickBot="1" x14ac:dyDescent="0.25">
      <c r="A78" s="10"/>
    </row>
    <row r="79" spans="1:1" ht="20.100000000000001" customHeight="1" thickBot="1" x14ac:dyDescent="0.25">
      <c r="A79" s="10"/>
    </row>
    <row r="80" spans="1:1" ht="20.100000000000001" customHeight="1" thickBot="1" x14ac:dyDescent="0.25">
      <c r="A80" s="10"/>
    </row>
    <row r="81" spans="1:1" ht="20.100000000000001" customHeight="1" thickBot="1" x14ac:dyDescent="0.25">
      <c r="A81" s="10"/>
    </row>
    <row r="82" spans="1:1" ht="20.100000000000001" customHeight="1" thickBot="1" x14ac:dyDescent="0.25">
      <c r="A82" s="10"/>
    </row>
    <row r="83" spans="1:1" ht="20.100000000000001" customHeight="1" thickBot="1" x14ac:dyDescent="0.25">
      <c r="A83" s="10"/>
    </row>
    <row r="84" spans="1:1" ht="20.100000000000001" customHeight="1" thickBot="1" x14ac:dyDescent="0.25">
      <c r="A84" s="10"/>
    </row>
    <row r="85" spans="1:1" ht="20.100000000000001" customHeight="1" thickBot="1" x14ac:dyDescent="0.25">
      <c r="A85" s="10"/>
    </row>
    <row r="86" spans="1:1" ht="20.100000000000001" customHeight="1" thickBot="1" x14ac:dyDescent="0.25">
      <c r="A86" s="10"/>
    </row>
    <row r="87" spans="1:1" ht="20.100000000000001" customHeight="1" thickBot="1" x14ac:dyDescent="0.25">
      <c r="A87" s="10"/>
    </row>
    <row r="88" spans="1:1" ht="20.100000000000001" customHeight="1" thickBot="1" x14ac:dyDescent="0.25">
      <c r="A88" s="10"/>
    </row>
    <row r="89" spans="1:1" ht="20.100000000000001" customHeight="1" thickBot="1" x14ac:dyDescent="0.25">
      <c r="A89" s="10"/>
    </row>
    <row r="90" spans="1:1" ht="20.100000000000001" customHeight="1" thickBot="1" x14ac:dyDescent="0.25">
      <c r="A90" s="10"/>
    </row>
    <row r="91" spans="1:1" ht="20.100000000000001" customHeight="1" thickBot="1" x14ac:dyDescent="0.25">
      <c r="A91" s="10"/>
    </row>
    <row r="92" spans="1:1" ht="20.100000000000001" customHeight="1" thickBot="1" x14ac:dyDescent="0.25">
      <c r="A92" s="10"/>
    </row>
    <row r="93" spans="1:1" ht="20.100000000000001" customHeight="1" thickBot="1" x14ac:dyDescent="0.25">
      <c r="A93" s="10"/>
    </row>
    <row r="94" spans="1:1" ht="20.100000000000001" customHeight="1" thickBot="1" x14ac:dyDescent="0.25">
      <c r="A94" s="10"/>
    </row>
    <row r="95" spans="1:1" ht="20.100000000000001" customHeight="1" thickBot="1" x14ac:dyDescent="0.25">
      <c r="A95" s="10"/>
    </row>
    <row r="96" spans="1:1" ht="20.100000000000001" customHeight="1" thickBot="1" x14ac:dyDescent="0.25">
      <c r="A96" s="10"/>
    </row>
    <row r="97" spans="1:9" ht="20.100000000000001" customHeight="1" thickBot="1" x14ac:dyDescent="0.25">
      <c r="A97" s="10"/>
    </row>
    <row r="98" spans="1:9" ht="20.100000000000001" customHeight="1" thickBot="1" x14ac:dyDescent="0.25">
      <c r="A98" s="10"/>
    </row>
    <row r="99" spans="1:9" ht="20.100000000000001" customHeight="1" thickBot="1" x14ac:dyDescent="0.25">
      <c r="A99" s="10"/>
    </row>
    <row r="100" spans="1:9" ht="20.100000000000001" customHeight="1" thickBot="1" x14ac:dyDescent="0.25">
      <c r="A100" s="10"/>
    </row>
    <row r="101" spans="1:9" ht="20.100000000000001" customHeight="1" thickBot="1" x14ac:dyDescent="0.25">
      <c r="A101" s="10"/>
    </row>
    <row r="102" spans="1:9" ht="20.100000000000001" customHeight="1" thickBot="1" x14ac:dyDescent="0.25">
      <c r="A102" s="10"/>
    </row>
    <row r="103" spans="1:9" ht="20.100000000000001" customHeight="1" thickBot="1" x14ac:dyDescent="0.25">
      <c r="A103" s="10"/>
    </row>
    <row r="104" spans="1:9" ht="20.100000000000001" customHeight="1" thickBot="1" x14ac:dyDescent="0.25">
      <c r="A104" s="10"/>
    </row>
    <row r="105" spans="1:9" ht="20.100000000000001" customHeight="1" thickBot="1" x14ac:dyDescent="0.25">
      <c r="A105" s="10"/>
    </row>
    <row r="106" spans="1:9" ht="20.100000000000001" customHeight="1" thickBot="1" x14ac:dyDescent="0.25">
      <c r="A106" s="10"/>
    </row>
    <row r="107" spans="1:9" ht="20.100000000000001" customHeight="1" x14ac:dyDescent="0.2">
      <c r="A107" s="11"/>
    </row>
    <row r="108" spans="1:9" ht="20.100000000000001" customHeight="1" x14ac:dyDescent="0.2">
      <c r="A108" s="11"/>
    </row>
    <row r="109" spans="1:9" s="14" customFormat="1" ht="20.100000000000001" customHeight="1" x14ac:dyDescent="0.2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7" t="s">
        <v>89</v>
      </c>
    </row>
    <row r="200" spans="1:1" ht="20.100000000000001" customHeight="1" x14ac:dyDescent="0.2">
      <c r="A200" s="17" t="s">
        <v>90</v>
      </c>
    </row>
    <row r="201" spans="1:1" ht="20.100000000000001" customHeight="1" x14ac:dyDescent="0.2">
      <c r="A201" s="17" t="s">
        <v>91</v>
      </c>
    </row>
    <row r="202" spans="1:1" ht="20.100000000000001" customHeight="1" x14ac:dyDescent="0.2">
      <c r="A202" s="17" t="s">
        <v>92</v>
      </c>
    </row>
    <row r="203" spans="1:1" ht="20.100000000000001" customHeight="1" x14ac:dyDescent="0.2">
      <c r="A203" s="17" t="s">
        <v>93</v>
      </c>
    </row>
    <row r="204" spans="1:1" ht="20.100000000000001" customHeight="1" x14ac:dyDescent="0.2">
      <c r="A204" s="17" t="s">
        <v>94</v>
      </c>
    </row>
    <row r="205" spans="1:1" ht="20.100000000000001" customHeight="1" x14ac:dyDescent="0.2">
      <c r="A205" s="17" t="s">
        <v>95</v>
      </c>
    </row>
    <row r="206" spans="1:1" ht="20.100000000000001" customHeight="1" x14ac:dyDescent="0.2">
      <c r="A206" s="17" t="s">
        <v>96</v>
      </c>
    </row>
    <row r="207" spans="1:1" ht="20.100000000000001" customHeight="1" x14ac:dyDescent="0.2">
      <c r="A207" s="17" t="s">
        <v>97</v>
      </c>
    </row>
    <row r="208" spans="1:1" ht="20.100000000000001" customHeight="1" x14ac:dyDescent="0.2">
      <c r="A208" s="18" t="s">
        <v>98</v>
      </c>
    </row>
    <row r="209" spans="1:1" ht="20.100000000000001" customHeight="1" x14ac:dyDescent="0.2">
      <c r="A209" s="18" t="s">
        <v>99</v>
      </c>
    </row>
    <row r="210" spans="1:1" ht="20.100000000000001" customHeight="1" x14ac:dyDescent="0.2">
      <c r="A210" s="17" t="s">
        <v>100</v>
      </c>
    </row>
    <row r="211" spans="1:1" ht="20.100000000000001" customHeight="1" x14ac:dyDescent="0.2">
      <c r="A211" s="17" t="s">
        <v>101</v>
      </c>
    </row>
    <row r="212" spans="1:1" ht="20.100000000000001" customHeight="1" x14ac:dyDescent="0.2">
      <c r="A212" s="17" t="s">
        <v>175</v>
      </c>
    </row>
    <row r="213" spans="1:1" ht="20.100000000000001" customHeight="1" x14ac:dyDescent="0.2">
      <c r="A213" s="17" t="s">
        <v>102</v>
      </c>
    </row>
    <row r="214" spans="1:1" ht="20.100000000000001" customHeight="1" x14ac:dyDescent="0.2">
      <c r="A214" s="17" t="s">
        <v>103</v>
      </c>
    </row>
    <row r="215" spans="1:1" ht="20.100000000000001" customHeight="1" x14ac:dyDescent="0.2">
      <c r="A215" s="17" t="s">
        <v>104</v>
      </c>
    </row>
    <row r="216" spans="1:1" ht="20.100000000000001" customHeight="1" x14ac:dyDescent="0.2">
      <c r="A216" s="17" t="s">
        <v>105</v>
      </c>
    </row>
    <row r="217" spans="1:1" ht="20.100000000000001" customHeight="1" x14ac:dyDescent="0.2">
      <c r="A217" s="17" t="s">
        <v>106</v>
      </c>
    </row>
    <row r="218" spans="1:1" ht="20.100000000000001" customHeight="1" x14ac:dyDescent="0.2">
      <c r="A218" s="17" t="s">
        <v>107</v>
      </c>
    </row>
    <row r="219" spans="1:1" ht="20.100000000000001" customHeight="1" x14ac:dyDescent="0.2">
      <c r="A219" s="17" t="s">
        <v>108</v>
      </c>
    </row>
    <row r="220" spans="1:1" ht="20.100000000000001" customHeight="1" x14ac:dyDescent="0.2">
      <c r="A220" s="17" t="s">
        <v>109</v>
      </c>
    </row>
    <row r="221" spans="1:1" ht="20.100000000000001" customHeight="1" x14ac:dyDescent="0.2">
      <c r="A221" s="17" t="s">
        <v>110</v>
      </c>
    </row>
    <row r="222" spans="1:1" ht="20.100000000000001" customHeight="1" x14ac:dyDescent="0.2">
      <c r="A222" s="17" t="s">
        <v>111</v>
      </c>
    </row>
    <row r="223" spans="1:1" ht="20.100000000000001" customHeight="1" x14ac:dyDescent="0.2">
      <c r="A223" s="17" t="s">
        <v>112</v>
      </c>
    </row>
    <row r="224" spans="1:1" ht="20.100000000000001" customHeight="1" x14ac:dyDescent="0.2">
      <c r="A224" s="17" t="s">
        <v>176</v>
      </c>
    </row>
    <row r="225" spans="1:1" ht="20.100000000000001" customHeight="1" x14ac:dyDescent="0.2">
      <c r="A225" s="17" t="s">
        <v>113</v>
      </c>
    </row>
    <row r="226" spans="1:1" ht="20.100000000000001" customHeight="1" x14ac:dyDescent="0.2">
      <c r="A226" s="17" t="s">
        <v>114</v>
      </c>
    </row>
    <row r="227" spans="1:1" ht="20.100000000000001" customHeight="1" x14ac:dyDescent="0.2">
      <c r="A227" s="17" t="s">
        <v>115</v>
      </c>
    </row>
    <row r="228" spans="1:1" ht="20.100000000000001" customHeight="1" x14ac:dyDescent="0.2">
      <c r="A228" s="17" t="s">
        <v>116</v>
      </c>
    </row>
    <row r="229" spans="1:1" ht="20.100000000000001" customHeight="1" x14ac:dyDescent="0.2">
      <c r="A229" s="17" t="s">
        <v>117</v>
      </c>
    </row>
    <row r="230" spans="1:1" ht="20.100000000000001" customHeight="1" x14ac:dyDescent="0.2">
      <c r="A230" s="17" t="s">
        <v>118</v>
      </c>
    </row>
    <row r="231" spans="1:1" ht="20.100000000000001" customHeight="1" x14ac:dyDescent="0.2">
      <c r="A231" s="17" t="s">
        <v>119</v>
      </c>
    </row>
    <row r="232" spans="1:1" ht="20.100000000000001" customHeight="1" x14ac:dyDescent="0.2">
      <c r="A232" s="17" t="s">
        <v>120</v>
      </c>
    </row>
    <row r="233" spans="1:1" ht="20.100000000000001" customHeight="1" x14ac:dyDescent="0.2">
      <c r="A233" s="17" t="s">
        <v>121</v>
      </c>
    </row>
    <row r="234" spans="1:1" ht="20.100000000000001" customHeight="1" x14ac:dyDescent="0.2">
      <c r="A234" s="17" t="s">
        <v>122</v>
      </c>
    </row>
    <row r="235" spans="1:1" ht="20.100000000000001" customHeight="1" x14ac:dyDescent="0.2">
      <c r="A235" s="17" t="s">
        <v>123</v>
      </c>
    </row>
    <row r="236" spans="1:1" ht="20.100000000000001" customHeight="1" x14ac:dyDescent="0.2">
      <c r="A236" s="19" t="s">
        <v>124</v>
      </c>
    </row>
    <row r="237" spans="1:1" ht="20.100000000000001" customHeight="1" x14ac:dyDescent="0.2">
      <c r="A237" s="17" t="s">
        <v>125</v>
      </c>
    </row>
    <row r="238" spans="1:1" ht="20.100000000000001" customHeight="1" x14ac:dyDescent="0.2">
      <c r="A238" s="17" t="s">
        <v>126</v>
      </c>
    </row>
    <row r="239" spans="1:1" ht="20.100000000000001" customHeight="1" x14ac:dyDescent="0.2">
      <c r="A239" s="17" t="s">
        <v>127</v>
      </c>
    </row>
    <row r="240" spans="1:1" ht="20.100000000000001" customHeight="1" x14ac:dyDescent="0.2">
      <c r="A240" s="17" t="s">
        <v>128</v>
      </c>
    </row>
    <row r="241" spans="1:1" ht="20.100000000000001" customHeight="1" x14ac:dyDescent="0.2">
      <c r="A241" s="17" t="s">
        <v>129</v>
      </c>
    </row>
    <row r="242" spans="1:1" ht="20.100000000000001" customHeight="1" x14ac:dyDescent="0.2">
      <c r="A242" s="17" t="s">
        <v>130</v>
      </c>
    </row>
    <row r="243" spans="1:1" ht="20.100000000000001" customHeight="1" x14ac:dyDescent="0.2">
      <c r="A243" s="17" t="s">
        <v>131</v>
      </c>
    </row>
    <row r="244" spans="1:1" ht="20.100000000000001" customHeight="1" x14ac:dyDescent="0.2">
      <c r="A244" s="17" t="s">
        <v>132</v>
      </c>
    </row>
    <row r="245" spans="1:1" ht="20.100000000000001" customHeight="1" x14ac:dyDescent="0.2">
      <c r="A245" s="17" t="s">
        <v>133</v>
      </c>
    </row>
    <row r="246" spans="1:1" ht="20.100000000000001" customHeight="1" x14ac:dyDescent="0.2">
      <c r="A246" s="17" t="s">
        <v>134</v>
      </c>
    </row>
    <row r="247" spans="1:1" ht="20.100000000000001" customHeight="1" x14ac:dyDescent="0.2">
      <c r="A247" s="17" t="s">
        <v>135</v>
      </c>
    </row>
    <row r="248" spans="1:1" ht="20.100000000000001" customHeight="1" x14ac:dyDescent="0.2">
      <c r="A248" s="17" t="s">
        <v>126</v>
      </c>
    </row>
    <row r="249" spans="1:1" ht="20.100000000000001" customHeight="1" x14ac:dyDescent="0.2">
      <c r="A249" s="17" t="s">
        <v>136</v>
      </c>
    </row>
    <row r="250" spans="1:1" ht="20.100000000000001" customHeight="1" x14ac:dyDescent="0.2">
      <c r="A250" s="17" t="s">
        <v>137</v>
      </c>
    </row>
    <row r="251" spans="1:1" ht="20.100000000000001" customHeight="1" x14ac:dyDescent="0.2">
      <c r="A251" s="19" t="s">
        <v>138</v>
      </c>
    </row>
    <row r="252" spans="1:1" ht="20.100000000000001" customHeight="1" x14ac:dyDescent="0.2">
      <c r="A252" s="20" t="s">
        <v>139</v>
      </c>
    </row>
    <row r="253" spans="1:1" ht="20.100000000000001" customHeight="1" x14ac:dyDescent="0.2">
      <c r="A253" s="17" t="s">
        <v>140</v>
      </c>
    </row>
    <row r="254" spans="1:1" ht="20.100000000000001" customHeight="1" x14ac:dyDescent="0.2">
      <c r="A254" s="17" t="s">
        <v>141</v>
      </c>
    </row>
    <row r="255" spans="1:1" ht="20.100000000000001" customHeight="1" x14ac:dyDescent="0.2">
      <c r="A255" s="21" t="s">
        <v>142</v>
      </c>
    </row>
    <row r="256" spans="1:1" ht="20.100000000000001" customHeight="1" x14ac:dyDescent="0.2">
      <c r="A256" s="21" t="s">
        <v>143</v>
      </c>
    </row>
    <row r="257" spans="1:1" ht="20.100000000000001" customHeight="1" x14ac:dyDescent="0.2">
      <c r="A257" s="22" t="s">
        <v>144</v>
      </c>
    </row>
    <row r="258" spans="1:1" ht="20.100000000000001" customHeight="1" x14ac:dyDescent="0.2">
      <c r="A258" s="17" t="s">
        <v>145</v>
      </c>
    </row>
    <row r="259" spans="1:1" ht="20.100000000000001" customHeight="1" x14ac:dyDescent="0.2">
      <c r="A259" s="22" t="s">
        <v>146</v>
      </c>
    </row>
    <row r="260" spans="1:1" ht="20.100000000000001" customHeight="1" x14ac:dyDescent="0.2">
      <c r="A260" s="17" t="s">
        <v>147</v>
      </c>
    </row>
    <row r="261" spans="1:1" ht="20.100000000000001" customHeight="1" x14ac:dyDescent="0.2">
      <c r="A261" s="22" t="s">
        <v>148</v>
      </c>
    </row>
    <row r="262" spans="1:1" ht="20.100000000000001" customHeight="1" x14ac:dyDescent="0.2">
      <c r="A262" s="17" t="s">
        <v>149</v>
      </c>
    </row>
    <row r="263" spans="1:1" ht="20.100000000000001" customHeight="1" x14ac:dyDescent="0.2">
      <c r="A263" s="17" t="s">
        <v>150</v>
      </c>
    </row>
    <row r="264" spans="1:1" ht="20.100000000000001" customHeight="1" x14ac:dyDescent="0.2">
      <c r="A264" s="22" t="s">
        <v>151</v>
      </c>
    </row>
    <row r="265" spans="1:1" ht="20.100000000000001" customHeight="1" x14ac:dyDescent="0.2">
      <c r="A265" s="22" t="s">
        <v>152</v>
      </c>
    </row>
    <row r="266" spans="1:1" ht="20.100000000000001" customHeight="1" x14ac:dyDescent="0.2">
      <c r="A266" s="22" t="s">
        <v>153</v>
      </c>
    </row>
    <row r="267" spans="1:1" ht="20.100000000000001" customHeight="1" x14ac:dyDescent="0.2">
      <c r="A267" s="17" t="s">
        <v>154</v>
      </c>
    </row>
    <row r="268" spans="1:1" ht="20.100000000000001" customHeight="1" x14ac:dyDescent="0.2">
      <c r="A268" s="17" t="s">
        <v>155</v>
      </c>
    </row>
    <row r="269" spans="1:1" ht="20.100000000000001" customHeight="1" x14ac:dyDescent="0.2">
      <c r="A269" s="17" t="s">
        <v>156</v>
      </c>
    </row>
    <row r="270" spans="1:1" ht="20.100000000000001" customHeight="1" x14ac:dyDescent="0.2">
      <c r="A270" s="17" t="s">
        <v>157</v>
      </c>
    </row>
    <row r="271" spans="1:1" ht="20.100000000000001" customHeight="1" x14ac:dyDescent="0.2">
      <c r="A271" s="22" t="s">
        <v>158</v>
      </c>
    </row>
    <row r="272" spans="1:1" ht="20.100000000000001" customHeight="1" x14ac:dyDescent="0.2">
      <c r="A272" s="22" t="s">
        <v>159</v>
      </c>
    </row>
    <row r="273" spans="1:1" ht="20.100000000000001" customHeight="1" x14ac:dyDescent="0.2">
      <c r="A273" s="17" t="s">
        <v>160</v>
      </c>
    </row>
    <row r="274" spans="1:1" ht="20.100000000000001" customHeight="1" x14ac:dyDescent="0.2">
      <c r="A274" s="22" t="s">
        <v>161</v>
      </c>
    </row>
    <row r="275" spans="1:1" ht="20.100000000000001" customHeight="1" x14ac:dyDescent="0.2">
      <c r="A275" s="22" t="s">
        <v>162</v>
      </c>
    </row>
    <row r="276" spans="1:1" ht="20.100000000000001" customHeight="1" x14ac:dyDescent="0.2">
      <c r="A276" s="17" t="s">
        <v>163</v>
      </c>
    </row>
    <row r="277" spans="1:1" ht="20.100000000000001" customHeight="1" x14ac:dyDescent="0.2">
      <c r="A277" s="17" t="s">
        <v>164</v>
      </c>
    </row>
    <row r="278" spans="1:1" ht="20.100000000000001" customHeight="1" x14ac:dyDescent="0.2">
      <c r="A278" s="22" t="s">
        <v>165</v>
      </c>
    </row>
    <row r="279" spans="1:1" ht="20.100000000000001" customHeight="1" x14ac:dyDescent="0.2">
      <c r="A279" s="17" t="s">
        <v>166</v>
      </c>
    </row>
    <row r="280" spans="1:1" ht="20.100000000000001" customHeight="1" x14ac:dyDescent="0.2">
      <c r="A280" s="17" t="s">
        <v>167</v>
      </c>
    </row>
    <row r="281" spans="1:1" ht="20.100000000000001" customHeight="1" x14ac:dyDescent="0.2">
      <c r="A281" s="17" t="s">
        <v>168</v>
      </c>
    </row>
    <row r="282" spans="1:1" ht="20.100000000000001" customHeight="1" x14ac:dyDescent="0.2">
      <c r="A282" s="17" t="s">
        <v>169</v>
      </c>
    </row>
    <row r="283" spans="1:1" ht="20.100000000000001" customHeight="1" x14ac:dyDescent="0.2">
      <c r="A283" s="22" t="s">
        <v>170</v>
      </c>
    </row>
    <row r="284" spans="1:1" ht="20.100000000000001" customHeight="1" x14ac:dyDescent="0.2">
      <c r="A284" s="22" t="s">
        <v>171</v>
      </c>
    </row>
    <row r="285" spans="1:1" ht="20.100000000000001" customHeight="1" x14ac:dyDescent="0.2">
      <c r="A285" s="22" t="s">
        <v>172</v>
      </c>
    </row>
    <row r="286" spans="1:1" ht="20.100000000000001" customHeight="1" thickBot="1" x14ac:dyDescent="0.25">
      <c r="A286" s="17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2025-10-21T11:47:44Z</dcterms:modified>
</cp:coreProperties>
</file>