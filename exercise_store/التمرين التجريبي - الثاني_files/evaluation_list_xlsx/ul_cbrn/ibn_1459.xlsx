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9AE349D-BF3B-4D6F-96E1-A88FE1F465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 s="1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F30" i="2"/>
  <c r="E30" i="2"/>
  <c r="E31" i="2"/>
  <c r="E32" i="2" s="1"/>
</calcChain>
</file>

<file path=xl/sharedStrings.xml><?xml version="1.0" encoding="utf-8"?>
<sst xmlns="http://schemas.openxmlformats.org/spreadsheetml/2006/main" count="260" uniqueCount="203">
  <si>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</si>
  <si>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</si>
  <si>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</si>
  <si>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</si>
  <si>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</si>
  <si>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</si>
  <si>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</si>
  <si>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</si>
  <si>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</si>
  <si>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</si>
  <si>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</si>
  <si>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</si>
  <si>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</si>
  <si>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</si>
  <si>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</si>
  <si>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</si>
  <si>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</si>
  <si>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</si>
  <si>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</si>
  <si>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</si>
  <si>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</si>
  <si>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</si>
  <si>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</si>
  <si>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</si>
  <si>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</si>
  <si>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</si>
  <si>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</si>
  <si>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</si>
  <si>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</si>
  <si>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</si>
  <si>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</si>
  <si>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</si>
  <si>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</si>
  <si>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</si>
  <si>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</si>
  <si>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</si>
  <si>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</si>
  <si>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</si>
  <si>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</si>
  <si>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</si>
  <si>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</si>
  <si>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</si>
  <si>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</si>
  <si>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</si>
  <si>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</si>
  <si>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</si>
  <si>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</si>
  <si>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</si>
  <si>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</si>
  <si>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</si>
  <si>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</si>
  <si>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</si>
  <si>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</si>
  <si>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</si>
  <si>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</si>
  <si>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</si>
  <si>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</si>
  <si>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</si>
  <si>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</si>
  <si>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</si>
  <si>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</si>
  <si>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</si>
  <si>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</si>
  <si>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</si>
  <si>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</si>
  <si>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</si>
  <si>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</si>
  <si>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</si>
  <si>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</si>
  <si>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</si>
  <si>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</si>
  <si>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</si>
  <si>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</si>
  <si>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</si>
  <si>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</si>
  <si>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</si>
  <si>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</si>
  <si>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</si>
  <si>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</si>
  <si>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</si>
  <si>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</si>
  <si>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</si>
  <si>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</si>
  <si>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</si>
  <si>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</si>
  <si>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</si>
  <si>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</si>
  <si>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</si>
  <si>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</si>
  <si>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</si>
  <si>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</si>
  <si>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</si>
  <si>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</si>
  <si>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</si>
  <si>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</si>
  <si>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</si>
  <si>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</si>
  <si>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</si>
  <si>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</si>
  <si>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</si>
  <si>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</si>
  <si>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</si>
  <si>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</si>
  <si>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</si>
  <si>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</si>
  <si>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</si>
  <si>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</si>
  <si>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</si>
  <si>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</si>
  <si>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</si>
  <si>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</si>
  <si>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</si>
  <si>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</si>
  <si>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</si>
  <si>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</si>
  <si>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</si>
  <si>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</si>
  <si>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</si>
  <si>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</si>
  <si>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</si>
  <si>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</si>
  <si>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</si>
  <si>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</si>
  <si>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</si>
  <si>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</si>
  <si>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</si>
  <si>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</si>
  <si>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</si>
  <si>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</si>
  <si>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</si>
  <si>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</si>
  <si>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</si>
  <si>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</si>
  <si>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</si>
  <si>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</si>
  <si>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</si>
  <si>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</si>
  <si>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</si>
  <si>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</si>
  <si>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</si>
  <si>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</si>
  <si>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</si>
  <si>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</si>
  <si>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</si>
  <si>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</si>
  <si>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</si>
  <si>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</si>
  <si>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</si>
  <si>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</si>
  <si>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</si>
  <si>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</si>
  <si>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</si>
  <si>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</si>
  <si>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</si>
  <si>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</si>
  <si>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</si>
  <si>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</si>
  <si>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</si>
  <si>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</si>
  <si>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</si>
  <si>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</si>
  <si>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</si>
  <si>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</si>
  <si>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</si>
  <si>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</si>
  <si>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</si>
  <si>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</si>
  <si>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</si>
  <si>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</si>
  <si>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</si>
  <si>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</si>
  <si>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</si>
  <si>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</si>
  <si>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</si>
  <si>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</si>
  <si>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</si>
  <si>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</si>
  <si>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</si>
  <si>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</si>
  <si>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</si>
  <si>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إجراءات منطقة الانتشار لسرية الدفاع الكيميائي
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</si>
  <si>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القائد قبل بدء التحرك إلى مناطق الانتشار</t>
    </r>
  </si>
  <si>
    <t>أ. إبلاغ المرؤوسين بالبدء بتنفيذ خطة التحرك لمناطق الانتشار.</t>
  </si>
  <si>
    <t>ب. إرسال مجموعات الحماية والاستطلاع والأدلاء إلى مناطق الانتشار.</t>
  </si>
  <si>
    <t>جـ. تحميل وثائق العمليات.</t>
  </si>
  <si>
    <t>د. دفع عناصر الدفاع الكيميائي لتأمين المنطقة.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</si>
  <si>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القادة والقوات أثناء التحرك لمناطق الانتشار</t>
    </r>
  </si>
  <si>
    <t>أ. التقيد بتنفيذ إجراءات التحرك حسب أمر / جدول التنقل.</t>
  </si>
  <si>
    <t>ب. سيطرة القادة على قواتهم أثناء التحرك.</t>
  </si>
  <si>
    <t>جـ. توفر الحماية للقوات أثناء التحرك.</t>
  </si>
  <si>
    <t>د. تحقيـق الاتصال بالمستـوى الأعلى والادنى.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</si>
  <si>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تجهيز وإعداد مناطق الانتشار والإجراءات المتخذة فيها.</t>
    </r>
  </si>
  <si>
    <t>أ. التأكد من توزيع عناصر الدفاع الكيميائي بالطريقة الصحيحة مع تقسيم منطقة الانتشار إلى قطاعات.</t>
  </si>
  <si>
    <t>ب. التأكد من الإخفاء والتمويه.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</si>
  <si>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فتح وإدامة مراكز القيادة والاتصالات والسيطرة.</t>
    </r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</si>
  <si>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وجود خطة التأمين الكيميائي.</t>
    </r>
  </si>
  <si>
    <r>
      <t>6.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تأمين مناطق الانتشار بالاتصالات.</t>
    </r>
  </si>
  <si>
    <r>
      <t>7.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Arial"/>
        <family val="2"/>
      </rPr>
      <t>وجود تعليمات الإنـــذار.</t>
    </r>
  </si>
  <si>
    <r>
      <t>8.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الإسناد الإداري.</t>
    </r>
  </si>
  <si>
    <t>أ. التزويد (الوقود / الأرزاق / المياه، الخ..).</t>
  </si>
  <si>
    <t>ب. الإخـلاء.</t>
  </si>
  <si>
    <t>جـ. الإنقـاذ.</t>
  </si>
  <si>
    <t>د. الطرق الرئيسة والتبادلية المؤديـة إلى ومن مناطق الانتشــار.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</si>
</sst>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1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526779</xdr:colOff>
      <xdr:row>32</xdr:row>
      <xdr:rowOff>498528</xdr:rowOff>
    </xdr:from>
    <xdr:to>
      <xdr:col>8</xdr:col>
      <xdr:colOff>180078</xdr:colOff>
      <xdr:row>33</xdr:row>
      <xdr:rowOff>453438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912D60D-7AEC-5795-DC02-12FDAC7C1016}"/>
                </a:ext>
              </a:extLst>
            </xdr14:cNvPr>
            <xdr14:cNvContentPartPr/>
          </xdr14:nvContentPartPr>
          <xdr14:nvPr macro=""/>
          <xdr14:xfrm>
            <a:off x="10399064831" y="12777120"/>
            <a:ext cx="969480" cy="486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912D60D-7AEC-5795-DC02-12FDAC7C10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56191" y="12768480"/>
              <a:ext cx="987120" cy="503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54:46.4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486 1357 2176,'0'0'0,"5"-5"232,-5 5-232,2-12 112,1 7 0,4-6-40,-7 10 32,0 1-104,0-2 64,2 1 8,-2-2-8,0 1 16,0 2-80,4-1 96,-4 0 32,0 1 24,0-2 0,0 2-152,0-1 144,0 1-40,2-2-16,1 1-8,-3 1-80,5-1 88,10-2 0,0-2 16,8 1-16,-23 4-88,30-4 88,7-7 8,3 6-24,8-6-23,-48 11-49,52-5 40,4-10-24,5 10 8,-4-8 24,-57 13-48,60-4 16,-4-2 16,-5 0 0,-5 1-24,-46 5-8,44-6 48,-9 2-24,-3-1 0,-9 3 16,-23 2-40,14-2 32,-3 2-8,-9 0 32,3 0 16,-5 0-72,0 0 96,0 0-16,-2 0-16,-12 0-40,14 0-24,-16 0-16,-5 0 16,-2 0-8,-5 0-8,28 0 16,-32 0-16,-5-1 8,-2-1-8,-1 1 32,40 1-16,-41-3 8,1 0 0,-1 0 8,2 0 0,39 3-16,-40-2 32,6-1-16,3 0 16,4 0 8,27 3-40,-19-3 24,3 0 0,4 1-8,8-1-8,4 3-8,-3-2 8,1 1 0,2-1-16,0 1 8,0 1 0,2-1-8,15-4 0,1 0 8,5-8-8,-23 13 8,31-6 0,8-9-16,4 0 8,6-1 8,-49 16 0,53-16 16,-2 0 8,2 1 8,-2-1 0,-51 16-32,49-17-16,-3 1 32,-2 2-8,-7 0 0,-37 14-8,32-11 16,-7-2-24,-3 7 24,-11-5-8,-11 11-8,5-3 48,-1 2 0,-4-1-40,0 2 24,0 0-32,0-1 0,0-1-16,-4 2 8,-8 0 0,12 0 8,-9 0 0,-5 0 24,0 0 8,0 0-16,14 0-16,-16 0 8,2 0-8,2 0 8,8 0 0,4 0-8,-16 0 16,4 3 0,6-3-24,-6 3 16,12-3-8,-5 0-16,-4 3 8,2 0 16,4 0-48,3-3 40,-4 0-32,1 2-24,3-2 0,0 0 24,0 0 32,0 3-40,7-3 40,10 0 0,2 0 0,-19 0 0,25 0 0,7 0 0,5-4-16,7-2 8,-44 6 8,51-13-16,5 9 0,-1-11 32,10 9 0,-65 6-16,62-14 8,0 8 8,3-6 8,-2 6-16,-63 6-8,59-13 48,-5 9 0,-3-2-16,-1 0 0,-50 6-32,39-5 32,-1 1-16,-10-1 8,-10 4-16,-18 1-8,5-2 24,-3 1 40,1 1 40,-3-1-40,0 1-64,-5 0 80,-13 0-48,-10 0-56,-7 0 40,35 0-16,-47 2-48,-6 1 48,-6 0-16,-7-3-8,66 0 24,-74 0 24,3 0-24,-10-1-8,3-5 16,78 6-8,-79-13-16,0 2 8,3-3 24,4-2 16,72 16-32,-67-18 48,-2-2 32,6-3-56,8-1 8,55 24-32,-55-27 24,8-3-48,3 0 80,10-1-48,34 31-8,-25-33 16,10-2 0,13 0 8,2 1-16,0 34-8,17-34 8,3-1-8,11 3-40,5-1 40,-36 33 0,41-34-32,8 3 56,7 0-32,6 1-8,-62 30 16,65-28-56,11 4 0,-2 2 24,5 3-16,-79 19 48,80-15-32,1 4 8,0 8 8,2 2 0,-83 1 16,79 0 0,-3 4-32,-4 12 16,-3-2 16,-69-14 0,70 15 0,-3 5 40,0 3-8,-4 4-24,-63-27-8,57 28 8,-9 5 8,-5-2-8,-7 3 24,-36-34-32,25 33 8,-8 2 0,-6-2-32,-11 1 8,0-34 16,0 34 8,-11 1-8,-6 0-16,-3 3 16,20-38 0,-26 35 8,-9 1-24,-4-2 8,-7-2-16,46-32 24,-53 33-24,-5-3-16,-9-2 24,-4-1 0,71-27 16,-82 24-8,0 2 32,-13-2 8,-4 1-8,99-25-24,-105 24 16,-6-1 24,3 0 32,-4-3-40,112-20-32,-108 17 56,-5 1-24,5-1-32,-2-1 32,110-16-32,-101 14 0,4-1 0,9-9 0,7 11 0,81-15 0,-74 3-8,7 9-16,4-12 8,8 2 0,55-2 16,-49 3-80,8-3 64,4 0 0,5 0 0,32 0 16,-28 0 24,-2 0-40,6 0-56,6 0 16,18 0 56,-13 0-80,6 0-144,4 0-232,1 0-224,2 0 680,0 0-745,12-4-39,1-13-64,1-4 24,-14 21 824,12-27-760,1-1 48,-13 28 712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A23" zoomScale="130" zoomScaleNormal="100" zoomScaleSheetLayoutView="130" workbookViewId="0">
      <selection activeCell="E21" sqref="E2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1" t="s">
        <v>180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3">
      <c r="B2" s="13" t="s">
        <v>8</v>
      </c>
      <c r="C2" s="77" t="s">
        <v>13</v>
      </c>
      <c r="D2" s="77"/>
      <c r="E2" s="13" t="s">
        <v>7</v>
      </c>
      <c r="F2" s="72">
        <v>45929</v>
      </c>
      <c r="G2" s="72"/>
      <c r="H2" s="72"/>
      <c r="I2" s="72"/>
      <c r="J2" s="72"/>
    </row>
    <row r="3" spans="1:10" ht="30" customHeight="1" x14ac:dyDescent="0.3">
      <c r="B3" s="13" t="s">
        <v>9</v>
      </c>
      <c r="C3" s="77" t="s">
        <v>71</v>
      </c>
      <c r="D3" s="77"/>
      <c r="E3" s="13" t="s">
        <v>6</v>
      </c>
      <c r="F3" s="77" t="s">
        <v>135</v>
      </c>
      <c r="G3" s="77"/>
      <c r="H3" s="77"/>
      <c r="I3" s="77"/>
      <c r="J3" s="7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3" t="s">
        <v>0</v>
      </c>
      <c r="C5" s="74"/>
      <c r="D5" s="74"/>
      <c r="E5" s="82" t="s">
        <v>1</v>
      </c>
      <c r="F5" s="82"/>
      <c r="G5" s="82"/>
      <c r="H5" s="82"/>
      <c r="I5" s="82" t="s">
        <v>2</v>
      </c>
      <c r="J5" s="83"/>
    </row>
    <row r="6" spans="1:10" ht="24.9" customHeight="1" thickBot="1" x14ac:dyDescent="0.35">
      <c r="A6" s="11"/>
      <c r="B6" s="75"/>
      <c r="C6" s="76"/>
      <c r="D6" s="76"/>
      <c r="E6" s="12" t="s">
        <v>3</v>
      </c>
      <c r="F6" s="12" t="s">
        <v>4</v>
      </c>
      <c r="G6" s="12" t="s">
        <v>23</v>
      </c>
      <c r="H6" s="12" t="s">
        <v>24</v>
      </c>
      <c r="I6" s="84"/>
      <c r="J6" s="85"/>
    </row>
    <row r="7" spans="1:10" ht="24.9" customHeight="1" thickBot="1" x14ac:dyDescent="0.35">
      <c r="A7" s="11"/>
      <c r="B7" s="80" t="s">
        <v>21</v>
      </c>
      <c r="C7" s="81"/>
      <c r="D7" s="81"/>
      <c r="E7" s="30" t="s">
        <v>18</v>
      </c>
      <c r="F7" s="30" t="s">
        <v>19</v>
      </c>
      <c r="G7" s="30" t="s">
        <v>22</v>
      </c>
      <c r="H7" s="30" t="s">
        <v>20</v>
      </c>
      <c r="I7" s="86" t="s">
        <v>25</v>
      </c>
      <c r="J7" s="87"/>
    </row>
    <row r="8" spans="1:10" ht="30" customHeight="1" x14ac:dyDescent="0.3">
      <c r="A8" s="11"/>
      <c r="B8" s="49" t="s">
        <v>181</v>
      </c>
      <c r="C8" s="50"/>
      <c r="D8" s="50"/>
      <c r="E8" s="34"/>
      <c r="F8" s="35"/>
      <c r="G8" s="36"/>
      <c r="H8" s="37"/>
      <c r="I8" s="55"/>
      <c r="J8" s="56"/>
    </row>
    <row r="9" spans="1:10" ht="30" customHeight="1" x14ac:dyDescent="0.3">
      <c r="A9" s="11"/>
      <c r="B9" s="45" t="s">
        <v>182</v>
      </c>
      <c r="C9" s="46"/>
      <c r="D9" s="46"/>
      <c r="E9" s="33">
        <v>5</v>
      </c>
      <c r="F9" s="27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9"/>
      <c r="J9" s="60"/>
    </row>
    <row r="10" spans="1:10" ht="30" customHeight="1" x14ac:dyDescent="0.3">
      <c r="A10" s="11"/>
      <c r="B10" s="45" t="s">
        <v>183</v>
      </c>
      <c r="C10" s="46"/>
      <c r="D10" s="46"/>
      <c r="E10" s="33">
        <v>5</v>
      </c>
      <c r="F10" s="27">
        <v>3.75</v>
      </c>
      <c r="G10" s="31">
        <f t="shared" ref="G10:G29" si="0">IFERROR(F10/E10,"")</f>
        <v>0.75</v>
      </c>
      <c r="H10" s="32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59"/>
      <c r="J10" s="60"/>
    </row>
    <row r="11" spans="1:10" ht="30" customHeight="1" x14ac:dyDescent="0.3">
      <c r="A11" s="11"/>
      <c r="B11" s="45" t="s">
        <v>184</v>
      </c>
      <c r="C11" s="46"/>
      <c r="D11" s="46"/>
      <c r="E11" s="33">
        <v>5</v>
      </c>
      <c r="F11" s="27">
        <v>4</v>
      </c>
      <c r="G11" s="31">
        <f t="shared" si="0"/>
        <v>0.8</v>
      </c>
      <c r="H11" s="32" t="str">
        <f t="shared" si="1"/>
        <v>جيد جداً</v>
      </c>
      <c r="I11" s="59"/>
      <c r="J11" s="60"/>
    </row>
    <row r="12" spans="1:10" ht="30" customHeight="1" thickBot="1" x14ac:dyDescent="0.35">
      <c r="A12" s="11"/>
      <c r="B12" s="47" t="s">
        <v>185</v>
      </c>
      <c r="C12" s="48"/>
      <c r="D12" s="48"/>
      <c r="E12" s="41">
        <v>5</v>
      </c>
      <c r="F12" s="29">
        <v>4</v>
      </c>
      <c r="G12" s="39">
        <f t="shared" si="0"/>
        <v>0.8</v>
      </c>
      <c r="H12" s="40" t="str">
        <f t="shared" si="1"/>
        <v>جيد جداً</v>
      </c>
      <c r="I12" s="61"/>
      <c r="J12" s="62"/>
    </row>
    <row r="13" spans="1:10" ht="30" customHeight="1" x14ac:dyDescent="0.3">
      <c r="A13" s="11"/>
      <c r="B13" s="49" t="s">
        <v>186</v>
      </c>
      <c r="C13" s="50"/>
      <c r="D13" s="50"/>
      <c r="E13" s="34"/>
      <c r="F13" s="35"/>
      <c r="G13" s="36"/>
      <c r="H13" s="37"/>
      <c r="I13" s="55"/>
      <c r="J13" s="56"/>
    </row>
    <row r="14" spans="1:10" ht="30" customHeight="1" x14ac:dyDescent="0.3">
      <c r="A14" s="11"/>
      <c r="B14" s="45" t="s">
        <v>187</v>
      </c>
      <c r="C14" s="46"/>
      <c r="D14" s="46"/>
      <c r="E14" s="9">
        <v>5</v>
      </c>
      <c r="F14" s="27">
        <v>3.75</v>
      </c>
      <c r="G14" s="31">
        <f t="shared" si="0"/>
        <v>0.75</v>
      </c>
      <c r="H14" s="32" t="str">
        <f t="shared" si="1"/>
        <v>جيد</v>
      </c>
      <c r="I14" s="59"/>
      <c r="J14" s="60"/>
    </row>
    <row r="15" spans="1:10" ht="30" customHeight="1" x14ac:dyDescent="0.3">
      <c r="A15" s="11"/>
      <c r="B15" s="45" t="s">
        <v>188</v>
      </c>
      <c r="C15" s="46"/>
      <c r="D15" s="46"/>
      <c r="E15" s="9">
        <v>5</v>
      </c>
      <c r="F15" s="27">
        <v>4.25</v>
      </c>
      <c r="G15" s="31">
        <f t="shared" si="0"/>
        <v>0.85</v>
      </c>
      <c r="H15" s="32" t="str">
        <f t="shared" si="1"/>
        <v>جيد جداً</v>
      </c>
      <c r="I15" s="59"/>
      <c r="J15" s="60"/>
    </row>
    <row r="16" spans="1:10" ht="30" customHeight="1" x14ac:dyDescent="0.3">
      <c r="A16" s="11"/>
      <c r="B16" s="45" t="s">
        <v>189</v>
      </c>
      <c r="C16" s="46"/>
      <c r="D16" s="46"/>
      <c r="E16" s="9">
        <v>5</v>
      </c>
      <c r="F16" s="27">
        <v>3.75</v>
      </c>
      <c r="G16" s="31">
        <f t="shared" si="0"/>
        <v>0.75</v>
      </c>
      <c r="H16" s="32" t="str">
        <f t="shared" si="1"/>
        <v>جيد</v>
      </c>
      <c r="I16" s="59"/>
      <c r="J16" s="60"/>
    </row>
    <row r="17" spans="1:10" ht="30" customHeight="1" thickBot="1" x14ac:dyDescent="0.35">
      <c r="A17" s="11"/>
      <c r="B17" s="47" t="s">
        <v>190</v>
      </c>
      <c r="C17" s="48"/>
      <c r="D17" s="48"/>
      <c r="E17" s="38">
        <v>5</v>
      </c>
      <c r="F17" s="29">
        <v>4</v>
      </c>
      <c r="G17" s="39">
        <f t="shared" si="0"/>
        <v>0.8</v>
      </c>
      <c r="H17" s="40" t="str">
        <f t="shared" si="1"/>
        <v>جيد جداً</v>
      </c>
      <c r="I17" s="61"/>
      <c r="J17" s="62"/>
    </row>
    <row r="18" spans="1:10" ht="30" customHeight="1" x14ac:dyDescent="0.3">
      <c r="A18" s="11"/>
      <c r="B18" s="49" t="s">
        <v>191</v>
      </c>
      <c r="C18" s="50"/>
      <c r="D18" s="50"/>
      <c r="E18" s="34"/>
      <c r="F18" s="35"/>
      <c r="G18" s="36"/>
      <c r="H18" s="37"/>
      <c r="I18" s="55"/>
      <c r="J18" s="56"/>
    </row>
    <row r="19" spans="1:10" ht="36.75" customHeight="1" x14ac:dyDescent="0.3">
      <c r="A19" s="11"/>
      <c r="B19" s="45" t="s">
        <v>192</v>
      </c>
      <c r="C19" s="46"/>
      <c r="D19" s="46"/>
      <c r="E19" s="33">
        <v>5</v>
      </c>
      <c r="F19" s="27">
        <v>4</v>
      </c>
      <c r="G19" s="31">
        <f t="shared" si="0"/>
        <v>0.8</v>
      </c>
      <c r="H19" s="32" t="str">
        <f t="shared" si="1"/>
        <v>جيد جداً</v>
      </c>
      <c r="I19" s="59"/>
      <c r="J19" s="60"/>
    </row>
    <row r="20" spans="1:10" ht="30" customHeight="1" thickBot="1" x14ac:dyDescent="0.35">
      <c r="A20" s="11"/>
      <c r="B20" s="47" t="s">
        <v>193</v>
      </c>
      <c r="C20" s="48"/>
      <c r="D20" s="48"/>
      <c r="E20" s="41">
        <v>5</v>
      </c>
      <c r="F20" s="29">
        <v>4</v>
      </c>
      <c r="G20" s="39">
        <f t="shared" si="0"/>
        <v>0.8</v>
      </c>
      <c r="H20" s="40" t="str">
        <f t="shared" si="1"/>
        <v>جيد جداً</v>
      </c>
      <c r="I20" s="61"/>
      <c r="J20" s="62"/>
    </row>
    <row r="21" spans="1:10" ht="30" customHeight="1" thickBot="1" x14ac:dyDescent="0.35">
      <c r="A21" s="11"/>
      <c r="B21" s="51" t="s">
        <v>194</v>
      </c>
      <c r="C21" s="52"/>
      <c r="D21" s="52"/>
      <c r="E21" s="42">
        <v>0</v>
      </c>
      <c r="F21" s="43" t="s">
        <v>17</v>
      </c>
      <c r="G21" s="44" t="str">
        <f t="shared" si="0"/>
        <v/>
      </c>
      <c r="H21" s="28" t="str">
        <f t="shared" si="1"/>
        <v>تم الإلغاء</v>
      </c>
      <c r="I21" s="63"/>
      <c r="J21" s="64"/>
    </row>
    <row r="22" spans="1:10" ht="30" customHeight="1" thickBot="1" x14ac:dyDescent="0.35">
      <c r="A22" s="11"/>
      <c r="B22" s="51" t="s">
        <v>195</v>
      </c>
      <c r="C22" s="52"/>
      <c r="D22" s="52"/>
      <c r="E22" s="42">
        <v>5</v>
      </c>
      <c r="F22" s="43">
        <v>4.25</v>
      </c>
      <c r="G22" s="44">
        <f t="shared" si="0"/>
        <v>0.85</v>
      </c>
      <c r="H22" s="28" t="str">
        <f t="shared" si="1"/>
        <v>جيد جداً</v>
      </c>
      <c r="I22" s="63"/>
      <c r="J22" s="64"/>
    </row>
    <row r="23" spans="1:10" ht="30" customHeight="1" thickBot="1" x14ac:dyDescent="0.35">
      <c r="A23" s="11"/>
      <c r="B23" s="51" t="s">
        <v>196</v>
      </c>
      <c r="C23" s="52"/>
      <c r="D23" s="52"/>
      <c r="E23" s="42">
        <v>5</v>
      </c>
      <c r="F23" s="43">
        <v>3.75</v>
      </c>
      <c r="G23" s="44">
        <f t="shared" si="0"/>
        <v>0.75</v>
      </c>
      <c r="H23" s="28" t="str">
        <f t="shared" si="1"/>
        <v>جيد</v>
      </c>
      <c r="I23" s="63"/>
      <c r="J23" s="64"/>
    </row>
    <row r="24" spans="1:10" ht="30" customHeight="1" thickBot="1" x14ac:dyDescent="0.35">
      <c r="A24" s="11"/>
      <c r="B24" s="53" t="s">
        <v>197</v>
      </c>
      <c r="C24" s="54"/>
      <c r="D24" s="54"/>
      <c r="E24" s="42">
        <v>5</v>
      </c>
      <c r="F24" s="43">
        <v>4</v>
      </c>
      <c r="G24" s="44">
        <f t="shared" si="0"/>
        <v>0.8</v>
      </c>
      <c r="H24" s="28" t="str">
        <f t="shared" si="1"/>
        <v>جيد جداً</v>
      </c>
      <c r="I24" s="63"/>
      <c r="J24" s="64"/>
    </row>
    <row r="25" spans="1:10" ht="30" customHeight="1" x14ac:dyDescent="0.3">
      <c r="A25" s="11"/>
      <c r="B25" s="49" t="s">
        <v>198</v>
      </c>
      <c r="C25" s="50"/>
      <c r="D25" s="50"/>
      <c r="E25" s="34"/>
      <c r="F25" s="35"/>
      <c r="G25" s="36"/>
      <c r="H25" s="37"/>
      <c r="I25" s="55"/>
      <c r="J25" s="56"/>
    </row>
    <row r="26" spans="1:10" ht="30" customHeight="1" x14ac:dyDescent="0.3">
      <c r="A26" s="11"/>
      <c r="B26" s="45" t="s">
        <v>199</v>
      </c>
      <c r="C26" s="46"/>
      <c r="D26" s="46"/>
      <c r="E26" s="9">
        <v>5</v>
      </c>
      <c r="F26" s="27">
        <v>4</v>
      </c>
      <c r="G26" s="31">
        <f t="shared" si="0"/>
        <v>0.8</v>
      </c>
      <c r="H26" s="32" t="str">
        <f t="shared" si="1"/>
        <v>جيد جداً</v>
      </c>
      <c r="I26" s="59"/>
      <c r="J26" s="60"/>
    </row>
    <row r="27" spans="1:10" ht="30" customHeight="1" x14ac:dyDescent="0.3">
      <c r="A27" s="11"/>
      <c r="B27" s="45" t="s">
        <v>200</v>
      </c>
      <c r="C27" s="46"/>
      <c r="D27" s="46"/>
      <c r="E27" s="9">
        <v>5</v>
      </c>
      <c r="F27" s="27">
        <v>4</v>
      </c>
      <c r="G27" s="31">
        <f t="shared" si="0"/>
        <v>0.8</v>
      </c>
      <c r="H27" s="32" t="str">
        <f t="shared" si="1"/>
        <v>جيد جداً</v>
      </c>
      <c r="I27" s="59"/>
      <c r="J27" s="60"/>
    </row>
    <row r="28" spans="1:10" ht="30" customHeight="1" x14ac:dyDescent="0.3">
      <c r="A28" s="11"/>
      <c r="B28" s="45" t="s">
        <v>201</v>
      </c>
      <c r="C28" s="46"/>
      <c r="D28" s="46"/>
      <c r="E28" s="9">
        <v>5</v>
      </c>
      <c r="F28" s="27">
        <v>4</v>
      </c>
      <c r="G28" s="31">
        <f t="shared" si="0"/>
        <v>0.8</v>
      </c>
      <c r="H28" s="32" t="str">
        <f t="shared" si="1"/>
        <v>جيد جداً</v>
      </c>
      <c r="I28" s="59"/>
      <c r="J28" s="60"/>
    </row>
    <row r="29" spans="1:10" ht="30" customHeight="1" thickBot="1" x14ac:dyDescent="0.35">
      <c r="A29" s="11"/>
      <c r="B29" s="47" t="s">
        <v>202</v>
      </c>
      <c r="C29" s="48"/>
      <c r="D29" s="48"/>
      <c r="E29" s="38">
        <v>5</v>
      </c>
      <c r="F29" s="29">
        <v>4</v>
      </c>
      <c r="G29" s="39">
        <f t="shared" si="0"/>
        <v>0.8</v>
      </c>
      <c r="H29" s="40" t="str">
        <f t="shared" si="1"/>
        <v>جيد جداً</v>
      </c>
      <c r="I29" s="61"/>
      <c r="J29" s="62"/>
    </row>
    <row r="30" spans="1:10" ht="30" customHeight="1" thickBot="1" x14ac:dyDescent="0.35">
      <c r="A30" s="4"/>
      <c r="B30" s="57" t="s">
        <v>5</v>
      </c>
      <c r="C30" s="58"/>
      <c r="D30" s="58"/>
      <c r="E30" s="10">
        <f>SUM(E8:E29)</f>
        <v>85</v>
      </c>
      <c r="F30" s="10">
        <f>SUM(F8:F29)</f>
        <v>67.25</v>
      </c>
      <c r="G30" s="90"/>
      <c r="H30" s="91"/>
      <c r="I30" s="91"/>
      <c r="J30" s="92"/>
    </row>
    <row r="31" spans="1:10" ht="30" customHeight="1" thickBot="1" x14ac:dyDescent="0.35">
      <c r="A31" s="4"/>
      <c r="B31" s="57" t="s">
        <v>54</v>
      </c>
      <c r="C31" s="58"/>
      <c r="D31" s="58"/>
      <c r="E31" s="78">
        <f>F30/E30/100*100</f>
        <v>0.79117647058823526</v>
      </c>
      <c r="F31" s="78"/>
      <c r="G31" s="78"/>
      <c r="H31" s="78"/>
      <c r="I31" s="78"/>
      <c r="J31" s="79"/>
    </row>
    <row r="32" spans="1:10" ht="30" customHeight="1" thickBot="1" x14ac:dyDescent="0.35">
      <c r="A32" s="4"/>
      <c r="B32" s="57" t="s">
        <v>55</v>
      </c>
      <c r="C32" s="58"/>
      <c r="D32" s="58"/>
      <c r="E32" s="69" t="str">
        <f>_xlfn.IFS(E31&gt;=90%,"ممتاز",E31&gt;=80%,"جيد جداً",E31&gt;=70%,"جيد",E31&gt;=60%,"مقبول",E31&lt;60%,"راسب")</f>
        <v>جيد</v>
      </c>
      <c r="F32" s="69"/>
      <c r="G32" s="69"/>
      <c r="H32" s="69"/>
      <c r="I32" s="69"/>
      <c r="J32" s="70"/>
    </row>
    <row r="33" spans="1:10" ht="42" customHeight="1" x14ac:dyDescent="0.3">
      <c r="B33" s="65" t="s">
        <v>174</v>
      </c>
      <c r="C33" s="65"/>
      <c r="D33" s="65"/>
      <c r="E33" s="88" t="s">
        <v>52</v>
      </c>
      <c r="F33" s="88"/>
      <c r="G33" s="67" t="s">
        <v>135</v>
      </c>
      <c r="H33" s="67"/>
      <c r="I33" s="67"/>
      <c r="J33" s="67"/>
    </row>
    <row r="34" spans="1:10" ht="51" customHeight="1" x14ac:dyDescent="0.3">
      <c r="A34" s="5"/>
      <c r="B34" s="66"/>
      <c r="C34" s="66"/>
      <c r="D34" s="66"/>
      <c r="E34" s="89" t="s">
        <v>53</v>
      </c>
      <c r="F34" s="89"/>
      <c r="G34" s="68"/>
      <c r="H34" s="68"/>
      <c r="I34" s="68"/>
      <c r="J34" s="68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I27:J27"/>
    <mergeCell ref="E33:F33"/>
    <mergeCell ref="E34:F34"/>
    <mergeCell ref="G30:J30"/>
    <mergeCell ref="I9:J9"/>
    <mergeCell ref="I22:J22"/>
    <mergeCell ref="I23:J23"/>
    <mergeCell ref="I24:J24"/>
    <mergeCell ref="I25:J25"/>
    <mergeCell ref="I26:J26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E5:H5"/>
    <mergeCell ref="I5:J6"/>
    <mergeCell ref="I7:J7"/>
    <mergeCell ref="I10:J10"/>
    <mergeCell ref="B30:D30"/>
    <mergeCell ref="B31:D31"/>
    <mergeCell ref="B32:D3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I20:J20"/>
    <mergeCell ref="I21:J21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14" priority="57">
      <formula>$E32="راسب"</formula>
    </cfRule>
  </conditionalFormatting>
  <conditionalFormatting sqref="E32:J32">
    <cfRule type="expression" dxfId="13" priority="58">
      <formula>$E32="مقبول"</formula>
    </cfRule>
    <cfRule type="expression" dxfId="12" priority="59">
      <formula>$E32="جيد"</formula>
    </cfRule>
    <cfRule type="expression" dxfId="11" priority="60">
      <formula>$E32="جيد جداً"</formula>
    </cfRule>
    <cfRule type="expression" dxfId="10" priority="61">
      <formula>$E32="ممتاز"</formula>
    </cfRule>
  </conditionalFormatting>
  <conditionalFormatting sqref="F8:F2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6" priority="15" operator="containsText" text="أدخل اسم المحكم">
      <formula>NOT(ISERROR(SEARCH("أدخل اسم المحكم",G33)))</formula>
    </cfRule>
  </conditionalFormatting>
  <conditionalFormatting sqref="H8:H2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F26:F29 F19:F24 F14:F17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G33:J33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2025-10-07T18:12:56Z</dcterms:modified>
</cp:coreProperties>
</file>