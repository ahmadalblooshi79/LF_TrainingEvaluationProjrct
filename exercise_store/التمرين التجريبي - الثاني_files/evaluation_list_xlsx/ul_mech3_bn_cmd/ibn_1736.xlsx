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30C44B6-8197-4750-89A3-F76BFCE264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/>
  <c r="G16" i="2"/>
  <c r="H16" i="2" s="1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 s="1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 s="1"/>
</calcChain>
</file>

<file path=xl/sharedStrings.xml><?xml version="1.0" encoding="utf-8"?>
<sst xmlns="http://schemas.openxmlformats.org/spreadsheetml/2006/main" count="287" uniqueCount="227">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</sst>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129494</xdr:colOff>
      <xdr:row>57</xdr:row>
      <xdr:rowOff>1525</xdr:rowOff>
    </xdr:from>
    <xdr:to>
      <xdr:col>8</xdr:col>
      <xdr:colOff>303431</xdr:colOff>
      <xdr:row>57</xdr:row>
      <xdr:rowOff>393205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F3CB4A5-E359-C787-B30C-6F17921166D8}"/>
                </a:ext>
              </a:extLst>
            </xdr14:cNvPr>
            <xdr14:cNvContentPartPr/>
          </xdr14:nvContentPartPr>
          <xdr14:nvPr macro=""/>
          <xdr14:xfrm>
            <a:off x="10423399369" y="24300360"/>
            <a:ext cx="828360" cy="391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F3CB4A5-E359-C787-B30C-6F17921166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90369" y="24291720"/>
              <a:ext cx="846000" cy="40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636734</xdr:colOff>
      <xdr:row>57</xdr:row>
      <xdr:rowOff>188725</xdr:rowOff>
    </xdr:from>
    <xdr:to>
      <xdr:col>9</xdr:col>
      <xdr:colOff>276847</xdr:colOff>
      <xdr:row>58</xdr:row>
      <xdr:rowOff>16143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6590C0-176B-DE99-214C-8311F95F096E}"/>
                </a:ext>
              </a:extLst>
            </xdr14:cNvPr>
            <xdr14:cNvContentPartPr/>
          </xdr14:nvContentPartPr>
          <xdr14:nvPr macro=""/>
          <xdr14:xfrm>
            <a:off x="10422771529" y="24487560"/>
            <a:ext cx="948960" cy="477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6590C0-176B-DE99-214C-8311F95F096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762889" y="24478920"/>
              <a:ext cx="966600" cy="495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02:47.1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1893 1088 7353,'0'0'0,"0"0"0,-2-10 3129,0 6-1065,-1-11-1088,-1 11-415,1-6-265,1 6-168,2 4-128,-1-4 40,-2 1-56,2-7-40,0 10-48,0-3-48,1-1-49,0 4 201,0-4-232,0 1-16,0-7-8,0 10 48,0-3 48,0-7 56,0 8 88,0 2 16,0-4 80,0-7 56,0 8 72,0-8 24,2 7-8,-2-9 24,0 13-248,0-4 233,3-10-9,-3 10-32,2-10-40,0 11-72,1-12-24,-3 15-56,2-9 8,1-1-56,0-1-32,7 2-56,-8-1-32,10-1-16,-12 11 184,4-11-176,11 1 7,-3-1 9,-1 1 8,2 1-16,-1 5 0,-12 4 168,15-12-168,-1 9-8,2-8-48,-1 8 24,2 0 0,-1-1 0,-16 4 200,14-3-144,2 0 16,-2 1 32,0 2 48,2 0 16,-3 0-8,-13 0 40,14 0-56,0 1-16,-2 3 0,1 0 8,-1 1 24,0 6 40,-12-11 0,12 4 16,-3 6 32,1 0 0,-6-1 0,7 1 8,-8 0 0,-3-10-56,4 9 88,-1 2 0,1 0 24,-2 0 16,-2-1 24,0-10-152,0 12 176,-1-2 16,-4 1 16,-6-2-24,2 1 40,-2 1-16,11-11-208,-14 9 200,-2 1-16,-1-5-32,-1 7-32,0-9-23,0 2 15,18-5-112,-20 5 64,0-2 24,-1 1 0,-2-3-40,2 0 40,-3-1-56,24 0-32,-24 0 104,-1 0-120,2-3-96,-1-8-32,-1 7-184,1-10 39,24 14 289,-25-11-304,-1-1-24,0-1 0,-2 0 16,0-3-8,-1 1 32,29 15 288,-29-18-248,1 1 72,-2 0 80,0-2 48,-3 2 72,0 0 8,33 17-32,-34-17-8,1 0 48,-1 0-8,1 0-24,-2 2 72,0 1 0,35 14-80,-37-10 192,1 0-112,-1 0 32,1 7-16,1-10-32,0 10 168,35 3-232,-33-2 128,-1-8-16,1 10-64,0-3-80,1-1 104,2 2 48,30 2-120,-31 0 72,2-4 8,0 1-32,2-1-56,0 0 136,2 2 8,25 2-136,-25-2 40,1-2 0,1-7-112,2 9 56,1-8 56,3 8 80,17 2-120,-18-13 0,2 2 32,0-1 8,2-1-48,2 1 56,1 0-56,11 12 8,-9-16-72,4 1-40,-5-5 32,8 1-8,-2 0-24,3-1-64,1 20 176,0-21-256,0 1-80,2-2 16,8 2 48,-6 1 24,10 0-16,-14 19 264,11-18-232,3 0-96,2-2-80,2 2 32,1 3 152,4-2-72,-23 17 296,24-15-161,3-1-39,3 2-112,3 0 184,0 4 24,3-1-32,-36 11 136,36-11-128,2 0 0,1 2-48,-1 5 176,3-6-48,0 8-56,-41 2 104,39-4-56,2 2-112,-2 0 72,3 2 88,1 0-48,-1 1 0,-42-1 56,41 1-48,-2 3-56,-1 5 136,-1-4-24,-1 7-72,0-7 8,-36-5 56,35 13-176,-3-8-32,-1 9 88,-1-2-16,-2 0-72,-2 1 0,-26-13 208,25 12-328,-1 2-16,-4-1-16,0 1 56,-4 2 47,-1-2 33,-15-14 224,11 14-144,-2 0-32,-6 0 64,-1 0 80,-2 1 56,0 0 80,0-15-104,-1 16 144,-10-3 16,-1 1 8,-2 2-16,-6 0 8,-2 2-39,22-18-121,-27 18 128,-1-2 8,-4 1 24,-4 2 32,-1-1 16,-2 1 32,39-19-240,-43 20 240,-3-1 32,0 1-40,-5 2 0,-2 1-24,-3 1-40,56-24-168,-58 22 208,0 1 16,-2 0 0,-1 0 32,-1-1 8,-1 0 40,63-22-304,-64 21 312,2 1-16,0 0-39,2-2-73,0-1-64,1-1-40,59-18-80,-55 18 64,1-1-48,4-2 8,4 1-24,3 0-32,1-2 0,42-14 32,-39 14-80,2 0-104,2-1-112,4-1-337,2 0-815,3-3-296,26-9 1744,-25 4-1465,2 7 425,2-10-1640,21-1 2680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02:48.1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2550 27 11210,'0'0'0,"-11"-9"4577,-2-1-4017,13 10-560,-18-4 376,0 1-240,-1 3-192,-2 1-64,-3 9-88,-2 4 24,26-14 184,-27 19-96,-2 0-64,1 5-40,-2-1-104,1 0-192,0 0-160,29-23 656,-32 22-617,1-1-111,0-2 80,1-1 192,2-1-24,1-3 216,27-14 264,-26 14-280,0-3 40,2-6 72,-1 7 8,2-8 120,2 0 56,21-4-16,-20 4-72,-1 0 72,4-1 16,1 0-16,2-1 96,1-1-64,13-1-32,-11 1 56,0 0-32,1-1 8,0 0-8,5 0 0,-8 0 0,13 0-24,-5 0 72,-6 0-48,1 0-24,6 0 48,-7 0-8,1 2 48,10-2-88,-10 1 96,1 0-64,-3 0-32,0 0-16,0 1 0,-3 1 136,15-3-120,-14 4 96,-2-1-56,0 2 16,1 0-80,-2 0 40,1 4 112,16-9-128,-18 4 80,2 5-40,-2-5-40,2 1-64,0 0 0,0 4 168,16-9-104,-16 4-8,3 1 8,0 4 56,1-5-144,1-1 176,1 1-80,10-4-8,-10 5-32,0 0-40,-1-1-80,0 6 40,-1-6 200,1 0-160,11-4 72,-13 11-48,-1-7 0,-1 7-120,0-8 224,-3 7-48,0-7-8,18-3 0,-20 11-8,-1-7-48,0 5 72,-2-5-24,0 1 56,0 5-24,23-10-24,-25 4-8,1 6 64,-1-7 0,0 2 64,1 5-48,-1-7 0,25-3-72,-21 5-8,-1 0 0,2-2 96,1 1-64,1-2 16,3 0-24,15-2-16,-15 2-8,0-1 72,2-1-64,1 0 56,0 0-216,2-2-312,10 2 472,-11-3-744,0 0-513,1-8-279,5 7-224,-8-9 415,9 10 433,4 3 912,-9-15-504,5 4 464,-1 0-24,1-4 24,1 3 16,-1-1-32,4 13 56,-2-11 16,2-1-8,-1 1 24,1 2-8,-2-1 0,2 7 8,0 3-32,0-14 16,-1 11 80,1-9-48,0 8 80,-1-5 48,0 6 16,1 3-192,-2-3 344,1-1 8,0 2 0,0-1-47,0 3-65,-2 0-144,3 0-96,-2 0-16,0 0-40,-2 0-136,0 3-32,-5 1 15,-1 1 9,10-5 200,-12 13-112,1-2 72,-2 1 16,-2 1 16,-2 1 16,0 1 8,17-15-16,-18 17 64,-3 2 72,0 0 24,0 2 57,-4 0 47,1 2 16,24-23-280,-24 25 376,0-1 24,-1 1 56,0 2 48,-1-1 24,1 2 56,25-28-584,-25 30 616,0 0 49,2 0 31,1-1 0,0-2-16,3-1-88,19-26-592,-16 27 520,0-3-56,2 2-64,3-2-16,-2 0-47,9 0-33,4-24-304,-10 22 280,8 1-32,-2-1-40,3-1-24,0 0-32,1-2-16,0-19-136,3 17 144,7-1-48,-2 0 48,4-2-8,2 0 32,3-2 16,-17-12-184,18 9 192,4 1 40,4-7-16,3 7-16,5-9-48,0 0-48,-34-1-104,38 0 72,3 0-16,1-3-32,5-8-48,2 7-104,-1-6-352,-48 10 480,50-4-1056,2-9-816,1 9-1153,2-9-544,-1 3 945,-1 1 911,-53 9 1713,52-12-2952,-52 12 2952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14" zoomScale="130" zoomScaleNormal="100" zoomScaleSheetLayoutView="130" workbookViewId="0">
      <selection activeCell="F46" sqref="F4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5" t="s">
        <v>226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3">
      <c r="B2" s="12" t="s">
        <v>8</v>
      </c>
      <c r="C2" s="81" t="s">
        <v>40</v>
      </c>
      <c r="D2" s="81"/>
      <c r="E2" s="12" t="s">
        <v>7</v>
      </c>
      <c r="F2" s="76">
        <v>45952</v>
      </c>
      <c r="G2" s="76"/>
      <c r="H2" s="76"/>
      <c r="I2" s="76"/>
      <c r="J2" s="76"/>
    </row>
    <row r="3" spans="1:10" ht="30" customHeight="1" x14ac:dyDescent="0.3">
      <c r="B3" s="12" t="s">
        <v>9</v>
      </c>
      <c r="C3" s="81" t="s">
        <v>81</v>
      </c>
      <c r="D3" s="81"/>
      <c r="E3" s="12" t="s">
        <v>6</v>
      </c>
      <c r="F3" s="81" t="s">
        <v>92</v>
      </c>
      <c r="G3" s="81"/>
      <c r="H3" s="81"/>
      <c r="I3" s="81"/>
      <c r="J3" s="8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7" t="s">
        <v>0</v>
      </c>
      <c r="C5" s="78"/>
      <c r="D5" s="78"/>
      <c r="E5" s="86" t="s">
        <v>1</v>
      </c>
      <c r="F5" s="86"/>
      <c r="G5" s="86"/>
      <c r="H5" s="86"/>
      <c r="I5" s="86" t="s">
        <v>2</v>
      </c>
      <c r="J5" s="87"/>
    </row>
    <row r="6" spans="1:10" ht="24.9" customHeight="1" thickBot="1" x14ac:dyDescent="0.35">
      <c r="A6" s="10"/>
      <c r="B6" s="79"/>
      <c r="C6" s="80"/>
      <c r="D6" s="80"/>
      <c r="E6" s="11" t="s">
        <v>3</v>
      </c>
      <c r="F6" s="11" t="s">
        <v>4</v>
      </c>
      <c r="G6" s="11" t="s">
        <v>23</v>
      </c>
      <c r="H6" s="11" t="s">
        <v>24</v>
      </c>
      <c r="I6" s="88"/>
      <c r="J6" s="89"/>
    </row>
    <row r="7" spans="1:10" ht="24.9" customHeight="1" thickBot="1" x14ac:dyDescent="0.35">
      <c r="A7" s="10"/>
      <c r="B7" s="84" t="s">
        <v>21</v>
      </c>
      <c r="C7" s="85"/>
      <c r="D7" s="85"/>
      <c r="E7" s="28" t="s">
        <v>18</v>
      </c>
      <c r="F7" s="28" t="s">
        <v>19</v>
      </c>
      <c r="G7" s="28" t="s">
        <v>22</v>
      </c>
      <c r="H7" s="28" t="s">
        <v>20</v>
      </c>
      <c r="I7" s="90" t="s">
        <v>25</v>
      </c>
      <c r="J7" s="91"/>
    </row>
    <row r="8" spans="1:10" ht="30" customHeight="1" x14ac:dyDescent="0.3">
      <c r="A8" s="10"/>
      <c r="B8" s="47" t="s">
        <v>180</v>
      </c>
      <c r="C8" s="48"/>
      <c r="D8" s="48"/>
      <c r="E8" s="32"/>
      <c r="F8" s="33"/>
      <c r="G8" s="34"/>
      <c r="H8" s="35"/>
      <c r="I8" s="58"/>
      <c r="J8" s="59"/>
    </row>
    <row r="9" spans="1:10" ht="66.75" customHeight="1" x14ac:dyDescent="0.3">
      <c r="A9" s="10"/>
      <c r="B9" s="41" t="s">
        <v>181</v>
      </c>
      <c r="C9" s="42"/>
      <c r="D9" s="42"/>
      <c r="E9" s="9">
        <v>5</v>
      </c>
      <c r="F9" s="26">
        <v>4.25</v>
      </c>
      <c r="G9" s="29">
        <f>IFERROR(F9/E9,"")</f>
        <v>0.85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4"/>
      <c r="J9" s="55"/>
    </row>
    <row r="10" spans="1:10" ht="39.9" customHeight="1" x14ac:dyDescent="0.3">
      <c r="A10" s="10"/>
      <c r="B10" s="41" t="s">
        <v>182</v>
      </c>
      <c r="C10" s="42"/>
      <c r="D10" s="42"/>
      <c r="E10" s="9">
        <v>5</v>
      </c>
      <c r="F10" s="26">
        <v>4.25</v>
      </c>
      <c r="G10" s="29">
        <f t="shared" ref="G10:G53" si="0">IFERROR(F10/E10,"")</f>
        <v>0.85</v>
      </c>
      <c r="H10" s="30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4"/>
      <c r="J10" s="55"/>
    </row>
    <row r="11" spans="1:10" ht="30" customHeight="1" x14ac:dyDescent="0.3">
      <c r="A11" s="10"/>
      <c r="B11" s="41" t="s">
        <v>183</v>
      </c>
      <c r="C11" s="42"/>
      <c r="D11" s="42"/>
      <c r="E11" s="9"/>
      <c r="F11" s="26"/>
      <c r="G11" s="29"/>
      <c r="H11" s="30"/>
      <c r="I11" s="54"/>
      <c r="J11" s="55"/>
    </row>
    <row r="12" spans="1:10" ht="30" customHeight="1" x14ac:dyDescent="0.3">
      <c r="A12" s="10"/>
      <c r="B12" s="52" t="s">
        <v>184</v>
      </c>
      <c r="C12" s="53"/>
      <c r="D12" s="53"/>
      <c r="E12" s="9">
        <v>5</v>
      </c>
      <c r="F12" s="26">
        <v>4</v>
      </c>
      <c r="G12" s="29">
        <f t="shared" si="0"/>
        <v>0.8</v>
      </c>
      <c r="H12" s="30" t="str">
        <f t="shared" si="1"/>
        <v>جيد جداً</v>
      </c>
      <c r="I12" s="54"/>
      <c r="J12" s="55"/>
    </row>
    <row r="13" spans="1:10" ht="30" customHeight="1" x14ac:dyDescent="0.3">
      <c r="A13" s="10"/>
      <c r="B13" s="52" t="s">
        <v>185</v>
      </c>
      <c r="C13" s="53"/>
      <c r="D13" s="53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54"/>
      <c r="J13" s="55"/>
    </row>
    <row r="14" spans="1:10" ht="66.75" customHeight="1" x14ac:dyDescent="0.3">
      <c r="A14" s="10"/>
      <c r="B14" s="52" t="s">
        <v>186</v>
      </c>
      <c r="C14" s="53"/>
      <c r="D14" s="53"/>
      <c r="E14" s="9"/>
      <c r="F14" s="26"/>
      <c r="G14" s="29"/>
      <c r="H14" s="30"/>
      <c r="I14" s="54"/>
      <c r="J14" s="55"/>
    </row>
    <row r="15" spans="1:10" ht="30" customHeight="1" x14ac:dyDescent="0.3">
      <c r="A15" s="10"/>
      <c r="B15" s="50" t="s">
        <v>187</v>
      </c>
      <c r="C15" s="51"/>
      <c r="D15" s="51"/>
      <c r="E15" s="9">
        <v>5</v>
      </c>
      <c r="F15" s="26">
        <v>3.75</v>
      </c>
      <c r="G15" s="29">
        <f t="shared" si="0"/>
        <v>0.75</v>
      </c>
      <c r="H15" s="30" t="str">
        <f t="shared" si="1"/>
        <v>جيد</v>
      </c>
      <c r="I15" s="54"/>
      <c r="J15" s="55"/>
    </row>
    <row r="16" spans="1:10" ht="30" customHeight="1" x14ac:dyDescent="0.3">
      <c r="A16" s="10"/>
      <c r="B16" s="50" t="s">
        <v>188</v>
      </c>
      <c r="C16" s="51"/>
      <c r="D16" s="51"/>
      <c r="E16" s="9">
        <v>0</v>
      </c>
      <c r="F16" s="26" t="s">
        <v>17</v>
      </c>
      <c r="G16" s="29" t="str">
        <f t="shared" si="0"/>
        <v/>
      </c>
      <c r="H16" s="30" t="str">
        <f t="shared" si="1"/>
        <v>تم الإلغاء</v>
      </c>
      <c r="I16" s="54"/>
      <c r="J16" s="55"/>
    </row>
    <row r="17" spans="1:10" ht="30" customHeight="1" x14ac:dyDescent="0.3">
      <c r="A17" s="10"/>
      <c r="B17" s="50" t="s">
        <v>189</v>
      </c>
      <c r="C17" s="51"/>
      <c r="D17" s="51"/>
      <c r="E17" s="9">
        <v>0</v>
      </c>
      <c r="F17" s="26" t="s">
        <v>17</v>
      </c>
      <c r="G17" s="29" t="str">
        <f t="shared" si="0"/>
        <v/>
      </c>
      <c r="H17" s="30" t="str">
        <f t="shared" si="1"/>
        <v>تم الإلغاء</v>
      </c>
      <c r="I17" s="54"/>
      <c r="J17" s="55"/>
    </row>
    <row r="18" spans="1:10" ht="30" customHeight="1" x14ac:dyDescent="0.3">
      <c r="A18" s="10"/>
      <c r="B18" s="50" t="s">
        <v>190</v>
      </c>
      <c r="C18" s="51"/>
      <c r="D18" s="51"/>
      <c r="E18" s="9">
        <v>0</v>
      </c>
      <c r="F18" s="26" t="s">
        <v>17</v>
      </c>
      <c r="G18" s="29" t="str">
        <f t="shared" si="0"/>
        <v/>
      </c>
      <c r="H18" s="30" t="str">
        <f t="shared" si="1"/>
        <v>تم الإلغاء</v>
      </c>
      <c r="I18" s="54"/>
      <c r="J18" s="55"/>
    </row>
    <row r="19" spans="1:10" ht="30" customHeight="1" x14ac:dyDescent="0.3">
      <c r="A19" s="10"/>
      <c r="B19" s="39" t="s">
        <v>191</v>
      </c>
      <c r="C19" s="40"/>
      <c r="D19" s="40"/>
      <c r="E19" s="9">
        <v>5</v>
      </c>
      <c r="F19" s="26">
        <v>4</v>
      </c>
      <c r="G19" s="29">
        <f t="shared" si="0"/>
        <v>0.8</v>
      </c>
      <c r="H19" s="30" t="str">
        <f t="shared" si="1"/>
        <v>جيد جداً</v>
      </c>
      <c r="I19" s="54"/>
      <c r="J19" s="55"/>
    </row>
    <row r="20" spans="1:10" ht="30" customHeight="1" x14ac:dyDescent="0.3">
      <c r="A20" s="10"/>
      <c r="B20" s="39" t="s">
        <v>192</v>
      </c>
      <c r="C20" s="40"/>
      <c r="D20" s="40"/>
      <c r="E20" s="9">
        <v>5</v>
      </c>
      <c r="F20" s="26">
        <v>4</v>
      </c>
      <c r="G20" s="29">
        <f t="shared" si="0"/>
        <v>0.8</v>
      </c>
      <c r="H20" s="30" t="str">
        <f t="shared" si="1"/>
        <v>جيد جداً</v>
      </c>
      <c r="I20" s="54"/>
      <c r="J20" s="55"/>
    </row>
    <row r="21" spans="1:10" ht="39.9" customHeight="1" x14ac:dyDescent="0.3">
      <c r="A21" s="10"/>
      <c r="B21" s="41" t="s">
        <v>193</v>
      </c>
      <c r="C21" s="42"/>
      <c r="D21" s="42"/>
      <c r="E21" s="9">
        <v>5</v>
      </c>
      <c r="F21" s="26">
        <v>4.25</v>
      </c>
      <c r="G21" s="29">
        <f t="shared" si="0"/>
        <v>0.85</v>
      </c>
      <c r="H21" s="30" t="str">
        <f t="shared" si="1"/>
        <v>جيد جداً</v>
      </c>
      <c r="I21" s="54"/>
      <c r="J21" s="55"/>
    </row>
    <row r="22" spans="1:10" ht="30" customHeight="1" x14ac:dyDescent="0.3">
      <c r="A22" s="10"/>
      <c r="B22" s="41" t="s">
        <v>221</v>
      </c>
      <c r="C22" s="42"/>
      <c r="D22" s="42"/>
      <c r="E22" s="9"/>
      <c r="F22" s="26"/>
      <c r="G22" s="29"/>
      <c r="H22" s="30"/>
      <c r="I22" s="54"/>
      <c r="J22" s="55"/>
    </row>
    <row r="23" spans="1:10" ht="30" customHeight="1" x14ac:dyDescent="0.3">
      <c r="A23" s="10"/>
      <c r="B23" s="39" t="s">
        <v>194</v>
      </c>
      <c r="C23" s="40"/>
      <c r="D23" s="40"/>
      <c r="E23" s="9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54"/>
      <c r="J23" s="55"/>
    </row>
    <row r="24" spans="1:10" ht="30" customHeight="1" x14ac:dyDescent="0.3">
      <c r="A24" s="10"/>
      <c r="B24" s="39" t="s">
        <v>195</v>
      </c>
      <c r="C24" s="40"/>
      <c r="D24" s="40"/>
      <c r="E24" s="9">
        <v>5</v>
      </c>
      <c r="F24" s="26">
        <v>3.5</v>
      </c>
      <c r="G24" s="29">
        <f t="shared" si="0"/>
        <v>0.7</v>
      </c>
      <c r="H24" s="30" t="str">
        <f t="shared" si="1"/>
        <v>جيد</v>
      </c>
      <c r="I24" s="54"/>
      <c r="J24" s="55"/>
    </row>
    <row r="25" spans="1:10" ht="39.9" customHeight="1" x14ac:dyDescent="0.3">
      <c r="A25" s="10"/>
      <c r="B25" s="39" t="s">
        <v>196</v>
      </c>
      <c r="C25" s="40"/>
      <c r="D25" s="40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54"/>
      <c r="J25" s="55"/>
    </row>
    <row r="26" spans="1:10" ht="30" customHeight="1" x14ac:dyDescent="0.3">
      <c r="A26" s="10"/>
      <c r="B26" s="41" t="s">
        <v>197</v>
      </c>
      <c r="C26" s="42"/>
      <c r="D26" s="42"/>
      <c r="E26" s="9">
        <v>5</v>
      </c>
      <c r="F26" s="26">
        <v>3.5</v>
      </c>
      <c r="G26" s="29">
        <f t="shared" si="0"/>
        <v>0.7</v>
      </c>
      <c r="H26" s="30" t="str">
        <f t="shared" si="1"/>
        <v>جيد</v>
      </c>
      <c r="I26" s="54"/>
      <c r="J26" s="55"/>
    </row>
    <row r="27" spans="1:10" ht="30" customHeight="1" x14ac:dyDescent="0.3">
      <c r="A27" s="10"/>
      <c r="B27" s="41" t="s">
        <v>198</v>
      </c>
      <c r="C27" s="42"/>
      <c r="D27" s="42"/>
      <c r="E27" s="9">
        <v>5</v>
      </c>
      <c r="F27" s="26">
        <v>3.5</v>
      </c>
      <c r="G27" s="29">
        <f t="shared" si="0"/>
        <v>0.7</v>
      </c>
      <c r="H27" s="30" t="str">
        <f t="shared" si="1"/>
        <v>جيد</v>
      </c>
      <c r="I27" s="54"/>
      <c r="J27" s="55"/>
    </row>
    <row r="28" spans="1:10" ht="30" customHeight="1" x14ac:dyDescent="0.3">
      <c r="A28" s="10"/>
      <c r="B28" s="41" t="s">
        <v>199</v>
      </c>
      <c r="C28" s="42"/>
      <c r="D28" s="42"/>
      <c r="E28" s="9">
        <v>5</v>
      </c>
      <c r="F28" s="26">
        <v>3.5</v>
      </c>
      <c r="G28" s="29">
        <f t="shared" si="0"/>
        <v>0.7</v>
      </c>
      <c r="H28" s="30" t="str">
        <f t="shared" si="1"/>
        <v>جيد</v>
      </c>
      <c r="I28" s="54"/>
      <c r="J28" s="55"/>
    </row>
    <row r="29" spans="1:10" ht="39.9" customHeight="1" x14ac:dyDescent="0.3">
      <c r="A29" s="10"/>
      <c r="B29" s="41" t="s">
        <v>200</v>
      </c>
      <c r="C29" s="42"/>
      <c r="D29" s="42"/>
      <c r="E29" s="9">
        <v>5</v>
      </c>
      <c r="F29" s="26">
        <v>4</v>
      </c>
      <c r="G29" s="29">
        <f t="shared" si="0"/>
        <v>0.8</v>
      </c>
      <c r="H29" s="30" t="str">
        <f t="shared" si="1"/>
        <v>جيد جداً</v>
      </c>
      <c r="I29" s="54"/>
      <c r="J29" s="55"/>
    </row>
    <row r="30" spans="1:10" ht="30" customHeight="1" x14ac:dyDescent="0.3">
      <c r="A30" s="10"/>
      <c r="B30" s="41" t="s">
        <v>201</v>
      </c>
      <c r="C30" s="42"/>
      <c r="D30" s="42"/>
      <c r="E30" s="9">
        <v>5</v>
      </c>
      <c r="F30" s="26">
        <v>3.75</v>
      </c>
      <c r="G30" s="29">
        <f t="shared" si="0"/>
        <v>0.75</v>
      </c>
      <c r="H30" s="30" t="str">
        <f t="shared" si="1"/>
        <v>جيد</v>
      </c>
      <c r="I30" s="54"/>
      <c r="J30" s="55"/>
    </row>
    <row r="31" spans="1:10" ht="30" customHeight="1" x14ac:dyDescent="0.3">
      <c r="A31" s="10"/>
      <c r="B31" s="41" t="s">
        <v>202</v>
      </c>
      <c r="C31" s="42"/>
      <c r="D31" s="42"/>
      <c r="E31" s="9">
        <v>5</v>
      </c>
      <c r="F31" s="26">
        <v>3.5</v>
      </c>
      <c r="G31" s="29">
        <f t="shared" si="0"/>
        <v>0.7</v>
      </c>
      <c r="H31" s="30" t="str">
        <f t="shared" si="1"/>
        <v>جيد</v>
      </c>
      <c r="I31" s="54"/>
      <c r="J31" s="55"/>
    </row>
    <row r="32" spans="1:10" ht="30" customHeight="1" x14ac:dyDescent="0.3">
      <c r="A32" s="10"/>
      <c r="B32" s="41" t="s">
        <v>203</v>
      </c>
      <c r="C32" s="42"/>
      <c r="D32" s="42"/>
      <c r="E32" s="9">
        <v>5</v>
      </c>
      <c r="F32" s="26">
        <v>3.5</v>
      </c>
      <c r="G32" s="29">
        <f t="shared" si="0"/>
        <v>0.7</v>
      </c>
      <c r="H32" s="30" t="str">
        <f t="shared" si="1"/>
        <v>جيد</v>
      </c>
      <c r="I32" s="54"/>
      <c r="J32" s="55"/>
    </row>
    <row r="33" spans="1:10" ht="39.9" customHeight="1" thickBot="1" x14ac:dyDescent="0.35">
      <c r="A33" s="10"/>
      <c r="B33" s="43" t="s">
        <v>204</v>
      </c>
      <c r="C33" s="44"/>
      <c r="D33" s="4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6"/>
      <c r="J33" s="57"/>
    </row>
    <row r="34" spans="1:10" ht="30" customHeight="1" x14ac:dyDescent="0.3">
      <c r="A34" s="10"/>
      <c r="B34" s="47" t="s">
        <v>220</v>
      </c>
      <c r="C34" s="48"/>
      <c r="D34" s="48"/>
      <c r="E34" s="48"/>
      <c r="F34" s="48"/>
      <c r="G34" s="48"/>
      <c r="H34" s="48"/>
      <c r="I34" s="48"/>
      <c r="J34" s="49"/>
    </row>
    <row r="35" spans="1:10" ht="30" customHeight="1" x14ac:dyDescent="0.3">
      <c r="A35" s="10"/>
      <c r="B35" s="41" t="s">
        <v>222</v>
      </c>
      <c r="C35" s="42"/>
      <c r="D35" s="42"/>
      <c r="E35" s="9">
        <v>5</v>
      </c>
      <c r="F35" s="26">
        <v>4.25</v>
      </c>
      <c r="G35" s="29">
        <f t="shared" si="0"/>
        <v>0.85</v>
      </c>
      <c r="H35" s="30" t="str">
        <f t="shared" si="1"/>
        <v>جيد جداً</v>
      </c>
      <c r="I35" s="54"/>
      <c r="J35" s="55"/>
    </row>
    <row r="36" spans="1:10" ht="30" customHeight="1" x14ac:dyDescent="0.3">
      <c r="A36" s="10"/>
      <c r="B36" s="41" t="s">
        <v>223</v>
      </c>
      <c r="C36" s="42"/>
      <c r="D36" s="42"/>
      <c r="E36" s="9">
        <v>5</v>
      </c>
      <c r="F36" s="26">
        <v>4.25</v>
      </c>
      <c r="G36" s="29">
        <f t="shared" si="0"/>
        <v>0.85</v>
      </c>
      <c r="H36" s="30" t="str">
        <f t="shared" si="1"/>
        <v>جيد جداً</v>
      </c>
      <c r="I36" s="54"/>
      <c r="J36" s="55"/>
    </row>
    <row r="37" spans="1:10" ht="39.9" customHeight="1" x14ac:dyDescent="0.3">
      <c r="A37" s="10"/>
      <c r="B37" s="41" t="s">
        <v>224</v>
      </c>
      <c r="C37" s="42"/>
      <c r="D37" s="42"/>
      <c r="E37" s="9">
        <v>5</v>
      </c>
      <c r="F37" s="26">
        <v>4.25</v>
      </c>
      <c r="G37" s="29">
        <f t="shared" si="0"/>
        <v>0.85</v>
      </c>
      <c r="H37" s="30" t="str">
        <f t="shared" si="1"/>
        <v>جيد جداً</v>
      </c>
      <c r="I37" s="54"/>
      <c r="J37" s="55"/>
    </row>
    <row r="38" spans="1:10" ht="39.9" customHeight="1" thickBot="1" x14ac:dyDescent="0.35">
      <c r="A38" s="10"/>
      <c r="B38" s="43" t="s">
        <v>225</v>
      </c>
      <c r="C38" s="44"/>
      <c r="D38" s="44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6"/>
      <c r="J38" s="57"/>
    </row>
    <row r="39" spans="1:10" ht="30" customHeight="1" x14ac:dyDescent="0.3">
      <c r="A39" s="10"/>
      <c r="B39" s="47" t="s">
        <v>205</v>
      </c>
      <c r="C39" s="48"/>
      <c r="D39" s="48"/>
      <c r="E39" s="48">
        <v>5</v>
      </c>
      <c r="F39" s="48" t="s">
        <v>61</v>
      </c>
      <c r="G39" s="48" t="str">
        <f t="shared" si="0"/>
        <v/>
      </c>
      <c r="H39" s="48" t="str">
        <f t="shared" si="1"/>
        <v/>
      </c>
      <c r="I39" s="48"/>
      <c r="J39" s="49"/>
    </row>
    <row r="40" spans="1:10" ht="30" customHeight="1" x14ac:dyDescent="0.3">
      <c r="A40" s="10"/>
      <c r="B40" s="41" t="s">
        <v>206</v>
      </c>
      <c r="C40" s="42"/>
      <c r="D40" s="42"/>
      <c r="E40" s="9">
        <v>5</v>
      </c>
      <c r="F40" s="26">
        <v>4</v>
      </c>
      <c r="G40" s="29">
        <f t="shared" si="0"/>
        <v>0.8</v>
      </c>
      <c r="H40" s="30" t="str">
        <f t="shared" si="1"/>
        <v>جيد جداً</v>
      </c>
      <c r="I40" s="54"/>
      <c r="J40" s="55"/>
    </row>
    <row r="41" spans="1:10" ht="30" customHeight="1" x14ac:dyDescent="0.3">
      <c r="A41" s="10"/>
      <c r="B41" s="41" t="s">
        <v>207</v>
      </c>
      <c r="C41" s="42"/>
      <c r="D41" s="42"/>
      <c r="E41" s="9">
        <v>5</v>
      </c>
      <c r="F41" s="26">
        <v>4</v>
      </c>
      <c r="G41" s="29">
        <f t="shared" si="0"/>
        <v>0.8</v>
      </c>
      <c r="H41" s="30" t="str">
        <f t="shared" si="1"/>
        <v>جيد جداً</v>
      </c>
      <c r="I41" s="54"/>
      <c r="J41" s="55"/>
    </row>
    <row r="42" spans="1:10" ht="30" customHeight="1" x14ac:dyDescent="0.3">
      <c r="A42" s="10"/>
      <c r="B42" s="45" t="s">
        <v>208</v>
      </c>
      <c r="C42" s="46"/>
      <c r="D42" s="46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54"/>
      <c r="J42" s="55"/>
    </row>
    <row r="43" spans="1:10" ht="39.9" customHeight="1" x14ac:dyDescent="0.3">
      <c r="A43" s="10"/>
      <c r="B43" s="45" t="s">
        <v>209</v>
      </c>
      <c r="C43" s="46"/>
      <c r="D43" s="46"/>
      <c r="E43" s="9">
        <v>5</v>
      </c>
      <c r="F43" s="26">
        <v>4.25</v>
      </c>
      <c r="G43" s="29">
        <f t="shared" si="0"/>
        <v>0.85</v>
      </c>
      <c r="H43" s="30" t="str">
        <f t="shared" si="1"/>
        <v>جيد جداً</v>
      </c>
      <c r="I43" s="54"/>
      <c r="J43" s="55"/>
    </row>
    <row r="44" spans="1:10" ht="30" customHeight="1" x14ac:dyDescent="0.3">
      <c r="A44" s="10"/>
      <c r="B44" s="41" t="s">
        <v>210</v>
      </c>
      <c r="C44" s="42"/>
      <c r="D44" s="42"/>
      <c r="E44" s="9">
        <v>5</v>
      </c>
      <c r="F44" s="26">
        <v>4.25</v>
      </c>
      <c r="G44" s="29">
        <f t="shared" si="0"/>
        <v>0.85</v>
      </c>
      <c r="H44" s="30" t="str">
        <f t="shared" si="1"/>
        <v>جيد جداً</v>
      </c>
      <c r="I44" s="54"/>
      <c r="J44" s="55"/>
    </row>
    <row r="45" spans="1:10" ht="39.9" customHeight="1" x14ac:dyDescent="0.3">
      <c r="A45" s="10"/>
      <c r="B45" s="41" t="s">
        <v>211</v>
      </c>
      <c r="C45" s="42"/>
      <c r="D45" s="42"/>
      <c r="E45" s="9">
        <v>5</v>
      </c>
      <c r="F45" s="26">
        <v>4.25</v>
      </c>
      <c r="G45" s="29">
        <f t="shared" si="0"/>
        <v>0.85</v>
      </c>
      <c r="H45" s="30" t="str">
        <f t="shared" si="1"/>
        <v>جيد جداً</v>
      </c>
      <c r="I45" s="54"/>
      <c r="J45" s="55"/>
    </row>
    <row r="46" spans="1:10" ht="30" customHeight="1" x14ac:dyDescent="0.3">
      <c r="A46" s="10"/>
      <c r="B46" s="41" t="s">
        <v>212</v>
      </c>
      <c r="C46" s="42"/>
      <c r="D46" s="42"/>
      <c r="E46" s="9">
        <v>5</v>
      </c>
      <c r="F46" s="26">
        <v>4</v>
      </c>
      <c r="G46" s="29">
        <f t="shared" si="0"/>
        <v>0.8</v>
      </c>
      <c r="H46" s="30" t="str">
        <f t="shared" si="1"/>
        <v>جيد جداً</v>
      </c>
      <c r="I46" s="54"/>
      <c r="J46" s="55"/>
    </row>
    <row r="47" spans="1:10" ht="30" customHeight="1" x14ac:dyDescent="0.3">
      <c r="A47" s="10"/>
      <c r="B47" s="41" t="s">
        <v>213</v>
      </c>
      <c r="C47" s="42"/>
      <c r="D47" s="42"/>
      <c r="E47" s="9">
        <v>5</v>
      </c>
      <c r="F47" s="26">
        <v>3.75</v>
      </c>
      <c r="G47" s="29">
        <f t="shared" si="0"/>
        <v>0.75</v>
      </c>
      <c r="H47" s="30" t="str">
        <f t="shared" si="1"/>
        <v>جيد</v>
      </c>
      <c r="I47" s="54"/>
      <c r="J47" s="55"/>
    </row>
    <row r="48" spans="1:10" ht="39.9" customHeight="1" x14ac:dyDescent="0.3">
      <c r="A48" s="10"/>
      <c r="B48" s="41" t="s">
        <v>214</v>
      </c>
      <c r="C48" s="42"/>
      <c r="D48" s="42"/>
      <c r="E48" s="9"/>
      <c r="F48" s="26"/>
      <c r="G48" s="29"/>
      <c r="H48" s="30"/>
      <c r="I48" s="54"/>
      <c r="J48" s="55"/>
    </row>
    <row r="49" spans="1:10" ht="30" customHeight="1" x14ac:dyDescent="0.3">
      <c r="A49" s="10"/>
      <c r="B49" s="39" t="s">
        <v>215</v>
      </c>
      <c r="C49" s="40"/>
      <c r="D49" s="40"/>
      <c r="E49" s="9">
        <v>5</v>
      </c>
      <c r="F49" s="26">
        <v>4.25</v>
      </c>
      <c r="G49" s="29">
        <f t="shared" si="0"/>
        <v>0.85</v>
      </c>
      <c r="H49" s="30" t="str">
        <f t="shared" si="1"/>
        <v>جيد جداً</v>
      </c>
      <c r="I49" s="54"/>
      <c r="J49" s="55"/>
    </row>
    <row r="50" spans="1:10" ht="30" customHeight="1" x14ac:dyDescent="0.3">
      <c r="A50" s="10"/>
      <c r="B50" s="39" t="s">
        <v>216</v>
      </c>
      <c r="C50" s="40"/>
      <c r="D50" s="40"/>
      <c r="E50" s="9">
        <v>5</v>
      </c>
      <c r="F50" s="26">
        <v>4.25</v>
      </c>
      <c r="G50" s="29">
        <f t="shared" si="0"/>
        <v>0.85</v>
      </c>
      <c r="H50" s="30" t="str">
        <f t="shared" si="1"/>
        <v>جيد جداً</v>
      </c>
      <c r="I50" s="54"/>
      <c r="J50" s="55"/>
    </row>
    <row r="51" spans="1:10" ht="39.9" customHeight="1" x14ac:dyDescent="0.3">
      <c r="A51" s="10"/>
      <c r="B51" s="39" t="s">
        <v>217</v>
      </c>
      <c r="C51" s="40"/>
      <c r="D51" s="40"/>
      <c r="E51" s="9">
        <v>5</v>
      </c>
      <c r="F51" s="26">
        <v>4.25</v>
      </c>
      <c r="G51" s="29">
        <f t="shared" si="0"/>
        <v>0.85</v>
      </c>
      <c r="H51" s="30" t="str">
        <f t="shared" si="1"/>
        <v>جيد جداً</v>
      </c>
      <c r="I51" s="54"/>
      <c r="J51" s="55"/>
    </row>
    <row r="52" spans="1:10" ht="30" customHeight="1" x14ac:dyDescent="0.3">
      <c r="A52" s="10"/>
      <c r="B52" s="39" t="s">
        <v>218</v>
      </c>
      <c r="C52" s="40"/>
      <c r="D52" s="40"/>
      <c r="E52" s="9">
        <v>5</v>
      </c>
      <c r="F52" s="26">
        <v>4.25</v>
      </c>
      <c r="G52" s="29">
        <f t="shared" si="0"/>
        <v>0.85</v>
      </c>
      <c r="H52" s="30" t="str">
        <f t="shared" si="1"/>
        <v>جيد جداً</v>
      </c>
      <c r="I52" s="54"/>
      <c r="J52" s="55"/>
    </row>
    <row r="53" spans="1:10" ht="39.9" customHeight="1" thickBot="1" x14ac:dyDescent="0.35">
      <c r="A53" s="10"/>
      <c r="B53" s="43" t="s">
        <v>219</v>
      </c>
      <c r="C53" s="44"/>
      <c r="D53" s="44"/>
      <c r="E53" s="36">
        <v>5</v>
      </c>
      <c r="F53" s="27">
        <v>4.25</v>
      </c>
      <c r="G53" s="37">
        <f t="shared" si="0"/>
        <v>0.85</v>
      </c>
      <c r="H53" s="38" t="str">
        <f t="shared" si="1"/>
        <v>جيد جداً</v>
      </c>
      <c r="I53" s="56"/>
      <c r="J53" s="57"/>
    </row>
    <row r="54" spans="1:10" ht="30" customHeight="1" thickBot="1" x14ac:dyDescent="0.35">
      <c r="A54" s="4"/>
      <c r="B54" s="60" t="s">
        <v>5</v>
      </c>
      <c r="C54" s="61"/>
      <c r="D54" s="61"/>
      <c r="E54" s="31">
        <f>SUM(E8:E53)</f>
        <v>185</v>
      </c>
      <c r="F54" s="31">
        <f>SUM(F8:F53)</f>
        <v>142</v>
      </c>
      <c r="G54" s="72"/>
      <c r="H54" s="73"/>
      <c r="I54" s="73"/>
      <c r="J54" s="74"/>
    </row>
    <row r="55" spans="1:10" ht="30" customHeight="1" thickBot="1" x14ac:dyDescent="0.35">
      <c r="A55" s="4"/>
      <c r="B55" s="62" t="s">
        <v>54</v>
      </c>
      <c r="C55" s="63"/>
      <c r="D55" s="63"/>
      <c r="E55" s="82">
        <f>F54/E54/100*100</f>
        <v>0.76756756756756761</v>
      </c>
      <c r="F55" s="82"/>
      <c r="G55" s="82"/>
      <c r="H55" s="82"/>
      <c r="I55" s="82"/>
      <c r="J55" s="83"/>
    </row>
    <row r="56" spans="1:10" ht="30" customHeight="1" thickBot="1" x14ac:dyDescent="0.35">
      <c r="A56" s="4"/>
      <c r="B56" s="62" t="s">
        <v>55</v>
      </c>
      <c r="C56" s="63"/>
      <c r="D56" s="63"/>
      <c r="E56" s="68" t="str">
        <f>_xlfn.IFS(E55&gt;=90%,"ممتاز",E55&gt;=80%,"جيد جداً",E55&gt;=70%,"جيد",E55&gt;=60%,"مقبول",E55&lt;60%,"راسب")</f>
        <v>جيد</v>
      </c>
      <c r="F56" s="68"/>
      <c r="G56" s="68"/>
      <c r="H56" s="68"/>
      <c r="I56" s="68"/>
      <c r="J56" s="69"/>
    </row>
    <row r="57" spans="1:10" ht="42" customHeight="1" x14ac:dyDescent="0.3">
      <c r="B57" s="64" t="s">
        <v>174</v>
      </c>
      <c r="C57" s="64"/>
      <c r="D57" s="64"/>
      <c r="E57" s="70" t="s">
        <v>52</v>
      </c>
      <c r="F57" s="70"/>
      <c r="G57" s="66" t="s">
        <v>92</v>
      </c>
      <c r="H57" s="66"/>
      <c r="I57" s="66"/>
      <c r="J57" s="66"/>
    </row>
    <row r="58" spans="1:10" ht="51" customHeight="1" x14ac:dyDescent="0.3">
      <c r="A58" s="5"/>
      <c r="B58" s="65"/>
      <c r="C58" s="65"/>
      <c r="D58" s="65"/>
      <c r="E58" s="71" t="s">
        <v>53</v>
      </c>
      <c r="F58" s="71"/>
      <c r="G58" s="67"/>
      <c r="H58" s="67"/>
      <c r="I58" s="67"/>
      <c r="J58" s="67"/>
    </row>
  </sheetData>
  <sheetProtection formatCells="0" formatColumns="0" formatRows="0" insertColumns="0" insertRows="0" insertHyperlinks="0" deleteColumns="0" deleteRows="0" selectLockedCells="1" sort="0" autoFilter="0" pivotTables="0"/>
  <mergeCells count="111"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B52:D52"/>
    <mergeCell ref="B53:D53"/>
    <mergeCell ref="B50:D50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1:D51"/>
    <mergeCell ref="B35:D35"/>
    <mergeCell ref="B36:D36"/>
    <mergeCell ref="B37:D37"/>
    <mergeCell ref="B38:D38"/>
    <mergeCell ref="B40:D40"/>
    <mergeCell ref="B41:D41"/>
    <mergeCell ref="B42:D42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58">
      <formula>$E56="مقبول"</formula>
    </cfRule>
    <cfRule type="expression" dxfId="18" priority="59">
      <formula>$E56="جيد"</formula>
    </cfRule>
    <cfRule type="expression" dxfId="17" priority="60">
      <formula>$E56="جيد جداً"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5" operator="containsText" text="أدخل العلامة">
      <formula>NOT(ISERROR(SEARCH("أدخل العلامة",H8)))</formula>
    </cfRule>
    <cfRule type="containsText" dxfId="9" priority="6" operator="containsText" text="ممتاز">
      <formula>NOT(ISERROR(SEARCH("ممتاز",H8)))</formula>
    </cfRule>
    <cfRule type="containsText" dxfId="8" priority="7" operator="containsText" text="جيد جداً">
      <formula>NOT(ISERROR(SEARCH("جيد جداً",H8)))</formula>
    </cfRule>
    <cfRule type="containsText" dxfId="7" priority="8" operator="containsText" text="جيد">
      <formula>NOT(ISERROR(SEARCH("جيد",H8)))</formula>
    </cfRule>
    <cfRule type="containsText" dxfId="6" priority="9" operator="containsText" text="مقبول">
      <formula>NOT(ISERROR(SEARCH("مقبول",H8)))</formula>
    </cfRule>
    <cfRule type="containsText" dxfId="5" priority="10" operator="containsText" text="راسب">
      <formula>NOT(ISERROR(SEARCH("راسب",H8)))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2025-10-23T04:12:03Z</dcterms:modified>
</cp:coreProperties>
</file>