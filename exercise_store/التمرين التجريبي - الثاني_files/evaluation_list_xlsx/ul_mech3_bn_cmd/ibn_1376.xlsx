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9B8DE91-BBC2-C447-A1CA-89B4E379DDC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<sst xmlns="http://schemas.openxmlformats.org/spreadsheetml/2006/main" count="269" uniqueCount="213">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</sst>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131124</xdr:colOff>
      <xdr:row>43</xdr:row>
      <xdr:rowOff>21748</xdr:rowOff>
    </xdr:from>
    <xdr:to>
      <xdr:col>9</xdr:col>
      <xdr:colOff>48303</xdr:colOff>
      <xdr:row>43</xdr:row>
      <xdr:rowOff>488668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095A17D-C340-1CB8-7CE8-83977244ACC8}"/>
                </a:ext>
              </a:extLst>
            </xdr14:cNvPr>
            <xdr14:cNvContentPartPr/>
          </xdr14:nvContentPartPr>
          <xdr14:nvPr macro=""/>
          <xdr14:xfrm>
            <a:off x="10398538516" y="16935840"/>
            <a:ext cx="1233360" cy="466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095A17D-C340-1CB8-7CE8-83977244AC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29516" y="16926840"/>
              <a:ext cx="1251000" cy="484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14:26:02.1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1359 966 23629,'0'0'0,"-41"-5"1464,8-6-840,33 11-624,-36-11 200,7-4-120,24-3-88,0-8-136,5 26 144,-5-28-104,-9-6 8,14-3 96,-7-4-32,7 41 32,-12-42 104,7 0-80,-7-1-80,5 5 0,7 38 56,-12-36-184,7 5 0,2 4 64,-4 3 32,7 24 88,-12-24-112,10 2-24,-1 5-88,-1 2 0,4 15 224,-3-12-272,3 8 8,-2-9-32,2 9 47,0 4 249,0-6-128,0-7 32,0 9 56,2 0-40,-2 4 80,0-13-40,5 9-32,-3-9 88,-2 9-32,0 4 16,3-13 80,-3 9-64,2-1 0,-2 1 80,0 4-96,0-4 0,0 3 0,0-1-88,0 2 40,0 0 48,0 0-160,0 0-16,0 0-32,0 0-120,0 0 1200,0 0-1960,5 0 912,0 0 80,-3 0 32,-2 0 64,15 0-16,-11 3 8,11 0 8,-1 0-40,-14-3 40,17 11-48,0-8 48,0 8-56,2-7 32,-19-4 24,15 13-80,6-8 32,-2 10 8,-2-2-40,-17-13 80,19 14-64,-2 0-48,3 3 32,-4 3 16,-16-20 64,17 20-48,2 2 24,3-1-40,0-1 40,-22-20 24,19 17-56,3-1 0,-1-4 24,6-7 0,-27-5 32,26 15 24,3-11-88,0 8 48,-5-9-16,-24-3 32,29 11-32,2-8 48,-2 0-16,2 1 24,-31-4-24,32 3-48,-1-3 96,2 3-184,4-3 208,-37 0-72,36 0 56,-5 0-56,3 0 160,-3 0-248,-31 0 88,34 0 16,-1 0-80,1 0 72,0-2 16,-34 2-24,36-1 16,0-3 8,-3-9-72,3 9 8,-36 4 40,34-13-8,-3 8-8,1-7 56,-6 7-32,-26 5-8,22-5-32,-1 0 56,-6 1-128,-10 1 16,-5 3 88,14-1-24,-9 0-40,-3-1 112,3 2-32,-5 0-16,3 0 40,-3 0 136,0 0 88,0 0 128,0 0-392,0 0 352,-5 3-144,-12 1-96,-5 0-88,22-4-24,-21 15 32,-8-12-8,-7 9-24,-5-7 16,41-5-16,-46 14 48,-2-10 72,-3 12-96,-1-5 0,52-11-24,-53 4-48,0 13 32,-3-5-72,1-1 72,55-11 16,-55 13-24,-5 3-56,2 2 168,-5 5-136,63-23 48,-62 25 16,-3 4 8,-5 1-64,3 1 88,67-31-48,-75 30-48,3 0 8,2-5-48,1-1-176,69-24 264,-70 22-512,2-2-272,3 0-240,-4-2-33,69-18 1057,-65 17-936,-3-1 192,6-1 256,-1 0 144,63-15 344,-65 11-176,0-7 112,5 10 64,3-11 24,57-3-24,-53 4 88,0 8 72,2-12 16,6 4 112,45-4-288,-41 3 304,7 0-8,5-3 16,3 3 40,26-3-352,-20 0 408,4 0 32,4-2 64,7-2-55,5 4-449,-3-4 264,3 1-200,0-1-248,0-1-184,0 5 368,3-5-345,16-8 81,-5 7 128,10-11 32,-24 17 104,27-11-24,7-3 16,4-1-16,8-2 24,-46 17 0,48-18-72,10-2 32,2-1 88,5-4-8,-65 25-40,69-25 88,4-4 0,1-2-40,1-2 8,-75 33-56,79-35 120,3-1-8,2-1 8,3 0-40,-87 37-80,91-38 112,-2-2-15,2 0-73,1-2 24,-92 42-48,91-41-64,-2-1 88,3 1 0,-6 1 40,-86 40-64,87-38-48,2 1 8,-3 1 40,-4 1 0,-82 35 0,77-33 88,-2 2-88,-5 2 144,-3 4 16,-67 25-160,60-21 336,-7 1 56,-3 4-64,-4 5-64,-46 11-264,46-6 192,-8-5-56,-2 8-104,-9 0 32,-27 3-64,24-2-32,-2 2 24,-10 0 32,-12 0 24,0 0-48,7 0 128,-5 0 16,-2 3 168,0 0 88,0-3-400,-2 12 344,-15-1 40,-5 6-208,-4 4-136,26-21-40,-36 29 80,-5 3-80,-5 3-192,-9 2 152,55-37 40,-55 38 0,-10-3-8,-3 1 152,-4 0-104,72-36-40,-77 35 80,-2 2-96,-5 0 64,2 1-136,82-38 88,-92 39-128,3-1-88,-4 2-112,-6 0 0,99-40 328,-99 42-552,-6 1 168,-4 1 152,6-1 200,103-43 32,-99 38 304,10-4 176,7-5 16,10-7-104,72-22-392,-69 20 240,6-3-176,3-1-64,2-2-16,58-14 16,-55 12 0,-1-1 0,4-7 32,3 0 16,49-4-48,-43 5 40,2-1 0,5-4-24,0 0-16,36 0 0,-31 0-24,2-3-48,0-1-32,7-2-80,1-7-40,2 8-64,2-12-32,5 1 48,5-1-24,4 0 104,1 0 0,2-2 96,0 19 96,0-17-56,5-1-8,9 2 80,0-1-80,-14 17 64,17-14 0,-2-2 16,4 5-32,-2 0-8,-17 11 24,17-6-80,2 0 48,2 2-24,-4 1 56,-17 3 0,20-1 0,-6 1-48,3 0 8,-5 2-32,-12-2 72,12 5-64,0-1 16,-7 7-16,7-11 32,-12 0 32,2 12-64,13-9-24,-13 11 0,3-10 16,-5-4 72,2 16-24,1-12 104,-3 14 48,-3 0 24,3-18-152,-9 19 200,-6 4-104,3 1 8,-5 0-80,17-24-24,-19 26 40,2 1-8,0 0 0,8-3 24,9-24-56,-5 23 16,-10-5-32,15-2-16,-4-2 8,4-14 24,-5 15 0,5-1-40,0-1 16,-5-9-40,5-4 64,0 14-80,0-11-8,0 0-24,0 0-64,0-3 176,2 2-184,1-2-48,-1 3-16,3-3 32,-5 0 216,2 0-152,1 0 80,4 0 40,-4 0 32,-3 0 0,0 0-25,2 0 33,-2 0-40,0 0 56,0 0-24,0 3 25,5 0-1,0 1 72,-3 8-72,-2-12-24,2 2 56,1 10-24,-1-9-32,3 1-32,-5-4 32,5 13-24,-3-13-8,1 3-32,-3-1 40,0-2 24,2 0-32,0 3 8,-2-3-1,5 0 1,-5 0 24,5 3-40,0-3 32,0 0-8,7 0-40,-12 0 56,2 3-16,10-3-8,0 0 24,0 0 40,-12 0-40,12 0 8,3 0 16,4 0 24,0 0-24,-19 0-24,22 0 65,2 0-17,2 0 8,6 0 96,-32 0-152,28 0 216,4 0 64,4-2 32,0-2-24,-36 4-288,41-11 288,7 7-32,2-9-32,8 1 32,-58 12-256,65-12 288,5-4 64,7 2 0,7 0 224,-84 14-576,89-15 352,5 1-16,0 1-23,2 1-177,-96 12-136,103-12 176,-2-1-104,7-5-32,3-5 16,-111 23-56,116-27 40,-3-7 0,-3-4 32,1-1-224,-111 39 152,103-41-40,-7 1 40,-2 0-72,-10 2 152,-84 38-80,80-35 136,-8 2 48,-7 3 176,-5 2 88,-60 28-448,55-27 424,-4 1-40,-1 0-176,-4 1-64,-46 25-144,39-23 16,-3 3 0,-7 3-16,-5 4 32,-24 13-32,19-5 40,-5-1-40,-11 2 56,2 2-184,-5 2 128,0 0 40,0 0 48,-8 3-56,-6 1-8,14-4-24,-12 13-56,-7-9 0,2 13 24,-7-2 64,24-15-32,-22 12 32,0 3 40,1-1-72,-3 0 144,24-14-144,-24 16-16,0-2 0,4-1 32,1-2 8,19-11-24,-17 11 16,0 1-16,-2-8 48,-2 15-152,21-19 104,-17 12 0,-5 3 56,-2-1-72,-2 1 64,26-15-48,-27 18 88,-4-3-152,-3 1 56,0-2-56,34-14 64,-36 13-24,-2 0 40,-1 1-64,-4-3-40,43-11 88,-48 14-240,-5 2-216,0 0-16,-5 2-72,58-18 544,-57 21-376,1-1 192,1-1 176,9-2 128,46-17-120,-45 13 248,13-9 256,11 7 80,9-11 72,12 0-656,-3 0 520,3 0-320,0-2-240,5-4-152,-5 6 192,17-20-176,5 1 80,9-5-8,3-3 120,-34 27-16,36-27-40,2-3-8,-2 3 104,-2 2-128,-34 25 72,29-23 16,-5 5-40,-10 2 96,-2 10-32,-12 6-40,5-5-16,-3 2 176,-2 3-88,0 0 216,0 0-288,-12 3 192,-7 8-152,-5 0-48,-2 5-56,26-16 64,-29 18 16,-5 1 56,3-1 16,2-3-24,29-15-64,-26 4 56,11 7 16,3-11 0,7-1-128,5 1 56,-12-6 16,10-8-80,-3 0-80,0-2 104,5 16 40,0-17-192,0 1 160,3 1-8,1 3 56,-4 12-16,3-4 40,-3 0-72,0 2 96,0 2-80,0 0 16,0 3 40,-5 10-168,-12 6-264,-4 12-792,21-31 1184,-32 45-4193,11-8-1808,-13 6-4361,34-43 10362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D32" zoomScale="130" zoomScaleNormal="100" zoomScaleSheetLayoutView="130" workbookViewId="0">
      <selection activeCell="G44" sqref="G44:J4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1" t="s">
        <v>212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2">
      <c r="B2" s="12" t="s">
        <v>8</v>
      </c>
      <c r="C2" s="67" t="s">
        <v>40</v>
      </c>
      <c r="D2" s="67"/>
      <c r="E2" s="12" t="s">
        <v>7</v>
      </c>
      <c r="F2" s="62">
        <v>45931</v>
      </c>
      <c r="G2" s="62"/>
      <c r="H2" s="62"/>
      <c r="I2" s="62"/>
      <c r="J2" s="62"/>
    </row>
    <row r="3" spans="1:10" ht="30" customHeight="1" x14ac:dyDescent="0.2">
      <c r="B3" s="12" t="s">
        <v>9</v>
      </c>
      <c r="C3" s="67" t="s">
        <v>81</v>
      </c>
      <c r="D3" s="67"/>
      <c r="E3" s="12" t="s">
        <v>6</v>
      </c>
      <c r="F3" s="67" t="s">
        <v>105</v>
      </c>
      <c r="G3" s="67"/>
      <c r="H3" s="67"/>
      <c r="I3" s="67"/>
      <c r="J3" s="6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3" t="s">
        <v>0</v>
      </c>
      <c r="C5" s="64"/>
      <c r="D5" s="64"/>
      <c r="E5" s="85" t="s">
        <v>1</v>
      </c>
      <c r="F5" s="85"/>
      <c r="G5" s="85"/>
      <c r="H5" s="85"/>
      <c r="I5" s="85" t="s">
        <v>2</v>
      </c>
      <c r="J5" s="86"/>
    </row>
    <row r="6" spans="1:10" ht="24.95" customHeight="1" thickBot="1" x14ac:dyDescent="0.2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87"/>
      <c r="J6" s="88"/>
    </row>
    <row r="7" spans="1:10" ht="24.95" customHeight="1" thickBot="1" x14ac:dyDescent="0.25">
      <c r="A7" s="10"/>
      <c r="B7" s="55" t="s">
        <v>21</v>
      </c>
      <c r="C7" s="56"/>
      <c r="D7" s="56"/>
      <c r="E7" s="32" t="s">
        <v>18</v>
      </c>
      <c r="F7" s="32" t="s">
        <v>19</v>
      </c>
      <c r="G7" s="32" t="s">
        <v>22</v>
      </c>
      <c r="H7" s="32" t="s">
        <v>20</v>
      </c>
      <c r="I7" s="89" t="s">
        <v>25</v>
      </c>
      <c r="J7" s="90"/>
    </row>
    <row r="8" spans="1:10" ht="30" customHeight="1" x14ac:dyDescent="0.2">
      <c r="A8" s="10"/>
      <c r="B8" s="49" t="s">
        <v>180</v>
      </c>
      <c r="C8" s="50"/>
      <c r="D8" s="50"/>
      <c r="E8" s="30"/>
      <c r="F8" s="36"/>
      <c r="G8" s="37"/>
      <c r="H8" s="38"/>
      <c r="I8" s="53"/>
      <c r="J8" s="54"/>
    </row>
    <row r="9" spans="1:10" ht="30" customHeight="1" x14ac:dyDescent="0.2">
      <c r="A9" s="10"/>
      <c r="B9" s="51" t="s">
        <v>181</v>
      </c>
      <c r="C9" s="52"/>
      <c r="D9" s="52"/>
      <c r="E9" s="28">
        <v>5</v>
      </c>
      <c r="F9" s="26">
        <v>3.75</v>
      </c>
      <c r="G9" s="34">
        <f>IFERROR(F9/E9,"")</f>
        <v>0.75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2">
      <c r="A10" s="10"/>
      <c r="B10" s="51" t="s">
        <v>182</v>
      </c>
      <c r="C10" s="52"/>
      <c r="D10" s="52"/>
      <c r="E10" s="28">
        <v>6</v>
      </c>
      <c r="F10" s="26">
        <v>4.75</v>
      </c>
      <c r="G10" s="34">
        <f t="shared" ref="G10:G39" si="0">IFERROR(F10/E10,"")</f>
        <v>0.79166666666666663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2">
      <c r="A11" s="10"/>
      <c r="B11" s="51" t="s">
        <v>183</v>
      </c>
      <c r="C11" s="52"/>
      <c r="D11" s="52"/>
      <c r="E11" s="28">
        <v>6</v>
      </c>
      <c r="F11" s="26">
        <v>5</v>
      </c>
      <c r="G11" s="34">
        <f t="shared" si="0"/>
        <v>0.83333333333333337</v>
      </c>
      <c r="H11" s="35" t="str">
        <f t="shared" si="1"/>
        <v>جيد جداً</v>
      </c>
      <c r="I11" s="57"/>
      <c r="J11" s="58"/>
    </row>
    <row r="12" spans="1:10" ht="30" customHeight="1" thickBot="1" x14ac:dyDescent="0.25">
      <c r="A12" s="10"/>
      <c r="B12" s="47" t="s">
        <v>184</v>
      </c>
      <c r="C12" s="48"/>
      <c r="D12" s="48"/>
      <c r="E12" s="29">
        <v>5</v>
      </c>
      <c r="F12" s="27">
        <v>3.75</v>
      </c>
      <c r="G12" s="39">
        <f t="shared" si="0"/>
        <v>0.75</v>
      </c>
      <c r="H12" s="40" t="str">
        <f t="shared" si="1"/>
        <v>جيد</v>
      </c>
      <c r="I12" s="59"/>
      <c r="J12" s="60"/>
    </row>
    <row r="13" spans="1:10" ht="30" customHeight="1" x14ac:dyDescent="0.2">
      <c r="A13" s="10"/>
      <c r="B13" s="49" t="s">
        <v>185</v>
      </c>
      <c r="C13" s="50"/>
      <c r="D13" s="50"/>
      <c r="E13" s="30"/>
      <c r="F13" s="36"/>
      <c r="G13" s="37"/>
      <c r="H13" s="38"/>
      <c r="I13" s="53"/>
      <c r="J13" s="54"/>
    </row>
    <row r="14" spans="1:10" ht="30" customHeight="1" x14ac:dyDescent="0.2">
      <c r="A14" s="10"/>
      <c r="B14" s="51" t="s">
        <v>186</v>
      </c>
      <c r="C14" s="52"/>
      <c r="D14" s="52"/>
      <c r="E14" s="9">
        <v>8</v>
      </c>
      <c r="F14" s="26">
        <v>6.25</v>
      </c>
      <c r="G14" s="34">
        <f t="shared" si="0"/>
        <v>0.78125</v>
      </c>
      <c r="H14" s="35" t="str">
        <f t="shared" si="1"/>
        <v>جيد</v>
      </c>
      <c r="I14" s="57"/>
      <c r="J14" s="58"/>
    </row>
    <row r="15" spans="1:10" ht="30" customHeight="1" x14ac:dyDescent="0.2">
      <c r="A15" s="10"/>
      <c r="B15" s="51" t="s">
        <v>187</v>
      </c>
      <c r="C15" s="52"/>
      <c r="D15" s="52"/>
      <c r="E15" s="9">
        <v>8</v>
      </c>
      <c r="F15" s="26">
        <v>6.5</v>
      </c>
      <c r="G15" s="34">
        <f t="shared" si="0"/>
        <v>0.8125</v>
      </c>
      <c r="H15" s="35" t="str">
        <f t="shared" si="1"/>
        <v>جيد جداً</v>
      </c>
      <c r="I15" s="57"/>
      <c r="J15" s="58"/>
    </row>
    <row r="16" spans="1:10" ht="30" customHeight="1" x14ac:dyDescent="0.2">
      <c r="A16" s="10"/>
      <c r="B16" s="51" t="s">
        <v>188</v>
      </c>
      <c r="C16" s="52"/>
      <c r="D16" s="52"/>
      <c r="E16" s="9">
        <v>5</v>
      </c>
      <c r="F16" s="26">
        <v>4</v>
      </c>
      <c r="G16" s="34">
        <f t="shared" si="0"/>
        <v>0.8</v>
      </c>
      <c r="H16" s="35" t="str">
        <f t="shared" si="1"/>
        <v>جيد جداً</v>
      </c>
      <c r="I16" s="57"/>
      <c r="J16" s="58"/>
    </row>
    <row r="17" spans="1:10" ht="30" customHeight="1" thickBot="1" x14ac:dyDescent="0.25">
      <c r="A17" s="10"/>
      <c r="B17" s="47" t="s">
        <v>189</v>
      </c>
      <c r="C17" s="48"/>
      <c r="D17" s="48"/>
      <c r="E17" s="31">
        <v>6</v>
      </c>
      <c r="F17" s="27">
        <v>4.25</v>
      </c>
      <c r="G17" s="39">
        <f t="shared" si="0"/>
        <v>0.70833333333333337</v>
      </c>
      <c r="H17" s="40" t="str">
        <f t="shared" si="1"/>
        <v>جيد</v>
      </c>
      <c r="I17" s="59"/>
      <c r="J17" s="60"/>
    </row>
    <row r="18" spans="1:10" ht="30" customHeight="1" x14ac:dyDescent="0.2">
      <c r="A18" s="10"/>
      <c r="B18" s="49" t="s">
        <v>190</v>
      </c>
      <c r="C18" s="50"/>
      <c r="D18" s="50"/>
      <c r="E18" s="30"/>
      <c r="F18" s="36"/>
      <c r="G18" s="37"/>
      <c r="H18" s="38"/>
      <c r="I18" s="53"/>
      <c r="J18" s="54"/>
    </row>
    <row r="19" spans="1:10" ht="30" customHeight="1" x14ac:dyDescent="0.2">
      <c r="A19" s="10"/>
      <c r="B19" s="51" t="s">
        <v>191</v>
      </c>
      <c r="C19" s="52"/>
      <c r="D19" s="52"/>
      <c r="E19" s="28">
        <v>6</v>
      </c>
      <c r="F19" s="26">
        <v>5</v>
      </c>
      <c r="G19" s="34">
        <f t="shared" si="0"/>
        <v>0.83333333333333337</v>
      </c>
      <c r="H19" s="35" t="str">
        <f t="shared" si="1"/>
        <v>جيد جداً</v>
      </c>
      <c r="I19" s="57"/>
      <c r="J19" s="58"/>
    </row>
    <row r="20" spans="1:10" ht="30" customHeight="1" x14ac:dyDescent="0.2">
      <c r="A20" s="10"/>
      <c r="B20" s="51" t="s">
        <v>192</v>
      </c>
      <c r="C20" s="52"/>
      <c r="D20" s="52"/>
      <c r="E20" s="28">
        <v>6</v>
      </c>
      <c r="F20" s="26">
        <v>5</v>
      </c>
      <c r="G20" s="34">
        <f t="shared" si="0"/>
        <v>0.83333333333333337</v>
      </c>
      <c r="H20" s="35" t="str">
        <f t="shared" si="1"/>
        <v>جيد جداً</v>
      </c>
      <c r="I20" s="57"/>
      <c r="J20" s="58"/>
    </row>
    <row r="21" spans="1:10" ht="30" customHeight="1" x14ac:dyDescent="0.2">
      <c r="A21" s="10"/>
      <c r="B21" s="51" t="s">
        <v>193</v>
      </c>
      <c r="C21" s="52"/>
      <c r="D21" s="52"/>
      <c r="E21" s="28">
        <v>6</v>
      </c>
      <c r="F21" s="26">
        <v>4.25</v>
      </c>
      <c r="G21" s="34">
        <f t="shared" si="0"/>
        <v>0.70833333333333337</v>
      </c>
      <c r="H21" s="35" t="str">
        <f t="shared" si="1"/>
        <v>جيد</v>
      </c>
      <c r="I21" s="57"/>
      <c r="J21" s="58"/>
    </row>
    <row r="22" spans="1:10" ht="39.950000000000003" customHeight="1" x14ac:dyDescent="0.2">
      <c r="A22" s="10"/>
      <c r="B22" s="51" t="s">
        <v>194</v>
      </c>
      <c r="C22" s="52"/>
      <c r="D22" s="52"/>
      <c r="E22" s="28">
        <v>6</v>
      </c>
      <c r="F22" s="26">
        <v>4.25</v>
      </c>
      <c r="G22" s="34">
        <f t="shared" si="0"/>
        <v>0.70833333333333337</v>
      </c>
      <c r="H22" s="35" t="str">
        <f t="shared" si="1"/>
        <v>جيد</v>
      </c>
      <c r="I22" s="57"/>
      <c r="J22" s="58"/>
    </row>
    <row r="23" spans="1:10" ht="30" customHeight="1" thickBot="1" x14ac:dyDescent="0.25">
      <c r="A23" s="10"/>
      <c r="B23" s="47" t="s">
        <v>195</v>
      </c>
      <c r="C23" s="48"/>
      <c r="D23" s="48"/>
      <c r="E23" s="29">
        <v>6</v>
      </c>
      <c r="F23" s="27">
        <v>4.25</v>
      </c>
      <c r="G23" s="39">
        <f t="shared" si="0"/>
        <v>0.70833333333333337</v>
      </c>
      <c r="H23" s="40" t="str">
        <f t="shared" si="1"/>
        <v>جيد</v>
      </c>
      <c r="I23" s="59"/>
      <c r="J23" s="60"/>
    </row>
    <row r="24" spans="1:10" ht="30" customHeight="1" x14ac:dyDescent="0.2">
      <c r="A24" s="10"/>
      <c r="B24" s="49" t="s">
        <v>196</v>
      </c>
      <c r="C24" s="50"/>
      <c r="D24" s="50"/>
      <c r="E24" s="30"/>
      <c r="F24" s="36"/>
      <c r="G24" s="37"/>
      <c r="H24" s="38"/>
      <c r="I24" s="53"/>
      <c r="J24" s="54"/>
    </row>
    <row r="25" spans="1:10" ht="39.950000000000003" customHeight="1" x14ac:dyDescent="0.2">
      <c r="A25" s="10"/>
      <c r="B25" s="43" t="s">
        <v>197</v>
      </c>
      <c r="C25" s="44"/>
      <c r="D25" s="44"/>
      <c r="E25" s="28">
        <v>5</v>
      </c>
      <c r="F25" s="26">
        <v>3.25</v>
      </c>
      <c r="G25" s="34">
        <f t="shared" si="0"/>
        <v>0.65</v>
      </c>
      <c r="H25" s="35" t="str">
        <f t="shared" si="1"/>
        <v>مقبول</v>
      </c>
      <c r="I25" s="57"/>
      <c r="J25" s="58"/>
    </row>
    <row r="26" spans="1:10" ht="39.950000000000003" customHeight="1" x14ac:dyDescent="0.2">
      <c r="A26" s="10"/>
      <c r="B26" s="43" t="s">
        <v>198</v>
      </c>
      <c r="C26" s="44"/>
      <c r="D26" s="44"/>
      <c r="E26" s="28">
        <v>5</v>
      </c>
      <c r="F26" s="26">
        <v>3.5</v>
      </c>
      <c r="G26" s="34">
        <f t="shared" si="0"/>
        <v>0.7</v>
      </c>
      <c r="H26" s="35" t="str">
        <f t="shared" si="1"/>
        <v>جيد</v>
      </c>
      <c r="I26" s="57"/>
      <c r="J26" s="58"/>
    </row>
    <row r="27" spans="1:10" ht="30" customHeight="1" x14ac:dyDescent="0.2">
      <c r="A27" s="10"/>
      <c r="B27" s="43" t="s">
        <v>199</v>
      </c>
      <c r="C27" s="44"/>
      <c r="D27" s="44"/>
      <c r="E27" s="28">
        <v>5</v>
      </c>
      <c r="F27" s="26">
        <v>3.25</v>
      </c>
      <c r="G27" s="34">
        <f t="shared" si="0"/>
        <v>0.65</v>
      </c>
      <c r="H27" s="35" t="str">
        <f t="shared" si="1"/>
        <v>مقبول</v>
      </c>
      <c r="I27" s="57"/>
      <c r="J27" s="58"/>
    </row>
    <row r="28" spans="1:10" ht="30" customHeight="1" x14ac:dyDescent="0.2">
      <c r="A28" s="10"/>
      <c r="B28" s="43" t="s">
        <v>200</v>
      </c>
      <c r="C28" s="44"/>
      <c r="D28" s="44"/>
      <c r="E28" s="28">
        <v>5</v>
      </c>
      <c r="F28" s="26">
        <v>3.5</v>
      </c>
      <c r="G28" s="34">
        <f t="shared" si="0"/>
        <v>0.7</v>
      </c>
      <c r="H28" s="35" t="str">
        <f t="shared" si="1"/>
        <v>جيد</v>
      </c>
      <c r="I28" s="57"/>
      <c r="J28" s="58"/>
    </row>
    <row r="29" spans="1:10" ht="30" customHeight="1" x14ac:dyDescent="0.2">
      <c r="A29" s="10"/>
      <c r="B29" s="43" t="s">
        <v>201</v>
      </c>
      <c r="C29" s="44"/>
      <c r="D29" s="44"/>
      <c r="E29" s="28">
        <v>5</v>
      </c>
      <c r="F29" s="26">
        <v>3.25</v>
      </c>
      <c r="G29" s="34">
        <f t="shared" si="0"/>
        <v>0.65</v>
      </c>
      <c r="H29" s="35" t="str">
        <f t="shared" si="1"/>
        <v>مقبول</v>
      </c>
      <c r="I29" s="57"/>
      <c r="J29" s="58"/>
    </row>
    <row r="30" spans="1:10" ht="30" customHeight="1" x14ac:dyDescent="0.2">
      <c r="A30" s="10"/>
      <c r="B30" s="43" t="s">
        <v>202</v>
      </c>
      <c r="C30" s="44"/>
      <c r="D30" s="44"/>
      <c r="E30" s="28">
        <v>5</v>
      </c>
      <c r="F30" s="26">
        <v>3.25</v>
      </c>
      <c r="G30" s="34">
        <f t="shared" si="0"/>
        <v>0.65</v>
      </c>
      <c r="H30" s="35" t="str">
        <f t="shared" si="1"/>
        <v>مقبول</v>
      </c>
      <c r="I30" s="57"/>
      <c r="J30" s="58"/>
    </row>
    <row r="31" spans="1:10" ht="30" customHeight="1" x14ac:dyDescent="0.2">
      <c r="A31" s="10"/>
      <c r="B31" s="43" t="s">
        <v>203</v>
      </c>
      <c r="C31" s="44"/>
      <c r="D31" s="44"/>
      <c r="E31" s="28">
        <v>5</v>
      </c>
      <c r="F31" s="26">
        <v>3.75</v>
      </c>
      <c r="G31" s="34">
        <f t="shared" si="0"/>
        <v>0.75</v>
      </c>
      <c r="H31" s="35" t="str">
        <f t="shared" si="1"/>
        <v>جيد</v>
      </c>
      <c r="I31" s="57"/>
      <c r="J31" s="58"/>
    </row>
    <row r="32" spans="1:10" ht="30" customHeight="1" x14ac:dyDescent="0.2">
      <c r="A32" s="10"/>
      <c r="B32" s="43" t="s">
        <v>204</v>
      </c>
      <c r="C32" s="44"/>
      <c r="D32" s="44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57"/>
      <c r="J32" s="58"/>
    </row>
    <row r="33" spans="1:10" ht="30" customHeight="1" x14ac:dyDescent="0.2">
      <c r="A33" s="10"/>
      <c r="B33" s="43" t="s">
        <v>205</v>
      </c>
      <c r="C33" s="44"/>
      <c r="D33" s="44"/>
      <c r="E33" s="28">
        <v>5</v>
      </c>
      <c r="F33" s="26">
        <v>3.25</v>
      </c>
      <c r="G33" s="34">
        <f t="shared" si="0"/>
        <v>0.65</v>
      </c>
      <c r="H33" s="35" t="str">
        <f t="shared" si="1"/>
        <v>مقبول</v>
      </c>
      <c r="I33" s="57"/>
      <c r="J33" s="58"/>
    </row>
    <row r="34" spans="1:10" ht="30" customHeight="1" thickBot="1" x14ac:dyDescent="0.25">
      <c r="A34" s="10"/>
      <c r="B34" s="47" t="s">
        <v>206</v>
      </c>
      <c r="C34" s="48"/>
      <c r="D34" s="48"/>
      <c r="E34" s="29">
        <v>5</v>
      </c>
      <c r="F34" s="27">
        <v>3.75</v>
      </c>
      <c r="G34" s="39">
        <f t="shared" si="0"/>
        <v>0.75</v>
      </c>
      <c r="H34" s="40" t="str">
        <f t="shared" si="1"/>
        <v>جيد</v>
      </c>
      <c r="I34" s="59"/>
      <c r="J34" s="60"/>
    </row>
    <row r="35" spans="1:10" ht="30" customHeight="1" x14ac:dyDescent="0.2">
      <c r="A35" s="10"/>
      <c r="B35" s="41" t="s">
        <v>207</v>
      </c>
      <c r="C35" s="42"/>
      <c r="D35" s="42"/>
      <c r="E35" s="30"/>
      <c r="F35" s="36"/>
      <c r="G35" s="37"/>
      <c r="H35" s="38"/>
      <c r="I35" s="53"/>
      <c r="J35" s="54"/>
    </row>
    <row r="36" spans="1:10" ht="30" customHeight="1" x14ac:dyDescent="0.2">
      <c r="A36" s="10"/>
      <c r="B36" s="43" t="s">
        <v>208</v>
      </c>
      <c r="C36" s="44"/>
      <c r="D36" s="44"/>
      <c r="E36" s="9">
        <v>6</v>
      </c>
      <c r="F36" s="26">
        <v>5</v>
      </c>
      <c r="G36" s="34">
        <f t="shared" si="0"/>
        <v>0.83333333333333337</v>
      </c>
      <c r="H36" s="35" t="str">
        <f t="shared" si="1"/>
        <v>جيد جداً</v>
      </c>
      <c r="I36" s="57"/>
      <c r="J36" s="58"/>
    </row>
    <row r="37" spans="1:10" ht="30" customHeight="1" x14ac:dyDescent="0.2">
      <c r="A37" s="10"/>
      <c r="B37" s="43" t="s">
        <v>209</v>
      </c>
      <c r="C37" s="44"/>
      <c r="D37" s="44"/>
      <c r="E37" s="9">
        <v>5</v>
      </c>
      <c r="F37" s="26">
        <v>3.5</v>
      </c>
      <c r="G37" s="34">
        <f t="shared" si="0"/>
        <v>0.7</v>
      </c>
      <c r="H37" s="35" t="str">
        <f t="shared" si="1"/>
        <v>جيد</v>
      </c>
      <c r="I37" s="57"/>
      <c r="J37" s="58"/>
    </row>
    <row r="38" spans="1:10" ht="30" customHeight="1" x14ac:dyDescent="0.2">
      <c r="A38" s="10"/>
      <c r="B38" s="43" t="s">
        <v>210</v>
      </c>
      <c r="C38" s="44"/>
      <c r="D38" s="44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57"/>
      <c r="J38" s="58"/>
    </row>
    <row r="39" spans="1:10" ht="30" customHeight="1" thickBot="1" x14ac:dyDescent="0.25">
      <c r="A39" s="10"/>
      <c r="B39" s="45" t="s">
        <v>211</v>
      </c>
      <c r="C39" s="46"/>
      <c r="D39" s="46"/>
      <c r="E39" s="31">
        <v>5</v>
      </c>
      <c r="F39" s="27">
        <v>4.25</v>
      </c>
      <c r="G39" s="39">
        <f t="shared" si="0"/>
        <v>0.85</v>
      </c>
      <c r="H39" s="40" t="str">
        <f t="shared" si="1"/>
        <v>جيد جداً</v>
      </c>
      <c r="I39" s="59"/>
      <c r="J39" s="60"/>
    </row>
    <row r="40" spans="1:10" ht="30" customHeight="1" thickBot="1" x14ac:dyDescent="0.25">
      <c r="A40" s="4"/>
      <c r="B40" s="76" t="s">
        <v>5</v>
      </c>
      <c r="C40" s="77"/>
      <c r="D40" s="77"/>
      <c r="E40" s="33">
        <f>SUM(E8:E39)</f>
        <v>150</v>
      </c>
      <c r="F40" s="33">
        <f>SUM(F8:F39)</f>
        <v>112</v>
      </c>
      <c r="G40" s="82"/>
      <c r="H40" s="83"/>
      <c r="I40" s="83"/>
      <c r="J40" s="84"/>
    </row>
    <row r="41" spans="1:10" ht="30" customHeight="1" thickBot="1" x14ac:dyDescent="0.25">
      <c r="A41" s="4"/>
      <c r="B41" s="78" t="s">
        <v>54</v>
      </c>
      <c r="C41" s="79"/>
      <c r="D41" s="79"/>
      <c r="E41" s="74">
        <f>F40/E40/100*100</f>
        <v>0.7466666666666667</v>
      </c>
      <c r="F41" s="74"/>
      <c r="G41" s="74"/>
      <c r="H41" s="74"/>
      <c r="I41" s="74"/>
      <c r="J41" s="75"/>
    </row>
    <row r="42" spans="1:10" ht="30" customHeight="1" thickBot="1" x14ac:dyDescent="0.25">
      <c r="A42" s="4"/>
      <c r="B42" s="78" t="s">
        <v>55</v>
      </c>
      <c r="C42" s="79"/>
      <c r="D42" s="79"/>
      <c r="E42" s="72" t="str">
        <f>_xlfn.IFS(E41&gt;=90%,"ممتاز",E41&gt;=80%,"جيد جداً",E41&gt;=70%,"جيد",E41&gt;=60%,"مقبول",E41&lt;60%,"راسب")</f>
        <v>جيد</v>
      </c>
      <c r="F42" s="72"/>
      <c r="G42" s="72"/>
      <c r="H42" s="72"/>
      <c r="I42" s="72"/>
      <c r="J42" s="73"/>
    </row>
    <row r="43" spans="1:10" ht="42" customHeight="1" x14ac:dyDescent="0.2">
      <c r="B43" s="68" t="s">
        <v>174</v>
      </c>
      <c r="C43" s="68"/>
      <c r="D43" s="68"/>
      <c r="E43" s="80" t="s">
        <v>52</v>
      </c>
      <c r="F43" s="80"/>
      <c r="G43" s="70" t="s">
        <v>105</v>
      </c>
      <c r="H43" s="70"/>
      <c r="I43" s="70"/>
      <c r="J43" s="70"/>
    </row>
    <row r="44" spans="1:10" ht="51" customHeight="1" x14ac:dyDescent="0.2">
      <c r="A44" s="5"/>
      <c r="B44" s="69"/>
      <c r="C44" s="69"/>
      <c r="D44" s="69"/>
      <c r="E44" s="81" t="s">
        <v>53</v>
      </c>
      <c r="F44" s="81"/>
      <c r="G44" s="71"/>
      <c r="H44" s="71"/>
      <c r="I44" s="71"/>
      <c r="J4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B1:J1"/>
    <mergeCell ref="F2:J2"/>
    <mergeCell ref="B5:D6"/>
    <mergeCell ref="C2:D2"/>
    <mergeCell ref="C3:D3"/>
    <mergeCell ref="F3:J3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2025-09-22T05:40:14Z</dcterms:modified>
</cp:coreProperties>
</file>