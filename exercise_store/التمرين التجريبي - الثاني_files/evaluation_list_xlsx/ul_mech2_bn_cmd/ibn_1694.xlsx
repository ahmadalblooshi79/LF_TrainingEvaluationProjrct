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A70AD1C-9267-C141-961B-188A8C2E43A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5" i="2"/>
  <c r="H25" i="2"/>
  <c r="G26" i="2"/>
  <c r="H26" i="2"/>
  <c r="G27" i="2"/>
  <c r="H27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F55" i="2"/>
  <c r="E55" i="2"/>
  <c r="E56" i="2"/>
  <c r="E57" i="2"/>
</calcChain>
</file>

<file path=xl/sharedStrings.xml><?xml version="1.0" encoding="utf-8"?>
<sst xmlns="http://schemas.openxmlformats.org/spreadsheetml/2006/main" count="285" uniqueCount="228">
  <si>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</si>
  <si>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</si>
  <si>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</si>
  <si>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</si>
  <si>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</si>
  <si>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</si>
  <si>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</si>
  <si>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</si>
  <si>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</si>
  <si>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</si>
  <si>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</si>
  <si>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</si>
  <si>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</si>
  <si>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</si>
  <si>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</si>
  <si>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</si>
  <si>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</si>
  <si>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</si>
  <si>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</si>
  <si>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</si>
  <si>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</si>
  <si>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</si>
  <si>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</si>
  <si>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</si>
  <si>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</si>
  <si>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</si>
  <si>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</si>
  <si>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</si>
  <si>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</si>
  <si>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</si>
  <si>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</si>
  <si>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</si>
  <si>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</si>
  <si>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</si>
  <si>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</si>
  <si>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</si>
  <si>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</si>
  <si>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</si>
  <si>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</si>
  <si>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</si>
  <si>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</si>
  <si>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</si>
  <si>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</si>
  <si>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</si>
  <si>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</si>
  <si>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</si>
  <si>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</si>
  <si>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</si>
  <si>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</si>
  <si>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</si>
  <si>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</si>
  <si>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</si>
  <si>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</si>
  <si>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</si>
  <si>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</si>
  <si>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</si>
  <si>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</si>
  <si>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</si>
  <si>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</si>
  <si>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</si>
  <si>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</si>
  <si>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</si>
  <si>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</si>
  <si>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</si>
  <si>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</si>
  <si>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</si>
  <si>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</si>
  <si>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</si>
  <si>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</si>
  <si>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</si>
  <si>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</si>
  <si>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</si>
  <si>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</si>
  <si>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</si>
  <si>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</si>
  <si>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</si>
  <si>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</si>
  <si>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</si>
  <si>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</si>
  <si>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</si>
  <si>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</si>
  <si>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</si>
  <si>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</si>
  <si>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</si>
  <si>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</si>
  <si>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</si>
  <si>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</si>
  <si>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</si>
  <si>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</si>
  <si>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</si>
  <si>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</si>
  <si>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</si>
  <si>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</si>
  <si>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</si>
  <si>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</si>
  <si>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</si>
  <si>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</si>
  <si>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</si>
  <si>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</si>
  <si>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</si>
  <si>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</si>
  <si>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</si>
  <si>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</si>
  <si>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</si>
  <si>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</si>
  <si>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</si>
  <si>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</si>
  <si>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</si>
  <si>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</si>
  <si>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</si>
  <si>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</si>
  <si>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</si>
  <si>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</si>
  <si>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</si>
  <si>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</si>
  <si>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</si>
  <si>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</si>
  <si>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</si>
  <si>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</si>
  <si>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</si>
  <si>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</si>
  <si>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</si>
  <si>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</si>
  <si>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</si>
  <si>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</si>
  <si>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</si>
  <si>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</si>
  <si>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</si>
  <si>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</si>
  <si>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</si>
  <si>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</si>
  <si>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</si>
  <si>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</si>
  <si>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</si>
  <si>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</si>
  <si>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</si>
  <si>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</si>
  <si>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</si>
  <si>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</si>
  <si>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</si>
  <si>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</si>
  <si>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</si>
  <si>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</si>
  <si>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</si>
  <si>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</si>
  <si>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</si>
  <si>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</si>
  <si>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</si>
  <si>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</si>
  <si>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</si>
  <si>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</si>
  <si>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</si>
  <si>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</si>
  <si>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</si>
  <si>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</si>
  <si>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</si>
  <si>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</si>
  <si>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</si>
  <si>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</si>
  <si>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</si>
  <si>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</si>
  <si>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</si>
  <si>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</si>
  <si>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</si>
  <si>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</si>
  <si>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</si>
  <si>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</si>
  <si>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</si>
  <si>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</si>
  <si>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</si>
  <si>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</si>
  <si>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</si>
  <si>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</si>
  <si>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</si>
  <si>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</si>
  <si>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</si>
  <si>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</si>
  <si>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</si>
  <si>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</si>
  <si>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</si>
  <si>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احتلال منطقة التجمع الأمامية (سرية / فريق قتال)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</si>
  <si>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</t>
  </si>
  <si>
    <t>1.   يعمل القادة في السرية على فهم الموقف باستخدام كافة الوسائل المتوفرة.</t>
  </si>
  <si>
    <t>2.   تستلم السرية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</si>
  <si>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3.   يقوم قائد السرية ونائبه ووكيل السرية بالاستطلاع من الخارطة وتأشير نقاط الترجل.</t>
  </si>
  <si>
    <t>4.   تنفيذ الاستطلاع من الأرض إن أمكن للتأكد من أن منطقة التجمع المخصصة للسرية:</t>
  </si>
  <si>
    <t>أ.    محمية ومستورة.</t>
  </si>
  <si>
    <t>ب.    واسعة بحيث تساعد الوحدات المرؤوسة على الانفتاح والانتشار وبما يتوافق مع الموقف التعبوي لقوات العدو والقوات الصديقة وتكون مساحة الانتشار لسرية المشاة الالية عادة (1 كم²).</t>
  </si>
  <si>
    <t>6.   وضع الإشارات والعلامات لمنطقة تجمع السرية.</t>
  </si>
  <si>
    <t>7.   تقوم قيادة السرية بتحديد موقع لكل فصيل ضمن منطقة التجمع، وعادة تنتشر فصائل سرية المشاة الآلية ضمن (1 كم²) وتكون كثافة الانتشار (40) آلية لكل (1) كم² ومسافة 200 متر بين كل آلية وأخرى.</t>
  </si>
  <si>
    <t>8.   تحديد الأفراد الذين سيعملون ضمن جماعة المأوى للكتيبة/ مجموعة القتال.</t>
  </si>
  <si>
    <t>9.   تحديد نظام المسير الذي يساعد على الاحتلال السريع لمنطقة التجمع وحسب أوامر الكتيبة/ مجموعة القتال.</t>
  </si>
  <si>
    <t>10.   إعداد خطة للدفاع عن منطقة التجمع ضمن منطقة السرية وحسب أوامر الكتيبة/ مجموعة القتال.</t>
  </si>
  <si>
    <t>11.   تحديد أولوية العمل وتنفيذ أعمال الصيانة وإعادة التزويد.</t>
  </si>
  <si>
    <t>12.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</si>
  <si>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</si>
  <si>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التحضير</t>
  </si>
  <si>
    <t>1.   تقوم السرية بالتحضير لاحتلال منطقة التجمع كما يلي:</t>
  </si>
  <si>
    <t>أ.   تنفيذ تفقدات وتفتيشات ما قبل المعركة.</t>
  </si>
  <si>
    <t>ب.  الإشراف على إجراءات الوحدات المرؤوسة للتأكد من أن جهود التخطيط والتحضير تنفذ بما يتوافق مع قصد القائد.</t>
  </si>
  <si>
    <t>جـ.  إجراء التجارب خلال ساعات النهار وفي ظل ظروف الرؤية المحدودة إن أمكن.</t>
  </si>
  <si>
    <t>2.   تنفيذ التجارب بحيث يشمل:</t>
  </si>
  <si>
    <t>أ.   أسلوب الحركة من الموقع الحالي لمنطقة التجمع.</t>
  </si>
  <si>
    <t>ب.  إجراءات التماس مع العدو أثناء الحركة.</t>
  </si>
  <si>
    <t>3.   يصدر قائد السرية الأوامر لمعالجة أية تعديلات تطرأ على الخطة خلال التجارب وحسب الضرورة.</t>
  </si>
  <si>
    <t>4.   تحريك السرية إلى منطقة الاصطفاف المخصصة (نقطة البدء) تمهيداً لبدء الحركة.</t>
  </si>
  <si>
    <t>مرحلة التنفيذ</t>
  </si>
  <si>
    <t>1.   تغادر جماعة المأوى بالأمر نقطة الانتشار وتتحرك الى منطقة التجمع.</t>
  </si>
  <si>
    <t>2.   تحريك الجسم الرئيسي واحتلال منطقة التجمع حسب الخطة الموضوعة.</t>
  </si>
  <si>
    <t>3.   تطبق إجراءات حماية القوات أثناء الحركة.</t>
  </si>
  <si>
    <t>4.   تنظيم الدخول لمنطقة التجمع بنظام الفصائل وحسب تسلسل بدء الحركة ونظام المسير لكل فصيل ويأخذ كل فصيل قطاع محدد.</t>
  </si>
  <si>
    <t>5.   توجيه الأسلحة لتغطية قواطع المسؤولية.</t>
  </si>
  <si>
    <t>6.   إبلاغ قيادة الكتيبة/ مجموعة القتال بالوصول إلى منطقة التجمع.</t>
  </si>
  <si>
    <t>7.   توضيع مركز القيادة والنقليات في منتصف منطقة التجمع للسرية.</t>
  </si>
  <si>
    <t>8.   توضيع عناصر الإسناد القتالي وخاصة الهاون.</t>
  </si>
  <si>
    <t>9.   التنسيق مع الوحدات المجاورة في جميع الاتجاهات إن أمكن.</t>
  </si>
  <si>
    <t>10.   تنفيذ الأعمال في منطقة التجمع حسب الأولوية والأوامر المستديمة وتشمل:</t>
  </si>
  <si>
    <t>أ.   تعيين قواطع النيران المباشرة للفصائل.</t>
  </si>
  <si>
    <t>ب.  الدفاع الدائري ودفع نقاط الحراسة والمراقبة والإنذار المبكر وحسب أوامر الكتيبة/ مجموعة القتال.</t>
  </si>
  <si>
    <t>جـ.  تأكيد تفهم الأوامر وخطة العملية القادمة.</t>
  </si>
  <si>
    <t>د.   إعادة تزويد الآليات في حال كانت المسافة بعيدة بين منطقة الحشد والتجمع أو كانت الأرض وعرة وساعات تشغيل الآليات طويلة.</t>
  </si>
  <si>
    <t>11.   تنفيذ إجراءات الحماية على مستوى السرية وكما يلي:</t>
  </si>
  <si>
    <t>أ.   تعيين قواطع المسؤولية للفصائل بحيث تتقاطع أقواس الرمي فيما بينها لضمان الإسناد المتبادل وتغطية الفجوات بين القواطع بالنار والمراقبة.</t>
  </si>
  <si>
    <t>ب. إخراج الدوريات لمنع تسلل قوات العدو، وتطهير نقاط مراقبة العدو المحتملة ضمن قاطع المسؤولية (حسب الحاجة).</t>
  </si>
  <si>
    <t>جـ.  تعيين نقطة مراقبة وتعيين الافراد المعنيين بإدامتها.</t>
  </si>
  <si>
    <t>د.   التأكد من الاتصالات بين نقاط المراقبة والسرية.</t>
  </si>
  <si>
    <t>هـ.  السيطرة على الاضاءة، الضوضاء والتخلص من الفضلات.</t>
  </si>
  <si>
    <t>12.   استطلاع القادة لمواقع العدو للتأكيد على الخطة.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</si>
</sst>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2" borderId="26" xfId="0" applyFont="1" applyFill="1" applyBorder="1" applyAlignment="1">
      <alignment horizontal="right" vertical="center" wrapText="1" readingOrder="2"/>
    </xf>
    <xf numFmtId="0" fontId="14" fillId="2" borderId="3" xfId="0" applyFont="1" applyFill="1" applyBorder="1" applyAlignment="1">
      <alignment horizontal="right" vertical="center" wrapText="1" readingOrder="2"/>
    </xf>
    <xf numFmtId="0" fontId="14" fillId="2" borderId="26" xfId="0" applyFont="1" applyFill="1" applyBorder="1" applyAlignment="1">
      <alignment horizontal="right" vertical="center" wrapText="1" indent="2" readingOrder="2"/>
    </xf>
    <xf numFmtId="0" fontId="14" fillId="2" borderId="3" xfId="0" applyFont="1" applyFill="1" applyBorder="1" applyAlignment="1">
      <alignment horizontal="right" vertical="center" wrapText="1" indent="2" readingOrder="2"/>
    </xf>
    <xf numFmtId="0" fontId="14" fillId="2" borderId="11" xfId="0" applyFont="1" applyFill="1" applyBorder="1" applyAlignment="1">
      <alignment horizontal="right" vertical="center" wrapText="1" readingOrder="2"/>
    </xf>
    <xf numFmtId="0" fontId="14" fillId="2" borderId="12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25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103336</xdr:colOff>
      <xdr:row>58</xdr:row>
      <xdr:rowOff>2982</xdr:rowOff>
    </xdr:from>
    <xdr:to>
      <xdr:col>8</xdr:col>
      <xdr:colOff>13882</xdr:colOff>
      <xdr:row>58</xdr:row>
      <xdr:rowOff>547302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7DDFC5-867F-3E90-6724-58F4D4A4B644}"/>
                </a:ext>
              </a:extLst>
            </xdr14:cNvPr>
            <xdr14:cNvContentPartPr/>
          </xdr14:nvContentPartPr>
          <xdr14:nvPr macro=""/>
          <xdr14:xfrm>
            <a:off x="10421214108" y="25714440"/>
            <a:ext cx="1231560" cy="5443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7DDFC5-867F-3E90-6724-58F4D4A4B64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1205468" y="25705440"/>
              <a:ext cx="1249200" cy="561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42.7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2858 663 6673,'0'0'0,"-7"-2"1952,-10-2-1087,17 4-865,-7-2 752,-8 0-48,15 0-88,0 0-192,0 2-424,0-2 280,0 2-192,0 0-64,0 0 0,0 0-24,0 0 16,0 0 8,0 0 40,0 0 24,0 0-280,-2 0 520,2 0-120,-5 0 40,5 0-16,0 0-232,0 4 240,-5 0 8,-2 0-39,-14 2-9,21-6-200,-17 17 128,0-11-56,-5 20 24,-2-4-48,24-22-48,-29 26 16,0 2 48,-4 3 24,1-1-32,32-30-56,-38 32 96,2-2-40,0-3 16,2 1 48,34-28-120,-36 26 120,0 0-24,0-3 16,0 1-32,36-24-80,-34 20 64,5-4 48,5-10-104,5 12 72,19-18-80,-10 4 80,-4-4-24,9 0 32,5 0-32,0 0-56,-2 0 88,2 0-72,0-2-40,0-4-40,0 6 64,5-16-296,-3 8 0,15-16-32,-10 2 24,-7 22 304,24-25-216,-5-3 64,3 0 64,2 0 8,-24 28 80,22-26-24,-1 5-32,1 1-56,-3 14 64,-19 6 48,17-18-80,-12 16 40,0-4 8,9 4-65,-14 2 97,0-2-56,0 0-24,0 2 8,0 0 96,0 0-24,0 0-72,0 0 40,0 4-128,-2 0 8,2-4 152,-3 4-152,-4 2 8,5 10 96,-3-12-32,5-4 80,-5 6-24,-12 14 64,10-14 16,-5 11-8,12-17-48,-7 6 24,-13 14-56,16-16 40,-13 12-8,17-16 0,-7 4-64,-1 2 24,-8 0-8,13 10-64,3-16 112,-7 0-40,0 4-56,2-4 24,5 4 160,0-4-88,-2 0 0,-3 0 56,5 0-16,0 0-64,0 0 24,0 0 32,0 0 0,0 0-48,-3 0 0,3 0 16,0 0-32,-2 4-56,-1-4-32,-1 6-16,4-6 136,-10 6-200,-7 15 24,10-5 64,-15 0-16,22-16 128,-16 20-24,-4 0-16,3 0 24,-4-1 24,21-19-8,-19 20 48,-1-2 56,-4 0 48,3-2 56,21-16-208,-22 6 208,3 14-64,11-16 32,-4 0-40,12-4-136,-7 0 192,2 0 56,3 0-32,-5 0 40,7 0-256,0-6 160,-3-10-55,3-2-73,0-8-72,0 26 40,8-32-41,-4-5-7,18-7 32,-5-6-88,-17 50 104,19-57-48,10-5 8,2-5 0,3-2 0,-34 69 40,36-70-32,0-1 0,5 3 32,2 3 72,-43 65-72,36-60-8,5 5-88,-7 3-8,-3 7-32,-31 45 136,31-38-144,-9 8 104,-3 8-56,-11 16 80,-8 6 16,7-6-80,-7 5-24,0 1-56,0 3-208,0-3 368,-3 18-232,-13 4 32,-4 6 56,1 12 96,19-40 48,-29 43-48,-2 9-8,-3 3 40,-7 5-64,41-60 80,-38 63 16,-3 1-32,0-1 16,0 1 120,41-64-120,-45 63-24,-4 1 80,1-5 8,3 1 64,45-60-128,-48 53 216,-1-5-8,4-1-48,-1-5 104,46-42-264,-43 38 272,7-6 40,0-9 72,7-5-120,29-18-264,-22 6 185,8 0-9,9 0-40,2-6-16,3 0-120,-2 0 136,2 0-8,-5 0-40,5-4-96,0 4 8,0-6-88,7-2-112,-2-14-88,14 3 96,-19 19 192,8-26-193,11-4 89,5 2-24,-2-2 0,-22 30 128,24-29-152,-3 3-40,1 0-24,-5 4 24,-17 22 192,7-20-192,12 13 88,-16-9 64,1 14-48,-4 2 88,8-2-24,-8 0 96,0 2 48,-8 0-80,8 0-40,-4 0 80,1 4-112,-2 0-96,-2 0 88,7-4 40,-5 4-176,-11 0 56,16 2-48,-5-1 16,5-5 152,-17 16-48,10-12-48,-13 0 32,20 0 32,0-4 32,-7 4-24,0 0-24,7-4 80,-5 0-16,5 0-16,-9 4-80,9-4 8,-5 4 32,5 0-72,0-4 112,-3 4-88,-1 0 80,-4 0-64,1 2 48,7-6 24,-5 16 0,-16-10-16,16 14-40,-12-5 96,17-15-40,-14 20 0,6 0 48,-18 4-64,7 0-16,19-24 32,-5 22 32,-24-3-32,12-1 128,0-2 0,17-16-128,-16 16 88,-4-10 72,15 0 40,-9 0 32,14-6-232,-5 4 344,-2-4 56,5 0 56,-1-2-32,3 2-424,-2-6 360,2-12-223,0-2-49,0-8-56,0 28-32,5-37-120,19-11 40,-5-11-41,3-11 1,-22 70 120,31-75-48,5-9 24,2-5-24,6-6 64,-44 95-16,43-95-24,3 4 56,2 3-56,-3 5 56,-45 83-32,46-73-16,-5 5 96,-7 9-80,-1 13-64,-33 46 64,24-34 24,-4 11-32,-15 17-56,-1 0 72,-4 6-8,8-2-144,-4 2-104,-4 6 88,-2 21-96,2-27 256,-5 32-96,-17 8 16,3 9 32,-7 13 56,26-62-8,-34 67 32,-2 7 104,-10 1-88,1 0-32,45-75-16,-46 76 24,0-3 16,-2 1 168,-5-7 128,53-67-336,-50 63 432,2-3-159,2-3 47,3-7-112,43-50-208,-39 48 136,-4-5 56,14-5 88,0-6-72,29-32-208,-22 24 128,6-9-16,8-11-80,6 2-16,2-6-16,-2 4 72,2-4 64,0 0 0,0 0 0,0 0-136,0 0-72,0-4-48,2 0-72,0-2 48,-2 6 144,8-8-8,-4-7-80,13 7 48,-7-16 8,-10 24 32,19-20-56,-4-2 56,4 2-8,-14 3 8,-5 17 0,19-18-8,-14 10-16,2-12 48,10 14-40,-17 6 16,0-8-64,2 0 32,3 2 32,-5 4 40,0 2-40,0-2 32,0 0 16,-2 2-96,-1 0 104,3 0-56,0-2-8,-10 2-72,6-2 96,-1 0-88,5 2 72,-17-2 80,10-2-32,-8 0-192,-6 0-8,21 4 152,-24-4-72,-3 2 8,-2 0 112,-4 2 0,33 0-48,-41 0 0,2 0 136,-4 0 40,-5 0 8,48 0-184,-48 6 104,0 0-8,-5 12-56,0-12 16,53-6-56,-55 22-72,-8-4 152,-7 4-24,3 1 0,67-23-56,-72 30 160,2 2-80,0 2 64,8-3 16,62-31-160,-58 28 128,7 0 64,13-2-72,4-3-8,34-23-112,-26 22 128,9-4-176,17-2-40,-2-10-32,2-6 120,0 24-152,26-18 8,3 14 24,14-16 24,-43-4 96,56 0-24,16 0 56,26-20 56,18-10-40,-116 30-48,132-44 104,17-11-48,15-13 24,11-11-40,-175 79-40,190-81-40,8-7 32,6-1-64,-7-2 40,-197 91 32,193-93 0,-3-1 48,-5 1-8,-2 4 8,-183 89-48,171-89 48,-8 5-72,-26 11 16,-19 6 8,-118 67 0,94-58 8,-27 14 24,-24 11 112,-16 13 336,-27 14 400,-2-2 209,-32 2 23,-5 0-288,39 6-824,-55-4 448,-22 4-224,-17 6-120,-31 26-128,125-32 24,-147 37 0,-21 13 40,-17 16-56,-22 11 72,207-77-56,-216 89-16,-23 6-48,1 5 24,12-3-32,226-97 72,-207 91-64,25-8 16,16-7-32,26-11-120,140-65 200,-120 58-528,16-7-536,18-5-320,18-5-321,68-41 1705,-50 38-2000,11-8-1129,18-6-3256,21-24 6385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9"/>
  <sheetViews>
    <sheetView rightToLeft="1" tabSelected="1" view="pageBreakPreview" topLeftCell="A41" zoomScale="130" zoomScaleNormal="100" zoomScaleSheetLayoutView="130" workbookViewId="0">
      <selection activeCell="G58" sqref="G58:J5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5" t="s">
        <v>180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2">
      <c r="B2" s="12" t="s">
        <v>8</v>
      </c>
      <c r="C2" s="41" t="s">
        <v>39</v>
      </c>
      <c r="D2" s="41"/>
      <c r="E2" s="12" t="s">
        <v>7</v>
      </c>
      <c r="F2" s="36">
        <v>45952</v>
      </c>
      <c r="G2" s="36"/>
      <c r="H2" s="36"/>
      <c r="I2" s="36"/>
      <c r="J2" s="36"/>
    </row>
    <row r="3" spans="1:10" ht="30" customHeight="1" x14ac:dyDescent="0.2">
      <c r="B3" s="12" t="s">
        <v>9</v>
      </c>
      <c r="C3" s="41" t="s">
        <v>80</v>
      </c>
      <c r="D3" s="41"/>
      <c r="E3" s="12" t="s">
        <v>6</v>
      </c>
      <c r="F3" s="41" t="s">
        <v>141</v>
      </c>
      <c r="G3" s="41"/>
      <c r="H3" s="41"/>
      <c r="I3" s="41"/>
      <c r="J3" s="4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44" t="s">
        <v>21</v>
      </c>
      <c r="C7" s="45"/>
      <c r="D7" s="45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 x14ac:dyDescent="0.2">
      <c r="A8" s="10"/>
      <c r="B8" s="77" t="s">
        <v>181</v>
      </c>
      <c r="C8" s="78"/>
      <c r="D8" s="78"/>
      <c r="E8" s="78"/>
      <c r="F8" s="78"/>
      <c r="G8" s="78"/>
      <c r="H8" s="78"/>
      <c r="I8" s="78"/>
      <c r="J8" s="79"/>
    </row>
    <row r="9" spans="1:10" ht="30" customHeight="1" x14ac:dyDescent="0.2">
      <c r="A9" s="10"/>
      <c r="B9" s="71" t="s">
        <v>182</v>
      </c>
      <c r="C9" s="72"/>
      <c r="D9" s="72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69.75" customHeight="1" x14ac:dyDescent="0.2">
      <c r="A10" s="10"/>
      <c r="B10" s="71" t="s">
        <v>183</v>
      </c>
      <c r="C10" s="72"/>
      <c r="D10" s="72"/>
      <c r="E10" s="9">
        <v>5</v>
      </c>
      <c r="F10" s="26">
        <v>3.5</v>
      </c>
      <c r="G10" s="30">
        <f t="shared" ref="G10:G54" si="0">IFERROR(F10/E10,"")</f>
        <v>0.7</v>
      </c>
      <c r="H10" s="31" t="str">
        <f t="shared" ref="H10:H54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9.950000000000003" customHeight="1" x14ac:dyDescent="0.2">
      <c r="A11" s="10"/>
      <c r="B11" s="71" t="s">
        <v>184</v>
      </c>
      <c r="C11" s="72"/>
      <c r="D11" s="72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6"/>
      <c r="J11" s="47"/>
    </row>
    <row r="12" spans="1:10" ht="39.950000000000003" customHeight="1" x14ac:dyDescent="0.2">
      <c r="A12" s="10"/>
      <c r="B12" s="71" t="s">
        <v>185</v>
      </c>
      <c r="C12" s="72"/>
      <c r="D12" s="72"/>
      <c r="E12" s="9"/>
      <c r="F12" s="26"/>
      <c r="G12" s="30"/>
      <c r="H12" s="31"/>
      <c r="I12" s="46"/>
      <c r="J12" s="47"/>
    </row>
    <row r="13" spans="1:10" ht="30" customHeight="1" x14ac:dyDescent="0.2">
      <c r="A13" s="10"/>
      <c r="B13" s="73" t="s">
        <v>186</v>
      </c>
      <c r="C13" s="74"/>
      <c r="D13" s="74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6"/>
      <c r="J13" s="47"/>
    </row>
    <row r="14" spans="1:10" ht="60" customHeight="1" x14ac:dyDescent="0.2">
      <c r="A14" s="10"/>
      <c r="B14" s="73" t="s">
        <v>187</v>
      </c>
      <c r="C14" s="74"/>
      <c r="D14" s="7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6"/>
      <c r="J14" s="47"/>
    </row>
    <row r="15" spans="1:10" ht="30" customHeight="1" x14ac:dyDescent="0.2">
      <c r="A15" s="10"/>
      <c r="B15" s="71" t="s">
        <v>188</v>
      </c>
      <c r="C15" s="72"/>
      <c r="D15" s="72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6"/>
      <c r="J15" s="47"/>
    </row>
    <row r="16" spans="1:10" ht="60" customHeight="1" x14ac:dyDescent="0.2">
      <c r="A16" s="10"/>
      <c r="B16" s="71" t="s">
        <v>189</v>
      </c>
      <c r="C16" s="72"/>
      <c r="D16" s="7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6"/>
      <c r="J16" s="47"/>
    </row>
    <row r="17" spans="1:10" ht="39.950000000000003" customHeight="1" x14ac:dyDescent="0.2">
      <c r="A17" s="10"/>
      <c r="B17" s="71" t="s">
        <v>190</v>
      </c>
      <c r="C17" s="72"/>
      <c r="D17" s="72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6"/>
      <c r="J17" s="47"/>
    </row>
    <row r="18" spans="1:10" ht="39.950000000000003" customHeight="1" x14ac:dyDescent="0.2">
      <c r="A18" s="10"/>
      <c r="B18" s="71" t="s">
        <v>191</v>
      </c>
      <c r="C18" s="72"/>
      <c r="D18" s="72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6"/>
      <c r="J18" s="47"/>
    </row>
    <row r="19" spans="1:10" ht="39.950000000000003" customHeight="1" x14ac:dyDescent="0.2">
      <c r="A19" s="10"/>
      <c r="B19" s="71" t="s">
        <v>192</v>
      </c>
      <c r="C19" s="72"/>
      <c r="D19" s="72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6"/>
      <c r="J19" s="47"/>
    </row>
    <row r="20" spans="1:10" ht="30" customHeight="1" x14ac:dyDescent="0.2">
      <c r="A20" s="10"/>
      <c r="B20" s="71" t="s">
        <v>193</v>
      </c>
      <c r="C20" s="72"/>
      <c r="D20" s="72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6"/>
      <c r="J20" s="47"/>
    </row>
    <row r="21" spans="1:10" ht="30" customHeight="1" x14ac:dyDescent="0.2">
      <c r="A21" s="10"/>
      <c r="B21" s="71" t="s">
        <v>194</v>
      </c>
      <c r="C21" s="72"/>
      <c r="D21" s="72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6"/>
      <c r="J21" s="47"/>
    </row>
    <row r="22" spans="1:10" ht="39.950000000000003" customHeight="1" thickBot="1" x14ac:dyDescent="0.25">
      <c r="A22" s="10"/>
      <c r="B22" s="75" t="s">
        <v>195</v>
      </c>
      <c r="C22" s="76"/>
      <c r="D22" s="76"/>
      <c r="E22" s="32">
        <v>5</v>
      </c>
      <c r="F22" s="27">
        <v>3.75</v>
      </c>
      <c r="G22" s="33">
        <f t="shared" si="0"/>
        <v>0.75</v>
      </c>
      <c r="H22" s="34" t="str">
        <f t="shared" si="1"/>
        <v>جيد</v>
      </c>
      <c r="I22" s="54"/>
      <c r="J22" s="55"/>
    </row>
    <row r="23" spans="1:10" ht="30" customHeight="1" x14ac:dyDescent="0.2">
      <c r="A23" s="10"/>
      <c r="B23" s="77" t="s">
        <v>196</v>
      </c>
      <c r="C23" s="78"/>
      <c r="D23" s="78"/>
      <c r="E23" s="78"/>
      <c r="F23" s="78"/>
      <c r="G23" s="78"/>
      <c r="H23" s="78"/>
      <c r="I23" s="78"/>
      <c r="J23" s="79"/>
    </row>
    <row r="24" spans="1:10" ht="30" customHeight="1" x14ac:dyDescent="0.2">
      <c r="A24" s="10"/>
      <c r="B24" s="71" t="s">
        <v>197</v>
      </c>
      <c r="C24" s="72"/>
      <c r="D24" s="72"/>
      <c r="E24" s="9"/>
      <c r="F24" s="26"/>
      <c r="G24" s="30"/>
      <c r="H24" s="31"/>
      <c r="I24" s="46"/>
      <c r="J24" s="47"/>
    </row>
    <row r="25" spans="1:10" ht="30" customHeight="1" x14ac:dyDescent="0.2">
      <c r="A25" s="10"/>
      <c r="B25" s="73" t="s">
        <v>198</v>
      </c>
      <c r="C25" s="74"/>
      <c r="D25" s="74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6"/>
      <c r="J25" s="47"/>
    </row>
    <row r="26" spans="1:10" ht="39.950000000000003" customHeight="1" x14ac:dyDescent="0.2">
      <c r="A26" s="10"/>
      <c r="B26" s="73" t="s">
        <v>199</v>
      </c>
      <c r="C26" s="74"/>
      <c r="D26" s="74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6"/>
      <c r="J26" s="47"/>
    </row>
    <row r="27" spans="1:10" ht="39.950000000000003" customHeight="1" x14ac:dyDescent="0.2">
      <c r="A27" s="10"/>
      <c r="B27" s="73" t="s">
        <v>200</v>
      </c>
      <c r="C27" s="74"/>
      <c r="D27" s="74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6"/>
      <c r="J27" s="47"/>
    </row>
    <row r="28" spans="1:10" ht="30" customHeight="1" x14ac:dyDescent="0.2">
      <c r="A28" s="10"/>
      <c r="B28" s="71" t="s">
        <v>201</v>
      </c>
      <c r="C28" s="72"/>
      <c r="D28" s="72"/>
      <c r="E28" s="9"/>
      <c r="F28" s="26"/>
      <c r="G28" s="30"/>
      <c r="H28" s="31"/>
      <c r="I28" s="46"/>
      <c r="J28" s="47"/>
    </row>
    <row r="29" spans="1:10" ht="30" customHeight="1" x14ac:dyDescent="0.2">
      <c r="A29" s="10"/>
      <c r="B29" s="73" t="s">
        <v>202</v>
      </c>
      <c r="C29" s="74"/>
      <c r="D29" s="74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6"/>
      <c r="J29" s="47"/>
    </row>
    <row r="30" spans="1:10" ht="30" customHeight="1" x14ac:dyDescent="0.2">
      <c r="A30" s="10"/>
      <c r="B30" s="73" t="s">
        <v>203</v>
      </c>
      <c r="C30" s="74"/>
      <c r="D30" s="74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6"/>
      <c r="J30" s="47"/>
    </row>
    <row r="31" spans="1:10" ht="39.950000000000003" customHeight="1" x14ac:dyDescent="0.2">
      <c r="A31" s="10"/>
      <c r="B31" s="71" t="s">
        <v>204</v>
      </c>
      <c r="C31" s="72"/>
      <c r="D31" s="72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6"/>
      <c r="J31" s="47"/>
    </row>
    <row r="32" spans="1:10" ht="39.950000000000003" customHeight="1" thickBot="1" x14ac:dyDescent="0.25">
      <c r="A32" s="10"/>
      <c r="B32" s="75" t="s">
        <v>205</v>
      </c>
      <c r="C32" s="76"/>
      <c r="D32" s="76"/>
      <c r="E32" s="32">
        <v>5</v>
      </c>
      <c r="F32" s="27">
        <v>3.5</v>
      </c>
      <c r="G32" s="33">
        <f t="shared" si="0"/>
        <v>0.7</v>
      </c>
      <c r="H32" s="34" t="str">
        <f t="shared" si="1"/>
        <v>جيد</v>
      </c>
      <c r="I32" s="54"/>
      <c r="J32" s="55"/>
    </row>
    <row r="33" spans="1:10" ht="30" customHeight="1" x14ac:dyDescent="0.2">
      <c r="A33" s="10"/>
      <c r="B33" s="77" t="s">
        <v>206</v>
      </c>
      <c r="C33" s="78"/>
      <c r="D33" s="78"/>
      <c r="E33" s="78">
        <v>5</v>
      </c>
      <c r="F33" s="78" t="s">
        <v>61</v>
      </c>
      <c r="G33" s="78" t="str">
        <f t="shared" si="0"/>
        <v/>
      </c>
      <c r="H33" s="78" t="str">
        <f t="shared" si="1"/>
        <v/>
      </c>
      <c r="I33" s="78"/>
      <c r="J33" s="79"/>
    </row>
    <row r="34" spans="1:10" ht="30" customHeight="1" x14ac:dyDescent="0.2">
      <c r="A34" s="10"/>
      <c r="B34" s="71" t="s">
        <v>207</v>
      </c>
      <c r="C34" s="72"/>
      <c r="D34" s="72"/>
      <c r="E34" s="9">
        <v>5</v>
      </c>
      <c r="F34" s="26">
        <v>3.5</v>
      </c>
      <c r="G34" s="30">
        <f t="shared" si="0"/>
        <v>0.7</v>
      </c>
      <c r="H34" s="31" t="str">
        <f t="shared" si="1"/>
        <v>جيد</v>
      </c>
      <c r="I34" s="46"/>
      <c r="J34" s="47"/>
    </row>
    <row r="35" spans="1:10" ht="30" customHeight="1" x14ac:dyDescent="0.2">
      <c r="A35" s="10"/>
      <c r="B35" s="71" t="s">
        <v>208</v>
      </c>
      <c r="C35" s="72"/>
      <c r="D35" s="72"/>
      <c r="E35" s="9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46"/>
      <c r="J35" s="47"/>
    </row>
    <row r="36" spans="1:10" ht="30" customHeight="1" x14ac:dyDescent="0.2">
      <c r="A36" s="10"/>
      <c r="B36" s="71" t="s">
        <v>209</v>
      </c>
      <c r="C36" s="72"/>
      <c r="D36" s="72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46"/>
      <c r="J36" s="47"/>
    </row>
    <row r="37" spans="1:10" ht="39.950000000000003" customHeight="1" x14ac:dyDescent="0.2">
      <c r="A37" s="10"/>
      <c r="B37" s="71" t="s">
        <v>210</v>
      </c>
      <c r="C37" s="72"/>
      <c r="D37" s="72"/>
      <c r="E37" s="9">
        <v>5</v>
      </c>
      <c r="F37" s="26">
        <v>3.75</v>
      </c>
      <c r="G37" s="30">
        <f t="shared" si="0"/>
        <v>0.75</v>
      </c>
      <c r="H37" s="31" t="str">
        <f t="shared" si="1"/>
        <v>جيد</v>
      </c>
      <c r="I37" s="46"/>
      <c r="J37" s="47"/>
    </row>
    <row r="38" spans="1:10" ht="30" customHeight="1" x14ac:dyDescent="0.2">
      <c r="A38" s="10"/>
      <c r="B38" s="71" t="s">
        <v>211</v>
      </c>
      <c r="C38" s="72"/>
      <c r="D38" s="72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46"/>
      <c r="J38" s="47"/>
    </row>
    <row r="39" spans="1:10" ht="30" customHeight="1" x14ac:dyDescent="0.2">
      <c r="A39" s="10"/>
      <c r="B39" s="71" t="s">
        <v>212</v>
      </c>
      <c r="C39" s="72"/>
      <c r="D39" s="72"/>
      <c r="E39" s="9">
        <v>5</v>
      </c>
      <c r="F39" s="26">
        <v>3.5</v>
      </c>
      <c r="G39" s="30">
        <f t="shared" si="0"/>
        <v>0.7</v>
      </c>
      <c r="H39" s="31" t="str">
        <f t="shared" si="1"/>
        <v>جيد</v>
      </c>
      <c r="I39" s="46"/>
      <c r="J39" s="47"/>
    </row>
    <row r="40" spans="1:10" ht="30" customHeight="1" x14ac:dyDescent="0.2">
      <c r="A40" s="10"/>
      <c r="B40" s="71" t="s">
        <v>213</v>
      </c>
      <c r="C40" s="72"/>
      <c r="D40" s="72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46"/>
      <c r="J40" s="47"/>
    </row>
    <row r="41" spans="1:10" ht="30" customHeight="1" x14ac:dyDescent="0.2">
      <c r="A41" s="10"/>
      <c r="B41" s="71" t="s">
        <v>214</v>
      </c>
      <c r="C41" s="72"/>
      <c r="D41" s="72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46"/>
      <c r="J41" s="47"/>
    </row>
    <row r="42" spans="1:10" ht="30" customHeight="1" x14ac:dyDescent="0.2">
      <c r="A42" s="10"/>
      <c r="B42" s="71" t="s">
        <v>215</v>
      </c>
      <c r="C42" s="72"/>
      <c r="D42" s="72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46"/>
      <c r="J42" s="47"/>
    </row>
    <row r="43" spans="1:10" ht="39.950000000000003" customHeight="1" x14ac:dyDescent="0.2">
      <c r="A43" s="10"/>
      <c r="B43" s="71" t="s">
        <v>216</v>
      </c>
      <c r="C43" s="72"/>
      <c r="D43" s="72"/>
      <c r="E43" s="9"/>
      <c r="F43" s="26"/>
      <c r="G43" s="30"/>
      <c r="H43" s="31"/>
      <c r="I43" s="46"/>
      <c r="J43" s="47"/>
    </row>
    <row r="44" spans="1:10" ht="30" customHeight="1" x14ac:dyDescent="0.2">
      <c r="A44" s="10"/>
      <c r="B44" s="73" t="s">
        <v>217</v>
      </c>
      <c r="C44" s="74"/>
      <c r="D44" s="74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46"/>
      <c r="J44" s="47"/>
    </row>
    <row r="45" spans="1:10" ht="39.950000000000003" customHeight="1" x14ac:dyDescent="0.2">
      <c r="A45" s="10"/>
      <c r="B45" s="73" t="s">
        <v>218</v>
      </c>
      <c r="C45" s="74"/>
      <c r="D45" s="74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46"/>
      <c r="J45" s="47"/>
    </row>
    <row r="46" spans="1:10" ht="30" customHeight="1" x14ac:dyDescent="0.2">
      <c r="A46" s="10"/>
      <c r="B46" s="73" t="s">
        <v>219</v>
      </c>
      <c r="C46" s="74"/>
      <c r="D46" s="74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46"/>
      <c r="J46" s="47"/>
    </row>
    <row r="47" spans="1:10" ht="39.950000000000003" customHeight="1" x14ac:dyDescent="0.2">
      <c r="A47" s="10"/>
      <c r="B47" s="73" t="s">
        <v>220</v>
      </c>
      <c r="C47" s="74"/>
      <c r="D47" s="74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46"/>
      <c r="J47" s="47"/>
    </row>
    <row r="48" spans="1:10" ht="30" customHeight="1" x14ac:dyDescent="0.2">
      <c r="A48" s="10"/>
      <c r="B48" s="71" t="s">
        <v>221</v>
      </c>
      <c r="C48" s="72"/>
      <c r="D48" s="72"/>
      <c r="E48" s="9"/>
      <c r="F48" s="26"/>
      <c r="G48" s="30"/>
      <c r="H48" s="31"/>
      <c r="I48" s="46"/>
      <c r="J48" s="47"/>
    </row>
    <row r="49" spans="1:10" ht="60" customHeight="1" x14ac:dyDescent="0.2">
      <c r="A49" s="10"/>
      <c r="B49" s="73" t="s">
        <v>222</v>
      </c>
      <c r="C49" s="74"/>
      <c r="D49" s="74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46"/>
      <c r="J49" s="47"/>
    </row>
    <row r="50" spans="1:10" ht="39.950000000000003" customHeight="1" x14ac:dyDescent="0.2">
      <c r="A50" s="10"/>
      <c r="B50" s="73" t="s">
        <v>223</v>
      </c>
      <c r="C50" s="74"/>
      <c r="D50" s="74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6"/>
      <c r="J50" s="47"/>
    </row>
    <row r="51" spans="1:10" ht="30" customHeight="1" x14ac:dyDescent="0.2">
      <c r="A51" s="10"/>
      <c r="B51" s="73" t="s">
        <v>224</v>
      </c>
      <c r="C51" s="74"/>
      <c r="D51" s="74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46"/>
      <c r="J51" s="47"/>
    </row>
    <row r="52" spans="1:10" ht="30" customHeight="1" x14ac:dyDescent="0.2">
      <c r="A52" s="10"/>
      <c r="B52" s="73" t="s">
        <v>225</v>
      </c>
      <c r="C52" s="74"/>
      <c r="D52" s="74"/>
      <c r="E52" s="9">
        <v>5</v>
      </c>
      <c r="F52" s="26">
        <v>3.5</v>
      </c>
      <c r="G52" s="30">
        <f t="shared" si="0"/>
        <v>0.7</v>
      </c>
      <c r="H52" s="31" t="str">
        <f t="shared" si="1"/>
        <v>جيد</v>
      </c>
      <c r="I52" s="46"/>
      <c r="J52" s="47"/>
    </row>
    <row r="53" spans="1:10" ht="30" customHeight="1" x14ac:dyDescent="0.2">
      <c r="A53" s="10"/>
      <c r="B53" s="73" t="s">
        <v>226</v>
      </c>
      <c r="C53" s="74"/>
      <c r="D53" s="74"/>
      <c r="E53" s="9">
        <v>5</v>
      </c>
      <c r="F53" s="26">
        <v>3.75</v>
      </c>
      <c r="G53" s="30">
        <f t="shared" si="0"/>
        <v>0.75</v>
      </c>
      <c r="H53" s="31" t="str">
        <f t="shared" si="1"/>
        <v>جيد</v>
      </c>
      <c r="I53" s="46"/>
      <c r="J53" s="47"/>
    </row>
    <row r="54" spans="1:10" ht="30" customHeight="1" thickBot="1" x14ac:dyDescent="0.25">
      <c r="A54" s="10"/>
      <c r="B54" s="75" t="s">
        <v>227</v>
      </c>
      <c r="C54" s="76"/>
      <c r="D54" s="76"/>
      <c r="E54" s="32">
        <v>5</v>
      </c>
      <c r="F54" s="27">
        <v>3.75</v>
      </c>
      <c r="G54" s="33">
        <f t="shared" si="0"/>
        <v>0.75</v>
      </c>
      <c r="H54" s="34" t="str">
        <f t="shared" si="1"/>
        <v>جيد</v>
      </c>
      <c r="I54" s="54"/>
      <c r="J54" s="55"/>
    </row>
    <row r="55" spans="1:10" ht="30" customHeight="1" thickBot="1" x14ac:dyDescent="0.25">
      <c r="A55" s="4"/>
      <c r="B55" s="67" t="s">
        <v>5</v>
      </c>
      <c r="C55" s="68"/>
      <c r="D55" s="68"/>
      <c r="E55" s="29">
        <f>SUM(E8:E54)</f>
        <v>200</v>
      </c>
      <c r="F55" s="29">
        <f>SUM(F8:F54)</f>
        <v>141.5</v>
      </c>
      <c r="G55" s="64"/>
      <c r="H55" s="65"/>
      <c r="I55" s="65"/>
      <c r="J55" s="66"/>
    </row>
    <row r="56" spans="1:10" ht="30" customHeight="1" thickBot="1" x14ac:dyDescent="0.25">
      <c r="A56" s="4"/>
      <c r="B56" s="69" t="s">
        <v>54</v>
      </c>
      <c r="C56" s="70"/>
      <c r="D56" s="70"/>
      <c r="E56" s="42">
        <f>F55/E55/100*100</f>
        <v>0.70750000000000002</v>
      </c>
      <c r="F56" s="42"/>
      <c r="G56" s="42"/>
      <c r="H56" s="42"/>
      <c r="I56" s="42"/>
      <c r="J56" s="43"/>
    </row>
    <row r="57" spans="1:10" ht="30" customHeight="1" thickBot="1" x14ac:dyDescent="0.25">
      <c r="A57" s="4"/>
      <c r="B57" s="69" t="s">
        <v>55</v>
      </c>
      <c r="C57" s="70"/>
      <c r="D57" s="70"/>
      <c r="E57" s="60" t="str">
        <f>_xlfn.IFS(E56&gt;=90%,"ممتاز",E56&gt;=80%,"جيد جداً",E56&gt;=70%,"جيد",E56&gt;=60%,"مقبول",E56&lt;60%,"راسب")</f>
        <v>جيد</v>
      </c>
      <c r="F57" s="60"/>
      <c r="G57" s="60"/>
      <c r="H57" s="60"/>
      <c r="I57" s="60"/>
      <c r="J57" s="61"/>
    </row>
    <row r="58" spans="1:10" ht="42" customHeight="1" x14ac:dyDescent="0.2">
      <c r="B58" s="56" t="s">
        <v>174</v>
      </c>
      <c r="C58" s="56"/>
      <c r="D58" s="56"/>
      <c r="E58" s="62" t="s">
        <v>52</v>
      </c>
      <c r="F58" s="62"/>
      <c r="G58" s="58" t="s">
        <v>141</v>
      </c>
      <c r="H58" s="58"/>
      <c r="I58" s="58"/>
      <c r="J58" s="58"/>
    </row>
    <row r="59" spans="1:10" ht="51" customHeight="1" x14ac:dyDescent="0.2">
      <c r="A59" s="5"/>
      <c r="B59" s="57"/>
      <c r="C59" s="57"/>
      <c r="D59" s="57"/>
      <c r="E59" s="63" t="s">
        <v>53</v>
      </c>
      <c r="F59" s="63"/>
      <c r="G59" s="59"/>
      <c r="H59" s="59"/>
      <c r="I59" s="59"/>
      <c r="J59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2">
    <mergeCell ref="B8:J8"/>
    <mergeCell ref="B23:J23"/>
    <mergeCell ref="B33:J33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7:D27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4:D24"/>
    <mergeCell ref="B25:D25"/>
    <mergeCell ref="I34:J34"/>
    <mergeCell ref="I35:J35"/>
    <mergeCell ref="I36:J36"/>
    <mergeCell ref="B55:D55"/>
    <mergeCell ref="B56:D56"/>
    <mergeCell ref="B57:D57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34:D34"/>
    <mergeCell ref="B53:D53"/>
    <mergeCell ref="B54:D54"/>
    <mergeCell ref="B50:D50"/>
    <mergeCell ref="B51:D51"/>
    <mergeCell ref="B52:D52"/>
    <mergeCell ref="B58:D59"/>
    <mergeCell ref="G58:J58"/>
    <mergeCell ref="G59:J59"/>
    <mergeCell ref="E57:J57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45:J45"/>
    <mergeCell ref="I46:J46"/>
    <mergeCell ref="I47:J47"/>
    <mergeCell ref="I48:J48"/>
    <mergeCell ref="E58:F58"/>
    <mergeCell ref="E59:F59"/>
    <mergeCell ref="G55:J55"/>
    <mergeCell ref="B1:J1"/>
    <mergeCell ref="F2:J2"/>
    <mergeCell ref="B5:D6"/>
    <mergeCell ref="C2:D2"/>
    <mergeCell ref="C3:D3"/>
    <mergeCell ref="F3:J3"/>
    <mergeCell ref="E56:J56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4:J24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7">
    <cfRule type="expression" dxfId="21" priority="57">
      <formula>$E57="راسب"</formula>
    </cfRule>
  </conditionalFormatting>
  <conditionalFormatting sqref="E57:J57">
    <cfRule type="expression" dxfId="20" priority="60">
      <formula>$E57="جيد جداً"</formula>
    </cfRule>
    <cfRule type="expression" dxfId="19" priority="59">
      <formula>$E57="جيد"</formula>
    </cfRule>
    <cfRule type="expression" dxfId="18" priority="58">
      <formula>$E57="مقبول"</formula>
    </cfRule>
    <cfRule type="expression" dxfId="17" priority="61">
      <formula>$E57="ممتاز"</formula>
    </cfRule>
  </conditionalFormatting>
  <conditionalFormatting sqref="F9:F22">
    <cfRule type="containsText" dxfId="16" priority="4" operator="containsText" text="أدخل العلامة">
      <formula>NOT(ISERROR(SEARCH("أدخل العلامة",F9)))</formula>
    </cfRule>
  </conditionalFormatting>
  <conditionalFormatting sqref="F24:F32 F34:F54">
    <cfRule type="containsText" dxfId="15" priority="14" operator="containsText" text="أدخل العلامة">
      <formula>NOT(ISERROR(SEARCH("أدخل العلامة",F24)))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8:J58">
    <cfRule type="containsText" dxfId="12" priority="15" operator="containsText" text="أدخل اسم المحكم">
      <formula>NOT(ISERROR(SEARCH("أدخل اسم المحكم",G58)))</formula>
    </cfRule>
  </conditionalFormatting>
  <conditionalFormatting sqref="H9:H22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4:H32 H34:H54">
    <cfRule type="containsText" dxfId="5" priority="38" operator="containsText" text="أدخل العلامة">
      <formula>NOT(ISERROR(SEARCH("أدخل العلامة",H24)))</formula>
    </cfRule>
    <cfRule type="containsText" dxfId="4" priority="39" operator="containsText" text="ممتاز">
      <formula>NOT(ISERROR(SEARCH("ممتاز",H24)))</formula>
    </cfRule>
    <cfRule type="containsText" dxfId="3" priority="40" operator="containsText" text="جيد جداً">
      <formula>NOT(ISERROR(SEARCH("جيد جداً",H24)))</formula>
    </cfRule>
    <cfRule type="containsText" dxfId="2" priority="41" operator="containsText" text="جيد">
      <formula>NOT(ISERROR(SEARCH("جيد",H24)))</formula>
    </cfRule>
    <cfRule type="containsText" dxfId="1" priority="42" operator="containsText" text="مقبول">
      <formula>NOT(ISERROR(SEARCH("مقبول",H24)))</formula>
    </cfRule>
    <cfRule type="containsText" dxfId="0" priority="43" operator="containsText" text="راسب">
      <formula>NOT(ISERROR(SEARCH("راسب",H24)))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F49:F54 F44:F47 F29:F42 F25:F27 F13:F22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G58:J58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2025-10-20T16:32:48Z</dcterms:modified>
</cp:coreProperties>
</file>