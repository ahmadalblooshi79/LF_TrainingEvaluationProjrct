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65B76CD4-BEDF-E341-A28A-E1A194A7F861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/>
  <c r="G8" i="2"/>
  <c r="H8" i="2"/>
  <c r="F93" i="2"/>
  <c r="E93" i="2"/>
  <c r="E94" i="2"/>
  <c r="E95" i="2"/>
</calcChain>
</file>

<file path=xl/sharedStrings.xml><?xml version="1.0" encoding="utf-8"?>
<sst xmlns="http://schemas.openxmlformats.org/spreadsheetml/2006/main" count="322" uniqueCount="266">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</sst>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242330</xdr:colOff>
      <xdr:row>96</xdr:row>
      <xdr:rowOff>37469</xdr:rowOff>
    </xdr:from>
    <xdr:to>
      <xdr:col>8</xdr:col>
      <xdr:colOff>358918</xdr:colOff>
      <xdr:row>96</xdr:row>
      <xdr:rowOff>351749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E47B742-C5D9-DCBA-81F4-FED642AE7461}"/>
                </a:ext>
              </a:extLst>
            </xdr14:cNvPr>
            <xdr14:cNvContentPartPr/>
          </xdr14:nvContentPartPr>
          <xdr14:nvPr macro=""/>
          <xdr14:xfrm>
            <a:off x="10439658651" y="39292920"/>
            <a:ext cx="774000" cy="3142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E47B742-C5D9-DCBA-81F4-FED642AE74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9650011" y="39284280"/>
              <a:ext cx="791640" cy="33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333410</xdr:colOff>
      <xdr:row>96</xdr:row>
      <xdr:rowOff>138269</xdr:rowOff>
    </xdr:from>
    <xdr:to>
      <xdr:col>8</xdr:col>
      <xdr:colOff>404638</xdr:colOff>
      <xdr:row>96</xdr:row>
      <xdr:rowOff>604109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1DE5F1A-6650-98BB-56AB-74F96DA45632}"/>
                </a:ext>
              </a:extLst>
            </xdr14:cNvPr>
            <xdr14:cNvContentPartPr/>
          </xdr14:nvContentPartPr>
          <xdr14:nvPr macro=""/>
          <xdr14:xfrm>
            <a:off x="10439612931" y="39393720"/>
            <a:ext cx="728640" cy="465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1DE5F1A-6650-98BB-56AB-74F96DA4563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9604291" y="39385080"/>
              <a:ext cx="746280" cy="483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8:41:46.3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1599 607 2192,'0'0'0,"2"-2"32,1 1-8,-1-2-16,6 1 24,-8 2-32,1-2 16,2-1 8,6 1-24,-6 0 8,5 0 0,-6 0 0,-2 2-8,8-3 24,-5 1-24,5 1 24,-6-1-16,5 0 8,-5 0 0,-2 2-16,8-2-8,-6 0 32,6 0-24,-5 0 0,6 2 0,-7-1-16,-2 1 16,9-2 0,-6 0-8,7 0 8,-3 2 0,-5-2 0,9 1 8,-11 1-8,7 0 8,0-2 0,1 0-8,1 0 0,0 1 0,0-1-8,-9 2 8,9-2 0,0 0 0,-1 2 0,1-1-8,-2 1 8,2-2-8,-9 2 8,9-2 0,-1 2-8,2-2 0,-1 2 8,1-2 0,-1 2-8,-9 0 8,8-1 0,1 1 0,1 0-8,0 0 8,0 0-8,-1 0 0,-9 0 8,9 0-8,1 0 8,-1 0-8,0 1 8,-1 0-16,1 0 8,-9-1 8,9 2-8,-1 0 0,-1 0 0,2-1 8,-2 2-8,0 0-8,-7-3 16,2 2-8,8 1 0,-7-1 0,5 0 8,-5 1 8,5 0-8,-8-3 0,3 2 0,6 2 0,-6-1 0,4 5 0,-5-6 0,5 1 0,-7-3 0,1 3-8,2 1 16,0 0-8,-1 3-8,5-6 16,-7 2-16,0-3 8,3 7 0,0-6 0,-1 2-8,-1 0 8,1 1-8,-2-1 8,0-3 0,2 3 8,-2 4 0,0-5-8,0 1 0,0 0-8,0 4 8,0-7 0,0 2 8,0 1-8,0 4 0,-1-5 0,-1 1 8,0 4 0,2-7-8,-3 3 8,0 4 0,0-4-8,-5 4 8,6-5-8,-5 6 8,7-8-8,-3 2 16,-5 5-8,5-4-16,-6 1 8,2 3-24,4-5 32,3-2-8,-9 4 16,5 3-8,-4-5 24,4 0-24,-6 2-8,3-1 24,7-3-24,-8 3 16,0 1 0,1-1-8,-1 0-32,0 0 24,1-1-24,7-2 24,-8 3-8,-1 0 24,1-1 8,-1 0 0,0-1 8,0 0-24,9-1-8,-9 1 40,-1 0-16,1-1 0,-1 1 16,1 0-8,0 0-24,9-1-8,-11 0 40,0 0-32,1 0-24,0 0 40,-1-2-8,1 1 16,10 1-32,-12-2 72,0 0-32,-2-1 0,1 1 24,-1-1-32,1-5 8,13 8-40,-14-2 24,1 0 24,0-6-8,-1 6 16,1-5 32,-1 5-48,14 2-40,-14-8 48,-2 5-32,2-4-56,-2 5 24,1-5-72,0 6 128,15 1-40,-16-3 0,0-5-8,0 6 40,0-5-64,1 5 72,-1-5-8,16 7-32,-15-2 24,-2-5-32,0 5-8,1 1 8,-1-2 24,1-4-24,16 7 8,-16-2 0,0-1 24,0-4 16,0 7 40,0-2 0,1-1-32,15 3-48,-16-8 64,2 6-16,-2 0 8,0-5 72,-1 5-56,0-1 32,17 3-104,-17-8 120,2 6-8,0-5 104,0 5-31,-1-5-17,1 6-24,15 1-144,-16-3 120,1-5 40,-1 6 16,1-1 56,1-5-80,-1 6 8,15 2-160,-15-9 160,1 6-72,0 1 168,0-6-128,1 5 16,0-6 32,13 9-176,-12-8 96,-1 5 104,-1-5-40,1 0-32,0 1 32,0 0-40,13 7-120,-12-9 152,-1 1-8,1 6 40,0-10-64,0 4-8,1 0 8,11 8-120,-9-10 24,-1 0 128,1 1-72,0-1-32,0 0-32,1 1-72,8 9 56,-7-10-40,0 0-32,4 1-16,-5-1-64,6 1-16,-2 0 8,4 9 160,-7-11-176,6 1 56,-1 1-56,-1 0 16,2-2 8,0 1-16,1 10 168,-1-10-120,1 1 88,0-1-48,0 1 8,2 0 0,0-1-32,-2 10 104,2-9-48,1 0-8,4 0 0,-4-1-24,5 1-8,-5 0-16,-3 9 104,10-9-96,-2 0 8,1 0-24,0-1-24,1 1 0,-1 0-24,-9 9 160,12-8-160,-1-1 8,1 1 24,1 0 8,0 0 32,-1 1 32,-12 7 56,14-8-80,0 1 0,0 5-8,0-8 7,0 8 25,-1-6-24,-13 8 80,13-2-72,0 0 24,1-5 24,0 7 64,1-3 16,-1 1 8,-14 2-64,15-2 48,0 1 0,0-1-7,1 2-17,0 0 0,-1 0 0,-15 0-24,16 0 16,-1 0-8,0 1 0,0 0 8,0 1-16,1 0-8,-16-2 8,16 3 0,0-1-8,-1 1 0,0 1 8,-1-1-8,0 1-8,-14-4 16,14 7-8,0-4-8,-1 0 8,1 4 8,-1-4-16,-1 4 8,-12-7 8,13 3-8,0 4-8,0-5 7,-2 6-7,2-5 16,-3 5-8,-10-8 8,12 4-8,-3 4 0,1-4 8,-1 5-16,0-2 8,-1 0 8,-8-7 0,7 7 40,-4 1-7,5-4 15,-6 5 0,0-1-40,1 0 32,-3-8-40,2 8 32,1 0 0,-1 0 16,0 0-24,-2 1-8,0-9-16,0 10 16,0 0-8,0 0 24,-1-1-8,-1 1-16,-1 1 8,3-11-16,-3 10 8,-1 2 0,-3-1 16,5-2 0,-6 2 8,0-1 0,8-10-32,-8 10 16,-1 1 16,0 0 0,0-1 16,-1 0-8,0 1 0,10-11-40,-12 11 48,0 1 0,1-1-8,-2-1 16,1 1 8,0-1 16,12-10-80,-14 9 96,1 0 8,0 0 16,-1-1 8,-1 1 8,1-1 56,14-8-192,-15 8 208,0 0 16,-2-4 16,0 5 0,0-2 8,0 0-48,17-7-200,-16 8 280,1-5-56,-1 6-32,0-2 32,0-3-112,-1 5 48,17-9-160,-18 8 88,0-5 24,0 7-7,-1-7-41,0 5 72,-1 0-72,20-8-64,-20 3 160,2 6-24,-3-6 16,2 6 40,-3-6-72,-1 6 112,23-9-232,-23 3 160,1 7 0,-1-6 0,1 6-72,-1-3 48,1 0 24,22-7-160,-25 3 208,1 6-104,-1-6-8,-1 6-72,1-7-32,1 9 152,24-11-144,-24 3 40,0 6-8,-1-5-56,0 4-88,1 0 40,0-4 64,24-4 8,-23 8 56,0-4-16,1 4 16,0-5-64,0 5-88,0-5 80,22-3 16,-22 8 24,2-4 16,0 3 8,1-5-24,0 6-64,2-5 40,17-3 0,-16 3-72,0 0-96,2 0-72,0 0-224,0-1-208,1 1-256,13-3 928,-12 1-1161,1 0-167,2 0-72,1-1 199,1 0 185,4 0 344,3 0 672,-8 0-368,5 0 144,-4-2 152,5-1-8,0-5-1744,2 8 1824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6T18:41:47.7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1199 2 2632,'0'0'0,"0"0"328,2 0-16,-2 0-312,2-1 192,-1 1-96,1 0 16,0 0 88,0 0 88,-2 0 80,0 0-368,0 0 417,0 0 63,0 0 64,0 0 72,0 0 56,0 0 0,0 0-672,-2 1 632,-1 2-72,-4 0-143,5-1-153,-7 2-128,1 3-72,8-7-64,-10 3 8,0 6 8,-1-5 0,-1 5-16,-1-2 16,-1 0-8,14-7-8,-15 8 0,-1 0 16,1 0 24,-3 1-16,2 1 0,-4-1-8,20-9-16,-20 10 16,-1 2 0,-1-1-16,2 2 24,-2-2 0,-1 1 16,23-12-40,-23 10 16,0 1 0,-2 1 0,-1-2-8,0 2 16,-1-2-32,27-10 8,-25 12 8,-1-1-16,-1 0-8,1 1 16,1-2-32,-2 2 16,27-12 16,-26 11-24,2 0 0,1 0 0,0-1 16,1 1 8,1-1-32,21-10 32,-22 10-48,2-2-48,1 1-48,1 0-112,2-1-177,0-1-231,16-7 664,-16 4-856,1 4-176,2-5-80,1 4 95,0-5 161,1 1 200,11-3 656,-10 3-392,2 0 160,-1-1 96,2-1 72,4 0 32,-6-1-16,9 0 48,-3 0 0,0 0-360,1-2-1296,2 2 1656</inkml:trace>
  <inkml:trace contextRef="#ctx0" brushRef="#br0" timeOffset="1">712 120 2280,'0'0'0,"9"-2"48,-9 2-48,9-9 96,2 6 16,0-6 56,-1 8 160,-2-2 32,1 0 120,-9 3-480,8-2 464,-5 1-95,6-1-41,-7 0-80,-1 2-8,1 0 8,-2 0-248,0 0 248,0 0 64,0 1 56,0 1 112,-1 1 88,-1 5-80,2-8-488,-8 3 352,-1 7-120,0-3-96,-3 3-88,-1 4 16,0-1-24,13-13-40,-15 14 16,-1 1 8,0-2 48,0 2 0,-2 0 25,0 0-65,18-15-32,-19 14-32,0-1-33,-1-1-15,3 1 56,-1 0-64,0-1-96,18-12 184,-16 11-424,0 0-344,2-2-304,-1 2-200,1-2 15,0-1 329,14-8 928,-14 7-592,2-4 296,-1 4 192,2-5 96,0 0-32,1-1 0,10-1 40,-10 1-16,1-1-32,1 0 56,0-2-8,4 0-16,-4-6 0,8 8 16,-2-3-40,-2-5 32,1 5 8,0-5 24,1 6-8,0-5-8,2 7-8,-1-1 24,0-1 0,0 0 48,0 0 56,-1 1 200,1 1 184,1 0-512,-3-2 656,2 0 168,-2 2-23,0 0-57,0 0-32,-4 0-80,7 0-632,-3 0 520,-5 0 0,1 1-32,-1 2-7,-1-1-57,-1 2-16,10-4-408,-9 7 344,-4-5-40,1 6-80,-1-5-64,1 6-56,0-6-64,12-3-40,-11 9 48,0-7-24,0 6-16,0-5-24,2 5 0,0-5 0,9-3 16,-8 7-16,1-5 24,-1 2-96,0 3-40,1-5-72,0 0-120,7-2 320,-4 1-296,-4 0 8,5 0-48,-4-1 32,4 0 7,-4 0-63,7 0 360,-3 0-408,1-3-88,-2-4-88,2 6-88,-1-7-48,0 6-120,3 2 840,-2-9-969,1 6 81,1-8 240,-1 3 240,1-3 232,0-1 120,0 12 56,2-13-48,6-1 0,-6 0-1752,-2 14 1800</inkml:trace>
  <inkml:trace contextRef="#ctx0" brushRef="#br0" timeOffset="2">295 165 2080,'0'0'0,"8"2"32,-7 8-8,8-1-8,-9-9-16,2 11 24,5-1-16,-5 3 16,0 0 8,7 2 32,-9 2 56,0-17-120,2 19 232,1 1 96,-1 2 48,-1 3 32,1 1 0,-2 2-32,0 3 9,0-31-385,0 30 328,0 2-8,-1 1-24,0-1 8,1 2 32,-1 1 0,1-35-336,0 35 352,-1 3 8,0 1 0,1-1-16,0 0-8,0-38-336,0 36 304,3 2-16,-1-1-15,8-2-25,-3 0-8,2-2-56,-9-33-184,11 30 168,3 0-32,2-2-8,1-3 24,4 0 16,2-3 16,-23-22-184,25 20 224,3-2 24,4-1 64,4-3 32,2-2 16,3-2-8,-41-10-352,45 4 304,3-1-80,2-1-64,3-2-72,0-2-24,2-5-8,-55 7-56,58-9 88,1-1-16,-1 1-32,2-3-15,2 1-50,-1-3 9,-61 14 16,62-14-64,1-1-272,-1 0-456,0-3-616,1 0-697,-1-1-599,-62 19 2704,62-20-2081,1 1 689,1-1 616,-1 0-248,0-1-280,-63 21 1304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A93" zoomScale="130" zoomScaleNormal="100" zoomScaleSheetLayoutView="130" workbookViewId="0">
      <selection activeCell="G97" sqref="G97:J9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7" t="s">
        <v>265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2">
      <c r="B2" s="13" t="s">
        <v>8</v>
      </c>
      <c r="C2" s="73" t="s">
        <v>36</v>
      </c>
      <c r="D2" s="73"/>
      <c r="E2" s="13" t="s">
        <v>7</v>
      </c>
      <c r="F2" s="68">
        <v>45931</v>
      </c>
      <c r="G2" s="68"/>
      <c r="H2" s="68"/>
      <c r="I2" s="68"/>
      <c r="J2" s="68"/>
    </row>
    <row r="3" spans="1:10" ht="30" customHeight="1" x14ac:dyDescent="0.2">
      <c r="B3" s="13" t="s">
        <v>9</v>
      </c>
      <c r="C3" s="73" t="s">
        <v>77</v>
      </c>
      <c r="D3" s="73"/>
      <c r="E3" s="13" t="s">
        <v>6</v>
      </c>
      <c r="F3" s="73" t="s">
        <v>92</v>
      </c>
      <c r="G3" s="73"/>
      <c r="H3" s="73"/>
      <c r="I3" s="73"/>
      <c r="J3" s="7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9" t="s">
        <v>0</v>
      </c>
      <c r="C5" s="70"/>
      <c r="D5" s="70"/>
      <c r="E5" s="78" t="s">
        <v>1</v>
      </c>
      <c r="F5" s="78"/>
      <c r="G5" s="78"/>
      <c r="H5" s="78"/>
      <c r="I5" s="78" t="s">
        <v>2</v>
      </c>
      <c r="J5" s="79"/>
    </row>
    <row r="6" spans="1:10" ht="24.95" customHeight="1" thickBot="1" x14ac:dyDescent="0.25">
      <c r="A6" s="10"/>
      <c r="B6" s="71"/>
      <c r="C6" s="72"/>
      <c r="D6" s="72"/>
      <c r="E6" s="11" t="s">
        <v>3</v>
      </c>
      <c r="F6" s="11" t="s">
        <v>4</v>
      </c>
      <c r="G6" s="11" t="s">
        <v>23</v>
      </c>
      <c r="H6" s="11" t="s">
        <v>24</v>
      </c>
      <c r="I6" s="80"/>
      <c r="J6" s="81"/>
    </row>
    <row r="7" spans="1:10" ht="24.95" customHeight="1" thickBot="1" x14ac:dyDescent="0.25">
      <c r="A7" s="10"/>
      <c r="B7" s="76" t="s">
        <v>21</v>
      </c>
      <c r="C7" s="77"/>
      <c r="D7" s="77"/>
      <c r="E7" s="12" t="s">
        <v>18</v>
      </c>
      <c r="F7" s="12" t="s">
        <v>19</v>
      </c>
      <c r="G7" s="12" t="s">
        <v>22</v>
      </c>
      <c r="H7" s="12" t="s">
        <v>20</v>
      </c>
      <c r="I7" s="82" t="s">
        <v>25</v>
      </c>
      <c r="J7" s="83"/>
    </row>
    <row r="8" spans="1:10" ht="39.950000000000003" customHeight="1" thickBot="1" x14ac:dyDescent="0.25">
      <c r="A8" s="10"/>
      <c r="B8" s="48" t="s">
        <v>177</v>
      </c>
      <c r="C8" s="49"/>
      <c r="D8" s="50"/>
      <c r="E8" s="9">
        <v>10</v>
      </c>
      <c r="F8" s="28">
        <v>8.75</v>
      </c>
      <c r="G8" s="29">
        <f>IFERROR(F8/E8,"")</f>
        <v>0.875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6"/>
      <c r="J8" s="57"/>
    </row>
    <row r="9" spans="1:10" ht="30" customHeight="1" x14ac:dyDescent="0.2">
      <c r="A9" s="10"/>
      <c r="B9" s="51" t="s">
        <v>178</v>
      </c>
      <c r="C9" s="52"/>
      <c r="D9" s="53"/>
      <c r="E9" s="30"/>
      <c r="F9" s="31"/>
      <c r="G9" s="32"/>
      <c r="H9" s="33"/>
      <c r="I9" s="58"/>
      <c r="J9" s="59"/>
    </row>
    <row r="10" spans="1:10" ht="30" customHeight="1" x14ac:dyDescent="0.2">
      <c r="A10" s="10"/>
      <c r="B10" s="42" t="s">
        <v>179</v>
      </c>
      <c r="C10" s="43"/>
      <c r="D10" s="44"/>
      <c r="E10" s="34">
        <v>5</v>
      </c>
      <c r="F10" s="35">
        <v>4.5</v>
      </c>
      <c r="G10" s="36">
        <f t="shared" ref="G10:G73" si="0">IFERROR(F10/E10,"")</f>
        <v>0.9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ممتاز</v>
      </c>
      <c r="I10" s="54"/>
      <c r="J10" s="55"/>
    </row>
    <row r="11" spans="1:10" ht="30" customHeight="1" x14ac:dyDescent="0.2">
      <c r="A11" s="10"/>
      <c r="B11" s="42" t="s">
        <v>180</v>
      </c>
      <c r="C11" s="43"/>
      <c r="D11" s="44"/>
      <c r="E11" s="34">
        <v>8</v>
      </c>
      <c r="F11" s="35">
        <v>7.5</v>
      </c>
      <c r="G11" s="36">
        <f t="shared" si="0"/>
        <v>0.9375</v>
      </c>
      <c r="H11" s="37" t="str">
        <f t="shared" si="1"/>
        <v>ممتاز</v>
      </c>
      <c r="I11" s="54"/>
      <c r="J11" s="55"/>
    </row>
    <row r="12" spans="1:10" ht="30" customHeight="1" x14ac:dyDescent="0.2">
      <c r="A12" s="10"/>
      <c r="B12" s="42" t="s">
        <v>181</v>
      </c>
      <c r="C12" s="43"/>
      <c r="D12" s="44"/>
      <c r="E12" s="34">
        <v>10</v>
      </c>
      <c r="F12" s="35">
        <v>9.25</v>
      </c>
      <c r="G12" s="36">
        <f t="shared" si="0"/>
        <v>0.92500000000000004</v>
      </c>
      <c r="H12" s="37" t="str">
        <f t="shared" si="1"/>
        <v>ممتاز</v>
      </c>
      <c r="I12" s="54"/>
      <c r="J12" s="55"/>
    </row>
    <row r="13" spans="1:10" ht="30" customHeight="1" x14ac:dyDescent="0.2">
      <c r="A13" s="10"/>
      <c r="B13" s="42" t="s">
        <v>182</v>
      </c>
      <c r="C13" s="43"/>
      <c r="D13" s="44"/>
      <c r="E13" s="34">
        <v>5</v>
      </c>
      <c r="F13" s="35">
        <v>4</v>
      </c>
      <c r="G13" s="36">
        <f t="shared" si="0"/>
        <v>0.8</v>
      </c>
      <c r="H13" s="37" t="str">
        <f t="shared" si="1"/>
        <v>جيد جداً</v>
      </c>
      <c r="I13" s="54"/>
      <c r="J13" s="55"/>
    </row>
    <row r="14" spans="1:10" ht="39.950000000000003" customHeight="1" x14ac:dyDescent="0.2">
      <c r="A14" s="10"/>
      <c r="B14" s="42" t="s">
        <v>183</v>
      </c>
      <c r="C14" s="43"/>
      <c r="D14" s="44"/>
      <c r="E14" s="34">
        <v>10</v>
      </c>
      <c r="F14" s="35">
        <v>8.75</v>
      </c>
      <c r="G14" s="36">
        <f t="shared" si="0"/>
        <v>0.875</v>
      </c>
      <c r="H14" s="37" t="str">
        <f t="shared" si="1"/>
        <v>جيد جداً</v>
      </c>
      <c r="I14" s="54"/>
      <c r="J14" s="55"/>
    </row>
    <row r="15" spans="1:10" ht="30" customHeight="1" x14ac:dyDescent="0.2">
      <c r="A15" s="10"/>
      <c r="B15" s="42" t="s">
        <v>184</v>
      </c>
      <c r="C15" s="43"/>
      <c r="D15" s="44"/>
      <c r="E15" s="34">
        <v>5</v>
      </c>
      <c r="F15" s="35">
        <v>4.5</v>
      </c>
      <c r="G15" s="36">
        <f t="shared" si="0"/>
        <v>0.9</v>
      </c>
      <c r="H15" s="37" t="str">
        <f t="shared" si="1"/>
        <v>ممتاز</v>
      </c>
      <c r="I15" s="54"/>
      <c r="J15" s="55"/>
    </row>
    <row r="16" spans="1:10" ht="39.950000000000003" customHeight="1" x14ac:dyDescent="0.2">
      <c r="A16" s="10"/>
      <c r="B16" s="42" t="s">
        <v>185</v>
      </c>
      <c r="C16" s="43"/>
      <c r="D16" s="44"/>
      <c r="E16" s="34">
        <v>5</v>
      </c>
      <c r="F16" s="35">
        <v>4</v>
      </c>
      <c r="G16" s="36">
        <f t="shared" si="0"/>
        <v>0.8</v>
      </c>
      <c r="H16" s="37" t="str">
        <f t="shared" si="1"/>
        <v>جيد جداً</v>
      </c>
      <c r="I16" s="54"/>
      <c r="J16" s="55"/>
    </row>
    <row r="17" spans="1:10" ht="30" customHeight="1" x14ac:dyDescent="0.2">
      <c r="A17" s="10"/>
      <c r="B17" s="42" t="s">
        <v>186</v>
      </c>
      <c r="C17" s="43"/>
      <c r="D17" s="44"/>
      <c r="E17" s="34">
        <v>5</v>
      </c>
      <c r="F17" s="35">
        <v>4</v>
      </c>
      <c r="G17" s="36">
        <f t="shared" si="0"/>
        <v>0.8</v>
      </c>
      <c r="H17" s="37" t="str">
        <f t="shared" si="1"/>
        <v>جيد جداً</v>
      </c>
      <c r="I17" s="54"/>
      <c r="J17" s="55"/>
    </row>
    <row r="18" spans="1:10" ht="30" customHeight="1" x14ac:dyDescent="0.2">
      <c r="A18" s="10"/>
      <c r="B18" s="42" t="s">
        <v>187</v>
      </c>
      <c r="C18" s="43"/>
      <c r="D18" s="44"/>
      <c r="E18" s="34">
        <v>6</v>
      </c>
      <c r="F18" s="35">
        <v>4.75</v>
      </c>
      <c r="G18" s="36">
        <f t="shared" si="0"/>
        <v>0.79166666666666663</v>
      </c>
      <c r="H18" s="37" t="str">
        <f t="shared" si="1"/>
        <v>جيد</v>
      </c>
      <c r="I18" s="54"/>
      <c r="J18" s="55"/>
    </row>
    <row r="19" spans="1:10" ht="30" customHeight="1" x14ac:dyDescent="0.2">
      <c r="A19" s="10"/>
      <c r="B19" s="42" t="s">
        <v>188</v>
      </c>
      <c r="C19" s="43"/>
      <c r="D19" s="44"/>
      <c r="E19" s="34">
        <v>8</v>
      </c>
      <c r="F19" s="35">
        <v>7</v>
      </c>
      <c r="G19" s="36">
        <f t="shared" si="0"/>
        <v>0.875</v>
      </c>
      <c r="H19" s="37" t="str">
        <f t="shared" si="1"/>
        <v>جيد جداً</v>
      </c>
      <c r="I19" s="54"/>
      <c r="J19" s="55"/>
    </row>
    <row r="20" spans="1:10" ht="30" customHeight="1" x14ac:dyDescent="0.2">
      <c r="A20" s="10"/>
      <c r="B20" s="42" t="s">
        <v>189</v>
      </c>
      <c r="C20" s="43"/>
      <c r="D20" s="44"/>
      <c r="E20" s="34">
        <v>6</v>
      </c>
      <c r="F20" s="35">
        <v>5</v>
      </c>
      <c r="G20" s="36">
        <f t="shared" si="0"/>
        <v>0.83333333333333337</v>
      </c>
      <c r="H20" s="37" t="str">
        <f t="shared" si="1"/>
        <v>جيد جداً</v>
      </c>
      <c r="I20" s="54"/>
      <c r="J20" s="55"/>
    </row>
    <row r="21" spans="1:10" ht="30" customHeight="1" thickBot="1" x14ac:dyDescent="0.25">
      <c r="A21" s="10"/>
      <c r="B21" s="45" t="s">
        <v>190</v>
      </c>
      <c r="C21" s="46"/>
      <c r="D21" s="47"/>
      <c r="E21" s="38">
        <v>5</v>
      </c>
      <c r="F21" s="39">
        <v>4.25</v>
      </c>
      <c r="G21" s="40">
        <f t="shared" si="0"/>
        <v>0.85</v>
      </c>
      <c r="H21" s="41" t="str">
        <f t="shared" si="1"/>
        <v>جيد جداً</v>
      </c>
      <c r="I21" s="65"/>
      <c r="J21" s="66"/>
    </row>
    <row r="22" spans="1:10" ht="39.950000000000003" customHeight="1" x14ac:dyDescent="0.2">
      <c r="A22" s="10"/>
      <c r="B22" s="51" t="s">
        <v>191</v>
      </c>
      <c r="C22" s="52"/>
      <c r="D22" s="53"/>
      <c r="E22" s="30"/>
      <c r="F22" s="31"/>
      <c r="G22" s="32"/>
      <c r="H22" s="33"/>
      <c r="I22" s="58"/>
      <c r="J22" s="59"/>
    </row>
    <row r="23" spans="1:10" ht="30" customHeight="1" x14ac:dyDescent="0.2">
      <c r="A23" s="10"/>
      <c r="B23" s="42" t="s">
        <v>192</v>
      </c>
      <c r="C23" s="43"/>
      <c r="D23" s="44"/>
      <c r="E23" s="34">
        <v>5</v>
      </c>
      <c r="F23" s="35">
        <v>4</v>
      </c>
      <c r="G23" s="36">
        <f t="shared" si="0"/>
        <v>0.8</v>
      </c>
      <c r="H23" s="37" t="str">
        <f t="shared" si="1"/>
        <v>جيد جداً</v>
      </c>
      <c r="I23" s="54"/>
      <c r="J23" s="55"/>
    </row>
    <row r="24" spans="1:10" ht="30" customHeight="1" x14ac:dyDescent="0.2">
      <c r="A24" s="10"/>
      <c r="B24" s="42" t="s">
        <v>193</v>
      </c>
      <c r="C24" s="43"/>
      <c r="D24" s="44"/>
      <c r="E24" s="34">
        <v>5</v>
      </c>
      <c r="F24" s="35">
        <v>3.75</v>
      </c>
      <c r="G24" s="36">
        <f t="shared" si="0"/>
        <v>0.75</v>
      </c>
      <c r="H24" s="37" t="str">
        <f t="shared" si="1"/>
        <v>جيد</v>
      </c>
      <c r="I24" s="54"/>
      <c r="J24" s="55"/>
    </row>
    <row r="25" spans="1:10" ht="30" customHeight="1" x14ac:dyDescent="0.2">
      <c r="A25" s="10"/>
      <c r="B25" s="42" t="s">
        <v>194</v>
      </c>
      <c r="C25" s="43"/>
      <c r="D25" s="44"/>
      <c r="E25" s="34">
        <v>5</v>
      </c>
      <c r="F25" s="35">
        <v>3.5</v>
      </c>
      <c r="G25" s="36">
        <f t="shared" si="0"/>
        <v>0.7</v>
      </c>
      <c r="H25" s="37" t="str">
        <f t="shared" si="1"/>
        <v>جيد</v>
      </c>
      <c r="I25" s="54"/>
      <c r="J25" s="55"/>
    </row>
    <row r="26" spans="1:10" ht="30" customHeight="1" x14ac:dyDescent="0.2">
      <c r="A26" s="10"/>
      <c r="B26" s="42" t="s">
        <v>195</v>
      </c>
      <c r="C26" s="43"/>
      <c r="D26" s="44"/>
      <c r="E26" s="34">
        <v>5</v>
      </c>
      <c r="F26" s="35">
        <v>3.75</v>
      </c>
      <c r="G26" s="36">
        <f t="shared" si="0"/>
        <v>0.75</v>
      </c>
      <c r="H26" s="37" t="str">
        <f t="shared" si="1"/>
        <v>جيد</v>
      </c>
      <c r="I26" s="54"/>
      <c r="J26" s="55"/>
    </row>
    <row r="27" spans="1:10" ht="30" customHeight="1" x14ac:dyDescent="0.2">
      <c r="A27" s="10"/>
      <c r="B27" s="42" t="s">
        <v>196</v>
      </c>
      <c r="C27" s="43"/>
      <c r="D27" s="44"/>
      <c r="E27" s="34">
        <v>5</v>
      </c>
      <c r="F27" s="35">
        <v>3.5</v>
      </c>
      <c r="G27" s="36">
        <f t="shared" si="0"/>
        <v>0.7</v>
      </c>
      <c r="H27" s="37" t="str">
        <f t="shared" si="1"/>
        <v>جيد</v>
      </c>
      <c r="I27" s="54"/>
      <c r="J27" s="55"/>
    </row>
    <row r="28" spans="1:10" ht="30" customHeight="1" x14ac:dyDescent="0.2">
      <c r="A28" s="10"/>
      <c r="B28" s="42" t="s">
        <v>197</v>
      </c>
      <c r="C28" s="43"/>
      <c r="D28" s="44"/>
      <c r="E28" s="34">
        <v>5</v>
      </c>
      <c r="F28" s="35">
        <v>3.5</v>
      </c>
      <c r="G28" s="36">
        <f t="shared" si="0"/>
        <v>0.7</v>
      </c>
      <c r="H28" s="37" t="str">
        <f t="shared" si="1"/>
        <v>جيد</v>
      </c>
      <c r="I28" s="54"/>
      <c r="J28" s="55"/>
    </row>
    <row r="29" spans="1:10" ht="30" customHeight="1" thickBot="1" x14ac:dyDescent="0.25">
      <c r="A29" s="10"/>
      <c r="B29" s="45" t="s">
        <v>198</v>
      </c>
      <c r="C29" s="46"/>
      <c r="D29" s="47"/>
      <c r="E29" s="38">
        <v>5</v>
      </c>
      <c r="F29" s="39">
        <v>3.75</v>
      </c>
      <c r="G29" s="40">
        <f t="shared" si="0"/>
        <v>0.75</v>
      </c>
      <c r="H29" s="41" t="str">
        <f t="shared" si="1"/>
        <v>جيد</v>
      </c>
      <c r="I29" s="65"/>
      <c r="J29" s="66"/>
    </row>
    <row r="30" spans="1:10" ht="39.950000000000003" customHeight="1" thickBot="1" x14ac:dyDescent="0.25">
      <c r="A30" s="10"/>
      <c r="B30" s="48" t="s">
        <v>199</v>
      </c>
      <c r="C30" s="49"/>
      <c r="D30" s="50"/>
      <c r="E30" s="9">
        <v>6</v>
      </c>
      <c r="F30" s="28">
        <v>4.75</v>
      </c>
      <c r="G30" s="29">
        <f t="shared" si="0"/>
        <v>0.79166666666666663</v>
      </c>
      <c r="H30" s="27" t="str">
        <f t="shared" si="1"/>
        <v>جيد</v>
      </c>
      <c r="I30" s="56"/>
      <c r="J30" s="57"/>
    </row>
    <row r="31" spans="1:10" ht="39.950000000000003" customHeight="1" thickBot="1" x14ac:dyDescent="0.25">
      <c r="A31" s="10"/>
      <c r="B31" s="48" t="s">
        <v>200</v>
      </c>
      <c r="C31" s="49"/>
      <c r="D31" s="50"/>
      <c r="E31" s="9">
        <v>6</v>
      </c>
      <c r="F31" s="28">
        <v>4.75</v>
      </c>
      <c r="G31" s="29">
        <f t="shared" si="0"/>
        <v>0.79166666666666663</v>
      </c>
      <c r="H31" s="27" t="str">
        <f t="shared" si="1"/>
        <v>جيد</v>
      </c>
      <c r="I31" s="56"/>
      <c r="J31" s="57"/>
    </row>
    <row r="32" spans="1:10" ht="39.950000000000003" customHeight="1" thickBot="1" x14ac:dyDescent="0.25">
      <c r="A32" s="10"/>
      <c r="B32" s="48" t="s">
        <v>201</v>
      </c>
      <c r="C32" s="49"/>
      <c r="D32" s="50"/>
      <c r="E32" s="9">
        <v>5</v>
      </c>
      <c r="F32" s="28">
        <v>4</v>
      </c>
      <c r="G32" s="29">
        <f t="shared" si="0"/>
        <v>0.8</v>
      </c>
      <c r="H32" s="27" t="str">
        <f t="shared" si="1"/>
        <v>جيد جداً</v>
      </c>
      <c r="I32" s="56"/>
      <c r="J32" s="57"/>
    </row>
    <row r="33" spans="1:10" ht="30" customHeight="1" x14ac:dyDescent="0.2">
      <c r="A33" s="10"/>
      <c r="B33" s="51" t="s">
        <v>202</v>
      </c>
      <c r="C33" s="52"/>
      <c r="D33" s="53"/>
      <c r="E33" s="30"/>
      <c r="F33" s="31"/>
      <c r="G33" s="32"/>
      <c r="H33" s="33"/>
      <c r="I33" s="58"/>
      <c r="J33" s="59"/>
    </row>
    <row r="34" spans="1:10" ht="39.950000000000003" customHeight="1" x14ac:dyDescent="0.2">
      <c r="A34" s="10"/>
      <c r="B34" s="42" t="s">
        <v>203</v>
      </c>
      <c r="C34" s="43"/>
      <c r="D34" s="44"/>
      <c r="E34" s="34">
        <v>6</v>
      </c>
      <c r="F34" s="35">
        <v>5</v>
      </c>
      <c r="G34" s="36">
        <f t="shared" si="0"/>
        <v>0.83333333333333337</v>
      </c>
      <c r="H34" s="37" t="str">
        <f t="shared" si="1"/>
        <v>جيد جداً</v>
      </c>
      <c r="I34" s="54"/>
      <c r="J34" s="55"/>
    </row>
    <row r="35" spans="1:10" ht="30" customHeight="1" x14ac:dyDescent="0.2">
      <c r="A35" s="10"/>
      <c r="B35" s="42" t="s">
        <v>204</v>
      </c>
      <c r="C35" s="43"/>
      <c r="D35" s="44"/>
      <c r="E35" s="34">
        <v>6</v>
      </c>
      <c r="F35" s="35">
        <v>5</v>
      </c>
      <c r="G35" s="36">
        <f t="shared" si="0"/>
        <v>0.83333333333333337</v>
      </c>
      <c r="H35" s="37" t="str">
        <f t="shared" si="1"/>
        <v>جيد جداً</v>
      </c>
      <c r="I35" s="54"/>
      <c r="J35" s="55"/>
    </row>
    <row r="36" spans="1:10" ht="39.950000000000003" customHeight="1" x14ac:dyDescent="0.2">
      <c r="A36" s="10"/>
      <c r="B36" s="42" t="s">
        <v>205</v>
      </c>
      <c r="C36" s="43"/>
      <c r="D36" s="44"/>
      <c r="E36" s="34">
        <v>6</v>
      </c>
      <c r="F36" s="35">
        <v>5</v>
      </c>
      <c r="G36" s="36">
        <f t="shared" si="0"/>
        <v>0.83333333333333337</v>
      </c>
      <c r="H36" s="37" t="str">
        <f t="shared" si="1"/>
        <v>جيد جداً</v>
      </c>
      <c r="I36" s="54"/>
      <c r="J36" s="55"/>
    </row>
    <row r="37" spans="1:10" ht="30" customHeight="1" x14ac:dyDescent="0.2">
      <c r="A37" s="10"/>
      <c r="B37" s="42" t="s">
        <v>206</v>
      </c>
      <c r="C37" s="43"/>
      <c r="D37" s="44"/>
      <c r="E37" s="34">
        <v>6</v>
      </c>
      <c r="F37" s="35">
        <v>5</v>
      </c>
      <c r="G37" s="36">
        <f t="shared" si="0"/>
        <v>0.83333333333333337</v>
      </c>
      <c r="H37" s="37" t="str">
        <f t="shared" si="1"/>
        <v>جيد جداً</v>
      </c>
      <c r="I37" s="54"/>
      <c r="J37" s="55"/>
    </row>
    <row r="38" spans="1:10" ht="30" customHeight="1" x14ac:dyDescent="0.2">
      <c r="A38" s="10"/>
      <c r="B38" s="42" t="s">
        <v>207</v>
      </c>
      <c r="C38" s="43"/>
      <c r="D38" s="44"/>
      <c r="E38" s="34">
        <v>6</v>
      </c>
      <c r="F38" s="35">
        <v>5</v>
      </c>
      <c r="G38" s="36">
        <f t="shared" si="0"/>
        <v>0.83333333333333337</v>
      </c>
      <c r="H38" s="37" t="str">
        <f t="shared" si="1"/>
        <v>جيد جداً</v>
      </c>
      <c r="I38" s="54"/>
      <c r="J38" s="55"/>
    </row>
    <row r="39" spans="1:10" ht="39.950000000000003" customHeight="1" x14ac:dyDescent="0.2">
      <c r="A39" s="10"/>
      <c r="B39" s="42" t="s">
        <v>208</v>
      </c>
      <c r="C39" s="43"/>
      <c r="D39" s="44"/>
      <c r="E39" s="34">
        <v>6</v>
      </c>
      <c r="F39" s="35">
        <v>5</v>
      </c>
      <c r="G39" s="36">
        <f t="shared" si="0"/>
        <v>0.83333333333333337</v>
      </c>
      <c r="H39" s="37" t="str">
        <f t="shared" si="1"/>
        <v>جيد جداً</v>
      </c>
      <c r="I39" s="54"/>
      <c r="J39" s="55"/>
    </row>
    <row r="40" spans="1:10" ht="39.950000000000003" customHeight="1" x14ac:dyDescent="0.2">
      <c r="A40" s="10"/>
      <c r="B40" s="42" t="s">
        <v>209</v>
      </c>
      <c r="C40" s="43"/>
      <c r="D40" s="44"/>
      <c r="E40" s="34">
        <v>6</v>
      </c>
      <c r="F40" s="35">
        <v>5</v>
      </c>
      <c r="G40" s="36">
        <f t="shared" si="0"/>
        <v>0.83333333333333337</v>
      </c>
      <c r="H40" s="37" t="str">
        <f t="shared" si="1"/>
        <v>جيد جداً</v>
      </c>
      <c r="I40" s="54"/>
      <c r="J40" s="55"/>
    </row>
    <row r="41" spans="1:10" ht="30" customHeight="1" x14ac:dyDescent="0.2">
      <c r="A41" s="10"/>
      <c r="B41" s="42" t="s">
        <v>210</v>
      </c>
      <c r="C41" s="43"/>
      <c r="D41" s="44"/>
      <c r="E41" s="34">
        <v>6</v>
      </c>
      <c r="F41" s="35">
        <v>4.25</v>
      </c>
      <c r="G41" s="36">
        <f t="shared" si="0"/>
        <v>0.70833333333333337</v>
      </c>
      <c r="H41" s="37" t="str">
        <f t="shared" si="1"/>
        <v>جيد</v>
      </c>
      <c r="I41" s="54"/>
      <c r="J41" s="55"/>
    </row>
    <row r="42" spans="1:10" ht="30" customHeight="1" x14ac:dyDescent="0.2">
      <c r="A42" s="10"/>
      <c r="B42" s="42" t="s">
        <v>211</v>
      </c>
      <c r="C42" s="43"/>
      <c r="D42" s="44"/>
      <c r="E42" s="34">
        <v>6</v>
      </c>
      <c r="F42" s="35">
        <v>4.5</v>
      </c>
      <c r="G42" s="36">
        <f t="shared" si="0"/>
        <v>0.75</v>
      </c>
      <c r="H42" s="37" t="str">
        <f t="shared" si="1"/>
        <v>جيد</v>
      </c>
      <c r="I42" s="54"/>
      <c r="J42" s="55"/>
    </row>
    <row r="43" spans="1:10" ht="30" customHeight="1" x14ac:dyDescent="0.2">
      <c r="A43" s="10"/>
      <c r="B43" s="42" t="s">
        <v>212</v>
      </c>
      <c r="C43" s="43"/>
      <c r="D43" s="44"/>
      <c r="E43" s="34">
        <v>6</v>
      </c>
      <c r="F43" s="35">
        <v>4.25</v>
      </c>
      <c r="G43" s="36">
        <f t="shared" si="0"/>
        <v>0.70833333333333337</v>
      </c>
      <c r="H43" s="37" t="str">
        <f t="shared" si="1"/>
        <v>جيد</v>
      </c>
      <c r="I43" s="54"/>
      <c r="J43" s="55"/>
    </row>
    <row r="44" spans="1:10" ht="30" customHeight="1" x14ac:dyDescent="0.2">
      <c r="A44" s="10"/>
      <c r="B44" s="42" t="s">
        <v>213</v>
      </c>
      <c r="C44" s="43"/>
      <c r="D44" s="44"/>
      <c r="E44" s="34">
        <v>6</v>
      </c>
      <c r="F44" s="35">
        <v>3.75</v>
      </c>
      <c r="G44" s="36">
        <f t="shared" si="0"/>
        <v>0.625</v>
      </c>
      <c r="H44" s="37" t="str">
        <f t="shared" si="1"/>
        <v>مقبول</v>
      </c>
      <c r="I44" s="54"/>
      <c r="J44" s="55"/>
    </row>
    <row r="45" spans="1:10" ht="30" customHeight="1" x14ac:dyDescent="0.2">
      <c r="A45" s="10"/>
      <c r="B45" s="42" t="s">
        <v>214</v>
      </c>
      <c r="C45" s="43"/>
      <c r="D45" s="44"/>
      <c r="E45" s="34">
        <v>6</v>
      </c>
      <c r="F45" s="35">
        <v>4.25</v>
      </c>
      <c r="G45" s="36">
        <f t="shared" si="0"/>
        <v>0.70833333333333337</v>
      </c>
      <c r="H45" s="37" t="str">
        <f t="shared" si="1"/>
        <v>جيد</v>
      </c>
      <c r="I45" s="54"/>
      <c r="J45" s="55"/>
    </row>
    <row r="46" spans="1:10" ht="39.950000000000003" customHeight="1" thickBot="1" x14ac:dyDescent="0.25">
      <c r="A46" s="10"/>
      <c r="B46" s="45" t="s">
        <v>215</v>
      </c>
      <c r="C46" s="46"/>
      <c r="D46" s="47"/>
      <c r="E46" s="38">
        <v>10</v>
      </c>
      <c r="F46" s="39">
        <v>7</v>
      </c>
      <c r="G46" s="40">
        <f t="shared" si="0"/>
        <v>0.7</v>
      </c>
      <c r="H46" s="41" t="str">
        <f t="shared" si="1"/>
        <v>جيد</v>
      </c>
      <c r="I46" s="65"/>
      <c r="J46" s="66"/>
    </row>
    <row r="47" spans="1:10" ht="30" customHeight="1" x14ac:dyDescent="0.2">
      <c r="A47" s="10"/>
      <c r="B47" s="51" t="s">
        <v>216</v>
      </c>
      <c r="C47" s="52"/>
      <c r="D47" s="53"/>
      <c r="E47" s="30"/>
      <c r="F47" s="31"/>
      <c r="G47" s="32"/>
      <c r="H47" s="33"/>
      <c r="I47" s="58"/>
      <c r="J47" s="59"/>
    </row>
    <row r="48" spans="1:10" ht="39.950000000000003" customHeight="1" x14ac:dyDescent="0.2">
      <c r="A48" s="10"/>
      <c r="B48" s="42" t="s">
        <v>217</v>
      </c>
      <c r="C48" s="43"/>
      <c r="D48" s="44"/>
      <c r="E48" s="34">
        <v>10</v>
      </c>
      <c r="F48" s="35">
        <v>8.75</v>
      </c>
      <c r="G48" s="36">
        <f t="shared" si="0"/>
        <v>0.875</v>
      </c>
      <c r="H48" s="37" t="str">
        <f t="shared" si="1"/>
        <v>جيد جداً</v>
      </c>
      <c r="I48" s="54"/>
      <c r="J48" s="55"/>
    </row>
    <row r="49" spans="1:10" ht="39.950000000000003" customHeight="1" x14ac:dyDescent="0.2">
      <c r="A49" s="10"/>
      <c r="B49" s="42" t="s">
        <v>218</v>
      </c>
      <c r="C49" s="43"/>
      <c r="D49" s="44"/>
      <c r="E49" s="34">
        <v>10</v>
      </c>
      <c r="F49" s="35">
        <v>8.75</v>
      </c>
      <c r="G49" s="36">
        <f t="shared" si="0"/>
        <v>0.875</v>
      </c>
      <c r="H49" s="37" t="str">
        <f t="shared" si="1"/>
        <v>جيد جداً</v>
      </c>
      <c r="I49" s="54"/>
      <c r="J49" s="55"/>
    </row>
    <row r="50" spans="1:10" ht="39.950000000000003" customHeight="1" x14ac:dyDescent="0.2">
      <c r="A50" s="10"/>
      <c r="B50" s="42" t="s">
        <v>219</v>
      </c>
      <c r="C50" s="43"/>
      <c r="D50" s="44"/>
      <c r="E50" s="34">
        <v>8</v>
      </c>
      <c r="F50" s="35">
        <v>6.75</v>
      </c>
      <c r="G50" s="36">
        <f t="shared" si="0"/>
        <v>0.84375</v>
      </c>
      <c r="H50" s="37" t="str">
        <f t="shared" si="1"/>
        <v>جيد جداً</v>
      </c>
      <c r="I50" s="54"/>
      <c r="J50" s="55"/>
    </row>
    <row r="51" spans="1:10" ht="39.950000000000003" customHeight="1" x14ac:dyDescent="0.2">
      <c r="A51" s="10"/>
      <c r="B51" s="42" t="s">
        <v>220</v>
      </c>
      <c r="C51" s="43"/>
      <c r="D51" s="44"/>
      <c r="E51" s="34">
        <v>8</v>
      </c>
      <c r="F51" s="35">
        <v>6.25</v>
      </c>
      <c r="G51" s="36">
        <f t="shared" si="0"/>
        <v>0.78125</v>
      </c>
      <c r="H51" s="37" t="str">
        <f t="shared" si="1"/>
        <v>جيد</v>
      </c>
      <c r="I51" s="54"/>
      <c r="J51" s="55"/>
    </row>
    <row r="52" spans="1:10" ht="30" customHeight="1" x14ac:dyDescent="0.2">
      <c r="A52" s="10"/>
      <c r="B52" s="42" t="s">
        <v>221</v>
      </c>
      <c r="C52" s="43"/>
      <c r="D52" s="44"/>
      <c r="E52" s="34">
        <v>8</v>
      </c>
      <c r="F52" s="35">
        <v>5.5</v>
      </c>
      <c r="G52" s="36">
        <f t="shared" si="0"/>
        <v>0.6875</v>
      </c>
      <c r="H52" s="37" t="str">
        <f t="shared" si="1"/>
        <v>مقبول</v>
      </c>
      <c r="I52" s="54"/>
      <c r="J52" s="55"/>
    </row>
    <row r="53" spans="1:10" ht="30" customHeight="1" thickBot="1" x14ac:dyDescent="0.25">
      <c r="A53" s="10"/>
      <c r="B53" s="45" t="s">
        <v>222</v>
      </c>
      <c r="C53" s="46"/>
      <c r="D53" s="47"/>
      <c r="E53" s="38">
        <v>8</v>
      </c>
      <c r="F53" s="39">
        <v>6.75</v>
      </c>
      <c r="G53" s="40">
        <f t="shared" si="0"/>
        <v>0.84375</v>
      </c>
      <c r="H53" s="41" t="str">
        <f t="shared" si="1"/>
        <v>جيد جداً</v>
      </c>
      <c r="I53" s="65"/>
      <c r="J53" s="66"/>
    </row>
    <row r="54" spans="1:10" ht="30" customHeight="1" x14ac:dyDescent="0.2">
      <c r="A54" s="10"/>
      <c r="B54" s="51" t="s">
        <v>223</v>
      </c>
      <c r="C54" s="52"/>
      <c r="D54" s="53"/>
      <c r="E54" s="30"/>
      <c r="F54" s="31"/>
      <c r="G54" s="32"/>
      <c r="H54" s="33"/>
      <c r="I54" s="58"/>
      <c r="J54" s="59"/>
    </row>
    <row r="55" spans="1:10" ht="39.950000000000003" customHeight="1" x14ac:dyDescent="0.2">
      <c r="A55" s="10"/>
      <c r="B55" s="42" t="s">
        <v>224</v>
      </c>
      <c r="C55" s="43"/>
      <c r="D55" s="44"/>
      <c r="E55" s="34">
        <v>10</v>
      </c>
      <c r="F55" s="35">
        <v>7.75</v>
      </c>
      <c r="G55" s="36">
        <f t="shared" si="0"/>
        <v>0.77500000000000002</v>
      </c>
      <c r="H55" s="37" t="str">
        <f t="shared" si="1"/>
        <v>جيد</v>
      </c>
      <c r="I55" s="54"/>
      <c r="J55" s="55"/>
    </row>
    <row r="56" spans="1:10" ht="30" customHeight="1" x14ac:dyDescent="0.2">
      <c r="A56" s="10"/>
      <c r="B56" s="42" t="s">
        <v>225</v>
      </c>
      <c r="C56" s="43"/>
      <c r="D56" s="44"/>
      <c r="E56" s="34">
        <v>8</v>
      </c>
      <c r="F56" s="35">
        <v>6.25</v>
      </c>
      <c r="G56" s="36">
        <f t="shared" si="0"/>
        <v>0.78125</v>
      </c>
      <c r="H56" s="37" t="str">
        <f t="shared" si="1"/>
        <v>جيد</v>
      </c>
      <c r="I56" s="54"/>
      <c r="J56" s="55"/>
    </row>
    <row r="57" spans="1:10" ht="30" customHeight="1" x14ac:dyDescent="0.2">
      <c r="A57" s="10"/>
      <c r="B57" s="42" t="s">
        <v>226</v>
      </c>
      <c r="C57" s="43"/>
      <c r="D57" s="44"/>
      <c r="E57" s="34">
        <v>8</v>
      </c>
      <c r="F57" s="35">
        <v>6.75</v>
      </c>
      <c r="G57" s="36">
        <f t="shared" si="0"/>
        <v>0.84375</v>
      </c>
      <c r="H57" s="37" t="str">
        <f t="shared" si="1"/>
        <v>جيد جداً</v>
      </c>
      <c r="I57" s="54"/>
      <c r="J57" s="55"/>
    </row>
    <row r="58" spans="1:10" ht="30" customHeight="1" thickBot="1" x14ac:dyDescent="0.25">
      <c r="A58" s="10"/>
      <c r="B58" s="45" t="s">
        <v>227</v>
      </c>
      <c r="C58" s="46"/>
      <c r="D58" s="47"/>
      <c r="E58" s="38">
        <v>8</v>
      </c>
      <c r="F58" s="39">
        <v>7</v>
      </c>
      <c r="G58" s="40">
        <f t="shared" si="0"/>
        <v>0.875</v>
      </c>
      <c r="H58" s="41" t="str">
        <f t="shared" si="1"/>
        <v>جيد جداً</v>
      </c>
      <c r="I58" s="65"/>
      <c r="J58" s="66"/>
    </row>
    <row r="59" spans="1:10" ht="30" customHeight="1" x14ac:dyDescent="0.2">
      <c r="A59" s="10"/>
      <c r="B59" s="51" t="s">
        <v>228</v>
      </c>
      <c r="C59" s="52"/>
      <c r="D59" s="53"/>
      <c r="E59" s="30"/>
      <c r="F59" s="31"/>
      <c r="G59" s="32"/>
      <c r="H59" s="33"/>
      <c r="I59" s="58"/>
      <c r="J59" s="59"/>
    </row>
    <row r="60" spans="1:10" ht="30" customHeight="1" x14ac:dyDescent="0.2">
      <c r="A60" s="10"/>
      <c r="B60" s="42" t="s">
        <v>229</v>
      </c>
      <c r="C60" s="43"/>
      <c r="D60" s="44"/>
      <c r="E60" s="34">
        <v>5</v>
      </c>
      <c r="F60" s="35">
        <v>4</v>
      </c>
      <c r="G60" s="36">
        <f t="shared" si="0"/>
        <v>0.8</v>
      </c>
      <c r="H60" s="37" t="str">
        <f t="shared" si="1"/>
        <v>جيد جداً</v>
      </c>
      <c r="I60" s="54"/>
      <c r="J60" s="55"/>
    </row>
    <row r="61" spans="1:10" ht="30" customHeight="1" x14ac:dyDescent="0.2">
      <c r="A61" s="10"/>
      <c r="B61" s="42" t="s">
        <v>230</v>
      </c>
      <c r="C61" s="43"/>
      <c r="D61" s="44"/>
      <c r="E61" s="34">
        <v>5</v>
      </c>
      <c r="F61" s="35">
        <v>4</v>
      </c>
      <c r="G61" s="36">
        <f t="shared" si="0"/>
        <v>0.8</v>
      </c>
      <c r="H61" s="37" t="str">
        <f t="shared" si="1"/>
        <v>جيد جداً</v>
      </c>
      <c r="I61" s="54"/>
      <c r="J61" s="55"/>
    </row>
    <row r="62" spans="1:10" ht="30" customHeight="1" x14ac:dyDescent="0.2">
      <c r="A62" s="10"/>
      <c r="B62" s="42" t="s">
        <v>231</v>
      </c>
      <c r="C62" s="43"/>
      <c r="D62" s="44"/>
      <c r="E62" s="34">
        <v>5</v>
      </c>
      <c r="F62" s="35">
        <v>4</v>
      </c>
      <c r="G62" s="36">
        <f t="shared" si="0"/>
        <v>0.8</v>
      </c>
      <c r="H62" s="37" t="str">
        <f t="shared" si="1"/>
        <v>جيد جداً</v>
      </c>
      <c r="I62" s="54"/>
      <c r="J62" s="55"/>
    </row>
    <row r="63" spans="1:10" ht="30" customHeight="1" x14ac:dyDescent="0.2">
      <c r="A63" s="10"/>
      <c r="B63" s="42" t="s">
        <v>232</v>
      </c>
      <c r="C63" s="43"/>
      <c r="D63" s="44"/>
      <c r="E63" s="34">
        <v>5</v>
      </c>
      <c r="F63" s="35">
        <v>4.25</v>
      </c>
      <c r="G63" s="36">
        <f t="shared" si="0"/>
        <v>0.85</v>
      </c>
      <c r="H63" s="37" t="str">
        <f t="shared" si="1"/>
        <v>جيد جداً</v>
      </c>
      <c r="I63" s="54"/>
      <c r="J63" s="55"/>
    </row>
    <row r="64" spans="1:10" ht="30" customHeight="1" x14ac:dyDescent="0.2">
      <c r="A64" s="10"/>
      <c r="B64" s="42" t="s">
        <v>233</v>
      </c>
      <c r="C64" s="43"/>
      <c r="D64" s="44"/>
      <c r="E64" s="34">
        <v>5</v>
      </c>
      <c r="F64" s="35">
        <v>4</v>
      </c>
      <c r="G64" s="36">
        <f t="shared" si="0"/>
        <v>0.8</v>
      </c>
      <c r="H64" s="37" t="str">
        <f t="shared" si="1"/>
        <v>جيد جداً</v>
      </c>
      <c r="I64" s="54"/>
      <c r="J64" s="55"/>
    </row>
    <row r="65" spans="1:10" ht="30" customHeight="1" x14ac:dyDescent="0.2">
      <c r="A65" s="10"/>
      <c r="B65" s="42" t="s">
        <v>234</v>
      </c>
      <c r="C65" s="43"/>
      <c r="D65" s="44"/>
      <c r="E65" s="34">
        <v>5</v>
      </c>
      <c r="F65" s="35">
        <v>4</v>
      </c>
      <c r="G65" s="36">
        <f t="shared" si="0"/>
        <v>0.8</v>
      </c>
      <c r="H65" s="37" t="str">
        <f t="shared" si="1"/>
        <v>جيد جداً</v>
      </c>
      <c r="I65" s="54"/>
      <c r="J65" s="55"/>
    </row>
    <row r="66" spans="1:10" ht="30" customHeight="1" x14ac:dyDescent="0.2">
      <c r="A66" s="10"/>
      <c r="B66" s="42" t="s">
        <v>235</v>
      </c>
      <c r="C66" s="43"/>
      <c r="D66" s="44"/>
      <c r="E66" s="34">
        <v>5</v>
      </c>
      <c r="F66" s="35">
        <v>3.5</v>
      </c>
      <c r="G66" s="36">
        <f t="shared" si="0"/>
        <v>0.7</v>
      </c>
      <c r="H66" s="37" t="str">
        <f t="shared" si="1"/>
        <v>جيد</v>
      </c>
      <c r="I66" s="54"/>
      <c r="J66" s="55"/>
    </row>
    <row r="67" spans="1:10" ht="30" customHeight="1" x14ac:dyDescent="0.2">
      <c r="A67" s="10"/>
      <c r="B67" s="42" t="s">
        <v>236</v>
      </c>
      <c r="C67" s="43"/>
      <c r="D67" s="44"/>
      <c r="E67" s="34">
        <v>5</v>
      </c>
      <c r="F67" s="35">
        <v>3.75</v>
      </c>
      <c r="G67" s="36">
        <f t="shared" si="0"/>
        <v>0.75</v>
      </c>
      <c r="H67" s="37" t="str">
        <f t="shared" si="1"/>
        <v>جيد</v>
      </c>
      <c r="I67" s="54"/>
      <c r="J67" s="55"/>
    </row>
    <row r="68" spans="1:10" ht="30" customHeight="1" x14ac:dyDescent="0.2">
      <c r="A68" s="10"/>
      <c r="B68" s="42" t="s">
        <v>237</v>
      </c>
      <c r="C68" s="43"/>
      <c r="D68" s="44"/>
      <c r="E68" s="34">
        <v>5</v>
      </c>
      <c r="F68" s="35">
        <v>3.5</v>
      </c>
      <c r="G68" s="36">
        <f t="shared" si="0"/>
        <v>0.7</v>
      </c>
      <c r="H68" s="37" t="str">
        <f t="shared" si="1"/>
        <v>جيد</v>
      </c>
      <c r="I68" s="54"/>
      <c r="J68" s="55"/>
    </row>
    <row r="69" spans="1:10" ht="30" customHeight="1" x14ac:dyDescent="0.2">
      <c r="A69" s="10"/>
      <c r="B69" s="42" t="s">
        <v>238</v>
      </c>
      <c r="C69" s="43"/>
      <c r="D69" s="44"/>
      <c r="E69" s="34">
        <v>5</v>
      </c>
      <c r="F69" s="35">
        <v>4</v>
      </c>
      <c r="G69" s="36">
        <f t="shared" si="0"/>
        <v>0.8</v>
      </c>
      <c r="H69" s="37" t="str">
        <f t="shared" si="1"/>
        <v>جيد جداً</v>
      </c>
      <c r="I69" s="54"/>
      <c r="J69" s="55"/>
    </row>
    <row r="70" spans="1:10" ht="30" customHeight="1" x14ac:dyDescent="0.2">
      <c r="A70" s="10"/>
      <c r="B70" s="42" t="s">
        <v>239</v>
      </c>
      <c r="C70" s="43"/>
      <c r="D70" s="44"/>
      <c r="E70" s="34">
        <v>5</v>
      </c>
      <c r="F70" s="35">
        <v>4</v>
      </c>
      <c r="G70" s="36">
        <f t="shared" si="0"/>
        <v>0.8</v>
      </c>
      <c r="H70" s="37" t="str">
        <f t="shared" si="1"/>
        <v>جيد جداً</v>
      </c>
      <c r="I70" s="54"/>
      <c r="J70" s="55"/>
    </row>
    <row r="71" spans="1:10" ht="30" customHeight="1" x14ac:dyDescent="0.2">
      <c r="A71" s="10"/>
      <c r="B71" s="42" t="s">
        <v>240</v>
      </c>
      <c r="C71" s="43"/>
      <c r="D71" s="44"/>
      <c r="E71" s="34">
        <v>5</v>
      </c>
      <c r="F71" s="35">
        <v>4</v>
      </c>
      <c r="G71" s="36">
        <f t="shared" si="0"/>
        <v>0.8</v>
      </c>
      <c r="H71" s="37" t="str">
        <f t="shared" si="1"/>
        <v>جيد جداً</v>
      </c>
      <c r="I71" s="54"/>
      <c r="J71" s="55"/>
    </row>
    <row r="72" spans="1:10" ht="30" customHeight="1" x14ac:dyDescent="0.2">
      <c r="A72" s="10"/>
      <c r="B72" s="42" t="s">
        <v>241</v>
      </c>
      <c r="C72" s="43"/>
      <c r="D72" s="44"/>
      <c r="E72" s="34">
        <v>5</v>
      </c>
      <c r="F72" s="35">
        <v>4.25</v>
      </c>
      <c r="G72" s="36">
        <f t="shared" si="0"/>
        <v>0.85</v>
      </c>
      <c r="H72" s="37" t="str">
        <f t="shared" si="1"/>
        <v>جيد جداً</v>
      </c>
      <c r="I72" s="54"/>
      <c r="J72" s="55"/>
    </row>
    <row r="73" spans="1:10" ht="30" customHeight="1" thickBot="1" x14ac:dyDescent="0.25">
      <c r="A73" s="10"/>
      <c r="B73" s="45" t="s">
        <v>242</v>
      </c>
      <c r="C73" s="46"/>
      <c r="D73" s="47"/>
      <c r="E73" s="38">
        <v>5</v>
      </c>
      <c r="F73" s="39">
        <v>4.25</v>
      </c>
      <c r="G73" s="40">
        <f t="shared" si="0"/>
        <v>0.85</v>
      </c>
      <c r="H73" s="41" t="str">
        <f t="shared" si="1"/>
        <v>جيد جداً</v>
      </c>
      <c r="I73" s="65"/>
      <c r="J73" s="66"/>
    </row>
    <row r="74" spans="1:10" ht="30" customHeight="1" x14ac:dyDescent="0.2">
      <c r="A74" s="10"/>
      <c r="B74" s="51" t="s">
        <v>243</v>
      </c>
      <c r="C74" s="52"/>
      <c r="D74" s="53"/>
      <c r="E74" s="30"/>
      <c r="F74" s="31"/>
      <c r="G74" s="32"/>
      <c r="H74" s="33"/>
      <c r="I74" s="58"/>
      <c r="J74" s="59"/>
    </row>
    <row r="75" spans="1:10" ht="30" customHeight="1" x14ac:dyDescent="0.2">
      <c r="A75" s="10"/>
      <c r="B75" s="42" t="s">
        <v>244</v>
      </c>
      <c r="C75" s="43"/>
      <c r="D75" s="44"/>
      <c r="E75" s="34">
        <v>5</v>
      </c>
      <c r="F75" s="35">
        <v>4</v>
      </c>
      <c r="G75" s="36">
        <f t="shared" ref="G75:G92" si="2">IFERROR(F75/E75,"")</f>
        <v>0.8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 جداً</v>
      </c>
      <c r="I75" s="54"/>
      <c r="J75" s="55"/>
    </row>
    <row r="76" spans="1:10" ht="30" customHeight="1" x14ac:dyDescent="0.2">
      <c r="A76" s="10"/>
      <c r="B76" s="42" t="s">
        <v>245</v>
      </c>
      <c r="C76" s="43"/>
      <c r="D76" s="44"/>
      <c r="E76" s="34">
        <v>5</v>
      </c>
      <c r="F76" s="35">
        <v>4.5</v>
      </c>
      <c r="G76" s="36">
        <f t="shared" si="2"/>
        <v>0.9</v>
      </c>
      <c r="H76" s="37" t="str">
        <f t="shared" si="3"/>
        <v>ممتاز</v>
      </c>
      <c r="I76" s="54"/>
      <c r="J76" s="55"/>
    </row>
    <row r="77" spans="1:10" ht="30" customHeight="1" x14ac:dyDescent="0.2">
      <c r="A77" s="10"/>
      <c r="B77" s="42" t="s">
        <v>246</v>
      </c>
      <c r="C77" s="43"/>
      <c r="D77" s="44"/>
      <c r="E77" s="34">
        <v>5</v>
      </c>
      <c r="F77" s="35">
        <v>4.25</v>
      </c>
      <c r="G77" s="36">
        <f t="shared" si="2"/>
        <v>0.85</v>
      </c>
      <c r="H77" s="37" t="str">
        <f t="shared" si="3"/>
        <v>جيد جداً</v>
      </c>
      <c r="I77" s="54"/>
      <c r="J77" s="55"/>
    </row>
    <row r="78" spans="1:10" ht="30" customHeight="1" x14ac:dyDescent="0.2">
      <c r="A78" s="10"/>
      <c r="B78" s="42" t="s">
        <v>247</v>
      </c>
      <c r="C78" s="43"/>
      <c r="D78" s="44"/>
      <c r="E78" s="34">
        <v>5</v>
      </c>
      <c r="F78" s="35">
        <v>4.25</v>
      </c>
      <c r="G78" s="36">
        <f t="shared" si="2"/>
        <v>0.85</v>
      </c>
      <c r="H78" s="37" t="str">
        <f t="shared" si="3"/>
        <v>جيد جداً</v>
      </c>
      <c r="I78" s="54"/>
      <c r="J78" s="55"/>
    </row>
    <row r="79" spans="1:10" ht="30" customHeight="1" x14ac:dyDescent="0.2">
      <c r="A79" s="10"/>
      <c r="B79" s="42" t="s">
        <v>248</v>
      </c>
      <c r="C79" s="43"/>
      <c r="D79" s="44"/>
      <c r="E79" s="34">
        <v>5</v>
      </c>
      <c r="F79" s="35">
        <v>4.25</v>
      </c>
      <c r="G79" s="36">
        <f t="shared" si="2"/>
        <v>0.85</v>
      </c>
      <c r="H79" s="37" t="str">
        <f t="shared" si="3"/>
        <v>جيد جداً</v>
      </c>
      <c r="I79" s="54"/>
      <c r="J79" s="55"/>
    </row>
    <row r="80" spans="1:10" ht="30" customHeight="1" x14ac:dyDescent="0.2">
      <c r="A80" s="10"/>
      <c r="B80" s="42" t="s">
        <v>249</v>
      </c>
      <c r="C80" s="43"/>
      <c r="D80" s="44"/>
      <c r="E80" s="34">
        <v>5</v>
      </c>
      <c r="F80" s="35">
        <v>4.25</v>
      </c>
      <c r="G80" s="36">
        <f t="shared" si="2"/>
        <v>0.85</v>
      </c>
      <c r="H80" s="37" t="str">
        <f t="shared" si="3"/>
        <v>جيد جداً</v>
      </c>
      <c r="I80" s="54"/>
      <c r="J80" s="55"/>
    </row>
    <row r="81" spans="1:10" ht="30" customHeight="1" x14ac:dyDescent="0.2">
      <c r="A81" s="10"/>
      <c r="B81" s="42" t="s">
        <v>250</v>
      </c>
      <c r="C81" s="43"/>
      <c r="D81" s="44"/>
      <c r="E81" s="34">
        <v>5</v>
      </c>
      <c r="F81" s="35">
        <v>4.25</v>
      </c>
      <c r="G81" s="36">
        <f t="shared" si="2"/>
        <v>0.85</v>
      </c>
      <c r="H81" s="37" t="str">
        <f t="shared" si="3"/>
        <v>جيد جداً</v>
      </c>
      <c r="I81" s="54"/>
      <c r="J81" s="55"/>
    </row>
    <row r="82" spans="1:10" ht="30" customHeight="1" x14ac:dyDescent="0.2">
      <c r="A82" s="10"/>
      <c r="B82" s="42" t="s">
        <v>251</v>
      </c>
      <c r="C82" s="43"/>
      <c r="D82" s="44"/>
      <c r="E82" s="34">
        <v>5</v>
      </c>
      <c r="F82" s="35">
        <v>4.25</v>
      </c>
      <c r="G82" s="36">
        <f t="shared" si="2"/>
        <v>0.85</v>
      </c>
      <c r="H82" s="37" t="str">
        <f t="shared" si="3"/>
        <v>جيد جداً</v>
      </c>
      <c r="I82" s="54"/>
      <c r="J82" s="55"/>
    </row>
    <row r="83" spans="1:10" ht="30" customHeight="1" x14ac:dyDescent="0.2">
      <c r="A83" s="10"/>
      <c r="B83" s="42" t="s">
        <v>252</v>
      </c>
      <c r="C83" s="43"/>
      <c r="D83" s="44"/>
      <c r="E83" s="34">
        <v>5</v>
      </c>
      <c r="F83" s="35">
        <v>4</v>
      </c>
      <c r="G83" s="36">
        <f t="shared" si="2"/>
        <v>0.8</v>
      </c>
      <c r="H83" s="37" t="str">
        <f t="shared" si="3"/>
        <v>جيد جداً</v>
      </c>
      <c r="I83" s="54"/>
      <c r="J83" s="55"/>
    </row>
    <row r="84" spans="1:10" ht="30" customHeight="1" x14ac:dyDescent="0.2">
      <c r="A84" s="10"/>
      <c r="B84" s="42" t="s">
        <v>253</v>
      </c>
      <c r="C84" s="43"/>
      <c r="D84" s="44"/>
      <c r="E84" s="34">
        <v>5</v>
      </c>
      <c r="F84" s="35">
        <v>4</v>
      </c>
      <c r="G84" s="36">
        <f t="shared" si="2"/>
        <v>0.8</v>
      </c>
      <c r="H84" s="37" t="str">
        <f t="shared" si="3"/>
        <v>جيد جداً</v>
      </c>
      <c r="I84" s="54"/>
      <c r="J84" s="55"/>
    </row>
    <row r="85" spans="1:10" ht="30" customHeight="1" thickBot="1" x14ac:dyDescent="0.25">
      <c r="A85" s="10"/>
      <c r="B85" s="45" t="s">
        <v>254</v>
      </c>
      <c r="C85" s="46"/>
      <c r="D85" s="47"/>
      <c r="E85" s="38">
        <v>5</v>
      </c>
      <c r="F85" s="39">
        <v>3.75</v>
      </c>
      <c r="G85" s="40">
        <f t="shared" si="2"/>
        <v>0.75</v>
      </c>
      <c r="H85" s="41" t="str">
        <f t="shared" si="3"/>
        <v>جيد</v>
      </c>
      <c r="I85" s="65"/>
      <c r="J85" s="66"/>
    </row>
    <row r="86" spans="1:10" ht="30" customHeight="1" x14ac:dyDescent="0.2">
      <c r="A86" s="10"/>
      <c r="B86" s="51" t="s">
        <v>255</v>
      </c>
      <c r="C86" s="52"/>
      <c r="D86" s="53"/>
      <c r="E86" s="30"/>
      <c r="F86" s="31"/>
      <c r="G86" s="32"/>
      <c r="H86" s="33"/>
      <c r="I86" s="58"/>
      <c r="J86" s="59"/>
    </row>
    <row r="87" spans="1:10" ht="39.950000000000003" customHeight="1" x14ac:dyDescent="0.2">
      <c r="A87" s="10"/>
      <c r="B87" s="42" t="s">
        <v>256</v>
      </c>
      <c r="C87" s="43"/>
      <c r="D87" s="44"/>
      <c r="E87" s="34">
        <v>5</v>
      </c>
      <c r="F87" s="35">
        <v>3.75</v>
      </c>
      <c r="G87" s="36">
        <f t="shared" si="2"/>
        <v>0.75</v>
      </c>
      <c r="H87" s="37" t="str">
        <f t="shared" si="3"/>
        <v>جيد</v>
      </c>
      <c r="I87" s="54"/>
      <c r="J87" s="55"/>
    </row>
    <row r="88" spans="1:10" ht="30" customHeight="1" x14ac:dyDescent="0.2">
      <c r="A88" s="10"/>
      <c r="B88" s="42" t="s">
        <v>257</v>
      </c>
      <c r="C88" s="43"/>
      <c r="D88" s="44"/>
      <c r="E88" s="34">
        <v>5</v>
      </c>
      <c r="F88" s="35">
        <v>3.75</v>
      </c>
      <c r="G88" s="36">
        <f t="shared" si="2"/>
        <v>0.75</v>
      </c>
      <c r="H88" s="37" t="str">
        <f t="shared" si="3"/>
        <v>جيد</v>
      </c>
      <c r="I88" s="54"/>
      <c r="J88" s="55"/>
    </row>
    <row r="89" spans="1:10" ht="30" customHeight="1" x14ac:dyDescent="0.2">
      <c r="A89" s="10"/>
      <c r="B89" s="42" t="s">
        <v>258</v>
      </c>
      <c r="C89" s="43"/>
      <c r="D89" s="44"/>
      <c r="E89" s="34">
        <v>5</v>
      </c>
      <c r="F89" s="35">
        <v>4</v>
      </c>
      <c r="G89" s="36">
        <f t="shared" si="2"/>
        <v>0.8</v>
      </c>
      <c r="H89" s="37" t="str">
        <f t="shared" si="3"/>
        <v>جيد جداً</v>
      </c>
      <c r="I89" s="54"/>
      <c r="J89" s="55"/>
    </row>
    <row r="90" spans="1:10" ht="39.950000000000003" customHeight="1" thickBot="1" x14ac:dyDescent="0.25">
      <c r="A90" s="10"/>
      <c r="B90" s="45" t="s">
        <v>259</v>
      </c>
      <c r="C90" s="46"/>
      <c r="D90" s="47"/>
      <c r="E90" s="38">
        <v>6</v>
      </c>
      <c r="F90" s="39">
        <v>4.5</v>
      </c>
      <c r="G90" s="40">
        <f t="shared" si="2"/>
        <v>0.75</v>
      </c>
      <c r="H90" s="41" t="str">
        <f t="shared" si="3"/>
        <v>جيد</v>
      </c>
      <c r="I90" s="65"/>
      <c r="J90" s="66"/>
    </row>
    <row r="91" spans="1:10" ht="39.950000000000003" customHeight="1" thickBot="1" x14ac:dyDescent="0.25">
      <c r="A91" s="10"/>
      <c r="B91" s="48" t="s">
        <v>260</v>
      </c>
      <c r="C91" s="49"/>
      <c r="D91" s="50"/>
      <c r="E91" s="9">
        <v>8</v>
      </c>
      <c r="F91" s="28">
        <v>7</v>
      </c>
      <c r="G91" s="29">
        <f t="shared" si="2"/>
        <v>0.875</v>
      </c>
      <c r="H91" s="27" t="str">
        <f t="shared" si="3"/>
        <v>جيد جداً</v>
      </c>
      <c r="I91" s="56"/>
      <c r="J91" s="57"/>
    </row>
    <row r="92" spans="1:10" ht="30" customHeight="1" thickBot="1" x14ac:dyDescent="0.25">
      <c r="A92" s="10"/>
      <c r="B92" s="48" t="s">
        <v>261</v>
      </c>
      <c r="C92" s="49"/>
      <c r="D92" s="50"/>
      <c r="E92" s="9">
        <v>8</v>
      </c>
      <c r="F92" s="28">
        <v>7</v>
      </c>
      <c r="G92" s="29">
        <f t="shared" si="2"/>
        <v>0.875</v>
      </c>
      <c r="H92" s="27" t="str">
        <f t="shared" si="3"/>
        <v>جيد جداً</v>
      </c>
      <c r="I92" s="56"/>
      <c r="J92" s="57"/>
    </row>
    <row r="93" spans="1:10" ht="30" customHeight="1" thickBot="1" x14ac:dyDescent="0.25">
      <c r="A93" s="4"/>
      <c r="B93" s="90" t="s">
        <v>5</v>
      </c>
      <c r="C93" s="82"/>
      <c r="D93" s="82"/>
      <c r="E93" s="9">
        <f>SUM(E8:E92)</f>
        <v>470</v>
      </c>
      <c r="F93" s="9">
        <f>SUM(F8:F92)</f>
        <v>380.25</v>
      </c>
      <c r="G93" s="62"/>
      <c r="H93" s="63"/>
      <c r="I93" s="63"/>
      <c r="J93" s="64"/>
    </row>
    <row r="94" spans="1:10" ht="30" customHeight="1" thickBot="1" x14ac:dyDescent="0.25">
      <c r="A94" s="4"/>
      <c r="B94" s="90" t="s">
        <v>54</v>
      </c>
      <c r="C94" s="82"/>
      <c r="D94" s="82"/>
      <c r="E94" s="74">
        <f>F93/E93/100*100</f>
        <v>0.80904255319148921</v>
      </c>
      <c r="F94" s="74"/>
      <c r="G94" s="74"/>
      <c r="H94" s="74"/>
      <c r="I94" s="74"/>
      <c r="J94" s="75"/>
    </row>
    <row r="95" spans="1:10" ht="30" customHeight="1" thickBot="1" x14ac:dyDescent="0.25">
      <c r="A95" s="4"/>
      <c r="B95" s="90" t="s">
        <v>55</v>
      </c>
      <c r="C95" s="82"/>
      <c r="D95" s="82"/>
      <c r="E95" s="88" t="str">
        <f>_xlfn.IFS(E94&gt;=90%,"ممتاز",E94&gt;=80%,"جيد جداً",E94&gt;=70%,"جيد",E94&gt;=60%,"مقبول",E94&lt;60%,"راسب")</f>
        <v>جيد جداً</v>
      </c>
      <c r="F95" s="88"/>
      <c r="G95" s="88"/>
      <c r="H95" s="88"/>
      <c r="I95" s="88"/>
      <c r="J95" s="89"/>
    </row>
    <row r="96" spans="1:10" ht="42" customHeight="1" x14ac:dyDescent="0.2">
      <c r="B96" s="84" t="s">
        <v>174</v>
      </c>
      <c r="C96" s="84"/>
      <c r="D96" s="84"/>
      <c r="E96" s="60" t="s">
        <v>52</v>
      </c>
      <c r="F96" s="60"/>
      <c r="G96" s="86" t="s">
        <v>92</v>
      </c>
      <c r="H96" s="86"/>
      <c r="I96" s="86"/>
      <c r="J96" s="86"/>
    </row>
    <row r="97" spans="1:10" ht="51" customHeight="1" x14ac:dyDescent="0.2">
      <c r="A97" s="5"/>
      <c r="B97" s="85"/>
      <c r="C97" s="85"/>
      <c r="D97" s="85"/>
      <c r="E97" s="61" t="s">
        <v>53</v>
      </c>
      <c r="F97" s="61"/>
      <c r="G97" s="87"/>
      <c r="H97" s="87"/>
      <c r="I97" s="87"/>
      <c r="J97" s="8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1"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262</v>
      </c>
    </row>
    <row r="30" spans="1:3" ht="20.100000000000001" customHeight="1" thickBot="1" x14ac:dyDescent="0.3">
      <c r="A30" s="2" t="s">
        <v>32</v>
      </c>
      <c r="C30" s="20" t="s">
        <v>263</v>
      </c>
    </row>
    <row r="31" spans="1:3" ht="20.100000000000001" customHeight="1" thickBot="1" x14ac:dyDescent="0.3">
      <c r="A31" s="2" t="s">
        <v>33</v>
      </c>
      <c r="C31" s="20" t="s">
        <v>264</v>
      </c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2025-09-22T05:33:44Z</dcterms:modified>
</cp:coreProperties>
</file>