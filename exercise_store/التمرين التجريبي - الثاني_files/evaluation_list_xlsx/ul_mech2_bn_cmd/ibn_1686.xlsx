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941C59E-1519-564B-B899-7FC268A05F0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F44" i="2"/>
  <c r="E44" i="2"/>
  <c r="E45" i="2"/>
  <c r="E46" i="2"/>
</calcChain>
</file>

<file path=xl/sharedStrings.xml><?xml version="1.0" encoding="utf-8"?>
<sst xmlns="http://schemas.openxmlformats.org/spreadsheetml/2006/main" count="275" uniqueCount="214">
  <si>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</si>
  <si>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</si>
  <si>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</si>
  <si>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</si>
  <si>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</si>
  <si>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</si>
  <si>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</si>
  <si>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</si>
  <si>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</si>
  <si>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</si>
  <si>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</si>
  <si>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</si>
  <si>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</si>
  <si>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</si>
  <si>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</si>
  <si>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</si>
  <si>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</si>
  <si>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</si>
  <si>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</si>
  <si>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</si>
  <si>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</si>
  <si>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</si>
  <si>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</si>
  <si>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</si>
  <si>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</si>
  <si>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</si>
  <si>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</si>
  <si>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</si>
  <si>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</si>
  <si>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</si>
  <si>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</si>
  <si>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</si>
  <si>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</si>
  <si>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</si>
  <si>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</si>
  <si>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</si>
  <si>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</si>
  <si>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</si>
  <si>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</si>
  <si>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</si>
  <si>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</si>
  <si>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</si>
  <si>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</si>
  <si>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</si>
  <si>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</si>
  <si>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</si>
  <si>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</si>
  <si>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</si>
  <si>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</si>
  <si>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</si>
  <si>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</si>
  <si>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</si>
  <si>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</si>
  <si>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</si>
  <si>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</si>
  <si>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</si>
  <si>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</si>
  <si>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</si>
  <si>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</si>
  <si>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</si>
  <si>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</si>
  <si>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</si>
  <si>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</si>
  <si>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</si>
  <si>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</si>
  <si>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</si>
  <si>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</si>
  <si>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</si>
  <si>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</si>
  <si>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</si>
  <si>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</si>
  <si>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</si>
  <si>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</si>
  <si>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</si>
  <si>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</si>
  <si>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</si>
  <si>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</si>
  <si>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</si>
  <si>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</si>
  <si>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</si>
  <si>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</si>
  <si>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</si>
  <si>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</si>
  <si>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</si>
  <si>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</si>
  <si>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</si>
  <si>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</si>
  <si>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</si>
  <si>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</si>
  <si>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</si>
  <si>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</si>
  <si>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</si>
  <si>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</si>
  <si>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</si>
  <si>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</si>
  <si>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</si>
  <si>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</si>
  <si>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</si>
  <si>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</si>
  <si>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</si>
  <si>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</si>
  <si>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</si>
  <si>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</si>
  <si>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</si>
  <si>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</si>
  <si>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</si>
  <si>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</si>
  <si>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</si>
  <si>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</si>
  <si>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</si>
  <si>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</si>
  <si>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</si>
  <si>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</si>
  <si>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</si>
  <si>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</si>
  <si>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</si>
  <si>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</si>
  <si>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</si>
  <si>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</si>
  <si>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</si>
  <si>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</si>
  <si>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</si>
  <si>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</si>
  <si>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</si>
  <si>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</si>
  <si>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</si>
  <si>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</si>
  <si>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</si>
  <si>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</si>
  <si>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</si>
  <si>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</si>
  <si>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</si>
  <si>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</si>
  <si>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</si>
  <si>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</si>
  <si>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</si>
  <si>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</si>
  <si>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</si>
  <si>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</si>
  <si>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</si>
  <si>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</si>
  <si>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</si>
  <si>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</si>
  <si>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</si>
  <si>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</si>
  <si>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</si>
  <si>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</si>
  <si>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</si>
  <si>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</si>
  <si>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</si>
  <si>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</si>
  <si>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</si>
  <si>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</si>
  <si>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</si>
  <si>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</si>
  <si>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</si>
  <si>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</si>
  <si>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</si>
  <si>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</si>
  <si>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</si>
  <si>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</si>
  <si>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</si>
  <si>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</si>
  <si>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</si>
  <si>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</si>
  <si>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</si>
  <si>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</si>
  <si>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</si>
  <si>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</si>
  <si>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</si>
  <si>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</si>
  <si>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</si>
  <si>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</si>
  <si>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</si>
  <si>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</si>
  <si>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</si>
  <si>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</si>
  <si>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</si>
  <si>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</si>
  <si>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</si>
  <si>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</si>
  <si>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</si>
  <si>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</si>
  <si>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</si>
  <si>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</si>
  <si>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</si>
  <si>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</si>
  <si>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</si>
  <si>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</si>
  <si>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</si>
  <si>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</si>
  <si>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</si>
  <si>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</si>
  <si>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</si>
  <si>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</si>
  <si>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</si>
  <si>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</si>
  <si>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</si>
  <si>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</si>
  <si>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</si>
  <si>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</si>
  <si>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</si>
  <si>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</si>
  <si>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</si>
  <si>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</si>
  <si>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</si>
  <si>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</si>
  <si>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</si>
  <si>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</si>
  <si>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</si>
  <si>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</si>
  <si>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</si>
  <si>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</si>
  <si>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السرية/فريق القتال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</si>
</sst>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9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4" readingOrder="2"/>
    </xf>
    <xf numFmtId="0" fontId="9" fillId="5" borderId="3" xfId="0" applyFont="1" applyFill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620145</xdr:colOff>
      <xdr:row>45</xdr:row>
      <xdr:rowOff>286918</xdr:rowOff>
    </xdr:from>
    <xdr:to>
      <xdr:col>9</xdr:col>
      <xdr:colOff>264794</xdr:colOff>
      <xdr:row>48</xdr:row>
      <xdr:rowOff>70002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223E38-40D4-D46E-FD32-7103A976A202}"/>
                </a:ext>
              </a:extLst>
            </xdr14:cNvPr>
            <xdr14:cNvContentPartPr/>
          </xdr14:nvContentPartPr>
          <xdr14:nvPr macro=""/>
          <xdr14:xfrm>
            <a:off x="10398322025" y="19065600"/>
            <a:ext cx="1618920" cy="1341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223E38-40D4-D46E-FD32-7103A976A2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13025" y="19056600"/>
              <a:ext cx="1636560" cy="1359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5:44:41.8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3635 3725 17675,'0'0'0,"-3"1"2153,3-1-2153,-14 0 608,9 0-128,-12 0-224,17-4-168,0 4-88,0-12 16,0 12-40,0-4 32,0 1 112,0 3-120,0-3 0,0 3-3137,0-2 1105,-4-1 160,4 3 1872,-5-3-1745,2-1 2673,-2-9-712,-9 10 89,14 3-305,0-16 272,-5 4 80,-7-3 48,12-2-64,0 17-336,-5-17 368,-7-3-56,12-1 8,-14-3-8,14 24-312,-5-26 272,3-1 88,-15-1 24,12-2-48,5 30-336,-14-33 384,2 1-119,0-4-113,-3 0 192,15 36-344,-17-35 224,8 1 8,4 0 8,-10 2-184,15 32-56,-4-32 56,-1 12-56,2 8 0,-11-20-472,14 32 472,-5-33 2360,-14-11 89,0-7 159,7 18 729,12 33-3337,0-33-80,-15-1 128,8 3-128,-7-2-40,14 33 120,-12-30-80,9 3-40,-16 3 0,17 6-64,2 18 184,-5-16-48,-7 2-120,12 1 64,-3 0 288,3 13-184,-5-12-64,3-1-40,2 1-184,-5 0-88,5 12 376,0-13-328,0 1-41,0 8 385,-2-11-192,2 15 176,-3-5-16,1-12 248,0 6-200,-3 0 217,5 11-249,-3-12 64,3 1 24,0 7 80,0-14-168,0 18 0,0-11 128,3 7-128,2-13 16,-1 12 408,-4 5-424,5-14 184,0 10-80,7-9 16,-10 9-376,-2 4 256,10-13 72,-5 10-112,9-9 40,-4 7 208,-10 5-208,14-14-120,3 10 168,0-13-40,10 5-152,-27 12 144,24-4 104,2-13 0,5 6 64,3 6-104,-34 5-64,34-18-16,2 5 32,0-3 24,5-1-64,-41 17 24,43-19-96,3-3 96,-1-1-72,1-4 56,-46 27 16,55-27 168,-2-1-184,3 2 48,-3 2 72,-53 24-104,50-21 16,1 1-16,-6 3 0,3 0-48,-48 17 48,41-14-16,-2 1 48,-3 2-16,-5 6 32,-31 5-48,31-14-48,1 11 80,-11-8-80,3 8 64,-24 3-16,17-3 64,-5 0-64,0 3 24,-7 0-40,-5 0 16,2 0-56,1 0-8,-3 2 48,0 2 32,0-4-16,-5 4 32,-12 9-48,5-7 112,-7 12-176,19-18 80,-29 22-32,-7 3 80,-7 6-112,-8 6 80,51-37-16,-53 42 0,-7-1-16,-2 3 16,-6-1-72,68-43 72,-69 42-16,-4 2 16,1 2-80,-2 1-160,74-47 240,-77 48-224,2 2-112,3-2 144,0 0 280,72-48-88,-70 47 152,-5-1 136,-1 1-80,-6 0-24,82-47-184,-82 44 0,5-2 40,2-3-352,6-4-40,69-35 352,-60 31-160,-1-1-56,11-3 456,4-4 112,46-23-352,-43 21 120,4-2-120,8-3 136,0-1-104,31-15-32,-17 13 160,0-7-80,8 6-248,4-9 184,5-3-16,-12 5-304,12-4 216,0-1-96,0 0-144,0 0 328,5-3-176,2-1 80,7-8 144,5 8 0,-19 4-48,24-20 192,3 0-280,4-4 72,5-4 0,-36 28 16,36-33-64,5-1-8,3 0-192,-4 0-9,-40 34 273,44-34 64,-1-2 249,10-1 103,-3 0-160,-50 37-256,51-37-96,-3 3-48,-5 3-384,-2 2 135,-41 29 393,39-24-384,-6 6-80,-9 2 504,1 5 168,-25 11-208,19-3 184,-5 0-112,-11 3-96,-3 0-24,0 0 48,0 2-216,0 9 272,-8 3-128,-8 6 40,16-20 32,-29 28 176,-7 7 64,-5 3 112,-10 3-240,51-41-112,-55 44 96,-10 0-200,-10 3-136,1-3 24,74-44 216,-77 46 0,2-2-192,1-4 232,2-3 136,72-37-176,-70 31-40,10-4 272,0-3-176,9-7 216,51-17-272,-46 13 177,10-9 119,12 0-144,10-2-184,14-2 32,-5 0 208,0-3-352,5-8 128,0-2 0,0 13 16,12-19-32,5-6 152,7-8-32,7-5-224,-31 38 136,39-42-24,7 0-40,-8 1 32,8 2 112,-46 39-80,43-34-80,-2 3 128,0 2-240,0 5 24,-41 24 168,38-23-577,-2 5 201,0 4 432,-7 2-216,-29 12 160,27-2 304,-8-1-416,-7 3-240,-5 0 264,-7 0 88,3 1-264,1 3 208,-4 8 56,0-8 0,0-4 0,-4 16 104,-11-5 24,3 5 224,-10 1-16,22-17-336,-16 18 456,-16 1-311,8-4-81,-5 2 112,29-17-176,-31 16 32,5-2 24,-6-1 80,6-7-272,26-6 136,-24 13 64,2-11 112,5 3-8,1-3-16,16-2-152,-12 2-80,7-1 184,2-1 96,3 0-144,0 0-56,0-4 216,0-10-128,3 2-416,16-3 312,-19 15 16,17-17 104,2-2-344,-2 1 88,0-1-104,-17 19 256,19-20-272,5 5 264,-5-1 8,-2 3 8,-17 13-8,17-4 16,-5-9-136,2 10 216,-11 1-216,-3 2 120,2 0-313,3-3 329,-5 3 8,0 0 65,0 0-89,0 0-233,0 1 217,0-1 16,0 2 249,-5-1-305,5 0 128,-5 2-112,5-3 40,-4 2-32,1-1 88,-2 1-145,1-1 346,4-1-257,-12 1 192,9 1-88,1-2 408,-10 0-592,12 0 80,-3 0-160,-2 0 232,5 0-40,-2 0-104,2 0 72,-2 0-200,2 0 96,0-3-272,0 3 440,0 0-64,0-3 224,0 3-184,0 0-24,2 0 64,-2 0-80,0-3 224,0 3-224,0 0 16,0-3 0,0 3-16,0 0 0,0 0 88,0 0-56,0-2-8,0 2-24,0 0-144,0 0 128,0 0 72,0 0 24,0 0-80,0 0-80,0 0 184,0 0-88,0 0 0,0 0-72,0 0 200,0 0-80,0 0-96,0 0 128,0 0-368,-2 0 632,2 0-344,-5 0 72,0-3-56,5 3-32,-5 0 48,-9-3-176,11 3 56,-11-3 8,14 3 64,-12 0-24,10-3 128,-15 3 104,5-3-80,12 3-128,-15 0 0,-2-2 168,-4 2-296,-3-3 160,24 3-32,-27 0 0,-11 0-32,-6 0 96,-4 0-200,48 0 136,-50-3 104,-8 3-304,-9 0-480,-8 0 488,75 0 192,-79 0-464,-13-3 304,-1 3 608,-6-4-224,99 4-224,-108-12 344,-3 1-328,-4-5-64,-6-5-584,121 21 632,-122-26-489,1-5 193,-1-7 224,6-5 577,116 43-505,-110-51 488,1-6 512,4-5-592,6-9-88,99 71-320,-87-82-88,15-8-464,12-11 312,14-12-320,46 113 560,-24-116-568,24-12 504,5-6 96,38-5 464,-43 139-496,61-145 704,18 0-608,34 1-96,19 6-16,-132 138 16,154-130 608,17 7-144,17 8-104,19 11-64,-207 104-296,218-90-408,11 14 296,2 22 88,5 21 24,-236 33 0,230-4-32,-6 6 88,-12 25-40,-10 14-152,-202-41 136,187 51 80,-13 12 56,-20 6-288,-20 8 352,-134-77-200,121 81 184,-16 9-288,-16 8 144,-16 10-376,-73-108 336,57 113-216,-21 10 232,-24 3 336,-24 6 40,12-132-392,-38 137-16,-22 2-296,-24 8-216,-22-1-192,106-146 720,-123 149-496,41-56 496,-86 46-4761,-15-4 2232,183-135 2529,-197 126-2600,-73 48 223,66-63 3361,-8-13-1832,212-98 848,-207 85-1816,-2-17-2505,7-19-3753,202-49 8074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8"/>
  <sheetViews>
    <sheetView rightToLeft="1" tabSelected="1" view="pageBreakPreview" topLeftCell="D30" zoomScale="130" zoomScaleNormal="100" zoomScaleSheetLayoutView="130" workbookViewId="0">
      <selection activeCell="G48" sqref="G48:J4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213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2" t="s">
        <v>8</v>
      </c>
      <c r="C2" s="61" t="s">
        <v>37</v>
      </c>
      <c r="D2" s="61"/>
      <c r="E2" s="12" t="s">
        <v>7</v>
      </c>
      <c r="F2" s="56">
        <v>45953</v>
      </c>
      <c r="G2" s="56"/>
      <c r="H2" s="56"/>
      <c r="I2" s="56"/>
      <c r="J2" s="56"/>
    </row>
    <row r="3" spans="1:10" ht="30" customHeight="1" x14ac:dyDescent="0.2">
      <c r="B3" s="12" t="s">
        <v>9</v>
      </c>
      <c r="C3" s="61" t="s">
        <v>201</v>
      </c>
      <c r="D3" s="61"/>
      <c r="E3" s="12" t="s">
        <v>6</v>
      </c>
      <c r="F3" s="61" t="s">
        <v>112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7" t="s">
        <v>0</v>
      </c>
      <c r="C5" s="58"/>
      <c r="D5" s="58"/>
      <c r="E5" s="46" t="s">
        <v>1</v>
      </c>
      <c r="F5" s="46"/>
      <c r="G5" s="46"/>
      <c r="H5" s="46"/>
      <c r="I5" s="46" t="s">
        <v>2</v>
      </c>
      <c r="J5" s="49"/>
    </row>
    <row r="6" spans="1:10" ht="24.95" customHeight="1" thickBot="1" x14ac:dyDescent="0.2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2" t="s">
        <v>21</v>
      </c>
      <c r="C7" s="43"/>
      <c r="D7" s="43"/>
      <c r="E7" s="20" t="s">
        <v>18</v>
      </c>
      <c r="F7" s="20" t="s">
        <v>19</v>
      </c>
      <c r="G7" s="20" t="s">
        <v>22</v>
      </c>
      <c r="H7" s="20" t="s">
        <v>20</v>
      </c>
      <c r="I7" s="52" t="s">
        <v>25</v>
      </c>
      <c r="J7" s="53"/>
    </row>
    <row r="8" spans="1:10" ht="30" customHeight="1" x14ac:dyDescent="0.2">
      <c r="A8" s="10"/>
      <c r="B8" s="95" t="s">
        <v>65</v>
      </c>
      <c r="C8" s="96"/>
      <c r="D8" s="96"/>
      <c r="E8" s="96"/>
      <c r="F8" s="96"/>
      <c r="G8" s="96"/>
      <c r="H8" s="96"/>
      <c r="I8" s="96"/>
      <c r="J8" s="97"/>
    </row>
    <row r="9" spans="1:10" ht="39.950000000000003" customHeight="1" x14ac:dyDescent="0.2">
      <c r="A9" s="10"/>
      <c r="B9" s="67" t="s">
        <v>70</v>
      </c>
      <c r="C9" s="68"/>
      <c r="D9" s="68"/>
      <c r="E9" s="9">
        <v>5</v>
      </c>
      <c r="F9" s="19">
        <v>3.75</v>
      </c>
      <c r="G9" s="22">
        <f>IFERROR(F9/E9,"")</f>
        <v>0.75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50000000000003" customHeight="1" x14ac:dyDescent="0.2">
      <c r="A10" s="10"/>
      <c r="B10" s="67" t="s">
        <v>69</v>
      </c>
      <c r="C10" s="68"/>
      <c r="D10" s="68"/>
      <c r="E10" s="9"/>
      <c r="F10" s="19"/>
      <c r="G10" s="22"/>
      <c r="H10" s="23"/>
      <c r="I10" s="44"/>
      <c r="J10" s="45"/>
    </row>
    <row r="11" spans="1:10" ht="50.1" customHeight="1" x14ac:dyDescent="0.2">
      <c r="A11" s="10"/>
      <c r="B11" s="89" t="s">
        <v>99</v>
      </c>
      <c r="C11" s="90"/>
      <c r="D11" s="90"/>
      <c r="E11" s="9">
        <v>5</v>
      </c>
      <c r="F11" s="19">
        <v>3.5</v>
      </c>
      <c r="G11" s="22">
        <f t="shared" ref="G11:G43" si="0">IFERROR(F11/E11,"")</f>
        <v>0.7</v>
      </c>
      <c r="H11" s="23" t="str">
        <f t="shared" ref="H11:H43" si="1">_xlfn.IFS(F11="أدخل العلامة","",F11="لا ينطبق","تم الإلغاء",G11&gt;=90%,"ممتاز",G11&gt;=80%,"جيد جداً",G11&gt;=70%,"جيد",G11&gt;=60%,"مقبول",G11&lt;60%,"راسب")</f>
        <v>جيد</v>
      </c>
      <c r="I11" s="44"/>
      <c r="J11" s="45"/>
    </row>
    <row r="12" spans="1:10" ht="39.950000000000003" customHeight="1" x14ac:dyDescent="0.2">
      <c r="A12" s="10"/>
      <c r="B12" s="89" t="s">
        <v>98</v>
      </c>
      <c r="C12" s="90"/>
      <c r="D12" s="90"/>
      <c r="E12" s="9">
        <v>5</v>
      </c>
      <c r="F12" s="19">
        <v>3.75</v>
      </c>
      <c r="G12" s="22">
        <f t="shared" si="0"/>
        <v>0.75</v>
      </c>
      <c r="H12" s="23" t="str">
        <f t="shared" si="1"/>
        <v>جيد</v>
      </c>
      <c r="I12" s="44"/>
      <c r="J12" s="45"/>
    </row>
    <row r="13" spans="1:10" ht="30" customHeight="1" x14ac:dyDescent="0.2">
      <c r="A13" s="10"/>
      <c r="B13" s="89" t="s">
        <v>97</v>
      </c>
      <c r="C13" s="90"/>
      <c r="D13" s="90"/>
      <c r="E13" s="9">
        <v>5</v>
      </c>
      <c r="F13" s="19">
        <v>3.75</v>
      </c>
      <c r="G13" s="22">
        <f t="shared" si="0"/>
        <v>0.75</v>
      </c>
      <c r="H13" s="23" t="str">
        <f t="shared" si="1"/>
        <v>جيد</v>
      </c>
      <c r="I13" s="44"/>
      <c r="J13" s="45"/>
    </row>
    <row r="14" spans="1:10" ht="30" customHeight="1" x14ac:dyDescent="0.2">
      <c r="A14" s="10"/>
      <c r="B14" s="89" t="s">
        <v>96</v>
      </c>
      <c r="C14" s="90"/>
      <c r="D14" s="90"/>
      <c r="E14" s="9">
        <v>5</v>
      </c>
      <c r="F14" s="19">
        <v>3.5</v>
      </c>
      <c r="G14" s="22">
        <f t="shared" si="0"/>
        <v>0.7</v>
      </c>
      <c r="H14" s="23" t="str">
        <f t="shared" si="1"/>
        <v>جيد</v>
      </c>
      <c r="I14" s="44"/>
      <c r="J14" s="45"/>
    </row>
    <row r="15" spans="1:10" ht="30" customHeight="1" x14ac:dyDescent="0.2">
      <c r="A15" s="10"/>
      <c r="B15" s="89" t="s">
        <v>95</v>
      </c>
      <c r="C15" s="90"/>
      <c r="D15" s="90"/>
      <c r="E15" s="9">
        <v>5</v>
      </c>
      <c r="F15" s="19">
        <v>3.75</v>
      </c>
      <c r="G15" s="22">
        <f t="shared" si="0"/>
        <v>0.75</v>
      </c>
      <c r="H15" s="23" t="str">
        <f t="shared" si="1"/>
        <v>جيد</v>
      </c>
      <c r="I15" s="44"/>
      <c r="J15" s="45"/>
    </row>
    <row r="16" spans="1:10" ht="50.1" customHeight="1" x14ac:dyDescent="0.2">
      <c r="A16" s="10"/>
      <c r="B16" s="67" t="s">
        <v>64</v>
      </c>
      <c r="C16" s="68"/>
      <c r="D16" s="68"/>
      <c r="E16" s="9">
        <v>5</v>
      </c>
      <c r="F16" s="19">
        <v>3.5</v>
      </c>
      <c r="G16" s="22">
        <f t="shared" si="0"/>
        <v>0.7</v>
      </c>
      <c r="H16" s="23" t="str">
        <f t="shared" si="1"/>
        <v>جيد</v>
      </c>
      <c r="I16" s="44"/>
      <c r="J16" s="45"/>
    </row>
    <row r="17" spans="1:10" ht="30" customHeight="1" thickBot="1" x14ac:dyDescent="0.25">
      <c r="A17" s="10"/>
      <c r="B17" s="67" t="s">
        <v>71</v>
      </c>
      <c r="C17" s="68"/>
      <c r="D17" s="68"/>
      <c r="E17" s="9">
        <v>5</v>
      </c>
      <c r="F17" s="19">
        <v>3.5</v>
      </c>
      <c r="G17" s="22">
        <f t="shared" si="0"/>
        <v>0.7</v>
      </c>
      <c r="H17" s="23" t="str">
        <f t="shared" si="1"/>
        <v>جيد</v>
      </c>
      <c r="I17" s="44"/>
      <c r="J17" s="45"/>
    </row>
    <row r="18" spans="1:10" ht="30" customHeight="1" x14ac:dyDescent="0.2">
      <c r="A18" s="10"/>
      <c r="B18" s="95" t="s">
        <v>66</v>
      </c>
      <c r="C18" s="96"/>
      <c r="D18" s="96"/>
      <c r="E18" s="96"/>
      <c r="F18" s="96"/>
      <c r="G18" s="96"/>
      <c r="H18" s="96"/>
      <c r="I18" s="96"/>
      <c r="J18" s="97"/>
    </row>
    <row r="19" spans="1:10" ht="39.950000000000003" customHeight="1" x14ac:dyDescent="0.2">
      <c r="A19" s="10"/>
      <c r="B19" s="93" t="s">
        <v>76</v>
      </c>
      <c r="C19" s="94"/>
      <c r="D19" s="94"/>
      <c r="E19" s="24"/>
      <c r="F19" s="28"/>
      <c r="G19" s="22"/>
      <c r="H19" s="23"/>
      <c r="I19" s="44"/>
      <c r="J19" s="45"/>
    </row>
    <row r="20" spans="1:10" ht="30" customHeight="1" x14ac:dyDescent="0.2">
      <c r="A20" s="10"/>
      <c r="B20" s="91" t="s">
        <v>79</v>
      </c>
      <c r="C20" s="92"/>
      <c r="D20" s="92"/>
      <c r="E20" s="24">
        <v>5</v>
      </c>
      <c r="F20" s="28">
        <v>3.5</v>
      </c>
      <c r="G20" s="22">
        <f t="shared" si="0"/>
        <v>0.7</v>
      </c>
      <c r="H20" s="23" t="str">
        <f t="shared" si="1"/>
        <v>جيد</v>
      </c>
      <c r="I20" s="44"/>
      <c r="J20" s="45"/>
    </row>
    <row r="21" spans="1:10" ht="30" customHeight="1" x14ac:dyDescent="0.2">
      <c r="A21" s="10"/>
      <c r="B21" s="91" t="s">
        <v>80</v>
      </c>
      <c r="C21" s="92"/>
      <c r="D21" s="92"/>
      <c r="E21" s="24">
        <v>5</v>
      </c>
      <c r="F21" s="28">
        <v>3.5</v>
      </c>
      <c r="G21" s="22">
        <f t="shared" si="0"/>
        <v>0.7</v>
      </c>
      <c r="H21" s="23" t="str">
        <f t="shared" si="1"/>
        <v>جيد</v>
      </c>
      <c r="I21" s="44"/>
      <c r="J21" s="45"/>
    </row>
    <row r="22" spans="1:10" ht="30" customHeight="1" x14ac:dyDescent="0.2">
      <c r="A22" s="10"/>
      <c r="B22" s="91" t="s">
        <v>81</v>
      </c>
      <c r="C22" s="92"/>
      <c r="D22" s="92"/>
      <c r="E22" s="24">
        <v>5</v>
      </c>
      <c r="F22" s="28">
        <v>3.25</v>
      </c>
      <c r="G22" s="22">
        <f t="shared" si="0"/>
        <v>0.65</v>
      </c>
      <c r="H22" s="23" t="str">
        <f t="shared" si="1"/>
        <v>مقبول</v>
      </c>
      <c r="I22" s="44"/>
      <c r="J22" s="45"/>
    </row>
    <row r="23" spans="1:10" ht="30" customHeight="1" x14ac:dyDescent="0.2">
      <c r="A23" s="10"/>
      <c r="B23" s="91" t="s">
        <v>82</v>
      </c>
      <c r="C23" s="92"/>
      <c r="D23" s="92"/>
      <c r="E23" s="24">
        <v>5</v>
      </c>
      <c r="F23" s="28">
        <v>3.75</v>
      </c>
      <c r="G23" s="22">
        <f t="shared" si="0"/>
        <v>0.75</v>
      </c>
      <c r="H23" s="23" t="str">
        <f t="shared" si="1"/>
        <v>جيد</v>
      </c>
      <c r="I23" s="44"/>
      <c r="J23" s="45"/>
    </row>
    <row r="24" spans="1:10" ht="30" customHeight="1" x14ac:dyDescent="0.2">
      <c r="A24" s="10"/>
      <c r="B24" s="91" t="s">
        <v>83</v>
      </c>
      <c r="C24" s="92"/>
      <c r="D24" s="92"/>
      <c r="E24" s="24">
        <v>5</v>
      </c>
      <c r="F24" s="28">
        <v>3.25</v>
      </c>
      <c r="G24" s="22">
        <f t="shared" si="0"/>
        <v>0.65</v>
      </c>
      <c r="H24" s="23" t="str">
        <f t="shared" si="1"/>
        <v>مقبول</v>
      </c>
      <c r="I24" s="44"/>
      <c r="J24" s="45"/>
    </row>
    <row r="25" spans="1:10" ht="30" customHeight="1" x14ac:dyDescent="0.2">
      <c r="A25" s="10"/>
      <c r="B25" s="91" t="s">
        <v>84</v>
      </c>
      <c r="C25" s="92"/>
      <c r="D25" s="92"/>
      <c r="E25" s="24">
        <v>5</v>
      </c>
      <c r="F25" s="28">
        <v>3.75</v>
      </c>
      <c r="G25" s="22">
        <f t="shared" si="0"/>
        <v>0.75</v>
      </c>
      <c r="H25" s="23" t="str">
        <f t="shared" si="1"/>
        <v>جيد</v>
      </c>
      <c r="I25" s="44"/>
      <c r="J25" s="45"/>
    </row>
    <row r="26" spans="1:10" ht="30" customHeight="1" x14ac:dyDescent="0.2">
      <c r="A26" s="10"/>
      <c r="B26" s="93" t="s">
        <v>77</v>
      </c>
      <c r="C26" s="94"/>
      <c r="D26" s="94"/>
      <c r="E26" s="24"/>
      <c r="F26" s="28"/>
      <c r="G26" s="22"/>
      <c r="H26" s="23"/>
      <c r="I26" s="44"/>
      <c r="J26" s="45"/>
    </row>
    <row r="27" spans="1:10" ht="30" customHeight="1" x14ac:dyDescent="0.2">
      <c r="A27" s="10"/>
      <c r="B27" s="91" t="s">
        <v>85</v>
      </c>
      <c r="C27" s="92"/>
      <c r="D27" s="92"/>
      <c r="E27" s="24">
        <v>5</v>
      </c>
      <c r="F27" s="28">
        <v>3.5</v>
      </c>
      <c r="G27" s="22">
        <f t="shared" si="0"/>
        <v>0.7</v>
      </c>
      <c r="H27" s="23" t="str">
        <f t="shared" si="1"/>
        <v>جيد</v>
      </c>
      <c r="I27" s="44"/>
      <c r="J27" s="45"/>
    </row>
    <row r="28" spans="1:10" ht="39.950000000000003" customHeight="1" x14ac:dyDescent="0.2">
      <c r="A28" s="10"/>
      <c r="B28" s="91" t="s">
        <v>86</v>
      </c>
      <c r="C28" s="92"/>
      <c r="D28" s="92"/>
      <c r="E28" s="24">
        <v>5</v>
      </c>
      <c r="F28" s="28">
        <v>3.75</v>
      </c>
      <c r="G28" s="22">
        <f t="shared" si="0"/>
        <v>0.75</v>
      </c>
      <c r="H28" s="23" t="str">
        <f t="shared" si="1"/>
        <v>جيد</v>
      </c>
      <c r="I28" s="44"/>
      <c r="J28" s="45"/>
    </row>
    <row r="29" spans="1:10" ht="30" customHeight="1" thickBot="1" x14ac:dyDescent="0.25">
      <c r="A29" s="10"/>
      <c r="B29" s="83" t="s">
        <v>78</v>
      </c>
      <c r="C29" s="84"/>
      <c r="D29" s="84"/>
      <c r="E29" s="25">
        <v>5</v>
      </c>
      <c r="F29" s="29">
        <v>3.75</v>
      </c>
      <c r="G29" s="26">
        <f t="shared" si="0"/>
        <v>0.75</v>
      </c>
      <c r="H29" s="27" t="str">
        <f t="shared" si="1"/>
        <v>جيد</v>
      </c>
      <c r="I29" s="47"/>
      <c r="J29" s="48"/>
    </row>
    <row r="30" spans="1:10" ht="30" customHeight="1" x14ac:dyDescent="0.2">
      <c r="A30" s="10"/>
      <c r="B30" s="98" t="s">
        <v>75</v>
      </c>
      <c r="C30" s="99"/>
      <c r="D30" s="99"/>
      <c r="E30" s="99"/>
      <c r="F30" s="99"/>
      <c r="G30" s="99"/>
      <c r="H30" s="99"/>
      <c r="I30" s="99"/>
      <c r="J30" s="100"/>
    </row>
    <row r="31" spans="1:10" ht="30" customHeight="1" x14ac:dyDescent="0.2">
      <c r="A31" s="10"/>
      <c r="B31" s="85" t="s">
        <v>72</v>
      </c>
      <c r="C31" s="86"/>
      <c r="D31" s="86"/>
      <c r="E31" s="30"/>
      <c r="F31" s="31"/>
      <c r="G31" s="32"/>
      <c r="H31" s="33"/>
      <c r="I31" s="79"/>
      <c r="J31" s="80"/>
    </row>
    <row r="32" spans="1:10" ht="30" customHeight="1" x14ac:dyDescent="0.2">
      <c r="A32" s="10"/>
      <c r="B32" s="87" t="s">
        <v>87</v>
      </c>
      <c r="C32" s="88"/>
      <c r="D32" s="88"/>
      <c r="E32" s="34">
        <v>5</v>
      </c>
      <c r="F32" s="31">
        <v>3.75</v>
      </c>
      <c r="G32" s="32">
        <f t="shared" si="0"/>
        <v>0.75</v>
      </c>
      <c r="H32" s="33" t="str">
        <f t="shared" si="1"/>
        <v>جيد</v>
      </c>
      <c r="I32" s="79"/>
      <c r="J32" s="80"/>
    </row>
    <row r="33" spans="1:10" ht="30" customHeight="1" x14ac:dyDescent="0.2">
      <c r="A33" s="10"/>
      <c r="B33" s="87" t="s">
        <v>88</v>
      </c>
      <c r="C33" s="88"/>
      <c r="D33" s="88"/>
      <c r="E33" s="34">
        <v>5</v>
      </c>
      <c r="F33" s="31">
        <v>3.5</v>
      </c>
      <c r="G33" s="32">
        <f t="shared" si="0"/>
        <v>0.7</v>
      </c>
      <c r="H33" s="33" t="str">
        <f t="shared" si="1"/>
        <v>جيد</v>
      </c>
      <c r="I33" s="79"/>
      <c r="J33" s="80"/>
    </row>
    <row r="34" spans="1:10" ht="30" customHeight="1" x14ac:dyDescent="0.2">
      <c r="A34" s="10"/>
      <c r="B34" s="87" t="s">
        <v>89</v>
      </c>
      <c r="C34" s="88"/>
      <c r="D34" s="88"/>
      <c r="E34" s="34">
        <v>5</v>
      </c>
      <c r="F34" s="31">
        <v>3.5</v>
      </c>
      <c r="G34" s="32">
        <f t="shared" si="0"/>
        <v>0.7</v>
      </c>
      <c r="H34" s="33" t="str">
        <f t="shared" si="1"/>
        <v>جيد</v>
      </c>
      <c r="I34" s="79"/>
      <c r="J34" s="80"/>
    </row>
    <row r="35" spans="1:10" ht="30" customHeight="1" x14ac:dyDescent="0.2">
      <c r="A35" s="10"/>
      <c r="B35" s="87" t="s">
        <v>90</v>
      </c>
      <c r="C35" s="88"/>
      <c r="D35" s="88"/>
      <c r="E35" s="34">
        <v>5</v>
      </c>
      <c r="F35" s="31">
        <v>3.5</v>
      </c>
      <c r="G35" s="32">
        <f t="shared" si="0"/>
        <v>0.7</v>
      </c>
      <c r="H35" s="33" t="str">
        <f t="shared" si="1"/>
        <v>جيد</v>
      </c>
      <c r="I35" s="79"/>
      <c r="J35" s="80"/>
    </row>
    <row r="36" spans="1:10" ht="30" customHeight="1" x14ac:dyDescent="0.2">
      <c r="A36" s="10"/>
      <c r="B36" s="85" t="s">
        <v>67</v>
      </c>
      <c r="C36" s="86"/>
      <c r="D36" s="86"/>
      <c r="E36" s="30"/>
      <c r="F36" s="31"/>
      <c r="G36" s="32"/>
      <c r="H36" s="33"/>
      <c r="I36" s="79"/>
      <c r="J36" s="80"/>
    </row>
    <row r="37" spans="1:10" ht="30" customHeight="1" x14ac:dyDescent="0.2">
      <c r="A37" s="10"/>
      <c r="B37" s="87" t="s">
        <v>91</v>
      </c>
      <c r="C37" s="88"/>
      <c r="D37" s="88"/>
      <c r="E37" s="34">
        <v>5</v>
      </c>
      <c r="F37" s="31">
        <v>3.75</v>
      </c>
      <c r="G37" s="32">
        <f t="shared" si="0"/>
        <v>0.75</v>
      </c>
      <c r="H37" s="33" t="str">
        <f t="shared" si="1"/>
        <v>جيد</v>
      </c>
      <c r="I37" s="79"/>
      <c r="J37" s="80"/>
    </row>
    <row r="38" spans="1:10" ht="30" customHeight="1" x14ac:dyDescent="0.2">
      <c r="A38" s="10"/>
      <c r="B38" s="89" t="s">
        <v>92</v>
      </c>
      <c r="C38" s="90"/>
      <c r="D38" s="90"/>
      <c r="E38" s="24">
        <v>5</v>
      </c>
      <c r="F38" s="19">
        <v>3</v>
      </c>
      <c r="G38" s="22">
        <f t="shared" si="0"/>
        <v>0.6</v>
      </c>
      <c r="H38" s="23" t="str">
        <f t="shared" si="1"/>
        <v>مقبول</v>
      </c>
      <c r="I38" s="44"/>
      <c r="J38" s="45"/>
    </row>
    <row r="39" spans="1:10" ht="30" customHeight="1" x14ac:dyDescent="0.2">
      <c r="A39" s="10"/>
      <c r="B39" s="89" t="s">
        <v>93</v>
      </c>
      <c r="C39" s="90"/>
      <c r="D39" s="90"/>
      <c r="E39" s="24">
        <v>5</v>
      </c>
      <c r="F39" s="19">
        <v>3.5</v>
      </c>
      <c r="G39" s="22">
        <f t="shared" si="0"/>
        <v>0.7</v>
      </c>
      <c r="H39" s="23" t="str">
        <f t="shared" si="1"/>
        <v>جيد</v>
      </c>
      <c r="I39" s="44"/>
      <c r="J39" s="45"/>
    </row>
    <row r="40" spans="1:10" ht="50.1" customHeight="1" x14ac:dyDescent="0.2">
      <c r="A40" s="10"/>
      <c r="B40" s="89" t="s">
        <v>94</v>
      </c>
      <c r="C40" s="90"/>
      <c r="D40" s="90"/>
      <c r="E40" s="24">
        <v>5</v>
      </c>
      <c r="F40" s="19">
        <v>3.5</v>
      </c>
      <c r="G40" s="22">
        <f t="shared" si="0"/>
        <v>0.7</v>
      </c>
      <c r="H40" s="23" t="str">
        <f t="shared" si="1"/>
        <v>جيد</v>
      </c>
      <c r="I40" s="44"/>
      <c r="J40" s="45"/>
    </row>
    <row r="41" spans="1:10" ht="39.950000000000003" customHeight="1" x14ac:dyDescent="0.2">
      <c r="A41" s="10"/>
      <c r="B41" s="67" t="s">
        <v>73</v>
      </c>
      <c r="C41" s="68"/>
      <c r="D41" s="68"/>
      <c r="E41" s="24">
        <v>5</v>
      </c>
      <c r="F41" s="19">
        <v>3.5</v>
      </c>
      <c r="G41" s="22">
        <f t="shared" si="0"/>
        <v>0.7</v>
      </c>
      <c r="H41" s="23" t="str">
        <f t="shared" si="1"/>
        <v>جيد</v>
      </c>
      <c r="I41" s="44"/>
      <c r="J41" s="45"/>
    </row>
    <row r="42" spans="1:10" ht="39.950000000000003" customHeight="1" x14ac:dyDescent="0.2">
      <c r="A42" s="10"/>
      <c r="B42" s="67" t="s">
        <v>68</v>
      </c>
      <c r="C42" s="68"/>
      <c r="D42" s="68"/>
      <c r="E42" s="24">
        <v>5</v>
      </c>
      <c r="F42" s="19">
        <v>3.5</v>
      </c>
      <c r="G42" s="22">
        <f t="shared" si="0"/>
        <v>0.7</v>
      </c>
      <c r="H42" s="23" t="str">
        <f t="shared" si="1"/>
        <v>جيد</v>
      </c>
      <c r="I42" s="44"/>
      <c r="J42" s="45"/>
    </row>
    <row r="43" spans="1:10" ht="30" customHeight="1" x14ac:dyDescent="0.2">
      <c r="A43" s="10"/>
      <c r="B43" s="67" t="s">
        <v>74</v>
      </c>
      <c r="C43" s="68"/>
      <c r="D43" s="68"/>
      <c r="E43" s="24">
        <v>5</v>
      </c>
      <c r="F43" s="19">
        <v>3.75</v>
      </c>
      <c r="G43" s="22">
        <f t="shared" si="0"/>
        <v>0.75</v>
      </c>
      <c r="H43" s="23" t="str">
        <f t="shared" si="1"/>
        <v>جيد</v>
      </c>
      <c r="I43" s="44"/>
      <c r="J43" s="45"/>
    </row>
    <row r="44" spans="1:10" ht="30" customHeight="1" thickBot="1" x14ac:dyDescent="0.25">
      <c r="A44" s="4"/>
      <c r="B44" s="81" t="s">
        <v>5</v>
      </c>
      <c r="C44" s="82"/>
      <c r="D44" s="82"/>
      <c r="E44" s="21">
        <f>SUM(E8:E43)</f>
        <v>140</v>
      </c>
      <c r="F44" s="21">
        <f>SUM(F8:F43)</f>
        <v>99.75</v>
      </c>
      <c r="G44" s="64"/>
      <c r="H44" s="65"/>
      <c r="I44" s="65"/>
      <c r="J44" s="66"/>
    </row>
    <row r="45" spans="1:10" ht="30" customHeight="1" thickBot="1" x14ac:dyDescent="0.25">
      <c r="A45" s="4"/>
      <c r="B45" s="77" t="s">
        <v>54</v>
      </c>
      <c r="C45" s="78"/>
      <c r="D45" s="78"/>
      <c r="E45" s="69">
        <f>F44/E44/100*100</f>
        <v>0.71250000000000002</v>
      </c>
      <c r="F45" s="69"/>
      <c r="G45" s="69"/>
      <c r="H45" s="69"/>
      <c r="I45" s="69"/>
      <c r="J45" s="70"/>
    </row>
    <row r="46" spans="1:10" ht="30" customHeight="1" thickBot="1" x14ac:dyDescent="0.25">
      <c r="A46" s="4"/>
      <c r="B46" s="77" t="s">
        <v>55</v>
      </c>
      <c r="C46" s="78"/>
      <c r="D46" s="78"/>
      <c r="E46" s="75" t="str">
        <f>_xlfn.IFS(E45&gt;=90%,"ممتاز",E45&gt;=80%,"جيد جداً",E45&gt;=70%,"جيد",E45&gt;=60%,"مقبول",E45&lt;60%,"راسب")</f>
        <v>جيد</v>
      </c>
      <c r="F46" s="75"/>
      <c r="G46" s="75"/>
      <c r="H46" s="75"/>
      <c r="I46" s="75"/>
      <c r="J46" s="76"/>
    </row>
    <row r="47" spans="1:10" ht="42" customHeight="1" x14ac:dyDescent="0.2">
      <c r="B47" s="71" t="s">
        <v>63</v>
      </c>
      <c r="C47" s="71"/>
      <c r="D47" s="71"/>
      <c r="E47" s="62" t="s">
        <v>52</v>
      </c>
      <c r="F47" s="62"/>
      <c r="G47" s="73" t="s">
        <v>112</v>
      </c>
      <c r="H47" s="73"/>
      <c r="I47" s="73"/>
      <c r="J47" s="73"/>
    </row>
    <row r="48" spans="1:10" ht="51" customHeight="1" x14ac:dyDescent="0.2">
      <c r="A48" s="5"/>
      <c r="B48" s="72"/>
      <c r="C48" s="72"/>
      <c r="D48" s="72"/>
      <c r="E48" s="63" t="s">
        <v>53</v>
      </c>
      <c r="F48" s="63"/>
      <c r="G48" s="74"/>
      <c r="H48" s="74"/>
      <c r="I48" s="74"/>
      <c r="J4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29:D29"/>
    <mergeCell ref="B31:D31"/>
    <mergeCell ref="B32:D32"/>
    <mergeCell ref="B33:D33"/>
    <mergeCell ref="B34:D34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41:D41"/>
    <mergeCell ref="B37:D37"/>
    <mergeCell ref="B38:D38"/>
    <mergeCell ref="B39:D39"/>
    <mergeCell ref="B40:D40"/>
    <mergeCell ref="I31:J31"/>
    <mergeCell ref="I32:J32"/>
    <mergeCell ref="I33:J33"/>
    <mergeCell ref="I34:J34"/>
    <mergeCell ref="I35:J35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B1:J1"/>
    <mergeCell ref="F2:J2"/>
    <mergeCell ref="B5:D6"/>
    <mergeCell ref="C2:D2"/>
    <mergeCell ref="C3:D3"/>
    <mergeCell ref="F3:J3"/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6">
    <cfRule type="expression" dxfId="21" priority="57">
      <formula>$E46="راسب"</formula>
    </cfRule>
  </conditionalFormatting>
  <conditionalFormatting sqref="E46:J46">
    <cfRule type="expression" dxfId="20" priority="60">
      <formula>$E46="جيد جداً"</formula>
    </cfRule>
    <cfRule type="expression" dxfId="19" priority="59">
      <formula>$E46="جيد"</formula>
    </cfRule>
    <cfRule type="expression" dxfId="18" priority="58">
      <formula>$E46="مقبول"</formula>
    </cfRule>
    <cfRule type="expression" dxfId="17" priority="61">
      <formula>$E46="ممتاز"</formula>
    </cfRule>
  </conditionalFormatting>
  <conditionalFormatting sqref="F9:F17">
    <cfRule type="containsText" dxfId="16" priority="4" operator="containsText" text="أدخل العلامة">
      <formula>NOT(ISERROR(SEARCH("أدخل العلامة",F9)))</formula>
    </cfRule>
  </conditionalFormatting>
  <conditionalFormatting sqref="F19:F29 F31:F43">
    <cfRule type="containsText" dxfId="15" priority="14" operator="containsText" text="أدخل العلامة">
      <formula>NOT(ISERROR(SEARCH("أدخل العلامة",F19)))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12" priority="15" operator="containsText" text="أدخل اسم المحكم">
      <formula>NOT(ISERROR(SEARCH("أدخل اسم المحكم",G47)))</formula>
    </cfRule>
  </conditionalFormatting>
  <conditionalFormatting sqref="H9:H17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9:H29 H31:H43">
    <cfRule type="containsText" dxfId="5" priority="38" operator="containsText" text="أدخل العلامة">
      <formula>NOT(ISERROR(SEARCH("أدخل العلامة",H19)))</formula>
    </cfRule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F27:F29 F11:F17 F9 F20:F25 F32:F35 F37:F43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41" t="s">
        <v>186</v>
      </c>
    </row>
    <row r="3" spans="1:3" ht="20.100000000000001" customHeight="1" thickBot="1" x14ac:dyDescent="0.3">
      <c r="A3" s="2" t="s">
        <v>26</v>
      </c>
      <c r="C3" s="41" t="s">
        <v>187</v>
      </c>
    </row>
    <row r="4" spans="1:3" ht="20.100000000000001" customHeight="1" thickBot="1" x14ac:dyDescent="0.3">
      <c r="A4" s="2" t="s">
        <v>36</v>
      </c>
      <c r="C4" s="41" t="s">
        <v>188</v>
      </c>
    </row>
    <row r="5" spans="1:3" ht="20.100000000000001" customHeight="1" thickBot="1" x14ac:dyDescent="0.3">
      <c r="A5" s="2" t="s">
        <v>37</v>
      </c>
      <c r="C5" s="41" t="s">
        <v>189</v>
      </c>
    </row>
    <row r="6" spans="1:3" ht="20.100000000000001" customHeight="1" thickBot="1" x14ac:dyDescent="0.3">
      <c r="A6" s="2" t="s">
        <v>38</v>
      </c>
      <c r="C6" s="41" t="s">
        <v>190</v>
      </c>
    </row>
    <row r="7" spans="1:3" ht="20.100000000000001" customHeight="1" thickBot="1" x14ac:dyDescent="0.3">
      <c r="A7" s="2" t="s">
        <v>39</v>
      </c>
      <c r="C7" s="41" t="s">
        <v>191</v>
      </c>
    </row>
    <row r="8" spans="1:3" ht="20.100000000000001" customHeight="1" thickBot="1" x14ac:dyDescent="0.3">
      <c r="A8" s="2" t="s">
        <v>40</v>
      </c>
      <c r="C8" s="41" t="s">
        <v>192</v>
      </c>
    </row>
    <row r="9" spans="1:3" ht="20.100000000000001" customHeight="1" thickBot="1" x14ac:dyDescent="0.3">
      <c r="A9" s="2" t="s">
        <v>41</v>
      </c>
      <c r="C9" s="41" t="s">
        <v>193</v>
      </c>
    </row>
    <row r="10" spans="1:3" ht="20.100000000000001" customHeight="1" thickBot="1" x14ac:dyDescent="0.3">
      <c r="A10" s="2" t="s">
        <v>42</v>
      </c>
      <c r="C10" s="41" t="s">
        <v>194</v>
      </c>
    </row>
    <row r="11" spans="1:3" ht="20.100000000000001" customHeight="1" thickBot="1" x14ac:dyDescent="0.3">
      <c r="A11" s="2" t="s">
        <v>43</v>
      </c>
      <c r="C11" s="41" t="s">
        <v>195</v>
      </c>
    </row>
    <row r="12" spans="1:3" ht="20.100000000000001" customHeight="1" thickBot="1" x14ac:dyDescent="0.3">
      <c r="A12" s="2" t="s">
        <v>44</v>
      </c>
      <c r="C12" s="41" t="s">
        <v>196</v>
      </c>
    </row>
    <row r="13" spans="1:3" ht="20.100000000000001" customHeight="1" thickBot="1" x14ac:dyDescent="0.3">
      <c r="A13" s="2" t="s">
        <v>45</v>
      </c>
      <c r="C13" s="41" t="s">
        <v>197</v>
      </c>
    </row>
    <row r="14" spans="1:3" ht="20.100000000000001" customHeight="1" thickBot="1" x14ac:dyDescent="0.3">
      <c r="A14" s="2" t="s">
        <v>46</v>
      </c>
      <c r="C14" s="41" t="s">
        <v>198</v>
      </c>
    </row>
    <row r="15" spans="1:3" ht="20.100000000000001" customHeight="1" thickBot="1" x14ac:dyDescent="0.3">
      <c r="A15" s="2" t="s">
        <v>47</v>
      </c>
      <c r="C15" s="41" t="s">
        <v>199</v>
      </c>
    </row>
    <row r="16" spans="1:3" ht="20.100000000000001" customHeight="1" thickBot="1" x14ac:dyDescent="0.3">
      <c r="A16" s="2" t="s">
        <v>10</v>
      </c>
      <c r="C16" s="41" t="s">
        <v>200</v>
      </c>
    </row>
    <row r="17" spans="1:3" ht="20.100000000000001" customHeight="1" thickBot="1" x14ac:dyDescent="0.3">
      <c r="A17" s="2" t="s">
        <v>27</v>
      </c>
      <c r="C17" s="41" t="s">
        <v>201</v>
      </c>
    </row>
    <row r="18" spans="1:3" ht="20.100000000000001" customHeight="1" thickBot="1" x14ac:dyDescent="0.3">
      <c r="A18" s="2" t="s">
        <v>48</v>
      </c>
      <c r="C18" s="41" t="s">
        <v>202</v>
      </c>
    </row>
    <row r="19" spans="1:3" ht="20.100000000000001" customHeight="1" thickBot="1" x14ac:dyDescent="0.3">
      <c r="A19" s="2" t="s">
        <v>49</v>
      </c>
      <c r="C19" s="41" t="s">
        <v>203</v>
      </c>
    </row>
    <row r="20" spans="1:3" ht="20.100000000000001" customHeight="1" thickBot="1" x14ac:dyDescent="0.3">
      <c r="A20" s="2" t="s">
        <v>50</v>
      </c>
      <c r="C20" s="41" t="s">
        <v>204</v>
      </c>
    </row>
    <row r="21" spans="1:3" ht="20.100000000000001" customHeight="1" thickBot="1" x14ac:dyDescent="0.3">
      <c r="A21" s="2" t="s">
        <v>51</v>
      </c>
      <c r="C21" s="41" t="s">
        <v>205</v>
      </c>
    </row>
    <row r="22" spans="1:3" ht="20.100000000000001" customHeight="1" thickBot="1" x14ac:dyDescent="0.3">
      <c r="A22" s="2" t="s">
        <v>11</v>
      </c>
      <c r="C22" s="41" t="s">
        <v>206</v>
      </c>
    </row>
    <row r="23" spans="1:3" ht="20.100000000000001" customHeight="1" thickBot="1" x14ac:dyDescent="0.3">
      <c r="A23" s="2" t="s">
        <v>12</v>
      </c>
      <c r="C23" s="41" t="s">
        <v>207</v>
      </c>
    </row>
    <row r="24" spans="1:3" ht="20.100000000000001" customHeight="1" thickBot="1" x14ac:dyDescent="0.3">
      <c r="A24" s="2" t="s">
        <v>15</v>
      </c>
      <c r="C24" s="41" t="s">
        <v>208</v>
      </c>
    </row>
    <row r="25" spans="1:3" ht="20.100000000000001" customHeight="1" thickBot="1" x14ac:dyDescent="0.3">
      <c r="A25" s="2" t="s">
        <v>28</v>
      </c>
      <c r="C25" s="41" t="s">
        <v>209</v>
      </c>
    </row>
    <row r="26" spans="1:3" ht="20.100000000000001" customHeight="1" thickBot="1" x14ac:dyDescent="0.3">
      <c r="A26" s="2" t="s">
        <v>29</v>
      </c>
      <c r="C26" s="41" t="s">
        <v>210</v>
      </c>
    </row>
    <row r="27" spans="1:3" ht="20.100000000000001" customHeight="1" thickBot="1" x14ac:dyDescent="0.3">
      <c r="A27" s="2" t="s">
        <v>13</v>
      </c>
      <c r="C27" s="41" t="s">
        <v>211</v>
      </c>
    </row>
    <row r="28" spans="1:3" ht="20.100000000000001" customHeight="1" thickBot="1" x14ac:dyDescent="0.3">
      <c r="A28" s="2" t="s">
        <v>30</v>
      </c>
      <c r="C28" s="41" t="s">
        <v>212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35" t="s">
        <v>100</v>
      </c>
    </row>
    <row r="200" spans="1:1" ht="20.100000000000001" customHeight="1" x14ac:dyDescent="0.2">
      <c r="A200" s="35" t="s">
        <v>101</v>
      </c>
    </row>
    <row r="201" spans="1:1" ht="20.100000000000001" customHeight="1" x14ac:dyDescent="0.2">
      <c r="A201" s="35" t="s">
        <v>102</v>
      </c>
    </row>
    <row r="202" spans="1:1" ht="20.100000000000001" customHeight="1" x14ac:dyDescent="0.2">
      <c r="A202" s="35" t="s">
        <v>103</v>
      </c>
    </row>
    <row r="203" spans="1:1" ht="20.100000000000001" customHeight="1" x14ac:dyDescent="0.2">
      <c r="A203" s="35" t="s">
        <v>104</v>
      </c>
    </row>
    <row r="204" spans="1:1" ht="20.100000000000001" customHeight="1" x14ac:dyDescent="0.2">
      <c r="A204" s="35" t="s">
        <v>105</v>
      </c>
    </row>
    <row r="205" spans="1:1" ht="20.100000000000001" customHeight="1" x14ac:dyDescent="0.2">
      <c r="A205" s="35" t="s">
        <v>106</v>
      </c>
    </row>
    <row r="206" spans="1:1" ht="20.100000000000001" customHeight="1" x14ac:dyDescent="0.2">
      <c r="A206" s="35" t="s">
        <v>107</v>
      </c>
    </row>
    <row r="207" spans="1:1" ht="20.100000000000001" customHeight="1" x14ac:dyDescent="0.2">
      <c r="A207" s="35" t="s">
        <v>108</v>
      </c>
    </row>
    <row r="208" spans="1:1" ht="20.100000000000001" customHeight="1" x14ac:dyDescent="0.2">
      <c r="A208" s="36" t="s">
        <v>109</v>
      </c>
    </row>
    <row r="209" spans="1:1" ht="20.100000000000001" customHeight="1" x14ac:dyDescent="0.2">
      <c r="A209" s="36" t="s">
        <v>110</v>
      </c>
    </row>
    <row r="210" spans="1:1" ht="20.100000000000001" customHeight="1" x14ac:dyDescent="0.2">
      <c r="A210" s="35" t="s">
        <v>111</v>
      </c>
    </row>
    <row r="211" spans="1:1" ht="20.100000000000001" customHeight="1" x14ac:dyDescent="0.2">
      <c r="A211" s="35" t="s">
        <v>112</v>
      </c>
    </row>
    <row r="212" spans="1:1" ht="20.100000000000001" customHeight="1" x14ac:dyDescent="0.2">
      <c r="A212" s="35" t="s">
        <v>113</v>
      </c>
    </row>
    <row r="213" spans="1:1" ht="20.100000000000001" customHeight="1" x14ac:dyDescent="0.2">
      <c r="A213" s="35" t="s">
        <v>114</v>
      </c>
    </row>
    <row r="214" spans="1:1" ht="20.100000000000001" customHeight="1" x14ac:dyDescent="0.2">
      <c r="A214" s="35" t="s">
        <v>115</v>
      </c>
    </row>
    <row r="215" spans="1:1" ht="20.100000000000001" customHeight="1" x14ac:dyDescent="0.2">
      <c r="A215" s="35" t="s">
        <v>116</v>
      </c>
    </row>
    <row r="216" spans="1:1" ht="20.100000000000001" customHeight="1" x14ac:dyDescent="0.2">
      <c r="A216" s="35" t="s">
        <v>117</v>
      </c>
    </row>
    <row r="217" spans="1:1" ht="20.100000000000001" customHeight="1" x14ac:dyDescent="0.2">
      <c r="A217" s="35" t="s">
        <v>118</v>
      </c>
    </row>
    <row r="218" spans="1:1" ht="20.100000000000001" customHeight="1" x14ac:dyDescent="0.2">
      <c r="A218" s="35" t="s">
        <v>119</v>
      </c>
    </row>
    <row r="219" spans="1:1" ht="20.100000000000001" customHeight="1" x14ac:dyDescent="0.2">
      <c r="A219" s="35" t="s">
        <v>120</v>
      </c>
    </row>
    <row r="220" spans="1:1" ht="20.100000000000001" customHeight="1" x14ac:dyDescent="0.2">
      <c r="A220" s="35" t="s">
        <v>121</v>
      </c>
    </row>
    <row r="221" spans="1:1" ht="20.100000000000001" customHeight="1" x14ac:dyDescent="0.2">
      <c r="A221" s="35" t="s">
        <v>122</v>
      </c>
    </row>
    <row r="222" spans="1:1" ht="20.100000000000001" customHeight="1" x14ac:dyDescent="0.2">
      <c r="A222" s="35" t="s">
        <v>123</v>
      </c>
    </row>
    <row r="223" spans="1:1" ht="20.100000000000001" customHeight="1" x14ac:dyDescent="0.2">
      <c r="A223" s="35" t="s">
        <v>124</v>
      </c>
    </row>
    <row r="224" spans="1:1" ht="20.100000000000001" customHeight="1" x14ac:dyDescent="0.2">
      <c r="A224" s="35" t="s">
        <v>125</v>
      </c>
    </row>
    <row r="225" spans="1:1" ht="20.100000000000001" customHeight="1" x14ac:dyDescent="0.2">
      <c r="A225" s="35" t="s">
        <v>126</v>
      </c>
    </row>
    <row r="226" spans="1:1" ht="20.100000000000001" customHeight="1" x14ac:dyDescent="0.2">
      <c r="A226" s="35" t="s">
        <v>127</v>
      </c>
    </row>
    <row r="227" spans="1:1" ht="20.100000000000001" customHeight="1" x14ac:dyDescent="0.2">
      <c r="A227" s="35" t="s">
        <v>128</v>
      </c>
    </row>
    <row r="228" spans="1:1" ht="20.100000000000001" customHeight="1" x14ac:dyDescent="0.2">
      <c r="A228" s="35" t="s">
        <v>129</v>
      </c>
    </row>
    <row r="229" spans="1:1" ht="20.100000000000001" customHeight="1" x14ac:dyDescent="0.2">
      <c r="A229" s="35" t="s">
        <v>130</v>
      </c>
    </row>
    <row r="230" spans="1:1" ht="20.100000000000001" customHeight="1" x14ac:dyDescent="0.2">
      <c r="A230" s="35" t="s">
        <v>131</v>
      </c>
    </row>
    <row r="231" spans="1:1" ht="20.100000000000001" customHeight="1" x14ac:dyDescent="0.2">
      <c r="A231" s="35" t="s">
        <v>132</v>
      </c>
    </row>
    <row r="232" spans="1:1" ht="20.100000000000001" customHeight="1" x14ac:dyDescent="0.2">
      <c r="A232" s="35" t="s">
        <v>133</v>
      </c>
    </row>
    <row r="233" spans="1:1" ht="20.100000000000001" customHeight="1" x14ac:dyDescent="0.2">
      <c r="A233" s="35" t="s">
        <v>134</v>
      </c>
    </row>
    <row r="234" spans="1:1" ht="20.100000000000001" customHeight="1" x14ac:dyDescent="0.2">
      <c r="A234" s="35" t="s">
        <v>135</v>
      </c>
    </row>
    <row r="235" spans="1:1" ht="20.100000000000001" customHeight="1" x14ac:dyDescent="0.2">
      <c r="A235" s="37" t="s">
        <v>136</v>
      </c>
    </row>
    <row r="236" spans="1:1" ht="20.100000000000001" customHeight="1" x14ac:dyDescent="0.2">
      <c r="A236" s="35" t="s">
        <v>137</v>
      </c>
    </row>
    <row r="237" spans="1:1" ht="20.100000000000001" customHeight="1" x14ac:dyDescent="0.2">
      <c r="A237" s="35" t="s">
        <v>138</v>
      </c>
    </row>
    <row r="238" spans="1:1" ht="20.100000000000001" customHeight="1" x14ac:dyDescent="0.2">
      <c r="A238" s="35" t="s">
        <v>139</v>
      </c>
    </row>
    <row r="239" spans="1:1" ht="20.100000000000001" customHeight="1" x14ac:dyDescent="0.2">
      <c r="A239" s="35" t="s">
        <v>140</v>
      </c>
    </row>
    <row r="240" spans="1:1" ht="20.100000000000001" customHeight="1" x14ac:dyDescent="0.2">
      <c r="A240" s="35" t="s">
        <v>141</v>
      </c>
    </row>
    <row r="241" spans="1:1" ht="20.100000000000001" customHeight="1" x14ac:dyDescent="0.2">
      <c r="A241" s="35" t="s">
        <v>142</v>
      </c>
    </row>
    <row r="242" spans="1:1" ht="20.100000000000001" customHeight="1" x14ac:dyDescent="0.2">
      <c r="A242" s="35" t="s">
        <v>143</v>
      </c>
    </row>
    <row r="243" spans="1:1" ht="20.100000000000001" customHeight="1" x14ac:dyDescent="0.2">
      <c r="A243" s="35" t="s">
        <v>144</v>
      </c>
    </row>
    <row r="244" spans="1:1" ht="20.100000000000001" customHeight="1" x14ac:dyDescent="0.2">
      <c r="A244" s="35" t="s">
        <v>145</v>
      </c>
    </row>
    <row r="245" spans="1:1" ht="20.100000000000001" customHeight="1" x14ac:dyDescent="0.2">
      <c r="A245" s="35" t="s">
        <v>146</v>
      </c>
    </row>
    <row r="246" spans="1:1" ht="20.100000000000001" customHeight="1" x14ac:dyDescent="0.2">
      <c r="A246" s="35" t="s">
        <v>147</v>
      </c>
    </row>
    <row r="247" spans="1:1" ht="20.100000000000001" customHeight="1" x14ac:dyDescent="0.2">
      <c r="A247" s="35" t="s">
        <v>138</v>
      </c>
    </row>
    <row r="248" spans="1:1" ht="20.100000000000001" customHeight="1" x14ac:dyDescent="0.2">
      <c r="A248" s="35" t="s">
        <v>148</v>
      </c>
    </row>
    <row r="249" spans="1:1" ht="20.100000000000001" customHeight="1" x14ac:dyDescent="0.2">
      <c r="A249" s="35" t="s">
        <v>149</v>
      </c>
    </row>
    <row r="250" spans="1:1" ht="20.100000000000001" customHeight="1" x14ac:dyDescent="0.2">
      <c r="A250" s="37" t="s">
        <v>150</v>
      </c>
    </row>
    <row r="251" spans="1:1" ht="20.100000000000001" customHeight="1" x14ac:dyDescent="0.2">
      <c r="A251" s="38" t="s">
        <v>151</v>
      </c>
    </row>
    <row r="252" spans="1:1" ht="20.100000000000001" customHeight="1" x14ac:dyDescent="0.2">
      <c r="A252" s="35" t="s">
        <v>152</v>
      </c>
    </row>
    <row r="253" spans="1:1" ht="20.100000000000001" customHeight="1" x14ac:dyDescent="0.2">
      <c r="A253" s="35" t="s">
        <v>153</v>
      </c>
    </row>
    <row r="254" spans="1:1" ht="20.100000000000001" customHeight="1" x14ac:dyDescent="0.2">
      <c r="A254" s="39" t="s">
        <v>154</v>
      </c>
    </row>
    <row r="255" spans="1:1" ht="20.100000000000001" customHeight="1" x14ac:dyDescent="0.2">
      <c r="A255" s="39" t="s">
        <v>155</v>
      </c>
    </row>
    <row r="256" spans="1:1" ht="20.100000000000001" customHeight="1" x14ac:dyDescent="0.2">
      <c r="A256" s="40" t="s">
        <v>156</v>
      </c>
    </row>
    <row r="257" spans="1:1" ht="20.100000000000001" customHeight="1" x14ac:dyDescent="0.2">
      <c r="A257" s="35" t="s">
        <v>157</v>
      </c>
    </row>
    <row r="258" spans="1:1" ht="20.100000000000001" customHeight="1" x14ac:dyDescent="0.2">
      <c r="A258" s="40" t="s">
        <v>158</v>
      </c>
    </row>
    <row r="259" spans="1:1" ht="20.100000000000001" customHeight="1" x14ac:dyDescent="0.2">
      <c r="A259" s="35" t="s">
        <v>159</v>
      </c>
    </row>
    <row r="260" spans="1:1" ht="20.100000000000001" customHeight="1" x14ac:dyDescent="0.2">
      <c r="A260" s="40" t="s">
        <v>160</v>
      </c>
    </row>
    <row r="261" spans="1:1" ht="20.100000000000001" customHeight="1" x14ac:dyDescent="0.2">
      <c r="A261" s="35" t="s">
        <v>161</v>
      </c>
    </row>
    <row r="262" spans="1:1" ht="20.100000000000001" customHeight="1" x14ac:dyDescent="0.2">
      <c r="A262" s="35" t="s">
        <v>162</v>
      </c>
    </row>
    <row r="263" spans="1:1" ht="20.100000000000001" customHeight="1" x14ac:dyDescent="0.2">
      <c r="A263" s="40" t="s">
        <v>163</v>
      </c>
    </row>
    <row r="264" spans="1:1" ht="20.100000000000001" customHeight="1" x14ac:dyDescent="0.2">
      <c r="A264" s="40" t="s">
        <v>164</v>
      </c>
    </row>
    <row r="265" spans="1:1" ht="20.100000000000001" customHeight="1" x14ac:dyDescent="0.2">
      <c r="A265" s="40" t="s">
        <v>165</v>
      </c>
    </row>
    <row r="266" spans="1:1" ht="20.100000000000001" customHeight="1" x14ac:dyDescent="0.2">
      <c r="A266" s="35" t="s">
        <v>166</v>
      </c>
    </row>
    <row r="267" spans="1:1" ht="20.100000000000001" customHeight="1" x14ac:dyDescent="0.2">
      <c r="A267" s="35" t="s">
        <v>167</v>
      </c>
    </row>
    <row r="268" spans="1:1" ht="20.100000000000001" customHeight="1" x14ac:dyDescent="0.2">
      <c r="A268" s="35" t="s">
        <v>168</v>
      </c>
    </row>
    <row r="269" spans="1:1" ht="20.100000000000001" customHeight="1" x14ac:dyDescent="0.2">
      <c r="A269" s="35" t="s">
        <v>169</v>
      </c>
    </row>
    <row r="270" spans="1:1" ht="20.100000000000001" customHeight="1" x14ac:dyDescent="0.2">
      <c r="A270" s="40" t="s">
        <v>170</v>
      </c>
    </row>
    <row r="271" spans="1:1" ht="20.100000000000001" customHeight="1" x14ac:dyDescent="0.2">
      <c r="A271" s="40" t="s">
        <v>171</v>
      </c>
    </row>
    <row r="272" spans="1:1" ht="20.100000000000001" customHeight="1" x14ac:dyDescent="0.2">
      <c r="A272" s="35" t="s">
        <v>172</v>
      </c>
    </row>
    <row r="273" spans="1:1" ht="20.100000000000001" customHeight="1" x14ac:dyDescent="0.2">
      <c r="A273" s="40" t="s">
        <v>173</v>
      </c>
    </row>
    <row r="274" spans="1:1" ht="20.100000000000001" customHeight="1" x14ac:dyDescent="0.2">
      <c r="A274" s="40" t="s">
        <v>174</v>
      </c>
    </row>
    <row r="275" spans="1:1" ht="20.100000000000001" customHeight="1" x14ac:dyDescent="0.2">
      <c r="A275" s="35" t="s">
        <v>175</v>
      </c>
    </row>
    <row r="276" spans="1:1" ht="20.100000000000001" customHeight="1" x14ac:dyDescent="0.2">
      <c r="A276" s="35" t="s">
        <v>176</v>
      </c>
    </row>
    <row r="277" spans="1:1" ht="20.100000000000001" customHeight="1" x14ac:dyDescent="0.2">
      <c r="A277" s="40" t="s">
        <v>177</v>
      </c>
    </row>
    <row r="278" spans="1:1" ht="20.100000000000001" customHeight="1" x14ac:dyDescent="0.2">
      <c r="A278" s="35" t="s">
        <v>178</v>
      </c>
    </row>
    <row r="279" spans="1:1" ht="20.100000000000001" customHeight="1" x14ac:dyDescent="0.2">
      <c r="A279" s="35" t="s">
        <v>179</v>
      </c>
    </row>
    <row r="280" spans="1:1" ht="20.100000000000001" customHeight="1" x14ac:dyDescent="0.2">
      <c r="A280" s="35" t="s">
        <v>180</v>
      </c>
    </row>
    <row r="281" spans="1:1" ht="20.100000000000001" customHeight="1" x14ac:dyDescent="0.2">
      <c r="A281" s="35" t="s">
        <v>181</v>
      </c>
    </row>
    <row r="282" spans="1:1" ht="20.100000000000001" customHeight="1" x14ac:dyDescent="0.2">
      <c r="A282" s="40" t="s">
        <v>182</v>
      </c>
    </row>
    <row r="283" spans="1:1" ht="20.100000000000001" customHeight="1" x14ac:dyDescent="0.2">
      <c r="A283" s="40" t="s">
        <v>183</v>
      </c>
    </row>
    <row r="284" spans="1:1" ht="20.100000000000001" customHeight="1" x14ac:dyDescent="0.2">
      <c r="A284" s="40" t="s">
        <v>184</v>
      </c>
    </row>
    <row r="285" spans="1:1" ht="20.100000000000001" customHeight="1" thickBot="1" x14ac:dyDescent="0.25">
      <c r="A285" s="35" t="s">
        <v>185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2025-10-19T15:37:36Z</dcterms:modified>
</cp:coreProperties>
</file>