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DB18B0EF-B123-4FD6-A864-C5D96C47628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التقييم'!$A$1:$J$63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 s="1"/>
  <c r="G23" i="2"/>
  <c r="H23" i="2" s="1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6" i="2"/>
  <c r="H36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/>
  <c r="G51" i="2"/>
  <c r="H51" i="2"/>
  <c r="G53" i="2"/>
  <c r="H53" i="2"/>
  <c r="G54" i="2"/>
  <c r="H54" i="2"/>
  <c r="G55" i="2"/>
  <c r="H55" i="2"/>
  <c r="G57" i="2"/>
  <c r="H57" i="2" s="1"/>
  <c r="G58" i="2"/>
  <c r="H58" i="2" s="1"/>
  <c r="F59" i="2"/>
  <c r="E59" i="2"/>
  <c r="E60" i="2" s="1"/>
  <c r="E61" i="2" s="1"/>
</calcChain>
</file>

<file path=xl/sharedStrings.xml><?xml version="1.0" encoding="utf-8"?>
<sst xmlns="http://schemas.openxmlformats.org/spreadsheetml/2006/main" count="293" uniqueCount="233">
  <si>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</si>
  <si>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</si>
  <si>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</si>
  <si>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</si>
  <si>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</si>
  <si>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</si>
  <si>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</si>
  <si>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</si>
  <si>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</si>
  <si>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</si>
  <si>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</si>
  <si>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</si>
  <si>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</si>
  <si>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</si>
  <si>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</si>
  <si>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</si>
  <si>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</si>
  <si>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</si>
  <si>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</si>
  <si>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</si>
  <si>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</si>
  <si>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</si>
  <si>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</si>
  <si>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</si>
  <si>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</si>
  <si>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</si>
  <si>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</si>
  <si>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</si>
  <si>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</si>
  <si>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</si>
  <si>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</si>
  <si>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</si>
  <si>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</si>
  <si>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</si>
  <si>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</si>
  <si>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</si>
  <si>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</si>
  <si>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</si>
  <si>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</si>
  <si>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</si>
  <si>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</si>
  <si>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</si>
  <si>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</si>
  <si>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</si>
  <si>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</si>
  <si>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</si>
  <si>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</si>
  <si>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</si>
  <si>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</si>
  <si>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</si>
  <si>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</si>
  <si>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</si>
  <si>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</si>
  <si>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</si>
  <si>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</si>
  <si>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</si>
  <si>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</si>
  <si>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</si>
  <si>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</si>
  <si>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</si>
  <si>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</si>
  <si>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</si>
  <si>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</si>
  <si>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</si>
  <si>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</si>
  <si>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</si>
  <si>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</si>
  <si>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</si>
  <si>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</si>
  <si>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</si>
  <si>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</si>
  <si>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</si>
  <si>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</si>
  <si>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</si>
  <si>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</si>
  <si>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</si>
  <si>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</si>
  <si>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</si>
  <si>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</si>
  <si>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</si>
  <si>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</si>
  <si>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</si>
  <si>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</si>
  <si>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</si>
  <si>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</si>
  <si>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</si>
  <si>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</si>
  <si>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</si>
  <si>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</si>
  <si>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</si>
  <si>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</si>
  <si>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</si>
  <si>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</si>
  <si>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</si>
  <si>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</si>
  <si>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</si>
  <si>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</si>
  <si>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</si>
  <si>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</si>
  <si>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</si>
  <si>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</si>
  <si>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</si>
  <si>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</si>
  <si>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</si>
  <si>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</si>
  <si>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</si>
  <si>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</si>
  <si>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</si>
  <si>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</si>
  <si>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</si>
  <si>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</si>
  <si>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</si>
  <si>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</si>
  <si>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</si>
  <si>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</si>
  <si>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</si>
  <si>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</si>
  <si>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</si>
  <si>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</si>
  <si>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</si>
  <si>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</si>
  <si>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</si>
  <si>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</si>
  <si>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</si>
  <si>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</si>
  <si>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</si>
  <si>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</si>
  <si>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</si>
  <si>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</si>
  <si>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</si>
  <si>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</si>
  <si>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</si>
  <si>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</si>
  <si>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</si>
  <si>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</si>
  <si>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</si>
  <si>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</si>
  <si>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</si>
  <si>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</si>
  <si>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</si>
  <si>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</si>
  <si>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</si>
  <si>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</si>
  <si>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</si>
  <si>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</si>
  <si>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</si>
  <si>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</si>
  <si>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</si>
  <si>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</si>
  <si>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</si>
  <si>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</si>
  <si>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</si>
  <si>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</si>
  <si>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</si>
  <si>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</si>
  <si>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</si>
  <si>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</si>
  <si>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</si>
  <si>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</si>
  <si>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</si>
  <si>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</si>
  <si>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</si>
  <si>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</si>
  <si>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</si>
  <si>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</si>
  <si>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</si>
  <si>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</si>
  <si>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</si>
  <si>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</si>
  <si>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</si>
  <si>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</si>
  <si>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</si>
  <si>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</si>
  <si>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</si>
  <si>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</si>
  <si>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</si>
  <si>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</si>
  <si>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</si>
  <si>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</si>
  <si>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</si>
  <si>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الشؤون الإدارية</t>
    </r>
    <r>
      <rPr>
        <b/>
        <sz val="12"/>
        <color theme="1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</si>
  <si>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المرتب من الآليات ونسبة الصلاحية.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</si>
  <si>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الطاقم المؤهل بالنسبة لعدد الآليات (السواقين).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</si>
  <si>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كشف معتمد من القائد بالمرتب والموجود ونسبة الصلاحية للآليات.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</si>
  <si>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العهدة.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</si>
  <si>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ملف لحفظ سندات الصرف والاستلام للآليات والعـدة.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</si>
  <si>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الحركة.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</si>
  <si>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الحوادث.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</si>
  <si>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تسليم واستلام الآليات.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</si>
  <si>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الدخول والخروج من الورشة / المشاغل / مراكز الإصلاح.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</si>
  <si>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تعليمات وإجراءات الصيانة الدورية واللوحات الإرشادية.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</si>
  <si>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التقيد بالتعليمات والإجراءات لإدخال الآليات لمراكز الإصلاح.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</si>
  <si>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إدامة السجلات الخاصة بكل آلية بواسطة الطاقم وتصديق الضابط المسؤول.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</si>
  <si>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معرفة السائق بالآلية وإلمامه بالتعليمات والصيانة.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</si>
  <si>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إلمام ضابط النقليات بمهامه وواجباته.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</si>
  <si>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ملف لحفظ نماذج شطب الآليات.</t>
    </r>
  </si>
  <si>
    <r>
      <t>مجموعـة الجسم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</si>
  <si>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النظافة.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</si>
  <si>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وجود أي نواقص.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</si>
  <si>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الضرر.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</si>
  <si>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حالة الصبغ.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</si>
  <si>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فحص الإطارات.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</si>
  <si>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صندوق العدة ومحتوياته.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</si>
  <si>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مقاعد غرفة القيادة والركاب.</t>
    </r>
  </si>
  <si>
    <r>
      <t>الزيـوت / السوائـل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</si>
  <si>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مستـوى الزيـت / المياه (المحرك ، نظـام ناقل الحركة ، الفرامل ، مبرد المياه (الراديتر).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</si>
  <si>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تسرّب الزيت / المياه من أجزاء الآلية.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</si>
  <si>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التقيد بتوقيتات تغيير الزيت.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</si>
  <si>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التشحيــم.</t>
    </r>
  </si>
  <si>
    <r>
      <t>مجموعة القـوى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</si>
  <si>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المحرك.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</si>
  <si>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الوقود.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</si>
  <si>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ناقل الحركة.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</si>
  <si>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التبريد.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</si>
  <si>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الفرامل.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</si>
  <si>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التوجيه.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</si>
  <si>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إطفاء الحريق (طفاية الحريق وصلاحيتها).</t>
    </r>
  </si>
  <si>
    <r>
      <t>الأنظمة الكهربائية والإلكترونية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</si>
  <si>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البطاريات.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</si>
  <si>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التشغيل.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</si>
  <si>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المولــــد.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</si>
  <si>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الداخلية.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</si>
  <si>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الخارجية.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</si>
  <si>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لوحات العرض.</t>
    </r>
  </si>
  <si>
    <t>فحص الآلية أثناء السير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</si>
  <si>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السير على الطريق.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</si>
  <si>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أنظمة الآلية (الميكانيكية والكهربائية).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</si>
  <si>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التكييف / نظام التهوية.</t>
    </r>
  </si>
  <si>
    <t>المهمـات الإضافية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</si>
  <si>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مستــودع الـعــــدة وأغطيـــة التمويه وأعمدة التثبيت.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</si>
  <si>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مستودع قطع الغيار.</t>
    </r>
  </si>
  <si>
    <r>
      <rPr>
        <b/>
        <sz val="14"/>
        <color rgb="FF000000"/>
        <rFont val="Arial"/>
        <family val="2"/>
      </rPr>
      <t>تفتيش جاهزية الآليات (ب) لسرية الحرب الإلكترونية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
</t>
    </r>
  </si>
  <si>
    <t>النقيب/ سلطان سعيد النيادي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</si>
</sst>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21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sz val="11"/>
      <color theme="1"/>
      <name val="Calibri"/>
      <family val="2"/>
    </font>
    <font>
      <b/>
      <u/>
      <sz val="12"/>
      <color theme="1"/>
      <name val="Arial"/>
      <family val="2"/>
    </font>
    <font>
      <sz val="12"/>
      <color theme="1"/>
      <name val="Times New Roman"/>
      <family val="1"/>
    </font>
    <font>
      <sz val="7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2"/>
    </xf>
    <xf numFmtId="0" fontId="14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2" fillId="0" borderId="21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5" fillId="0" borderId="5" xfId="0" applyFont="1" applyBorder="1" applyAlignment="1">
      <alignment horizontal="right" vertical="center" wrapText="1" readingOrder="2"/>
    </xf>
    <xf numFmtId="0" fontId="15" fillId="0" borderId="4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9" fillId="0" borderId="21" xfId="0" applyFont="1" applyBorder="1" applyAlignment="1">
      <alignment horizontal="right" vertical="center" wrapText="1" readingOrder="2"/>
    </xf>
    <xf numFmtId="0" fontId="19" fillId="0" borderId="3" xfId="0" applyFont="1" applyBorder="1" applyAlignment="1">
      <alignment horizontal="right" vertical="center" wrapText="1" readingOrder="2"/>
    </xf>
    <xf numFmtId="0" fontId="19" fillId="0" borderId="11" xfId="0" applyFont="1" applyBorder="1" applyAlignment="1">
      <alignment horizontal="right" vertical="center" wrapText="1" readingOrder="2"/>
    </xf>
    <xf numFmtId="0" fontId="19" fillId="0" borderId="12" xfId="0" applyFont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403508</xdr:colOff>
      <xdr:row>62</xdr:row>
      <xdr:rowOff>239893</xdr:rowOff>
    </xdr:from>
    <xdr:to>
      <xdr:col>8</xdr:col>
      <xdr:colOff>76604</xdr:colOff>
      <xdr:row>63</xdr:row>
      <xdr:rowOff>127230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D70D28A9-72AF-F12C-9E51-215E18E2DBE2}"/>
                </a:ext>
              </a:extLst>
            </xdr14:cNvPr>
            <xdr14:cNvContentPartPr/>
          </xdr14:nvContentPartPr>
          <xdr14:nvPr macro=""/>
          <xdr14:xfrm>
            <a:off x="10399168302" y="24508440"/>
            <a:ext cx="989280" cy="5338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D70D28A9-72AF-F12C-9E51-215E18E2DBE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162182" y="24502320"/>
              <a:ext cx="1001520" cy="546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2:55:41.5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1980 1262 12858,'0'1'0,"0"-2"2273,0 1-2273,-3 0 496,2 0-392,1 0-176,0 0 88,0 0-16,0-15 24,0 15 136,0-1 136,0-2 32,0 3-328,14-73 344,-11 64-24,-3 3-64,1-3 8,-1 9-264,8-116 288,-8 105 120,0-2 97,1-2 159,-1 15-664,-1-183 800,1 167-72,0-1 16,-1 0-152,1 17-592,-23-181 456,21 164-56,-1-1-167,1 1-137,2 17-96,-13-181 176,13 163-176,-1 1-16,1 0 208,0 17-192,13-121 96,-12 108 168,1 2-128,1 0-120,-3 11-16,36-60 0,-34 53-128,1 4 152,4-4-64,-7 7 40,14-31-24,-12 28 24,0 0 0,1 1 64,-3 2-64,12-17-40,-10 16 56,0 0-16,-2 1-96,0 0 96,36 0-24,-34 0 32,2 0-104,2 0 72,-6 0 24,45 0 16,-40 0-64,-3 0-48,7 0 168,-9 0-72,63 27-56,-51-24-64,-10 3 224,8-4-128,-10-2 24,82 65-120,-73-62 128,-2 5-88,2-6 96,-9-2-16,78 64 40,-69-61-40,-2 6-16,1-7-80,-8-2 96,55 32-96,-45-31 32,-6 2 64,3 0-56,-7-3 56,56 29-56,-54-22 72,7-7-57,-7 2-39,-2-2 80,23 47 24,-20-45-104,0 1 0,-2 4 40,-1-7 40,0 25-160,0-23 24,0 7-48,0-7 64,0-2 120,-31 76-136,28-69 16,1 0 32,-5 1-48,7-8 136,-90 109-88,84-101 64,-4 1-8,-1 0 104,11-9-72,-140 89 48,127-80 8,-2 0-32,-1 1-8,16-10-16,-183 106 24,163-95 32,3-2 16,-2 0 8,19-9-80,-199 89 80,180-80-24,-1 1-16,0-1 24,20-9-64,-209 77 40,190-68 0,-1-6-24,1 5-96,19-8 80,-156 28 24,139-25 32,2 4 24,3-5 128,12-2-208,-125 30 128,113-27 16,0-1-8,1 1-79,11-3-57,-103 44 56,92-37-48,4-7-8,-4 7 72,11-7-72,-82 14 48,73-12-32,0 0 0,3 0 8,6-2-24,-63 18-8,57-18 32,0 1 32,2-1-136,4 0 80,-63 0 24,60 0-24,-3 0-24,2 0 32,4 0-8,-62-17 32,59 17-24,-6-1 8,7 0 40,2 1-56,-49-12 0,47 10 0,-5-2 16,4 2 24,3 2-40,-39-15-16,38 13 56,-3 0-40,2 1-16,2 1 16,-28 2 0,26-3-24,-2 0-16,3 1-40,1 0 80,-11-17-56,10 17 0,1-1 16,-1 0 56,1 1-16,-2 0-40,2 0-32,-1 0-73,1 0-23,0 0 168,0 3-176,0-4-8,0 0 40,0 0-80,0 1 224,28-46-112,-26 44-40,1-5 40,4 5 24,-7 2 88,30-60-64,-26 53 32,3 4 24,-7-5 16,0 8-8,26-46-8,-24 37-16,1 7-32,-1 0 72,-2 2-16,12-17-56,-9 16-24,-2 0-48,-1 1-104,0 0 232,16 0-240,-15 0-8,1 0 72,-1 0-56,-1 0 232,0 0-160,0 0-16,0 0 48,0 0 16,0 0 688,8 0-1248,-8 0 600,0 0-104,0 0-24,0 0 200,-4 15-288,4-13-105,0 0-111,-1-2-256,1 0 760,0 15-1168,0-13-376,0-1-489,0 1 41,0-2 1992,8 46-1529,-8-44 473,3 1 568,-3 4 320,0-7 168,11 12-128,-11-9 24,1-1 40,-1 0 24,0-2 40,13 0 16,-13 0 8,2 0 24,-1 0 8,-1 0-56,20-45 56,-19 43-8,1-2 8,0-3 0,-2 7-56,49-71 56,-41 62-16,-5 1-16,5-1-8,-8 9-16,62-90 16,-51 81 48,-5 0 40,0 1 80,-6 8-184,67-74 424,-58 66 208,-1 0 169,-1 0 15,-7 8-816,59-78 672,-53 71-208,3 4-112,-7-6-48,-2 9-304,40-27 264,-39 20 32,3 5 56,-3 0 168,-1 2-520,-1-19 809,1 18 183,0 1 64,-1 0-32,1 0-1024,-77 74 736,68-68-167,0 1-145,-3 4-104,12-11-320,-168 145 264,151-130-80,1 1 8,-2 1-64,18-17-128,-209 180 160,190-162 0,-2 1-72,2-3 88,19-16-176,-169 126 88,152-113 8,3-3 32,0-3-80,14-7-48,-98 14 160,88-11-48,3-1-8,-2-2 0,9 0-104,-55-27 40,53 26 56,-6-2-48,6-5-16,2 8-32,-40-118-16,38 108-64,0-2-48,0-3 8,2 15 120,-31-194-48,29 176 32,-2-3 40,1 2 96,3 19-120,-23-137 24,20 122 40,0 2 56,2 2 16,1 11-136,-9-49 288,8 47 0,1-2 24,-2 2-112,2 2-200,4 9 113,-4-9-130,0 1 1,1 8-8,-1-9 24,50 117 0,-43-107 24,-5 3-48,6 2 121,-8-15-97,72 183-40,-65-166 40,0 0-33,-1-1-87,-6-16 120,52 126-40,-49-113-40,5-4 40,-5-1-24,-3-8 64,29 29-72,-29-21 72,2-8-56,-1 1-8,-1-1 64,5 1-40,-5-1-56,1 0 96,-1-1 40,0 1-40,17-103 16,-15 95 64,-1-2 16,0-4-72,-1 14-24,16-210 96,-14 189 0,-1 0 80,-1 1 25,0 20-201,0-155 368,0 140 0,0 1-48,0 4 56,0 10-376,21-50 192,-21 47 88,2 0-192,5 0-88,-7 3 0,73 39 32,-65-36-96,0 6 112,2-1 48,-10-8-96,147 136 32,-134-125-24,1 2-32,2 1-8,-16-14 32,177 134-24,-160-119-16,2-2 48,0 0-8,-19-13 0,240 109 16,-218-98 0,2-4 0,2 2-88,-26-9 72,260 84-144,-234-76-208,0 3-272,-1 2-633,-25-13 1257,304 252-2752,-276-231-2073,5 6 192,-2 3-3273,-31-30 7906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3"/>
  <sheetViews>
    <sheetView rightToLeft="1" tabSelected="1" view="pageBreakPreview" topLeftCell="A54" zoomScale="130" zoomScaleNormal="100" zoomScaleSheetLayoutView="130" workbookViewId="0">
      <selection activeCell="B58" sqref="B58:D58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1" t="s">
        <v>231</v>
      </c>
      <c r="C1" s="71"/>
      <c r="D1" s="71"/>
      <c r="E1" s="71"/>
      <c r="F1" s="71"/>
      <c r="G1" s="71"/>
      <c r="H1" s="71"/>
      <c r="I1" s="71"/>
      <c r="J1" s="71"/>
    </row>
    <row r="2" spans="1:10" ht="30" customHeight="1" x14ac:dyDescent="0.3">
      <c r="B2" s="13" t="s">
        <v>8</v>
      </c>
      <c r="C2" s="77" t="s">
        <v>14</v>
      </c>
      <c r="D2" s="77"/>
      <c r="E2" s="13" t="s">
        <v>7</v>
      </c>
      <c r="F2" s="72">
        <v>45930</v>
      </c>
      <c r="G2" s="72"/>
      <c r="H2" s="72"/>
      <c r="I2" s="72"/>
      <c r="J2" s="72"/>
    </row>
    <row r="3" spans="1:10" ht="30" customHeight="1" x14ac:dyDescent="0.3">
      <c r="B3" s="13" t="s">
        <v>9</v>
      </c>
      <c r="C3" s="77" t="s">
        <v>60</v>
      </c>
      <c r="D3" s="77"/>
      <c r="E3" s="13" t="s">
        <v>6</v>
      </c>
      <c r="F3" s="77" t="s">
        <v>123</v>
      </c>
      <c r="G3" s="77"/>
      <c r="H3" s="77"/>
      <c r="I3" s="77"/>
      <c r="J3" s="77"/>
    </row>
    <row r="4" spans="1:10" ht="30" customHeight="1" thickBot="1" x14ac:dyDescent="0.35">
      <c r="B4" s="6"/>
      <c r="C4" s="7"/>
      <c r="D4" s="7" t="s">
        <v>232</v>
      </c>
      <c r="E4" s="6"/>
      <c r="F4" s="7"/>
      <c r="G4" s="7"/>
      <c r="H4" s="8"/>
      <c r="I4" s="7"/>
      <c r="J4" s="7"/>
    </row>
    <row r="5" spans="1:10" ht="24.9" customHeight="1" x14ac:dyDescent="0.3">
      <c r="A5" s="11"/>
      <c r="B5" s="73" t="s">
        <v>0</v>
      </c>
      <c r="C5" s="74"/>
      <c r="D5" s="74"/>
      <c r="E5" s="82" t="s">
        <v>1</v>
      </c>
      <c r="F5" s="82"/>
      <c r="G5" s="82"/>
      <c r="H5" s="82"/>
      <c r="I5" s="82" t="s">
        <v>2</v>
      </c>
      <c r="J5" s="83"/>
    </row>
    <row r="6" spans="1:10" ht="24.9" customHeight="1" thickBot="1" x14ac:dyDescent="0.35">
      <c r="A6" s="11"/>
      <c r="B6" s="75"/>
      <c r="C6" s="76"/>
      <c r="D6" s="76"/>
      <c r="E6" s="12" t="s">
        <v>3</v>
      </c>
      <c r="F6" s="12" t="s">
        <v>4</v>
      </c>
      <c r="G6" s="12" t="s">
        <v>23</v>
      </c>
      <c r="H6" s="12" t="s">
        <v>24</v>
      </c>
      <c r="I6" s="84"/>
      <c r="J6" s="85"/>
    </row>
    <row r="7" spans="1:10" ht="24.9" customHeight="1" thickBot="1" x14ac:dyDescent="0.35">
      <c r="A7" s="11"/>
      <c r="B7" s="80" t="s">
        <v>21</v>
      </c>
      <c r="C7" s="81"/>
      <c r="D7" s="81"/>
      <c r="E7" s="29" t="s">
        <v>18</v>
      </c>
      <c r="F7" s="29" t="s">
        <v>19</v>
      </c>
      <c r="G7" s="29" t="s">
        <v>22</v>
      </c>
      <c r="H7" s="29" t="s">
        <v>20</v>
      </c>
      <c r="I7" s="86" t="s">
        <v>25</v>
      </c>
      <c r="J7" s="87"/>
    </row>
    <row r="8" spans="1:10" ht="30" customHeight="1" x14ac:dyDescent="0.3">
      <c r="A8" s="11"/>
      <c r="B8" s="42" t="s">
        <v>180</v>
      </c>
      <c r="C8" s="43"/>
      <c r="D8" s="43"/>
      <c r="E8" s="33"/>
      <c r="F8" s="34"/>
      <c r="G8" s="35"/>
      <c r="H8" s="36"/>
      <c r="I8" s="56"/>
      <c r="J8" s="57"/>
    </row>
    <row r="9" spans="1:10" ht="30" customHeight="1" x14ac:dyDescent="0.3">
      <c r="A9" s="11"/>
      <c r="B9" s="40" t="s">
        <v>181</v>
      </c>
      <c r="C9" s="41"/>
      <c r="D9" s="41"/>
      <c r="E9" s="32">
        <v>10</v>
      </c>
      <c r="F9" s="27">
        <v>7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8"/>
      <c r="J9" s="49"/>
    </row>
    <row r="10" spans="1:10" ht="30" customHeight="1" x14ac:dyDescent="0.3">
      <c r="A10" s="11"/>
      <c r="B10" s="40" t="s">
        <v>182</v>
      </c>
      <c r="C10" s="41"/>
      <c r="D10" s="41"/>
      <c r="E10" s="9">
        <v>10</v>
      </c>
      <c r="F10" s="27">
        <v>7</v>
      </c>
      <c r="G10" s="30">
        <f t="shared" ref="G10:G58" si="0">IFERROR(F10/E10,"")</f>
        <v>0.7</v>
      </c>
      <c r="H10" s="31" t="str">
        <f t="shared" ref="H10:H58" si="1">_xlfn.IFS(F10="أدخل العلامة","",F10="لا ينطبق","تم الإلغاء",G10&gt;=90%,"ممتاز",G10&gt;=80%,"جيد جداً",G10&gt;=70%,"جيد",G10&gt;=60%,"مقبول",G10&lt;60%,"راسب")</f>
        <v>جيد</v>
      </c>
      <c r="I10" s="48"/>
      <c r="J10" s="49"/>
    </row>
    <row r="11" spans="1:10" ht="39.9" customHeight="1" x14ac:dyDescent="0.3">
      <c r="A11" s="11"/>
      <c r="B11" s="40" t="s">
        <v>183</v>
      </c>
      <c r="C11" s="41"/>
      <c r="D11" s="41"/>
      <c r="E11" s="9">
        <v>5</v>
      </c>
      <c r="F11" s="27">
        <v>3.5</v>
      </c>
      <c r="G11" s="30">
        <f t="shared" si="0"/>
        <v>0.7</v>
      </c>
      <c r="H11" s="31" t="str">
        <f t="shared" si="1"/>
        <v>جيد</v>
      </c>
      <c r="I11" s="48"/>
      <c r="J11" s="49"/>
    </row>
    <row r="12" spans="1:10" ht="30" customHeight="1" x14ac:dyDescent="0.3">
      <c r="A12" s="11"/>
      <c r="B12" s="40" t="s">
        <v>184</v>
      </c>
      <c r="C12" s="41"/>
      <c r="D12" s="41"/>
      <c r="E12" s="9">
        <v>5</v>
      </c>
      <c r="F12" s="27">
        <v>4</v>
      </c>
      <c r="G12" s="30">
        <f t="shared" si="0"/>
        <v>0.8</v>
      </c>
      <c r="H12" s="31" t="str">
        <f t="shared" si="1"/>
        <v>جيد جداً</v>
      </c>
      <c r="I12" s="48"/>
      <c r="J12" s="49"/>
    </row>
    <row r="13" spans="1:10" ht="30" customHeight="1" x14ac:dyDescent="0.3">
      <c r="A13" s="11"/>
      <c r="B13" s="40" t="s">
        <v>185</v>
      </c>
      <c r="C13" s="41"/>
      <c r="D13" s="41"/>
      <c r="E13" s="9">
        <v>5</v>
      </c>
      <c r="F13" s="27">
        <v>4</v>
      </c>
      <c r="G13" s="30">
        <f t="shared" si="0"/>
        <v>0.8</v>
      </c>
      <c r="H13" s="31" t="str">
        <f t="shared" si="1"/>
        <v>جيد جداً</v>
      </c>
      <c r="I13" s="48"/>
      <c r="J13" s="49"/>
    </row>
    <row r="14" spans="1:10" ht="30" customHeight="1" x14ac:dyDescent="0.3">
      <c r="A14" s="11"/>
      <c r="B14" s="40" t="s">
        <v>186</v>
      </c>
      <c r="C14" s="41"/>
      <c r="D14" s="41"/>
      <c r="E14" s="9">
        <v>5</v>
      </c>
      <c r="F14" s="27">
        <v>4.5</v>
      </c>
      <c r="G14" s="30">
        <f t="shared" si="0"/>
        <v>0.9</v>
      </c>
      <c r="H14" s="31" t="str">
        <f t="shared" si="1"/>
        <v>ممتاز</v>
      </c>
      <c r="I14" s="48"/>
      <c r="J14" s="49"/>
    </row>
    <row r="15" spans="1:10" ht="30" customHeight="1" x14ac:dyDescent="0.3">
      <c r="A15" s="11"/>
      <c r="B15" s="40" t="s">
        <v>187</v>
      </c>
      <c r="C15" s="41"/>
      <c r="D15" s="41"/>
      <c r="E15" s="9">
        <v>5</v>
      </c>
      <c r="F15" s="27">
        <v>3.75</v>
      </c>
      <c r="G15" s="30">
        <f t="shared" si="0"/>
        <v>0.75</v>
      </c>
      <c r="H15" s="31" t="str">
        <f t="shared" si="1"/>
        <v>جيد</v>
      </c>
      <c r="I15" s="48"/>
      <c r="J15" s="49"/>
    </row>
    <row r="16" spans="1:10" ht="30" customHeight="1" x14ac:dyDescent="0.3">
      <c r="A16" s="11"/>
      <c r="B16" s="40" t="s">
        <v>188</v>
      </c>
      <c r="C16" s="41"/>
      <c r="D16" s="41"/>
      <c r="E16" s="9">
        <v>5</v>
      </c>
      <c r="F16" s="27">
        <v>4.25</v>
      </c>
      <c r="G16" s="30">
        <f t="shared" si="0"/>
        <v>0.85</v>
      </c>
      <c r="H16" s="31" t="str">
        <f t="shared" si="1"/>
        <v>جيد جداً</v>
      </c>
      <c r="I16" s="48"/>
      <c r="J16" s="49"/>
    </row>
    <row r="17" spans="1:10" ht="39.9" customHeight="1" x14ac:dyDescent="0.3">
      <c r="A17" s="11"/>
      <c r="B17" s="40" t="s">
        <v>189</v>
      </c>
      <c r="C17" s="41"/>
      <c r="D17" s="41"/>
      <c r="E17" s="9">
        <v>5</v>
      </c>
      <c r="F17" s="27">
        <v>4</v>
      </c>
      <c r="G17" s="30">
        <f t="shared" si="0"/>
        <v>0.8</v>
      </c>
      <c r="H17" s="31" t="str">
        <f t="shared" si="1"/>
        <v>جيد جداً</v>
      </c>
      <c r="I17" s="48"/>
      <c r="J17" s="49"/>
    </row>
    <row r="18" spans="1:10" ht="30" customHeight="1" x14ac:dyDescent="0.3">
      <c r="A18" s="11"/>
      <c r="B18" s="52" t="s">
        <v>190</v>
      </c>
      <c r="C18" s="53"/>
      <c r="D18" s="53"/>
      <c r="E18" s="9">
        <v>5</v>
      </c>
      <c r="F18" s="27">
        <v>4</v>
      </c>
      <c r="G18" s="30">
        <f t="shared" si="0"/>
        <v>0.8</v>
      </c>
      <c r="H18" s="31" t="str">
        <f t="shared" si="1"/>
        <v>جيد جداً</v>
      </c>
      <c r="I18" s="48"/>
      <c r="J18" s="49"/>
    </row>
    <row r="19" spans="1:10" ht="30" customHeight="1" x14ac:dyDescent="0.3">
      <c r="A19" s="11"/>
      <c r="B19" s="52" t="s">
        <v>191</v>
      </c>
      <c r="C19" s="53"/>
      <c r="D19" s="53"/>
      <c r="E19" s="9">
        <v>5</v>
      </c>
      <c r="F19" s="27">
        <v>3.75</v>
      </c>
      <c r="G19" s="30">
        <f t="shared" si="0"/>
        <v>0.75</v>
      </c>
      <c r="H19" s="31" t="str">
        <f t="shared" si="1"/>
        <v>جيد</v>
      </c>
      <c r="I19" s="48"/>
      <c r="J19" s="49"/>
    </row>
    <row r="20" spans="1:10" ht="39.9" customHeight="1" x14ac:dyDescent="0.3">
      <c r="A20" s="11"/>
      <c r="B20" s="52" t="s">
        <v>192</v>
      </c>
      <c r="C20" s="53"/>
      <c r="D20" s="53"/>
      <c r="E20" s="9">
        <v>10</v>
      </c>
      <c r="F20" s="27">
        <v>7.5</v>
      </c>
      <c r="G20" s="30">
        <f t="shared" si="0"/>
        <v>0.75</v>
      </c>
      <c r="H20" s="31" t="str">
        <f t="shared" si="1"/>
        <v>جيد</v>
      </c>
      <c r="I20" s="48"/>
      <c r="J20" s="49"/>
    </row>
    <row r="21" spans="1:10" ht="30" customHeight="1" x14ac:dyDescent="0.3">
      <c r="A21" s="11"/>
      <c r="B21" s="52" t="s">
        <v>193</v>
      </c>
      <c r="C21" s="53"/>
      <c r="D21" s="53"/>
      <c r="E21" s="9">
        <v>5</v>
      </c>
      <c r="F21" s="27">
        <v>4</v>
      </c>
      <c r="G21" s="30">
        <f t="shared" si="0"/>
        <v>0.8</v>
      </c>
      <c r="H21" s="31" t="str">
        <f t="shared" si="1"/>
        <v>جيد جداً</v>
      </c>
      <c r="I21" s="48"/>
      <c r="J21" s="49"/>
    </row>
    <row r="22" spans="1:10" ht="30" customHeight="1" x14ac:dyDescent="0.3">
      <c r="A22" s="11"/>
      <c r="B22" s="52" t="s">
        <v>194</v>
      </c>
      <c r="C22" s="53"/>
      <c r="D22" s="53"/>
      <c r="E22" s="9">
        <v>0</v>
      </c>
      <c r="F22" s="27" t="s">
        <v>17</v>
      </c>
      <c r="G22" s="30" t="str">
        <f t="shared" si="0"/>
        <v/>
      </c>
      <c r="H22" s="31" t="str">
        <f t="shared" si="1"/>
        <v>تم الإلغاء</v>
      </c>
      <c r="I22" s="48"/>
      <c r="J22" s="49"/>
    </row>
    <row r="23" spans="1:10" ht="30" customHeight="1" thickBot="1" x14ac:dyDescent="0.35">
      <c r="A23" s="11"/>
      <c r="B23" s="54" t="s">
        <v>195</v>
      </c>
      <c r="C23" s="55"/>
      <c r="D23" s="55"/>
      <c r="E23" s="37">
        <v>0</v>
      </c>
      <c r="F23" s="28" t="s">
        <v>17</v>
      </c>
      <c r="G23" s="38" t="str">
        <f t="shared" si="0"/>
        <v/>
      </c>
      <c r="H23" s="39" t="str">
        <f t="shared" si="1"/>
        <v>تم الإلغاء</v>
      </c>
      <c r="I23" s="50"/>
      <c r="J23" s="51"/>
    </row>
    <row r="24" spans="1:10" ht="30" customHeight="1" x14ac:dyDescent="0.3">
      <c r="A24" s="11"/>
      <c r="B24" s="46" t="s">
        <v>196</v>
      </c>
      <c r="C24" s="47"/>
      <c r="D24" s="47"/>
      <c r="E24" s="33"/>
      <c r="F24" s="34"/>
      <c r="G24" s="35"/>
      <c r="H24" s="36"/>
      <c r="I24" s="56"/>
      <c r="J24" s="57"/>
    </row>
    <row r="25" spans="1:10" ht="30" customHeight="1" x14ac:dyDescent="0.3">
      <c r="A25" s="11"/>
      <c r="B25" s="40" t="s">
        <v>197</v>
      </c>
      <c r="C25" s="41"/>
      <c r="D25" s="41"/>
      <c r="E25" s="9">
        <v>5</v>
      </c>
      <c r="F25" s="27">
        <v>4</v>
      </c>
      <c r="G25" s="30">
        <f t="shared" si="0"/>
        <v>0.8</v>
      </c>
      <c r="H25" s="31" t="str">
        <f t="shared" si="1"/>
        <v>جيد جداً</v>
      </c>
      <c r="I25" s="48"/>
      <c r="J25" s="49"/>
    </row>
    <row r="26" spans="1:10" ht="30" customHeight="1" x14ac:dyDescent="0.3">
      <c r="A26" s="11"/>
      <c r="B26" s="40" t="s">
        <v>198</v>
      </c>
      <c r="C26" s="41"/>
      <c r="D26" s="41"/>
      <c r="E26" s="9">
        <v>5</v>
      </c>
      <c r="F26" s="27">
        <v>3.5</v>
      </c>
      <c r="G26" s="30">
        <f t="shared" si="0"/>
        <v>0.7</v>
      </c>
      <c r="H26" s="31" t="str">
        <f t="shared" si="1"/>
        <v>جيد</v>
      </c>
      <c r="I26" s="48"/>
      <c r="J26" s="49"/>
    </row>
    <row r="27" spans="1:10" ht="30" customHeight="1" x14ac:dyDescent="0.3">
      <c r="A27" s="11"/>
      <c r="B27" s="40" t="s">
        <v>199</v>
      </c>
      <c r="C27" s="41"/>
      <c r="D27" s="41"/>
      <c r="E27" s="9">
        <v>5</v>
      </c>
      <c r="F27" s="27">
        <v>4</v>
      </c>
      <c r="G27" s="30">
        <f t="shared" si="0"/>
        <v>0.8</v>
      </c>
      <c r="H27" s="31" t="str">
        <f t="shared" si="1"/>
        <v>جيد جداً</v>
      </c>
      <c r="I27" s="48"/>
      <c r="J27" s="49"/>
    </row>
    <row r="28" spans="1:10" ht="30" customHeight="1" x14ac:dyDescent="0.3">
      <c r="A28" s="11"/>
      <c r="B28" s="40" t="s">
        <v>200</v>
      </c>
      <c r="C28" s="41"/>
      <c r="D28" s="41"/>
      <c r="E28" s="9">
        <v>5</v>
      </c>
      <c r="F28" s="27">
        <v>4.5</v>
      </c>
      <c r="G28" s="30">
        <f t="shared" si="0"/>
        <v>0.9</v>
      </c>
      <c r="H28" s="31" t="str">
        <f t="shared" si="1"/>
        <v>ممتاز</v>
      </c>
      <c r="I28" s="48"/>
      <c r="J28" s="49"/>
    </row>
    <row r="29" spans="1:10" ht="30" customHeight="1" x14ac:dyDescent="0.3">
      <c r="A29" s="11"/>
      <c r="B29" s="40" t="s">
        <v>201</v>
      </c>
      <c r="C29" s="41"/>
      <c r="D29" s="41"/>
      <c r="E29" s="9">
        <v>5</v>
      </c>
      <c r="F29" s="27">
        <v>3.75</v>
      </c>
      <c r="G29" s="30">
        <f t="shared" si="0"/>
        <v>0.75</v>
      </c>
      <c r="H29" s="31" t="str">
        <f t="shared" si="1"/>
        <v>جيد</v>
      </c>
      <c r="I29" s="48"/>
      <c r="J29" s="49"/>
    </row>
    <row r="30" spans="1:10" ht="30" customHeight="1" x14ac:dyDescent="0.3">
      <c r="A30" s="11"/>
      <c r="B30" s="40" t="s">
        <v>202</v>
      </c>
      <c r="C30" s="41"/>
      <c r="D30" s="41"/>
      <c r="E30" s="9">
        <v>5</v>
      </c>
      <c r="F30" s="27">
        <v>4.25</v>
      </c>
      <c r="G30" s="30">
        <f t="shared" si="0"/>
        <v>0.85</v>
      </c>
      <c r="H30" s="31" t="str">
        <f t="shared" si="1"/>
        <v>جيد جداً</v>
      </c>
      <c r="I30" s="48"/>
      <c r="J30" s="49"/>
    </row>
    <row r="31" spans="1:10" ht="30" customHeight="1" thickBot="1" x14ac:dyDescent="0.35">
      <c r="A31" s="11"/>
      <c r="B31" s="44" t="s">
        <v>203</v>
      </c>
      <c r="C31" s="45"/>
      <c r="D31" s="45"/>
      <c r="E31" s="37">
        <v>5</v>
      </c>
      <c r="F31" s="28">
        <v>4.5</v>
      </c>
      <c r="G31" s="38">
        <f t="shared" si="0"/>
        <v>0.9</v>
      </c>
      <c r="H31" s="39" t="str">
        <f t="shared" si="1"/>
        <v>ممتاز</v>
      </c>
      <c r="I31" s="50"/>
      <c r="J31" s="51"/>
    </row>
    <row r="32" spans="1:10" ht="30" customHeight="1" x14ac:dyDescent="0.3">
      <c r="A32" s="11"/>
      <c r="B32" s="46" t="s">
        <v>204</v>
      </c>
      <c r="C32" s="47"/>
      <c r="D32" s="47"/>
      <c r="E32" s="33"/>
      <c r="F32" s="34"/>
      <c r="G32" s="35"/>
      <c r="H32" s="36"/>
      <c r="I32" s="56"/>
      <c r="J32" s="57"/>
    </row>
    <row r="33" spans="1:10" ht="39.9" customHeight="1" x14ac:dyDescent="0.3">
      <c r="A33" s="11"/>
      <c r="B33" s="40" t="s">
        <v>205</v>
      </c>
      <c r="C33" s="41"/>
      <c r="D33" s="41"/>
      <c r="E33" s="9">
        <v>5</v>
      </c>
      <c r="F33" s="27">
        <v>3.75</v>
      </c>
      <c r="G33" s="30">
        <f t="shared" si="0"/>
        <v>0.75</v>
      </c>
      <c r="H33" s="31" t="str">
        <f t="shared" si="1"/>
        <v>جيد</v>
      </c>
      <c r="I33" s="48"/>
      <c r="J33" s="49"/>
    </row>
    <row r="34" spans="1:10" ht="30" customHeight="1" x14ac:dyDescent="0.3">
      <c r="A34" s="11"/>
      <c r="B34" s="40" t="s">
        <v>206</v>
      </c>
      <c r="C34" s="41"/>
      <c r="D34" s="41"/>
      <c r="E34" s="9">
        <v>5</v>
      </c>
      <c r="F34" s="27">
        <v>3.75</v>
      </c>
      <c r="G34" s="30">
        <f t="shared" si="0"/>
        <v>0.75</v>
      </c>
      <c r="H34" s="31" t="str">
        <f t="shared" si="1"/>
        <v>جيد</v>
      </c>
      <c r="I34" s="48"/>
      <c r="J34" s="49"/>
    </row>
    <row r="35" spans="1:10" ht="30" customHeight="1" x14ac:dyDescent="0.3">
      <c r="A35" s="11"/>
      <c r="B35" s="40" t="s">
        <v>207</v>
      </c>
      <c r="C35" s="41"/>
      <c r="D35" s="41"/>
      <c r="E35" s="9">
        <v>5</v>
      </c>
      <c r="F35" s="27">
        <v>3.75</v>
      </c>
      <c r="G35" s="30">
        <f t="shared" si="0"/>
        <v>0.75</v>
      </c>
      <c r="H35" s="31" t="str">
        <f t="shared" si="1"/>
        <v>جيد</v>
      </c>
      <c r="I35" s="48"/>
      <c r="J35" s="49"/>
    </row>
    <row r="36" spans="1:10" ht="30" customHeight="1" thickBot="1" x14ac:dyDescent="0.35">
      <c r="A36" s="11"/>
      <c r="B36" s="44" t="s">
        <v>208</v>
      </c>
      <c r="C36" s="45"/>
      <c r="D36" s="45"/>
      <c r="E36" s="37">
        <v>5</v>
      </c>
      <c r="F36" s="28">
        <v>4</v>
      </c>
      <c r="G36" s="38">
        <f t="shared" si="0"/>
        <v>0.8</v>
      </c>
      <c r="H36" s="39" t="str">
        <f t="shared" si="1"/>
        <v>جيد جداً</v>
      </c>
      <c r="I36" s="50"/>
      <c r="J36" s="51"/>
    </row>
    <row r="37" spans="1:10" ht="30" customHeight="1" x14ac:dyDescent="0.3">
      <c r="A37" s="11"/>
      <c r="B37" s="42" t="s">
        <v>209</v>
      </c>
      <c r="C37" s="43"/>
      <c r="D37" s="43"/>
      <c r="E37" s="33"/>
      <c r="F37" s="34"/>
      <c r="G37" s="35"/>
      <c r="H37" s="36"/>
      <c r="I37" s="56"/>
      <c r="J37" s="57"/>
    </row>
    <row r="38" spans="1:10" ht="30" customHeight="1" x14ac:dyDescent="0.3">
      <c r="A38" s="11"/>
      <c r="B38" s="40" t="s">
        <v>210</v>
      </c>
      <c r="C38" s="41"/>
      <c r="D38" s="41"/>
      <c r="E38" s="9">
        <v>5</v>
      </c>
      <c r="F38" s="27">
        <v>4</v>
      </c>
      <c r="G38" s="30">
        <f t="shared" si="0"/>
        <v>0.8</v>
      </c>
      <c r="H38" s="31" t="str">
        <f t="shared" si="1"/>
        <v>جيد جداً</v>
      </c>
      <c r="I38" s="48"/>
      <c r="J38" s="49"/>
    </row>
    <row r="39" spans="1:10" ht="30" customHeight="1" x14ac:dyDescent="0.3">
      <c r="A39" s="11"/>
      <c r="B39" s="40" t="s">
        <v>211</v>
      </c>
      <c r="C39" s="41"/>
      <c r="D39" s="41"/>
      <c r="E39" s="9">
        <v>5</v>
      </c>
      <c r="F39" s="27">
        <v>4</v>
      </c>
      <c r="G39" s="30">
        <f t="shared" si="0"/>
        <v>0.8</v>
      </c>
      <c r="H39" s="31" t="str">
        <f t="shared" si="1"/>
        <v>جيد جداً</v>
      </c>
      <c r="I39" s="48"/>
      <c r="J39" s="49"/>
    </row>
    <row r="40" spans="1:10" ht="30" customHeight="1" x14ac:dyDescent="0.3">
      <c r="A40" s="11"/>
      <c r="B40" s="40" t="s">
        <v>212</v>
      </c>
      <c r="C40" s="41"/>
      <c r="D40" s="41"/>
      <c r="E40" s="9">
        <v>5</v>
      </c>
      <c r="F40" s="27">
        <v>4</v>
      </c>
      <c r="G40" s="30">
        <f t="shared" si="0"/>
        <v>0.8</v>
      </c>
      <c r="H40" s="31" t="str">
        <f t="shared" si="1"/>
        <v>جيد جداً</v>
      </c>
      <c r="I40" s="48"/>
      <c r="J40" s="49"/>
    </row>
    <row r="41" spans="1:10" ht="30" customHeight="1" x14ac:dyDescent="0.3">
      <c r="A41" s="11"/>
      <c r="B41" s="40" t="s">
        <v>213</v>
      </c>
      <c r="C41" s="41"/>
      <c r="D41" s="41"/>
      <c r="E41" s="9">
        <v>5</v>
      </c>
      <c r="F41" s="27">
        <v>4</v>
      </c>
      <c r="G41" s="30">
        <f t="shared" si="0"/>
        <v>0.8</v>
      </c>
      <c r="H41" s="31" t="str">
        <f t="shared" si="1"/>
        <v>جيد جداً</v>
      </c>
      <c r="I41" s="48"/>
      <c r="J41" s="49"/>
    </row>
    <row r="42" spans="1:10" ht="30" customHeight="1" x14ac:dyDescent="0.3">
      <c r="A42" s="11"/>
      <c r="B42" s="40" t="s">
        <v>214</v>
      </c>
      <c r="C42" s="41"/>
      <c r="D42" s="41"/>
      <c r="E42" s="9">
        <v>5</v>
      </c>
      <c r="F42" s="27">
        <v>4</v>
      </c>
      <c r="G42" s="30">
        <f t="shared" si="0"/>
        <v>0.8</v>
      </c>
      <c r="H42" s="31" t="str">
        <f t="shared" si="1"/>
        <v>جيد جداً</v>
      </c>
      <c r="I42" s="48"/>
      <c r="J42" s="49"/>
    </row>
    <row r="43" spans="1:10" ht="30" customHeight="1" x14ac:dyDescent="0.3">
      <c r="A43" s="11"/>
      <c r="B43" s="40" t="s">
        <v>215</v>
      </c>
      <c r="C43" s="41"/>
      <c r="D43" s="41"/>
      <c r="E43" s="9">
        <v>5</v>
      </c>
      <c r="F43" s="27">
        <v>4</v>
      </c>
      <c r="G43" s="30">
        <f t="shared" si="0"/>
        <v>0.8</v>
      </c>
      <c r="H43" s="31" t="str">
        <f t="shared" si="1"/>
        <v>جيد جداً</v>
      </c>
      <c r="I43" s="48"/>
      <c r="J43" s="49"/>
    </row>
    <row r="44" spans="1:10" ht="30" customHeight="1" thickBot="1" x14ac:dyDescent="0.35">
      <c r="A44" s="11"/>
      <c r="B44" s="44" t="s">
        <v>216</v>
      </c>
      <c r="C44" s="45"/>
      <c r="D44" s="45"/>
      <c r="E44" s="37">
        <v>5</v>
      </c>
      <c r="F44" s="28">
        <v>3.5</v>
      </c>
      <c r="G44" s="38">
        <f t="shared" si="0"/>
        <v>0.7</v>
      </c>
      <c r="H44" s="39" t="str">
        <f t="shared" si="1"/>
        <v>جيد</v>
      </c>
      <c r="I44" s="50"/>
      <c r="J44" s="51"/>
    </row>
    <row r="45" spans="1:10" ht="30" customHeight="1" x14ac:dyDescent="0.3">
      <c r="A45" s="11"/>
      <c r="B45" s="46" t="s">
        <v>217</v>
      </c>
      <c r="C45" s="47"/>
      <c r="D45" s="47"/>
      <c r="E45" s="33"/>
      <c r="F45" s="34"/>
      <c r="G45" s="35"/>
      <c r="H45" s="36"/>
      <c r="I45" s="56"/>
      <c r="J45" s="57"/>
    </row>
    <row r="46" spans="1:10" ht="30" customHeight="1" x14ac:dyDescent="0.3">
      <c r="A46" s="11"/>
      <c r="B46" s="40" t="s">
        <v>218</v>
      </c>
      <c r="C46" s="41"/>
      <c r="D46" s="41"/>
      <c r="E46" s="9">
        <v>5</v>
      </c>
      <c r="F46" s="27">
        <v>4</v>
      </c>
      <c r="G46" s="30">
        <f t="shared" si="0"/>
        <v>0.8</v>
      </c>
      <c r="H46" s="31" t="str">
        <f t="shared" si="1"/>
        <v>جيد جداً</v>
      </c>
      <c r="I46" s="48"/>
      <c r="J46" s="49"/>
    </row>
    <row r="47" spans="1:10" ht="30" customHeight="1" x14ac:dyDescent="0.3">
      <c r="A47" s="11"/>
      <c r="B47" s="40" t="s">
        <v>219</v>
      </c>
      <c r="C47" s="41"/>
      <c r="D47" s="41"/>
      <c r="E47" s="9">
        <v>5</v>
      </c>
      <c r="F47" s="27">
        <v>3.75</v>
      </c>
      <c r="G47" s="30">
        <f t="shared" si="0"/>
        <v>0.75</v>
      </c>
      <c r="H47" s="31" t="str">
        <f t="shared" si="1"/>
        <v>جيد</v>
      </c>
      <c r="I47" s="48"/>
      <c r="J47" s="49"/>
    </row>
    <row r="48" spans="1:10" ht="30" customHeight="1" x14ac:dyDescent="0.3">
      <c r="A48" s="11"/>
      <c r="B48" s="40" t="s">
        <v>220</v>
      </c>
      <c r="C48" s="41"/>
      <c r="D48" s="41"/>
      <c r="E48" s="9">
        <v>5</v>
      </c>
      <c r="F48" s="27">
        <v>3.5</v>
      </c>
      <c r="G48" s="30">
        <f t="shared" si="0"/>
        <v>0.7</v>
      </c>
      <c r="H48" s="31" t="str">
        <f t="shared" si="1"/>
        <v>جيد</v>
      </c>
      <c r="I48" s="48"/>
      <c r="J48" s="49"/>
    </row>
    <row r="49" spans="1:10" ht="30" customHeight="1" x14ac:dyDescent="0.3">
      <c r="A49" s="11"/>
      <c r="B49" s="40" t="s">
        <v>221</v>
      </c>
      <c r="C49" s="41"/>
      <c r="D49" s="41"/>
      <c r="E49" s="9">
        <v>5</v>
      </c>
      <c r="F49" s="27">
        <v>3.5</v>
      </c>
      <c r="G49" s="30">
        <f t="shared" si="0"/>
        <v>0.7</v>
      </c>
      <c r="H49" s="31" t="str">
        <f t="shared" si="1"/>
        <v>جيد</v>
      </c>
      <c r="I49" s="48"/>
      <c r="J49" s="49"/>
    </row>
    <row r="50" spans="1:10" ht="30" customHeight="1" x14ac:dyDescent="0.3">
      <c r="A50" s="11"/>
      <c r="B50" s="40" t="s">
        <v>222</v>
      </c>
      <c r="C50" s="41"/>
      <c r="D50" s="41"/>
      <c r="E50" s="9">
        <v>5</v>
      </c>
      <c r="F50" s="27">
        <v>3.5</v>
      </c>
      <c r="G50" s="30">
        <f t="shared" si="0"/>
        <v>0.7</v>
      </c>
      <c r="H50" s="31" t="str">
        <f t="shared" si="1"/>
        <v>جيد</v>
      </c>
      <c r="I50" s="48"/>
      <c r="J50" s="49"/>
    </row>
    <row r="51" spans="1:10" ht="30" customHeight="1" thickBot="1" x14ac:dyDescent="0.35">
      <c r="A51" s="11"/>
      <c r="B51" s="44" t="s">
        <v>223</v>
      </c>
      <c r="C51" s="45"/>
      <c r="D51" s="45"/>
      <c r="E51" s="37">
        <v>5</v>
      </c>
      <c r="F51" s="28">
        <v>3</v>
      </c>
      <c r="G51" s="38">
        <f t="shared" si="0"/>
        <v>0.6</v>
      </c>
      <c r="H51" s="39" t="str">
        <f t="shared" si="1"/>
        <v>مقبول</v>
      </c>
      <c r="I51" s="50"/>
      <c r="J51" s="51"/>
    </row>
    <row r="52" spans="1:10" ht="30" customHeight="1" x14ac:dyDescent="0.3">
      <c r="A52" s="11"/>
      <c r="B52" s="42" t="s">
        <v>224</v>
      </c>
      <c r="C52" s="43"/>
      <c r="D52" s="43"/>
      <c r="E52" s="33"/>
      <c r="F52" s="34"/>
      <c r="G52" s="35"/>
      <c r="H52" s="36"/>
      <c r="I52" s="56"/>
      <c r="J52" s="57"/>
    </row>
    <row r="53" spans="1:10" ht="30" customHeight="1" x14ac:dyDescent="0.3">
      <c r="A53" s="11"/>
      <c r="B53" s="40" t="s">
        <v>225</v>
      </c>
      <c r="C53" s="41"/>
      <c r="D53" s="41"/>
      <c r="E53" s="9">
        <v>5</v>
      </c>
      <c r="F53" s="27">
        <v>4</v>
      </c>
      <c r="G53" s="30">
        <f t="shared" si="0"/>
        <v>0.8</v>
      </c>
      <c r="H53" s="31" t="str">
        <f t="shared" si="1"/>
        <v>جيد جداً</v>
      </c>
      <c r="I53" s="48"/>
      <c r="J53" s="49"/>
    </row>
    <row r="54" spans="1:10" ht="30" customHeight="1" x14ac:dyDescent="0.3">
      <c r="A54" s="11"/>
      <c r="B54" s="40" t="s">
        <v>226</v>
      </c>
      <c r="C54" s="41"/>
      <c r="D54" s="41"/>
      <c r="E54" s="9">
        <v>5</v>
      </c>
      <c r="F54" s="27">
        <v>4</v>
      </c>
      <c r="G54" s="30">
        <f t="shared" si="0"/>
        <v>0.8</v>
      </c>
      <c r="H54" s="31" t="str">
        <f t="shared" si="1"/>
        <v>جيد جداً</v>
      </c>
      <c r="I54" s="48"/>
      <c r="J54" s="49"/>
    </row>
    <row r="55" spans="1:10" ht="30" customHeight="1" thickBot="1" x14ac:dyDescent="0.35">
      <c r="A55" s="11"/>
      <c r="B55" s="44" t="s">
        <v>227</v>
      </c>
      <c r="C55" s="45"/>
      <c r="D55" s="45"/>
      <c r="E55" s="37">
        <v>5</v>
      </c>
      <c r="F55" s="28">
        <v>4</v>
      </c>
      <c r="G55" s="38">
        <f t="shared" si="0"/>
        <v>0.8</v>
      </c>
      <c r="H55" s="39" t="str">
        <f t="shared" si="1"/>
        <v>جيد جداً</v>
      </c>
      <c r="I55" s="50"/>
      <c r="J55" s="51"/>
    </row>
    <row r="56" spans="1:10" ht="30" customHeight="1" x14ac:dyDescent="0.3">
      <c r="A56" s="11"/>
      <c r="B56" s="42" t="s">
        <v>228</v>
      </c>
      <c r="C56" s="43"/>
      <c r="D56" s="43"/>
      <c r="E56" s="33"/>
      <c r="F56" s="34"/>
      <c r="G56" s="35"/>
      <c r="H56" s="36"/>
      <c r="I56" s="56"/>
      <c r="J56" s="57"/>
    </row>
    <row r="57" spans="1:10" ht="30" customHeight="1" x14ac:dyDescent="0.3">
      <c r="A57" s="11"/>
      <c r="B57" s="40" t="s">
        <v>229</v>
      </c>
      <c r="C57" s="41"/>
      <c r="D57" s="41"/>
      <c r="E57" s="9">
        <v>0</v>
      </c>
      <c r="F57" s="27" t="s">
        <v>17</v>
      </c>
      <c r="G57" s="30" t="str">
        <f t="shared" si="0"/>
        <v/>
      </c>
      <c r="H57" s="31" t="str">
        <f t="shared" si="1"/>
        <v>تم الإلغاء</v>
      </c>
      <c r="I57" s="48"/>
      <c r="J57" s="49"/>
    </row>
    <row r="58" spans="1:10" ht="30" customHeight="1" thickBot="1" x14ac:dyDescent="0.35">
      <c r="A58" s="11"/>
      <c r="B58" s="44" t="s">
        <v>230</v>
      </c>
      <c r="C58" s="45"/>
      <c r="D58" s="45"/>
      <c r="E58" s="37">
        <v>0</v>
      </c>
      <c r="F58" s="28" t="s">
        <v>17</v>
      </c>
      <c r="G58" s="38" t="str">
        <f t="shared" si="0"/>
        <v/>
      </c>
      <c r="H58" s="39" t="str">
        <f t="shared" si="1"/>
        <v>تم الإلغاء</v>
      </c>
      <c r="I58" s="50"/>
      <c r="J58" s="51"/>
    </row>
    <row r="59" spans="1:10" ht="30" customHeight="1" thickBot="1" x14ac:dyDescent="0.35">
      <c r="A59" s="4"/>
      <c r="B59" s="58" t="s">
        <v>5</v>
      </c>
      <c r="C59" s="59"/>
      <c r="D59" s="59"/>
      <c r="E59" s="10">
        <f>SUM(E8:E58)</f>
        <v>215</v>
      </c>
      <c r="F59" s="10">
        <f>SUM(F8:F58)</f>
        <v>165.75</v>
      </c>
      <c r="G59" s="60"/>
      <c r="H59" s="61"/>
      <c r="I59" s="61"/>
      <c r="J59" s="62"/>
    </row>
    <row r="60" spans="1:10" ht="30" customHeight="1" thickBot="1" x14ac:dyDescent="0.35">
      <c r="A60" s="4"/>
      <c r="B60" s="58" t="s">
        <v>54</v>
      </c>
      <c r="C60" s="59"/>
      <c r="D60" s="59"/>
      <c r="E60" s="78">
        <f>F59/E59/100*100</f>
        <v>0.77093023255813953</v>
      </c>
      <c r="F60" s="78"/>
      <c r="G60" s="78"/>
      <c r="H60" s="78"/>
      <c r="I60" s="78"/>
      <c r="J60" s="79"/>
    </row>
    <row r="61" spans="1:10" ht="30" customHeight="1" thickBot="1" x14ac:dyDescent="0.35">
      <c r="A61" s="4"/>
      <c r="B61" s="58" t="s">
        <v>55</v>
      </c>
      <c r="C61" s="59"/>
      <c r="D61" s="59"/>
      <c r="E61" s="67" t="str">
        <f>_xlfn.IFS(E60&gt;=90%,"ممتاز",E60&gt;=80%,"جيد جداً",E60&gt;=70%,"جيد",E60&gt;=60%,"مقبول",E60&lt;60%,"راسب")</f>
        <v>جيد</v>
      </c>
      <c r="F61" s="67"/>
      <c r="G61" s="67"/>
      <c r="H61" s="67"/>
      <c r="I61" s="67"/>
      <c r="J61" s="68"/>
    </row>
    <row r="62" spans="1:10" ht="42" customHeight="1" x14ac:dyDescent="0.3">
      <c r="B62" s="63" t="s">
        <v>174</v>
      </c>
      <c r="C62" s="63"/>
      <c r="D62" s="63"/>
      <c r="E62" s="69" t="s">
        <v>52</v>
      </c>
      <c r="F62" s="69"/>
      <c r="G62" s="65" t="s">
        <v>123</v>
      </c>
      <c r="H62" s="65"/>
      <c r="I62" s="65"/>
      <c r="J62" s="65"/>
    </row>
    <row r="63" spans="1:10" ht="51" customHeight="1" x14ac:dyDescent="0.3">
      <c r="A63" s="5"/>
      <c r="B63" s="64"/>
      <c r="C63" s="64"/>
      <c r="D63" s="64"/>
      <c r="E63" s="70" t="s">
        <v>53</v>
      </c>
      <c r="F63" s="70"/>
      <c r="G63" s="66"/>
      <c r="H63" s="66"/>
      <c r="I63" s="66"/>
      <c r="J63" s="66"/>
    </row>
  </sheetData>
  <sheetProtection formatCells="0" formatColumns="0" formatRows="0" insertColumns="0" insertRows="0" insertHyperlinks="0" deleteColumns="0" deleteRows="0" selectLockedCells="1" sort="0" autoFilter="0" pivotTables="0"/>
  <mergeCells count="123">
    <mergeCell ref="B1:J1"/>
    <mergeCell ref="F2:J2"/>
    <mergeCell ref="B5:D6"/>
    <mergeCell ref="C2:D2"/>
    <mergeCell ref="C3:D3"/>
    <mergeCell ref="F3:J3"/>
    <mergeCell ref="E60:J60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62:D63"/>
    <mergeCell ref="G62:J62"/>
    <mergeCell ref="G63:J63"/>
    <mergeCell ref="E61:J61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45:J45"/>
    <mergeCell ref="I46:J46"/>
    <mergeCell ref="I47:J47"/>
    <mergeCell ref="I48:J48"/>
    <mergeCell ref="E62:F62"/>
    <mergeCell ref="E63:F63"/>
    <mergeCell ref="I8:J8"/>
    <mergeCell ref="B59:D59"/>
    <mergeCell ref="B60:D60"/>
    <mergeCell ref="B61:D61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8:J58"/>
    <mergeCell ref="I26:J26"/>
    <mergeCell ref="I27:J27"/>
    <mergeCell ref="G59:J59"/>
    <mergeCell ref="I9:J9"/>
    <mergeCell ref="B26:D26"/>
    <mergeCell ref="B27:D27"/>
    <mergeCell ref="B28:D28"/>
    <mergeCell ref="B29:D29"/>
    <mergeCell ref="I32:J32"/>
    <mergeCell ref="I33:J33"/>
    <mergeCell ref="I34:J34"/>
    <mergeCell ref="I35:J35"/>
    <mergeCell ref="I36:J3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30:D30"/>
    <mergeCell ref="B31:D31"/>
    <mergeCell ref="B32:D32"/>
    <mergeCell ref="B33:D33"/>
    <mergeCell ref="B34:D34"/>
    <mergeCell ref="B35:D35"/>
    <mergeCell ref="B36:D36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56:D56"/>
    <mergeCell ref="B57:D57"/>
    <mergeCell ref="B58:D58"/>
    <mergeCell ref="B48:D48"/>
    <mergeCell ref="B49:D49"/>
    <mergeCell ref="B50:D50"/>
    <mergeCell ref="B51:D51"/>
    <mergeCell ref="B52:D52"/>
    <mergeCell ref="B53:D53"/>
    <mergeCell ref="B54:D54"/>
    <mergeCell ref="B55:D5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1">
    <cfRule type="expression" dxfId="14" priority="57">
      <formula>$E61="راسب"</formula>
    </cfRule>
  </conditionalFormatting>
  <conditionalFormatting sqref="E61:J61">
    <cfRule type="expression" dxfId="13" priority="58">
      <formula>$E61="مقبول"</formula>
    </cfRule>
    <cfRule type="expression" dxfId="12" priority="59">
      <formula>$E61="جيد"</formula>
    </cfRule>
    <cfRule type="expression" dxfId="11" priority="60">
      <formula>$E61="جيد جداً"</formula>
    </cfRule>
    <cfRule type="expression" dxfId="10" priority="61">
      <formula>$E61="ممتاز"</formula>
    </cfRule>
  </conditionalFormatting>
  <conditionalFormatting sqref="F8:F58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2:J62">
    <cfRule type="containsText" dxfId="6" priority="15" operator="containsText" text="أدخل اسم المحكم">
      <formula>NOT(ISERROR(SEARCH("أدخل اسم المحكم",G62)))</formula>
    </cfRule>
  </conditionalFormatting>
  <conditionalFormatting sqref="H8:H58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G62:J62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F57:F58 F53:F55 F46:F51 F38:F44 F33:F36 F25:F31 F21:F23 F11:F19</xm:sqref>
        </x14:dataValidation>
        <x14:dataValidation type="list" allowBlank="1" showInputMessage="1" showErrorMessage="1" xr:uid="{950D916C-6113-4E71-903C-FA81D9B1CAD1}">
          <x14:formula1>
            <xm:f>'بيانات التقييم'!$A$111:$A$153</xm:f>
          </x14:formula1>
          <xm:sqref>F9 F10 F20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35" workbookViewId="0">
      <selection activeCell="C33" sqref="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177</v>
      </c>
    </row>
    <row r="30" spans="1:3" ht="20.100000000000001" customHeight="1" thickBot="1" x14ac:dyDescent="0.35">
      <c r="A30" s="2" t="s">
        <v>32</v>
      </c>
      <c r="C30" s="20" t="s">
        <v>178</v>
      </c>
    </row>
    <row r="31" spans="1:3" ht="20.100000000000001" customHeight="1" thickBot="1" x14ac:dyDescent="0.35">
      <c r="A31" s="2" t="s">
        <v>33</v>
      </c>
      <c r="C31" s="20" t="s">
        <v>179</v>
      </c>
    </row>
    <row r="32" spans="1:3" ht="20.100000000000001" customHeight="1" thickBot="1" x14ac:dyDescent="0.35">
      <c r="A32" s="2" t="s">
        <v>16</v>
      </c>
      <c r="C32" s="20"/>
    </row>
    <row r="33" spans="1:9" ht="20.100000000000001" customHeight="1" thickBot="1" x14ac:dyDescent="0.35">
      <c r="A33" s="2" t="s">
        <v>14</v>
      </c>
      <c r="C33" s="20"/>
    </row>
    <row r="34" spans="1:9" ht="20.100000000000001" customHeight="1" thickBot="1" x14ac:dyDescent="0.35">
      <c r="A34" s="2" t="s">
        <v>34</v>
      </c>
      <c r="C34" s="20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2025-10-08T06:07:01Z</dcterms:modified>
</cp:coreProperties>
</file>