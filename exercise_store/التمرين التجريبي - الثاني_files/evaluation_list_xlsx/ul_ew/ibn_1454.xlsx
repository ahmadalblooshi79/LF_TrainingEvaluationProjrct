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53B8E11-77FC-447F-8FFA-DA24118C37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 s="1"/>
  <c r="G13" i="2"/>
  <c r="H13" i="2" s="1"/>
  <c r="G14" i="2"/>
  <c r="H14" i="2" s="1"/>
  <c r="G16" i="2"/>
  <c r="H16" i="2"/>
  <c r="G17" i="2"/>
  <c r="H17" i="2"/>
  <c r="G18" i="2"/>
  <c r="H18" i="2"/>
  <c r="G19" i="2"/>
  <c r="H19" i="2"/>
  <c r="G20" i="2"/>
  <c r="H20" i="2" s="1"/>
  <c r="G22" i="2"/>
  <c r="H22" i="2"/>
  <c r="G23" i="2"/>
  <c r="H23" i="2"/>
  <c r="G24" i="2"/>
  <c r="H24" i="2"/>
  <c r="G26" i="2"/>
  <c r="H26" i="2"/>
  <c r="G27" i="2"/>
  <c r="H27" i="2"/>
  <c r="G28" i="2"/>
  <c r="H28" i="2" s="1"/>
  <c r="G29" i="2"/>
  <c r="H29" i="2"/>
  <c r="G31" i="2"/>
  <c r="H31" i="2"/>
  <c r="G32" i="2"/>
  <c r="H32" i="2" s="1"/>
  <c r="G33" i="2"/>
  <c r="H33" i="2"/>
  <c r="G34" i="2"/>
  <c r="H34" i="2"/>
  <c r="G35" i="2"/>
  <c r="H35" i="2" s="1"/>
  <c r="G36" i="2"/>
  <c r="H36" i="2"/>
  <c r="G37" i="2"/>
  <c r="H37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 s="1"/>
  <c r="G50" i="2"/>
  <c r="H50" i="2" s="1"/>
  <c r="G51" i="2"/>
  <c r="H51" i="2"/>
  <c r="G52" i="2"/>
  <c r="H52" i="2" s="1"/>
  <c r="G53" i="2"/>
  <c r="H53" i="2" s="1"/>
  <c r="F54" i="2"/>
  <c r="E54" i="2"/>
  <c r="E55" i="2" l="1"/>
  <c r="E56" i="2" s="1"/>
</calcChain>
</file>

<file path=xl/sharedStrings.xml><?xml version="1.0" encoding="utf-8"?>
<sst xmlns="http://schemas.openxmlformats.org/spreadsheetml/2006/main" count="301" uniqueCount="228">
  <si>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</si>
  <si>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</si>
  <si>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</si>
  <si>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</si>
  <si>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</si>
  <si>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</si>
  <si>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</si>
  <si>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</si>
  <si>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</si>
  <si>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</si>
  <si>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</si>
  <si>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</si>
  <si>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</si>
  <si>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</si>
  <si>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</si>
  <si>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</si>
  <si>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</si>
  <si>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</si>
  <si>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</si>
  <si>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</si>
  <si>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</si>
  <si>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</si>
  <si>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</si>
  <si>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</si>
  <si>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</si>
  <si>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</si>
  <si>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</si>
  <si>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</si>
  <si>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</si>
  <si>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</si>
  <si>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</si>
  <si>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</si>
  <si>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</si>
  <si>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</si>
  <si>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</si>
  <si>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</si>
  <si>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</si>
  <si>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</si>
  <si>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</si>
  <si>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</si>
  <si>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</si>
  <si>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</si>
  <si>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</si>
  <si>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</si>
  <si>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</si>
  <si>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</si>
  <si>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</si>
  <si>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</si>
  <si>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</si>
  <si>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</si>
  <si>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</si>
  <si>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</si>
  <si>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</si>
  <si>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</si>
  <si>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</si>
  <si>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</si>
  <si>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</si>
  <si>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</si>
  <si>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</si>
  <si>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</si>
  <si>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</si>
  <si>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</si>
  <si>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</si>
  <si>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</si>
  <si>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</si>
  <si>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</si>
  <si>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</si>
  <si>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</si>
  <si>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</si>
  <si>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</si>
  <si>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</si>
  <si>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</si>
  <si>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</si>
  <si>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</si>
  <si>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</si>
  <si>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</si>
  <si>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</si>
  <si>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</si>
  <si>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</si>
  <si>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</si>
  <si>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</si>
  <si>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</si>
  <si>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</si>
  <si>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</si>
  <si>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</si>
  <si>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</si>
  <si>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</si>
  <si>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</si>
  <si>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</si>
  <si>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</si>
  <si>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</si>
  <si>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</si>
  <si>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</si>
  <si>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</si>
  <si>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</si>
  <si>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</si>
  <si>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</si>
  <si>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</si>
  <si>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</si>
  <si>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</si>
  <si>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</si>
  <si>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</si>
  <si>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</si>
  <si>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</si>
  <si>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</si>
  <si>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</si>
  <si>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</si>
  <si>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</si>
  <si>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</si>
  <si>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</si>
  <si>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</si>
  <si>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</si>
  <si>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</si>
  <si>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</si>
  <si>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</si>
  <si>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</si>
  <si>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</si>
  <si>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</si>
  <si>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</si>
  <si>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</si>
  <si>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</si>
  <si>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</si>
  <si>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</si>
  <si>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</si>
  <si>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</si>
  <si>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</si>
  <si>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</si>
  <si>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</si>
  <si>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</si>
  <si>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</si>
  <si>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</si>
  <si>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</si>
  <si>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</si>
  <si>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</si>
  <si>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</si>
  <si>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</si>
  <si>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</si>
  <si>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</si>
  <si>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</si>
  <si>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</si>
  <si>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</si>
  <si>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</si>
  <si>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</si>
  <si>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</si>
  <si>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</si>
  <si>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</si>
  <si>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</si>
  <si>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</si>
  <si>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</si>
  <si>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</si>
  <si>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</si>
  <si>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</si>
  <si>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</si>
  <si>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</si>
  <si>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</si>
  <si>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</si>
  <si>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</si>
  <si>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</si>
  <si>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</si>
  <si>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</si>
  <si>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</si>
  <si>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</si>
  <si>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</si>
  <si>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</si>
  <si>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</si>
  <si>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</si>
  <si>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</si>
  <si>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</si>
  <si>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</si>
  <si>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</si>
  <si>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</si>
  <si>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</si>
  <si>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</si>
  <si>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</si>
  <si>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</si>
  <si>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</si>
  <si>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</si>
  <si>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</si>
  <si>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</si>
  <si>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</si>
  <si>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الشؤون الإدارية.</t>
    </r>
    <r>
      <rPr>
        <sz val="12"/>
        <color theme="1"/>
        <rFont val="Arial"/>
        <family val="2"/>
      </rPr>
      <t xml:space="preserve"> (يتم التأكد من التالي):</t>
    </r>
  </si>
  <si>
    <t>أ. المظهر العام للمعسكر من حيث (نصب الخيام، النظافة، مداخل ومخارج الطرق المؤدية واللوحات الإرشادية للمعسكر).</t>
  </si>
  <si>
    <t>ب. وجود وصلاحية مخازن الأسلحة والذخيرة والأرزاق.</t>
  </si>
  <si>
    <t>جـ. توفر وصلاحية مكاتب قيادة الوحدة.</t>
  </si>
  <si>
    <t>د. توفر وصلاحية مكتب المخابرة.</t>
  </si>
  <si>
    <t>هـ. توفر مواقف للآليات (إدارية، وقود).</t>
  </si>
  <si>
    <t>و. وجود نظــام للتخلــص مـن النفايــات والمخلـفـات (الطبية والعضوية).</t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</si>
  <si>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القوى البشرية والآليـات.</t>
    </r>
  </si>
  <si>
    <t>أ. نسبة الاستكمال من القوى البشرية وتشمل (المرتب، الموجود، المدربين، الموجود اليومي).</t>
  </si>
  <si>
    <t>ب. مدى استكمال التخصصات للمرتب.</t>
  </si>
  <si>
    <t>جـ. مدى استكمال التخصصات الأخرى الملحقة والمعينة (الإسناد الناري والإداري).</t>
  </si>
  <si>
    <t>د. نسبـة استكمال الآليات والمعدات الموجودة على المرتب.</t>
  </si>
  <si>
    <t>هـ. الحالة الفنية للآليات (ب).</t>
  </si>
  <si>
    <r>
      <t>3.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الأسلحــة والذخائــر.</t>
    </r>
  </si>
  <si>
    <t>أ. توفر ذخيرة العمليات حسب مقياس الذخائر وحسب تعليمات رفع حالات الاستعداد القتالي.</t>
  </si>
  <si>
    <t>ب. توفر ذخيرة التدريب حسب المقياس.</t>
  </si>
  <si>
    <t>جـ. الحالة الفنية للذخائر.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</si>
  <si>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مواقف الآليات</t>
    </r>
    <r>
      <rPr>
        <u/>
        <sz val="12"/>
        <color theme="1"/>
        <rFont val="Arial"/>
        <family val="2"/>
      </rPr>
      <t>.</t>
    </r>
    <r>
      <rPr>
        <sz val="12"/>
        <color theme="1"/>
        <rFont val="Arial"/>
        <family val="2"/>
      </rPr>
      <t xml:space="preserve"> عندما تكون محملة بالذخائر والوقود.</t>
    </r>
  </si>
  <si>
    <t>أ. توفر وصلاحية الإنارة في منطقة مواقف الآليات.</t>
  </si>
  <si>
    <t>ب. توفر وصلاحية وسيلة الاتصال.</t>
  </si>
  <si>
    <t>جـ. وجود وصلاحية طفايات الحريق ووجود بطاقة الصلاحية عليها بمواقف الآليات.</t>
  </si>
  <si>
    <t>د. مدى التقيد بالنظافة العامة في مواقف الآليات.</t>
  </si>
  <si>
    <r>
      <t>5.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مساعدات التدريب.</t>
    </r>
  </si>
  <si>
    <t>أ. وجود تعليمات وخطة التدريب لمعسكر التدريب الخارجي.</t>
  </si>
  <si>
    <t>ب. مدى تطابق خطة وتعليمات التدريب الخارجي مع خطة التدريب / الزمنية الشهرية للمستوى الأعلى.</t>
  </si>
  <si>
    <t>جـ. وجود برامج التدريب ومدى تطابقها مع خطة التدريب الشهرية.</t>
  </si>
  <si>
    <t>د. وجود وملائمة مناطق التدريب مع برنامج التدريب.</t>
  </si>
  <si>
    <t>هـ. وجود وثائق وتعليمات التمرين.</t>
  </si>
  <si>
    <t>و. وجود التعليمات التنظيمية للمعسكر.</t>
  </si>
  <si>
    <r>
      <t>6.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وجود خطة الدفاع والحراسة و خطة الحريق.</t>
    </r>
  </si>
  <si>
    <r>
      <t>7.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التدريب.</t>
    </r>
  </si>
  <si>
    <t>أ. التقيد بالتعليمات الإدارية للتدريب.</t>
  </si>
  <si>
    <t>ب. مدى إلمام المرتب والمتدربين بالتعليمات الإدارية.</t>
  </si>
  <si>
    <t>جـ. مدى إلمام المدربين بالتدريب.</t>
  </si>
  <si>
    <t>د. مدى سيطرة المدربين على المتدربين.</t>
  </si>
  <si>
    <t>هـ. مدى تقيد المدربين بتوجيه المتدربين وتصحيح الأخطاء.</t>
  </si>
  <si>
    <t>و. مدى التعاون والعمل بروح الفريق بين المتدربين.</t>
  </si>
  <si>
    <t>ز. التقيد بتوزيع المهام على المتدربين.</t>
  </si>
  <si>
    <t>ح. التقيد بتوقيتات التدريب.</t>
  </si>
  <si>
    <r>
      <t>8.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2"/>
        <color theme="1"/>
        <rFont val="Arial"/>
        <family val="2"/>
      </rPr>
      <t>التقيد بارتداء اللباس الميداني حسب التعليمات.</t>
    </r>
  </si>
  <si>
    <r>
      <t>9.</t>
    </r>
    <r>
      <rPr>
        <b/>
        <sz val="7"/>
        <color theme="1"/>
        <rFont val="Times New Roman"/>
        <family val="1"/>
      </rPr>
      <t xml:space="preserve">       </t>
    </r>
    <r>
      <rPr>
        <b/>
        <u/>
        <sz val="12"/>
        <color theme="1"/>
        <rFont val="Arial"/>
        <family val="2"/>
      </rPr>
      <t>الإشارة.</t>
    </r>
  </si>
  <si>
    <t>أ. مدى التقيد بالتعليمات الإشارية ومخططات شبكة الاتصالات.</t>
  </si>
  <si>
    <t>ب. توفر وصلاحية وسائل الاتصال في التمرين.</t>
  </si>
  <si>
    <t>جـ. مدى التقيد بأصول المخابرة الصحيحة والالتزام بالأمن اللاسلكي من قبل مستخدمي الأجهزة.</t>
  </si>
  <si>
    <t>د. مدى كفاءة الاتصالات في التمرين.</t>
  </si>
  <si>
    <r>
      <t>10.</t>
    </r>
    <r>
      <rPr>
        <b/>
        <sz val="7"/>
        <color theme="1"/>
        <rFont val="Times New Roman"/>
        <family val="1"/>
      </rPr>
      <t xml:space="preserve">  </t>
    </r>
    <r>
      <rPr>
        <b/>
        <sz val="12"/>
        <color theme="1"/>
        <rFont val="Arial"/>
        <family val="2"/>
      </rPr>
      <t>الإشراف والمتابعة من المستوى الأعلى.</t>
    </r>
  </si>
  <si>
    <r>
      <rPr>
        <b/>
        <sz val="14"/>
        <color rgb="FF000000"/>
        <rFont val="Arial"/>
        <family val="2"/>
      </rPr>
      <t>تقييم معسكرات التدريب الخارجية لسرية الحرب الإلكترونية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</si>
  <si>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t>النقيب/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</si>
</sst>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u/>
      <sz val="12"/>
      <color theme="1"/>
      <name val="Arial"/>
      <family val="2"/>
    </font>
    <font>
      <b/>
      <sz val="7"/>
      <color theme="1"/>
      <name val="Times New Roman"/>
      <family val="1"/>
    </font>
    <font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wrapText="1" readingOrder="2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13" fillId="0" borderId="11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7" fillId="4" borderId="22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4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13" xfId="0" applyFont="1" applyBorder="1" applyAlignment="1">
      <alignment horizontal="right" vertical="center" wrapText="1" indent="2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  <xf numFmtId="0" fontId="3" fillId="0" borderId="12" xfId="0" applyFont="1" applyBorder="1" applyAlignment="1">
      <alignment horizontal="right" vertical="center" wrapText="1" readingOrder="2"/>
    </xf>
    <xf numFmtId="0" fontId="3" fillId="0" borderId="13" xfId="0" applyFont="1" applyBorder="1" applyAlignment="1">
      <alignment horizontal="right" vertical="center" wrapText="1" readingOrder="2"/>
    </xf>
    <xf numFmtId="0" fontId="3" fillId="0" borderId="15" xfId="0" applyFont="1" applyBorder="1" applyAlignment="1">
      <alignment horizontal="right" vertical="center" wrapText="1" readingOrder="2"/>
    </xf>
    <xf numFmtId="0" fontId="3" fillId="0" borderId="11" xfId="0" applyFont="1" applyBorder="1" applyAlignment="1">
      <alignment horizontal="right" vertical="center" wrapText="1" readingOrder="2"/>
    </xf>
    <xf numFmtId="0" fontId="6" fillId="0" borderId="25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6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5" Type="http://schemas.openxmlformats.org/officeDocument/2006/relationships/customXml" Target="../ink/ink3.xml"/><Relationship Id="rId4" Type="http://schemas.openxmlformats.org/officeDocument/2006/relationships/image" Target="../media/image2.png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628765</xdr:colOff>
      <xdr:row>57</xdr:row>
      <xdr:rowOff>38188</xdr:rowOff>
    </xdr:from>
    <xdr:to>
      <xdr:col>8</xdr:col>
      <xdr:colOff>342544</xdr:colOff>
      <xdr:row>57</xdr:row>
      <xdr:rowOff>469468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EDD32E-98CB-3D45-6935-1A1A1A19998A}"/>
                </a:ext>
              </a:extLst>
            </xdr14:cNvPr>
            <xdr14:cNvContentPartPr/>
          </xdr14:nvContentPartPr>
          <xdr14:nvPr macro=""/>
          <xdr14:xfrm>
            <a:off x="10398902365" y="21905280"/>
            <a:ext cx="1029960" cy="431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EDD32E-98CB-3D45-6935-1A1A1A1999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96245" y="21899160"/>
              <a:ext cx="1042200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56355</xdr:colOff>
      <xdr:row>57</xdr:row>
      <xdr:rowOff>243748</xdr:rowOff>
    </xdr:from>
    <xdr:to>
      <xdr:col>7</xdr:col>
      <xdr:colOff>73995</xdr:colOff>
      <xdr:row>57</xdr:row>
      <xdr:rowOff>264988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A2B62F7-0436-8903-4C49-B018349BA806}"/>
                </a:ext>
              </a:extLst>
            </xdr14:cNvPr>
            <xdr14:cNvContentPartPr/>
          </xdr14:nvContentPartPr>
          <xdr14:nvPr macro=""/>
          <xdr14:xfrm>
            <a:off x="10399829005" y="22110840"/>
            <a:ext cx="17640" cy="21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A2B62F7-0436-8903-4C49-B018349BA80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22885" y="22104720"/>
              <a:ext cx="2988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16383</xdr:col>
      <xdr:colOff>637622</xdr:colOff>
      <xdr:row>0</xdr:row>
      <xdr:rowOff>0</xdr:rowOff>
    </xdr:from>
    <xdr:to>
      <xdr:col>16383</xdr:col>
      <xdr:colOff>614762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BEAD496-7CA4-9D21-4DCF-501152A4A873}"/>
                </a:ext>
              </a:extLst>
            </xdr14:cNvPr>
            <xdr14:cNvContentPartPr/>
          </xdr14:nvContentPartPr>
          <xdr14:nvPr macro=""/>
          <xdr14:xfrm>
            <a:off x="0" y="0"/>
            <a:ext cx="0" cy="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CBEAD496-7CA4-9D21-4DCF-501152A4A873}"/>
                </a:ext>
              </a:extLst>
            </xdr:cNvPr>
            <xdr:cNvPicPr/>
          </xdr:nvPicPr>
          <xdr:blipFill/>
          <xdr:spPr/>
        </xdr:pic>
      </mc:Fallback>
    </mc:AlternateContent>
    <xdr:clientData/>
  </xdr:twoCellAnchor>
  <xdr:twoCellAnchor editAs="oneCell">
    <xdr:from>
      <xdr:col>16383</xdr:col>
      <xdr:colOff>637622</xdr:colOff>
      <xdr:row>0</xdr:row>
      <xdr:rowOff>0</xdr:rowOff>
    </xdr:from>
    <xdr:to>
      <xdr:col>16383</xdr:col>
      <xdr:colOff>614762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E8DF513-724C-DA41-8915-50A7E57AA75D}"/>
                </a:ext>
              </a:extLst>
            </xdr14:cNvPr>
            <xdr14:cNvContentPartPr/>
          </xdr14:nvContentPartPr>
          <xdr14:nvPr macro=""/>
          <xdr14:xfrm>
            <a:off x="0" y="0"/>
            <a:ext cx="0" cy="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E8DF513-724C-DA41-8915-50A7E57AA75D}"/>
                </a:ext>
              </a:extLst>
            </xdr:cNvPr>
            <xdr:cNvPicPr/>
          </xdr:nvPicPr>
          <xdr:blipFill/>
          <xdr:spPr/>
        </xdr:pic>
      </mc:Fallback>
    </mc:AlternateContent>
    <xdr:clientData/>
  </xdr:twoCellAnchor>
  <xdr:twoCellAnchor editAs="oneCell">
    <xdr:from>
      <xdr:col>16383</xdr:col>
      <xdr:colOff>637622</xdr:colOff>
      <xdr:row>0</xdr:row>
      <xdr:rowOff>0</xdr:rowOff>
    </xdr:from>
    <xdr:to>
      <xdr:col>16383</xdr:col>
      <xdr:colOff>614762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A62F7DF-F507-8FBE-B824-96F24FD951D7}"/>
                </a:ext>
              </a:extLst>
            </xdr14:cNvPr>
            <xdr14:cNvContentPartPr/>
          </xdr14:nvContentPartPr>
          <xdr14:nvPr macro=""/>
          <xdr14:xfrm>
            <a:off x="0" y="0"/>
            <a:ext cx="0" cy="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A62F7DF-F507-8FBE-B824-96F24FD951D7}"/>
                </a:ext>
              </a:extLst>
            </xdr:cNvPr>
            <xdr:cNvPicPr/>
          </xdr:nvPicPr>
          <xdr:blipFill/>
          <xdr:spPr/>
        </xdr:pic>
      </mc:Fallback>
    </mc:AlternateContent>
    <xdr:clientData/>
  </xdr:twoCellAnchor>
  <xdr:twoCellAnchor editAs="oneCell">
    <xdr:from>
      <xdr:col>16383</xdr:col>
      <xdr:colOff>635000</xdr:colOff>
      <xdr:row>0</xdr:row>
      <xdr:rowOff>0</xdr:rowOff>
    </xdr:from>
    <xdr:to>
      <xdr:col>16383</xdr:col>
      <xdr:colOff>619760</xdr:colOff>
      <xdr:row>0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72A4DE12-38A0-85F8-DB05-5B4E900E23A7}"/>
                </a:ext>
              </a:extLst>
            </xdr14:cNvPr>
            <xdr14:cNvContentPartPr/>
          </xdr14:nvContentPartPr>
          <xdr14:nvPr macro=""/>
          <xdr14:xfrm>
            <a:off x="0" y="0"/>
            <a:ext cx="0" cy="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2A4DE12-38A0-85F8-DB05-5B4E900E23A7}"/>
                </a:ext>
              </a:extLst>
            </xdr:cNvPr>
            <xdr:cNvPicPr/>
          </xdr:nvPicPr>
          <xdr:blipFill/>
          <xdr:spPr/>
        </xdr:pic>
      </mc:Fallback>
    </mc:AlternateContent>
    <xdr:clientData/>
  </xdr:twoCellAnchor>
  <xdr:twoCellAnchor editAs="oneCell">
    <xdr:from>
      <xdr:col>21</xdr:col>
      <xdr:colOff>589211</xdr:colOff>
      <xdr:row>17</xdr:row>
      <xdr:rowOff>163947</xdr:rowOff>
    </xdr:from>
    <xdr:to>
      <xdr:col>22</xdr:col>
      <xdr:colOff>101091</xdr:colOff>
      <xdr:row>17</xdr:row>
      <xdr:rowOff>178707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37C1F38-B402-73A7-8430-9F2F6CA63D53}"/>
                </a:ext>
              </a:extLst>
            </xdr14:cNvPr>
            <xdr14:cNvContentPartPr/>
          </xdr14:nvContentPartPr>
          <xdr14:nvPr macro=""/>
          <xdr14:xfrm>
            <a:off x="10389768909" y="6629400"/>
            <a:ext cx="146880" cy="14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37C1F38-B402-73A7-8430-9F2F6CA63D53}"/>
                </a:ext>
              </a:extLst>
            </xdr:cNvPr>
            <xdr:cNvPicPr/>
          </xdr:nvPicPr>
          <xdr:blipFill>
            <a:blip xmlns:r="http://schemas.openxmlformats.org/officeDocument/2006/relationships">
              <a:extLst>
                <a:ext uri="{859C6359-EEC7-425E-80AA-8B6E71F07EA2}">
                  <ac:imgData xmlns:ac="http://schemas.microsoft.com/office/drawing/2013/main/command" contentType="image/png" extension="">iVBORw0KGgoAAAANSUhEUgAAABEAAAAECAMAAABfqCTgAAAAAXNSR0IArs4c6QAAAARnQU1BAACx
jwv8YQUAAAAGUExURQAAAAAAAKVnuc8AAAACdFJOU/8A5bcwSgAAAAlwSFlzAAAOxAAADsQBlSsO
GwAAABlJREFUGFdjYIQABiCAspBEQKJYAVg9MgAABOwAFmnrWJQAAAAASUVORK5CYII=</ac:imgData>
                </a:ext>
                <a:ext uri="{25254902-B7B3-43ED-9DED-04A9389C662E}">
                  <ac:picSrcUrl xmlns:ac="http://schemas.microsoft.com/office/drawing/2013/main/command" tgt=""/>
                </a:ext>
              </a:extLst>
            </a:blip>
            <a:stretch>
              <a:fillRect/>
            </a:stretch>
          </xdr:blipFill>
          <xdr:spPr>
            <a:xfrm>
              <a:off x="10389762804" y="6623280"/>
              <a:ext cx="159090" cy="27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2:48:07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2041 1041 7041,'0'0'0,"-2"-4"1240,-2-8-1008,4 12-232,-5-4 72,0 0-32,0 0 8,0 1-24,5 3-24,-1-5 64,-2 1-64,3 0-16,0-2-24,0 6 40,0-13-56,0 2 24,4-3 56,-1-2-8,-3 16-16,5-17 8,7-1-32,-12-2-48,4 0-8,-4 20 80,11-23-152,-8-1-80,6-2 8,-4-1 32,-5 27 192,4-27-88,-2 0 120,3 0 72,0-1 48,-5 28-152,2-27 112,6-3 24,0 2 40,-8-2-16,0 30-160,5-32 144,7 0 48,-10 0-96,10 0-24,-12 32-72,2-31 104,11-1-120,-8 1 32,10-2-32,-15 33 16,11-31-32,-7 1 32,11 3-40,-11 3 24,-4 24 16,12-21-64,-5 1 0,2 3 24,-5 4-16,-4 13 56,3-13-16,2 7-40,6-8-24,-9 10-24,-2 4 104,5-11-136,7 8 32,-12-2-80,4 1 0,-4 4 184,14-3-168,-9 1-40,6 0 64,-6-1 40,-5 3 104,14-1-88,-3-2 24,-1 2 0,3-1 16,-13 2 48,15-3-48,-2 2-24,4-1 16,1 0-8,-18 2 64,16-3-80,3 0 0,0 0 40,-1 0-40,-18 3 80,20-1-64,2-1-72,-4 2-72,1 0 56,-19 0 152,20 0-168,-3 0 32,1 3 16,-2 2 24,-16-5 96,17 2-96,-1 3-64,-4 6-56,-1-8-129,-11-3 345,14 4-400,-10 9 80,13-10-48,-15 10 96,-2-13 272,11 2-184,-11 3 8,3-1 88,2 0 40,-5-4 48,0 3 16,0 1 40,0 1 184,-5 7 24,5-12-264,-16 3 200,4 10-56,-6-2-200,-3 1-40,21-12 96,-23 14-88,-10 2 40,-2 2 16,-4 3 16,39-21 16,-42 25 0,-4-1 48,-3 3 16,-6 0 40,55-27-104,-58 27 184,3 1-24,-8 1 56,-2 0-64,65-29-152,-67 33 96,-5 0-16,-2 2 0,-5 1 48,79-36-128,-78 34 169,-8 0 71,-3 0 0,4-2 40,85-32-280,-83 29 344,-3 1 136,5-3 136,4-1 24,77-26-640,-79 24 568,8-3-176,-1-1-88,7 0-48,65-20-256,-64 19 273,-4-2 55,8 3-152,-3-1-24,63-19-152,-62 20 128,2 2-120,2-2 80,0 1-128,58-21 40,-56 23 0,7-2 24,1-1-48,4-3 88,44-17-64,-37 17 8,5-3 56,4-2 40,3-8 24,25-4-128,-20 13 184,2-13 64,5 2 56,10 1 64,3-3-368,-5 0 376,1 0-72,4 0-160,0 0-88,0 0-56,2 0 40,3 0-128,11 0 80,0-3 8,-16 3 0,19-4 8,1-7 24,4 5-24,1-9-48,-25 15 40,28-12-64,5 1 0,1-2 48,3 0 16,-37 13 0,40-14-64,1-2 56,5 1-32,3-1-48,-49 16 88,48-18-88,2 1-88,-4-2-72,5-2-72,-51 21 320,48-22-408,1 1-64,-8 1-56,4 0-8,-45 20 536,39-18-409,-4 1 105,1 0 136,-10 1 56,-26 16 112,26-14-104,-5 1 40,-8 7 16,-8-5 72,-5 11-24,5-3 32,-3-1 88,-2 0-16,0-1-48,0 5-56,-2-4 88,-10 0-80,3-2 0,-5 2-16,14 4 8,-18-2 16,-5 1-40,0 1 32,-3 3 32,26-3-40,-25 4 0,-1 9 16,-2-9-8,0 12 16,28-16-24,-23 11 32,0 2 8,-3 0-16,3 1 24,23-14-48,-23 16 8,0-2-16,2 0 24,0 2-48,21-16 32,-14 14-16,1 0 16,1-1-16,5-2 24,7-11-8,-4 5 8,-1 9 24,2-11-48,3 1 0,0-4 16,0 3 104,5-3-96,0 0 136,6 0 32,-11 0-176,10-5 97,3-7 87,1-1-64,5-1-80,-19 14-40,20-17 32,1-3-16,-2 0-48,4-3-16,-23 23 48,19-24-24,-1-2-64,3-1-40,2 0 24,-23 27 104,21-27-97,-5 3 25,3 1 72,-5 2 80,-14 21-80,4-20 145,12 3 159,-13 3 24,-3 2 96,0 12-424,5-5 416,-3-1-80,-2 0-104,0 4-208,0 2-24,0-2-176,0 2-336,0 0 16,0 0 24,0 0 472,0 0-304,0 4 296,0 9 104,0-9 48,0-4-144,5 18 168,-5-4 24,2-1-88,2 1-40,-4-14-64,2 14 64,1 0-80,-1-1 56,3 0 24,-5-13-64,12 4 104,-11 10 56,2-11 24,9 1 48,-12-4-232,5 5 200,6-1 72,-7-1-48,11-3 56,-15 0-280,11 0 296,1 0-56,-1 0-32,1-2-88,-12 2-120,2-3 128,14-1 0,-11 0-8,9 0 0,-14 4-120,4-5 80,11 0 48,-13-7 56,9 10 25,-11 2-209,5-6 184,-3-6-48,3 8-32,-2-7-48,-3 11-56,3-4 192,2-8-32,-2 8-64,-3 0 112,0 4-208,0-12 128,0 9 8,-3-1 80,1 0-136,2 4-80,-3-4 88,0-1 40,0 4-32,1 1-24,2 0-72,-5 0 32,5 0-224,-2 0 32,-1 0 16,3 0 144,0 3-192,0 1 104,0 0-48,0 1 32,0-5 104,3 11-56,-1-8 40,3 1-24,-3 0-24,-2-4 64,11 5-48,-11-1 8,3-1 72,-1-3 0,-2 0-32,5 0 184,-5 0 72,2 0 16,-2-2 48,0 2-320,3-5 184,-1-8-96,0 1 56,-2 0-40,0 12-104,4-13 136,-4-1 0,0 1-8,0-1-8,0 14-120,-2-15 112,0 3 88,2-1-88,-2 7 56,2 6-168,-2-11 200,2 9-104,-3 1-80,3 0-96,0 1 80,0-2-208,0 2-16,3 0 104,10 4 56,-13-4 64,10 17 8,8-1-40,-4 4 32,9 3 0,-23-23 0,23 27-16,5 4 88,3 2-128,5 1 8,-36-34 48,38 34-96,3-1-96,3-2-472,5-3-1705,-49-28 2369,49 24-4945,6-4-1416,-55-20 6361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2:48:07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 27149,'0'0'0,"0"-24"-200,0 7-1048,0 4-1417,0 13 2665,27-4-5561,-6 4-5505,-21 0 11066</inkml:trace>
</inkml:ink>
</file>

<file path=xl/ink/ink3.xml><?xml version="1.0" encoding="utf-8"?>
<inkml:ink xmlns:inkml="http://www.w3.org/2003/InkML">
  <inkml:definitions/>
</inkml:ink>
</file>

<file path=xl/ink/ink4.xml><?xml version="1.0" encoding="utf-8"?>
<inkml:ink xmlns:inkml="http://www.w3.org/2003/InkML">
  <inkml:definitions/>
</inkml:ink>
</file>

<file path=xl/ink/ink5.xml><?xml version="1.0" encoding="utf-8"?>
<inkml:ink xmlns:inkml="http://www.w3.org/2003/InkML">
  <inkml:definitions/>
</inkml:ink>
</file>

<file path=xl/ink/ink6.xml><?xml version="1.0" encoding="utf-8"?>
<inkml:ink xmlns:inkml="http://www.w3.org/2003/InkML">
  <inkml:definitions/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1T02:49:38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38 8,'246'2'0,"-139"-3"896,-107 0 6937,0 1-7833,-135-27 12203,125 25-14812,3 0 3874,0 0-1017,-7 0-272,7 1-152,0 0-168,4 0-833,3 1 1177,0 0-2552,0 0-4474,0 0 1041,0 0 5985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zoomScale="130" zoomScaleNormal="100" zoomScaleSheetLayoutView="130" workbookViewId="0">
      <selection activeCell="F46" sqref="F4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226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5" t="s">
        <v>8</v>
      </c>
      <c r="C2" s="55" t="s">
        <v>14</v>
      </c>
      <c r="D2" s="55"/>
      <c r="E2" s="15" t="s">
        <v>7</v>
      </c>
      <c r="F2" s="50">
        <v>45920</v>
      </c>
      <c r="G2" s="50"/>
      <c r="H2" s="50"/>
      <c r="I2" s="50"/>
      <c r="J2" s="50"/>
    </row>
    <row r="3" spans="1:10" ht="30" customHeight="1" x14ac:dyDescent="0.3">
      <c r="B3" s="15" t="s">
        <v>9</v>
      </c>
      <c r="C3" s="55" t="s">
        <v>60</v>
      </c>
      <c r="D3" s="55"/>
      <c r="E3" s="15" t="s">
        <v>6</v>
      </c>
      <c r="F3" s="55" t="s">
        <v>123</v>
      </c>
      <c r="G3" s="55"/>
      <c r="H3" s="55"/>
      <c r="I3" s="55"/>
      <c r="J3" s="55"/>
    </row>
    <row r="4" spans="1:10" ht="30" customHeight="1" thickBot="1" x14ac:dyDescent="0.35">
      <c r="B4" s="6"/>
      <c r="C4" s="103" t="s">
        <v>227</v>
      </c>
      <c r="D4" s="103"/>
      <c r="E4" s="6"/>
      <c r="F4" s="7"/>
      <c r="G4" s="7"/>
      <c r="H4" s="8"/>
      <c r="I4" s="7"/>
      <c r="J4" s="7"/>
    </row>
    <row r="5" spans="1:10" ht="24.9" customHeight="1" x14ac:dyDescent="0.3">
      <c r="A5" s="13"/>
      <c r="B5" s="51" t="s">
        <v>0</v>
      </c>
      <c r="C5" s="52"/>
      <c r="D5" s="52"/>
      <c r="E5" s="64" t="s">
        <v>1</v>
      </c>
      <c r="F5" s="64"/>
      <c r="G5" s="64"/>
      <c r="H5" s="64"/>
      <c r="I5" s="64" t="s">
        <v>2</v>
      </c>
      <c r="J5" s="67"/>
    </row>
    <row r="6" spans="1:10" ht="24.9" customHeight="1" thickBot="1" x14ac:dyDescent="0.35">
      <c r="A6" s="13"/>
      <c r="B6" s="53"/>
      <c r="C6" s="54"/>
      <c r="D6" s="54"/>
      <c r="E6" s="14" t="s">
        <v>3</v>
      </c>
      <c r="F6" s="14" t="s">
        <v>4</v>
      </c>
      <c r="G6" s="14" t="s">
        <v>23</v>
      </c>
      <c r="H6" s="14" t="s">
        <v>24</v>
      </c>
      <c r="I6" s="68"/>
      <c r="J6" s="69"/>
    </row>
    <row r="7" spans="1:10" ht="24.9" customHeight="1" thickBot="1" x14ac:dyDescent="0.35">
      <c r="A7" s="13"/>
      <c r="B7" s="58" t="s">
        <v>21</v>
      </c>
      <c r="C7" s="59"/>
      <c r="D7" s="59"/>
      <c r="E7" s="33" t="s">
        <v>18</v>
      </c>
      <c r="F7" s="33" t="s">
        <v>19</v>
      </c>
      <c r="G7" s="33" t="s">
        <v>22</v>
      </c>
      <c r="H7" s="33" t="s">
        <v>20</v>
      </c>
      <c r="I7" s="70" t="s">
        <v>25</v>
      </c>
      <c r="J7" s="71"/>
    </row>
    <row r="8" spans="1:10" ht="30" customHeight="1" x14ac:dyDescent="0.3">
      <c r="A8" s="13"/>
      <c r="B8" s="89" t="s">
        <v>180</v>
      </c>
      <c r="C8" s="90"/>
      <c r="D8" s="90"/>
      <c r="E8" s="37"/>
      <c r="F8" s="38"/>
      <c r="G8" s="39"/>
      <c r="H8" s="40"/>
      <c r="I8" s="60"/>
      <c r="J8" s="61"/>
    </row>
    <row r="9" spans="1:10" ht="30" customHeight="1" x14ac:dyDescent="0.3">
      <c r="A9" s="13"/>
      <c r="B9" s="91" t="s">
        <v>181</v>
      </c>
      <c r="C9" s="92"/>
      <c r="D9" s="92"/>
      <c r="E9" s="36">
        <v>0</v>
      </c>
      <c r="F9" s="29" t="s">
        <v>17</v>
      </c>
      <c r="G9" s="34" t="str">
        <f>IFERROR(F9/E9,"")</f>
        <v/>
      </c>
      <c r="H9" s="35" t="str">
        <f>_xlfn.IFS(F9="أدخل العلامة","",F9="لا ينطبق","تم الإلغاء",G9&gt;=90%,"ممتاز",G9&gt;=80%,"جيد جداً",G9&gt;=70%,"جيد",G9&gt;=60%,"مقبول",G9&lt;60%,"راسب")</f>
        <v>تم الإلغاء</v>
      </c>
      <c r="I9" s="62"/>
      <c r="J9" s="63"/>
    </row>
    <row r="10" spans="1:10" ht="30" customHeight="1" x14ac:dyDescent="0.3">
      <c r="A10" s="13"/>
      <c r="B10" s="91" t="s">
        <v>182</v>
      </c>
      <c r="C10" s="92"/>
      <c r="D10" s="92"/>
      <c r="E10" s="36">
        <v>5</v>
      </c>
      <c r="F10" s="29">
        <v>3.75</v>
      </c>
      <c r="G10" s="34">
        <f t="shared" ref="G10:G53" si="0">IFERROR(F10/E10,"")</f>
        <v>0.75</v>
      </c>
      <c r="H10" s="35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62"/>
      <c r="J10" s="63"/>
    </row>
    <row r="11" spans="1:10" ht="30" customHeight="1" x14ac:dyDescent="0.3">
      <c r="A11" s="13"/>
      <c r="B11" s="91" t="s">
        <v>183</v>
      </c>
      <c r="C11" s="92"/>
      <c r="D11" s="92"/>
      <c r="E11" s="36">
        <v>0</v>
      </c>
      <c r="F11" s="29" t="s">
        <v>17</v>
      </c>
      <c r="G11" s="34" t="str">
        <f t="shared" si="0"/>
        <v/>
      </c>
      <c r="H11" s="35" t="str">
        <f t="shared" si="1"/>
        <v>تم الإلغاء</v>
      </c>
      <c r="I11" s="62"/>
      <c r="J11" s="63"/>
    </row>
    <row r="12" spans="1:10" ht="30" customHeight="1" x14ac:dyDescent="0.3">
      <c r="A12" s="13"/>
      <c r="B12" s="91" t="s">
        <v>184</v>
      </c>
      <c r="C12" s="92"/>
      <c r="D12" s="92"/>
      <c r="E12" s="36">
        <v>0</v>
      </c>
      <c r="F12" s="29" t="s">
        <v>17</v>
      </c>
      <c r="G12" s="34" t="str">
        <f t="shared" si="0"/>
        <v/>
      </c>
      <c r="H12" s="35" t="str">
        <f t="shared" si="1"/>
        <v>تم الإلغاء</v>
      </c>
      <c r="I12" s="62"/>
      <c r="J12" s="63"/>
    </row>
    <row r="13" spans="1:10" ht="30" customHeight="1" x14ac:dyDescent="0.3">
      <c r="A13" s="13"/>
      <c r="B13" s="91" t="s">
        <v>185</v>
      </c>
      <c r="C13" s="92"/>
      <c r="D13" s="92"/>
      <c r="E13" s="36">
        <v>0</v>
      </c>
      <c r="F13" s="29" t="s">
        <v>17</v>
      </c>
      <c r="G13" s="34" t="str">
        <f t="shared" si="0"/>
        <v/>
      </c>
      <c r="H13" s="35" t="str">
        <f t="shared" si="1"/>
        <v>تم الإلغاء</v>
      </c>
      <c r="I13" s="62"/>
      <c r="J13" s="63"/>
    </row>
    <row r="14" spans="1:10" ht="30" customHeight="1" thickBot="1" x14ac:dyDescent="0.35">
      <c r="A14" s="13"/>
      <c r="B14" s="93" t="s">
        <v>186</v>
      </c>
      <c r="C14" s="94"/>
      <c r="D14" s="94"/>
      <c r="E14" s="41">
        <v>0</v>
      </c>
      <c r="F14" s="32" t="s">
        <v>17</v>
      </c>
      <c r="G14" s="42" t="str">
        <f t="shared" si="0"/>
        <v/>
      </c>
      <c r="H14" s="43" t="str">
        <f t="shared" si="1"/>
        <v>تم الإلغاء</v>
      </c>
      <c r="I14" s="72"/>
      <c r="J14" s="73"/>
    </row>
    <row r="15" spans="1:10" ht="30" customHeight="1" x14ac:dyDescent="0.3">
      <c r="A15" s="13"/>
      <c r="B15" s="95" t="s">
        <v>187</v>
      </c>
      <c r="C15" s="96"/>
      <c r="D15" s="96"/>
      <c r="E15" s="37"/>
      <c r="F15" s="38"/>
      <c r="G15" s="39"/>
      <c r="H15" s="40"/>
      <c r="I15" s="60"/>
      <c r="J15" s="61"/>
    </row>
    <row r="16" spans="1:10" ht="30" customHeight="1" x14ac:dyDescent="0.3">
      <c r="A16" s="13"/>
      <c r="B16" s="91" t="s">
        <v>188</v>
      </c>
      <c r="C16" s="92"/>
      <c r="D16" s="92"/>
      <c r="E16" s="36">
        <v>5</v>
      </c>
      <c r="F16" s="29">
        <v>3.75</v>
      </c>
      <c r="G16" s="34">
        <f t="shared" si="0"/>
        <v>0.75</v>
      </c>
      <c r="H16" s="35" t="str">
        <f t="shared" si="1"/>
        <v>جيد</v>
      </c>
      <c r="I16" s="62"/>
      <c r="J16" s="63"/>
    </row>
    <row r="17" spans="1:10" ht="30" customHeight="1" x14ac:dyDescent="0.3">
      <c r="A17" s="13"/>
      <c r="B17" s="91" t="s">
        <v>189</v>
      </c>
      <c r="C17" s="92"/>
      <c r="D17" s="92"/>
      <c r="E17" s="36">
        <v>5</v>
      </c>
      <c r="F17" s="29">
        <v>3.5</v>
      </c>
      <c r="G17" s="34">
        <f t="shared" si="0"/>
        <v>0.7</v>
      </c>
      <c r="H17" s="35" t="str">
        <f t="shared" si="1"/>
        <v>جيد</v>
      </c>
      <c r="I17" s="62"/>
      <c r="J17" s="63"/>
    </row>
    <row r="18" spans="1:10" ht="30" customHeight="1" x14ac:dyDescent="0.3">
      <c r="A18" s="13"/>
      <c r="B18" s="91" t="s">
        <v>190</v>
      </c>
      <c r="C18" s="92"/>
      <c r="D18" s="92"/>
      <c r="E18" s="36">
        <v>0</v>
      </c>
      <c r="F18" s="29" t="s">
        <v>17</v>
      </c>
      <c r="G18" s="34" t="str">
        <f t="shared" si="0"/>
        <v/>
      </c>
      <c r="H18" s="35" t="str">
        <f t="shared" si="1"/>
        <v>تم الإلغاء</v>
      </c>
      <c r="I18" s="62"/>
      <c r="J18" s="63"/>
    </row>
    <row r="19" spans="1:10" ht="30" customHeight="1" x14ac:dyDescent="0.3">
      <c r="A19" s="13"/>
      <c r="B19" s="91" t="s">
        <v>191</v>
      </c>
      <c r="C19" s="92"/>
      <c r="D19" s="92"/>
      <c r="E19" s="36">
        <v>5</v>
      </c>
      <c r="F19" s="29">
        <v>3.5</v>
      </c>
      <c r="G19" s="34">
        <f t="shared" si="0"/>
        <v>0.7</v>
      </c>
      <c r="H19" s="35" t="str">
        <f t="shared" si="1"/>
        <v>جيد</v>
      </c>
      <c r="I19" s="62"/>
      <c r="J19" s="63"/>
    </row>
    <row r="20" spans="1:10" ht="30" customHeight="1" thickBot="1" x14ac:dyDescent="0.35">
      <c r="A20" s="13"/>
      <c r="B20" s="93" t="s">
        <v>192</v>
      </c>
      <c r="C20" s="94"/>
      <c r="D20" s="94"/>
      <c r="E20" s="41">
        <v>0</v>
      </c>
      <c r="F20" s="32" t="s">
        <v>17</v>
      </c>
      <c r="G20" s="42" t="str">
        <f t="shared" si="0"/>
        <v/>
      </c>
      <c r="H20" s="43" t="str">
        <f t="shared" si="1"/>
        <v>تم الإلغاء</v>
      </c>
      <c r="I20" s="72"/>
      <c r="J20" s="73"/>
    </row>
    <row r="21" spans="1:10" ht="30" customHeight="1" x14ac:dyDescent="0.3">
      <c r="A21" s="13"/>
      <c r="B21" s="95" t="s">
        <v>193</v>
      </c>
      <c r="C21" s="96"/>
      <c r="D21" s="96"/>
      <c r="E21" s="37"/>
      <c r="F21" s="38"/>
      <c r="G21" s="39"/>
      <c r="H21" s="40"/>
      <c r="I21" s="60"/>
      <c r="J21" s="61"/>
    </row>
    <row r="22" spans="1:10" ht="30" customHeight="1" x14ac:dyDescent="0.3">
      <c r="A22" s="13"/>
      <c r="B22" s="91" t="s">
        <v>194</v>
      </c>
      <c r="C22" s="92"/>
      <c r="D22" s="92"/>
      <c r="E22" s="36">
        <v>0</v>
      </c>
      <c r="F22" s="29" t="s">
        <v>17</v>
      </c>
      <c r="G22" s="34" t="str">
        <f t="shared" si="0"/>
        <v/>
      </c>
      <c r="H22" s="35" t="str">
        <f t="shared" si="1"/>
        <v>تم الإلغاء</v>
      </c>
      <c r="I22" s="62"/>
      <c r="J22" s="63"/>
    </row>
    <row r="23" spans="1:10" ht="30" customHeight="1" x14ac:dyDescent="0.3">
      <c r="A23" s="13"/>
      <c r="B23" s="91" t="s">
        <v>195</v>
      </c>
      <c r="C23" s="92"/>
      <c r="D23" s="92"/>
      <c r="E23" s="36">
        <v>0</v>
      </c>
      <c r="F23" s="29" t="s">
        <v>17</v>
      </c>
      <c r="G23" s="34" t="str">
        <f t="shared" si="0"/>
        <v/>
      </c>
      <c r="H23" s="35" t="str">
        <f t="shared" si="1"/>
        <v>تم الإلغاء</v>
      </c>
      <c r="I23" s="62"/>
      <c r="J23" s="63"/>
    </row>
    <row r="24" spans="1:10" ht="30" customHeight="1" thickBot="1" x14ac:dyDescent="0.35">
      <c r="A24" s="13"/>
      <c r="B24" s="93" t="s">
        <v>196</v>
      </c>
      <c r="C24" s="94"/>
      <c r="D24" s="94"/>
      <c r="E24" s="41">
        <v>0</v>
      </c>
      <c r="F24" s="32" t="s">
        <v>17</v>
      </c>
      <c r="G24" s="42" t="str">
        <f t="shared" si="0"/>
        <v/>
      </c>
      <c r="H24" s="43" t="str">
        <f t="shared" si="1"/>
        <v>تم الإلغاء</v>
      </c>
      <c r="I24" s="72"/>
      <c r="J24" s="73"/>
    </row>
    <row r="25" spans="1:10" ht="30" customHeight="1" x14ac:dyDescent="0.3">
      <c r="A25" s="13"/>
      <c r="B25" s="89" t="s">
        <v>197</v>
      </c>
      <c r="C25" s="90"/>
      <c r="D25" s="90"/>
      <c r="E25" s="37"/>
      <c r="F25" s="38"/>
      <c r="G25" s="39"/>
      <c r="H25" s="40"/>
      <c r="I25" s="60"/>
      <c r="J25" s="61"/>
    </row>
    <row r="26" spans="1:10" ht="30" customHeight="1" x14ac:dyDescent="0.3">
      <c r="A26" s="13"/>
      <c r="B26" s="91" t="s">
        <v>198</v>
      </c>
      <c r="C26" s="92"/>
      <c r="D26" s="92"/>
      <c r="E26" s="11">
        <v>0</v>
      </c>
      <c r="F26" s="29" t="s">
        <v>17</v>
      </c>
      <c r="G26" s="34" t="str">
        <f t="shared" si="0"/>
        <v/>
      </c>
      <c r="H26" s="35" t="str">
        <f t="shared" si="1"/>
        <v>تم الإلغاء</v>
      </c>
      <c r="I26" s="62"/>
      <c r="J26" s="63"/>
    </row>
    <row r="27" spans="1:10" ht="30" customHeight="1" x14ac:dyDescent="0.3">
      <c r="A27" s="13"/>
      <c r="B27" s="91" t="s">
        <v>199</v>
      </c>
      <c r="C27" s="92"/>
      <c r="D27" s="92"/>
      <c r="E27" s="11">
        <v>5</v>
      </c>
      <c r="F27" s="29">
        <v>4</v>
      </c>
      <c r="G27" s="34">
        <f t="shared" si="0"/>
        <v>0.8</v>
      </c>
      <c r="H27" s="35" t="str">
        <f t="shared" si="1"/>
        <v>جيد جداً</v>
      </c>
      <c r="I27" s="62"/>
      <c r="J27" s="63"/>
    </row>
    <row r="28" spans="1:10" ht="30" customHeight="1" x14ac:dyDescent="0.3">
      <c r="A28" s="13"/>
      <c r="B28" s="91" t="s">
        <v>200</v>
      </c>
      <c r="C28" s="92"/>
      <c r="D28" s="92"/>
      <c r="E28" s="11">
        <v>0</v>
      </c>
      <c r="F28" s="29" t="s">
        <v>17</v>
      </c>
      <c r="G28" s="34" t="str">
        <f t="shared" si="0"/>
        <v/>
      </c>
      <c r="H28" s="35" t="str">
        <f t="shared" si="1"/>
        <v>تم الإلغاء</v>
      </c>
      <c r="I28" s="62"/>
      <c r="J28" s="63"/>
    </row>
    <row r="29" spans="1:10" ht="30" customHeight="1" thickBot="1" x14ac:dyDescent="0.35">
      <c r="A29" s="13"/>
      <c r="B29" s="93" t="s">
        <v>201</v>
      </c>
      <c r="C29" s="94"/>
      <c r="D29" s="94"/>
      <c r="E29" s="45">
        <v>5</v>
      </c>
      <c r="F29" s="32">
        <v>3.5</v>
      </c>
      <c r="G29" s="42">
        <f t="shared" si="0"/>
        <v>0.7</v>
      </c>
      <c r="H29" s="43" t="str">
        <f t="shared" si="1"/>
        <v>جيد</v>
      </c>
      <c r="I29" s="72"/>
      <c r="J29" s="73"/>
    </row>
    <row r="30" spans="1:10" ht="30" customHeight="1" x14ac:dyDescent="0.3">
      <c r="A30" s="13"/>
      <c r="B30" s="95" t="s">
        <v>202</v>
      </c>
      <c r="C30" s="96"/>
      <c r="D30" s="96"/>
      <c r="E30" s="37"/>
      <c r="F30" s="38"/>
      <c r="G30" s="39"/>
      <c r="H30" s="40"/>
      <c r="I30" s="60"/>
      <c r="J30" s="61"/>
    </row>
    <row r="31" spans="1:10" ht="30" customHeight="1" x14ac:dyDescent="0.3">
      <c r="A31" s="13"/>
      <c r="B31" s="91" t="s">
        <v>203</v>
      </c>
      <c r="C31" s="92"/>
      <c r="D31" s="92"/>
      <c r="E31" s="36">
        <v>5</v>
      </c>
      <c r="F31" s="29">
        <v>3</v>
      </c>
      <c r="G31" s="34">
        <f t="shared" si="0"/>
        <v>0.6</v>
      </c>
      <c r="H31" s="35" t="str">
        <f t="shared" si="1"/>
        <v>مقبول</v>
      </c>
      <c r="I31" s="62"/>
      <c r="J31" s="63"/>
    </row>
    <row r="32" spans="1:10" ht="30" customHeight="1" x14ac:dyDescent="0.3">
      <c r="A32" s="13"/>
      <c r="B32" s="91" t="s">
        <v>204</v>
      </c>
      <c r="C32" s="92"/>
      <c r="D32" s="92"/>
      <c r="E32" s="36">
        <v>5</v>
      </c>
      <c r="F32" s="29">
        <v>3.5</v>
      </c>
      <c r="G32" s="34">
        <f t="shared" si="0"/>
        <v>0.7</v>
      </c>
      <c r="H32" s="35" t="str">
        <f t="shared" si="1"/>
        <v>جيد</v>
      </c>
      <c r="I32" s="62"/>
      <c r="J32" s="63"/>
    </row>
    <row r="33" spans="1:10" ht="30" customHeight="1" x14ac:dyDescent="0.3">
      <c r="A33" s="13"/>
      <c r="B33" s="91" t="s">
        <v>205</v>
      </c>
      <c r="C33" s="92"/>
      <c r="D33" s="92"/>
      <c r="E33" s="36">
        <v>5</v>
      </c>
      <c r="F33" s="29">
        <v>3.5</v>
      </c>
      <c r="G33" s="34">
        <f t="shared" si="0"/>
        <v>0.7</v>
      </c>
      <c r="H33" s="35" t="str">
        <f t="shared" si="1"/>
        <v>جيد</v>
      </c>
      <c r="I33" s="62"/>
      <c r="J33" s="63"/>
    </row>
    <row r="34" spans="1:10" ht="30" customHeight="1" x14ac:dyDescent="0.3">
      <c r="A34" s="13"/>
      <c r="B34" s="91" t="s">
        <v>206</v>
      </c>
      <c r="C34" s="92"/>
      <c r="D34" s="92"/>
      <c r="E34" s="36">
        <v>5</v>
      </c>
      <c r="F34" s="29">
        <v>3.5</v>
      </c>
      <c r="G34" s="34">
        <f t="shared" si="0"/>
        <v>0.7</v>
      </c>
      <c r="H34" s="35" t="str">
        <f t="shared" si="1"/>
        <v>جيد</v>
      </c>
      <c r="I34" s="62"/>
      <c r="J34" s="63"/>
    </row>
    <row r="35" spans="1:10" ht="30" customHeight="1" x14ac:dyDescent="0.3">
      <c r="A35" s="13"/>
      <c r="B35" s="91" t="s">
        <v>207</v>
      </c>
      <c r="C35" s="92"/>
      <c r="D35" s="92"/>
      <c r="E35" s="36">
        <v>5</v>
      </c>
      <c r="F35" s="29">
        <v>3.75</v>
      </c>
      <c r="G35" s="34">
        <f t="shared" si="0"/>
        <v>0.75</v>
      </c>
      <c r="H35" s="35" t="str">
        <f t="shared" si="1"/>
        <v>جيد</v>
      </c>
      <c r="I35" s="62"/>
      <c r="J35" s="63"/>
    </row>
    <row r="36" spans="1:10" ht="30" customHeight="1" thickBot="1" x14ac:dyDescent="0.35">
      <c r="A36" s="13"/>
      <c r="B36" s="93" t="s">
        <v>208</v>
      </c>
      <c r="C36" s="94"/>
      <c r="D36" s="94"/>
      <c r="E36" s="41">
        <v>5</v>
      </c>
      <c r="F36" s="32">
        <v>3</v>
      </c>
      <c r="G36" s="42">
        <f t="shared" si="0"/>
        <v>0.6</v>
      </c>
      <c r="H36" s="43" t="str">
        <f t="shared" si="1"/>
        <v>مقبول</v>
      </c>
      <c r="I36" s="72"/>
      <c r="J36" s="73"/>
    </row>
    <row r="37" spans="1:10" ht="30" customHeight="1" thickBot="1" x14ac:dyDescent="0.35">
      <c r="A37" s="13"/>
      <c r="B37" s="97" t="s">
        <v>209</v>
      </c>
      <c r="C37" s="98"/>
      <c r="D37" s="98"/>
      <c r="E37" s="46">
        <v>5</v>
      </c>
      <c r="F37" s="47">
        <v>3.5</v>
      </c>
      <c r="G37" s="48">
        <f t="shared" si="0"/>
        <v>0.7</v>
      </c>
      <c r="H37" s="31" t="str">
        <f t="shared" si="1"/>
        <v>جيد</v>
      </c>
      <c r="I37" s="65"/>
      <c r="J37" s="66"/>
    </row>
    <row r="38" spans="1:10" ht="30" customHeight="1" x14ac:dyDescent="0.3">
      <c r="A38" s="13"/>
      <c r="B38" s="95" t="s">
        <v>210</v>
      </c>
      <c r="C38" s="96"/>
      <c r="D38" s="96"/>
      <c r="E38" s="37"/>
      <c r="F38" s="38"/>
      <c r="G38" s="39"/>
      <c r="H38" s="40"/>
      <c r="I38" s="60"/>
      <c r="J38" s="61"/>
    </row>
    <row r="39" spans="1:10" ht="30" customHeight="1" x14ac:dyDescent="0.3">
      <c r="A39" s="13"/>
      <c r="B39" s="91" t="s">
        <v>211</v>
      </c>
      <c r="C39" s="92"/>
      <c r="D39" s="92"/>
      <c r="E39" s="36">
        <v>5</v>
      </c>
      <c r="F39" s="29">
        <v>3.5</v>
      </c>
      <c r="G39" s="34">
        <f t="shared" si="0"/>
        <v>0.7</v>
      </c>
      <c r="H39" s="35" t="str">
        <f t="shared" si="1"/>
        <v>جيد</v>
      </c>
      <c r="I39" s="62"/>
      <c r="J39" s="63"/>
    </row>
    <row r="40" spans="1:10" ht="30" customHeight="1" x14ac:dyDescent="0.3">
      <c r="A40" s="13"/>
      <c r="B40" s="91" t="s">
        <v>212</v>
      </c>
      <c r="C40" s="92"/>
      <c r="D40" s="92"/>
      <c r="E40" s="36">
        <v>5</v>
      </c>
      <c r="F40" s="29">
        <v>3.5</v>
      </c>
      <c r="G40" s="34">
        <f t="shared" si="0"/>
        <v>0.7</v>
      </c>
      <c r="H40" s="35" t="str">
        <f t="shared" si="1"/>
        <v>جيد</v>
      </c>
      <c r="I40" s="62"/>
      <c r="J40" s="63"/>
    </row>
    <row r="41" spans="1:10" ht="30" customHeight="1" x14ac:dyDescent="0.3">
      <c r="A41" s="13"/>
      <c r="B41" s="91" t="s">
        <v>213</v>
      </c>
      <c r="C41" s="92"/>
      <c r="D41" s="92"/>
      <c r="E41" s="36">
        <v>5</v>
      </c>
      <c r="F41" s="29">
        <v>3.5</v>
      </c>
      <c r="G41" s="34">
        <f t="shared" si="0"/>
        <v>0.7</v>
      </c>
      <c r="H41" s="35" t="str">
        <f t="shared" si="1"/>
        <v>جيد</v>
      </c>
      <c r="I41" s="62"/>
      <c r="J41" s="63"/>
    </row>
    <row r="42" spans="1:10" ht="30" customHeight="1" x14ac:dyDescent="0.3">
      <c r="A42" s="13"/>
      <c r="B42" s="91" t="s">
        <v>214</v>
      </c>
      <c r="C42" s="92"/>
      <c r="D42" s="92"/>
      <c r="E42" s="36">
        <v>5</v>
      </c>
      <c r="F42" s="29">
        <v>3.5</v>
      </c>
      <c r="G42" s="34">
        <f t="shared" si="0"/>
        <v>0.7</v>
      </c>
      <c r="H42" s="35" t="str">
        <f t="shared" si="1"/>
        <v>جيد</v>
      </c>
      <c r="I42" s="62"/>
      <c r="J42" s="63"/>
    </row>
    <row r="43" spans="1:10" ht="30" customHeight="1" x14ac:dyDescent="0.3">
      <c r="A43" s="13"/>
      <c r="B43" s="91" t="s">
        <v>215</v>
      </c>
      <c r="C43" s="92"/>
      <c r="D43" s="92"/>
      <c r="E43" s="36">
        <v>5</v>
      </c>
      <c r="F43" s="29">
        <v>3.75</v>
      </c>
      <c r="G43" s="34">
        <f t="shared" si="0"/>
        <v>0.75</v>
      </c>
      <c r="H43" s="35" t="str">
        <f t="shared" si="1"/>
        <v>جيد</v>
      </c>
      <c r="I43" s="62"/>
      <c r="J43" s="63"/>
    </row>
    <row r="44" spans="1:10" ht="30" customHeight="1" x14ac:dyDescent="0.3">
      <c r="A44" s="13"/>
      <c r="B44" s="91" t="s">
        <v>216</v>
      </c>
      <c r="C44" s="92"/>
      <c r="D44" s="92"/>
      <c r="E44" s="36">
        <v>5</v>
      </c>
      <c r="F44" s="29">
        <v>3.75</v>
      </c>
      <c r="G44" s="34">
        <f t="shared" si="0"/>
        <v>0.75</v>
      </c>
      <c r="H44" s="35" t="str">
        <f t="shared" si="1"/>
        <v>جيد</v>
      </c>
      <c r="I44" s="62"/>
      <c r="J44" s="63"/>
    </row>
    <row r="45" spans="1:10" ht="30" customHeight="1" x14ac:dyDescent="0.3">
      <c r="A45" s="13"/>
      <c r="B45" s="91" t="s">
        <v>217</v>
      </c>
      <c r="C45" s="92"/>
      <c r="D45" s="92"/>
      <c r="E45" s="36">
        <v>5</v>
      </c>
      <c r="F45" s="29">
        <v>3.5</v>
      </c>
      <c r="G45" s="34">
        <f t="shared" si="0"/>
        <v>0.7</v>
      </c>
      <c r="H45" s="35" t="str">
        <f t="shared" si="1"/>
        <v>جيد</v>
      </c>
      <c r="I45" s="62"/>
      <c r="J45" s="63"/>
    </row>
    <row r="46" spans="1:10" ht="30" customHeight="1" thickBot="1" x14ac:dyDescent="0.35">
      <c r="A46" s="13"/>
      <c r="B46" s="93" t="s">
        <v>218</v>
      </c>
      <c r="C46" s="94"/>
      <c r="D46" s="94"/>
      <c r="E46" s="41">
        <v>5</v>
      </c>
      <c r="F46" s="32">
        <v>4</v>
      </c>
      <c r="G46" s="42">
        <f t="shared" si="0"/>
        <v>0.8</v>
      </c>
      <c r="H46" s="43" t="str">
        <f t="shared" si="1"/>
        <v>جيد جداً</v>
      </c>
      <c r="I46" s="72"/>
      <c r="J46" s="73"/>
    </row>
    <row r="47" spans="1:10" ht="30" customHeight="1" thickBot="1" x14ac:dyDescent="0.35">
      <c r="A47" s="13"/>
      <c r="B47" s="97" t="s">
        <v>219</v>
      </c>
      <c r="C47" s="98"/>
      <c r="D47" s="98"/>
      <c r="E47" s="12">
        <v>5</v>
      </c>
      <c r="F47" s="47">
        <v>3.75</v>
      </c>
      <c r="G47" s="48">
        <f t="shared" si="0"/>
        <v>0.75</v>
      </c>
      <c r="H47" s="31" t="str">
        <f t="shared" si="1"/>
        <v>جيد</v>
      </c>
      <c r="I47" s="65"/>
      <c r="J47" s="66"/>
    </row>
    <row r="48" spans="1:10" ht="30" customHeight="1" x14ac:dyDescent="0.3">
      <c r="A48" s="13"/>
      <c r="B48" s="101" t="s">
        <v>220</v>
      </c>
      <c r="C48" s="102"/>
      <c r="D48" s="102"/>
      <c r="E48" s="44"/>
      <c r="F48" s="30"/>
      <c r="G48" s="10"/>
      <c r="H48" s="9"/>
      <c r="I48" s="80"/>
      <c r="J48" s="81"/>
    </row>
    <row r="49" spans="1:10" ht="30" customHeight="1" x14ac:dyDescent="0.3">
      <c r="A49" s="13"/>
      <c r="B49" s="91" t="s">
        <v>221</v>
      </c>
      <c r="C49" s="92"/>
      <c r="D49" s="92"/>
      <c r="E49" s="36">
        <v>0</v>
      </c>
      <c r="F49" s="29" t="s">
        <v>17</v>
      </c>
      <c r="G49" s="34" t="str">
        <f t="shared" si="0"/>
        <v/>
      </c>
      <c r="H49" s="35" t="str">
        <f t="shared" si="1"/>
        <v>تم الإلغاء</v>
      </c>
      <c r="I49" s="62"/>
      <c r="J49" s="63"/>
    </row>
    <row r="50" spans="1:10" ht="30" customHeight="1" x14ac:dyDescent="0.3">
      <c r="A50" s="13"/>
      <c r="B50" s="91" t="s">
        <v>222</v>
      </c>
      <c r="C50" s="92"/>
      <c r="D50" s="92"/>
      <c r="E50" s="36">
        <v>0</v>
      </c>
      <c r="F50" s="29" t="s">
        <v>17</v>
      </c>
      <c r="G50" s="34" t="str">
        <f t="shared" si="0"/>
        <v/>
      </c>
      <c r="H50" s="35" t="str">
        <f t="shared" si="1"/>
        <v>تم الإلغاء</v>
      </c>
      <c r="I50" s="62"/>
      <c r="J50" s="63"/>
    </row>
    <row r="51" spans="1:10" ht="30" customHeight="1" x14ac:dyDescent="0.3">
      <c r="A51" s="13"/>
      <c r="B51" s="91" t="s">
        <v>223</v>
      </c>
      <c r="C51" s="92"/>
      <c r="D51" s="92"/>
      <c r="E51" s="36">
        <v>0</v>
      </c>
      <c r="F51" s="29" t="s">
        <v>17</v>
      </c>
      <c r="G51" s="34" t="str">
        <f t="shared" si="0"/>
        <v/>
      </c>
      <c r="H51" s="35" t="str">
        <f t="shared" si="1"/>
        <v>تم الإلغاء</v>
      </c>
      <c r="I51" s="62"/>
      <c r="J51" s="63"/>
    </row>
    <row r="52" spans="1:10" ht="30" customHeight="1" x14ac:dyDescent="0.3">
      <c r="A52" s="13"/>
      <c r="B52" s="91" t="s">
        <v>224</v>
      </c>
      <c r="C52" s="92"/>
      <c r="D52" s="92"/>
      <c r="E52" s="36">
        <v>0</v>
      </c>
      <c r="F52" s="29" t="s">
        <v>17</v>
      </c>
      <c r="G52" s="34" t="str">
        <f t="shared" si="0"/>
        <v/>
      </c>
      <c r="H52" s="35" t="str">
        <f t="shared" si="1"/>
        <v>تم الإلغاء</v>
      </c>
      <c r="I52" s="62"/>
      <c r="J52" s="63"/>
    </row>
    <row r="53" spans="1:10" ht="30" customHeight="1" thickBot="1" x14ac:dyDescent="0.35">
      <c r="A53" s="13"/>
      <c r="B53" s="99" t="s">
        <v>225</v>
      </c>
      <c r="C53" s="100"/>
      <c r="D53" s="100"/>
      <c r="E53" s="41">
        <v>0</v>
      </c>
      <c r="F53" s="32" t="s">
        <v>17</v>
      </c>
      <c r="G53" s="42" t="str">
        <f t="shared" si="0"/>
        <v/>
      </c>
      <c r="H53" s="43" t="str">
        <f t="shared" si="1"/>
        <v>تم الإلغاء</v>
      </c>
      <c r="I53" s="72"/>
      <c r="J53" s="73"/>
    </row>
    <row r="54" spans="1:10" ht="30" customHeight="1" thickBot="1" x14ac:dyDescent="0.35">
      <c r="A54" s="4"/>
      <c r="B54" s="87" t="s">
        <v>5</v>
      </c>
      <c r="C54" s="88"/>
      <c r="D54" s="88"/>
      <c r="E54" s="12">
        <f>SUM(E8:E53)</f>
        <v>110</v>
      </c>
      <c r="F54" s="12">
        <f>SUM(F8:F53)</f>
        <v>78.5</v>
      </c>
      <c r="G54" s="84"/>
      <c r="H54" s="85"/>
      <c r="I54" s="85"/>
      <c r="J54" s="86"/>
    </row>
    <row r="55" spans="1:10" ht="30" customHeight="1" thickBot="1" x14ac:dyDescent="0.35">
      <c r="A55" s="4"/>
      <c r="B55" s="87" t="s">
        <v>54</v>
      </c>
      <c r="C55" s="88"/>
      <c r="D55" s="88"/>
      <c r="E55" s="56">
        <f>F54/E54/100*100</f>
        <v>0.71363636363636362</v>
      </c>
      <c r="F55" s="56"/>
      <c r="G55" s="56"/>
      <c r="H55" s="56"/>
      <c r="I55" s="56"/>
      <c r="J55" s="57"/>
    </row>
    <row r="56" spans="1:10" ht="30" customHeight="1" thickBot="1" x14ac:dyDescent="0.35">
      <c r="A56" s="4"/>
      <c r="B56" s="87" t="s">
        <v>55</v>
      </c>
      <c r="C56" s="88"/>
      <c r="D56" s="88"/>
      <c r="E56" s="78" t="str">
        <f>_xlfn.IFS(E55&gt;=90%,"ممتاز",E55&gt;=80%,"جيد جداً",E55&gt;=70%,"جيد",E55&gt;=60%,"مقبول",E55&lt;60%,"راسب")</f>
        <v>جيد</v>
      </c>
      <c r="F56" s="78"/>
      <c r="G56" s="78"/>
      <c r="H56" s="78"/>
      <c r="I56" s="78"/>
      <c r="J56" s="79"/>
    </row>
    <row r="57" spans="1:10" ht="42" customHeight="1" x14ac:dyDescent="0.3">
      <c r="B57" s="74" t="s">
        <v>174</v>
      </c>
      <c r="C57" s="74"/>
      <c r="D57" s="74"/>
      <c r="E57" s="82" t="s">
        <v>52</v>
      </c>
      <c r="F57" s="82"/>
      <c r="G57" s="76" t="s">
        <v>123</v>
      </c>
      <c r="H57" s="76"/>
      <c r="I57" s="76"/>
      <c r="J57" s="76"/>
    </row>
    <row r="58" spans="1:10" ht="51" customHeight="1" x14ac:dyDescent="0.3">
      <c r="A58" s="5"/>
      <c r="B58" s="75"/>
      <c r="C58" s="75"/>
      <c r="D58" s="75"/>
      <c r="E58" s="83" t="s">
        <v>53</v>
      </c>
      <c r="F58" s="83"/>
      <c r="G58" s="77"/>
      <c r="H58" s="77"/>
      <c r="I58" s="77"/>
      <c r="J58" s="77"/>
    </row>
  </sheetData>
  <sheetProtection formatCells="0" formatColumns="0" formatRows="0" insertColumns="0" insertRows="0" insertHyperlinks="0" deleteColumns="0" deleteRows="0" selectLockedCells="1" sort="0" autoFilter="0" pivotTables="0"/>
  <mergeCells count="114">
    <mergeCell ref="C4:D4"/>
    <mergeCell ref="B37:D37"/>
    <mergeCell ref="B38:D38"/>
    <mergeCell ref="B39:D39"/>
    <mergeCell ref="B40:D40"/>
    <mergeCell ref="B41:D41"/>
    <mergeCell ref="B42:D42"/>
    <mergeCell ref="B43:D43"/>
    <mergeCell ref="B53:D5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I32:J32"/>
    <mergeCell ref="I33:J33"/>
    <mergeCell ref="I34:J34"/>
    <mergeCell ref="I35:J35"/>
    <mergeCell ref="I36:J36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45:J45"/>
    <mergeCell ref="I46:J46"/>
    <mergeCell ref="I47:J47"/>
    <mergeCell ref="I48:J48"/>
    <mergeCell ref="E57:F57"/>
    <mergeCell ref="E58:F58"/>
    <mergeCell ref="G54:J54"/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14" priority="57">
      <formula>$E56="راسب"</formula>
    </cfRule>
  </conditionalFormatting>
  <conditionalFormatting sqref="E56:J56">
    <cfRule type="expression" dxfId="13" priority="58">
      <formula>$E56="مقبول"</formula>
    </cfRule>
    <cfRule type="expression" dxfId="12" priority="59">
      <formula>$E56="جيد"</formula>
    </cfRule>
    <cfRule type="expression" dxfId="11" priority="60">
      <formula>$E56="جيد جداً"</formula>
    </cfRule>
    <cfRule type="expression" dxfId="10" priority="61">
      <formula>$E56="ممتاز"</formula>
    </cfRule>
  </conditionalFormatting>
  <conditionalFormatting sqref="F8:F5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6" priority="15" operator="containsText" text="أدخل اسم المحكم">
      <formula>NOT(ISERROR(SEARCH("أدخل اسم المحكم",G57)))</formula>
    </cfRule>
  </conditionalFormatting>
  <conditionalFormatting sqref="H8:H5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F39:F47 F31:F37 F26:F29 F22:F24 F16:F20 F9:F14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2" t="s">
        <v>62</v>
      </c>
    </row>
    <row r="3" spans="1:3" ht="20.100000000000001" customHeight="1" thickBot="1" x14ac:dyDescent="0.35">
      <c r="A3" s="2" t="s">
        <v>26</v>
      </c>
      <c r="C3" s="22" t="s">
        <v>63</v>
      </c>
    </row>
    <row r="4" spans="1:3" ht="20.100000000000001" customHeight="1" thickBot="1" x14ac:dyDescent="0.35">
      <c r="A4" s="2" t="s">
        <v>36</v>
      </c>
      <c r="C4" s="22" t="s">
        <v>64</v>
      </c>
    </row>
    <row r="5" spans="1:3" ht="20.100000000000001" customHeight="1" thickBot="1" x14ac:dyDescent="0.35">
      <c r="A5" s="2" t="s">
        <v>37</v>
      </c>
      <c r="C5" s="22" t="s">
        <v>65</v>
      </c>
    </row>
    <row r="6" spans="1:3" ht="20.100000000000001" customHeight="1" thickBot="1" x14ac:dyDescent="0.35">
      <c r="A6" s="2" t="s">
        <v>38</v>
      </c>
      <c r="C6" s="22" t="s">
        <v>66</v>
      </c>
    </row>
    <row r="7" spans="1:3" ht="20.100000000000001" customHeight="1" thickBot="1" x14ac:dyDescent="0.35">
      <c r="A7" s="2" t="s">
        <v>39</v>
      </c>
      <c r="C7" s="22" t="s">
        <v>67</v>
      </c>
    </row>
    <row r="8" spans="1:3" ht="20.100000000000001" customHeight="1" thickBot="1" x14ac:dyDescent="0.35">
      <c r="A8" s="2" t="s">
        <v>40</v>
      </c>
      <c r="C8" s="22" t="s">
        <v>68</v>
      </c>
    </row>
    <row r="9" spans="1:3" ht="20.100000000000001" customHeight="1" thickBot="1" x14ac:dyDescent="0.35">
      <c r="A9" s="2" t="s">
        <v>41</v>
      </c>
      <c r="C9" s="22" t="s">
        <v>69</v>
      </c>
    </row>
    <row r="10" spans="1:3" ht="20.100000000000001" customHeight="1" thickBot="1" x14ac:dyDescent="0.35">
      <c r="A10" s="2" t="s">
        <v>42</v>
      </c>
      <c r="C10" s="22" t="s">
        <v>70</v>
      </c>
    </row>
    <row r="11" spans="1:3" ht="20.100000000000001" customHeight="1" thickBot="1" x14ac:dyDescent="0.35">
      <c r="A11" s="2" t="s">
        <v>43</v>
      </c>
      <c r="C11" s="22" t="s">
        <v>71</v>
      </c>
    </row>
    <row r="12" spans="1:3" ht="20.100000000000001" customHeight="1" thickBot="1" x14ac:dyDescent="0.35">
      <c r="A12" s="2" t="s">
        <v>44</v>
      </c>
      <c r="C12" s="22" t="s">
        <v>72</v>
      </c>
    </row>
    <row r="13" spans="1:3" ht="20.100000000000001" customHeight="1" thickBot="1" x14ac:dyDescent="0.35">
      <c r="A13" s="2" t="s">
        <v>45</v>
      </c>
      <c r="C13" s="22" t="s">
        <v>73</v>
      </c>
    </row>
    <row r="14" spans="1:3" ht="20.100000000000001" customHeight="1" thickBot="1" x14ac:dyDescent="0.35">
      <c r="A14" s="2" t="s">
        <v>46</v>
      </c>
      <c r="C14" s="22" t="s">
        <v>74</v>
      </c>
    </row>
    <row r="15" spans="1:3" ht="20.100000000000001" customHeight="1" thickBot="1" x14ac:dyDescent="0.35">
      <c r="A15" s="2" t="s">
        <v>47</v>
      </c>
      <c r="C15" s="22" t="s">
        <v>75</v>
      </c>
    </row>
    <row r="16" spans="1:3" ht="20.100000000000001" customHeight="1" thickBot="1" x14ac:dyDescent="0.35">
      <c r="A16" s="2" t="s">
        <v>10</v>
      </c>
      <c r="C16" s="22" t="s">
        <v>76</v>
      </c>
    </row>
    <row r="17" spans="1:3" ht="20.100000000000001" customHeight="1" thickBot="1" x14ac:dyDescent="0.35">
      <c r="A17" s="2" t="s">
        <v>27</v>
      </c>
      <c r="C17" s="22" t="s">
        <v>77</v>
      </c>
    </row>
    <row r="18" spans="1:3" ht="20.100000000000001" customHeight="1" thickBot="1" x14ac:dyDescent="0.35">
      <c r="A18" s="2" t="s">
        <v>48</v>
      </c>
      <c r="C18" s="22" t="s">
        <v>78</v>
      </c>
    </row>
    <row r="19" spans="1:3" ht="20.100000000000001" customHeight="1" thickBot="1" x14ac:dyDescent="0.35">
      <c r="A19" s="2" t="s">
        <v>49</v>
      </c>
      <c r="C19" s="22" t="s">
        <v>79</v>
      </c>
    </row>
    <row r="20" spans="1:3" ht="20.100000000000001" customHeight="1" thickBot="1" x14ac:dyDescent="0.35">
      <c r="A20" s="2" t="s">
        <v>50</v>
      </c>
      <c r="C20" s="22" t="s">
        <v>80</v>
      </c>
    </row>
    <row r="21" spans="1:3" ht="20.100000000000001" customHeight="1" thickBot="1" x14ac:dyDescent="0.35">
      <c r="A21" s="2" t="s">
        <v>51</v>
      </c>
      <c r="C21" s="22" t="s">
        <v>81</v>
      </c>
    </row>
    <row r="22" spans="1:3" ht="20.100000000000001" customHeight="1" thickBot="1" x14ac:dyDescent="0.35">
      <c r="A22" s="2" t="s">
        <v>11</v>
      </c>
      <c r="C22" s="22" t="s">
        <v>82</v>
      </c>
    </row>
    <row r="23" spans="1:3" ht="20.100000000000001" customHeight="1" thickBot="1" x14ac:dyDescent="0.35">
      <c r="A23" s="2" t="s">
        <v>12</v>
      </c>
      <c r="C23" s="22" t="s">
        <v>83</v>
      </c>
    </row>
    <row r="24" spans="1:3" ht="20.100000000000001" customHeight="1" thickBot="1" x14ac:dyDescent="0.35">
      <c r="A24" s="2" t="s">
        <v>15</v>
      </c>
      <c r="C24" s="22" t="s">
        <v>84</v>
      </c>
    </row>
    <row r="25" spans="1:3" ht="20.100000000000001" customHeight="1" thickBot="1" x14ac:dyDescent="0.35">
      <c r="A25" s="2" t="s">
        <v>28</v>
      </c>
      <c r="C25" s="22" t="s">
        <v>85</v>
      </c>
    </row>
    <row r="26" spans="1:3" ht="20.100000000000001" customHeight="1" thickBot="1" x14ac:dyDescent="0.35">
      <c r="A26" s="2" t="s">
        <v>29</v>
      </c>
      <c r="C26" s="22" t="s">
        <v>86</v>
      </c>
    </row>
    <row r="27" spans="1:3" ht="20.100000000000001" customHeight="1" thickBot="1" x14ac:dyDescent="0.35">
      <c r="A27" s="2" t="s">
        <v>13</v>
      </c>
      <c r="C27" s="22" t="s">
        <v>87</v>
      </c>
    </row>
    <row r="28" spans="1:3" ht="20.100000000000001" customHeight="1" thickBot="1" x14ac:dyDescent="0.35">
      <c r="A28" s="2" t="s">
        <v>30</v>
      </c>
      <c r="C28" s="22" t="s">
        <v>88</v>
      </c>
    </row>
    <row r="29" spans="1:3" ht="20.100000000000001" customHeight="1" thickBot="1" x14ac:dyDescent="0.35">
      <c r="A29" s="2" t="s">
        <v>31</v>
      </c>
      <c r="C29" s="22" t="s">
        <v>177</v>
      </c>
    </row>
    <row r="30" spans="1:3" ht="20.100000000000001" customHeight="1" thickBot="1" x14ac:dyDescent="0.35">
      <c r="A30" s="2" t="s">
        <v>32</v>
      </c>
      <c r="C30" s="22" t="s">
        <v>178</v>
      </c>
    </row>
    <row r="31" spans="1:3" ht="20.100000000000001" customHeight="1" thickBot="1" x14ac:dyDescent="0.35">
      <c r="A31" s="2" t="s">
        <v>33</v>
      </c>
      <c r="C31" s="22" t="s">
        <v>179</v>
      </c>
    </row>
    <row r="32" spans="1:3" ht="20.100000000000001" customHeight="1" thickBot="1" x14ac:dyDescent="0.35">
      <c r="A32" s="2" t="s">
        <v>16</v>
      </c>
      <c r="C32" s="22"/>
    </row>
    <row r="33" spans="1:9" ht="20.100000000000001" customHeight="1" thickBot="1" x14ac:dyDescent="0.35">
      <c r="A33" s="2" t="s">
        <v>14</v>
      </c>
      <c r="C33" s="22"/>
    </row>
    <row r="34" spans="1:9" ht="20.100000000000001" customHeight="1" thickBot="1" x14ac:dyDescent="0.35">
      <c r="A34" s="2" t="s">
        <v>34</v>
      </c>
      <c r="C34" s="22"/>
    </row>
    <row r="35" spans="1:9" ht="20.100000000000001" customHeight="1" x14ac:dyDescent="0.3">
      <c r="A35" s="21"/>
    </row>
    <row r="36" spans="1:9" s="20" customFormat="1" ht="20.100000000000001" customHeight="1" x14ac:dyDescent="0.3">
      <c r="A36" s="18"/>
      <c r="B36" s="19"/>
      <c r="C36" s="19"/>
      <c r="D36" s="19"/>
      <c r="E36" s="19"/>
      <c r="F36" s="19"/>
      <c r="G36" s="19"/>
      <c r="H36" s="19"/>
      <c r="I36" s="19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6">
        <v>45901</v>
      </c>
    </row>
    <row r="40" spans="1:9" ht="20.100000000000001" customHeight="1" thickBot="1" x14ac:dyDescent="0.35">
      <c r="A40" s="16">
        <v>45902</v>
      </c>
    </row>
    <row r="41" spans="1:9" ht="20.100000000000001" customHeight="1" thickBot="1" x14ac:dyDescent="0.35">
      <c r="A41" s="16">
        <v>45903</v>
      </c>
    </row>
    <row r="42" spans="1:9" ht="20.100000000000001" customHeight="1" thickBot="1" x14ac:dyDescent="0.35">
      <c r="A42" s="16">
        <v>45904</v>
      </c>
    </row>
    <row r="43" spans="1:9" ht="20.100000000000001" customHeight="1" thickBot="1" x14ac:dyDescent="0.35">
      <c r="A43" s="16">
        <v>45905</v>
      </c>
    </row>
    <row r="44" spans="1:9" ht="20.100000000000001" customHeight="1" thickBot="1" x14ac:dyDescent="0.35">
      <c r="A44" s="16">
        <v>45906</v>
      </c>
    </row>
    <row r="45" spans="1:9" ht="20.100000000000001" customHeight="1" thickBot="1" x14ac:dyDescent="0.35">
      <c r="A45" s="16">
        <v>45907</v>
      </c>
    </row>
    <row r="46" spans="1:9" ht="20.100000000000001" customHeight="1" thickBot="1" x14ac:dyDescent="0.35">
      <c r="A46" s="16">
        <v>45908</v>
      </c>
    </row>
    <row r="47" spans="1:9" ht="20.100000000000001" customHeight="1" thickBot="1" x14ac:dyDescent="0.35">
      <c r="A47" s="16">
        <v>45909</v>
      </c>
    </row>
    <row r="48" spans="1:9" ht="20.100000000000001" customHeight="1" thickBot="1" x14ac:dyDescent="0.35">
      <c r="A48" s="16">
        <v>45910</v>
      </c>
    </row>
    <row r="49" spans="1:1" ht="20.100000000000001" customHeight="1" thickBot="1" x14ac:dyDescent="0.35">
      <c r="A49" s="16">
        <v>45911</v>
      </c>
    </row>
    <row r="50" spans="1:1" ht="20.100000000000001" customHeight="1" thickBot="1" x14ac:dyDescent="0.35">
      <c r="A50" s="16">
        <v>45912</v>
      </c>
    </row>
    <row r="51" spans="1:1" ht="20.100000000000001" customHeight="1" thickBot="1" x14ac:dyDescent="0.35">
      <c r="A51" s="16">
        <v>45913</v>
      </c>
    </row>
    <row r="52" spans="1:1" ht="20.100000000000001" customHeight="1" thickBot="1" x14ac:dyDescent="0.35">
      <c r="A52" s="16">
        <v>45914</v>
      </c>
    </row>
    <row r="53" spans="1:1" ht="20.100000000000001" customHeight="1" thickBot="1" x14ac:dyDescent="0.35">
      <c r="A53" s="16">
        <v>45915</v>
      </c>
    </row>
    <row r="54" spans="1:1" ht="20.100000000000001" customHeight="1" thickBot="1" x14ac:dyDescent="0.35">
      <c r="A54" s="16">
        <v>45916</v>
      </c>
    </row>
    <row r="55" spans="1:1" ht="20.100000000000001" customHeight="1" thickBot="1" x14ac:dyDescent="0.35">
      <c r="A55" s="16">
        <v>45917</v>
      </c>
    </row>
    <row r="56" spans="1:1" ht="20.100000000000001" customHeight="1" thickBot="1" x14ac:dyDescent="0.35">
      <c r="A56" s="16">
        <v>45918</v>
      </c>
    </row>
    <row r="57" spans="1:1" ht="20.100000000000001" customHeight="1" thickBot="1" x14ac:dyDescent="0.35">
      <c r="A57" s="16">
        <v>45919</v>
      </c>
    </row>
    <row r="58" spans="1:1" ht="20.100000000000001" customHeight="1" thickBot="1" x14ac:dyDescent="0.35">
      <c r="A58" s="16">
        <v>45920</v>
      </c>
    </row>
    <row r="59" spans="1:1" ht="20.100000000000001" customHeight="1" thickBot="1" x14ac:dyDescent="0.35">
      <c r="A59" s="16">
        <v>45921</v>
      </c>
    </row>
    <row r="60" spans="1:1" ht="20.100000000000001" customHeight="1" thickBot="1" x14ac:dyDescent="0.35">
      <c r="A60" s="16">
        <v>45922</v>
      </c>
    </row>
    <row r="61" spans="1:1" ht="20.100000000000001" customHeight="1" thickBot="1" x14ac:dyDescent="0.35">
      <c r="A61" s="16">
        <v>45923</v>
      </c>
    </row>
    <row r="62" spans="1:1" ht="20.100000000000001" customHeight="1" thickBot="1" x14ac:dyDescent="0.35">
      <c r="A62" s="16">
        <v>45924</v>
      </c>
    </row>
    <row r="63" spans="1:1" ht="20.100000000000001" customHeight="1" thickBot="1" x14ac:dyDescent="0.35">
      <c r="A63" s="16">
        <v>45925</v>
      </c>
    </row>
    <row r="64" spans="1:1" ht="20.100000000000001" customHeight="1" thickBot="1" x14ac:dyDescent="0.35">
      <c r="A64" s="16">
        <v>45926</v>
      </c>
    </row>
    <row r="65" spans="1:1" ht="20.100000000000001" customHeight="1" thickBot="1" x14ac:dyDescent="0.35">
      <c r="A65" s="16">
        <v>45927</v>
      </c>
    </row>
    <row r="66" spans="1:1" ht="20.100000000000001" customHeight="1" thickBot="1" x14ac:dyDescent="0.35">
      <c r="A66" s="16">
        <v>45928</v>
      </c>
    </row>
    <row r="67" spans="1:1" ht="20.100000000000001" customHeight="1" thickBot="1" x14ac:dyDescent="0.35">
      <c r="A67" s="16">
        <v>45929</v>
      </c>
    </row>
    <row r="68" spans="1:1" ht="20.100000000000001" customHeight="1" thickBot="1" x14ac:dyDescent="0.35">
      <c r="A68" s="16">
        <v>45930</v>
      </c>
    </row>
    <row r="69" spans="1:1" ht="20.100000000000001" customHeight="1" thickBot="1" x14ac:dyDescent="0.35">
      <c r="A69" s="16">
        <v>45931</v>
      </c>
    </row>
    <row r="70" spans="1:1" ht="20.100000000000001" customHeight="1" thickBot="1" x14ac:dyDescent="0.35">
      <c r="A70" s="16">
        <v>45932</v>
      </c>
    </row>
    <row r="71" spans="1:1" ht="20.100000000000001" customHeight="1" thickBot="1" x14ac:dyDescent="0.35">
      <c r="A71" s="16">
        <v>45933</v>
      </c>
    </row>
    <row r="72" spans="1:1" ht="20.100000000000001" customHeight="1" thickBot="1" x14ac:dyDescent="0.35">
      <c r="A72" s="16">
        <v>45934</v>
      </c>
    </row>
    <row r="73" spans="1:1" ht="20.100000000000001" customHeight="1" thickBot="1" x14ac:dyDescent="0.35">
      <c r="A73" s="16">
        <v>45935</v>
      </c>
    </row>
    <row r="74" spans="1:1" ht="20.100000000000001" customHeight="1" thickBot="1" x14ac:dyDescent="0.35">
      <c r="A74" s="16">
        <v>45936</v>
      </c>
    </row>
    <row r="75" spans="1:1" ht="20.100000000000001" customHeight="1" thickBot="1" x14ac:dyDescent="0.35">
      <c r="A75" s="16">
        <v>45937</v>
      </c>
    </row>
    <row r="76" spans="1:1" ht="20.100000000000001" customHeight="1" thickBot="1" x14ac:dyDescent="0.35">
      <c r="A76" s="16">
        <v>45938</v>
      </c>
    </row>
    <row r="77" spans="1:1" ht="20.100000000000001" customHeight="1" thickBot="1" x14ac:dyDescent="0.35">
      <c r="A77" s="16">
        <v>45939</v>
      </c>
    </row>
    <row r="78" spans="1:1" ht="20.100000000000001" customHeight="1" thickBot="1" x14ac:dyDescent="0.35">
      <c r="A78" s="16">
        <v>45940</v>
      </c>
    </row>
    <row r="79" spans="1:1" ht="20.100000000000001" customHeight="1" thickBot="1" x14ac:dyDescent="0.35">
      <c r="A79" s="16">
        <v>45941</v>
      </c>
    </row>
    <row r="80" spans="1:1" ht="20.100000000000001" customHeight="1" thickBot="1" x14ac:dyDescent="0.35">
      <c r="A80" s="16">
        <v>45942</v>
      </c>
    </row>
    <row r="81" spans="1:1" ht="20.100000000000001" customHeight="1" thickBot="1" x14ac:dyDescent="0.35">
      <c r="A81" s="16">
        <v>45943</v>
      </c>
    </row>
    <row r="82" spans="1:1" ht="20.100000000000001" customHeight="1" thickBot="1" x14ac:dyDescent="0.35">
      <c r="A82" s="16">
        <v>45944</v>
      </c>
    </row>
    <row r="83" spans="1:1" ht="20.100000000000001" customHeight="1" thickBot="1" x14ac:dyDescent="0.35">
      <c r="A83" s="16">
        <v>45945</v>
      </c>
    </row>
    <row r="84" spans="1:1" ht="20.100000000000001" customHeight="1" thickBot="1" x14ac:dyDescent="0.35">
      <c r="A84" s="16">
        <v>45946</v>
      </c>
    </row>
    <row r="85" spans="1:1" ht="20.100000000000001" customHeight="1" thickBot="1" x14ac:dyDescent="0.35">
      <c r="A85" s="16">
        <v>45947</v>
      </c>
    </row>
    <row r="86" spans="1:1" ht="20.100000000000001" customHeight="1" thickBot="1" x14ac:dyDescent="0.35">
      <c r="A86" s="16">
        <v>45948</v>
      </c>
    </row>
    <row r="87" spans="1:1" ht="20.100000000000001" customHeight="1" thickBot="1" x14ac:dyDescent="0.35">
      <c r="A87" s="16">
        <v>45949</v>
      </c>
    </row>
    <row r="88" spans="1:1" ht="20.100000000000001" customHeight="1" thickBot="1" x14ac:dyDescent="0.35">
      <c r="A88" s="16">
        <v>45950</v>
      </c>
    </row>
    <row r="89" spans="1:1" ht="20.100000000000001" customHeight="1" thickBot="1" x14ac:dyDescent="0.35">
      <c r="A89" s="16">
        <v>45951</v>
      </c>
    </row>
    <row r="90" spans="1:1" ht="20.100000000000001" customHeight="1" thickBot="1" x14ac:dyDescent="0.35">
      <c r="A90" s="16">
        <v>45952</v>
      </c>
    </row>
    <row r="91" spans="1:1" ht="20.100000000000001" customHeight="1" thickBot="1" x14ac:dyDescent="0.35">
      <c r="A91" s="16">
        <v>45953</v>
      </c>
    </row>
    <row r="92" spans="1:1" ht="20.100000000000001" customHeight="1" thickBot="1" x14ac:dyDescent="0.35">
      <c r="A92" s="16">
        <v>45954</v>
      </c>
    </row>
    <row r="93" spans="1:1" ht="20.100000000000001" customHeight="1" thickBot="1" x14ac:dyDescent="0.35">
      <c r="A93" s="16">
        <v>45955</v>
      </c>
    </row>
    <row r="94" spans="1:1" ht="20.100000000000001" customHeight="1" thickBot="1" x14ac:dyDescent="0.35">
      <c r="A94" s="16">
        <v>45956</v>
      </c>
    </row>
    <row r="95" spans="1:1" ht="20.100000000000001" customHeight="1" thickBot="1" x14ac:dyDescent="0.35">
      <c r="A95" s="16">
        <v>45957</v>
      </c>
    </row>
    <row r="96" spans="1:1" ht="20.100000000000001" customHeight="1" thickBot="1" x14ac:dyDescent="0.35">
      <c r="A96" s="16">
        <v>45958</v>
      </c>
    </row>
    <row r="97" spans="1:9" ht="20.100000000000001" customHeight="1" thickBot="1" x14ac:dyDescent="0.35">
      <c r="A97" s="16">
        <v>45959</v>
      </c>
    </row>
    <row r="98" spans="1:9" ht="20.100000000000001" customHeight="1" thickBot="1" x14ac:dyDescent="0.35">
      <c r="A98" s="16">
        <v>45960</v>
      </c>
    </row>
    <row r="99" spans="1:9" ht="20.100000000000001" customHeight="1" thickBot="1" x14ac:dyDescent="0.35">
      <c r="A99" s="16">
        <v>45961</v>
      </c>
    </row>
    <row r="100" spans="1:9" ht="20.100000000000001" customHeight="1" thickBot="1" x14ac:dyDescent="0.35">
      <c r="A100" s="16">
        <v>45962</v>
      </c>
    </row>
    <row r="101" spans="1:9" ht="20.100000000000001" customHeight="1" thickBot="1" x14ac:dyDescent="0.35">
      <c r="A101" s="16">
        <v>45963</v>
      </c>
    </row>
    <row r="102" spans="1:9" ht="20.100000000000001" customHeight="1" thickBot="1" x14ac:dyDescent="0.35">
      <c r="A102" s="16">
        <v>45964</v>
      </c>
    </row>
    <row r="103" spans="1:9" ht="20.100000000000001" customHeight="1" thickBot="1" x14ac:dyDescent="0.35">
      <c r="A103" s="16">
        <v>45965</v>
      </c>
    </row>
    <row r="104" spans="1:9" ht="20.100000000000001" customHeight="1" thickBot="1" x14ac:dyDescent="0.35">
      <c r="A104" s="16">
        <v>45966</v>
      </c>
    </row>
    <row r="105" spans="1:9" ht="20.100000000000001" customHeight="1" thickBot="1" x14ac:dyDescent="0.35">
      <c r="A105" s="16">
        <v>45967</v>
      </c>
    </row>
    <row r="106" spans="1:9" ht="20.100000000000001" customHeight="1" thickBot="1" x14ac:dyDescent="0.35">
      <c r="A106" s="16">
        <v>45968</v>
      </c>
    </row>
    <row r="107" spans="1:9" ht="20.100000000000001" customHeight="1" x14ac:dyDescent="0.3">
      <c r="A107" s="17"/>
    </row>
    <row r="108" spans="1:9" ht="20.100000000000001" customHeight="1" x14ac:dyDescent="0.3">
      <c r="A108" s="17"/>
    </row>
    <row r="109" spans="1:9" s="20" customFormat="1" ht="20.100000000000001" customHeight="1" x14ac:dyDescent="0.3">
      <c r="A109" s="18"/>
      <c r="B109" s="19"/>
      <c r="C109" s="19"/>
      <c r="D109" s="19"/>
      <c r="E109" s="19"/>
      <c r="F109" s="19"/>
      <c r="G109" s="19"/>
      <c r="H109" s="19"/>
      <c r="I109" s="19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3" t="s">
        <v>89</v>
      </c>
    </row>
    <row r="200" spans="1:1" ht="20.100000000000001" customHeight="1" x14ac:dyDescent="0.3">
      <c r="A200" s="23" t="s">
        <v>90</v>
      </c>
    </row>
    <row r="201" spans="1:1" ht="20.100000000000001" customHeight="1" x14ac:dyDescent="0.3">
      <c r="A201" s="23" t="s">
        <v>91</v>
      </c>
    </row>
    <row r="202" spans="1:1" ht="20.100000000000001" customHeight="1" x14ac:dyDescent="0.3">
      <c r="A202" s="23" t="s">
        <v>92</v>
      </c>
    </row>
    <row r="203" spans="1:1" ht="20.100000000000001" customHeight="1" x14ac:dyDescent="0.3">
      <c r="A203" s="23" t="s">
        <v>93</v>
      </c>
    </row>
    <row r="204" spans="1:1" ht="20.100000000000001" customHeight="1" x14ac:dyDescent="0.3">
      <c r="A204" s="23" t="s">
        <v>94</v>
      </c>
    </row>
    <row r="205" spans="1:1" ht="20.100000000000001" customHeight="1" x14ac:dyDescent="0.3">
      <c r="A205" s="23" t="s">
        <v>95</v>
      </c>
    </row>
    <row r="206" spans="1:1" ht="20.100000000000001" customHeight="1" x14ac:dyDescent="0.3">
      <c r="A206" s="23" t="s">
        <v>96</v>
      </c>
    </row>
    <row r="207" spans="1:1" ht="20.100000000000001" customHeight="1" x14ac:dyDescent="0.3">
      <c r="A207" s="23" t="s">
        <v>97</v>
      </c>
    </row>
    <row r="208" spans="1:1" ht="20.100000000000001" customHeight="1" x14ac:dyDescent="0.3">
      <c r="A208" s="24" t="s">
        <v>98</v>
      </c>
    </row>
    <row r="209" spans="1:1" ht="20.100000000000001" customHeight="1" x14ac:dyDescent="0.3">
      <c r="A209" s="24" t="s">
        <v>99</v>
      </c>
    </row>
    <row r="210" spans="1:1" ht="20.100000000000001" customHeight="1" x14ac:dyDescent="0.3">
      <c r="A210" s="23" t="s">
        <v>100</v>
      </c>
    </row>
    <row r="211" spans="1:1" ht="20.100000000000001" customHeight="1" x14ac:dyDescent="0.3">
      <c r="A211" s="23" t="s">
        <v>101</v>
      </c>
    </row>
    <row r="212" spans="1:1" ht="20.100000000000001" customHeight="1" x14ac:dyDescent="0.3">
      <c r="A212" s="23" t="s">
        <v>175</v>
      </c>
    </row>
    <row r="213" spans="1:1" ht="20.100000000000001" customHeight="1" x14ac:dyDescent="0.3">
      <c r="A213" s="23" t="s">
        <v>102</v>
      </c>
    </row>
    <row r="214" spans="1:1" ht="20.100000000000001" customHeight="1" x14ac:dyDescent="0.3">
      <c r="A214" s="23" t="s">
        <v>103</v>
      </c>
    </row>
    <row r="215" spans="1:1" ht="20.100000000000001" customHeight="1" x14ac:dyDescent="0.3">
      <c r="A215" s="23" t="s">
        <v>104</v>
      </c>
    </row>
    <row r="216" spans="1:1" ht="20.100000000000001" customHeight="1" x14ac:dyDescent="0.3">
      <c r="A216" s="23" t="s">
        <v>105</v>
      </c>
    </row>
    <row r="217" spans="1:1" ht="20.100000000000001" customHeight="1" x14ac:dyDescent="0.3">
      <c r="A217" s="23" t="s">
        <v>106</v>
      </c>
    </row>
    <row r="218" spans="1:1" ht="20.100000000000001" customHeight="1" x14ac:dyDescent="0.3">
      <c r="A218" s="23" t="s">
        <v>107</v>
      </c>
    </row>
    <row r="219" spans="1:1" ht="20.100000000000001" customHeight="1" x14ac:dyDescent="0.3">
      <c r="A219" s="23" t="s">
        <v>108</v>
      </c>
    </row>
    <row r="220" spans="1:1" ht="20.100000000000001" customHeight="1" x14ac:dyDescent="0.3">
      <c r="A220" s="23" t="s">
        <v>109</v>
      </c>
    </row>
    <row r="221" spans="1:1" ht="20.100000000000001" customHeight="1" x14ac:dyDescent="0.3">
      <c r="A221" s="23" t="s">
        <v>110</v>
      </c>
    </row>
    <row r="222" spans="1:1" ht="20.100000000000001" customHeight="1" x14ac:dyDescent="0.3">
      <c r="A222" s="23" t="s">
        <v>111</v>
      </c>
    </row>
    <row r="223" spans="1:1" ht="20.100000000000001" customHeight="1" x14ac:dyDescent="0.3">
      <c r="A223" s="23" t="s">
        <v>112</v>
      </c>
    </row>
    <row r="224" spans="1:1" ht="20.100000000000001" customHeight="1" x14ac:dyDescent="0.3">
      <c r="A224" s="23" t="s">
        <v>176</v>
      </c>
    </row>
    <row r="225" spans="1:1" ht="20.100000000000001" customHeight="1" x14ac:dyDescent="0.3">
      <c r="A225" s="23" t="s">
        <v>113</v>
      </c>
    </row>
    <row r="226" spans="1:1" ht="20.100000000000001" customHeight="1" x14ac:dyDescent="0.3">
      <c r="A226" s="23" t="s">
        <v>114</v>
      </c>
    </row>
    <row r="227" spans="1:1" ht="20.100000000000001" customHeight="1" x14ac:dyDescent="0.3">
      <c r="A227" s="23" t="s">
        <v>115</v>
      </c>
    </row>
    <row r="228" spans="1:1" ht="20.100000000000001" customHeight="1" x14ac:dyDescent="0.3">
      <c r="A228" s="23" t="s">
        <v>116</v>
      </c>
    </row>
    <row r="229" spans="1:1" ht="20.100000000000001" customHeight="1" x14ac:dyDescent="0.3">
      <c r="A229" s="23" t="s">
        <v>117</v>
      </c>
    </row>
    <row r="230" spans="1:1" ht="20.100000000000001" customHeight="1" x14ac:dyDescent="0.3">
      <c r="A230" s="23" t="s">
        <v>118</v>
      </c>
    </row>
    <row r="231" spans="1:1" ht="20.100000000000001" customHeight="1" x14ac:dyDescent="0.3">
      <c r="A231" s="23" t="s">
        <v>119</v>
      </c>
    </row>
    <row r="232" spans="1:1" ht="20.100000000000001" customHeight="1" x14ac:dyDescent="0.3">
      <c r="A232" s="23" t="s">
        <v>120</v>
      </c>
    </row>
    <row r="233" spans="1:1" ht="20.100000000000001" customHeight="1" x14ac:dyDescent="0.3">
      <c r="A233" s="23" t="s">
        <v>121</v>
      </c>
    </row>
    <row r="234" spans="1:1" ht="20.100000000000001" customHeight="1" x14ac:dyDescent="0.3">
      <c r="A234" s="23" t="s">
        <v>122</v>
      </c>
    </row>
    <row r="235" spans="1:1" ht="20.100000000000001" customHeight="1" x14ac:dyDescent="0.3">
      <c r="A235" s="23" t="s">
        <v>123</v>
      </c>
    </row>
    <row r="236" spans="1:1" ht="20.100000000000001" customHeight="1" x14ac:dyDescent="0.3">
      <c r="A236" s="25" t="s">
        <v>124</v>
      </c>
    </row>
    <row r="237" spans="1:1" ht="20.100000000000001" customHeight="1" x14ac:dyDescent="0.3">
      <c r="A237" s="23" t="s">
        <v>125</v>
      </c>
    </row>
    <row r="238" spans="1:1" ht="20.100000000000001" customHeight="1" x14ac:dyDescent="0.3">
      <c r="A238" s="23" t="s">
        <v>126</v>
      </c>
    </row>
    <row r="239" spans="1:1" ht="20.100000000000001" customHeight="1" x14ac:dyDescent="0.3">
      <c r="A239" s="23" t="s">
        <v>127</v>
      </c>
    </row>
    <row r="240" spans="1:1" ht="20.100000000000001" customHeight="1" x14ac:dyDescent="0.3">
      <c r="A240" s="23" t="s">
        <v>128</v>
      </c>
    </row>
    <row r="241" spans="1:1" ht="20.100000000000001" customHeight="1" x14ac:dyDescent="0.3">
      <c r="A241" s="23" t="s">
        <v>129</v>
      </c>
    </row>
    <row r="242" spans="1:1" ht="20.100000000000001" customHeight="1" x14ac:dyDescent="0.3">
      <c r="A242" s="23" t="s">
        <v>130</v>
      </c>
    </row>
    <row r="243" spans="1:1" ht="20.100000000000001" customHeight="1" x14ac:dyDescent="0.3">
      <c r="A243" s="23" t="s">
        <v>131</v>
      </c>
    </row>
    <row r="244" spans="1:1" ht="20.100000000000001" customHeight="1" x14ac:dyDescent="0.3">
      <c r="A244" s="23" t="s">
        <v>132</v>
      </c>
    </row>
    <row r="245" spans="1:1" ht="20.100000000000001" customHeight="1" x14ac:dyDescent="0.3">
      <c r="A245" s="23" t="s">
        <v>133</v>
      </c>
    </row>
    <row r="246" spans="1:1" ht="20.100000000000001" customHeight="1" x14ac:dyDescent="0.3">
      <c r="A246" s="23" t="s">
        <v>134</v>
      </c>
    </row>
    <row r="247" spans="1:1" ht="20.100000000000001" customHeight="1" x14ac:dyDescent="0.3">
      <c r="A247" s="23" t="s">
        <v>135</v>
      </c>
    </row>
    <row r="248" spans="1:1" ht="20.100000000000001" customHeight="1" x14ac:dyDescent="0.3">
      <c r="A248" s="23" t="s">
        <v>126</v>
      </c>
    </row>
    <row r="249" spans="1:1" ht="20.100000000000001" customHeight="1" x14ac:dyDescent="0.3">
      <c r="A249" s="23" t="s">
        <v>136</v>
      </c>
    </row>
    <row r="250" spans="1:1" ht="20.100000000000001" customHeight="1" x14ac:dyDescent="0.3">
      <c r="A250" s="23" t="s">
        <v>137</v>
      </c>
    </row>
    <row r="251" spans="1:1" ht="20.100000000000001" customHeight="1" x14ac:dyDescent="0.3">
      <c r="A251" s="25" t="s">
        <v>138</v>
      </c>
    </row>
    <row r="252" spans="1:1" ht="20.100000000000001" customHeight="1" x14ac:dyDescent="0.3">
      <c r="A252" s="26" t="s">
        <v>139</v>
      </c>
    </row>
    <row r="253" spans="1:1" ht="20.100000000000001" customHeight="1" x14ac:dyDescent="0.3">
      <c r="A253" s="23" t="s">
        <v>140</v>
      </c>
    </row>
    <row r="254" spans="1:1" ht="20.100000000000001" customHeight="1" x14ac:dyDescent="0.3">
      <c r="A254" s="23" t="s">
        <v>141</v>
      </c>
    </row>
    <row r="255" spans="1:1" ht="20.100000000000001" customHeight="1" x14ac:dyDescent="0.3">
      <c r="A255" s="27" t="s">
        <v>142</v>
      </c>
    </row>
    <row r="256" spans="1:1" ht="20.100000000000001" customHeight="1" x14ac:dyDescent="0.3">
      <c r="A256" s="27" t="s">
        <v>143</v>
      </c>
    </row>
    <row r="257" spans="1:1" ht="20.100000000000001" customHeight="1" x14ac:dyDescent="0.3">
      <c r="A257" s="28" t="s">
        <v>144</v>
      </c>
    </row>
    <row r="258" spans="1:1" ht="20.100000000000001" customHeight="1" x14ac:dyDescent="0.3">
      <c r="A258" s="23" t="s">
        <v>145</v>
      </c>
    </row>
    <row r="259" spans="1:1" ht="20.100000000000001" customHeight="1" x14ac:dyDescent="0.3">
      <c r="A259" s="28" t="s">
        <v>146</v>
      </c>
    </row>
    <row r="260" spans="1:1" ht="20.100000000000001" customHeight="1" x14ac:dyDescent="0.3">
      <c r="A260" s="23" t="s">
        <v>147</v>
      </c>
    </row>
    <row r="261" spans="1:1" ht="20.100000000000001" customHeight="1" x14ac:dyDescent="0.3">
      <c r="A261" s="28" t="s">
        <v>148</v>
      </c>
    </row>
    <row r="262" spans="1:1" ht="20.100000000000001" customHeight="1" x14ac:dyDescent="0.3">
      <c r="A262" s="23" t="s">
        <v>149</v>
      </c>
    </row>
    <row r="263" spans="1:1" ht="20.100000000000001" customHeight="1" x14ac:dyDescent="0.3">
      <c r="A263" s="23" t="s">
        <v>150</v>
      </c>
    </row>
    <row r="264" spans="1:1" ht="20.100000000000001" customHeight="1" x14ac:dyDescent="0.3">
      <c r="A264" s="28" t="s">
        <v>151</v>
      </c>
    </row>
    <row r="265" spans="1:1" ht="20.100000000000001" customHeight="1" x14ac:dyDescent="0.3">
      <c r="A265" s="28" t="s">
        <v>152</v>
      </c>
    </row>
    <row r="266" spans="1:1" ht="20.100000000000001" customHeight="1" x14ac:dyDescent="0.3">
      <c r="A266" s="28" t="s">
        <v>153</v>
      </c>
    </row>
    <row r="267" spans="1:1" ht="20.100000000000001" customHeight="1" x14ac:dyDescent="0.3">
      <c r="A267" s="23" t="s">
        <v>154</v>
      </c>
    </row>
    <row r="268" spans="1:1" ht="20.100000000000001" customHeight="1" x14ac:dyDescent="0.3">
      <c r="A268" s="23" t="s">
        <v>155</v>
      </c>
    </row>
    <row r="269" spans="1:1" ht="20.100000000000001" customHeight="1" x14ac:dyDescent="0.3">
      <c r="A269" s="23" t="s">
        <v>156</v>
      </c>
    </row>
    <row r="270" spans="1:1" ht="20.100000000000001" customHeight="1" x14ac:dyDescent="0.3">
      <c r="A270" s="23" t="s">
        <v>157</v>
      </c>
    </row>
    <row r="271" spans="1:1" ht="20.100000000000001" customHeight="1" x14ac:dyDescent="0.3">
      <c r="A271" s="28" t="s">
        <v>158</v>
      </c>
    </row>
    <row r="272" spans="1:1" ht="20.100000000000001" customHeight="1" x14ac:dyDescent="0.3">
      <c r="A272" s="28" t="s">
        <v>159</v>
      </c>
    </row>
    <row r="273" spans="1:1" ht="20.100000000000001" customHeight="1" x14ac:dyDescent="0.3">
      <c r="A273" s="23" t="s">
        <v>160</v>
      </c>
    </row>
    <row r="274" spans="1:1" ht="20.100000000000001" customHeight="1" x14ac:dyDescent="0.3">
      <c r="A274" s="28" t="s">
        <v>161</v>
      </c>
    </row>
    <row r="275" spans="1:1" ht="20.100000000000001" customHeight="1" x14ac:dyDescent="0.3">
      <c r="A275" s="28" t="s">
        <v>162</v>
      </c>
    </row>
    <row r="276" spans="1:1" ht="20.100000000000001" customHeight="1" x14ac:dyDescent="0.3">
      <c r="A276" s="23" t="s">
        <v>163</v>
      </c>
    </row>
    <row r="277" spans="1:1" ht="20.100000000000001" customHeight="1" x14ac:dyDescent="0.3">
      <c r="A277" s="23" t="s">
        <v>164</v>
      </c>
    </row>
    <row r="278" spans="1:1" ht="20.100000000000001" customHeight="1" x14ac:dyDescent="0.3">
      <c r="A278" s="28" t="s">
        <v>165</v>
      </c>
    </row>
    <row r="279" spans="1:1" ht="20.100000000000001" customHeight="1" x14ac:dyDescent="0.3">
      <c r="A279" s="23" t="s">
        <v>166</v>
      </c>
    </row>
    <row r="280" spans="1:1" ht="20.100000000000001" customHeight="1" x14ac:dyDescent="0.3">
      <c r="A280" s="23" t="s">
        <v>167</v>
      </c>
    </row>
    <row r="281" spans="1:1" ht="20.100000000000001" customHeight="1" x14ac:dyDescent="0.3">
      <c r="A281" s="23" t="s">
        <v>168</v>
      </c>
    </row>
    <row r="282" spans="1:1" ht="20.100000000000001" customHeight="1" x14ac:dyDescent="0.3">
      <c r="A282" s="23" t="s">
        <v>169</v>
      </c>
    </row>
    <row r="283" spans="1:1" ht="20.100000000000001" customHeight="1" x14ac:dyDescent="0.3">
      <c r="A283" s="28" t="s">
        <v>170</v>
      </c>
    </row>
    <row r="284" spans="1:1" ht="20.100000000000001" customHeight="1" x14ac:dyDescent="0.3">
      <c r="A284" s="28" t="s">
        <v>171</v>
      </c>
    </row>
    <row r="285" spans="1:1" ht="20.100000000000001" customHeight="1" x14ac:dyDescent="0.3">
      <c r="A285" s="28" t="s">
        <v>172</v>
      </c>
    </row>
    <row r="286" spans="1:1" ht="20.100000000000001" customHeight="1" thickBot="1" x14ac:dyDescent="0.35">
      <c r="A286" s="23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2025-10-21T18:02:59Z</dcterms:modified>
</cp:coreProperties>
</file>