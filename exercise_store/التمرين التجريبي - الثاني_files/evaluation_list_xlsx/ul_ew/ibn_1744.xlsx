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2C996529-0DE7-3D42-98AB-E4BDDBF0FA72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8" i="2"/>
  <c r="H8" i="2"/>
  <c r="F19" i="2"/>
  <c r="E19" i="2"/>
  <c r="E20" i="2"/>
  <c r="E21" i="2"/>
</calcChain>
</file>

<file path=xl/sharedStrings.xml><?xml version="1.0" encoding="utf-8"?>
<sst xmlns="http://schemas.openxmlformats.org/spreadsheetml/2006/main" count="249" uniqueCount="193">
  <si>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</si>
  <si>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</si>
  <si>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</si>
  <si>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</si>
  <si>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</si>
  <si>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</si>
  <si>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</si>
  <si>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</si>
  <si>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</si>
  <si>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</si>
  <si>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</si>
  <si>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</si>
  <si>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</si>
  <si>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</si>
  <si>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</si>
  <si>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</si>
  <si>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</si>
  <si>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</si>
  <si>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</si>
  <si>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</si>
  <si>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</si>
  <si>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</si>
  <si>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</si>
  <si>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</si>
  <si>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</si>
  <si>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</si>
  <si>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</si>
  <si>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</si>
  <si>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</si>
  <si>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</si>
  <si>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</si>
  <si>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</si>
  <si>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</si>
  <si>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</si>
  <si>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</si>
  <si>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</si>
  <si>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</si>
  <si>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</si>
  <si>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</si>
  <si>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</si>
  <si>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</si>
  <si>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</si>
  <si>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</si>
  <si>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</si>
  <si>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</si>
  <si>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</si>
  <si>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</si>
  <si>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</si>
  <si>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</si>
  <si>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</si>
  <si>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</si>
  <si>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</si>
  <si>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</si>
  <si>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</si>
  <si>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</si>
  <si>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</si>
  <si>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</si>
  <si>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</si>
  <si>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</si>
  <si>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</si>
  <si>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</si>
  <si>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</si>
  <si>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</si>
  <si>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</si>
  <si>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</si>
  <si>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</si>
  <si>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</si>
  <si>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</si>
  <si>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</si>
  <si>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</si>
  <si>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</si>
  <si>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</si>
  <si>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</si>
  <si>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</si>
  <si>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</si>
  <si>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</si>
  <si>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</si>
  <si>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</si>
  <si>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</si>
  <si>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</si>
  <si>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</si>
  <si>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</si>
  <si>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</si>
  <si>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</si>
  <si>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</si>
  <si>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</si>
  <si>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</si>
  <si>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</si>
  <si>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</si>
  <si>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</si>
  <si>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</si>
  <si>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</si>
  <si>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</si>
  <si>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</si>
  <si>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</si>
  <si>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</si>
  <si>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</si>
  <si>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</si>
  <si>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</si>
  <si>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</si>
  <si>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</si>
  <si>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</si>
  <si>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</si>
  <si>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</si>
  <si>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</si>
  <si>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</si>
  <si>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</si>
  <si>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</si>
  <si>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</si>
  <si>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</si>
  <si>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</si>
  <si>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</si>
  <si>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</si>
  <si>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</si>
  <si>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</si>
  <si>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</si>
  <si>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</si>
  <si>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</si>
  <si>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</si>
  <si>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</si>
  <si>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</si>
  <si>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</si>
  <si>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</si>
  <si>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</si>
  <si>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</si>
  <si>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</si>
  <si>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</si>
  <si>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</si>
  <si>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</si>
  <si>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</si>
  <si>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</si>
  <si>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</si>
  <si>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</si>
  <si>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</si>
  <si>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</si>
  <si>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</si>
  <si>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</si>
  <si>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</si>
  <si>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</si>
  <si>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</si>
  <si>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</si>
  <si>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</si>
  <si>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</si>
  <si>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</si>
  <si>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</si>
  <si>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</si>
  <si>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</si>
  <si>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</si>
  <si>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</si>
  <si>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</si>
  <si>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</si>
  <si>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</si>
  <si>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</si>
  <si>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</si>
  <si>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</si>
  <si>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</si>
  <si>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</si>
  <si>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</si>
  <si>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</si>
  <si>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</si>
  <si>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</si>
  <si>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</si>
  <si>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</si>
  <si>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</si>
  <si>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</si>
  <si>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</si>
  <si>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</si>
  <si>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</si>
  <si>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</si>
  <si>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</si>
  <si>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</si>
  <si>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</si>
  <si>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</si>
  <si>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</si>
  <si>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</si>
  <si>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</si>
  <si>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</si>
  <si>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</si>
  <si>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</si>
  <si>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</si>
  <si>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الحرب الإلكترونية في التنقل التعبوي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</si>
  <si>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يتأكد قائد السرية من التشكيل النهائي للحركة.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</si>
  <si>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فحص الأجهزة اللاسلكية وتأسيس الاتصال بين قائد السرية وقادة الفصائل.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</si>
  <si>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التنسيق مع ركن العمليات مجموعة اللواء فيما يخص التنقل من منطقة الحشد إلى منطقة التجمع.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</si>
  <si>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مراقبة الاتصالات الصديقة لتحري السرية والامن.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</si>
  <si>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معالجة نائب قائد السرية أي معضلة قد تواجه أليات السرية.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</si>
  <si>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تنسيق نائب قائد السرية مع فرق الإنقاذ في حالة حدوث عطل في الأليات.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</si>
  <si>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تخصيص عدد (2) آلية قتال لتأمين المحطة أثناء الصيانة.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</si>
  <si>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متابعة سير الأعمال.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</si>
  <si>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تحقيق الاتصال بين قائد السرية وقائد مجموعة اللواء وركن استخبارات مجموعة اللواء.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</si>
  <si>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التقيد بالسرعة المحددة.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</si>
  <si>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التقيد بالطرق المحددة.</t>
    </r>
  </si>
  <si>
    <t>نقيب مهندس سلطان سعيد النيادي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</si>
</sst>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5" borderId="3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526785</xdr:colOff>
      <xdr:row>22</xdr:row>
      <xdr:rowOff>107508</xdr:rowOff>
    </xdr:from>
    <xdr:to>
      <xdr:col>8</xdr:col>
      <xdr:colOff>143724</xdr:colOff>
      <xdr:row>22</xdr:row>
      <xdr:rowOff>642468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3B1DB6F-AB51-309B-385C-1ECAF7605E76}"/>
                </a:ext>
              </a:extLst>
            </xdr14:cNvPr>
            <xdr14:cNvContentPartPr/>
          </xdr14:nvContentPartPr>
          <xdr14:nvPr macro=""/>
          <xdr14:xfrm>
            <a:off x="10399101185" y="9147600"/>
            <a:ext cx="933120" cy="534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3B1DB6F-AB51-309B-385C-1ECAF7605E7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95065" y="9141480"/>
              <a:ext cx="945360" cy="54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492225</xdr:colOff>
      <xdr:row>22</xdr:row>
      <xdr:rowOff>273468</xdr:rowOff>
    </xdr:from>
    <xdr:to>
      <xdr:col>6</xdr:col>
      <xdr:colOff>507345</xdr:colOff>
      <xdr:row>22</xdr:row>
      <xdr:rowOff>297948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F00740A-049B-F835-1944-3178D9531D4F}"/>
                </a:ext>
              </a:extLst>
            </xdr14:cNvPr>
            <xdr14:cNvContentPartPr/>
          </xdr14:nvContentPartPr>
          <xdr14:nvPr macro=""/>
          <xdr14:xfrm>
            <a:off x="10400053745" y="9313560"/>
            <a:ext cx="15120" cy="24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F00740A-049B-F835-1944-3178D9531D4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47625" y="9307440"/>
              <a:ext cx="27360" cy="36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21:42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1894 1157 9962,'0'0'0,"-15"-19"2168,3 2-1944,-2-3-304,14 20 80,-10-15-64,8-1 32,2-7-16,-5-4 144,5 27-96,-5-31 128,3-5 32,-1-1 144,1-2 48,2 39-352,-5-42 424,5 0-104,0-5-312,-2-6-96,2 53 88,0-55-144,0-4-56,0 3 160,0 2 40,0 54 0,0-50-48,0 4 32,0 4 0,0 5 0,0 37 16,2-36-24,3 3 48,-3 4-24,1 0-8,-3 29 8,5-25 8,7-1-136,-7 5-48,9 2-72,-14 19 248,10-17-328,2 2-104,0 2-88,2 1-16,-14 12 536,14-4-560,3-2 56,0 2 160,2 1-193,-19 3 537,20-1-728,1 1 0,3 0-64,0 11 208,-24-11 584,27 5-296,-1 12 88,1-5 136,2 3 72,-29-15 0,26 15-24,1-2 24,4 1-88,-7-1 48,-24-13 40,26 11-8,1-6-8,2 10 56,-3-12-24,-26-3-16,24 12-32,0-10 32,0 1-32,0-3-8,-24 0 40,20 0-48,1 0-64,-2 0-24,-4 0-64,-15 0 200,12 0-281,-5 0-15,-4 0-8,1 3 40,-4-3 264,0 0-32,0 3 120,-2 1 104,-10 0 64,12-4-256,-15 12 136,-4-8-120,-5 9-16,-2 1 0,26-14 0,-34 17-8,-7 3 56,0 1-32,-12 5 16,53-26-32,-53 27 48,-7 1-16,-5 4 48,-7 0-63,72-32-17,-77 33 72,-5 1-24,-4 0-16,-1 3-8,87-37-24,-91 40-8,-3 0 24,0 1 40,-2-3 112,96-38-168,-99 40 128,1-1-160,-1 2-16,-2 1-120,101-42 168,-94 45-112,-2-1 112,7-2 8,10 1-72,79-43 64,-75 41-72,8 2 40,4-2-9,6 0 49,57-41-8,-61 43 9,6-2 15,5-4-24,4-3 32,46-34-32,-39 29 24,6-5-8,6-4 0,10-5-8,17-15-8,-14 5 0,9 7-48,3-12-8,2 0-121,0 0 177,7 0-208,10 0 48,0 0 64,2-1 144,-19 1-48,26-6 88,1-8-16,4 0-120,-2-2-56,-29 16 104,34-18-144,-1-2-48,6 0 40,2-3 24,-41 23 128,33-24-104,3 0 24,-4 0 40,-3 2-24,-29 22 64,28-22-24,-3-1 24,-1 2-8,-3-1 32,-21 22-24,17-18 8,-2 1 72,-13 2 32,3 11 128,-5 4-240,2-11 256,-2 9 16,0 1 32,-5 1-71,5 0-233,-9 0 184,-3 0-64,-3 3-88,-2 0-72,17-3 40,-16 11-80,-4-7-48,-1 15 48,-3-4-1,24-15 81,-29 17-24,0 2 40,2-1-8,-4 2-8,31-20 0,-31 16 16,2 0 8,-5-2-24,10-3 33,24-11-33,-24 12 72,0-1-72,12-7 24,-5 8-16,17-12-8,-4 0-16,1 2 32,-2-2-40,3 0-48,2 0 72,0 0-129,5-1 33,9-5 8,-2-8 24,-12 14 64,17-16 0,2-1 8,5-4 40,5 0-16,-29 21-32,27-24 32,1 1-32,-3 0-32,-1 0 72,-24 23-40,24-22 72,-3-4-8,1 0 17,-3 1-1,-19 25-80,22-27 48,-10 0 0,5 0 16,-8 0-40,-9 27-24,5-24 80,0-1-16,9 6 24,-14 3-32,0 16-56,0-11 128,0 8 32,0 0-8,0 3-104,0 0-48,0 0-40,0 0-48,0 11-16,0 2 104,0-13 0,0 17-72,3 4 32,2 5 8,7 1-24,-12-27 56,9 30 16,3-2-32,3 1-40,-3-4 32,-12-25 24,14 23-88,-2-4-8,3-2 16,-1-3-16,-14-14 96,10 11-64,2-7 0,-7 8-1,7-12 17,-12 0 48,0 0-16,0 0 96,0 0 25,2-2-1,-2 2-104,0-11 72,2-3 24,1-5-8,-3-5 0,0 24-88,2-27 144,-2 0-24,0-1 40,0 1 48,0 27-208,-5-26 184,1-1-32,-8 2 0,-1 0 88,13 25-240,-4-21 352,-6 4 160,5 6 120,5 6-96,0 5-536,-2-5 416,-1 0-208,3 4-216,0 1-112,0 0 120,5 0-136,-5 3 24,15 1 32,-11 12 48,-4-16 32,15 11-32,-3 3-8,2 3 0,-2-1 8,-12-16 32,12 16-24,0-2-8,-7-10-16,7 9-8,-12-13 56,5 0-80,-3 3 24,1 0-40,2-1 0,-5-2 96,5 0-128,-5 0-48,0 0 48,0 0 8,0 0 120,4-1-48,-1-3 24,-1-8 16,1 7 16,-3 5-8,4-19 16,8 2 0,-12-1 16,5-4-24,-5 22-8,5-21 32,-3 1 8,3 0-8,-2 5 0,-3 15-32,4-13 0,-4 9 16,0-2-24,3 2-16,-3 4 24,0-3 24,2 1 0,1 2-24,1 0 0,-4 0 0,12 0-48,-2 0 48,5 12-8,4-8 48,-19-4-40,24 20 16,0-6-32,7 3 8,-2-1-48,-29-16 56,36 17-40,0-2-40,0 3 56,5 0-96,-41-18 120,43 19-152,6-2-88,-1 0-536,2-5-3113,-50-12 3889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21:42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67 17779,'0'0'0,"0"0"0,-22-30 1961,7 12-2729,11 1-1161,4 15-1031,0 2 2960,14 23-7882,-14-23 7882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3"/>
  <sheetViews>
    <sheetView rightToLeft="1" tabSelected="1" view="pageBreakPreview" topLeftCell="C1" zoomScale="130" zoomScaleNormal="100" zoomScaleSheetLayoutView="130" workbookViewId="0">
      <selection activeCell="D4" sqref="D4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41" t="s">
        <v>180</v>
      </c>
      <c r="C1" s="41"/>
      <c r="D1" s="41"/>
      <c r="E1" s="41"/>
      <c r="F1" s="41"/>
      <c r="G1" s="41"/>
      <c r="H1" s="41"/>
      <c r="I1" s="41"/>
      <c r="J1" s="41"/>
    </row>
    <row r="2" spans="1:10" ht="30" customHeight="1">
      <c r="B2" s="12" t="s">
        <v>8</v>
      </c>
      <c r="C2" s="47" t="s">
        <v>14</v>
      </c>
      <c r="D2" s="47"/>
      <c r="E2" s="12" t="s">
        <v>7</v>
      </c>
      <c r="F2" s="42">
        <v>45952</v>
      </c>
      <c r="G2" s="42"/>
      <c r="H2" s="42"/>
      <c r="I2" s="42"/>
      <c r="J2" s="42"/>
    </row>
    <row r="3" spans="1:10" ht="30" customHeight="1">
      <c r="B3" s="12" t="s">
        <v>9</v>
      </c>
      <c r="C3" s="47" t="s">
        <v>60</v>
      </c>
      <c r="D3" s="47"/>
      <c r="E3" s="12" t="s">
        <v>6</v>
      </c>
      <c r="F3" s="47" t="s">
        <v>123</v>
      </c>
      <c r="G3" s="47"/>
      <c r="H3" s="47"/>
      <c r="I3" s="47"/>
      <c r="J3" s="47"/>
    </row>
    <row r="4" spans="1:10" ht="30" customHeight="1" thickBot="1">
      <c r="B4" s="6"/>
      <c r="C4" s="7"/>
      <c r="D4" s="7" t="s">
        <v>192</v>
      </c>
      <c r="E4" s="6"/>
      <c r="F4" s="7"/>
      <c r="G4" s="7"/>
      <c r="H4" s="8"/>
      <c r="I4" s="7"/>
      <c r="J4" s="7"/>
    </row>
    <row r="5" spans="1:10" ht="24.95" customHeight="1">
      <c r="A5" s="10"/>
      <c r="B5" s="43" t="s">
        <v>0</v>
      </c>
      <c r="C5" s="44"/>
      <c r="D5" s="44"/>
      <c r="E5" s="35" t="s">
        <v>1</v>
      </c>
      <c r="F5" s="35"/>
      <c r="G5" s="35"/>
      <c r="H5" s="35"/>
      <c r="I5" s="35" t="s">
        <v>2</v>
      </c>
      <c r="J5" s="36"/>
    </row>
    <row r="6" spans="1:10" ht="24.95" customHeight="1" thickBot="1">
      <c r="A6" s="10"/>
      <c r="B6" s="45"/>
      <c r="C6" s="46"/>
      <c r="D6" s="46"/>
      <c r="E6" s="11" t="s">
        <v>3</v>
      </c>
      <c r="F6" s="11" t="s">
        <v>4</v>
      </c>
      <c r="G6" s="11" t="s">
        <v>23</v>
      </c>
      <c r="H6" s="11" t="s">
        <v>24</v>
      </c>
      <c r="I6" s="37"/>
      <c r="J6" s="38"/>
    </row>
    <row r="7" spans="1:10" ht="24.95" customHeight="1">
      <c r="A7" s="10"/>
      <c r="B7" s="33" t="s">
        <v>21</v>
      </c>
      <c r="C7" s="34"/>
      <c r="D7" s="34"/>
      <c r="E7" s="27" t="s">
        <v>18</v>
      </c>
      <c r="F7" s="27" t="s">
        <v>19</v>
      </c>
      <c r="G7" s="27" t="s">
        <v>22</v>
      </c>
      <c r="H7" s="27" t="s">
        <v>20</v>
      </c>
      <c r="I7" s="39" t="s">
        <v>25</v>
      </c>
      <c r="J7" s="40"/>
    </row>
    <row r="8" spans="1:10" ht="30" customHeight="1">
      <c r="A8" s="10"/>
      <c r="B8" s="31" t="s">
        <v>181</v>
      </c>
      <c r="C8" s="31"/>
      <c r="D8" s="31"/>
      <c r="E8" s="9">
        <v>5</v>
      </c>
      <c r="F8" s="26">
        <v>4</v>
      </c>
      <c r="G8" s="29">
        <f>IFERROR(F8/E8,"")</f>
        <v>0.8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32"/>
      <c r="J8" s="32"/>
    </row>
    <row r="9" spans="1:10" ht="39.950000000000003" customHeight="1">
      <c r="A9" s="10"/>
      <c r="B9" s="31" t="s">
        <v>182</v>
      </c>
      <c r="C9" s="31"/>
      <c r="D9" s="31"/>
      <c r="E9" s="9">
        <v>5</v>
      </c>
      <c r="F9" s="26">
        <v>4</v>
      </c>
      <c r="G9" s="29">
        <f>IFERROR(F9/E9,"")</f>
        <v>0.8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32"/>
      <c r="J9" s="32"/>
    </row>
    <row r="10" spans="1:10" ht="39.950000000000003" customHeight="1">
      <c r="A10" s="10"/>
      <c r="B10" s="31" t="s">
        <v>183</v>
      </c>
      <c r="C10" s="31"/>
      <c r="D10" s="31"/>
      <c r="E10" s="9">
        <v>5</v>
      </c>
      <c r="F10" s="26">
        <v>4</v>
      </c>
      <c r="G10" s="29">
        <f t="shared" ref="G10:G18" si="0">IFERROR(F10/E10,"")</f>
        <v>0.8</v>
      </c>
      <c r="H10" s="30" t="str">
        <f t="shared" ref="H10:H18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32"/>
      <c r="J10" s="32"/>
    </row>
    <row r="11" spans="1:10" ht="30" customHeight="1">
      <c r="A11" s="10"/>
      <c r="B11" s="31" t="s">
        <v>184</v>
      </c>
      <c r="C11" s="31"/>
      <c r="D11" s="31"/>
      <c r="E11" s="9">
        <v>5</v>
      </c>
      <c r="F11" s="26">
        <v>3</v>
      </c>
      <c r="G11" s="29">
        <f t="shared" si="0"/>
        <v>0.6</v>
      </c>
      <c r="H11" s="30" t="str">
        <f t="shared" si="1"/>
        <v>مقبول</v>
      </c>
      <c r="I11" s="32"/>
      <c r="J11" s="32"/>
    </row>
    <row r="12" spans="1:10" ht="30" customHeight="1">
      <c r="A12" s="10"/>
      <c r="B12" s="31" t="s">
        <v>185</v>
      </c>
      <c r="C12" s="31"/>
      <c r="D12" s="31"/>
      <c r="E12" s="9">
        <v>5</v>
      </c>
      <c r="F12" s="26">
        <v>3</v>
      </c>
      <c r="G12" s="29">
        <f t="shared" si="0"/>
        <v>0.6</v>
      </c>
      <c r="H12" s="30" t="str">
        <f t="shared" si="1"/>
        <v>مقبول</v>
      </c>
      <c r="I12" s="32"/>
      <c r="J12" s="32"/>
    </row>
    <row r="13" spans="1:10" ht="39.950000000000003" customHeight="1">
      <c r="A13" s="10"/>
      <c r="B13" s="31" t="s">
        <v>186</v>
      </c>
      <c r="C13" s="31"/>
      <c r="D13" s="31"/>
      <c r="E13" s="9">
        <v>5</v>
      </c>
      <c r="F13" s="26">
        <v>3</v>
      </c>
      <c r="G13" s="29">
        <f t="shared" si="0"/>
        <v>0.6</v>
      </c>
      <c r="H13" s="30" t="str">
        <f t="shared" si="1"/>
        <v>مقبول</v>
      </c>
      <c r="I13" s="32"/>
      <c r="J13" s="32"/>
    </row>
    <row r="14" spans="1:10" ht="30" customHeight="1">
      <c r="A14" s="10"/>
      <c r="B14" s="31" t="s">
        <v>187</v>
      </c>
      <c r="C14" s="31"/>
      <c r="D14" s="31"/>
      <c r="E14" s="9">
        <v>5</v>
      </c>
      <c r="F14" s="26">
        <v>3</v>
      </c>
      <c r="G14" s="29">
        <f t="shared" si="0"/>
        <v>0.6</v>
      </c>
      <c r="H14" s="30" t="str">
        <f t="shared" si="1"/>
        <v>مقبول</v>
      </c>
      <c r="I14" s="32"/>
      <c r="J14" s="32"/>
    </row>
    <row r="15" spans="1:10" ht="30" customHeight="1">
      <c r="A15" s="10"/>
      <c r="B15" s="31" t="s">
        <v>188</v>
      </c>
      <c r="C15" s="31"/>
      <c r="D15" s="31"/>
      <c r="E15" s="9">
        <v>5</v>
      </c>
      <c r="F15" s="26">
        <v>3</v>
      </c>
      <c r="G15" s="29">
        <f t="shared" si="0"/>
        <v>0.6</v>
      </c>
      <c r="H15" s="30" t="str">
        <f t="shared" si="1"/>
        <v>مقبول</v>
      </c>
      <c r="I15" s="32"/>
      <c r="J15" s="32"/>
    </row>
    <row r="16" spans="1:10" ht="39.950000000000003" customHeight="1">
      <c r="A16" s="10"/>
      <c r="B16" s="31" t="s">
        <v>189</v>
      </c>
      <c r="C16" s="31"/>
      <c r="D16" s="31"/>
      <c r="E16" s="9">
        <v>5</v>
      </c>
      <c r="F16" s="26">
        <v>4</v>
      </c>
      <c r="G16" s="29">
        <f t="shared" si="0"/>
        <v>0.8</v>
      </c>
      <c r="H16" s="30" t="str">
        <f t="shared" si="1"/>
        <v>جيد جداً</v>
      </c>
      <c r="I16" s="32"/>
      <c r="J16" s="32"/>
    </row>
    <row r="17" spans="1:10" ht="30" customHeight="1">
      <c r="A17" s="10"/>
      <c r="B17" s="31" t="s">
        <v>190</v>
      </c>
      <c r="C17" s="31"/>
      <c r="D17" s="31"/>
      <c r="E17" s="9">
        <v>5</v>
      </c>
      <c r="F17" s="26">
        <v>4</v>
      </c>
      <c r="G17" s="29">
        <f t="shared" si="0"/>
        <v>0.8</v>
      </c>
      <c r="H17" s="30" t="str">
        <f t="shared" si="1"/>
        <v>جيد جداً</v>
      </c>
      <c r="I17" s="32"/>
      <c r="J17" s="32"/>
    </row>
    <row r="18" spans="1:10" ht="30" customHeight="1">
      <c r="A18" s="10"/>
      <c r="B18" s="31" t="s">
        <v>191</v>
      </c>
      <c r="C18" s="31"/>
      <c r="D18" s="31"/>
      <c r="E18" s="9">
        <v>5</v>
      </c>
      <c r="F18" s="26">
        <v>4</v>
      </c>
      <c r="G18" s="29">
        <f t="shared" si="0"/>
        <v>0.8</v>
      </c>
      <c r="H18" s="30" t="str">
        <f t="shared" si="1"/>
        <v>جيد جداً</v>
      </c>
      <c r="I18" s="32"/>
      <c r="J18" s="32"/>
    </row>
    <row r="19" spans="1:10" ht="30" customHeight="1" thickBot="1">
      <c r="A19" s="4"/>
      <c r="B19" s="61" t="s">
        <v>5</v>
      </c>
      <c r="C19" s="62"/>
      <c r="D19" s="62"/>
      <c r="E19" s="28">
        <f>SUM(E8:E18)</f>
        <v>55</v>
      </c>
      <c r="F19" s="28">
        <f>SUM(F8:F18)</f>
        <v>39</v>
      </c>
      <c r="G19" s="50"/>
      <c r="H19" s="51"/>
      <c r="I19" s="51"/>
      <c r="J19" s="52"/>
    </row>
    <row r="20" spans="1:10" ht="30" customHeight="1" thickBot="1">
      <c r="A20" s="4"/>
      <c r="B20" s="63" t="s">
        <v>54</v>
      </c>
      <c r="C20" s="64"/>
      <c r="D20" s="64"/>
      <c r="E20" s="59">
        <f>F19/E19/100*100</f>
        <v>0.70909090909090911</v>
      </c>
      <c r="F20" s="59"/>
      <c r="G20" s="59"/>
      <c r="H20" s="59"/>
      <c r="I20" s="59"/>
      <c r="J20" s="60"/>
    </row>
    <row r="21" spans="1:10" ht="30" customHeight="1" thickBot="1">
      <c r="A21" s="4"/>
      <c r="B21" s="63" t="s">
        <v>55</v>
      </c>
      <c r="C21" s="64"/>
      <c r="D21" s="64"/>
      <c r="E21" s="57" t="str">
        <f>_xlfn.IFS(E20&gt;=90%,"ممتاز",E20&gt;=80%,"جيد جداً",E20&gt;=70%,"جيد",E20&gt;=60%,"مقبول",E20&lt;60%,"راسب")</f>
        <v>جيد</v>
      </c>
      <c r="F21" s="57"/>
      <c r="G21" s="57"/>
      <c r="H21" s="57"/>
      <c r="I21" s="57"/>
      <c r="J21" s="58"/>
    </row>
    <row r="22" spans="1:10" ht="42" customHeight="1">
      <c r="B22" s="53" t="s">
        <v>174</v>
      </c>
      <c r="C22" s="53"/>
      <c r="D22" s="53"/>
      <c r="E22" s="48" t="s">
        <v>52</v>
      </c>
      <c r="F22" s="48"/>
      <c r="G22" s="55" t="s">
        <v>123</v>
      </c>
      <c r="H22" s="55"/>
      <c r="I22" s="55"/>
      <c r="J22" s="55"/>
    </row>
    <row r="23" spans="1:10" ht="51" customHeight="1">
      <c r="A23" s="5"/>
      <c r="B23" s="54"/>
      <c r="C23" s="54"/>
      <c r="D23" s="54"/>
      <c r="E23" s="49" t="s">
        <v>53</v>
      </c>
      <c r="F23" s="49"/>
      <c r="G23" s="56"/>
      <c r="H23" s="56"/>
      <c r="I23" s="56"/>
      <c r="J23" s="5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3">
    <mergeCell ref="E22:F22"/>
    <mergeCell ref="E23:F23"/>
    <mergeCell ref="G19:J19"/>
    <mergeCell ref="I9:J9"/>
    <mergeCell ref="B22:D23"/>
    <mergeCell ref="G22:J22"/>
    <mergeCell ref="G23:J23"/>
    <mergeCell ref="E21:J21"/>
    <mergeCell ref="E20:J20"/>
    <mergeCell ref="B19:D19"/>
    <mergeCell ref="B20:D20"/>
    <mergeCell ref="B21:D21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I15:J15"/>
    <mergeCell ref="I16:J16"/>
    <mergeCell ref="I17:J17"/>
    <mergeCell ref="I18:J18"/>
    <mergeCell ref="B17:D17"/>
    <mergeCell ref="B18:D18"/>
    <mergeCell ref="B16:D16"/>
    <mergeCell ref="B11:D11"/>
    <mergeCell ref="B12:D12"/>
    <mergeCell ref="B13:D13"/>
    <mergeCell ref="B14:D14"/>
    <mergeCell ref="B15:D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57">
      <formula>$E21="راسب"</formula>
    </cfRule>
  </conditionalFormatting>
  <conditionalFormatting sqref="E21:J21">
    <cfRule type="expression" dxfId="13" priority="58">
      <formula>$E21="مقبول"</formula>
    </cfRule>
    <cfRule type="expression" dxfId="12" priority="59">
      <formula>$E21="جيد"</formula>
    </cfRule>
    <cfRule type="expression" dxfId="11" priority="60">
      <formula>$E21="جيد جداً"</formula>
    </cfRule>
    <cfRule type="expression" dxfId="10" priority="61">
      <formula>$E21="ممتاز"</formula>
    </cfRule>
  </conditionalFormatting>
  <conditionalFormatting sqref="F8:F1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2:J22">
    <cfRule type="containsText" dxfId="6" priority="15" operator="containsText" text="أدخل اسم المحكم">
      <formula>NOT(ISERROR(SEARCH("أدخل اسم المحكم",G22)))</formula>
    </cfRule>
  </conditionalFormatting>
  <conditionalFormatting sqref="H8:H1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F8:F18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G22:J22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45931</v>
      </c>
    </row>
    <row r="40" spans="1:9" ht="20.100000000000001" customHeight="1" thickBot="1">
      <c r="A40" s="13">
        <v>45932</v>
      </c>
    </row>
    <row r="41" spans="1:9" ht="20.100000000000001" customHeight="1" thickBot="1">
      <c r="A41" s="13">
        <v>45933</v>
      </c>
    </row>
    <row r="42" spans="1:9" ht="20.100000000000001" customHeight="1" thickBot="1">
      <c r="A42" s="13">
        <v>45934</v>
      </c>
    </row>
    <row r="43" spans="1:9" ht="20.100000000000001" customHeight="1" thickBot="1">
      <c r="A43" s="13">
        <v>45935</v>
      </c>
    </row>
    <row r="44" spans="1:9" ht="20.100000000000001" customHeight="1" thickBot="1">
      <c r="A44" s="13">
        <v>45936</v>
      </c>
    </row>
    <row r="45" spans="1:9" ht="20.100000000000001" customHeight="1" thickBot="1">
      <c r="A45" s="13">
        <v>45937</v>
      </c>
    </row>
    <row r="46" spans="1:9" ht="20.100000000000001" customHeight="1" thickBot="1">
      <c r="A46" s="13">
        <v>45938</v>
      </c>
    </row>
    <row r="47" spans="1:9" ht="20.100000000000001" customHeight="1" thickBot="1">
      <c r="A47" s="13">
        <v>45939</v>
      </c>
    </row>
    <row r="48" spans="1:9" ht="20.100000000000001" customHeight="1" thickBot="1">
      <c r="A48" s="13">
        <v>45940</v>
      </c>
    </row>
    <row r="49" spans="1:1" ht="20.100000000000001" customHeight="1" thickBot="1">
      <c r="A49" s="13">
        <v>45941</v>
      </c>
    </row>
    <row r="50" spans="1:1" ht="20.100000000000001" customHeight="1" thickBot="1">
      <c r="A50" s="13">
        <v>45942</v>
      </c>
    </row>
    <row r="51" spans="1:1" ht="20.100000000000001" customHeight="1" thickBot="1">
      <c r="A51" s="13">
        <v>45943</v>
      </c>
    </row>
    <row r="52" spans="1:1" ht="20.100000000000001" customHeight="1" thickBot="1">
      <c r="A52" s="13">
        <v>45944</v>
      </c>
    </row>
    <row r="53" spans="1:1" ht="20.100000000000001" customHeight="1" thickBot="1">
      <c r="A53" s="13">
        <v>45945</v>
      </c>
    </row>
    <row r="54" spans="1:1" ht="20.100000000000001" customHeight="1" thickBot="1">
      <c r="A54" s="13">
        <v>45946</v>
      </c>
    </row>
    <row r="55" spans="1:1" ht="20.100000000000001" customHeight="1" thickBot="1">
      <c r="A55" s="13">
        <v>45947</v>
      </c>
    </row>
    <row r="56" spans="1:1" ht="20.100000000000001" customHeight="1" thickBot="1">
      <c r="A56" s="13">
        <v>45948</v>
      </c>
    </row>
    <row r="57" spans="1:1" ht="20.100000000000001" customHeight="1" thickBot="1">
      <c r="A57" s="13">
        <v>45949</v>
      </c>
    </row>
    <row r="58" spans="1:1" ht="20.100000000000001" customHeight="1" thickBot="1">
      <c r="A58" s="13">
        <v>45950</v>
      </c>
    </row>
    <row r="59" spans="1:1" ht="20.100000000000001" customHeight="1" thickBot="1">
      <c r="A59" s="13">
        <v>45951</v>
      </c>
    </row>
    <row r="60" spans="1:1" ht="20.100000000000001" customHeight="1" thickBot="1">
      <c r="A60" s="13">
        <v>45952</v>
      </c>
    </row>
    <row r="61" spans="1:1" ht="20.100000000000001" customHeight="1" thickBot="1">
      <c r="A61" s="13">
        <v>45953</v>
      </c>
    </row>
    <row r="62" spans="1:1" ht="20.100000000000001" customHeight="1" thickBot="1">
      <c r="A62" s="13">
        <v>45954</v>
      </c>
    </row>
    <row r="63" spans="1:1" ht="20.100000000000001" customHeight="1" thickBot="1">
      <c r="A63" s="13">
        <v>45955</v>
      </c>
    </row>
    <row r="64" spans="1:1" ht="20.100000000000001" customHeight="1" thickBot="1">
      <c r="A64" s="13">
        <v>45956</v>
      </c>
    </row>
    <row r="65" spans="1:1" ht="20.100000000000001" customHeight="1" thickBot="1">
      <c r="A65" s="13">
        <v>45957</v>
      </c>
    </row>
    <row r="66" spans="1:1" ht="20.100000000000001" customHeight="1" thickBot="1">
      <c r="A66" s="13">
        <v>45958</v>
      </c>
    </row>
    <row r="67" spans="1:1" ht="20.100000000000001" customHeight="1" thickBot="1">
      <c r="A67" s="13">
        <v>45959</v>
      </c>
    </row>
    <row r="68" spans="1:1" ht="20.100000000000001" customHeight="1" thickBot="1">
      <c r="A68" s="13">
        <v>45960</v>
      </c>
    </row>
    <row r="69" spans="1:1" ht="20.100000000000001" customHeight="1" thickBot="1">
      <c r="A69" s="13">
        <v>45961</v>
      </c>
    </row>
    <row r="70" spans="1:1" ht="20.100000000000001" customHeight="1" thickBot="1">
      <c r="A70" s="13"/>
    </row>
    <row r="71" spans="1:1" ht="20.100000000000001" customHeight="1" thickBot="1">
      <c r="A71" s="13"/>
    </row>
    <row r="72" spans="1:1" ht="20.100000000000001" customHeight="1" thickBot="1">
      <c r="A72" s="13"/>
    </row>
    <row r="73" spans="1:1" ht="20.100000000000001" customHeight="1" thickBot="1">
      <c r="A73" s="13"/>
    </row>
    <row r="74" spans="1:1" ht="20.100000000000001" customHeight="1" thickBot="1">
      <c r="A74" s="13"/>
    </row>
    <row r="75" spans="1:1" ht="20.100000000000001" customHeight="1" thickBot="1">
      <c r="A75" s="13"/>
    </row>
    <row r="76" spans="1:1" ht="20.100000000000001" customHeight="1" thickBot="1">
      <c r="A76" s="13"/>
    </row>
    <row r="77" spans="1:1" ht="20.100000000000001" customHeight="1" thickBot="1">
      <c r="A77" s="13"/>
    </row>
    <row r="78" spans="1:1" ht="20.100000000000001" customHeight="1" thickBot="1">
      <c r="A78" s="13"/>
    </row>
    <row r="79" spans="1:1" ht="20.100000000000001" customHeight="1" thickBot="1">
      <c r="A79" s="13"/>
    </row>
    <row r="80" spans="1:1" ht="20.100000000000001" customHeight="1" thickBot="1">
      <c r="A80" s="13"/>
    </row>
    <row r="81" spans="1:1" ht="20.100000000000001" customHeight="1" thickBot="1">
      <c r="A81" s="13"/>
    </row>
    <row r="82" spans="1:1" ht="20.100000000000001" customHeight="1" thickBot="1">
      <c r="A82" s="13"/>
    </row>
    <row r="83" spans="1:1" ht="20.100000000000001" customHeight="1" thickBot="1">
      <c r="A83" s="13"/>
    </row>
    <row r="84" spans="1:1" ht="20.100000000000001" customHeight="1" thickBot="1">
      <c r="A84" s="13"/>
    </row>
    <row r="85" spans="1:1" ht="20.100000000000001" customHeight="1" thickBot="1">
      <c r="A85" s="13"/>
    </row>
    <row r="86" spans="1:1" ht="20.100000000000001" customHeight="1" thickBot="1">
      <c r="A86" s="13"/>
    </row>
    <row r="87" spans="1:1" ht="20.100000000000001" customHeight="1" thickBot="1">
      <c r="A87" s="13"/>
    </row>
    <row r="88" spans="1:1" ht="20.100000000000001" customHeight="1" thickBot="1">
      <c r="A88" s="13"/>
    </row>
    <row r="89" spans="1:1" ht="20.100000000000001" customHeight="1" thickBot="1">
      <c r="A89" s="13"/>
    </row>
    <row r="90" spans="1:1" ht="20.100000000000001" customHeight="1" thickBot="1">
      <c r="A90" s="13"/>
    </row>
    <row r="91" spans="1:1" ht="20.100000000000001" customHeight="1" thickBot="1">
      <c r="A91" s="13"/>
    </row>
    <row r="92" spans="1:1" ht="20.100000000000001" customHeight="1" thickBot="1">
      <c r="A92" s="13"/>
    </row>
    <row r="93" spans="1:1" ht="20.100000000000001" customHeight="1" thickBot="1">
      <c r="A93" s="13"/>
    </row>
    <row r="94" spans="1:1" ht="20.100000000000001" customHeight="1" thickBot="1">
      <c r="A94" s="13"/>
    </row>
    <row r="95" spans="1:1" ht="20.100000000000001" customHeight="1" thickBot="1">
      <c r="A95" s="13"/>
    </row>
    <row r="96" spans="1:1" ht="20.100000000000001" customHeight="1" thickBot="1">
      <c r="A96" s="13"/>
    </row>
    <row r="97" spans="1:9" ht="20.100000000000001" customHeight="1" thickBot="1">
      <c r="A97" s="13"/>
    </row>
    <row r="98" spans="1:9" ht="20.100000000000001" customHeight="1" thickBot="1">
      <c r="A98" s="13"/>
    </row>
    <row r="99" spans="1:9" ht="20.100000000000001" customHeight="1" thickBot="1">
      <c r="A99" s="13"/>
    </row>
    <row r="100" spans="1:9" ht="20.100000000000001" customHeight="1" thickBot="1">
      <c r="A100" s="13"/>
    </row>
    <row r="101" spans="1:9" ht="20.100000000000001" customHeight="1" thickBot="1">
      <c r="A101" s="13"/>
    </row>
    <row r="102" spans="1:9" ht="20.100000000000001" customHeight="1" thickBot="1">
      <c r="A102" s="13"/>
    </row>
    <row r="103" spans="1:9" ht="20.100000000000001" customHeight="1" thickBot="1">
      <c r="A103" s="13"/>
    </row>
    <row r="104" spans="1:9" ht="20.100000000000001" customHeight="1" thickBot="1">
      <c r="A104" s="13"/>
    </row>
    <row r="105" spans="1:9" ht="20.100000000000001" customHeight="1" thickBot="1">
      <c r="A105" s="13"/>
    </row>
    <row r="106" spans="1:9" ht="20.100000000000001" customHeight="1" thickBot="1">
      <c r="A106" s="13"/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2025-10-20T15:35:13Z</dcterms:modified>
</cp:coreProperties>
</file>