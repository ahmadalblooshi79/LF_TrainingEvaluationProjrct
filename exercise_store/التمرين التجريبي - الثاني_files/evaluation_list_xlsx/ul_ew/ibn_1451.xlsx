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3D5FB75-9B5E-4FCD-8344-0C9001815C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 s="1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 s="1"/>
  <c r="G23" i="2"/>
  <c r="H23" i="2" s="1"/>
  <c r="G24" i="2"/>
  <c r="H24" i="2" s="1"/>
  <c r="G25" i="2"/>
  <c r="H25" i="2"/>
  <c r="G26" i="2"/>
  <c r="H26" i="2" s="1"/>
  <c r="G27" i="2"/>
  <c r="H27" i="2" s="1"/>
  <c r="G28" i="2"/>
  <c r="H28" i="2"/>
  <c r="G29" i="2"/>
  <c r="H29" i="2" s="1"/>
  <c r="G31" i="2"/>
  <c r="H31" i="2" s="1"/>
  <c r="G32" i="2"/>
  <c r="H32" i="2"/>
  <c r="G33" i="2"/>
  <c r="H33" i="2"/>
  <c r="G35" i="2"/>
  <c r="H35" i="2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/>
  <c r="G42" i="2"/>
  <c r="H42" i="2" s="1"/>
  <c r="G43" i="2"/>
  <c r="H43" i="2" s="1"/>
  <c r="G44" i="2"/>
  <c r="H44" i="2"/>
  <c r="G45" i="2"/>
  <c r="H45" i="2" s="1"/>
  <c r="G46" i="2"/>
  <c r="H46" i="2"/>
  <c r="G47" i="2"/>
  <c r="H47" i="2"/>
  <c r="G48" i="2"/>
  <c r="H48" i="2" s="1"/>
  <c r="G50" i="2"/>
  <c r="H50" i="2" s="1"/>
  <c r="G51" i="2"/>
  <c r="H51" i="2"/>
  <c r="G52" i="2"/>
  <c r="H52" i="2"/>
  <c r="G53" i="2"/>
  <c r="H53" i="2" s="1"/>
  <c r="G54" i="2"/>
  <c r="H54" i="2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/>
  <c r="G62" i="2"/>
  <c r="H62" i="2" s="1"/>
  <c r="G63" i="2"/>
  <c r="H63" i="2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7" i="2"/>
  <c r="H77" i="2"/>
  <c r="G78" i="2"/>
  <c r="H78" i="2"/>
  <c r="G79" i="2"/>
  <c r="H79" i="2"/>
  <c r="G80" i="2"/>
  <c r="H80" i="2"/>
  <c r="G81" i="2"/>
  <c r="H81" i="2"/>
  <c r="G82" i="2"/>
  <c r="H82" i="2"/>
  <c r="G84" i="2"/>
  <c r="H84" i="2" s="1"/>
  <c r="G85" i="2"/>
  <c r="H85" i="2" s="1"/>
  <c r="G86" i="2"/>
  <c r="H86" i="2"/>
  <c r="G87" i="2"/>
  <c r="H87" i="2"/>
  <c r="G88" i="2"/>
  <c r="H88" i="2" s="1"/>
  <c r="G89" i="2"/>
  <c r="H89" i="2" s="1"/>
  <c r="G90" i="2"/>
  <c r="H90" i="2" s="1"/>
  <c r="G91" i="2"/>
  <c r="H91" i="2"/>
  <c r="G92" i="2"/>
  <c r="H92" i="2" s="1"/>
  <c r="G93" i="2"/>
  <c r="H93" i="2"/>
  <c r="G94" i="2"/>
  <c r="H94" i="2" s="1"/>
  <c r="G95" i="2"/>
  <c r="H95" i="2" s="1"/>
  <c r="G8" i="2"/>
  <c r="H8" i="2"/>
  <c r="F96" i="2"/>
  <c r="E96" i="2"/>
  <c r="E97" i="2" l="1"/>
  <c r="E98" i="2" s="1"/>
</calcChain>
</file>

<file path=xl/sharedStrings.xml><?xml version="1.0" encoding="utf-8"?>
<sst xmlns="http://schemas.openxmlformats.org/spreadsheetml/2006/main" count="358" uniqueCount="270">
  <si>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</si>
  <si>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</si>
  <si>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</si>
  <si>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</si>
  <si>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</si>
  <si>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</si>
  <si>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</si>
  <si>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</si>
  <si>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</si>
  <si>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</si>
  <si>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</si>
  <si>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</si>
  <si>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</si>
  <si>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</si>
  <si>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</si>
  <si>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</si>
  <si>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</si>
  <si>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</si>
  <si>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</si>
  <si>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</si>
  <si>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</si>
  <si>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</si>
  <si>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</si>
  <si>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</si>
  <si>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</si>
  <si>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</si>
  <si>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</si>
  <si>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</si>
  <si>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</si>
  <si>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</si>
  <si>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</si>
  <si>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</si>
  <si>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</si>
  <si>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</si>
  <si>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</si>
  <si>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</si>
  <si>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</si>
  <si>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</si>
  <si>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</si>
  <si>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</si>
  <si>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</si>
  <si>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</si>
  <si>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</si>
  <si>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</si>
  <si>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</si>
  <si>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</si>
  <si>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</si>
  <si>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</si>
  <si>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</si>
  <si>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</si>
  <si>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</si>
  <si>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</si>
  <si>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</si>
  <si>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</si>
  <si>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</si>
  <si>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</si>
  <si>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</si>
  <si>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</si>
  <si>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</si>
  <si>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</si>
  <si>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</si>
  <si>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</si>
  <si>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</si>
  <si>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</si>
  <si>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</si>
  <si>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</si>
  <si>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</si>
  <si>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</si>
  <si>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</si>
  <si>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</si>
  <si>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</si>
  <si>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</si>
  <si>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</si>
  <si>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</si>
  <si>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</si>
  <si>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</si>
  <si>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</si>
  <si>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</si>
  <si>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</si>
  <si>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</si>
  <si>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</si>
  <si>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</si>
  <si>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</si>
  <si>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</si>
  <si>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</si>
  <si>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</si>
  <si>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</si>
  <si>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</si>
  <si>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</si>
  <si>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</si>
  <si>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</si>
  <si>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</si>
  <si>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</si>
  <si>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</si>
  <si>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</si>
  <si>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</si>
  <si>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</si>
  <si>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</si>
  <si>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</si>
  <si>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</si>
  <si>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</si>
  <si>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</si>
  <si>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</si>
  <si>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</si>
  <si>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</si>
  <si>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</si>
  <si>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</si>
  <si>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</si>
  <si>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</si>
  <si>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</si>
  <si>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</si>
  <si>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</si>
  <si>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</si>
  <si>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</si>
  <si>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</si>
  <si>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</si>
  <si>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</si>
  <si>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</si>
  <si>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</si>
  <si>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</si>
  <si>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</si>
  <si>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</si>
  <si>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</si>
  <si>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</si>
  <si>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</si>
  <si>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</si>
  <si>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</si>
  <si>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</si>
  <si>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</si>
  <si>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</si>
  <si>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</si>
  <si>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</si>
  <si>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</si>
  <si>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</si>
  <si>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</si>
  <si>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</si>
  <si>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</si>
  <si>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</si>
  <si>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</si>
  <si>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</si>
  <si>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</si>
  <si>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</si>
  <si>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</si>
  <si>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</si>
  <si>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</si>
  <si>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</si>
  <si>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</si>
  <si>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</si>
  <si>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</si>
  <si>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</si>
  <si>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</si>
  <si>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</si>
  <si>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</si>
  <si>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</si>
  <si>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</si>
  <si>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</si>
  <si>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</si>
  <si>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</si>
  <si>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</si>
  <si>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</si>
  <si>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</si>
  <si>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</si>
  <si>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</si>
  <si>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</si>
  <si>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</si>
  <si>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</si>
  <si>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</si>
  <si>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</si>
  <si>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</si>
  <si>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</si>
  <si>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</si>
  <si>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</si>
  <si>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</si>
  <si>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</si>
  <si>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</si>
  <si>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</si>
  <si>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</si>
  <si>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</si>
  <si>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</si>
  <si>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</si>
  <si>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</si>
  <si>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القائد.</t>
    </r>
  </si>
  <si>
    <t>أ. استلام المهمة وتفهم المطلوب في الوقت المحدد.</t>
  </si>
  <si>
    <t>ب. الرد بالاعتراف على البرقية حسب الوقت المحدد.</t>
  </si>
  <si>
    <t>جـ. تحرير برقية رفع الحالة وإرسالها إلى مستوى الأعلى والأدنى.</t>
  </si>
  <si>
    <t>د. الكشف من الخارطة.</t>
  </si>
  <si>
    <t>هـ. إصدار أمر إنذاري والحصول على الاعتراف من المستوى الأدنى.</t>
  </si>
  <si>
    <t>و. تسجيل برقية رفع الحالة في سجل الحوادث.</t>
  </si>
  <si>
    <t>ز. عمل تقدير موقف للوقت من قبل القائد مع مراعاة ثلثي الوقت لعمل وإجراءات المرؤوسين وتشمل الإجراءات منذ استلام المهمة وحتى ساعة الصفر.</t>
  </si>
  <si>
    <t>ح. عمل تقدير موقف ذهني سريع من قبل القائد.</t>
  </si>
  <si>
    <t>ط. إنذار الوحدة بالمهمة ووسائل الإنذار المتوفرة.</t>
  </si>
  <si>
    <t>ي. توضيح المطلوب للقادة المرؤوسين والإجابة على استفساراتهم.</t>
  </si>
  <si>
    <t>ك. التقيد بأصول المخابرة في عملية إرسال البرقية.</t>
  </si>
  <si>
    <t>ل. التقيد بواجبات الأركان الصغرى في كتابة الأمر الإنذاري.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</si>
  <si>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sz val="12"/>
        <color rgb="FF000000"/>
        <rFont val="Arial"/>
        <family val="2"/>
      </rPr>
      <t xml:space="preserve"> يسلم مكتوب لنائب القائد ونسخة للمحكم ويشمل:</t>
    </r>
  </si>
  <si>
    <t>أ. ملخص عن العمليات المقبلة.</t>
  </si>
  <si>
    <t>ب. موقع ووقت اجتماع قسم الأمر.</t>
  </si>
  <si>
    <t>جـ. تفاصيل عن منطقة التجمع.</t>
  </si>
  <si>
    <t>د. تحديدات الحركة (حسب المهمة).</t>
  </si>
  <si>
    <t>هـ. منطقة التجمع.</t>
  </si>
  <si>
    <t>و. حدود الكشف.</t>
  </si>
  <si>
    <t>ز. التعليمات الإدارية.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</si>
  <si>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>.</t>
    </r>
  </si>
  <si>
    <t>أ. التأكد من استخدام وسائل الإنذار المتوفرة (المسموعة، المرئية، الضوئية) حسب ما جاء في تعليمات التحول.</t>
  </si>
  <si>
    <t>ب. التأكد من وصول البرقية إلى المرؤوسين وتفهمها من قبلهم.</t>
  </si>
  <si>
    <t>جـ. التأكد من إصدار الأوامر إلى القادة المرؤوسين (شفهية، مكتوبة، بواسطة اللاسلكي).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</si>
  <si>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التحـول.</t>
    </r>
  </si>
  <si>
    <t>أ. تحرك الوحدات المرؤوسة لتنفيذ التحول حسب تعليمات رفع حالات الاستعداد القتالي (حسب الخطة الزمنية لتعليمات رفع حالات الاستعداد القتالي).</t>
  </si>
  <si>
    <t>ب. وجود خطة مفصلة موضح بها الإجراءات خلال وقت محدد.</t>
  </si>
  <si>
    <t>جـ. التزام مرتب الوحدة (الفصائل) بالخطة الموضوعة وتنفيذها بطريقة سليمة وحسب الحالة المطلوبة.</t>
  </si>
  <si>
    <t>د. مدى سيطرة ضباط السرية على تحركات ضباط الصف والجنود، ومرونة القيادة في التغلب على العقبات التي قد تحدث إثناء العمل.</t>
  </si>
  <si>
    <t>هـ. مدى التقيد بالتوقيتات المبينة في الخطة الزمنية.</t>
  </si>
  <si>
    <t>و. أسلوب وإجراءات تنفيذ الخطة الزمنية.</t>
  </si>
  <si>
    <t>ز. التأكد من الحماس وجديـة الضبـاط والرتـب الأخرى في تنفيـذ الواجبات ومـــدى تفهمهم لإجراءات رفع الحالة.</t>
  </si>
  <si>
    <t>ح. التأكد من إجراءات التحميل / تعبئة الذخيرة (التقيد باحتياطات الأمان ومخطط التحميل).</t>
  </si>
  <si>
    <t>ط. التأكد من استلام المهمات الكيميائية.</t>
  </si>
  <si>
    <t>ي. التأكد من تعبئة وتحميل الوقود والمياه.</t>
  </si>
  <si>
    <t>ك. التأكد من تحميل الأرزاق لـ (48) ساعة.</t>
  </si>
  <si>
    <t>ل. التأكد من تحميل المهمات الإدارية والهندسية التابعة للسرية.</t>
  </si>
  <si>
    <t>م. التأكد من تركيب الأسلحة والأجهزة واختبارها.</t>
  </si>
  <si>
    <t>ن. وجود خطة التحميل ومدى التقيد بها أثناء عملية التحميل ومدى فعاليتها.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</si>
  <si>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القوة.</t>
    </r>
  </si>
  <si>
    <t>أ. اصطفاف القوة بالميدان في الوقت المحدد في تعليمات رفع حالات الاستعداد القتالي.</t>
  </si>
  <si>
    <t>ب.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</si>
  <si>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مدى إلمام الضباط والرتب الأخرى باستخدام المعدات والآليات حسب تخصصاتهم.</t>
  </si>
  <si>
    <t>د. تعبئة وإدامة جداول الركوب والتحميل طبقاً لحالات الاستعداد القتالي ومطابقته للواقع.</t>
  </si>
  <si>
    <t xml:space="preserve">هـ. التأكد من عدم تحميل الآليات أكثر من حمولتها المقررة </t>
  </si>
  <si>
    <t>و. تعبئة وإدامة سجلات استلام الذخائر.</t>
  </si>
  <si>
    <t>ز. التأكد من جاهزية الآليات من حيث (الوقود، المياه، العدة، سجل الآلية، وتحميل شباك التمويه مع العصي، إلخ...).</t>
  </si>
  <si>
    <t>ح. مدى التقيد بتعليمات المؤخرة للقوة.</t>
  </si>
  <si>
    <t>ط. التأكد من نسبة استكمال الأسلحة والمعدات.</t>
  </si>
  <si>
    <t>ي. مدى توفر نقليات (ب) لحمل (مواد الخط الثاني).</t>
  </si>
  <si>
    <t>ك. التأكد من نسبة استكمال القوة البشرية.</t>
  </si>
  <si>
    <r>
      <t>7.</t>
    </r>
    <r>
      <rPr>
        <b/>
        <sz val="7"/>
        <color rgb="FF000000"/>
        <rFont val="Times New Roman"/>
        <family val="1"/>
      </rPr>
      <t xml:space="preserve">          </t>
    </r>
    <r>
      <rPr>
        <b/>
        <u/>
        <sz val="11"/>
        <color rgb="FF000000"/>
        <rFont val="Arial"/>
        <family val="2"/>
      </rPr>
      <t>فـرش المتاع</t>
    </r>
    <r>
      <rPr>
        <b/>
        <sz val="11"/>
        <color rgb="FF000000"/>
        <rFont val="Arial"/>
        <family val="2"/>
      </rPr>
      <t xml:space="preserve">. </t>
    </r>
    <r>
      <rPr>
        <sz val="11"/>
        <color rgb="FF000000"/>
        <rFont val="Arial"/>
        <family val="2"/>
      </rPr>
      <t>حقيبة الميدان وتشمل:</t>
    </r>
  </si>
  <si>
    <t>أ. عدد (1) بدلة مموهه.</t>
  </si>
  <si>
    <t>ب. خـوذه.</t>
  </si>
  <si>
    <t>جـ. فوطه.</t>
  </si>
  <si>
    <t>د. جراب.</t>
  </si>
  <si>
    <t>هـ. ملابس داخلية.</t>
  </si>
  <si>
    <t>و. ملابس رياضة (شورت، حذاء، فانله).</t>
  </si>
  <si>
    <t>ز. أدوات الطعام.</t>
  </si>
  <si>
    <t>ح. أدوات الخياطة.</t>
  </si>
  <si>
    <t>ط. أدوات حلاقة + معجون وفرشاة أسنان.</t>
  </si>
  <si>
    <t>ي. كيس النوم.</t>
  </si>
  <si>
    <t>ك. لباس مدني.</t>
  </si>
  <si>
    <t>ل. شماغ (عسكري / مدني).</t>
  </si>
  <si>
    <t>م. مشمع أرضي.</t>
  </si>
  <si>
    <t>ن. ترتيب ونظافة محتويات الحقيبة.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</si>
  <si>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اختبار المعلومات العسكرية للمرتب</t>
    </r>
    <r>
      <rPr>
        <b/>
        <sz val="12"/>
        <color rgb="FF000000"/>
        <rFont val="Arial"/>
        <family val="2"/>
      </rPr>
      <t>.</t>
    </r>
  </si>
  <si>
    <t>أ. الأسلحة وخصائصها الفنية ومسمياتها.</t>
  </si>
  <si>
    <t>ب. الذخائر (الخطوط، الوحدة الحسابية).</t>
  </si>
  <si>
    <t>جـ. الهيكل التنظيمي للوحدة تحت التفتيش.</t>
  </si>
  <si>
    <t>د. أمن الأفراد والمعسكرات والمنشآت.</t>
  </si>
  <si>
    <t>هـ. التخصصات المهنية.</t>
  </si>
  <si>
    <t>و. حالات الاستعداد القتالي.</t>
  </si>
  <si>
    <r>
      <t>9.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صندوق أو آلية الوثائق.</t>
    </r>
  </si>
  <si>
    <t>أ. توفر صندوق لحفظ الوثائق والسجلات والقرطاسية اللازمة.</t>
  </si>
  <si>
    <t>ب. توفر الخرائط والخطط الضرورية.</t>
  </si>
  <si>
    <t>جـ. توفر وصلاحية الإضاءة الرئيسة والبديلة.</t>
  </si>
  <si>
    <t>د. توفر وصلاحية وسائل الاتصالات الإشارية.</t>
  </si>
  <si>
    <t>هـ. التأكد من إعداد وتجهيز الآلية.</t>
  </si>
  <si>
    <t>و. التأكد من وجود فهرس بمحتويات الصندوق ومطابقته مع الموجود.</t>
  </si>
  <si>
    <t>ز. وجود الأوامر الثابتة لقيادته.</t>
  </si>
  <si>
    <t>ح. وجود قوائم التوزيع الشهرية.</t>
  </si>
  <si>
    <t>ط. وجود نموذج برقيــات.</t>
  </si>
  <si>
    <t>ي. توفر كشف بأرقام الهواتف الهامة (عسكرية، مدنية).</t>
  </si>
  <si>
    <t>ك. وجود وإدامة سجل الوارد والصادر.</t>
  </si>
  <si>
    <r>
      <t>10.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</si>
  <si>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rPr>
        <b/>
        <sz val="14"/>
        <color rgb="FF000000"/>
        <rFont val="Arial"/>
        <family val="2"/>
      </rPr>
      <t>تقييم حالات رفع الجاهزية لسرية الحرب الإلكترونية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</si>
  <si>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النقيب/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</si>
</sst>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20" xfId="0" applyFont="1" applyBorder="1" applyAlignment="1" applyProtection="1">
      <alignment horizontal="center" vertical="center" wrapText="1" readingOrder="2"/>
      <protection locked="0"/>
    </xf>
    <xf numFmtId="9" fontId="3" fillId="0" borderId="20" xfId="0" applyNumberFormat="1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0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2" fillId="0" borderId="19" xfId="0" applyFont="1" applyBorder="1" applyAlignment="1">
      <alignment horizontal="right" vertical="center" wrapText="1" readingOrder="2"/>
    </xf>
    <xf numFmtId="0" fontId="2" fillId="0" borderId="20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282684</xdr:colOff>
      <xdr:row>99</xdr:row>
      <xdr:rowOff>395830</xdr:rowOff>
    </xdr:from>
    <xdr:to>
      <xdr:col>10</xdr:col>
      <xdr:colOff>373044</xdr:colOff>
      <xdr:row>99</xdr:row>
      <xdr:rowOff>448390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8CDEFD1-9961-92F1-65F9-2596664A19BC}"/>
                </a:ext>
              </a:extLst>
            </xdr14:cNvPr>
            <xdr14:cNvContentPartPr/>
          </xdr14:nvContentPartPr>
          <xdr14:nvPr macro=""/>
          <xdr14:xfrm>
            <a:off x="10397116956" y="40804920"/>
            <a:ext cx="90360" cy="52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8CDEFD1-9961-92F1-65F9-2596664A19B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110836" y="40798800"/>
              <a:ext cx="102600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541094</xdr:colOff>
      <xdr:row>98</xdr:row>
      <xdr:rowOff>485560</xdr:rowOff>
    </xdr:from>
    <xdr:to>
      <xdr:col>7</xdr:col>
      <xdr:colOff>162364</xdr:colOff>
      <xdr:row>99</xdr:row>
      <xdr:rowOff>420670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3E892BC-7991-BE4E-AB6B-F4ED5B350455}"/>
                </a:ext>
              </a:extLst>
            </xdr14:cNvPr>
            <xdr14:cNvContentPartPr/>
          </xdr14:nvContentPartPr>
          <xdr14:nvPr macro=""/>
          <xdr14:xfrm>
            <a:off x="10399740636" y="40363560"/>
            <a:ext cx="279360" cy="466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3E892BC-7991-BE4E-AB6B-F4ED5B35045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734516" y="40357440"/>
              <a:ext cx="291600" cy="47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618134</xdr:colOff>
      <xdr:row>99</xdr:row>
      <xdr:rowOff>222670</xdr:rowOff>
    </xdr:from>
    <xdr:to>
      <xdr:col>8</xdr:col>
      <xdr:colOff>36710</xdr:colOff>
      <xdr:row>100</xdr:row>
      <xdr:rowOff>45203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5A76C56-7EC0-F3B8-2AA1-50356D05698B}"/>
                </a:ext>
              </a:extLst>
            </xdr14:cNvPr>
            <xdr14:cNvContentPartPr/>
          </xdr14:nvContentPartPr>
          <xdr14:nvPr macro=""/>
          <xdr14:xfrm>
            <a:off x="10399208196" y="40631760"/>
            <a:ext cx="734760" cy="4690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5A76C56-7EC0-F3B8-2AA1-50356D05698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202076" y="40625640"/>
              <a:ext cx="747000" cy="48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591134</xdr:colOff>
      <xdr:row>99</xdr:row>
      <xdr:rowOff>172630</xdr:rowOff>
    </xdr:from>
    <xdr:to>
      <xdr:col>8</xdr:col>
      <xdr:colOff>79190</xdr:colOff>
      <xdr:row>99</xdr:row>
      <xdr:rowOff>594550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C5EFD72-4713-5BE1-4F75-A6F5516A3946}"/>
                </a:ext>
              </a:extLst>
            </xdr14:cNvPr>
            <xdr14:cNvContentPartPr/>
          </xdr14:nvContentPartPr>
          <xdr14:nvPr macro=""/>
          <xdr14:xfrm>
            <a:off x="10399165716" y="40581720"/>
            <a:ext cx="804240" cy="4219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C5EFD72-4713-5BE1-4F75-A6F5516A394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159596" y="40575600"/>
              <a:ext cx="816480" cy="434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2:56:35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85 142 15667,'0'0'0,"-34"-45"56,8-4 0,2 4-208,24 42-168,9 3-280,30 9-481,-1 25-167,8-6-72,16 1-521,-6 16-3560,-56-45 5401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2:56:36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479 1302 13914,'0'0'0,"0"0"0,-29-48 745,-3-16-737,-8-15-8,8 12 64,32 67-64,-22-62 96,-7 2 48,4-6 0,-4 0 16,29 66-160,-32-69 304,-3 1 152,1 0 120,-2-2 112,36 70-688,-27-68 648,-4 8-64,10 3-39,15 5-65,6 52-480,-10-40 352,2 6-104,8 8-88,0 3-136,0 23-24,0-8 0,0-18-48,7 20-16,-3-2 0,-4 8 64,9-9-112,-3 1 24,2-2-24,16 2 0,-24 8 112,0-6-72,9 0-16,14 1 64,-17 2-24,-6 3 48,21-9-40,-13 4 16,19-1-48,-20 0 48,-7 6 24,38-5-48,-8-1 0,5 0-40,3 1-72,-38 5 160,41-3-216,-1 3-121,-6 0-71,-5 22-64,-29-22 472,27 9-536,4 19 8,-6-4 24,2-15 56,-27-9 448,24 34-384,-17-11 40,25-15 24,-26 21 0,-6-29 320,25 8-297,-18 15 49,15-18 8,-15 19 40,-7-24 200,6 6-192,15 2-8,-21 15 0,6-17 16,-6-6 184,5 8-160,-5 1 24,0 14 80,0-18 40,0-5 16,-6 23 40,-26-14 40,3 19 32,-3-4-40,32-24-72,-33 23 80,-8 2-72,1 1-160,-1-1-496,41-25 648,-42 29-920,-3 0 0,-4 5 87,-3-2 289,52-32 544,-53 34-368,-4 3-80,-1 3-112,2 3-352,56-43 912,-54 46-4089,54-46 4089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2:56:37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1934 61 4120,'0'0'0,"-2"-6"280,2 0-280,-3-3 0,3 9 0,0-8-40,0 2-24,0 3 56,0 0 32,0 3-24,-2-2 248,0-1 113,-5 0 55,2 0 88,5 3-504,-8-3 416,1 0-56,-4 3 32,-10-2-48,21 2-344,-10 0 312,-21 0-88,1 0-64,-13 8-24,43-8-136,-53 29 96,-15 3 16,-12 13 16,-14 13 104,94-58-232,-102 71 400,-12 10 97,-11 5 79,2 3-24,123-89-552,-124 88 504,8-4-16,13-6-40,5-7-96,98-71-352,-88 63 232,10-2-96,5-4-72,8 4-32,65-61-32,-60 56-32,7-3 0,10-8-80,4-8-96,39-37 208,-27 29-344,17-20-432,2 14-256,0-23 80,8 0 952,0 0-793,11 0 361,17 0 264,1-3-88,-29 3 256,39-9-288,5-16-56,4-2-88,4 2-40,-52 25 472,57-29-920,-7 4-2769,-50 25 3689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2:56:38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1614 359 7153,'0'0'0,"-58"8"384,-11 32-104,69-40-280,-93 42 224,-8 12 288,-7 6 256,-2 5 121,110-65-889,-121 68 1000,-3 3-248,5 3-208,0-6-112,119-68-432,-106 60 368,8-6-72,15-14-16,6-6-47,77-34-233,-65 28 160,12-19-48,10 16-32,11-19-64,32-6-16,-21 0-40,17 6-184,-3-6-361,4 0-415,3 0 1000,0-9-1376,26-25 136,1-3 359,1-17 409,-28 54 472,36-68-120,3-12 128,-4-8-8,-10-3-8,-25 91 8,30-88 24,-24 1-24,19 7 0,-20 1 32,-5 79-32,5-72 16,-5 10 40,6 8 24,-6 8 8,0 46-88,0-34 184,5 6-40,2 17-32,-2-1-40,-5 12-72,4-6-8,1 6-8,7 0-8,8 9 16,-20-9 8,7 34 48,23-5 49,-1 7 151,1 4 160,-30-40-408,42 46 504,3 2 72,3 0-32,7-2-96,-55-46-448,60 45 360,-1-2-48,1-6-32,6-9-32,-66-28-248,65 26 296,-3-17-48,4 12-23,-7-15 23,-59-6-248,67 0 176,-5 0-8,2 0-32,-9 0-48,-55 0-88,51 0 48,-8-3-16,-4 0-56,-7 0 32,-32 3-8,28-2-16,-7 2-8,-15 0 32,1 0-16,-7 0 8,5 0 32,1 0 72,-6 0 32,-2 0 56,2 0-192,-4-3 232,-19 3-48,11-2-40,-20-4-64,2-2-8,30 8-72,-34-12 80,-5-13 56,-10 13 48,2-19 80,47 31-264,-55-23 424,-3 12 152,10-12 200,5 18 17,43 5-793,-37-9 656,5 3-128,9 4-264,14-1-96,9 3-168,-7 0 56,0 0-56,5 0-64,2 8-16,0-8 80,0 31-64,5-8 0,3 6 40,16 2 24,-24-31 0,11 28 24,12-2-72,-14-1 48,17-17-16,-26-8 16,6 26-16,1-21 8,0 1 48,-3 0-80,-4-6 40,5 5 0,-5-5 72,0 0 96,0 0 88,0 0-256,0 0 224,0-2-48,-5-21-56,-18-3-72,23 26-48,-9-33 80,-21-12 0,10-9-40,-10-9 0,30 63-40,-28-65 40,-3-1 0,5-2-56,3 8 56,23 60-40,-8-54 40,0 9-24,1 14 88,3 8 56,4 23-160,0-6 104,0 3 24,25 3-96,5 23 32,-30-23-64,44 31 272,11 15 72,11 19 145,17 12-49,-83-77-440,91 88 320,10 9-168,9-1-64,2-3 8,-112-93-96,117 97-72,-7-3-232,-7 8-1185,-14-5-3480,-89-97 4969,81 94-11210,-81-94 11210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topLeftCell="A93" zoomScale="130" zoomScaleNormal="100" zoomScaleSheetLayoutView="130" workbookViewId="0">
      <selection activeCell="F16" sqref="F1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268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3" t="s">
        <v>8</v>
      </c>
      <c r="C2" s="65" t="s">
        <v>14</v>
      </c>
      <c r="D2" s="65"/>
      <c r="E2" s="13" t="s">
        <v>7</v>
      </c>
      <c r="F2" s="60">
        <v>45929</v>
      </c>
      <c r="G2" s="60"/>
      <c r="H2" s="60"/>
      <c r="I2" s="60"/>
      <c r="J2" s="60"/>
    </row>
    <row r="3" spans="1:10" ht="30" customHeight="1" x14ac:dyDescent="0.3">
      <c r="B3" s="13" t="s">
        <v>9</v>
      </c>
      <c r="C3" s="65" t="s">
        <v>60</v>
      </c>
      <c r="D3" s="65"/>
      <c r="E3" s="13" t="s">
        <v>6</v>
      </c>
      <c r="F3" s="65" t="s">
        <v>123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 t="s">
        <v>269</v>
      </c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1" t="s">
        <v>0</v>
      </c>
      <c r="C5" s="62"/>
      <c r="D5" s="62"/>
      <c r="E5" s="70" t="s">
        <v>1</v>
      </c>
      <c r="F5" s="70"/>
      <c r="G5" s="70"/>
      <c r="H5" s="70"/>
      <c r="I5" s="70" t="s">
        <v>2</v>
      </c>
      <c r="J5" s="71"/>
    </row>
    <row r="6" spans="1:10" ht="24.9" customHeight="1" thickBot="1" x14ac:dyDescent="0.35">
      <c r="A6" s="11"/>
      <c r="B6" s="63"/>
      <c r="C6" s="64"/>
      <c r="D6" s="64"/>
      <c r="E6" s="12" t="s">
        <v>3</v>
      </c>
      <c r="F6" s="12" t="s">
        <v>4</v>
      </c>
      <c r="G6" s="12" t="s">
        <v>23</v>
      </c>
      <c r="H6" s="12" t="s">
        <v>24</v>
      </c>
      <c r="I6" s="72"/>
      <c r="J6" s="73"/>
    </row>
    <row r="7" spans="1:10" ht="24.9" customHeight="1" thickBot="1" x14ac:dyDescent="0.35">
      <c r="A7" s="11"/>
      <c r="B7" s="68" t="s">
        <v>21</v>
      </c>
      <c r="C7" s="69"/>
      <c r="D7" s="69"/>
      <c r="E7" s="30" t="s">
        <v>18</v>
      </c>
      <c r="F7" s="30" t="s">
        <v>19</v>
      </c>
      <c r="G7" s="30" t="s">
        <v>22</v>
      </c>
      <c r="H7" s="30" t="s">
        <v>20</v>
      </c>
      <c r="I7" s="74" t="s">
        <v>25</v>
      </c>
      <c r="J7" s="75"/>
    </row>
    <row r="8" spans="1:10" ht="39.9" customHeight="1" thickBot="1" x14ac:dyDescent="0.35">
      <c r="A8" s="11"/>
      <c r="B8" s="88" t="s">
        <v>180</v>
      </c>
      <c r="C8" s="89"/>
      <c r="D8" s="89"/>
      <c r="E8" s="10">
        <v>0</v>
      </c>
      <c r="F8" s="41" t="s">
        <v>17</v>
      </c>
      <c r="G8" s="42" t="str">
        <f>IFERROR(F8/E8,"")</f>
        <v/>
      </c>
      <c r="H8" s="28" t="str">
        <f>_xlfn.IFS(F8="أدخل العلامة","",F8="لا ينطبق","تم الإلغاء",G8&gt;=90%,"ممتاز",G8&gt;=80%,"جيد جداً",G8&gt;=70%,"جيد",G8&gt;=60%,"مقبول",G8&lt;60%,"راسب")</f>
        <v>تم الإلغاء</v>
      </c>
      <c r="I8" s="82"/>
      <c r="J8" s="83"/>
    </row>
    <row r="9" spans="1:10" ht="30" customHeight="1" x14ac:dyDescent="0.3">
      <c r="A9" s="11"/>
      <c r="B9" s="90" t="s">
        <v>181</v>
      </c>
      <c r="C9" s="91"/>
      <c r="D9" s="91"/>
      <c r="E9" s="34"/>
      <c r="F9" s="35"/>
      <c r="G9" s="36"/>
      <c r="H9" s="37"/>
      <c r="I9" s="46"/>
      <c r="J9" s="47"/>
    </row>
    <row r="10" spans="1:10" ht="30" customHeight="1" x14ac:dyDescent="0.3">
      <c r="A10" s="11"/>
      <c r="B10" s="92" t="s">
        <v>182</v>
      </c>
      <c r="C10" s="93"/>
      <c r="D10" s="93"/>
      <c r="E10" s="9">
        <v>5</v>
      </c>
      <c r="F10" s="27">
        <v>4</v>
      </c>
      <c r="G10" s="32">
        <f t="shared" ref="G10:G73" si="0">IFERROR(F10/E10,"")</f>
        <v>0.8</v>
      </c>
      <c r="H10" s="33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8"/>
      <c r="J10" s="49"/>
    </row>
    <row r="11" spans="1:10" ht="30" customHeight="1" x14ac:dyDescent="0.3">
      <c r="A11" s="11"/>
      <c r="B11" s="92" t="s">
        <v>183</v>
      </c>
      <c r="C11" s="93"/>
      <c r="D11" s="93"/>
      <c r="E11" s="9">
        <v>0</v>
      </c>
      <c r="F11" s="27" t="s">
        <v>17</v>
      </c>
      <c r="G11" s="32" t="str">
        <f t="shared" si="0"/>
        <v/>
      </c>
      <c r="H11" s="33" t="str">
        <f t="shared" si="1"/>
        <v>تم الإلغاء</v>
      </c>
      <c r="I11" s="48"/>
      <c r="J11" s="49"/>
    </row>
    <row r="12" spans="1:10" ht="30" customHeight="1" x14ac:dyDescent="0.3">
      <c r="A12" s="11"/>
      <c r="B12" s="92" t="s">
        <v>184</v>
      </c>
      <c r="C12" s="93"/>
      <c r="D12" s="93"/>
      <c r="E12" s="9">
        <v>0</v>
      </c>
      <c r="F12" s="27" t="s">
        <v>17</v>
      </c>
      <c r="G12" s="32" t="str">
        <f t="shared" si="0"/>
        <v/>
      </c>
      <c r="H12" s="33" t="str">
        <f t="shared" si="1"/>
        <v>تم الإلغاء</v>
      </c>
      <c r="I12" s="48"/>
      <c r="J12" s="49"/>
    </row>
    <row r="13" spans="1:10" ht="30" customHeight="1" x14ac:dyDescent="0.3">
      <c r="A13" s="11"/>
      <c r="B13" s="92" t="s">
        <v>185</v>
      </c>
      <c r="C13" s="93"/>
      <c r="D13" s="93"/>
      <c r="E13" s="9">
        <v>5</v>
      </c>
      <c r="F13" s="27">
        <v>4</v>
      </c>
      <c r="G13" s="32">
        <f t="shared" si="0"/>
        <v>0.8</v>
      </c>
      <c r="H13" s="33" t="str">
        <f t="shared" si="1"/>
        <v>جيد جداً</v>
      </c>
      <c r="I13" s="48"/>
      <c r="J13" s="49"/>
    </row>
    <row r="14" spans="1:10" ht="30" customHeight="1" x14ac:dyDescent="0.3">
      <c r="A14" s="11"/>
      <c r="B14" s="92" t="s">
        <v>186</v>
      </c>
      <c r="C14" s="93"/>
      <c r="D14" s="93"/>
      <c r="E14" s="9">
        <v>0</v>
      </c>
      <c r="F14" s="27" t="s">
        <v>17</v>
      </c>
      <c r="G14" s="32" t="str">
        <f t="shared" si="0"/>
        <v/>
      </c>
      <c r="H14" s="33" t="str">
        <f t="shared" si="1"/>
        <v>تم الإلغاء</v>
      </c>
      <c r="I14" s="48"/>
      <c r="J14" s="49"/>
    </row>
    <row r="15" spans="1:10" ht="30" customHeight="1" x14ac:dyDescent="0.3">
      <c r="A15" s="11"/>
      <c r="B15" s="92" t="s">
        <v>187</v>
      </c>
      <c r="C15" s="93"/>
      <c r="D15" s="93"/>
      <c r="E15" s="9">
        <v>0</v>
      </c>
      <c r="F15" s="27" t="s">
        <v>17</v>
      </c>
      <c r="G15" s="32" t="str">
        <f t="shared" si="0"/>
        <v/>
      </c>
      <c r="H15" s="33" t="str">
        <f t="shared" si="1"/>
        <v>تم الإلغاء</v>
      </c>
      <c r="I15" s="48"/>
      <c r="J15" s="49"/>
    </row>
    <row r="16" spans="1:10" ht="48.75" customHeight="1" x14ac:dyDescent="0.3">
      <c r="A16" s="11"/>
      <c r="B16" s="92" t="s">
        <v>188</v>
      </c>
      <c r="C16" s="93"/>
      <c r="D16" s="93"/>
      <c r="E16" s="9">
        <v>5</v>
      </c>
      <c r="F16" s="27">
        <v>3.75</v>
      </c>
      <c r="G16" s="32">
        <f t="shared" si="0"/>
        <v>0.75</v>
      </c>
      <c r="H16" s="33" t="str">
        <f t="shared" si="1"/>
        <v>جيد</v>
      </c>
      <c r="I16" s="48"/>
      <c r="J16" s="49"/>
    </row>
    <row r="17" spans="1:10" ht="30" customHeight="1" x14ac:dyDescent="0.3">
      <c r="A17" s="11"/>
      <c r="B17" s="92" t="s">
        <v>189</v>
      </c>
      <c r="C17" s="93"/>
      <c r="D17" s="93"/>
      <c r="E17" s="9">
        <v>5</v>
      </c>
      <c r="F17" s="27">
        <v>3.5</v>
      </c>
      <c r="G17" s="32">
        <f t="shared" si="0"/>
        <v>0.7</v>
      </c>
      <c r="H17" s="33" t="str">
        <f t="shared" si="1"/>
        <v>جيد</v>
      </c>
      <c r="I17" s="48"/>
      <c r="J17" s="49"/>
    </row>
    <row r="18" spans="1:10" ht="30" customHeight="1" x14ac:dyDescent="0.3">
      <c r="A18" s="11"/>
      <c r="B18" s="92" t="s">
        <v>190</v>
      </c>
      <c r="C18" s="93"/>
      <c r="D18" s="93"/>
      <c r="E18" s="9">
        <v>5</v>
      </c>
      <c r="F18" s="27">
        <v>3.75</v>
      </c>
      <c r="G18" s="32">
        <f t="shared" si="0"/>
        <v>0.75</v>
      </c>
      <c r="H18" s="33" t="str">
        <f t="shared" si="1"/>
        <v>جيد</v>
      </c>
      <c r="I18" s="48"/>
      <c r="J18" s="49"/>
    </row>
    <row r="19" spans="1:10" ht="30" customHeight="1" x14ac:dyDescent="0.3">
      <c r="A19" s="11"/>
      <c r="B19" s="92" t="s">
        <v>191</v>
      </c>
      <c r="C19" s="93"/>
      <c r="D19" s="93"/>
      <c r="E19" s="9">
        <v>5</v>
      </c>
      <c r="F19" s="27">
        <v>4</v>
      </c>
      <c r="G19" s="32">
        <f t="shared" si="0"/>
        <v>0.8</v>
      </c>
      <c r="H19" s="33" t="str">
        <f t="shared" si="1"/>
        <v>جيد جداً</v>
      </c>
      <c r="I19" s="48"/>
      <c r="J19" s="49"/>
    </row>
    <row r="20" spans="1:10" ht="30" customHeight="1" x14ac:dyDescent="0.3">
      <c r="A20" s="11"/>
      <c r="B20" s="92" t="s">
        <v>192</v>
      </c>
      <c r="C20" s="93"/>
      <c r="D20" s="93"/>
      <c r="E20" s="9">
        <v>0</v>
      </c>
      <c r="F20" s="27" t="s">
        <v>17</v>
      </c>
      <c r="G20" s="32" t="str">
        <f t="shared" si="0"/>
        <v/>
      </c>
      <c r="H20" s="33" t="str">
        <f t="shared" si="1"/>
        <v>تم الإلغاء</v>
      </c>
      <c r="I20" s="48"/>
      <c r="J20" s="49"/>
    </row>
    <row r="21" spans="1:10" ht="30" customHeight="1" thickBot="1" x14ac:dyDescent="0.35">
      <c r="A21" s="11"/>
      <c r="B21" s="94" t="s">
        <v>193</v>
      </c>
      <c r="C21" s="95"/>
      <c r="D21" s="95"/>
      <c r="E21" s="38">
        <v>0</v>
      </c>
      <c r="F21" s="29" t="s">
        <v>17</v>
      </c>
      <c r="G21" s="39" t="str">
        <f t="shared" si="0"/>
        <v/>
      </c>
      <c r="H21" s="40" t="str">
        <f t="shared" si="1"/>
        <v>تم الإلغاء</v>
      </c>
      <c r="I21" s="55"/>
      <c r="J21" s="56"/>
    </row>
    <row r="22" spans="1:10" ht="39.9" customHeight="1" x14ac:dyDescent="0.3">
      <c r="A22" s="11"/>
      <c r="B22" s="90" t="s">
        <v>194</v>
      </c>
      <c r="C22" s="91"/>
      <c r="D22" s="91"/>
      <c r="E22" s="34"/>
      <c r="F22" s="35"/>
      <c r="G22" s="36"/>
      <c r="H22" s="37"/>
      <c r="I22" s="46"/>
      <c r="J22" s="47"/>
    </row>
    <row r="23" spans="1:10" ht="30" customHeight="1" x14ac:dyDescent="0.3">
      <c r="A23" s="11"/>
      <c r="B23" s="92" t="s">
        <v>195</v>
      </c>
      <c r="C23" s="93"/>
      <c r="D23" s="93"/>
      <c r="E23" s="9">
        <v>0</v>
      </c>
      <c r="F23" s="27" t="s">
        <v>17</v>
      </c>
      <c r="G23" s="32" t="str">
        <f t="shared" si="0"/>
        <v/>
      </c>
      <c r="H23" s="33" t="str">
        <f t="shared" si="1"/>
        <v>تم الإلغاء</v>
      </c>
      <c r="I23" s="48"/>
      <c r="J23" s="49"/>
    </row>
    <row r="24" spans="1:10" ht="30" customHeight="1" x14ac:dyDescent="0.3">
      <c r="A24" s="11"/>
      <c r="B24" s="92" t="s">
        <v>196</v>
      </c>
      <c r="C24" s="93"/>
      <c r="D24" s="93"/>
      <c r="E24" s="9">
        <v>0</v>
      </c>
      <c r="F24" s="27" t="s">
        <v>17</v>
      </c>
      <c r="G24" s="32" t="str">
        <f t="shared" si="0"/>
        <v/>
      </c>
      <c r="H24" s="33" t="str">
        <f t="shared" si="1"/>
        <v>تم الإلغاء</v>
      </c>
      <c r="I24" s="48"/>
      <c r="J24" s="49"/>
    </row>
    <row r="25" spans="1:10" ht="30" customHeight="1" x14ac:dyDescent="0.3">
      <c r="A25" s="11"/>
      <c r="B25" s="92" t="s">
        <v>197</v>
      </c>
      <c r="C25" s="93"/>
      <c r="D25" s="93"/>
      <c r="E25" s="9">
        <v>0</v>
      </c>
      <c r="F25" s="27" t="s">
        <v>17</v>
      </c>
      <c r="G25" s="32" t="str">
        <f t="shared" si="0"/>
        <v/>
      </c>
      <c r="H25" s="33" t="str">
        <f t="shared" si="1"/>
        <v>تم الإلغاء</v>
      </c>
      <c r="I25" s="48"/>
      <c r="J25" s="49"/>
    </row>
    <row r="26" spans="1:10" ht="30" customHeight="1" x14ac:dyDescent="0.3">
      <c r="A26" s="11"/>
      <c r="B26" s="92" t="s">
        <v>198</v>
      </c>
      <c r="C26" s="93"/>
      <c r="D26" s="93"/>
      <c r="E26" s="9">
        <v>0</v>
      </c>
      <c r="F26" s="27" t="s">
        <v>17</v>
      </c>
      <c r="G26" s="32" t="str">
        <f t="shared" si="0"/>
        <v/>
      </c>
      <c r="H26" s="33" t="str">
        <f t="shared" si="1"/>
        <v>تم الإلغاء</v>
      </c>
      <c r="I26" s="48"/>
      <c r="J26" s="49"/>
    </row>
    <row r="27" spans="1:10" ht="30" customHeight="1" x14ac:dyDescent="0.3">
      <c r="A27" s="11"/>
      <c r="B27" s="92" t="s">
        <v>199</v>
      </c>
      <c r="C27" s="93"/>
      <c r="D27" s="93"/>
      <c r="E27" s="9">
        <v>0</v>
      </c>
      <c r="F27" s="27" t="s">
        <v>17</v>
      </c>
      <c r="G27" s="32" t="str">
        <f t="shared" si="0"/>
        <v/>
      </c>
      <c r="H27" s="33" t="str">
        <f t="shared" si="1"/>
        <v>تم الإلغاء</v>
      </c>
      <c r="I27" s="48"/>
      <c r="J27" s="49"/>
    </row>
    <row r="28" spans="1:10" ht="30" customHeight="1" x14ac:dyDescent="0.3">
      <c r="A28" s="11"/>
      <c r="B28" s="92" t="s">
        <v>200</v>
      </c>
      <c r="C28" s="93"/>
      <c r="D28" s="93"/>
      <c r="E28" s="9">
        <v>0</v>
      </c>
      <c r="F28" s="27" t="s">
        <v>17</v>
      </c>
      <c r="G28" s="32" t="str">
        <f t="shared" si="0"/>
        <v/>
      </c>
      <c r="H28" s="33" t="str">
        <f t="shared" si="1"/>
        <v>تم الإلغاء</v>
      </c>
      <c r="I28" s="48"/>
      <c r="J28" s="49"/>
    </row>
    <row r="29" spans="1:10" ht="30" customHeight="1" thickBot="1" x14ac:dyDescent="0.35">
      <c r="A29" s="11"/>
      <c r="B29" s="94" t="s">
        <v>201</v>
      </c>
      <c r="C29" s="95"/>
      <c r="D29" s="95"/>
      <c r="E29" s="38">
        <v>0</v>
      </c>
      <c r="F29" s="29" t="s">
        <v>17</v>
      </c>
      <c r="G29" s="39" t="str">
        <f t="shared" si="0"/>
        <v/>
      </c>
      <c r="H29" s="40" t="str">
        <f t="shared" si="1"/>
        <v>تم الإلغاء</v>
      </c>
      <c r="I29" s="55"/>
      <c r="J29" s="56"/>
    </row>
    <row r="30" spans="1:10" ht="30" customHeight="1" x14ac:dyDescent="0.3">
      <c r="A30" s="11"/>
      <c r="B30" s="90" t="s">
        <v>202</v>
      </c>
      <c r="C30" s="91"/>
      <c r="D30" s="91"/>
      <c r="E30" s="34"/>
      <c r="F30" s="35"/>
      <c r="G30" s="36"/>
      <c r="H30" s="37"/>
      <c r="I30" s="46"/>
      <c r="J30" s="47"/>
    </row>
    <row r="31" spans="1:10" ht="39.9" customHeight="1" x14ac:dyDescent="0.3">
      <c r="A31" s="11"/>
      <c r="B31" s="92" t="s">
        <v>203</v>
      </c>
      <c r="C31" s="93"/>
      <c r="D31" s="93"/>
      <c r="E31" s="9">
        <v>5</v>
      </c>
      <c r="F31" s="27">
        <v>3.75</v>
      </c>
      <c r="G31" s="32">
        <f t="shared" si="0"/>
        <v>0.75</v>
      </c>
      <c r="H31" s="33" t="str">
        <f t="shared" si="1"/>
        <v>جيد</v>
      </c>
      <c r="I31" s="48"/>
      <c r="J31" s="49"/>
    </row>
    <row r="32" spans="1:10" ht="30" customHeight="1" x14ac:dyDescent="0.3">
      <c r="A32" s="11"/>
      <c r="B32" s="92" t="s">
        <v>204</v>
      </c>
      <c r="C32" s="93"/>
      <c r="D32" s="93"/>
      <c r="E32" s="9">
        <v>5</v>
      </c>
      <c r="F32" s="27">
        <v>3.5</v>
      </c>
      <c r="G32" s="32">
        <f t="shared" si="0"/>
        <v>0.7</v>
      </c>
      <c r="H32" s="33" t="str">
        <f t="shared" si="1"/>
        <v>جيد</v>
      </c>
      <c r="I32" s="48"/>
      <c r="J32" s="49"/>
    </row>
    <row r="33" spans="1:10" ht="39.9" customHeight="1" thickBot="1" x14ac:dyDescent="0.35">
      <c r="A33" s="11"/>
      <c r="B33" s="94" t="s">
        <v>205</v>
      </c>
      <c r="C33" s="95"/>
      <c r="D33" s="95"/>
      <c r="E33" s="38">
        <v>5</v>
      </c>
      <c r="F33" s="29">
        <v>4</v>
      </c>
      <c r="G33" s="39">
        <f t="shared" si="0"/>
        <v>0.8</v>
      </c>
      <c r="H33" s="40" t="str">
        <f t="shared" si="1"/>
        <v>جيد جداً</v>
      </c>
      <c r="I33" s="55"/>
      <c r="J33" s="56"/>
    </row>
    <row r="34" spans="1:10" ht="30" customHeight="1" x14ac:dyDescent="0.3">
      <c r="A34" s="11"/>
      <c r="B34" s="90" t="s">
        <v>206</v>
      </c>
      <c r="C34" s="91"/>
      <c r="D34" s="91"/>
      <c r="E34" s="34"/>
      <c r="F34" s="35"/>
      <c r="G34" s="36"/>
      <c r="H34" s="37"/>
      <c r="I34" s="46"/>
      <c r="J34" s="47"/>
    </row>
    <row r="35" spans="1:10" ht="51.75" customHeight="1" x14ac:dyDescent="0.3">
      <c r="A35" s="11"/>
      <c r="B35" s="92" t="s">
        <v>207</v>
      </c>
      <c r="C35" s="93"/>
      <c r="D35" s="93"/>
      <c r="E35" s="9">
        <v>0</v>
      </c>
      <c r="F35" s="27" t="s">
        <v>17</v>
      </c>
      <c r="G35" s="32" t="str">
        <f t="shared" si="0"/>
        <v/>
      </c>
      <c r="H35" s="33" t="str">
        <f t="shared" si="1"/>
        <v>تم الإلغاء</v>
      </c>
      <c r="I35" s="48"/>
      <c r="J35" s="49"/>
    </row>
    <row r="36" spans="1:10" ht="30" customHeight="1" x14ac:dyDescent="0.3">
      <c r="A36" s="11"/>
      <c r="B36" s="92" t="s">
        <v>208</v>
      </c>
      <c r="C36" s="93"/>
      <c r="D36" s="93"/>
      <c r="E36" s="9">
        <v>0</v>
      </c>
      <c r="F36" s="27" t="s">
        <v>17</v>
      </c>
      <c r="G36" s="32" t="str">
        <f t="shared" si="0"/>
        <v/>
      </c>
      <c r="H36" s="33" t="str">
        <f t="shared" si="1"/>
        <v>تم الإلغاء</v>
      </c>
      <c r="I36" s="48"/>
      <c r="J36" s="49"/>
    </row>
    <row r="37" spans="1:10" ht="39.9" customHeight="1" x14ac:dyDescent="0.3">
      <c r="A37" s="11"/>
      <c r="B37" s="92" t="s">
        <v>209</v>
      </c>
      <c r="C37" s="93"/>
      <c r="D37" s="93"/>
      <c r="E37" s="9">
        <v>0</v>
      </c>
      <c r="F37" s="27" t="s">
        <v>17</v>
      </c>
      <c r="G37" s="32" t="str">
        <f t="shared" si="0"/>
        <v/>
      </c>
      <c r="H37" s="33" t="str">
        <f t="shared" si="1"/>
        <v>تم الإلغاء</v>
      </c>
      <c r="I37" s="48"/>
      <c r="J37" s="49"/>
    </row>
    <row r="38" spans="1:10" ht="39.9" customHeight="1" x14ac:dyDescent="0.3">
      <c r="A38" s="11"/>
      <c r="B38" s="92" t="s">
        <v>210</v>
      </c>
      <c r="C38" s="93"/>
      <c r="D38" s="93"/>
      <c r="E38" s="9">
        <v>0</v>
      </c>
      <c r="F38" s="27" t="s">
        <v>17</v>
      </c>
      <c r="G38" s="32" t="str">
        <f t="shared" si="0"/>
        <v/>
      </c>
      <c r="H38" s="33" t="str">
        <f t="shared" si="1"/>
        <v>تم الإلغاء</v>
      </c>
      <c r="I38" s="48"/>
      <c r="J38" s="49"/>
    </row>
    <row r="39" spans="1:10" ht="30" customHeight="1" x14ac:dyDescent="0.3">
      <c r="A39" s="11"/>
      <c r="B39" s="92" t="s">
        <v>211</v>
      </c>
      <c r="C39" s="93"/>
      <c r="D39" s="93"/>
      <c r="E39" s="9">
        <v>0</v>
      </c>
      <c r="F39" s="27" t="s">
        <v>17</v>
      </c>
      <c r="G39" s="32" t="str">
        <f t="shared" si="0"/>
        <v/>
      </c>
      <c r="H39" s="33" t="str">
        <f t="shared" si="1"/>
        <v>تم الإلغاء</v>
      </c>
      <c r="I39" s="48"/>
      <c r="J39" s="49"/>
    </row>
    <row r="40" spans="1:10" ht="30" customHeight="1" x14ac:dyDescent="0.3">
      <c r="A40" s="11"/>
      <c r="B40" s="92" t="s">
        <v>212</v>
      </c>
      <c r="C40" s="93"/>
      <c r="D40" s="93"/>
      <c r="E40" s="9">
        <v>0</v>
      </c>
      <c r="F40" s="27" t="s">
        <v>17</v>
      </c>
      <c r="G40" s="32" t="str">
        <f t="shared" si="0"/>
        <v/>
      </c>
      <c r="H40" s="33" t="str">
        <f t="shared" si="1"/>
        <v>تم الإلغاء</v>
      </c>
      <c r="I40" s="48"/>
      <c r="J40" s="49"/>
    </row>
    <row r="41" spans="1:10" ht="39.9" customHeight="1" x14ac:dyDescent="0.3">
      <c r="A41" s="11"/>
      <c r="B41" s="92" t="s">
        <v>213</v>
      </c>
      <c r="C41" s="93"/>
      <c r="D41" s="93"/>
      <c r="E41" s="9">
        <v>5</v>
      </c>
      <c r="F41" s="27">
        <v>4</v>
      </c>
      <c r="G41" s="32">
        <f t="shared" si="0"/>
        <v>0.8</v>
      </c>
      <c r="H41" s="33" t="str">
        <f t="shared" si="1"/>
        <v>جيد جداً</v>
      </c>
      <c r="I41" s="48"/>
      <c r="J41" s="49"/>
    </row>
    <row r="42" spans="1:10" ht="39.9" customHeight="1" x14ac:dyDescent="0.3">
      <c r="A42" s="11"/>
      <c r="B42" s="92" t="s">
        <v>214</v>
      </c>
      <c r="C42" s="93"/>
      <c r="D42" s="93"/>
      <c r="E42" s="9">
        <v>0</v>
      </c>
      <c r="F42" s="27" t="s">
        <v>17</v>
      </c>
      <c r="G42" s="32" t="str">
        <f t="shared" si="0"/>
        <v/>
      </c>
      <c r="H42" s="33" t="str">
        <f t="shared" si="1"/>
        <v>تم الإلغاء</v>
      </c>
      <c r="I42" s="48"/>
      <c r="J42" s="49"/>
    </row>
    <row r="43" spans="1:10" ht="30" customHeight="1" x14ac:dyDescent="0.3">
      <c r="A43" s="11"/>
      <c r="B43" s="92" t="s">
        <v>215</v>
      </c>
      <c r="C43" s="93"/>
      <c r="D43" s="93"/>
      <c r="E43" s="9">
        <v>0</v>
      </c>
      <c r="F43" s="27" t="s">
        <v>17</v>
      </c>
      <c r="G43" s="32" t="str">
        <f t="shared" si="0"/>
        <v/>
      </c>
      <c r="H43" s="33" t="str">
        <f t="shared" si="1"/>
        <v>تم الإلغاء</v>
      </c>
      <c r="I43" s="48"/>
      <c r="J43" s="49"/>
    </row>
    <row r="44" spans="1:10" ht="30" customHeight="1" x14ac:dyDescent="0.3">
      <c r="A44" s="11"/>
      <c r="B44" s="92" t="s">
        <v>216</v>
      </c>
      <c r="C44" s="93"/>
      <c r="D44" s="93"/>
      <c r="E44" s="9">
        <v>0</v>
      </c>
      <c r="F44" s="27" t="s">
        <v>17</v>
      </c>
      <c r="G44" s="32" t="str">
        <f t="shared" si="0"/>
        <v/>
      </c>
      <c r="H44" s="33" t="str">
        <f t="shared" si="1"/>
        <v>تم الإلغاء</v>
      </c>
      <c r="I44" s="48"/>
      <c r="J44" s="49"/>
    </row>
    <row r="45" spans="1:10" ht="30" customHeight="1" x14ac:dyDescent="0.3">
      <c r="A45" s="11"/>
      <c r="B45" s="92" t="s">
        <v>217</v>
      </c>
      <c r="C45" s="93"/>
      <c r="D45" s="93"/>
      <c r="E45" s="9">
        <v>0</v>
      </c>
      <c r="F45" s="27" t="s">
        <v>17</v>
      </c>
      <c r="G45" s="32" t="str">
        <f t="shared" si="0"/>
        <v/>
      </c>
      <c r="H45" s="33" t="str">
        <f t="shared" si="1"/>
        <v>تم الإلغاء</v>
      </c>
      <c r="I45" s="48"/>
      <c r="J45" s="49"/>
    </row>
    <row r="46" spans="1:10" ht="30" customHeight="1" x14ac:dyDescent="0.3">
      <c r="A46" s="11"/>
      <c r="B46" s="92" t="s">
        <v>218</v>
      </c>
      <c r="C46" s="93"/>
      <c r="D46" s="93"/>
      <c r="E46" s="9">
        <v>0</v>
      </c>
      <c r="F46" s="27" t="s">
        <v>17</v>
      </c>
      <c r="G46" s="32" t="str">
        <f t="shared" si="0"/>
        <v/>
      </c>
      <c r="H46" s="33" t="str">
        <f t="shared" si="1"/>
        <v>تم الإلغاء</v>
      </c>
      <c r="I46" s="48"/>
      <c r="J46" s="49"/>
    </row>
    <row r="47" spans="1:10" ht="30" customHeight="1" x14ac:dyDescent="0.3">
      <c r="A47" s="11"/>
      <c r="B47" s="92" t="s">
        <v>219</v>
      </c>
      <c r="C47" s="93"/>
      <c r="D47" s="93"/>
      <c r="E47" s="9">
        <v>0</v>
      </c>
      <c r="F47" s="27" t="s">
        <v>17</v>
      </c>
      <c r="G47" s="32" t="str">
        <f t="shared" si="0"/>
        <v/>
      </c>
      <c r="H47" s="33" t="str">
        <f t="shared" si="1"/>
        <v>تم الإلغاء</v>
      </c>
      <c r="I47" s="48"/>
      <c r="J47" s="49"/>
    </row>
    <row r="48" spans="1:10" ht="39.9" customHeight="1" thickBot="1" x14ac:dyDescent="0.35">
      <c r="A48" s="11"/>
      <c r="B48" s="94" t="s">
        <v>220</v>
      </c>
      <c r="C48" s="95"/>
      <c r="D48" s="95"/>
      <c r="E48" s="38">
        <v>0</v>
      </c>
      <c r="F48" s="29" t="s">
        <v>17</v>
      </c>
      <c r="G48" s="39" t="str">
        <f t="shared" si="0"/>
        <v/>
      </c>
      <c r="H48" s="40" t="str">
        <f t="shared" si="1"/>
        <v>تم الإلغاء</v>
      </c>
      <c r="I48" s="55"/>
      <c r="J48" s="56"/>
    </row>
    <row r="49" spans="1:10" ht="30" customHeight="1" x14ac:dyDescent="0.3">
      <c r="A49" s="11"/>
      <c r="B49" s="90" t="s">
        <v>221</v>
      </c>
      <c r="C49" s="91"/>
      <c r="D49" s="91"/>
      <c r="E49" s="34"/>
      <c r="F49" s="35"/>
      <c r="G49" s="36"/>
      <c r="H49" s="37"/>
      <c r="I49" s="46"/>
      <c r="J49" s="47"/>
    </row>
    <row r="50" spans="1:10" ht="39.9" customHeight="1" x14ac:dyDescent="0.3">
      <c r="A50" s="11"/>
      <c r="B50" s="92" t="s">
        <v>222</v>
      </c>
      <c r="C50" s="93"/>
      <c r="D50" s="93"/>
      <c r="E50" s="9">
        <v>5</v>
      </c>
      <c r="F50" s="27">
        <v>3.75</v>
      </c>
      <c r="G50" s="32">
        <f t="shared" si="0"/>
        <v>0.75</v>
      </c>
      <c r="H50" s="33" t="str">
        <f t="shared" si="1"/>
        <v>جيد</v>
      </c>
      <c r="I50" s="48"/>
      <c r="J50" s="49"/>
    </row>
    <row r="51" spans="1:10" ht="50.25" customHeight="1" x14ac:dyDescent="0.3">
      <c r="A51" s="11"/>
      <c r="B51" s="92" t="s">
        <v>223</v>
      </c>
      <c r="C51" s="93"/>
      <c r="D51" s="93"/>
      <c r="E51" s="9">
        <v>5</v>
      </c>
      <c r="F51" s="27">
        <v>3.75</v>
      </c>
      <c r="G51" s="32">
        <f t="shared" si="0"/>
        <v>0.75</v>
      </c>
      <c r="H51" s="33" t="str">
        <f t="shared" si="1"/>
        <v>جيد</v>
      </c>
      <c r="I51" s="48"/>
      <c r="J51" s="49"/>
    </row>
    <row r="52" spans="1:10" ht="39.9" customHeight="1" x14ac:dyDescent="0.3">
      <c r="A52" s="11"/>
      <c r="B52" s="92" t="s">
        <v>224</v>
      </c>
      <c r="C52" s="93"/>
      <c r="D52" s="93"/>
      <c r="E52" s="9">
        <v>5</v>
      </c>
      <c r="F52" s="27">
        <v>3.5</v>
      </c>
      <c r="G52" s="32">
        <f t="shared" si="0"/>
        <v>0.7</v>
      </c>
      <c r="H52" s="33" t="str">
        <f t="shared" si="1"/>
        <v>جيد</v>
      </c>
      <c r="I52" s="48"/>
      <c r="J52" s="49"/>
    </row>
    <row r="53" spans="1:10" ht="39.9" customHeight="1" x14ac:dyDescent="0.3">
      <c r="A53" s="11"/>
      <c r="B53" s="92" t="s">
        <v>225</v>
      </c>
      <c r="C53" s="93"/>
      <c r="D53" s="93"/>
      <c r="E53" s="9">
        <v>5</v>
      </c>
      <c r="F53" s="27">
        <v>3.75</v>
      </c>
      <c r="G53" s="32">
        <f t="shared" si="0"/>
        <v>0.75</v>
      </c>
      <c r="H53" s="33" t="str">
        <f t="shared" si="1"/>
        <v>جيد</v>
      </c>
      <c r="I53" s="48"/>
      <c r="J53" s="49"/>
    </row>
    <row r="54" spans="1:10" ht="30" customHeight="1" x14ac:dyDescent="0.3">
      <c r="A54" s="11"/>
      <c r="B54" s="92" t="s">
        <v>226</v>
      </c>
      <c r="C54" s="93"/>
      <c r="D54" s="93"/>
      <c r="E54" s="9">
        <v>5</v>
      </c>
      <c r="F54" s="27">
        <v>3.75</v>
      </c>
      <c r="G54" s="32">
        <f t="shared" si="0"/>
        <v>0.75</v>
      </c>
      <c r="H54" s="33" t="str">
        <f t="shared" si="1"/>
        <v>جيد</v>
      </c>
      <c r="I54" s="48"/>
      <c r="J54" s="49"/>
    </row>
    <row r="55" spans="1:10" ht="30" customHeight="1" x14ac:dyDescent="0.3">
      <c r="A55" s="11"/>
      <c r="B55" s="92" t="s">
        <v>227</v>
      </c>
      <c r="C55" s="93"/>
      <c r="D55" s="93"/>
      <c r="E55" s="9">
        <v>0</v>
      </c>
      <c r="F55" s="27" t="s">
        <v>17</v>
      </c>
      <c r="G55" s="32" t="str">
        <f t="shared" si="0"/>
        <v/>
      </c>
      <c r="H55" s="33" t="str">
        <f t="shared" si="1"/>
        <v>تم الإلغاء</v>
      </c>
      <c r="I55" s="48"/>
      <c r="J55" s="49"/>
    </row>
    <row r="56" spans="1:10" ht="39.9" customHeight="1" x14ac:dyDescent="0.3">
      <c r="A56" s="11"/>
      <c r="B56" s="92" t="s">
        <v>228</v>
      </c>
      <c r="C56" s="93"/>
      <c r="D56" s="93"/>
      <c r="E56" s="9">
        <v>5</v>
      </c>
      <c r="F56" s="27">
        <v>3.75</v>
      </c>
      <c r="G56" s="32">
        <f t="shared" si="0"/>
        <v>0.75</v>
      </c>
      <c r="H56" s="33" t="str">
        <f t="shared" si="1"/>
        <v>جيد</v>
      </c>
      <c r="I56" s="48"/>
      <c r="J56" s="49"/>
    </row>
    <row r="57" spans="1:10" ht="30" customHeight="1" x14ac:dyDescent="0.3">
      <c r="A57" s="11"/>
      <c r="B57" s="92" t="s">
        <v>229</v>
      </c>
      <c r="C57" s="93"/>
      <c r="D57" s="93"/>
      <c r="E57" s="9">
        <v>0</v>
      </c>
      <c r="F57" s="27" t="s">
        <v>17</v>
      </c>
      <c r="G57" s="32" t="str">
        <f t="shared" si="0"/>
        <v/>
      </c>
      <c r="H57" s="33" t="str">
        <f t="shared" si="1"/>
        <v>تم الإلغاء</v>
      </c>
      <c r="I57" s="48"/>
      <c r="J57" s="49"/>
    </row>
    <row r="58" spans="1:10" ht="30" customHeight="1" x14ac:dyDescent="0.3">
      <c r="A58" s="11"/>
      <c r="B58" s="92" t="s">
        <v>230</v>
      </c>
      <c r="C58" s="93"/>
      <c r="D58" s="93"/>
      <c r="E58" s="9">
        <v>0</v>
      </c>
      <c r="F58" s="27" t="s">
        <v>17</v>
      </c>
      <c r="G58" s="32" t="str">
        <f t="shared" si="0"/>
        <v/>
      </c>
      <c r="H58" s="33" t="str">
        <f t="shared" si="1"/>
        <v>تم الإلغاء</v>
      </c>
      <c r="I58" s="48"/>
      <c r="J58" s="49"/>
    </row>
    <row r="59" spans="1:10" ht="30" customHeight="1" x14ac:dyDescent="0.3">
      <c r="A59" s="11"/>
      <c r="B59" s="92" t="s">
        <v>231</v>
      </c>
      <c r="C59" s="93"/>
      <c r="D59" s="93"/>
      <c r="E59" s="9">
        <v>0</v>
      </c>
      <c r="F59" s="27" t="s">
        <v>17</v>
      </c>
      <c r="G59" s="32" t="str">
        <f t="shared" si="0"/>
        <v/>
      </c>
      <c r="H59" s="33" t="str">
        <f t="shared" si="1"/>
        <v>تم الإلغاء</v>
      </c>
      <c r="I59" s="48"/>
      <c r="J59" s="49"/>
    </row>
    <row r="60" spans="1:10" ht="30" customHeight="1" thickBot="1" x14ac:dyDescent="0.35">
      <c r="A60" s="11"/>
      <c r="B60" s="94" t="s">
        <v>232</v>
      </c>
      <c r="C60" s="95"/>
      <c r="D60" s="95"/>
      <c r="E60" s="38">
        <v>5</v>
      </c>
      <c r="F60" s="29">
        <v>3.75</v>
      </c>
      <c r="G60" s="39">
        <f t="shared" si="0"/>
        <v>0.75</v>
      </c>
      <c r="H60" s="40" t="str">
        <f t="shared" si="1"/>
        <v>جيد</v>
      </c>
      <c r="I60" s="55"/>
      <c r="J60" s="56"/>
    </row>
    <row r="61" spans="1:10" ht="30" customHeight="1" x14ac:dyDescent="0.3">
      <c r="A61" s="11"/>
      <c r="B61" s="96" t="s">
        <v>233</v>
      </c>
      <c r="C61" s="97"/>
      <c r="D61" s="97"/>
      <c r="E61" s="34"/>
      <c r="F61" s="35"/>
      <c r="G61" s="36"/>
      <c r="H61" s="37"/>
      <c r="I61" s="46"/>
      <c r="J61" s="47"/>
    </row>
    <row r="62" spans="1:10" ht="30" customHeight="1" x14ac:dyDescent="0.3">
      <c r="A62" s="11"/>
      <c r="B62" s="92" t="s">
        <v>234</v>
      </c>
      <c r="C62" s="93"/>
      <c r="D62" s="93"/>
      <c r="E62" s="9">
        <v>5</v>
      </c>
      <c r="F62" s="27">
        <v>4</v>
      </c>
      <c r="G62" s="32">
        <f t="shared" si="0"/>
        <v>0.8</v>
      </c>
      <c r="H62" s="33" t="str">
        <f t="shared" si="1"/>
        <v>جيد جداً</v>
      </c>
      <c r="I62" s="48"/>
      <c r="J62" s="49"/>
    </row>
    <row r="63" spans="1:10" ht="30" customHeight="1" x14ac:dyDescent="0.3">
      <c r="A63" s="11"/>
      <c r="B63" s="92" t="s">
        <v>235</v>
      </c>
      <c r="C63" s="93"/>
      <c r="D63" s="93"/>
      <c r="E63" s="9">
        <v>5</v>
      </c>
      <c r="F63" s="27">
        <v>4</v>
      </c>
      <c r="G63" s="32">
        <f t="shared" si="0"/>
        <v>0.8</v>
      </c>
      <c r="H63" s="33" t="str">
        <f t="shared" si="1"/>
        <v>جيد جداً</v>
      </c>
      <c r="I63" s="48"/>
      <c r="J63" s="49"/>
    </row>
    <row r="64" spans="1:10" ht="30" customHeight="1" x14ac:dyDescent="0.3">
      <c r="A64" s="11"/>
      <c r="B64" s="92" t="s">
        <v>236</v>
      </c>
      <c r="C64" s="93"/>
      <c r="D64" s="93"/>
      <c r="E64" s="9">
        <v>5</v>
      </c>
      <c r="F64" s="27">
        <v>4.25</v>
      </c>
      <c r="G64" s="32">
        <f t="shared" si="0"/>
        <v>0.85</v>
      </c>
      <c r="H64" s="33" t="str">
        <f t="shared" si="1"/>
        <v>جيد جداً</v>
      </c>
      <c r="I64" s="48"/>
      <c r="J64" s="49"/>
    </row>
    <row r="65" spans="1:10" ht="30" customHeight="1" x14ac:dyDescent="0.3">
      <c r="A65" s="11"/>
      <c r="B65" s="92" t="s">
        <v>237</v>
      </c>
      <c r="C65" s="93"/>
      <c r="D65" s="93"/>
      <c r="E65" s="9">
        <v>5</v>
      </c>
      <c r="F65" s="27">
        <v>4</v>
      </c>
      <c r="G65" s="32">
        <f t="shared" si="0"/>
        <v>0.8</v>
      </c>
      <c r="H65" s="33" t="str">
        <f t="shared" si="1"/>
        <v>جيد جداً</v>
      </c>
      <c r="I65" s="48"/>
      <c r="J65" s="49"/>
    </row>
    <row r="66" spans="1:10" ht="30" customHeight="1" x14ac:dyDescent="0.3">
      <c r="A66" s="11"/>
      <c r="B66" s="92" t="s">
        <v>238</v>
      </c>
      <c r="C66" s="93"/>
      <c r="D66" s="93"/>
      <c r="E66" s="9">
        <v>5</v>
      </c>
      <c r="F66" s="27">
        <v>4.25</v>
      </c>
      <c r="G66" s="32">
        <f t="shared" si="0"/>
        <v>0.85</v>
      </c>
      <c r="H66" s="33" t="str">
        <f t="shared" si="1"/>
        <v>جيد جداً</v>
      </c>
      <c r="I66" s="48"/>
      <c r="J66" s="49"/>
    </row>
    <row r="67" spans="1:10" ht="30" customHeight="1" x14ac:dyDescent="0.3">
      <c r="A67" s="11"/>
      <c r="B67" s="92" t="s">
        <v>239</v>
      </c>
      <c r="C67" s="93"/>
      <c r="D67" s="93"/>
      <c r="E67" s="9">
        <v>5</v>
      </c>
      <c r="F67" s="27">
        <v>4</v>
      </c>
      <c r="G67" s="32">
        <f t="shared" si="0"/>
        <v>0.8</v>
      </c>
      <c r="H67" s="33" t="str">
        <f t="shared" si="1"/>
        <v>جيد جداً</v>
      </c>
      <c r="I67" s="48"/>
      <c r="J67" s="49"/>
    </row>
    <row r="68" spans="1:10" ht="30" customHeight="1" x14ac:dyDescent="0.3">
      <c r="A68" s="11"/>
      <c r="B68" s="92" t="s">
        <v>240</v>
      </c>
      <c r="C68" s="93"/>
      <c r="D68" s="93"/>
      <c r="E68" s="9">
        <v>5</v>
      </c>
      <c r="F68" s="27">
        <v>4.25</v>
      </c>
      <c r="G68" s="32">
        <f t="shared" si="0"/>
        <v>0.85</v>
      </c>
      <c r="H68" s="33" t="str">
        <f t="shared" si="1"/>
        <v>جيد جداً</v>
      </c>
      <c r="I68" s="48"/>
      <c r="J68" s="49"/>
    </row>
    <row r="69" spans="1:10" ht="30" customHeight="1" x14ac:dyDescent="0.3">
      <c r="A69" s="11"/>
      <c r="B69" s="92" t="s">
        <v>241</v>
      </c>
      <c r="C69" s="93"/>
      <c r="D69" s="93"/>
      <c r="E69" s="9">
        <v>5</v>
      </c>
      <c r="F69" s="27">
        <v>4.25</v>
      </c>
      <c r="G69" s="32">
        <f t="shared" si="0"/>
        <v>0.85</v>
      </c>
      <c r="H69" s="33" t="str">
        <f t="shared" si="1"/>
        <v>جيد جداً</v>
      </c>
      <c r="I69" s="48"/>
      <c r="J69" s="49"/>
    </row>
    <row r="70" spans="1:10" ht="30" customHeight="1" x14ac:dyDescent="0.3">
      <c r="A70" s="11"/>
      <c r="B70" s="92" t="s">
        <v>242</v>
      </c>
      <c r="C70" s="93"/>
      <c r="D70" s="93"/>
      <c r="E70" s="9">
        <v>5</v>
      </c>
      <c r="F70" s="27">
        <v>4.25</v>
      </c>
      <c r="G70" s="32">
        <f t="shared" si="0"/>
        <v>0.85</v>
      </c>
      <c r="H70" s="33" t="str">
        <f t="shared" si="1"/>
        <v>جيد جداً</v>
      </c>
      <c r="I70" s="48"/>
      <c r="J70" s="49"/>
    </row>
    <row r="71" spans="1:10" ht="30" customHeight="1" x14ac:dyDescent="0.3">
      <c r="A71" s="11"/>
      <c r="B71" s="92" t="s">
        <v>243</v>
      </c>
      <c r="C71" s="93"/>
      <c r="D71" s="93"/>
      <c r="E71" s="9">
        <v>5</v>
      </c>
      <c r="F71" s="27">
        <v>4.25</v>
      </c>
      <c r="G71" s="32">
        <f t="shared" si="0"/>
        <v>0.85</v>
      </c>
      <c r="H71" s="33" t="str">
        <f t="shared" si="1"/>
        <v>جيد جداً</v>
      </c>
      <c r="I71" s="48"/>
      <c r="J71" s="49"/>
    </row>
    <row r="72" spans="1:10" ht="30" customHeight="1" x14ac:dyDescent="0.3">
      <c r="A72" s="11"/>
      <c r="B72" s="92" t="s">
        <v>244</v>
      </c>
      <c r="C72" s="93"/>
      <c r="D72" s="93"/>
      <c r="E72" s="9">
        <v>5</v>
      </c>
      <c r="F72" s="27">
        <v>4</v>
      </c>
      <c r="G72" s="32">
        <f t="shared" si="0"/>
        <v>0.8</v>
      </c>
      <c r="H72" s="33" t="str">
        <f t="shared" si="1"/>
        <v>جيد جداً</v>
      </c>
      <c r="I72" s="48"/>
      <c r="J72" s="49"/>
    </row>
    <row r="73" spans="1:10" ht="30" customHeight="1" x14ac:dyDescent="0.3">
      <c r="A73" s="11"/>
      <c r="B73" s="92" t="s">
        <v>245</v>
      </c>
      <c r="C73" s="93"/>
      <c r="D73" s="93"/>
      <c r="E73" s="9">
        <v>5</v>
      </c>
      <c r="F73" s="27">
        <v>4</v>
      </c>
      <c r="G73" s="32">
        <f t="shared" si="0"/>
        <v>0.8</v>
      </c>
      <c r="H73" s="33" t="str">
        <f t="shared" si="1"/>
        <v>جيد جداً</v>
      </c>
      <c r="I73" s="48"/>
      <c r="J73" s="49"/>
    </row>
    <row r="74" spans="1:10" ht="30" customHeight="1" x14ac:dyDescent="0.3">
      <c r="A74" s="11"/>
      <c r="B74" s="92" t="s">
        <v>246</v>
      </c>
      <c r="C74" s="93"/>
      <c r="D74" s="93"/>
      <c r="E74" s="9">
        <v>5</v>
      </c>
      <c r="F74" s="27">
        <v>4</v>
      </c>
      <c r="G74" s="32">
        <f t="shared" ref="G74:G95" si="2">IFERROR(F74/E74,"")</f>
        <v>0.8</v>
      </c>
      <c r="H74" s="33" t="str">
        <f t="shared" ref="H74:H95" si="3">_xlfn.IFS(F74="أدخل العلامة","",F74="لا ينطبق","تم الإلغاء",G74&gt;=90%,"ممتاز",G74&gt;=80%,"جيد جداً",G74&gt;=70%,"جيد",G74&gt;=60%,"مقبول",G74&lt;60%,"راسب")</f>
        <v>جيد جداً</v>
      </c>
      <c r="I74" s="48"/>
      <c r="J74" s="49"/>
    </row>
    <row r="75" spans="1:10" ht="30" customHeight="1" thickBot="1" x14ac:dyDescent="0.35">
      <c r="A75" s="11"/>
      <c r="B75" s="94" t="s">
        <v>247</v>
      </c>
      <c r="C75" s="95"/>
      <c r="D75" s="95"/>
      <c r="E75" s="38">
        <v>5</v>
      </c>
      <c r="F75" s="29">
        <v>4.25</v>
      </c>
      <c r="G75" s="39">
        <f t="shared" si="2"/>
        <v>0.85</v>
      </c>
      <c r="H75" s="40" t="str">
        <f t="shared" si="3"/>
        <v>جيد جداً</v>
      </c>
      <c r="I75" s="55"/>
      <c r="J75" s="56"/>
    </row>
    <row r="76" spans="1:10" ht="30" customHeight="1" x14ac:dyDescent="0.3">
      <c r="A76" s="11"/>
      <c r="B76" s="90" t="s">
        <v>248</v>
      </c>
      <c r="C76" s="91"/>
      <c r="D76" s="91"/>
      <c r="E76" s="34"/>
      <c r="F76" s="35"/>
      <c r="G76" s="36"/>
      <c r="H76" s="37"/>
      <c r="I76" s="46"/>
      <c r="J76" s="47"/>
    </row>
    <row r="77" spans="1:10" ht="30" customHeight="1" x14ac:dyDescent="0.3">
      <c r="A77" s="11"/>
      <c r="B77" s="92" t="s">
        <v>249</v>
      </c>
      <c r="C77" s="93"/>
      <c r="D77" s="93"/>
      <c r="E77" s="9">
        <v>5</v>
      </c>
      <c r="F77" s="27">
        <v>3.5</v>
      </c>
      <c r="G77" s="32">
        <f t="shared" si="2"/>
        <v>0.7</v>
      </c>
      <c r="H77" s="33" t="str">
        <f t="shared" si="3"/>
        <v>جيد</v>
      </c>
      <c r="I77" s="48"/>
      <c r="J77" s="49"/>
    </row>
    <row r="78" spans="1:10" ht="30" customHeight="1" x14ac:dyDescent="0.3">
      <c r="A78" s="11"/>
      <c r="B78" s="92" t="s">
        <v>250</v>
      </c>
      <c r="C78" s="93"/>
      <c r="D78" s="93"/>
      <c r="E78" s="9">
        <v>5</v>
      </c>
      <c r="F78" s="27">
        <v>3.5</v>
      </c>
      <c r="G78" s="32">
        <f t="shared" si="2"/>
        <v>0.7</v>
      </c>
      <c r="H78" s="33" t="str">
        <f t="shared" si="3"/>
        <v>جيد</v>
      </c>
      <c r="I78" s="48"/>
      <c r="J78" s="49"/>
    </row>
    <row r="79" spans="1:10" ht="30" customHeight="1" x14ac:dyDescent="0.3">
      <c r="A79" s="11"/>
      <c r="B79" s="92" t="s">
        <v>251</v>
      </c>
      <c r="C79" s="93"/>
      <c r="D79" s="93"/>
      <c r="E79" s="9">
        <v>5</v>
      </c>
      <c r="F79" s="27">
        <v>3.75</v>
      </c>
      <c r="G79" s="32">
        <f t="shared" si="2"/>
        <v>0.75</v>
      </c>
      <c r="H79" s="33" t="str">
        <f t="shared" si="3"/>
        <v>جيد</v>
      </c>
      <c r="I79" s="48"/>
      <c r="J79" s="49"/>
    </row>
    <row r="80" spans="1:10" ht="30" customHeight="1" x14ac:dyDescent="0.3">
      <c r="A80" s="11"/>
      <c r="B80" s="92" t="s">
        <v>252</v>
      </c>
      <c r="C80" s="93"/>
      <c r="D80" s="93"/>
      <c r="E80" s="9">
        <v>5</v>
      </c>
      <c r="F80" s="27">
        <v>3.5</v>
      </c>
      <c r="G80" s="32">
        <f t="shared" si="2"/>
        <v>0.7</v>
      </c>
      <c r="H80" s="33" t="str">
        <f t="shared" si="3"/>
        <v>جيد</v>
      </c>
      <c r="I80" s="48"/>
      <c r="J80" s="49"/>
    </row>
    <row r="81" spans="1:10" ht="30" customHeight="1" x14ac:dyDescent="0.3">
      <c r="A81" s="11"/>
      <c r="B81" s="92" t="s">
        <v>253</v>
      </c>
      <c r="C81" s="93"/>
      <c r="D81" s="93"/>
      <c r="E81" s="9">
        <v>5</v>
      </c>
      <c r="F81" s="27">
        <v>3.5</v>
      </c>
      <c r="G81" s="32">
        <f t="shared" si="2"/>
        <v>0.7</v>
      </c>
      <c r="H81" s="33" t="str">
        <f t="shared" si="3"/>
        <v>جيد</v>
      </c>
      <c r="I81" s="48"/>
      <c r="J81" s="49"/>
    </row>
    <row r="82" spans="1:10" ht="30" customHeight="1" thickBot="1" x14ac:dyDescent="0.35">
      <c r="A82" s="11"/>
      <c r="B82" s="94" t="s">
        <v>254</v>
      </c>
      <c r="C82" s="95"/>
      <c r="D82" s="95"/>
      <c r="E82" s="38">
        <v>5</v>
      </c>
      <c r="F82" s="29">
        <v>4</v>
      </c>
      <c r="G82" s="39">
        <f t="shared" si="2"/>
        <v>0.8</v>
      </c>
      <c r="H82" s="40" t="str">
        <f t="shared" si="3"/>
        <v>جيد جداً</v>
      </c>
      <c r="I82" s="55"/>
      <c r="J82" s="56"/>
    </row>
    <row r="83" spans="1:10" ht="30" customHeight="1" x14ac:dyDescent="0.3">
      <c r="A83" s="11"/>
      <c r="B83" s="90" t="s">
        <v>255</v>
      </c>
      <c r="C83" s="91"/>
      <c r="D83" s="91"/>
      <c r="E83" s="34"/>
      <c r="F83" s="35"/>
      <c r="G83" s="36"/>
      <c r="H83" s="37"/>
      <c r="I83" s="46"/>
      <c r="J83" s="47"/>
    </row>
    <row r="84" spans="1:10" ht="30" customHeight="1" x14ac:dyDescent="0.3">
      <c r="A84" s="11"/>
      <c r="B84" s="92" t="s">
        <v>256</v>
      </c>
      <c r="C84" s="93"/>
      <c r="D84" s="93"/>
      <c r="E84" s="9">
        <v>5</v>
      </c>
      <c r="F84" s="27">
        <v>3.75</v>
      </c>
      <c r="G84" s="32">
        <f t="shared" si="2"/>
        <v>0.75</v>
      </c>
      <c r="H84" s="33" t="str">
        <f t="shared" si="3"/>
        <v>جيد</v>
      </c>
      <c r="I84" s="48"/>
      <c r="J84" s="49"/>
    </row>
    <row r="85" spans="1:10" ht="30" customHeight="1" x14ac:dyDescent="0.3">
      <c r="A85" s="11"/>
      <c r="B85" s="92" t="s">
        <v>257</v>
      </c>
      <c r="C85" s="93"/>
      <c r="D85" s="93"/>
      <c r="E85" s="9">
        <v>5</v>
      </c>
      <c r="F85" s="27">
        <v>3.75</v>
      </c>
      <c r="G85" s="32">
        <f t="shared" si="2"/>
        <v>0.75</v>
      </c>
      <c r="H85" s="33" t="str">
        <f t="shared" si="3"/>
        <v>جيد</v>
      </c>
      <c r="I85" s="48"/>
      <c r="J85" s="49"/>
    </row>
    <row r="86" spans="1:10" ht="30" customHeight="1" x14ac:dyDescent="0.3">
      <c r="A86" s="11"/>
      <c r="B86" s="92" t="s">
        <v>258</v>
      </c>
      <c r="C86" s="93"/>
      <c r="D86" s="93"/>
      <c r="E86" s="9">
        <v>5</v>
      </c>
      <c r="F86" s="27">
        <v>3.5</v>
      </c>
      <c r="G86" s="32">
        <f t="shared" si="2"/>
        <v>0.7</v>
      </c>
      <c r="H86" s="33" t="str">
        <f t="shared" si="3"/>
        <v>جيد</v>
      </c>
      <c r="I86" s="48"/>
      <c r="J86" s="49"/>
    </row>
    <row r="87" spans="1:10" ht="30" customHeight="1" x14ac:dyDescent="0.3">
      <c r="A87" s="11"/>
      <c r="B87" s="92" t="s">
        <v>259</v>
      </c>
      <c r="C87" s="93"/>
      <c r="D87" s="93"/>
      <c r="E87" s="9">
        <v>5</v>
      </c>
      <c r="F87" s="27">
        <v>4</v>
      </c>
      <c r="G87" s="32">
        <f t="shared" si="2"/>
        <v>0.8</v>
      </c>
      <c r="H87" s="33" t="str">
        <f t="shared" si="3"/>
        <v>جيد جداً</v>
      </c>
      <c r="I87" s="48"/>
      <c r="J87" s="49"/>
    </row>
    <row r="88" spans="1:10" ht="30" customHeight="1" x14ac:dyDescent="0.3">
      <c r="A88" s="11"/>
      <c r="B88" s="92" t="s">
        <v>260</v>
      </c>
      <c r="C88" s="93"/>
      <c r="D88" s="93"/>
      <c r="E88" s="9">
        <v>5</v>
      </c>
      <c r="F88" s="27">
        <v>3.75</v>
      </c>
      <c r="G88" s="32">
        <f t="shared" si="2"/>
        <v>0.75</v>
      </c>
      <c r="H88" s="33" t="str">
        <f t="shared" si="3"/>
        <v>جيد</v>
      </c>
      <c r="I88" s="48"/>
      <c r="J88" s="49"/>
    </row>
    <row r="89" spans="1:10" ht="30" customHeight="1" x14ac:dyDescent="0.3">
      <c r="A89" s="11"/>
      <c r="B89" s="92" t="s">
        <v>261</v>
      </c>
      <c r="C89" s="93"/>
      <c r="D89" s="93"/>
      <c r="E89" s="9">
        <v>5</v>
      </c>
      <c r="F89" s="27">
        <v>3.75</v>
      </c>
      <c r="G89" s="32">
        <f t="shared" si="2"/>
        <v>0.75</v>
      </c>
      <c r="H89" s="33" t="str">
        <f t="shared" si="3"/>
        <v>جيد</v>
      </c>
      <c r="I89" s="48"/>
      <c r="J89" s="49"/>
    </row>
    <row r="90" spans="1:10" ht="30" customHeight="1" x14ac:dyDescent="0.3">
      <c r="A90" s="11"/>
      <c r="B90" s="92" t="s">
        <v>262</v>
      </c>
      <c r="C90" s="93"/>
      <c r="D90" s="93"/>
      <c r="E90" s="9">
        <v>5</v>
      </c>
      <c r="F90" s="27">
        <v>4</v>
      </c>
      <c r="G90" s="32">
        <f t="shared" si="2"/>
        <v>0.8</v>
      </c>
      <c r="H90" s="33" t="str">
        <f t="shared" si="3"/>
        <v>جيد جداً</v>
      </c>
      <c r="I90" s="48"/>
      <c r="J90" s="49"/>
    </row>
    <row r="91" spans="1:10" ht="30" customHeight="1" x14ac:dyDescent="0.3">
      <c r="A91" s="11"/>
      <c r="B91" s="92" t="s">
        <v>263</v>
      </c>
      <c r="C91" s="93"/>
      <c r="D91" s="93"/>
      <c r="E91" s="9">
        <v>0</v>
      </c>
      <c r="F91" s="27" t="s">
        <v>17</v>
      </c>
      <c r="G91" s="32" t="str">
        <f t="shared" si="2"/>
        <v/>
      </c>
      <c r="H91" s="33" t="str">
        <f t="shared" si="3"/>
        <v>تم الإلغاء</v>
      </c>
      <c r="I91" s="48"/>
      <c r="J91" s="49"/>
    </row>
    <row r="92" spans="1:10" ht="30" customHeight="1" x14ac:dyDescent="0.3">
      <c r="A92" s="11"/>
      <c r="B92" s="92" t="s">
        <v>264</v>
      </c>
      <c r="C92" s="93"/>
      <c r="D92" s="93"/>
      <c r="E92" s="9">
        <v>5</v>
      </c>
      <c r="F92" s="27">
        <v>3.75</v>
      </c>
      <c r="G92" s="32">
        <f t="shared" si="2"/>
        <v>0.75</v>
      </c>
      <c r="H92" s="33" t="str">
        <f t="shared" si="3"/>
        <v>جيد</v>
      </c>
      <c r="I92" s="48"/>
      <c r="J92" s="49"/>
    </row>
    <row r="93" spans="1:10" ht="30" customHeight="1" x14ac:dyDescent="0.3">
      <c r="A93" s="11"/>
      <c r="B93" s="92" t="s">
        <v>265</v>
      </c>
      <c r="C93" s="93"/>
      <c r="D93" s="93"/>
      <c r="E93" s="9">
        <v>5</v>
      </c>
      <c r="F93" s="27">
        <v>3.75</v>
      </c>
      <c r="G93" s="32">
        <f t="shared" si="2"/>
        <v>0.75</v>
      </c>
      <c r="H93" s="33" t="str">
        <f t="shared" si="3"/>
        <v>جيد</v>
      </c>
      <c r="I93" s="48"/>
      <c r="J93" s="49"/>
    </row>
    <row r="94" spans="1:10" ht="30" customHeight="1" thickBot="1" x14ac:dyDescent="0.35">
      <c r="A94" s="11"/>
      <c r="B94" s="94" t="s">
        <v>266</v>
      </c>
      <c r="C94" s="95"/>
      <c r="D94" s="95"/>
      <c r="E94" s="38">
        <v>5</v>
      </c>
      <c r="F94" s="29">
        <v>3.75</v>
      </c>
      <c r="G94" s="39">
        <f t="shared" si="2"/>
        <v>0.75</v>
      </c>
      <c r="H94" s="40" t="str">
        <f t="shared" si="3"/>
        <v>جيد</v>
      </c>
      <c r="I94" s="55"/>
      <c r="J94" s="56"/>
    </row>
    <row r="95" spans="1:10" ht="39.9" customHeight="1" thickBot="1" x14ac:dyDescent="0.35">
      <c r="A95" s="11"/>
      <c r="B95" s="98" t="s">
        <v>267</v>
      </c>
      <c r="C95" s="99"/>
      <c r="D95" s="99"/>
      <c r="E95" s="31">
        <v>5</v>
      </c>
      <c r="F95" s="43">
        <v>3.75</v>
      </c>
      <c r="G95" s="44">
        <f t="shared" si="2"/>
        <v>0.75</v>
      </c>
      <c r="H95" s="45" t="str">
        <f t="shared" si="3"/>
        <v>جيد</v>
      </c>
      <c r="I95" s="57"/>
      <c r="J95" s="58"/>
    </row>
    <row r="96" spans="1:10" ht="30" customHeight="1" thickBot="1" x14ac:dyDescent="0.35">
      <c r="A96" s="4"/>
      <c r="B96" s="84" t="s">
        <v>5</v>
      </c>
      <c r="C96" s="85"/>
      <c r="D96" s="85"/>
      <c r="E96" s="31">
        <f>SUM(E8:E95)</f>
        <v>240</v>
      </c>
      <c r="F96" s="31">
        <f>SUM(F8:F95)</f>
        <v>185.25</v>
      </c>
      <c r="G96" s="52"/>
      <c r="H96" s="53"/>
      <c r="I96" s="53"/>
      <c r="J96" s="54"/>
    </row>
    <row r="97" spans="1:10" ht="30" customHeight="1" thickBot="1" x14ac:dyDescent="0.35">
      <c r="A97" s="4"/>
      <c r="B97" s="86" t="s">
        <v>54</v>
      </c>
      <c r="C97" s="87"/>
      <c r="D97" s="87"/>
      <c r="E97" s="66">
        <f>F96/E96/100*100</f>
        <v>0.77187499999999998</v>
      </c>
      <c r="F97" s="66"/>
      <c r="G97" s="66"/>
      <c r="H97" s="66"/>
      <c r="I97" s="66"/>
      <c r="J97" s="67"/>
    </row>
    <row r="98" spans="1:10" ht="30" customHeight="1" thickBot="1" x14ac:dyDescent="0.35">
      <c r="A98" s="4"/>
      <c r="B98" s="86" t="s">
        <v>55</v>
      </c>
      <c r="C98" s="87"/>
      <c r="D98" s="87"/>
      <c r="E98" s="80" t="str">
        <f>_xlfn.IFS(E97&gt;=90%,"ممتاز",E97&gt;=80%,"جيد جداً",E97&gt;=70%,"جيد",E97&gt;=60%,"مقبول",E97&lt;60%,"راسب")</f>
        <v>جيد</v>
      </c>
      <c r="F98" s="80"/>
      <c r="G98" s="80"/>
      <c r="H98" s="80"/>
      <c r="I98" s="80"/>
      <c r="J98" s="81"/>
    </row>
    <row r="99" spans="1:10" ht="42" customHeight="1" x14ac:dyDescent="0.3">
      <c r="B99" s="76" t="s">
        <v>174</v>
      </c>
      <c r="C99" s="76"/>
      <c r="D99" s="76"/>
      <c r="E99" s="50" t="s">
        <v>52</v>
      </c>
      <c r="F99" s="50"/>
      <c r="G99" s="78" t="s">
        <v>123</v>
      </c>
      <c r="H99" s="78"/>
      <c r="I99" s="78"/>
      <c r="J99" s="78"/>
    </row>
    <row r="100" spans="1:10" ht="51" customHeight="1" x14ac:dyDescent="0.3">
      <c r="A100" s="5"/>
      <c r="B100" s="77"/>
      <c r="C100" s="77"/>
      <c r="D100" s="77"/>
      <c r="E100" s="51" t="s">
        <v>53</v>
      </c>
      <c r="F100" s="51"/>
      <c r="G100" s="79"/>
      <c r="H100" s="79"/>
      <c r="I100" s="79"/>
      <c r="J100" s="79"/>
    </row>
  </sheetData>
  <sheetProtection formatCells="0" formatColumns="0" formatRows="0" insertColumns="0" insertRows="0" insertHyperlinks="0" deleteColumns="0" deleteRows="0" selectLockedCells="1" sort="0" autoFilter="0" pivotTables="0"/>
  <mergeCells count="197">
    <mergeCell ref="B94:D94"/>
    <mergeCell ref="B95:D95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76:D76"/>
    <mergeCell ref="B77:D77"/>
    <mergeCell ref="B78:D78"/>
    <mergeCell ref="B79:D79"/>
    <mergeCell ref="B89:D89"/>
    <mergeCell ref="B90:D90"/>
    <mergeCell ref="B91:D91"/>
    <mergeCell ref="B92:D92"/>
    <mergeCell ref="B93:D93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96:D96"/>
    <mergeCell ref="B97:D97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I9:J9"/>
    <mergeCell ref="I69:J69"/>
    <mergeCell ref="I70:J70"/>
    <mergeCell ref="I71:J71"/>
    <mergeCell ref="E99:F99"/>
    <mergeCell ref="E100:F100"/>
    <mergeCell ref="G96:J96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47:J47"/>
    <mergeCell ref="I48:J48"/>
    <mergeCell ref="I62:J62"/>
    <mergeCell ref="I63:J63"/>
    <mergeCell ref="I64:J6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14" priority="57">
      <formula>$E98="راسب"</formula>
    </cfRule>
  </conditionalFormatting>
  <conditionalFormatting sqref="E98:J98">
    <cfRule type="expression" dxfId="13" priority="58">
      <formula>$E98="مقبول"</formula>
    </cfRule>
    <cfRule type="expression" dxfId="12" priority="59">
      <formula>$E98="جيد"</formula>
    </cfRule>
    <cfRule type="expression" dxfId="11" priority="60">
      <formula>$E98="جيد جداً"</formula>
    </cfRule>
    <cfRule type="expression" dxfId="10" priority="61">
      <formula>$E98="ممتاز"</formula>
    </cfRule>
  </conditionalFormatting>
  <conditionalFormatting sqref="F8:F9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6" priority="15" operator="containsText" text="أدخل اسم المحكم">
      <formula>NOT(ISERROR(SEARCH("أدخل اسم المحكم",G99)))</formula>
    </cfRule>
  </conditionalFormatting>
  <conditionalFormatting sqref="H8:H9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F84:F95 F77:F82 F62:F75 F50:F60 F35:F48 F31:F33 F23:F29 F8 F10:F21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2025-10-21T18:08:35Z</dcterms:modified>
</cp:coreProperties>
</file>