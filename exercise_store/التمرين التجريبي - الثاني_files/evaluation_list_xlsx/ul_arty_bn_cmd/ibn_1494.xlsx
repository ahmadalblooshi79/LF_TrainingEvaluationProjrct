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5ED5450-0AEF-7F46-99F6-F7ADD2A542D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F61" i="2"/>
  <c r="E61" i="2"/>
  <c r="E62" i="2"/>
  <c r="E63" i="2"/>
</calcChain>
</file>

<file path=xl/sharedStrings.xml><?xml version="1.0" encoding="utf-8"?>
<sst xmlns="http://schemas.openxmlformats.org/spreadsheetml/2006/main" count="290" uniqueCount="234">
  <si>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</si>
  <si>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</si>
  <si>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</si>
  <si>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</si>
  <si>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</si>
  <si>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</si>
  <si>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</si>
  <si>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</si>
  <si>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</si>
  <si>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</si>
  <si>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</si>
  <si>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</si>
  <si>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</si>
  <si>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</si>
  <si>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</si>
  <si>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</si>
  <si>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</si>
  <si>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</si>
  <si>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</si>
  <si>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</si>
  <si>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</si>
  <si>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</si>
  <si>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</si>
  <si>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</si>
  <si>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</si>
  <si>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</si>
  <si>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</si>
  <si>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</si>
  <si>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</si>
  <si>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</si>
  <si>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</si>
  <si>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</si>
  <si>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</si>
  <si>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</si>
  <si>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</si>
  <si>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</si>
  <si>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</si>
  <si>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</si>
  <si>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</si>
  <si>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</si>
  <si>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</si>
  <si>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</si>
  <si>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</si>
  <si>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</si>
  <si>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</si>
  <si>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</si>
  <si>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</si>
  <si>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</si>
  <si>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</si>
  <si>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</si>
  <si>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</si>
  <si>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</si>
  <si>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</si>
  <si>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</si>
  <si>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</si>
  <si>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</si>
  <si>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</si>
  <si>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</si>
  <si>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</si>
  <si>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</si>
  <si>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</si>
  <si>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</si>
  <si>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</si>
  <si>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</si>
  <si>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</si>
  <si>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</si>
  <si>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</si>
  <si>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</si>
  <si>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</si>
  <si>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</si>
  <si>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</si>
  <si>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</si>
  <si>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</si>
  <si>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</si>
  <si>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</si>
  <si>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</si>
  <si>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</si>
  <si>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</si>
  <si>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</si>
  <si>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</si>
  <si>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</si>
  <si>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</si>
  <si>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</si>
  <si>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</si>
  <si>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</si>
  <si>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</si>
  <si>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</si>
  <si>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</si>
  <si>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</si>
  <si>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</si>
  <si>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</si>
  <si>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</si>
  <si>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</si>
  <si>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</si>
  <si>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</si>
  <si>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</si>
  <si>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</si>
  <si>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</si>
  <si>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</si>
  <si>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</si>
  <si>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</si>
  <si>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</si>
  <si>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</si>
  <si>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</si>
  <si>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</si>
  <si>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</si>
  <si>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</si>
  <si>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</si>
  <si>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</si>
  <si>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</si>
  <si>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</si>
  <si>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</si>
  <si>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</si>
  <si>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</si>
  <si>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</si>
  <si>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</si>
  <si>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</si>
  <si>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</si>
  <si>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</si>
  <si>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</si>
  <si>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</si>
  <si>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</si>
  <si>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</si>
  <si>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</si>
  <si>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</si>
  <si>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</si>
  <si>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</si>
  <si>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</si>
  <si>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</si>
  <si>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</si>
  <si>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</si>
  <si>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</si>
  <si>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</si>
  <si>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</si>
  <si>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</si>
  <si>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</si>
  <si>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</si>
  <si>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</si>
  <si>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</si>
  <si>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</si>
  <si>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</si>
  <si>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</si>
  <si>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</si>
  <si>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</si>
  <si>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</si>
  <si>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</si>
  <si>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</si>
  <si>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</si>
  <si>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</si>
  <si>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</si>
  <si>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</si>
  <si>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</si>
  <si>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</si>
  <si>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</si>
  <si>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</si>
  <si>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</si>
  <si>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</si>
  <si>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</si>
  <si>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</si>
  <si>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</si>
  <si>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</si>
  <si>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</si>
  <si>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</si>
  <si>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</si>
  <si>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</si>
  <si>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</si>
  <si>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</si>
  <si>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</si>
  <si>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</si>
  <si>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</si>
  <si>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</si>
  <si>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</si>
  <si>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</si>
  <si>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</si>
  <si>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</si>
  <si>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</si>
  <si>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</si>
  <si>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</si>
  <si>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</si>
  <si>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</si>
  <si>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التجهيزات.</t>
  </si>
  <si>
    <t>1.  تجهيز الآليات.</t>
  </si>
  <si>
    <t>2.  تجهيز أنظمة الآليات.</t>
  </si>
  <si>
    <t>3.  تجهيز أجهزة الاتصال.</t>
  </si>
  <si>
    <t>4.  تجهيز الأسلحة.</t>
  </si>
  <si>
    <t>معدات متفرقة.</t>
  </si>
  <si>
    <t>5.  تفقد المناظير.</t>
  </si>
  <si>
    <t>6.  تفقد شبكة التمويه والتخفية وأنظمة الإسناد.</t>
  </si>
  <si>
    <t>7.  تفقد أجهزة الرؤية الليلية.</t>
  </si>
  <si>
    <t>8.  البطاريات موجودة وصالحة.</t>
  </si>
  <si>
    <t>9.  معدات التخييم متوفرة.</t>
  </si>
  <si>
    <t>10. أنظمة تحديد المواقع العالمية والأنظمة الرقمية الأخرى – إذا كانت متوفرة.</t>
  </si>
  <si>
    <t>11. قوائم التحميل متوفرة.</t>
  </si>
  <si>
    <t>12. خرائط الهبوط الاضطراري أو خرائط الطرق متوفرة (مع الشفافات).</t>
  </si>
  <si>
    <t>13. توفر جميع المعدات في الآلية.</t>
  </si>
  <si>
    <t>14. توفر السجلات وتحديثها.</t>
  </si>
  <si>
    <t>15. توفر رخص القيادة العسكرية لدى جميع السائقين.</t>
  </si>
  <si>
    <r>
      <t>معدات الاتصالات</t>
    </r>
    <r>
      <rPr>
        <sz val="12"/>
        <color rgb="FF000000"/>
        <rFont val="Arial"/>
        <family val="2"/>
      </rPr>
      <t>.</t>
    </r>
  </si>
  <si>
    <r>
      <t>16.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الأجهزة اللاسلكية صالحة.</t>
    </r>
  </si>
  <si>
    <r>
      <t>17.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معدات الاتصالات الطبية متوفرة وصالحة.</t>
    </r>
  </si>
  <si>
    <r>
      <t>18.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معدات الاتصالات متوفرة وشغالة وموضوعة على الترددات الصحيحة.</t>
    </r>
  </si>
  <si>
    <r>
      <t>19.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الهوائيات مربوطة بطريقة صحيحة.</t>
    </r>
  </si>
  <si>
    <r>
      <t>20.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الموصلات نظيفة وصالحة.</t>
    </r>
  </si>
  <si>
    <r>
      <t>21.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الهواتف الميدانية موجودة وصالحة.</t>
    </r>
  </si>
  <si>
    <r>
      <t>22.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البطاريات موجودة وصالحة للاستخدام.</t>
    </r>
  </si>
  <si>
    <r>
      <t>23.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مجموعات الأجهزة اللاسلكية كاملة.</t>
    </r>
  </si>
  <si>
    <r>
      <t>24.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لوحات المفاتيح موجودة وصالحة.</t>
    </r>
  </si>
  <si>
    <r>
      <t>25.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أسلاك الاتصالات موجودة وصالحة.</t>
    </r>
  </si>
  <si>
    <r>
      <t>26.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تعليمات تشغيل الإشارة موجودة ومحمية.</t>
    </r>
  </si>
  <si>
    <r>
      <t>27.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الجنود يعرفون النداءات والترددات وكلمات التحدي السرية.</t>
    </r>
  </si>
  <si>
    <r>
      <t>28.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إنجاز اختبار الاتصالات مرة أخرى.</t>
    </r>
  </si>
  <si>
    <r>
      <t>الآليـــــات</t>
    </r>
    <r>
      <rPr>
        <b/>
        <sz val="12"/>
        <color rgb="FF000000"/>
        <rFont val="Arial"/>
        <family val="2"/>
      </rPr>
      <t>.</t>
    </r>
  </si>
  <si>
    <r>
      <t>29.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أن تكون الحمولات وفقاً لخطة التحميل، وخطة التحميل ملصقة في الآلية.</t>
    </r>
  </si>
  <si>
    <r>
      <t>30.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المواد الخطيرة محددة بشكل صحيح ومخزّنة باتجاه مؤخرة العربة للوصول والتفتيش السهل.</t>
    </r>
  </si>
  <si>
    <r>
      <t>31.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الذخيرة مصروفة ومخزنة بشكل صحيح.</t>
    </r>
  </si>
  <si>
    <r>
      <t>32.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خزانات الوقود للآليات معبأة.</t>
    </r>
  </si>
  <si>
    <r>
      <t>33.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رُزم الوقود والزيوت وزيت الأسلحة الخفيفة تكون موجودة ومتوفرة.</t>
    </r>
  </si>
  <si>
    <r>
      <t>34.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مطرات المياه معبأة.</t>
    </r>
  </si>
  <si>
    <r>
      <t>35.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الوجبات الجاهزة مصروفة ومعبأة.</t>
    </r>
  </si>
  <si>
    <r>
      <t>36.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صناديق الإسعافات الأولية موجودة وكاملة.</t>
    </r>
  </si>
  <si>
    <r>
      <t>37.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دليل العمل وأوامر التزييت موجودة للآليات والأجهزة اللاسلكية والمعدات ذات العلاقة.</t>
    </r>
  </si>
  <si>
    <r>
      <t>38.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المعدات الأساسية داخل الآلية والمواد المصروفة الأساسية موجودة.</t>
    </r>
  </si>
  <si>
    <r>
      <t>39.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إرسالية الآليات كاملة.</t>
    </r>
  </si>
  <si>
    <r>
      <t>40.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لا يوجد نواقص في مواعيد الآليات النهائي (لا يوجد مشاكل رئيسية بالآليات).</t>
    </r>
  </si>
  <si>
    <r>
      <t>41.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تم إكمال فحوصات وخدمات الصيانة الوقائية</t>
    </r>
  </si>
  <si>
    <r>
      <t>الأسلحة الفردية</t>
    </r>
    <r>
      <rPr>
        <b/>
        <sz val="12"/>
        <color rgb="FF000000"/>
        <rFont val="Arial"/>
        <family val="2"/>
      </rPr>
      <t>.</t>
    </r>
  </si>
  <si>
    <r>
      <t>42.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نظيفة وصالحة. </t>
    </r>
  </si>
  <si>
    <r>
      <t>43.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أدوات وعدة التنظيف، ومسامير التثبيت، ونتّاش ظرف الطلقات موجودة.</t>
    </r>
  </si>
  <si>
    <r>
      <t>44.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بطاقات المدى موجودة.</t>
    </r>
  </si>
  <si>
    <r>
      <t>45.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الذخيرة مصروفة ومعدودة ومحميّة.</t>
    </r>
  </si>
  <si>
    <r>
      <t>46.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المخازن مصروفة.</t>
    </r>
  </si>
  <si>
    <r>
      <t>47.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وصلة الطلقات الفارغة مركّبة.</t>
    </r>
  </si>
  <si>
    <r>
      <t>48.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اختبار "أنّ السلاح يعمل".</t>
    </r>
  </si>
  <si>
    <r>
      <rPr>
        <b/>
        <sz val="14"/>
        <color rgb="FF000000"/>
        <rFont val="Arial"/>
        <family val="2"/>
      </rPr>
      <t>تقييم التحضيرات وخطط التحميل القتالية لكتيبة المدفعية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</si>
</sst>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34</xdr:row>
      <xdr:rowOff>676275</xdr:rowOff>
    </xdr:from>
    <xdr:to>
      <xdr:col>3</xdr:col>
      <xdr:colOff>457200</xdr:colOff>
      <xdr:row>34</xdr:row>
      <xdr:rowOff>923925</xdr:rowOff>
    </xdr:to>
    <xdr:sp macro="" textlink="">
      <xdr:nvSpPr>
        <xdr:cNvPr id="2" name="Text Box 5634">
          <a:extLst>
            <a:ext uri="{FF2B5EF4-FFF2-40B4-BE49-F238E27FC236}">
              <a16:creationId xmlns:a16="http://schemas.microsoft.com/office/drawing/2014/main" id="{5BCB0D38-EDAD-4936-9F86-8F863EB05F2D}"/>
            </a:ext>
          </a:extLst>
        </xdr:cNvPr>
        <xdr:cNvSpPr txBox="1">
          <a:spLocks noChangeArrowheads="1"/>
        </xdr:cNvSpPr>
      </xdr:nvSpPr>
      <xdr:spPr bwMode="auto">
        <a:xfrm>
          <a:off x="11237261625" y="11401425"/>
          <a:ext cx="4286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HeshamNormal"/>
            </a:rPr>
            <a:t>35</a:t>
          </a:r>
        </a:p>
      </xdr:txBody>
    </xdr:sp>
    <xdr:clientData/>
  </xdr:twoCellAnchor>
  <xdr:twoCellAnchor editAs="oneCell">
    <xdr:from>
      <xdr:col>7</xdr:col>
      <xdr:colOff>482904</xdr:colOff>
      <xdr:row>63</xdr:row>
      <xdr:rowOff>382000</xdr:rowOff>
    </xdr:from>
    <xdr:to>
      <xdr:col>8</xdr:col>
      <xdr:colOff>473533</xdr:colOff>
      <xdr:row>64</xdr:row>
      <xdr:rowOff>585308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D38A2B-50E2-DC81-1043-F3B3D246DDB4}"/>
                </a:ext>
              </a:extLst>
            </xdr14:cNvPr>
            <xdr14:cNvContentPartPr/>
          </xdr14:nvContentPartPr>
          <xdr14:nvPr macro=""/>
          <xdr14:xfrm>
            <a:off x="10398771376" y="25020000"/>
            <a:ext cx="648720" cy="7344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CD38A2B-50E2-DC81-1043-F3B3D246DD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65256" y="25013880"/>
              <a:ext cx="660960" cy="746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5:13:41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1588 1700,'0'0,"0"0,-2 0,-12 0,-2 16,15-14,-30-4,-17 18,43-14,-70 12,-22 2,86-14,-106 28,-27 2,118-26,-109 4,-41 7,151-15,-126 12,-10 2,138-14,-66-20,-7 18,81 0,-34-33,-16-15,57 42,1-100,22-22,-12 110,59-124,34-35,-82 151,84-156,46-11,-123 166,119-154,20-12,-138 167,132-92,-9-10,-125 110,72-28,-12-2,-67 40,39-17,-21 25,-26 0,7 16,-12 17,0-29,-32 56,-1 36,29-82,-56 68,-20 46,69-109,-74 107,-11 2,82-110,-52 92,1-14,57-82,-48 53,8-19,41-41,30 2,57-41,-68 27,121-54,27-38,-136 83,96-68,25 2,-123 68,100-56,6 4,-108 54,41-28,-30 5,-25 29,-76 41,-58 27,109-55,-138 62,-36 57,165-109,-136 90,-61 20,193-111,-144 92,-33 18,178-109,-66 42,17 4,69-57,-26 32,21-24,14-14,36-4,62-30,-81 27,131-38,30 11,-149 27,106-23,43-4,-148 27,121-22,-5 11,-121 14,83-28,-26 30,-68 0,24 0,-20 0,-14 0,12 16,-30 0,14-13,-12-6,14 19,0-13,0 10,-16 3,14-14,-12 12,-18-14,27 0,-6 0,-5-16,13 14,6-28,-3-34,0 55,0-94,16-25,-14 108,-4-105,2-19,0 125,0-74,0-20,0 98,-16-82,-16 17,27 68,-7-8,-19-12,26 27,-23 10,12 11,14-14,-12 12,-18 50,28-55,-8 78,12 58,0-125,-16 120,16 52,0-167,16 175,0 24,-13-190,10 141,3-31,-14-125,12 74,2-12,-13-69,-6 40,19-20,-13-27,-6 6,3 5,0-14,0-20,0 10,17 16,-17-24,0 13,0-26,16-3,-14 27,-4-38,17 11,-12 27,11-39,-14-4,0 41,16-34,-16-7,0 41,0-34,0-7,0 40,0-32,-16 8,13 27,-11-22,14 27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5"/>
  <sheetViews>
    <sheetView rightToLeft="1" tabSelected="1" view="pageBreakPreview" topLeftCell="D49" zoomScale="130" zoomScaleNormal="100" zoomScaleSheetLayoutView="130" workbookViewId="0">
      <selection activeCell="F12" sqref="F1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1" t="s">
        <v>233</v>
      </c>
      <c r="C1" s="41"/>
      <c r="D1" s="41"/>
      <c r="E1" s="41"/>
      <c r="F1" s="41"/>
      <c r="G1" s="41"/>
      <c r="H1" s="41"/>
      <c r="I1" s="41"/>
      <c r="J1" s="41"/>
    </row>
    <row r="2" spans="1:10" ht="30" customHeight="1" x14ac:dyDescent="0.2">
      <c r="B2" s="12" t="s">
        <v>8</v>
      </c>
      <c r="C2" s="47" t="s">
        <v>48</v>
      </c>
      <c r="D2" s="47"/>
      <c r="E2" s="12" t="s">
        <v>7</v>
      </c>
      <c r="F2" s="42">
        <v>45934</v>
      </c>
      <c r="G2" s="42"/>
      <c r="H2" s="42"/>
      <c r="I2" s="42"/>
      <c r="J2" s="42"/>
    </row>
    <row r="3" spans="1:10" ht="30" customHeight="1" x14ac:dyDescent="0.2">
      <c r="B3" s="12" t="s">
        <v>9</v>
      </c>
      <c r="C3" s="47" t="s">
        <v>68</v>
      </c>
      <c r="D3" s="47"/>
      <c r="E3" s="12" t="s">
        <v>6</v>
      </c>
      <c r="F3" s="47" t="s">
        <v>114</v>
      </c>
      <c r="G3" s="47"/>
      <c r="H3" s="47"/>
      <c r="I3" s="47"/>
      <c r="J3" s="47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3" t="s">
        <v>0</v>
      </c>
      <c r="C5" s="44"/>
      <c r="D5" s="44"/>
      <c r="E5" s="58" t="s">
        <v>1</v>
      </c>
      <c r="F5" s="58"/>
      <c r="G5" s="58"/>
      <c r="H5" s="58"/>
      <c r="I5" s="58" t="s">
        <v>2</v>
      </c>
      <c r="J5" s="59"/>
    </row>
    <row r="6" spans="1:10" ht="24.95" customHeight="1" thickBot="1" x14ac:dyDescent="0.25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60"/>
      <c r="J6" s="61"/>
    </row>
    <row r="7" spans="1:10" ht="24.95" customHeight="1" thickBot="1" x14ac:dyDescent="0.25">
      <c r="A7" s="10"/>
      <c r="B7" s="50" t="s">
        <v>21</v>
      </c>
      <c r="C7" s="51"/>
      <c r="D7" s="51"/>
      <c r="E7" s="27" t="s">
        <v>18</v>
      </c>
      <c r="F7" s="27" t="s">
        <v>19</v>
      </c>
      <c r="G7" s="27" t="s">
        <v>22</v>
      </c>
      <c r="H7" s="27" t="s">
        <v>20</v>
      </c>
      <c r="I7" s="62" t="s">
        <v>25</v>
      </c>
      <c r="J7" s="63"/>
    </row>
    <row r="8" spans="1:10" ht="30" customHeight="1" x14ac:dyDescent="0.2">
      <c r="A8" s="10"/>
      <c r="B8" s="83" t="s">
        <v>180</v>
      </c>
      <c r="C8" s="84"/>
      <c r="D8" s="84"/>
      <c r="E8" s="31"/>
      <c r="F8" s="32"/>
      <c r="G8" s="33"/>
      <c r="H8" s="34"/>
      <c r="I8" s="54"/>
      <c r="J8" s="55"/>
    </row>
    <row r="9" spans="1:10" ht="30" customHeight="1" x14ac:dyDescent="0.2">
      <c r="A9" s="10"/>
      <c r="B9" s="79" t="s">
        <v>181</v>
      </c>
      <c r="C9" s="80"/>
      <c r="D9" s="80"/>
      <c r="E9" s="9">
        <v>5</v>
      </c>
      <c r="F9" s="26">
        <v>4</v>
      </c>
      <c r="G9" s="29">
        <f>IFERROR(F9/E9,"")</f>
        <v>0.8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6"/>
      <c r="J9" s="57"/>
    </row>
    <row r="10" spans="1:10" ht="30" customHeight="1" x14ac:dyDescent="0.2">
      <c r="A10" s="10"/>
      <c r="B10" s="79" t="s">
        <v>182</v>
      </c>
      <c r="C10" s="80"/>
      <c r="D10" s="80"/>
      <c r="E10" s="9">
        <v>5</v>
      </c>
      <c r="F10" s="39">
        <v>3.5</v>
      </c>
      <c r="G10" s="29">
        <f t="shared" ref="G10:G60" si="0">IFERROR(F10/E10,"")</f>
        <v>0.7</v>
      </c>
      <c r="H10" s="30" t="str">
        <f t="shared" ref="H10:H60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30" customHeight="1" x14ac:dyDescent="0.2">
      <c r="A11" s="10"/>
      <c r="B11" s="79" t="s">
        <v>183</v>
      </c>
      <c r="C11" s="80"/>
      <c r="D11" s="80"/>
      <c r="E11" s="9">
        <v>5</v>
      </c>
      <c r="F11" s="39">
        <v>4</v>
      </c>
      <c r="G11" s="29">
        <f t="shared" si="0"/>
        <v>0.8</v>
      </c>
      <c r="H11" s="30" t="str">
        <f t="shared" si="1"/>
        <v>جيد جداً</v>
      </c>
      <c r="I11" s="56"/>
      <c r="J11" s="57"/>
    </row>
    <row r="12" spans="1:10" ht="30" customHeight="1" thickBot="1" x14ac:dyDescent="0.25">
      <c r="A12" s="10"/>
      <c r="B12" s="81" t="s">
        <v>184</v>
      </c>
      <c r="C12" s="82"/>
      <c r="D12" s="82"/>
      <c r="E12" s="35">
        <v>5</v>
      </c>
      <c r="F12" s="38">
        <v>3.5</v>
      </c>
      <c r="G12" s="36">
        <f t="shared" si="0"/>
        <v>0.7</v>
      </c>
      <c r="H12" s="37" t="str">
        <f t="shared" si="1"/>
        <v>جيد</v>
      </c>
      <c r="I12" s="52"/>
      <c r="J12" s="53"/>
    </row>
    <row r="13" spans="1:10" ht="30" customHeight="1" x14ac:dyDescent="0.2">
      <c r="A13" s="10"/>
      <c r="B13" s="83" t="s">
        <v>185</v>
      </c>
      <c r="C13" s="84"/>
      <c r="D13" s="84"/>
      <c r="E13" s="31"/>
      <c r="F13" s="32"/>
      <c r="G13" s="33"/>
      <c r="H13" s="34"/>
      <c r="I13" s="54"/>
      <c r="J13" s="55"/>
    </row>
    <row r="14" spans="1:10" ht="30" customHeight="1" x14ac:dyDescent="0.2">
      <c r="A14" s="10"/>
      <c r="B14" s="79" t="s">
        <v>186</v>
      </c>
      <c r="C14" s="80"/>
      <c r="D14" s="80"/>
      <c r="E14" s="9">
        <v>5</v>
      </c>
      <c r="F14" s="26">
        <v>3.5</v>
      </c>
      <c r="G14" s="29">
        <f t="shared" si="0"/>
        <v>0.7</v>
      </c>
      <c r="H14" s="30" t="str">
        <f t="shared" si="1"/>
        <v>جيد</v>
      </c>
      <c r="I14" s="56"/>
      <c r="J14" s="57"/>
    </row>
    <row r="15" spans="1:10" ht="30" customHeight="1" x14ac:dyDescent="0.2">
      <c r="A15" s="10"/>
      <c r="B15" s="79" t="s">
        <v>187</v>
      </c>
      <c r="C15" s="80"/>
      <c r="D15" s="80"/>
      <c r="E15" s="9">
        <v>5</v>
      </c>
      <c r="F15" s="39">
        <v>4</v>
      </c>
      <c r="G15" s="29">
        <f t="shared" si="0"/>
        <v>0.8</v>
      </c>
      <c r="H15" s="30" t="str">
        <f t="shared" si="1"/>
        <v>جيد جداً</v>
      </c>
      <c r="I15" s="56"/>
      <c r="J15" s="57"/>
    </row>
    <row r="16" spans="1:10" ht="30" customHeight="1" x14ac:dyDescent="0.2">
      <c r="A16" s="10"/>
      <c r="B16" s="79" t="s">
        <v>188</v>
      </c>
      <c r="C16" s="80"/>
      <c r="D16" s="80"/>
      <c r="E16" s="9">
        <v>5</v>
      </c>
      <c r="F16" s="38">
        <v>3.75</v>
      </c>
      <c r="G16" s="29">
        <f t="shared" si="0"/>
        <v>0.75</v>
      </c>
      <c r="H16" s="30" t="str">
        <f t="shared" si="1"/>
        <v>جيد</v>
      </c>
      <c r="I16" s="56"/>
      <c r="J16" s="57"/>
    </row>
    <row r="17" spans="1:10" ht="30" customHeight="1" x14ac:dyDescent="0.2">
      <c r="A17" s="10"/>
      <c r="B17" s="79" t="s">
        <v>189</v>
      </c>
      <c r="C17" s="80"/>
      <c r="D17" s="80"/>
      <c r="E17" s="9">
        <v>5</v>
      </c>
      <c r="F17" s="38">
        <v>3.75</v>
      </c>
      <c r="G17" s="29">
        <f t="shared" si="0"/>
        <v>0.75</v>
      </c>
      <c r="H17" s="30" t="str">
        <f t="shared" si="1"/>
        <v>جيد</v>
      </c>
      <c r="I17" s="56"/>
      <c r="J17" s="57"/>
    </row>
    <row r="18" spans="1:10" ht="30" customHeight="1" x14ac:dyDescent="0.2">
      <c r="A18" s="10"/>
      <c r="B18" s="79" t="s">
        <v>190</v>
      </c>
      <c r="C18" s="80"/>
      <c r="D18" s="80"/>
      <c r="E18" s="9">
        <v>5</v>
      </c>
      <c r="F18" s="38">
        <v>3.5</v>
      </c>
      <c r="G18" s="29">
        <f t="shared" si="0"/>
        <v>0.7</v>
      </c>
      <c r="H18" s="30" t="str">
        <f t="shared" si="1"/>
        <v>جيد</v>
      </c>
      <c r="I18" s="56"/>
      <c r="J18" s="57"/>
    </row>
    <row r="19" spans="1:10" ht="39.950000000000003" customHeight="1" x14ac:dyDescent="0.2">
      <c r="A19" s="10"/>
      <c r="B19" s="79" t="s">
        <v>191</v>
      </c>
      <c r="C19" s="80"/>
      <c r="D19" s="80"/>
      <c r="E19" s="9">
        <v>5</v>
      </c>
      <c r="F19" s="38">
        <v>3.75</v>
      </c>
      <c r="G19" s="29">
        <f t="shared" si="0"/>
        <v>0.75</v>
      </c>
      <c r="H19" s="30" t="str">
        <f t="shared" si="1"/>
        <v>جيد</v>
      </c>
      <c r="I19" s="56"/>
      <c r="J19" s="57"/>
    </row>
    <row r="20" spans="1:10" ht="30" customHeight="1" x14ac:dyDescent="0.2">
      <c r="A20" s="10"/>
      <c r="B20" s="79" t="s">
        <v>192</v>
      </c>
      <c r="C20" s="80"/>
      <c r="D20" s="80"/>
      <c r="E20" s="9">
        <v>5</v>
      </c>
      <c r="F20" s="38">
        <v>3.25</v>
      </c>
      <c r="G20" s="29">
        <f t="shared" si="0"/>
        <v>0.65</v>
      </c>
      <c r="H20" s="30" t="str">
        <f t="shared" si="1"/>
        <v>مقبول</v>
      </c>
      <c r="I20" s="56"/>
      <c r="J20" s="57"/>
    </row>
    <row r="21" spans="1:10" ht="30" customHeight="1" x14ac:dyDescent="0.2">
      <c r="A21" s="10"/>
      <c r="B21" s="79" t="s">
        <v>193</v>
      </c>
      <c r="C21" s="80"/>
      <c r="D21" s="80"/>
      <c r="E21" s="9">
        <v>5</v>
      </c>
      <c r="F21" s="38">
        <v>3.5</v>
      </c>
      <c r="G21" s="29">
        <f t="shared" si="0"/>
        <v>0.7</v>
      </c>
      <c r="H21" s="30" t="str">
        <f t="shared" si="1"/>
        <v>جيد</v>
      </c>
      <c r="I21" s="56"/>
      <c r="J21" s="57"/>
    </row>
    <row r="22" spans="1:10" ht="30" customHeight="1" x14ac:dyDescent="0.2">
      <c r="A22" s="10"/>
      <c r="B22" s="79" t="s">
        <v>194</v>
      </c>
      <c r="C22" s="80"/>
      <c r="D22" s="80"/>
      <c r="E22" s="9">
        <v>5</v>
      </c>
      <c r="F22" s="38">
        <v>3.75</v>
      </c>
      <c r="G22" s="29">
        <f t="shared" si="0"/>
        <v>0.75</v>
      </c>
      <c r="H22" s="30" t="str">
        <f t="shared" si="1"/>
        <v>جيد</v>
      </c>
      <c r="I22" s="56"/>
      <c r="J22" s="57"/>
    </row>
    <row r="23" spans="1:10" ht="30" customHeight="1" x14ac:dyDescent="0.2">
      <c r="A23" s="10"/>
      <c r="B23" s="79" t="s">
        <v>195</v>
      </c>
      <c r="C23" s="80"/>
      <c r="D23" s="80"/>
      <c r="E23" s="9">
        <v>5</v>
      </c>
      <c r="F23" s="38">
        <v>3</v>
      </c>
      <c r="G23" s="29">
        <f t="shared" si="0"/>
        <v>0.6</v>
      </c>
      <c r="H23" s="30" t="str">
        <f t="shared" si="1"/>
        <v>مقبول</v>
      </c>
      <c r="I23" s="56"/>
      <c r="J23" s="57"/>
    </row>
    <row r="24" spans="1:10" ht="30" customHeight="1" thickBot="1" x14ac:dyDescent="0.25">
      <c r="A24" s="10"/>
      <c r="B24" s="81" t="s">
        <v>196</v>
      </c>
      <c r="C24" s="82"/>
      <c r="D24" s="82"/>
      <c r="E24" s="35">
        <v>5</v>
      </c>
      <c r="F24" s="38">
        <v>3.75</v>
      </c>
      <c r="G24" s="36">
        <f t="shared" si="0"/>
        <v>0.75</v>
      </c>
      <c r="H24" s="37" t="str">
        <f t="shared" si="1"/>
        <v>جيد</v>
      </c>
      <c r="I24" s="52"/>
      <c r="J24" s="53"/>
    </row>
    <row r="25" spans="1:10" ht="30" customHeight="1" x14ac:dyDescent="0.2">
      <c r="A25" s="10"/>
      <c r="B25" s="83" t="s">
        <v>197</v>
      </c>
      <c r="C25" s="84"/>
      <c r="D25" s="84"/>
      <c r="E25" s="31"/>
      <c r="F25" s="32"/>
      <c r="G25" s="33"/>
      <c r="H25" s="34"/>
      <c r="I25" s="54"/>
      <c r="J25" s="55"/>
    </row>
    <row r="26" spans="1:10" ht="30" customHeight="1" x14ac:dyDescent="0.2">
      <c r="A26" s="10"/>
      <c r="B26" s="79" t="s">
        <v>198</v>
      </c>
      <c r="C26" s="80"/>
      <c r="D26" s="80"/>
      <c r="E26" s="9">
        <v>5</v>
      </c>
      <c r="F26" s="26">
        <v>3.75</v>
      </c>
      <c r="G26" s="29">
        <f t="shared" si="0"/>
        <v>0.75</v>
      </c>
      <c r="H26" s="30" t="str">
        <f t="shared" si="1"/>
        <v>جيد</v>
      </c>
      <c r="I26" s="56"/>
      <c r="J26" s="57"/>
    </row>
    <row r="27" spans="1:10" ht="30" customHeight="1" x14ac:dyDescent="0.2">
      <c r="A27" s="10"/>
      <c r="B27" s="79" t="s">
        <v>199</v>
      </c>
      <c r="C27" s="80"/>
      <c r="D27" s="80"/>
      <c r="E27" s="9">
        <v>5</v>
      </c>
      <c r="F27" s="38">
        <v>3.5</v>
      </c>
      <c r="G27" s="29">
        <f t="shared" si="0"/>
        <v>0.7</v>
      </c>
      <c r="H27" s="30" t="str">
        <f t="shared" si="1"/>
        <v>جيد</v>
      </c>
      <c r="I27" s="56"/>
      <c r="J27" s="57"/>
    </row>
    <row r="28" spans="1:10" ht="30" customHeight="1" x14ac:dyDescent="0.2">
      <c r="A28" s="10"/>
      <c r="B28" s="79" t="s">
        <v>200</v>
      </c>
      <c r="C28" s="80"/>
      <c r="D28" s="80"/>
      <c r="E28" s="9">
        <v>5</v>
      </c>
      <c r="F28" s="38">
        <v>3.75</v>
      </c>
      <c r="G28" s="29">
        <f t="shared" si="0"/>
        <v>0.75</v>
      </c>
      <c r="H28" s="30" t="str">
        <f t="shared" si="1"/>
        <v>جيد</v>
      </c>
      <c r="I28" s="56"/>
      <c r="J28" s="57"/>
    </row>
    <row r="29" spans="1:10" ht="30" customHeight="1" x14ac:dyDescent="0.2">
      <c r="A29" s="10"/>
      <c r="B29" s="79" t="s">
        <v>201</v>
      </c>
      <c r="C29" s="80"/>
      <c r="D29" s="80"/>
      <c r="E29" s="9">
        <v>5</v>
      </c>
      <c r="F29" s="38">
        <v>3.5</v>
      </c>
      <c r="G29" s="29">
        <f t="shared" si="0"/>
        <v>0.7</v>
      </c>
      <c r="H29" s="30" t="str">
        <f t="shared" si="1"/>
        <v>جيد</v>
      </c>
      <c r="I29" s="56"/>
      <c r="J29" s="57"/>
    </row>
    <row r="30" spans="1:10" ht="30" customHeight="1" x14ac:dyDescent="0.2">
      <c r="A30" s="10"/>
      <c r="B30" s="79" t="s">
        <v>202</v>
      </c>
      <c r="C30" s="80"/>
      <c r="D30" s="80"/>
      <c r="E30" s="9">
        <v>5</v>
      </c>
      <c r="F30" s="38">
        <v>3.75</v>
      </c>
      <c r="G30" s="29">
        <f t="shared" si="0"/>
        <v>0.75</v>
      </c>
      <c r="H30" s="30" t="str">
        <f t="shared" si="1"/>
        <v>جيد</v>
      </c>
      <c r="I30" s="56"/>
      <c r="J30" s="57"/>
    </row>
    <row r="31" spans="1:10" ht="30" customHeight="1" x14ac:dyDescent="0.2">
      <c r="A31" s="10"/>
      <c r="B31" s="79" t="s">
        <v>203</v>
      </c>
      <c r="C31" s="80"/>
      <c r="D31" s="80"/>
      <c r="E31" s="9">
        <v>5</v>
      </c>
      <c r="F31" s="38">
        <v>3.75</v>
      </c>
      <c r="G31" s="29">
        <f t="shared" si="0"/>
        <v>0.75</v>
      </c>
      <c r="H31" s="30" t="str">
        <f t="shared" si="1"/>
        <v>جيد</v>
      </c>
      <c r="I31" s="56"/>
      <c r="J31" s="57"/>
    </row>
    <row r="32" spans="1:10" ht="30" customHeight="1" x14ac:dyDescent="0.2">
      <c r="A32" s="10"/>
      <c r="B32" s="79" t="s">
        <v>204</v>
      </c>
      <c r="C32" s="80"/>
      <c r="D32" s="80"/>
      <c r="E32" s="9">
        <v>5</v>
      </c>
      <c r="F32" s="38">
        <v>3.5</v>
      </c>
      <c r="G32" s="29">
        <f t="shared" si="0"/>
        <v>0.7</v>
      </c>
      <c r="H32" s="30" t="str">
        <f t="shared" si="1"/>
        <v>جيد</v>
      </c>
      <c r="I32" s="56"/>
      <c r="J32" s="57"/>
    </row>
    <row r="33" spans="1:10" ht="30" customHeight="1" x14ac:dyDescent="0.2">
      <c r="A33" s="10"/>
      <c r="B33" s="79" t="s">
        <v>205</v>
      </c>
      <c r="C33" s="80"/>
      <c r="D33" s="80"/>
      <c r="E33" s="9">
        <v>5</v>
      </c>
      <c r="F33" s="38">
        <v>3.75</v>
      </c>
      <c r="G33" s="29">
        <f t="shared" si="0"/>
        <v>0.75</v>
      </c>
      <c r="H33" s="30" t="str">
        <f t="shared" si="1"/>
        <v>جيد</v>
      </c>
      <c r="I33" s="56"/>
      <c r="J33" s="57"/>
    </row>
    <row r="34" spans="1:10" ht="30" customHeight="1" x14ac:dyDescent="0.2">
      <c r="A34" s="10"/>
      <c r="B34" s="79" t="s">
        <v>206</v>
      </c>
      <c r="C34" s="80"/>
      <c r="D34" s="80"/>
      <c r="E34" s="9">
        <v>5</v>
      </c>
      <c r="F34" s="38">
        <v>3.75</v>
      </c>
      <c r="G34" s="29">
        <f t="shared" si="0"/>
        <v>0.75</v>
      </c>
      <c r="H34" s="30" t="str">
        <f t="shared" si="1"/>
        <v>جيد</v>
      </c>
      <c r="I34" s="56"/>
      <c r="J34" s="57"/>
    </row>
    <row r="35" spans="1:10" ht="30" customHeight="1" x14ac:dyDescent="0.2">
      <c r="A35" s="10"/>
      <c r="B35" s="79" t="s">
        <v>207</v>
      </c>
      <c r="C35" s="80"/>
      <c r="D35" s="80"/>
      <c r="E35" s="9">
        <v>5</v>
      </c>
      <c r="F35" s="38">
        <v>3.5</v>
      </c>
      <c r="G35" s="29">
        <f t="shared" si="0"/>
        <v>0.7</v>
      </c>
      <c r="H35" s="30" t="str">
        <f t="shared" si="1"/>
        <v>جيد</v>
      </c>
      <c r="I35" s="56"/>
      <c r="J35" s="57"/>
    </row>
    <row r="36" spans="1:10" ht="30" customHeight="1" x14ac:dyDescent="0.2">
      <c r="A36" s="10"/>
      <c r="B36" s="79" t="s">
        <v>208</v>
      </c>
      <c r="C36" s="80"/>
      <c r="D36" s="80"/>
      <c r="E36" s="9">
        <v>5</v>
      </c>
      <c r="F36" s="38">
        <v>3.75</v>
      </c>
      <c r="G36" s="29">
        <f t="shared" si="0"/>
        <v>0.75</v>
      </c>
      <c r="H36" s="30" t="str">
        <f t="shared" si="1"/>
        <v>جيد</v>
      </c>
      <c r="I36" s="56"/>
      <c r="J36" s="57"/>
    </row>
    <row r="37" spans="1:10" ht="30" customHeight="1" x14ac:dyDescent="0.2">
      <c r="A37" s="10"/>
      <c r="B37" s="79" t="s">
        <v>209</v>
      </c>
      <c r="C37" s="80"/>
      <c r="D37" s="80"/>
      <c r="E37" s="9">
        <v>5</v>
      </c>
      <c r="F37" s="38">
        <v>3</v>
      </c>
      <c r="G37" s="29">
        <f t="shared" si="0"/>
        <v>0.6</v>
      </c>
      <c r="H37" s="30" t="str">
        <f t="shared" si="1"/>
        <v>مقبول</v>
      </c>
      <c r="I37" s="56"/>
      <c r="J37" s="57"/>
    </row>
    <row r="38" spans="1:10" ht="30" customHeight="1" thickBot="1" x14ac:dyDescent="0.25">
      <c r="A38" s="10"/>
      <c r="B38" s="81" t="s">
        <v>210</v>
      </c>
      <c r="C38" s="82"/>
      <c r="D38" s="82"/>
      <c r="E38" s="35">
        <v>5</v>
      </c>
      <c r="F38" s="38">
        <v>3.75</v>
      </c>
      <c r="G38" s="36">
        <f t="shared" si="0"/>
        <v>0.75</v>
      </c>
      <c r="H38" s="37" t="str">
        <f t="shared" si="1"/>
        <v>جيد</v>
      </c>
      <c r="I38" s="52"/>
      <c r="J38" s="53"/>
    </row>
    <row r="39" spans="1:10" ht="30" customHeight="1" x14ac:dyDescent="0.2">
      <c r="A39" s="10"/>
      <c r="B39" s="83" t="s">
        <v>211</v>
      </c>
      <c r="C39" s="84"/>
      <c r="D39" s="84"/>
      <c r="E39" s="31"/>
      <c r="F39" s="32"/>
      <c r="G39" s="33"/>
      <c r="H39" s="34"/>
      <c r="I39" s="54"/>
      <c r="J39" s="55"/>
    </row>
    <row r="40" spans="1:10" ht="39.950000000000003" customHeight="1" x14ac:dyDescent="0.2">
      <c r="A40" s="10"/>
      <c r="B40" s="79" t="s">
        <v>212</v>
      </c>
      <c r="C40" s="80"/>
      <c r="D40" s="80"/>
      <c r="E40" s="9">
        <v>5</v>
      </c>
      <c r="F40" s="26">
        <v>4</v>
      </c>
      <c r="G40" s="29">
        <f t="shared" si="0"/>
        <v>0.8</v>
      </c>
      <c r="H40" s="30" t="str">
        <f t="shared" si="1"/>
        <v>جيد جداً</v>
      </c>
      <c r="I40" s="56"/>
      <c r="J40" s="57"/>
    </row>
    <row r="41" spans="1:10" ht="39.950000000000003" customHeight="1" x14ac:dyDescent="0.2">
      <c r="A41" s="10"/>
      <c r="B41" s="79" t="s">
        <v>213</v>
      </c>
      <c r="C41" s="80"/>
      <c r="D41" s="80"/>
      <c r="E41" s="9">
        <v>5</v>
      </c>
      <c r="F41" s="38">
        <v>3.75</v>
      </c>
      <c r="G41" s="29">
        <f t="shared" si="0"/>
        <v>0.75</v>
      </c>
      <c r="H41" s="30" t="str">
        <f t="shared" si="1"/>
        <v>جيد</v>
      </c>
      <c r="I41" s="56"/>
      <c r="J41" s="57"/>
    </row>
    <row r="42" spans="1:10" ht="30" customHeight="1" x14ac:dyDescent="0.2">
      <c r="A42" s="10"/>
      <c r="B42" s="79" t="s">
        <v>214</v>
      </c>
      <c r="C42" s="80"/>
      <c r="D42" s="80"/>
      <c r="E42" s="9">
        <v>5</v>
      </c>
      <c r="F42" s="38">
        <v>3.75</v>
      </c>
      <c r="G42" s="29">
        <f t="shared" si="0"/>
        <v>0.75</v>
      </c>
      <c r="H42" s="30" t="str">
        <f t="shared" si="1"/>
        <v>جيد</v>
      </c>
      <c r="I42" s="56"/>
      <c r="J42" s="57"/>
    </row>
    <row r="43" spans="1:10" ht="30" customHeight="1" x14ac:dyDescent="0.2">
      <c r="A43" s="10"/>
      <c r="B43" s="79" t="s">
        <v>215</v>
      </c>
      <c r="C43" s="80"/>
      <c r="D43" s="80"/>
      <c r="E43" s="9">
        <v>5</v>
      </c>
      <c r="F43" s="38">
        <v>4</v>
      </c>
      <c r="G43" s="29">
        <f t="shared" si="0"/>
        <v>0.8</v>
      </c>
      <c r="H43" s="30" t="str">
        <f t="shared" si="1"/>
        <v>جيد جداً</v>
      </c>
      <c r="I43" s="56"/>
      <c r="J43" s="57"/>
    </row>
    <row r="44" spans="1:10" ht="30" customHeight="1" x14ac:dyDescent="0.2">
      <c r="A44" s="10"/>
      <c r="B44" s="79" t="s">
        <v>216</v>
      </c>
      <c r="C44" s="80"/>
      <c r="D44" s="80"/>
      <c r="E44" s="9">
        <v>5</v>
      </c>
      <c r="F44" s="38">
        <v>3.75</v>
      </c>
      <c r="G44" s="29">
        <f t="shared" si="0"/>
        <v>0.75</v>
      </c>
      <c r="H44" s="30" t="str">
        <f t="shared" si="1"/>
        <v>جيد</v>
      </c>
      <c r="I44" s="56"/>
      <c r="J44" s="57"/>
    </row>
    <row r="45" spans="1:10" ht="30" customHeight="1" x14ac:dyDescent="0.2">
      <c r="A45" s="10"/>
      <c r="B45" s="79" t="s">
        <v>217</v>
      </c>
      <c r="C45" s="80"/>
      <c r="D45" s="80"/>
      <c r="E45" s="9">
        <v>5</v>
      </c>
      <c r="F45" s="38">
        <v>3.25</v>
      </c>
      <c r="G45" s="29">
        <f t="shared" si="0"/>
        <v>0.65</v>
      </c>
      <c r="H45" s="30" t="str">
        <f t="shared" si="1"/>
        <v>مقبول</v>
      </c>
      <c r="I45" s="56"/>
      <c r="J45" s="57"/>
    </row>
    <row r="46" spans="1:10" ht="30" customHeight="1" x14ac:dyDescent="0.2">
      <c r="A46" s="10"/>
      <c r="B46" s="79" t="s">
        <v>218</v>
      </c>
      <c r="C46" s="80"/>
      <c r="D46" s="80"/>
      <c r="E46" s="9">
        <v>5</v>
      </c>
      <c r="F46" s="38">
        <v>3.5</v>
      </c>
      <c r="G46" s="29">
        <f t="shared" si="0"/>
        <v>0.7</v>
      </c>
      <c r="H46" s="30" t="str">
        <f t="shared" si="1"/>
        <v>جيد</v>
      </c>
      <c r="I46" s="56"/>
      <c r="J46" s="57"/>
    </row>
    <row r="47" spans="1:10" ht="30" customHeight="1" x14ac:dyDescent="0.2">
      <c r="A47" s="10"/>
      <c r="B47" s="79" t="s">
        <v>219</v>
      </c>
      <c r="C47" s="80"/>
      <c r="D47" s="80"/>
      <c r="E47" s="9">
        <v>5</v>
      </c>
      <c r="F47" s="38">
        <v>3.5</v>
      </c>
      <c r="G47" s="29">
        <f t="shared" si="0"/>
        <v>0.7</v>
      </c>
      <c r="H47" s="30" t="str">
        <f t="shared" si="1"/>
        <v>جيد</v>
      </c>
      <c r="I47" s="56"/>
      <c r="J47" s="57"/>
    </row>
    <row r="48" spans="1:10" ht="39.950000000000003" customHeight="1" x14ac:dyDescent="0.2">
      <c r="A48" s="10"/>
      <c r="B48" s="79" t="s">
        <v>220</v>
      </c>
      <c r="C48" s="80"/>
      <c r="D48" s="80"/>
      <c r="E48" s="9">
        <v>5</v>
      </c>
      <c r="F48" s="38">
        <v>3</v>
      </c>
      <c r="G48" s="29">
        <f t="shared" si="0"/>
        <v>0.6</v>
      </c>
      <c r="H48" s="30" t="str">
        <f t="shared" si="1"/>
        <v>مقبول</v>
      </c>
      <c r="I48" s="56"/>
      <c r="J48" s="57"/>
    </row>
    <row r="49" spans="1:10" ht="30" customHeight="1" x14ac:dyDescent="0.2">
      <c r="A49" s="10"/>
      <c r="B49" s="79" t="s">
        <v>221</v>
      </c>
      <c r="C49" s="80"/>
      <c r="D49" s="80"/>
      <c r="E49" s="9">
        <v>5</v>
      </c>
      <c r="F49" s="38">
        <v>3.75</v>
      </c>
      <c r="G49" s="29">
        <f t="shared" si="0"/>
        <v>0.75</v>
      </c>
      <c r="H49" s="30" t="str">
        <f t="shared" si="1"/>
        <v>جيد</v>
      </c>
      <c r="I49" s="56"/>
      <c r="J49" s="57"/>
    </row>
    <row r="50" spans="1:10" ht="30" customHeight="1" x14ac:dyDescent="0.2">
      <c r="A50" s="10"/>
      <c r="B50" s="79" t="s">
        <v>222</v>
      </c>
      <c r="C50" s="80"/>
      <c r="D50" s="80"/>
      <c r="E50" s="9">
        <v>5</v>
      </c>
      <c r="F50" s="38">
        <v>3.5</v>
      </c>
      <c r="G50" s="29">
        <f t="shared" si="0"/>
        <v>0.7</v>
      </c>
      <c r="H50" s="30" t="str">
        <f t="shared" si="1"/>
        <v>جيد</v>
      </c>
      <c r="I50" s="56"/>
      <c r="J50" s="57"/>
    </row>
    <row r="51" spans="1:10" ht="39.950000000000003" customHeight="1" x14ac:dyDescent="0.2">
      <c r="A51" s="10"/>
      <c r="B51" s="79" t="s">
        <v>223</v>
      </c>
      <c r="C51" s="80"/>
      <c r="D51" s="80"/>
      <c r="E51" s="9">
        <v>5</v>
      </c>
      <c r="F51" s="40">
        <v>3.75</v>
      </c>
      <c r="G51" s="29">
        <f t="shared" si="0"/>
        <v>0.75</v>
      </c>
      <c r="H51" s="30" t="str">
        <f t="shared" si="1"/>
        <v>جيد</v>
      </c>
      <c r="I51" s="56"/>
      <c r="J51" s="57"/>
    </row>
    <row r="52" spans="1:10" ht="30" customHeight="1" thickBot="1" x14ac:dyDescent="0.25">
      <c r="A52" s="10"/>
      <c r="B52" s="81" t="s">
        <v>224</v>
      </c>
      <c r="C52" s="82"/>
      <c r="D52" s="82"/>
      <c r="E52" s="35">
        <v>5</v>
      </c>
      <c r="F52" s="38">
        <v>3.5</v>
      </c>
      <c r="G52" s="36">
        <f t="shared" si="0"/>
        <v>0.7</v>
      </c>
      <c r="H52" s="37" t="str">
        <f t="shared" si="1"/>
        <v>جيد</v>
      </c>
      <c r="I52" s="52"/>
      <c r="J52" s="53"/>
    </row>
    <row r="53" spans="1:10" ht="30" customHeight="1" x14ac:dyDescent="0.2">
      <c r="A53" s="10"/>
      <c r="B53" s="83" t="s">
        <v>225</v>
      </c>
      <c r="C53" s="84"/>
      <c r="D53" s="84"/>
      <c r="E53" s="31"/>
      <c r="F53" s="32"/>
      <c r="G53" s="33"/>
      <c r="H53" s="34"/>
      <c r="I53" s="54"/>
      <c r="J53" s="55"/>
    </row>
    <row r="54" spans="1:10" ht="30" customHeight="1" x14ac:dyDescent="0.2">
      <c r="A54" s="10"/>
      <c r="B54" s="79" t="s">
        <v>226</v>
      </c>
      <c r="C54" s="80"/>
      <c r="D54" s="80"/>
      <c r="E54" s="9">
        <v>5</v>
      </c>
      <c r="F54" s="26">
        <v>4</v>
      </c>
      <c r="G54" s="29">
        <f t="shared" si="0"/>
        <v>0.8</v>
      </c>
      <c r="H54" s="30" t="str">
        <f t="shared" si="1"/>
        <v>جيد جداً</v>
      </c>
      <c r="I54" s="56"/>
      <c r="J54" s="57"/>
    </row>
    <row r="55" spans="1:10" ht="30" customHeight="1" x14ac:dyDescent="0.2">
      <c r="A55" s="10"/>
      <c r="B55" s="79" t="s">
        <v>227</v>
      </c>
      <c r="C55" s="80"/>
      <c r="D55" s="80"/>
      <c r="E55" s="9">
        <v>5</v>
      </c>
      <c r="F55" s="39">
        <v>4</v>
      </c>
      <c r="G55" s="29">
        <f t="shared" si="0"/>
        <v>0.8</v>
      </c>
      <c r="H55" s="30" t="str">
        <f t="shared" si="1"/>
        <v>جيد جداً</v>
      </c>
      <c r="I55" s="56"/>
      <c r="J55" s="57"/>
    </row>
    <row r="56" spans="1:10" ht="30" customHeight="1" x14ac:dyDescent="0.2">
      <c r="A56" s="10"/>
      <c r="B56" s="79" t="s">
        <v>228</v>
      </c>
      <c r="C56" s="80"/>
      <c r="D56" s="80"/>
      <c r="E56" s="9">
        <v>5</v>
      </c>
      <c r="F56" s="39">
        <v>3</v>
      </c>
      <c r="G56" s="29">
        <f t="shared" si="0"/>
        <v>0.6</v>
      </c>
      <c r="H56" s="30" t="str">
        <f t="shared" si="1"/>
        <v>مقبول</v>
      </c>
      <c r="I56" s="56"/>
      <c r="J56" s="57"/>
    </row>
    <row r="57" spans="1:10" ht="30" customHeight="1" x14ac:dyDescent="0.2">
      <c r="A57" s="10"/>
      <c r="B57" s="79" t="s">
        <v>229</v>
      </c>
      <c r="C57" s="80"/>
      <c r="D57" s="80"/>
      <c r="E57" s="9">
        <v>5</v>
      </c>
      <c r="F57" s="38">
        <v>4.25</v>
      </c>
      <c r="G57" s="29">
        <f t="shared" si="0"/>
        <v>0.85</v>
      </c>
      <c r="H57" s="30" t="str">
        <f t="shared" si="1"/>
        <v>جيد جداً</v>
      </c>
      <c r="I57" s="56"/>
      <c r="J57" s="57"/>
    </row>
    <row r="58" spans="1:10" ht="30" customHeight="1" x14ac:dyDescent="0.2">
      <c r="A58" s="10"/>
      <c r="B58" s="79" t="s">
        <v>230</v>
      </c>
      <c r="C58" s="80"/>
      <c r="D58" s="80"/>
      <c r="E58" s="9">
        <v>5</v>
      </c>
      <c r="F58" s="38">
        <v>3.5</v>
      </c>
      <c r="G58" s="29">
        <f t="shared" si="0"/>
        <v>0.7</v>
      </c>
      <c r="H58" s="30" t="str">
        <f t="shared" si="1"/>
        <v>جيد</v>
      </c>
      <c r="I58" s="56"/>
      <c r="J58" s="57"/>
    </row>
    <row r="59" spans="1:10" ht="30" customHeight="1" x14ac:dyDescent="0.2">
      <c r="A59" s="10"/>
      <c r="B59" s="79" t="s">
        <v>231</v>
      </c>
      <c r="C59" s="80"/>
      <c r="D59" s="80"/>
      <c r="E59" s="9">
        <v>5</v>
      </c>
      <c r="F59" s="38">
        <v>3</v>
      </c>
      <c r="G59" s="29">
        <f t="shared" si="0"/>
        <v>0.6</v>
      </c>
      <c r="H59" s="30" t="str">
        <f t="shared" si="1"/>
        <v>مقبول</v>
      </c>
      <c r="I59" s="56"/>
      <c r="J59" s="57"/>
    </row>
    <row r="60" spans="1:10" ht="30" customHeight="1" thickBot="1" x14ac:dyDescent="0.25">
      <c r="A60" s="10"/>
      <c r="B60" s="81" t="s">
        <v>232</v>
      </c>
      <c r="C60" s="82"/>
      <c r="D60" s="82"/>
      <c r="E60" s="35">
        <v>5</v>
      </c>
      <c r="F60" s="38">
        <v>3.25</v>
      </c>
      <c r="G60" s="36">
        <f t="shared" si="0"/>
        <v>0.65</v>
      </c>
      <c r="H60" s="37" t="str">
        <f t="shared" si="1"/>
        <v>مقبول</v>
      </c>
      <c r="I60" s="52"/>
      <c r="J60" s="53"/>
    </row>
    <row r="61" spans="1:10" ht="30" customHeight="1" thickBot="1" x14ac:dyDescent="0.25">
      <c r="A61" s="4"/>
      <c r="B61" s="64" t="s">
        <v>5</v>
      </c>
      <c r="C61" s="65"/>
      <c r="D61" s="65"/>
      <c r="E61" s="28">
        <f>SUM(E8:E60)</f>
        <v>240</v>
      </c>
      <c r="F61" s="28">
        <f>SUM(F8:F60)</f>
        <v>173.5</v>
      </c>
      <c r="G61" s="75"/>
      <c r="H61" s="76"/>
      <c r="I61" s="76"/>
      <c r="J61" s="77"/>
    </row>
    <row r="62" spans="1:10" ht="30" customHeight="1" thickBot="1" x14ac:dyDescent="0.25">
      <c r="A62" s="4"/>
      <c r="B62" s="66" t="s">
        <v>54</v>
      </c>
      <c r="C62" s="67"/>
      <c r="D62" s="67"/>
      <c r="E62" s="48">
        <f>F61/E61/100*100</f>
        <v>0.72291666666666665</v>
      </c>
      <c r="F62" s="48"/>
      <c r="G62" s="48"/>
      <c r="H62" s="48"/>
      <c r="I62" s="48"/>
      <c r="J62" s="49"/>
    </row>
    <row r="63" spans="1:10" ht="30" customHeight="1" thickBot="1" x14ac:dyDescent="0.25">
      <c r="A63" s="4"/>
      <c r="B63" s="66" t="s">
        <v>55</v>
      </c>
      <c r="C63" s="67"/>
      <c r="D63" s="67"/>
      <c r="E63" s="72" t="str">
        <f>_xlfn.IFS(E62&gt;=90%,"ممتاز",E62&gt;=80%,"جيد جداً",E62&gt;=70%,"جيد",E62&gt;=60%,"مقبول",E62&lt;60%,"راسب")</f>
        <v>جيد</v>
      </c>
      <c r="F63" s="72"/>
      <c r="G63" s="72"/>
      <c r="H63" s="72"/>
      <c r="I63" s="72"/>
      <c r="J63" s="73"/>
    </row>
    <row r="64" spans="1:10" ht="42" customHeight="1" x14ac:dyDescent="0.2">
      <c r="B64" s="68" t="s">
        <v>174</v>
      </c>
      <c r="C64" s="68"/>
      <c r="D64" s="68"/>
      <c r="E64" s="78" t="s">
        <v>52</v>
      </c>
      <c r="F64" s="78"/>
      <c r="G64" s="70" t="s">
        <v>114</v>
      </c>
      <c r="H64" s="70"/>
      <c r="I64" s="70"/>
      <c r="J64" s="70"/>
    </row>
    <row r="65" spans="1:10" ht="51" customHeight="1" x14ac:dyDescent="0.2">
      <c r="A65" s="5"/>
      <c r="B65" s="69"/>
      <c r="C65" s="69"/>
      <c r="D65" s="69"/>
      <c r="E65" s="74" t="s">
        <v>53</v>
      </c>
      <c r="F65" s="74"/>
      <c r="G65" s="71"/>
      <c r="H65" s="71"/>
      <c r="I65" s="71"/>
      <c r="J65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7">
    <mergeCell ref="B53:D53"/>
    <mergeCell ref="B54:D54"/>
    <mergeCell ref="B55:D55"/>
    <mergeCell ref="B56:D56"/>
    <mergeCell ref="B57:D57"/>
    <mergeCell ref="B58:D58"/>
    <mergeCell ref="B59:D59"/>
    <mergeCell ref="B60:D60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63:D6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E64:F64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4:D65"/>
    <mergeCell ref="G64:J64"/>
    <mergeCell ref="G65:J65"/>
    <mergeCell ref="E63:J63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5:F65"/>
    <mergeCell ref="G61:J61"/>
    <mergeCell ref="I47:J47"/>
    <mergeCell ref="B1:J1"/>
    <mergeCell ref="F2:J2"/>
    <mergeCell ref="B5:D6"/>
    <mergeCell ref="C2:D2"/>
    <mergeCell ref="C3:D3"/>
    <mergeCell ref="F3:J3"/>
    <mergeCell ref="E62:J6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1:D61"/>
    <mergeCell ref="B62:D6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3">
    <cfRule type="expression" dxfId="14" priority="57">
      <formula>$E63="راسب"</formula>
    </cfRule>
  </conditionalFormatting>
  <conditionalFormatting sqref="E63:J63">
    <cfRule type="expression" dxfId="13" priority="58">
      <formula>$E63="مقبول"</formula>
    </cfRule>
    <cfRule type="expression" dxfId="12" priority="59">
      <formula>$E63="جيد"</formula>
    </cfRule>
    <cfRule type="expression" dxfId="11" priority="60">
      <formula>$E63="جيد جداً"</formula>
    </cfRule>
    <cfRule type="expression" dxfId="10" priority="61">
      <formula>$E63="ممتاز"</formula>
    </cfRule>
  </conditionalFormatting>
  <conditionalFormatting sqref="F8:F6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4:J64">
    <cfRule type="containsText" dxfId="6" priority="15" operator="containsText" text="أدخل اسم المحكم">
      <formula>NOT(ISERROR(SEARCH("أدخل اسم المحكم",G64)))</formula>
    </cfRule>
  </conditionalFormatting>
  <conditionalFormatting sqref="H8:H6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F54:F60 F40:F52 F26:F38 F14:F24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G64:J64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2025-09-25T08:09:25Z</dcterms:modified>
</cp:coreProperties>
</file>