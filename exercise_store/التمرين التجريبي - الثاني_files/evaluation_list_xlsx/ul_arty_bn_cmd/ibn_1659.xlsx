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F37B71A6-8D32-624E-B227-A783BCEA8026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9" i="2"/>
  <c r="H29" i="2"/>
  <c r="G30" i="2"/>
  <c r="H30" i="2"/>
  <c r="G31" i="2"/>
  <c r="H31" i="2"/>
  <c r="G32" i="2"/>
  <c r="H32" i="2"/>
  <c r="G33" i="2"/>
  <c r="H33" i="2"/>
  <c r="F34" i="2"/>
  <c r="E34" i="2"/>
  <c r="E35" i="2"/>
  <c r="E36" i="2"/>
</calcChain>
</file>

<file path=xl/sharedStrings.xml><?xml version="1.0" encoding="utf-8"?>
<sst xmlns="http://schemas.openxmlformats.org/spreadsheetml/2006/main" count="259" uniqueCount="203">
  <si>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</si>
  <si>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</si>
  <si>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</si>
  <si>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</si>
  <si>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</si>
  <si>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</si>
  <si>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</si>
  <si>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</si>
  <si>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</si>
  <si>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</si>
  <si>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</si>
  <si>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</si>
  <si>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</si>
  <si>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</si>
  <si>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</si>
  <si>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</si>
  <si>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</si>
  <si>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</si>
  <si>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</si>
  <si>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</si>
  <si>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</si>
  <si>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</si>
  <si>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</si>
  <si>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</si>
  <si>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</si>
  <si>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</si>
  <si>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</si>
  <si>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</si>
  <si>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</si>
  <si>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</si>
  <si>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</si>
  <si>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</si>
  <si>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</si>
  <si>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</si>
  <si>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</si>
  <si>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</si>
  <si>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</si>
  <si>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</si>
  <si>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</si>
  <si>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</si>
  <si>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</si>
  <si>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</si>
  <si>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</si>
  <si>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</si>
  <si>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</si>
  <si>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</si>
  <si>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</si>
  <si>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</si>
  <si>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</si>
  <si>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</si>
  <si>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</si>
  <si>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</si>
  <si>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</si>
  <si>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</si>
  <si>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</si>
  <si>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</si>
  <si>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</si>
  <si>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</si>
  <si>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</si>
  <si>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</si>
  <si>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</si>
  <si>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</si>
  <si>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</si>
  <si>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</si>
  <si>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</si>
  <si>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</si>
  <si>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</si>
  <si>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</si>
  <si>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</si>
  <si>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</si>
  <si>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</si>
  <si>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</si>
  <si>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</si>
  <si>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</si>
  <si>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</si>
  <si>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</si>
  <si>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</si>
  <si>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</si>
  <si>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</si>
  <si>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</si>
  <si>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</si>
  <si>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</si>
  <si>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</si>
  <si>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</si>
  <si>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</si>
  <si>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</si>
  <si>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</si>
  <si>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</si>
  <si>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</si>
  <si>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</si>
  <si>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</si>
  <si>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</si>
  <si>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</si>
  <si>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</si>
  <si>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</si>
  <si>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</si>
  <si>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</si>
  <si>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</si>
  <si>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</si>
  <si>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</si>
  <si>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</si>
  <si>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</si>
  <si>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</si>
  <si>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</si>
  <si>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</si>
  <si>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</si>
  <si>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</si>
  <si>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</si>
  <si>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</si>
  <si>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</si>
  <si>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</si>
  <si>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</si>
  <si>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</si>
  <si>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</si>
  <si>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</si>
  <si>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</si>
  <si>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</si>
  <si>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</si>
  <si>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</si>
  <si>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</si>
  <si>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</si>
  <si>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</si>
  <si>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</si>
  <si>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</si>
  <si>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</si>
  <si>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</si>
  <si>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</si>
  <si>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</si>
  <si>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</si>
  <si>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</si>
  <si>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</si>
  <si>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</si>
  <si>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</si>
  <si>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</si>
  <si>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</si>
  <si>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</si>
  <si>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</si>
  <si>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</si>
  <si>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</si>
  <si>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</si>
  <si>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</si>
  <si>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</si>
  <si>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</si>
  <si>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</si>
  <si>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</si>
  <si>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</si>
  <si>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</si>
  <si>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</si>
  <si>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</si>
  <si>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</si>
  <si>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</si>
  <si>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</si>
  <si>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</si>
  <si>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</si>
  <si>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</si>
  <si>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</si>
  <si>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</si>
  <si>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</si>
  <si>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</si>
  <si>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</si>
  <si>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</si>
  <si>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</si>
  <si>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</si>
  <si>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</si>
  <si>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</si>
  <si>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</si>
  <si>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</si>
  <si>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</si>
  <si>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</si>
  <si>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</si>
  <si>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</si>
  <si>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</si>
  <si>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</si>
  <si>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</si>
  <si>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</si>
  <si>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 xml:space="preserve">ملاحظـــات: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</si>
  <si>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توزيع القوة في منطقة التجمع (الانتشار في منطقة التجمع على شكل الدفاع الدائري).</t>
    </r>
  </si>
  <si>
    <t>أ. وصول القوة إلى منطقة التجمع.</t>
  </si>
  <si>
    <t>ب. إنشاء دفاع محلي.</t>
  </si>
  <si>
    <t>جـ. تخصيص المواقع في منطقة التجمع.</t>
  </si>
  <si>
    <t xml:space="preserve">د. تأشير نقاط الالتقاء </t>
  </si>
  <si>
    <t>هـ. تأشير مواقع الآليات (ليلاً / نهاراً).</t>
  </si>
  <si>
    <t>و. تأشير مواقع الأخطار في المنطقة.</t>
  </si>
  <si>
    <t>ز. تأشير موقع القيادة الرئيسية.</t>
  </si>
  <si>
    <t>ح. تأشير مواقع الإسناد (الصيانة - الإسناد الطبي - مواقع الأرزاق).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</si>
  <si>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إجراءات الحماية والدفاع الدائري في منطقه التجمع</t>
    </r>
    <r>
      <rPr>
        <b/>
        <sz val="12"/>
        <color rgb="FF000000"/>
        <rFont val="Arial"/>
        <family val="2"/>
      </rPr>
      <t>.</t>
    </r>
  </si>
  <si>
    <t>أ. التأكد من التوزيع الدائري في منطقه التجمع.</t>
  </si>
  <si>
    <t>ب. تحديد الطرق إلى منطقه التجمع (نقاط الضبط والسيطرة).</t>
  </si>
  <si>
    <t>جـ. تحديد الاتصالات واللاسلكية ومد الخطوط السلكية.</t>
  </si>
  <si>
    <t>د. إخراج الدوريات والمراقبات.</t>
  </si>
  <si>
    <t>هـ. بناء الأسلاك الشائكة عند الضرورة.</t>
  </si>
  <si>
    <t>و. تحديد المواقع البديلة في حال التعرض للهجوم.</t>
  </si>
  <si>
    <t>ز. التأكد من استخدام وفاعليه أجهزة المراقبة الليلية.</t>
  </si>
  <si>
    <t>ح. الحماية بالنيران.</t>
  </si>
  <si>
    <t>ط. انتخاب نقاط مرجع (GPS) حول منطقه التجمع.</t>
  </si>
  <si>
    <r>
      <t xml:space="preserve">ي. </t>
    </r>
    <r>
      <rPr>
        <sz val="12"/>
        <color theme="1"/>
        <rFont val="Arial"/>
        <family val="2"/>
      </rPr>
      <t>تحديد خطه استخدام المدفعية وخطوط النيران.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</si>
  <si>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استكمال التحضيرات والتفتيشات وسد النقص</t>
    </r>
    <r>
      <rPr>
        <b/>
        <sz val="12"/>
        <color rgb="FF000000"/>
        <rFont val="Arial"/>
        <family val="2"/>
      </rPr>
      <t>.</t>
    </r>
  </si>
  <si>
    <t>أ. استكمال النقص في الذخيرة.</t>
  </si>
  <si>
    <t>ب. استكمال النقص في الوقود.</t>
  </si>
  <si>
    <t>جـ. استكمال مواد الإسناد الإداري.</t>
  </si>
  <si>
    <t>د. تفقد شبكات الاتصالات.</t>
  </si>
  <si>
    <t>هـ. تفقد وصيانته الآليات والأسلحة.</t>
  </si>
  <si>
    <r>
      <rPr>
        <b/>
        <sz val="14"/>
        <color rgb="FF000000"/>
        <rFont val="Arial"/>
        <family val="2"/>
      </rPr>
      <t>تقييم إجراءات كتيبة المدفعية في منطقة التجمع الأمامية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</si>
</sst>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2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4" fillId="0" borderId="23" xfId="0" applyFont="1" applyBorder="1" applyAlignment="1">
      <alignment horizontal="right" vertical="center" wrapText="1" indent="2"/>
    </xf>
    <xf numFmtId="0" fontId="14" fillId="0" borderId="3" xfId="0" applyFont="1" applyBorder="1" applyAlignment="1">
      <alignment horizontal="right" vertical="center" wrapText="1" indent="2"/>
    </xf>
    <xf numFmtId="0" fontId="16" fillId="0" borderId="11" xfId="0" applyFont="1" applyBorder="1" applyAlignment="1">
      <alignment horizontal="right" vertical="center" wrapText="1" indent="2"/>
    </xf>
    <xf numFmtId="0" fontId="16" fillId="0" borderId="12" xfId="0" applyFont="1" applyBorder="1" applyAlignment="1">
      <alignment horizontal="right" vertical="center" wrapText="1" indent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indent="2"/>
    </xf>
    <xf numFmtId="0" fontId="14" fillId="0" borderId="12" xfId="0" applyFont="1" applyBorder="1" applyAlignment="1">
      <alignment horizontal="right" vertical="center" wrapText="1" indent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229785</xdr:colOff>
      <xdr:row>37</xdr:row>
      <xdr:rowOff>145428</xdr:rowOff>
    </xdr:from>
    <xdr:to>
      <xdr:col>9</xdr:col>
      <xdr:colOff>1068194</xdr:colOff>
      <xdr:row>37</xdr:row>
      <xdr:rowOff>510468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29C310D-F784-81AA-E974-252FCF9DD024}"/>
                </a:ext>
              </a:extLst>
            </xdr14:cNvPr>
            <xdr14:cNvContentPartPr/>
          </xdr14:nvContentPartPr>
          <xdr14:nvPr macro=""/>
          <xdr14:xfrm>
            <a:off x="10397518625" y="14519520"/>
            <a:ext cx="2812680" cy="3650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29C310D-F784-81AA-E974-252FCF9DD02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7509985" y="14510520"/>
              <a:ext cx="2830320" cy="382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2T04:45:22.61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7618 513,'0'0,"0"0,0 0,0 0,-16 0,14 0,-45 0,-33 0,71 0,-62 0,-153 0,196 0,-313 0,-44 16,339-14,-357-4,-126 18,453-13,-410 10,-91 3,490-13,-419 10,-71 20,488-29,-384 24,40 4,370-28,-291 40,-14 4,312-41,-257 50,8-9,261-41,-152 18,-13 23,178-40,-66 0,17 8,68-13,8-6,36 3,-27 0,70-16,69 16,-124 0,169-16,83-16,-233 28,259-24,71-4,-316 27,295-22,21 11,-318 14,283-28,66 14,-346 14,309-12,38-18,-345 27,289-22,72 11,-359 13,285-26,74-3,-359 27,301-23,57-4,-354 28,278-24,12 12,-302 14,205-12,-63 14,-163 0,71 0,-20 0,-68 0,24 0,-20 0,-14 0,-20 0,2 0,14 0,-60 0,-83-16,125 14,-168 4,-85-34,235 28,-244-24,-119-4,344 27,-303-6,-89-21,386 27,-355-6,-79-5,435 14,-357 4,-46-18,401 14,-289 4,-16 14,317-14,-217-4,13 18,218-14,-117 12,11 2,123-14,-54 12,10 2,56-14,2-4,40 2,-29 0,24 0,100-16,-110 14,140 4,115-18,-234 14,259-28,119 14,-358 14,347-28,27 14,-372 13,311-10,76-3,-383 13,288 6,31-19,-332 13,249-10,20-3,-275 13,180-11,-33-2,-165 14,72-12,-20-2,-69 14,10 4,-21-18,0 14,-32 4,0-18,28 14,-136-28,-85 14,197 14,-248-12,-109 14,331 0,-357 16,-102 0,437-13,-329 26,-44 3,384-27,-239 22,15-11,249-13,-96 11,40-14,82 0,12 0,-15 0,15 0,21-17,12 17,-26 0,-10-16,38 0,-29 14,24-12,20-2,-41 14,82-12,23-2,-95 14,111-12,0-2,-109 14,90-12,4 14,-97 0,48-16,0 32,-55-13,30-6,-7 19,-27-13,22 10,21 19,-40-27,0 6,24 21,-27-27,6 39,21-12,-27-27,6 38,21 5,-27-41,39 66,36 55,-78-124,-4-8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topLeftCell="A21" zoomScale="70" zoomScaleNormal="100" zoomScaleSheetLayoutView="70" workbookViewId="0">
      <selection activeCell="F19" sqref="F19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8" t="s">
        <v>202</v>
      </c>
      <c r="C1" s="58"/>
      <c r="D1" s="58"/>
      <c r="E1" s="58"/>
      <c r="F1" s="58"/>
      <c r="G1" s="58"/>
      <c r="H1" s="58"/>
      <c r="I1" s="58"/>
      <c r="J1" s="58"/>
    </row>
    <row r="2" spans="1:10" ht="30" customHeight="1" x14ac:dyDescent="0.2">
      <c r="B2" s="11" t="s">
        <v>8</v>
      </c>
      <c r="C2" s="64" t="s">
        <v>48</v>
      </c>
      <c r="D2" s="64"/>
      <c r="E2" s="11" t="s">
        <v>7</v>
      </c>
      <c r="F2" s="59">
        <v>45952</v>
      </c>
      <c r="G2" s="59"/>
      <c r="H2" s="59"/>
      <c r="I2" s="59"/>
      <c r="J2" s="59"/>
    </row>
    <row r="3" spans="1:10" ht="30" customHeight="1" x14ac:dyDescent="0.2">
      <c r="B3" s="11" t="s">
        <v>9</v>
      </c>
      <c r="C3" s="64" t="s">
        <v>68</v>
      </c>
      <c r="D3" s="64"/>
      <c r="E3" s="11" t="s">
        <v>6</v>
      </c>
      <c r="F3" s="64" t="s">
        <v>97</v>
      </c>
      <c r="G3" s="64"/>
      <c r="H3" s="64"/>
      <c r="I3" s="64"/>
      <c r="J3" s="64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9"/>
      <c r="B5" s="60" t="s">
        <v>0</v>
      </c>
      <c r="C5" s="61"/>
      <c r="D5" s="61"/>
      <c r="E5" s="69" t="s">
        <v>1</v>
      </c>
      <c r="F5" s="69"/>
      <c r="G5" s="69"/>
      <c r="H5" s="69"/>
      <c r="I5" s="69" t="s">
        <v>2</v>
      </c>
      <c r="J5" s="70"/>
    </row>
    <row r="6" spans="1:10" ht="24.95" customHeight="1" thickBot="1" x14ac:dyDescent="0.25">
      <c r="A6" s="9"/>
      <c r="B6" s="62"/>
      <c r="C6" s="63"/>
      <c r="D6" s="63"/>
      <c r="E6" s="10" t="s">
        <v>3</v>
      </c>
      <c r="F6" s="10" t="s">
        <v>4</v>
      </c>
      <c r="G6" s="10" t="s">
        <v>23</v>
      </c>
      <c r="H6" s="10" t="s">
        <v>24</v>
      </c>
      <c r="I6" s="71"/>
      <c r="J6" s="72"/>
    </row>
    <row r="7" spans="1:10" ht="24.95" customHeight="1" thickBot="1" x14ac:dyDescent="0.25">
      <c r="A7" s="9"/>
      <c r="B7" s="67" t="s">
        <v>21</v>
      </c>
      <c r="C7" s="68"/>
      <c r="D7" s="68"/>
      <c r="E7" s="26" t="s">
        <v>18</v>
      </c>
      <c r="F7" s="26" t="s">
        <v>19</v>
      </c>
      <c r="G7" s="26" t="s">
        <v>22</v>
      </c>
      <c r="H7" s="26" t="s">
        <v>20</v>
      </c>
      <c r="I7" s="46" t="s">
        <v>25</v>
      </c>
      <c r="J7" s="47"/>
    </row>
    <row r="8" spans="1:10" ht="39.950000000000003" customHeight="1" x14ac:dyDescent="0.2">
      <c r="A8" s="9"/>
      <c r="B8" s="81" t="s">
        <v>176</v>
      </c>
      <c r="C8" s="82"/>
      <c r="D8" s="82"/>
      <c r="E8" s="31"/>
      <c r="F8" s="32"/>
      <c r="G8" s="33"/>
      <c r="H8" s="34"/>
      <c r="I8" s="50"/>
      <c r="J8" s="51"/>
    </row>
    <row r="9" spans="1:10" ht="30" customHeight="1" x14ac:dyDescent="0.2">
      <c r="A9" s="9"/>
      <c r="B9" s="77" t="s">
        <v>177</v>
      </c>
      <c r="C9" s="78"/>
      <c r="D9" s="78"/>
      <c r="E9" s="30">
        <v>5</v>
      </c>
      <c r="F9" s="25">
        <v>3.75</v>
      </c>
      <c r="G9" s="28">
        <f>IFERROR(F9/E9,"")</f>
        <v>0.75</v>
      </c>
      <c r="H9" s="29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4"/>
      <c r="J9" s="45"/>
    </row>
    <row r="10" spans="1:10" ht="30" customHeight="1" x14ac:dyDescent="0.2">
      <c r="A10" s="9"/>
      <c r="B10" s="77" t="s">
        <v>178</v>
      </c>
      <c r="C10" s="78"/>
      <c r="D10" s="78"/>
      <c r="E10" s="30">
        <v>5</v>
      </c>
      <c r="F10" s="38">
        <v>4</v>
      </c>
      <c r="G10" s="28">
        <f t="shared" ref="G10:G33" si="0">IFERROR(F10/E10,"")</f>
        <v>0.8</v>
      </c>
      <c r="H10" s="29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4"/>
      <c r="J10" s="45"/>
    </row>
    <row r="11" spans="1:10" ht="30" customHeight="1" x14ac:dyDescent="0.2">
      <c r="A11" s="9"/>
      <c r="B11" s="77" t="s">
        <v>179</v>
      </c>
      <c r="C11" s="78"/>
      <c r="D11" s="78"/>
      <c r="E11" s="30">
        <v>5</v>
      </c>
      <c r="F11" s="38">
        <v>3.75</v>
      </c>
      <c r="G11" s="28">
        <f t="shared" si="0"/>
        <v>0.75</v>
      </c>
      <c r="H11" s="29" t="str">
        <f t="shared" si="1"/>
        <v>جيد</v>
      </c>
      <c r="I11" s="44"/>
      <c r="J11" s="45"/>
    </row>
    <row r="12" spans="1:10" ht="30" customHeight="1" x14ac:dyDescent="0.2">
      <c r="A12" s="9"/>
      <c r="B12" s="77" t="s">
        <v>180</v>
      </c>
      <c r="C12" s="78"/>
      <c r="D12" s="78"/>
      <c r="E12" s="30">
        <v>5</v>
      </c>
      <c r="F12" s="38">
        <v>4</v>
      </c>
      <c r="G12" s="28">
        <f t="shared" si="0"/>
        <v>0.8</v>
      </c>
      <c r="H12" s="29" t="str">
        <f t="shared" si="1"/>
        <v>جيد جداً</v>
      </c>
      <c r="I12" s="44"/>
      <c r="J12" s="45"/>
    </row>
    <row r="13" spans="1:10" ht="30" customHeight="1" x14ac:dyDescent="0.2">
      <c r="A13" s="9"/>
      <c r="B13" s="77" t="s">
        <v>181</v>
      </c>
      <c r="C13" s="78"/>
      <c r="D13" s="78"/>
      <c r="E13" s="30">
        <v>5</v>
      </c>
      <c r="F13" s="38">
        <v>3.75</v>
      </c>
      <c r="G13" s="28">
        <f t="shared" si="0"/>
        <v>0.75</v>
      </c>
      <c r="H13" s="29" t="str">
        <f t="shared" si="1"/>
        <v>جيد</v>
      </c>
      <c r="I13" s="44"/>
      <c r="J13" s="45"/>
    </row>
    <row r="14" spans="1:10" ht="30" customHeight="1" x14ac:dyDescent="0.2">
      <c r="A14" s="9"/>
      <c r="B14" s="77" t="s">
        <v>182</v>
      </c>
      <c r="C14" s="78"/>
      <c r="D14" s="78"/>
      <c r="E14" s="30">
        <v>5</v>
      </c>
      <c r="F14" s="38">
        <v>3.75</v>
      </c>
      <c r="G14" s="28">
        <f t="shared" si="0"/>
        <v>0.75</v>
      </c>
      <c r="H14" s="29" t="str">
        <f t="shared" si="1"/>
        <v>جيد</v>
      </c>
      <c r="I14" s="44"/>
      <c r="J14" s="45"/>
    </row>
    <row r="15" spans="1:10" ht="30" customHeight="1" x14ac:dyDescent="0.2">
      <c r="A15" s="9"/>
      <c r="B15" s="77" t="s">
        <v>183</v>
      </c>
      <c r="C15" s="78"/>
      <c r="D15" s="78"/>
      <c r="E15" s="30">
        <v>5</v>
      </c>
      <c r="F15" s="38">
        <v>3.75</v>
      </c>
      <c r="G15" s="28">
        <f t="shared" si="0"/>
        <v>0.75</v>
      </c>
      <c r="H15" s="29" t="str">
        <f t="shared" si="1"/>
        <v>جيد</v>
      </c>
      <c r="I15" s="44"/>
      <c r="J15" s="45"/>
    </row>
    <row r="16" spans="1:10" ht="30" customHeight="1" thickBot="1" x14ac:dyDescent="0.25">
      <c r="A16" s="9"/>
      <c r="B16" s="79" t="s">
        <v>184</v>
      </c>
      <c r="C16" s="80"/>
      <c r="D16" s="80"/>
      <c r="E16" s="35">
        <v>5</v>
      </c>
      <c r="F16" s="38">
        <v>3.75</v>
      </c>
      <c r="G16" s="36">
        <f t="shared" si="0"/>
        <v>0.75</v>
      </c>
      <c r="H16" s="37" t="str">
        <f t="shared" si="1"/>
        <v>جيد</v>
      </c>
      <c r="I16" s="48"/>
      <c r="J16" s="49"/>
    </row>
    <row r="17" spans="1:10" ht="30" customHeight="1" x14ac:dyDescent="0.2">
      <c r="A17" s="9"/>
      <c r="B17" s="81" t="s">
        <v>185</v>
      </c>
      <c r="C17" s="82"/>
      <c r="D17" s="82"/>
      <c r="E17" s="31"/>
      <c r="F17" s="32"/>
      <c r="G17" s="33"/>
      <c r="H17" s="34"/>
      <c r="I17" s="50"/>
      <c r="J17" s="51"/>
    </row>
    <row r="18" spans="1:10" ht="30" customHeight="1" x14ac:dyDescent="0.2">
      <c r="A18" s="9"/>
      <c r="B18" s="77" t="s">
        <v>186</v>
      </c>
      <c r="C18" s="78"/>
      <c r="D18" s="78"/>
      <c r="E18" s="30">
        <v>5</v>
      </c>
      <c r="F18" s="25">
        <v>3.5</v>
      </c>
      <c r="G18" s="28">
        <f t="shared" si="0"/>
        <v>0.7</v>
      </c>
      <c r="H18" s="29" t="str">
        <f t="shared" si="1"/>
        <v>جيد</v>
      </c>
      <c r="I18" s="44"/>
      <c r="J18" s="45"/>
    </row>
    <row r="19" spans="1:10" ht="30" customHeight="1" x14ac:dyDescent="0.2">
      <c r="A19" s="9"/>
      <c r="B19" s="77" t="s">
        <v>187</v>
      </c>
      <c r="C19" s="78"/>
      <c r="D19" s="78"/>
      <c r="E19" s="30">
        <v>5</v>
      </c>
      <c r="F19" s="38">
        <v>4</v>
      </c>
      <c r="G19" s="28">
        <f t="shared" si="0"/>
        <v>0.8</v>
      </c>
      <c r="H19" s="29" t="str">
        <f t="shared" si="1"/>
        <v>جيد جداً</v>
      </c>
      <c r="I19" s="44"/>
      <c r="J19" s="45"/>
    </row>
    <row r="20" spans="1:10" ht="30" customHeight="1" x14ac:dyDescent="0.2">
      <c r="A20" s="9"/>
      <c r="B20" s="77" t="s">
        <v>188</v>
      </c>
      <c r="C20" s="78"/>
      <c r="D20" s="78"/>
      <c r="E20" s="30">
        <v>5</v>
      </c>
      <c r="F20" s="38">
        <v>3.5</v>
      </c>
      <c r="G20" s="28">
        <f t="shared" si="0"/>
        <v>0.7</v>
      </c>
      <c r="H20" s="29" t="str">
        <f t="shared" si="1"/>
        <v>جيد</v>
      </c>
      <c r="I20" s="44"/>
      <c r="J20" s="45"/>
    </row>
    <row r="21" spans="1:10" ht="30" customHeight="1" x14ac:dyDescent="0.2">
      <c r="A21" s="9"/>
      <c r="B21" s="77" t="s">
        <v>189</v>
      </c>
      <c r="C21" s="78"/>
      <c r="D21" s="78"/>
      <c r="E21" s="30">
        <v>5</v>
      </c>
      <c r="F21" s="38">
        <v>3.5</v>
      </c>
      <c r="G21" s="28">
        <f t="shared" si="0"/>
        <v>0.7</v>
      </c>
      <c r="H21" s="29" t="str">
        <f t="shared" si="1"/>
        <v>جيد</v>
      </c>
      <c r="I21" s="44"/>
      <c r="J21" s="45"/>
    </row>
    <row r="22" spans="1:10" ht="30" customHeight="1" x14ac:dyDescent="0.2">
      <c r="A22" s="9"/>
      <c r="B22" s="77" t="s">
        <v>190</v>
      </c>
      <c r="C22" s="78"/>
      <c r="D22" s="78"/>
      <c r="E22" s="30">
        <v>5</v>
      </c>
      <c r="F22" s="38">
        <v>3.5</v>
      </c>
      <c r="G22" s="28">
        <f t="shared" si="0"/>
        <v>0.7</v>
      </c>
      <c r="H22" s="29" t="str">
        <f t="shared" si="1"/>
        <v>جيد</v>
      </c>
      <c r="I22" s="44"/>
      <c r="J22" s="45"/>
    </row>
    <row r="23" spans="1:10" ht="30" customHeight="1" x14ac:dyDescent="0.2">
      <c r="A23" s="9"/>
      <c r="B23" s="77" t="s">
        <v>191</v>
      </c>
      <c r="C23" s="78"/>
      <c r="D23" s="78"/>
      <c r="E23" s="30">
        <v>5</v>
      </c>
      <c r="F23" s="38">
        <v>4</v>
      </c>
      <c r="G23" s="28">
        <f t="shared" si="0"/>
        <v>0.8</v>
      </c>
      <c r="H23" s="29" t="str">
        <f t="shared" si="1"/>
        <v>جيد جداً</v>
      </c>
      <c r="I23" s="44"/>
      <c r="J23" s="45"/>
    </row>
    <row r="24" spans="1:10" ht="30" customHeight="1" x14ac:dyDescent="0.2">
      <c r="A24" s="9"/>
      <c r="B24" s="77" t="s">
        <v>192</v>
      </c>
      <c r="C24" s="78"/>
      <c r="D24" s="78"/>
      <c r="E24" s="30">
        <v>5</v>
      </c>
      <c r="F24" s="38">
        <v>3.5</v>
      </c>
      <c r="G24" s="28">
        <f t="shared" si="0"/>
        <v>0.7</v>
      </c>
      <c r="H24" s="29" t="str">
        <f t="shared" si="1"/>
        <v>جيد</v>
      </c>
      <c r="I24" s="44"/>
      <c r="J24" s="45"/>
    </row>
    <row r="25" spans="1:10" ht="30" customHeight="1" x14ac:dyDescent="0.2">
      <c r="A25" s="9"/>
      <c r="B25" s="77" t="s">
        <v>193</v>
      </c>
      <c r="C25" s="78"/>
      <c r="D25" s="78"/>
      <c r="E25" s="30">
        <v>5</v>
      </c>
      <c r="F25" s="38">
        <v>3.5</v>
      </c>
      <c r="G25" s="28">
        <f t="shared" si="0"/>
        <v>0.7</v>
      </c>
      <c r="H25" s="29" t="str">
        <f t="shared" si="1"/>
        <v>جيد</v>
      </c>
      <c r="I25" s="44"/>
      <c r="J25" s="45"/>
    </row>
    <row r="26" spans="1:10" ht="30" customHeight="1" x14ac:dyDescent="0.2">
      <c r="A26" s="9"/>
      <c r="B26" s="77" t="s">
        <v>194</v>
      </c>
      <c r="C26" s="78"/>
      <c r="D26" s="78"/>
      <c r="E26" s="30">
        <v>5</v>
      </c>
      <c r="F26" s="38">
        <v>3.5</v>
      </c>
      <c r="G26" s="28">
        <f t="shared" si="0"/>
        <v>0.7</v>
      </c>
      <c r="H26" s="29" t="str">
        <f t="shared" si="1"/>
        <v>جيد</v>
      </c>
      <c r="I26" s="44"/>
      <c r="J26" s="45"/>
    </row>
    <row r="27" spans="1:10" ht="30" customHeight="1" thickBot="1" x14ac:dyDescent="0.25">
      <c r="A27" s="9"/>
      <c r="B27" s="83" t="s">
        <v>195</v>
      </c>
      <c r="C27" s="84"/>
      <c r="D27" s="84"/>
      <c r="E27" s="35">
        <v>5</v>
      </c>
      <c r="F27" s="38">
        <v>3.5</v>
      </c>
      <c r="G27" s="36">
        <f t="shared" si="0"/>
        <v>0.7</v>
      </c>
      <c r="H27" s="37" t="str">
        <f t="shared" si="1"/>
        <v>جيد</v>
      </c>
      <c r="I27" s="48"/>
      <c r="J27" s="49"/>
    </row>
    <row r="28" spans="1:10" ht="30" customHeight="1" x14ac:dyDescent="0.2">
      <c r="A28" s="9"/>
      <c r="B28" s="81" t="s">
        <v>196</v>
      </c>
      <c r="C28" s="82"/>
      <c r="D28" s="82"/>
      <c r="E28" s="31"/>
      <c r="F28" s="32"/>
      <c r="G28" s="33"/>
      <c r="H28" s="34"/>
      <c r="I28" s="50"/>
      <c r="J28" s="51"/>
    </row>
    <row r="29" spans="1:10" ht="30" customHeight="1" x14ac:dyDescent="0.2">
      <c r="A29" s="9"/>
      <c r="B29" s="77" t="s">
        <v>197</v>
      </c>
      <c r="C29" s="78"/>
      <c r="D29" s="78"/>
      <c r="E29" s="30">
        <v>5</v>
      </c>
      <c r="F29" s="25">
        <v>3.5</v>
      </c>
      <c r="G29" s="28">
        <f t="shared" si="0"/>
        <v>0.7</v>
      </c>
      <c r="H29" s="29" t="str">
        <f t="shared" si="1"/>
        <v>جيد</v>
      </c>
      <c r="I29" s="44"/>
      <c r="J29" s="45"/>
    </row>
    <row r="30" spans="1:10" ht="30" customHeight="1" x14ac:dyDescent="0.2">
      <c r="A30" s="9"/>
      <c r="B30" s="77" t="s">
        <v>198</v>
      </c>
      <c r="C30" s="78"/>
      <c r="D30" s="78"/>
      <c r="E30" s="30">
        <v>5</v>
      </c>
      <c r="F30" s="38">
        <v>3.5</v>
      </c>
      <c r="G30" s="28">
        <f t="shared" si="0"/>
        <v>0.7</v>
      </c>
      <c r="H30" s="29" t="str">
        <f t="shared" si="1"/>
        <v>جيد</v>
      </c>
      <c r="I30" s="44"/>
      <c r="J30" s="45"/>
    </row>
    <row r="31" spans="1:10" ht="30" customHeight="1" x14ac:dyDescent="0.2">
      <c r="A31" s="9"/>
      <c r="B31" s="77" t="s">
        <v>199</v>
      </c>
      <c r="C31" s="78"/>
      <c r="D31" s="78"/>
      <c r="E31" s="30">
        <v>5</v>
      </c>
      <c r="F31" s="38">
        <v>3.5</v>
      </c>
      <c r="G31" s="28">
        <f t="shared" si="0"/>
        <v>0.7</v>
      </c>
      <c r="H31" s="29" t="str">
        <f t="shared" si="1"/>
        <v>جيد</v>
      </c>
      <c r="I31" s="44"/>
      <c r="J31" s="45"/>
    </row>
    <row r="32" spans="1:10" ht="30" customHeight="1" x14ac:dyDescent="0.2">
      <c r="A32" s="9"/>
      <c r="B32" s="77" t="s">
        <v>200</v>
      </c>
      <c r="C32" s="78"/>
      <c r="D32" s="78"/>
      <c r="E32" s="30">
        <v>5</v>
      </c>
      <c r="F32" s="38">
        <v>3.75</v>
      </c>
      <c r="G32" s="28">
        <f t="shared" si="0"/>
        <v>0.75</v>
      </c>
      <c r="H32" s="29" t="str">
        <f t="shared" si="1"/>
        <v>جيد</v>
      </c>
      <c r="I32" s="44"/>
      <c r="J32" s="45"/>
    </row>
    <row r="33" spans="1:10" ht="30" customHeight="1" thickBot="1" x14ac:dyDescent="0.25">
      <c r="A33" s="9"/>
      <c r="B33" s="83" t="s">
        <v>201</v>
      </c>
      <c r="C33" s="84"/>
      <c r="D33" s="84"/>
      <c r="E33" s="35">
        <v>5</v>
      </c>
      <c r="F33" s="38">
        <v>3.5</v>
      </c>
      <c r="G33" s="36">
        <f t="shared" si="0"/>
        <v>0.7</v>
      </c>
      <c r="H33" s="37" t="str">
        <f t="shared" si="1"/>
        <v>جيد</v>
      </c>
      <c r="I33" s="48"/>
      <c r="J33" s="49"/>
    </row>
    <row r="34" spans="1:10" ht="30" customHeight="1" thickBot="1" x14ac:dyDescent="0.25">
      <c r="A34" s="4"/>
      <c r="B34" s="73" t="s">
        <v>5</v>
      </c>
      <c r="C34" s="74"/>
      <c r="D34" s="74"/>
      <c r="E34" s="27">
        <f>SUM(E8:E33)</f>
        <v>115</v>
      </c>
      <c r="F34" s="27">
        <f>SUM(F8:F33)</f>
        <v>84.25</v>
      </c>
      <c r="G34" s="41"/>
      <c r="H34" s="42"/>
      <c r="I34" s="42"/>
      <c r="J34" s="43"/>
    </row>
    <row r="35" spans="1:10" ht="30" customHeight="1" thickBot="1" x14ac:dyDescent="0.25">
      <c r="A35" s="4"/>
      <c r="B35" s="75" t="s">
        <v>54</v>
      </c>
      <c r="C35" s="76"/>
      <c r="D35" s="76"/>
      <c r="E35" s="65">
        <f>F34/E34/100*100</f>
        <v>0.7326086956521739</v>
      </c>
      <c r="F35" s="65"/>
      <c r="G35" s="65"/>
      <c r="H35" s="65"/>
      <c r="I35" s="65"/>
      <c r="J35" s="66"/>
    </row>
    <row r="36" spans="1:10" ht="30" customHeight="1" thickBot="1" x14ac:dyDescent="0.25">
      <c r="A36" s="4"/>
      <c r="B36" s="75" t="s">
        <v>55</v>
      </c>
      <c r="C36" s="76"/>
      <c r="D36" s="76"/>
      <c r="E36" s="56" t="str">
        <f>_xlfn.IFS(E35&gt;=90%,"ممتاز",E35&gt;=80%,"جيد جداً",E35&gt;=70%,"جيد",E35&gt;=60%,"مقبول",E35&lt;60%,"راسب")</f>
        <v>جيد</v>
      </c>
      <c r="F36" s="56"/>
      <c r="G36" s="56"/>
      <c r="H36" s="56"/>
      <c r="I36" s="56"/>
      <c r="J36" s="57"/>
    </row>
    <row r="37" spans="1:10" ht="42" customHeight="1" x14ac:dyDescent="0.2">
      <c r="B37" s="52" t="s">
        <v>175</v>
      </c>
      <c r="C37" s="52"/>
      <c r="D37" s="52"/>
      <c r="E37" s="39" t="s">
        <v>52</v>
      </c>
      <c r="F37" s="39"/>
      <c r="G37" s="54" t="s">
        <v>97</v>
      </c>
      <c r="H37" s="54"/>
      <c r="I37" s="54"/>
      <c r="J37" s="54"/>
    </row>
    <row r="38" spans="1:10" ht="51" customHeight="1" x14ac:dyDescent="0.2">
      <c r="A38" s="5"/>
      <c r="B38" s="53"/>
      <c r="C38" s="53"/>
      <c r="D38" s="53"/>
      <c r="E38" s="40" t="s">
        <v>53</v>
      </c>
      <c r="F38" s="40"/>
      <c r="G38" s="55"/>
      <c r="H38" s="55"/>
      <c r="I38" s="55"/>
      <c r="J38" s="5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B33:D33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8:D8"/>
    <mergeCell ref="B9:D9"/>
    <mergeCell ref="B10:D10"/>
    <mergeCell ref="B11:D11"/>
    <mergeCell ref="B12:D12"/>
    <mergeCell ref="B15:D15"/>
    <mergeCell ref="B16:D16"/>
    <mergeCell ref="I32:J32"/>
    <mergeCell ref="I23:J23"/>
    <mergeCell ref="I24:J24"/>
    <mergeCell ref="I25:J25"/>
    <mergeCell ref="I26:J26"/>
    <mergeCell ref="I27:J27"/>
    <mergeCell ref="B31:D31"/>
    <mergeCell ref="B32:D32"/>
    <mergeCell ref="B34:D34"/>
    <mergeCell ref="B35:D35"/>
    <mergeCell ref="B36:D36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2:J22"/>
    <mergeCell ref="B13:D13"/>
    <mergeCell ref="B14:D14"/>
    <mergeCell ref="B37:D38"/>
    <mergeCell ref="G37:J37"/>
    <mergeCell ref="G38:J38"/>
    <mergeCell ref="E36:J36"/>
    <mergeCell ref="B1:J1"/>
    <mergeCell ref="F2:J2"/>
    <mergeCell ref="B5:D6"/>
    <mergeCell ref="C2:D2"/>
    <mergeCell ref="C3:D3"/>
    <mergeCell ref="F3:J3"/>
    <mergeCell ref="E35:J35"/>
    <mergeCell ref="B7:D7"/>
    <mergeCell ref="I30:J30"/>
    <mergeCell ref="I31:J31"/>
    <mergeCell ref="E5:H5"/>
    <mergeCell ref="I5:J6"/>
    <mergeCell ref="E37:F37"/>
    <mergeCell ref="E38:F38"/>
    <mergeCell ref="G34:J34"/>
    <mergeCell ref="I9:J9"/>
    <mergeCell ref="I7:J7"/>
    <mergeCell ref="I10:J10"/>
    <mergeCell ref="I19:J19"/>
    <mergeCell ref="I20:J20"/>
    <mergeCell ref="I21:J21"/>
    <mergeCell ref="I33:J33"/>
    <mergeCell ref="I8:J8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58">
      <formula>$E36="مقبول"</formula>
    </cfRule>
    <cfRule type="expression" dxfId="12" priority="59">
      <formula>$E36="جيد"</formula>
    </cfRule>
    <cfRule type="expression" dxfId="11" priority="60">
      <formula>$E36="جيد جداً"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8C2083B-6884-4BD3-95C3-DA9F8D119D2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E7EB6F59-3AC6-4977-96ED-25B53F91AB44}">
          <x14:formula1>
            <xm:f>'بيانات التقييم'!$A$168:$A$255</xm:f>
          </x14:formula1>
          <xm:sqref>G37:J37 F3:J3</xm:sqref>
        </x14:dataValidation>
        <x14:dataValidation type="list" allowBlank="1" showInputMessage="1" showErrorMessage="1" xr:uid="{93429FE9-4F63-4B50-AA6A-BFF55A464759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79DCB278-EB93-46FF-AF5E-33F1B3443F1A}">
          <x14:formula1>
            <xm:f>'بيانات التقييم'!$A$38:$A$76</xm:f>
          </x14:formula1>
          <xm:sqref>F2:J2</xm:sqref>
        </x14:dataValidation>
        <x14:dataValidation type="list" allowBlank="1" showInputMessage="1" showErrorMessage="1" xr:uid="{A7560210-58D3-435C-9492-47201018748F}">
          <x14:formula1>
            <xm:f>'بيانات التقييم'!$A$81:$A$103</xm:f>
          </x14:formula1>
          <xm:sqref>F9:F16 F18:F27 F29:F33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7"/>
  <sheetViews>
    <sheetView rightToLeft="1" topLeftCell="A79" zoomScale="90" zoomScaleNormal="90" workbookViewId="0">
      <selection activeCell="A39" sqref="A39:XFD68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8" t="s">
        <v>62</v>
      </c>
    </row>
    <row r="3" spans="1:3" ht="20.100000000000001" customHeight="1" thickBot="1" x14ac:dyDescent="0.3">
      <c r="A3" s="2" t="s">
        <v>26</v>
      </c>
      <c r="C3" s="18" t="s">
        <v>63</v>
      </c>
    </row>
    <row r="4" spans="1:3" ht="20.100000000000001" customHeight="1" thickBot="1" x14ac:dyDescent="0.3">
      <c r="A4" s="2" t="s">
        <v>36</v>
      </c>
      <c r="C4" s="18" t="s">
        <v>64</v>
      </c>
    </row>
    <row r="5" spans="1:3" ht="20.100000000000001" customHeight="1" thickBot="1" x14ac:dyDescent="0.3">
      <c r="A5" s="2" t="s">
        <v>37</v>
      </c>
      <c r="C5" s="18" t="s">
        <v>65</v>
      </c>
    </row>
    <row r="6" spans="1:3" ht="20.100000000000001" customHeight="1" thickBot="1" x14ac:dyDescent="0.3">
      <c r="A6" s="2" t="s">
        <v>38</v>
      </c>
      <c r="C6" s="18" t="s">
        <v>66</v>
      </c>
    </row>
    <row r="7" spans="1:3" ht="20.100000000000001" customHeight="1" thickBot="1" x14ac:dyDescent="0.3">
      <c r="A7" s="2" t="s">
        <v>39</v>
      </c>
      <c r="C7" s="18" t="s">
        <v>67</v>
      </c>
    </row>
    <row r="8" spans="1:3" ht="20.100000000000001" customHeight="1" thickBot="1" x14ac:dyDescent="0.3">
      <c r="A8" s="2" t="s">
        <v>40</v>
      </c>
      <c r="C8" s="18" t="s">
        <v>68</v>
      </c>
    </row>
    <row r="9" spans="1:3" ht="20.100000000000001" customHeight="1" thickBot="1" x14ac:dyDescent="0.3">
      <c r="A9" s="2" t="s">
        <v>41</v>
      </c>
      <c r="C9" s="18" t="s">
        <v>69</v>
      </c>
    </row>
    <row r="10" spans="1:3" ht="20.100000000000001" customHeight="1" thickBot="1" x14ac:dyDescent="0.3">
      <c r="A10" s="2" t="s">
        <v>42</v>
      </c>
      <c r="C10" s="18" t="s">
        <v>70</v>
      </c>
    </row>
    <row r="11" spans="1:3" ht="20.100000000000001" customHeight="1" thickBot="1" x14ac:dyDescent="0.3">
      <c r="A11" s="2" t="s">
        <v>43</v>
      </c>
      <c r="C11" s="18" t="s">
        <v>71</v>
      </c>
    </row>
    <row r="12" spans="1:3" ht="20.100000000000001" customHeight="1" thickBot="1" x14ac:dyDescent="0.3">
      <c r="A12" s="2" t="s">
        <v>44</v>
      </c>
      <c r="C12" s="18" t="s">
        <v>72</v>
      </c>
    </row>
    <row r="13" spans="1:3" ht="20.100000000000001" customHeight="1" thickBot="1" x14ac:dyDescent="0.3">
      <c r="A13" s="2" t="s">
        <v>45</v>
      </c>
      <c r="C13" s="18" t="s">
        <v>73</v>
      </c>
    </row>
    <row r="14" spans="1:3" ht="20.100000000000001" customHeight="1" thickBot="1" x14ac:dyDescent="0.3">
      <c r="A14" s="2" t="s">
        <v>46</v>
      </c>
      <c r="C14" s="18" t="s">
        <v>74</v>
      </c>
    </row>
    <row r="15" spans="1:3" ht="20.100000000000001" customHeight="1" thickBot="1" x14ac:dyDescent="0.3">
      <c r="A15" s="2" t="s">
        <v>47</v>
      </c>
      <c r="C15" s="18" t="s">
        <v>75</v>
      </c>
    </row>
    <row r="16" spans="1:3" ht="20.100000000000001" customHeight="1" thickBot="1" x14ac:dyDescent="0.3">
      <c r="A16" s="2" t="s">
        <v>10</v>
      </c>
      <c r="C16" s="18" t="s">
        <v>76</v>
      </c>
    </row>
    <row r="17" spans="1:3" ht="20.100000000000001" customHeight="1" thickBot="1" x14ac:dyDescent="0.3">
      <c r="A17" s="2" t="s">
        <v>27</v>
      </c>
      <c r="C17" s="18" t="s">
        <v>77</v>
      </c>
    </row>
    <row r="18" spans="1:3" ht="20.100000000000001" customHeight="1" thickBot="1" x14ac:dyDescent="0.3">
      <c r="A18" s="2" t="s">
        <v>48</v>
      </c>
      <c r="C18" s="18" t="s">
        <v>78</v>
      </c>
    </row>
    <row r="19" spans="1:3" ht="20.100000000000001" customHeight="1" thickBot="1" x14ac:dyDescent="0.3">
      <c r="A19" s="2" t="s">
        <v>49</v>
      </c>
      <c r="C19" s="18" t="s">
        <v>79</v>
      </c>
    </row>
    <row r="20" spans="1:3" ht="20.100000000000001" customHeight="1" thickBot="1" x14ac:dyDescent="0.3">
      <c r="A20" s="2" t="s">
        <v>50</v>
      </c>
      <c r="C20" s="18" t="s">
        <v>80</v>
      </c>
    </row>
    <row r="21" spans="1:3" ht="20.100000000000001" customHeight="1" thickBot="1" x14ac:dyDescent="0.3">
      <c r="A21" s="2" t="s">
        <v>51</v>
      </c>
      <c r="C21" s="18" t="s">
        <v>81</v>
      </c>
    </row>
    <row r="22" spans="1:3" ht="20.100000000000001" customHeight="1" thickBot="1" x14ac:dyDescent="0.3">
      <c r="A22" s="2" t="s">
        <v>11</v>
      </c>
      <c r="C22" s="18" t="s">
        <v>82</v>
      </c>
    </row>
    <row r="23" spans="1:3" ht="20.100000000000001" customHeight="1" thickBot="1" x14ac:dyDescent="0.3">
      <c r="A23" s="2" t="s">
        <v>12</v>
      </c>
      <c r="C23" s="18" t="s">
        <v>83</v>
      </c>
    </row>
    <row r="24" spans="1:3" ht="20.100000000000001" customHeight="1" thickBot="1" x14ac:dyDescent="0.3">
      <c r="A24" s="2" t="s">
        <v>15</v>
      </c>
      <c r="C24" s="18" t="s">
        <v>84</v>
      </c>
    </row>
    <row r="25" spans="1:3" ht="20.100000000000001" customHeight="1" thickBot="1" x14ac:dyDescent="0.3">
      <c r="A25" s="2" t="s">
        <v>28</v>
      </c>
      <c r="C25" s="18" t="s">
        <v>85</v>
      </c>
    </row>
    <row r="26" spans="1:3" ht="20.100000000000001" customHeight="1" thickBot="1" x14ac:dyDescent="0.3">
      <c r="A26" s="2" t="s">
        <v>29</v>
      </c>
      <c r="C26" s="18" t="s">
        <v>86</v>
      </c>
    </row>
    <row r="27" spans="1:3" ht="20.100000000000001" customHeight="1" thickBot="1" x14ac:dyDescent="0.3">
      <c r="A27" s="2" t="s">
        <v>13</v>
      </c>
      <c r="C27" s="18" t="s">
        <v>87</v>
      </c>
    </row>
    <row r="28" spans="1:3" ht="20.100000000000001" customHeight="1" thickBot="1" x14ac:dyDescent="0.3">
      <c r="A28" s="2" t="s">
        <v>30</v>
      </c>
      <c r="C28" s="18" t="s">
        <v>88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2">
        <v>45931</v>
      </c>
    </row>
    <row r="40" spans="1:9" ht="20.100000000000001" customHeight="1" thickBot="1" x14ac:dyDescent="0.3">
      <c r="A40" s="12">
        <v>45932</v>
      </c>
    </row>
    <row r="41" spans="1:9" ht="20.100000000000001" customHeight="1" thickBot="1" x14ac:dyDescent="0.3">
      <c r="A41" s="12">
        <v>45933</v>
      </c>
    </row>
    <row r="42" spans="1:9" ht="20.100000000000001" customHeight="1" thickBot="1" x14ac:dyDescent="0.3">
      <c r="A42" s="12">
        <v>45934</v>
      </c>
    </row>
    <row r="43" spans="1:9" ht="20.100000000000001" customHeight="1" thickBot="1" x14ac:dyDescent="0.3">
      <c r="A43" s="12">
        <v>45935</v>
      </c>
    </row>
    <row r="44" spans="1:9" ht="20.100000000000001" customHeight="1" thickBot="1" x14ac:dyDescent="0.3">
      <c r="A44" s="12">
        <v>45936</v>
      </c>
    </row>
    <row r="45" spans="1:9" ht="20.100000000000001" customHeight="1" thickBot="1" x14ac:dyDescent="0.3">
      <c r="A45" s="12">
        <v>45937</v>
      </c>
    </row>
    <row r="46" spans="1:9" ht="20.100000000000001" customHeight="1" thickBot="1" x14ac:dyDescent="0.3">
      <c r="A46" s="12">
        <v>45938</v>
      </c>
    </row>
    <row r="47" spans="1:9" ht="20.100000000000001" customHeight="1" thickBot="1" x14ac:dyDescent="0.3">
      <c r="A47" s="12">
        <v>45939</v>
      </c>
    </row>
    <row r="48" spans="1:9" ht="20.100000000000001" customHeight="1" thickBot="1" x14ac:dyDescent="0.3">
      <c r="A48" s="12">
        <v>45940</v>
      </c>
    </row>
    <row r="49" spans="1:1" ht="20.100000000000001" customHeight="1" thickBot="1" x14ac:dyDescent="0.3">
      <c r="A49" s="12">
        <v>45941</v>
      </c>
    </row>
    <row r="50" spans="1:1" ht="20.100000000000001" customHeight="1" thickBot="1" x14ac:dyDescent="0.3">
      <c r="A50" s="12">
        <v>45942</v>
      </c>
    </row>
    <row r="51" spans="1:1" ht="20.100000000000001" customHeight="1" thickBot="1" x14ac:dyDescent="0.3">
      <c r="A51" s="12">
        <v>45943</v>
      </c>
    </row>
    <row r="52" spans="1:1" ht="20.100000000000001" customHeight="1" thickBot="1" x14ac:dyDescent="0.3">
      <c r="A52" s="12">
        <v>45944</v>
      </c>
    </row>
    <row r="53" spans="1:1" ht="20.100000000000001" customHeight="1" thickBot="1" x14ac:dyDescent="0.3">
      <c r="A53" s="12">
        <v>45945</v>
      </c>
    </row>
    <row r="54" spans="1:1" ht="20.100000000000001" customHeight="1" thickBot="1" x14ac:dyDescent="0.3">
      <c r="A54" s="12">
        <v>45946</v>
      </c>
    </row>
    <row r="55" spans="1:1" ht="20.100000000000001" customHeight="1" thickBot="1" x14ac:dyDescent="0.3">
      <c r="A55" s="12">
        <v>45947</v>
      </c>
    </row>
    <row r="56" spans="1:1" ht="20.100000000000001" customHeight="1" thickBot="1" x14ac:dyDescent="0.3">
      <c r="A56" s="12">
        <v>45948</v>
      </c>
    </row>
    <row r="57" spans="1:1" ht="20.100000000000001" customHeight="1" thickBot="1" x14ac:dyDescent="0.3">
      <c r="A57" s="12">
        <v>45949</v>
      </c>
    </row>
    <row r="58" spans="1:1" ht="20.100000000000001" customHeight="1" thickBot="1" x14ac:dyDescent="0.3">
      <c r="A58" s="12">
        <v>45950</v>
      </c>
    </row>
    <row r="59" spans="1:1" ht="20.100000000000001" customHeight="1" thickBot="1" x14ac:dyDescent="0.3">
      <c r="A59" s="12">
        <v>45951</v>
      </c>
    </row>
    <row r="60" spans="1:1" ht="20.100000000000001" customHeight="1" thickBot="1" x14ac:dyDescent="0.3">
      <c r="A60" s="12">
        <v>45952</v>
      </c>
    </row>
    <row r="61" spans="1:1" ht="20.100000000000001" customHeight="1" thickBot="1" x14ac:dyDescent="0.3">
      <c r="A61" s="12">
        <v>45953</v>
      </c>
    </row>
    <row r="62" spans="1:1" ht="20.100000000000001" customHeight="1" thickBot="1" x14ac:dyDescent="0.3">
      <c r="A62" s="12">
        <v>45954</v>
      </c>
    </row>
    <row r="63" spans="1:1" ht="20.100000000000001" customHeight="1" thickBot="1" x14ac:dyDescent="0.3">
      <c r="A63" s="12">
        <v>45955</v>
      </c>
    </row>
    <row r="64" spans="1:1" ht="20.100000000000001" customHeight="1" thickBot="1" x14ac:dyDescent="0.3">
      <c r="A64" s="12">
        <v>45956</v>
      </c>
    </row>
    <row r="65" spans="1:9" ht="20.100000000000001" customHeight="1" thickBot="1" x14ac:dyDescent="0.3">
      <c r="A65" s="12">
        <v>45957</v>
      </c>
    </row>
    <row r="66" spans="1:9" ht="20.100000000000001" customHeight="1" thickBot="1" x14ac:dyDescent="0.3">
      <c r="A66" s="12">
        <v>45958</v>
      </c>
    </row>
    <row r="67" spans="1:9" ht="20.100000000000001" customHeight="1" thickBot="1" x14ac:dyDescent="0.3">
      <c r="A67" s="12">
        <v>45959</v>
      </c>
    </row>
    <row r="68" spans="1:9" ht="20.100000000000001" customHeight="1" thickBot="1" x14ac:dyDescent="0.3">
      <c r="A68" s="12">
        <v>45960</v>
      </c>
    </row>
    <row r="69" spans="1:9" ht="20.100000000000001" customHeight="1" thickBot="1" x14ac:dyDescent="0.3">
      <c r="A69" s="12">
        <v>45961</v>
      </c>
    </row>
    <row r="70" spans="1:9" ht="20.100000000000001" customHeight="1" thickBot="1" x14ac:dyDescent="0.3">
      <c r="A70" s="12">
        <v>45962</v>
      </c>
    </row>
    <row r="71" spans="1:9" ht="20.100000000000001" customHeight="1" thickBot="1" x14ac:dyDescent="0.3">
      <c r="A71" s="12">
        <v>45963</v>
      </c>
    </row>
    <row r="72" spans="1:9" ht="20.100000000000001" customHeight="1" thickBot="1" x14ac:dyDescent="0.3">
      <c r="A72" s="12">
        <v>45964</v>
      </c>
    </row>
    <row r="73" spans="1:9" ht="20.100000000000001" customHeight="1" thickBot="1" x14ac:dyDescent="0.3">
      <c r="A73" s="12">
        <v>45965</v>
      </c>
    </row>
    <row r="74" spans="1:9" ht="20.100000000000001" customHeight="1" thickBot="1" x14ac:dyDescent="0.3">
      <c r="A74" s="12">
        <v>45966</v>
      </c>
    </row>
    <row r="75" spans="1:9" ht="20.100000000000001" customHeight="1" thickBot="1" x14ac:dyDescent="0.3">
      <c r="A75" s="12">
        <v>45967</v>
      </c>
    </row>
    <row r="76" spans="1:9" ht="20.100000000000001" customHeight="1" thickBot="1" x14ac:dyDescent="0.3">
      <c r="A76" s="12">
        <v>45968</v>
      </c>
    </row>
    <row r="77" spans="1:9" ht="20.100000000000001" customHeight="1" x14ac:dyDescent="0.2">
      <c r="A77" s="13"/>
    </row>
    <row r="78" spans="1:9" ht="20.100000000000001" customHeight="1" x14ac:dyDescent="0.2">
      <c r="A78" s="13"/>
    </row>
    <row r="79" spans="1:9" s="16" customFormat="1" ht="20.100000000000001" customHeight="1" x14ac:dyDescent="0.2">
      <c r="A79" s="14"/>
      <c r="B79" s="15"/>
      <c r="C79" s="15"/>
      <c r="D79" s="15"/>
      <c r="E79" s="15"/>
      <c r="F79" s="15"/>
      <c r="G79" s="15"/>
      <c r="H79" s="15"/>
      <c r="I79" s="15"/>
    </row>
    <row r="80" spans="1:9" ht="20.100000000000001" customHeight="1" thickBot="1" x14ac:dyDescent="0.25"/>
    <row r="81" spans="1:1" ht="20.100000000000001" customHeight="1" thickBot="1" x14ac:dyDescent="0.3">
      <c r="A81" s="2" t="s">
        <v>61</v>
      </c>
    </row>
    <row r="82" spans="1:1" ht="20.100000000000001" customHeight="1" thickBot="1" x14ac:dyDescent="0.3">
      <c r="A82" s="2" t="s">
        <v>17</v>
      </c>
    </row>
    <row r="83" spans="1:1" ht="20.100000000000001" customHeight="1" thickBot="1" x14ac:dyDescent="0.25">
      <c r="A83" s="2">
        <v>0</v>
      </c>
    </row>
    <row r="84" spans="1:1" ht="20.100000000000001" customHeight="1" thickBot="1" x14ac:dyDescent="0.25">
      <c r="A84" s="2">
        <v>0.25</v>
      </c>
    </row>
    <row r="85" spans="1:1" ht="20.100000000000001" customHeight="1" thickBot="1" x14ac:dyDescent="0.25">
      <c r="A85" s="2">
        <v>0.5</v>
      </c>
    </row>
    <row r="86" spans="1:1" ht="20.100000000000001" customHeight="1" thickBot="1" x14ac:dyDescent="0.25">
      <c r="A86" s="2">
        <v>0.75</v>
      </c>
    </row>
    <row r="87" spans="1:1" ht="20.100000000000001" customHeight="1" thickBot="1" x14ac:dyDescent="0.25">
      <c r="A87" s="2">
        <v>1</v>
      </c>
    </row>
    <row r="88" spans="1:1" ht="20.100000000000001" customHeight="1" thickBot="1" x14ac:dyDescent="0.25">
      <c r="A88" s="2">
        <v>1.25</v>
      </c>
    </row>
    <row r="89" spans="1:1" ht="20.100000000000001" customHeight="1" thickBot="1" x14ac:dyDescent="0.25">
      <c r="A89" s="2">
        <v>1.5</v>
      </c>
    </row>
    <row r="90" spans="1:1" ht="20.100000000000001" customHeight="1" thickBot="1" x14ac:dyDescent="0.25">
      <c r="A90" s="2">
        <v>1.75</v>
      </c>
    </row>
    <row r="91" spans="1:1" ht="20.100000000000001" customHeight="1" thickBot="1" x14ac:dyDescent="0.25">
      <c r="A91" s="2">
        <v>2</v>
      </c>
    </row>
    <row r="92" spans="1:1" ht="20.100000000000001" customHeight="1" thickBot="1" x14ac:dyDescent="0.25">
      <c r="A92" s="2">
        <v>2.25</v>
      </c>
    </row>
    <row r="93" spans="1:1" ht="20.100000000000001" customHeight="1" thickBot="1" x14ac:dyDescent="0.25">
      <c r="A93" s="2">
        <v>2.5</v>
      </c>
    </row>
    <row r="94" spans="1:1" ht="20.100000000000001" customHeight="1" thickBot="1" x14ac:dyDescent="0.25">
      <c r="A94" s="2">
        <v>2.75</v>
      </c>
    </row>
    <row r="95" spans="1:1" ht="20.100000000000001" customHeight="1" thickBot="1" x14ac:dyDescent="0.25">
      <c r="A95" s="2">
        <v>3</v>
      </c>
    </row>
    <row r="96" spans="1:1" ht="20.100000000000001" customHeight="1" thickBot="1" x14ac:dyDescent="0.25">
      <c r="A96" s="2">
        <v>3.25</v>
      </c>
    </row>
    <row r="97" spans="1:1" ht="20.100000000000001" customHeight="1" thickBot="1" x14ac:dyDescent="0.25">
      <c r="A97" s="2">
        <v>3.5</v>
      </c>
    </row>
    <row r="98" spans="1:1" ht="20.100000000000001" customHeight="1" thickBot="1" x14ac:dyDescent="0.25">
      <c r="A98" s="2">
        <v>3.75</v>
      </c>
    </row>
    <row r="99" spans="1:1" ht="20.100000000000001" customHeight="1" thickBot="1" x14ac:dyDescent="0.25">
      <c r="A99" s="2">
        <v>4</v>
      </c>
    </row>
    <row r="100" spans="1:1" ht="20.100000000000001" customHeight="1" thickBot="1" x14ac:dyDescent="0.25">
      <c r="A100" s="2">
        <v>4.25</v>
      </c>
    </row>
    <row r="101" spans="1:1" ht="20.100000000000001" customHeight="1" thickBot="1" x14ac:dyDescent="0.25">
      <c r="A101" s="2">
        <v>4.5</v>
      </c>
    </row>
    <row r="102" spans="1:1" ht="20.100000000000001" customHeight="1" thickBot="1" x14ac:dyDescent="0.25">
      <c r="A102" s="2">
        <v>4.75</v>
      </c>
    </row>
    <row r="103" spans="1:1" ht="20.100000000000001" customHeight="1" thickBot="1" x14ac:dyDescent="0.25">
      <c r="A103" s="2">
        <v>5</v>
      </c>
    </row>
    <row r="104" spans="1:1" ht="20.100000000000001" customHeight="1" thickBot="1" x14ac:dyDescent="0.25">
      <c r="A104" s="2">
        <v>5.25</v>
      </c>
    </row>
    <row r="105" spans="1:1" ht="20.100000000000001" customHeight="1" thickBot="1" x14ac:dyDescent="0.25">
      <c r="A105" s="2">
        <v>5.5</v>
      </c>
    </row>
    <row r="106" spans="1:1" ht="20.100000000000001" customHeight="1" thickBot="1" x14ac:dyDescent="0.25">
      <c r="A106" s="2">
        <v>5.75</v>
      </c>
    </row>
    <row r="107" spans="1:1" ht="20.100000000000001" customHeight="1" thickBot="1" x14ac:dyDescent="0.25">
      <c r="A107" s="2">
        <v>6</v>
      </c>
    </row>
    <row r="108" spans="1:1" ht="20.100000000000001" customHeight="1" thickBot="1" x14ac:dyDescent="0.25">
      <c r="A108" s="2">
        <v>6.25</v>
      </c>
    </row>
    <row r="109" spans="1:1" ht="20.100000000000001" customHeight="1" thickBot="1" x14ac:dyDescent="0.25">
      <c r="A109" s="2">
        <v>6.5</v>
      </c>
    </row>
    <row r="110" spans="1:1" ht="20.100000000000001" customHeight="1" thickBot="1" x14ac:dyDescent="0.25">
      <c r="A110" s="2">
        <v>6.75</v>
      </c>
    </row>
    <row r="111" spans="1:1" ht="20.100000000000001" customHeight="1" thickBot="1" x14ac:dyDescent="0.25">
      <c r="A111" s="2">
        <v>7</v>
      </c>
    </row>
    <row r="112" spans="1:1" ht="20.100000000000001" customHeight="1" thickBot="1" x14ac:dyDescent="0.25">
      <c r="A112" s="2">
        <v>7.25</v>
      </c>
    </row>
    <row r="113" spans="1:1" ht="20.100000000000001" customHeight="1" thickBot="1" x14ac:dyDescent="0.25">
      <c r="A113" s="2">
        <v>7.5</v>
      </c>
    </row>
    <row r="114" spans="1:1" ht="20.100000000000001" customHeight="1" thickBot="1" x14ac:dyDescent="0.25">
      <c r="A114" s="2">
        <v>7.75</v>
      </c>
    </row>
    <row r="115" spans="1:1" ht="20.100000000000001" customHeight="1" thickBot="1" x14ac:dyDescent="0.25">
      <c r="A115" s="2">
        <v>8</v>
      </c>
    </row>
    <row r="116" spans="1:1" ht="20.100000000000001" customHeight="1" thickBot="1" x14ac:dyDescent="0.25">
      <c r="A116" s="2">
        <v>8.25</v>
      </c>
    </row>
    <row r="117" spans="1:1" ht="20.100000000000001" customHeight="1" thickBot="1" x14ac:dyDescent="0.25">
      <c r="A117" s="2">
        <v>8.5</v>
      </c>
    </row>
    <row r="118" spans="1:1" ht="20.100000000000001" customHeight="1" thickBot="1" x14ac:dyDescent="0.25">
      <c r="A118" s="2">
        <v>8.75</v>
      </c>
    </row>
    <row r="119" spans="1:1" ht="20.100000000000001" customHeight="1" thickBot="1" x14ac:dyDescent="0.25">
      <c r="A119" s="2">
        <v>9</v>
      </c>
    </row>
    <row r="120" spans="1:1" ht="20.100000000000001" customHeight="1" thickBot="1" x14ac:dyDescent="0.25">
      <c r="A120" s="2">
        <v>9.25</v>
      </c>
    </row>
    <row r="121" spans="1:1" ht="20.100000000000001" customHeight="1" thickBot="1" x14ac:dyDescent="0.25">
      <c r="A121" s="2">
        <v>9.5</v>
      </c>
    </row>
    <row r="122" spans="1:1" ht="20.100000000000001" customHeight="1" thickBot="1" x14ac:dyDescent="0.25">
      <c r="A122" s="2">
        <v>9.75</v>
      </c>
    </row>
    <row r="123" spans="1:1" ht="20.100000000000001" customHeight="1" thickBot="1" x14ac:dyDescent="0.25">
      <c r="A123" s="2">
        <v>10</v>
      </c>
    </row>
    <row r="124" spans="1:1" ht="20.100000000000001" customHeight="1" thickBot="1" x14ac:dyDescent="0.25">
      <c r="A124" s="2">
        <v>10.25</v>
      </c>
    </row>
    <row r="125" spans="1:1" ht="20.100000000000001" customHeight="1" thickBot="1" x14ac:dyDescent="0.25">
      <c r="A125" s="2">
        <v>10.5</v>
      </c>
    </row>
    <row r="126" spans="1:1" ht="20.100000000000001" customHeight="1" thickBot="1" x14ac:dyDescent="0.25">
      <c r="A126" s="2">
        <v>10.75</v>
      </c>
    </row>
    <row r="127" spans="1:1" ht="20.100000000000001" customHeight="1" thickBot="1" x14ac:dyDescent="0.25">
      <c r="A127" s="2">
        <v>11</v>
      </c>
    </row>
    <row r="128" spans="1:1" ht="20.100000000000001" customHeight="1" thickBot="1" x14ac:dyDescent="0.25">
      <c r="A128" s="2">
        <v>11.25</v>
      </c>
    </row>
    <row r="129" spans="1:1" ht="20.100000000000001" customHeight="1" thickBot="1" x14ac:dyDescent="0.25">
      <c r="A129" s="2">
        <v>11.5</v>
      </c>
    </row>
    <row r="130" spans="1:1" ht="20.100000000000001" customHeight="1" thickBot="1" x14ac:dyDescent="0.25">
      <c r="A130" s="2">
        <v>11.75</v>
      </c>
    </row>
    <row r="131" spans="1:1" ht="20.100000000000001" customHeight="1" thickBot="1" x14ac:dyDescent="0.25">
      <c r="A131" s="2">
        <v>12</v>
      </c>
    </row>
    <row r="132" spans="1:1" ht="20.100000000000001" customHeight="1" thickBot="1" x14ac:dyDescent="0.25">
      <c r="A132" s="2">
        <v>12.25</v>
      </c>
    </row>
    <row r="133" spans="1:1" ht="20.100000000000001" customHeight="1" thickBot="1" x14ac:dyDescent="0.25">
      <c r="A133" s="2">
        <v>12.5</v>
      </c>
    </row>
    <row r="134" spans="1:1" ht="20.100000000000001" customHeight="1" thickBot="1" x14ac:dyDescent="0.25">
      <c r="A134" s="2">
        <v>12.75</v>
      </c>
    </row>
    <row r="135" spans="1:1" ht="20.100000000000001" customHeight="1" thickBot="1" x14ac:dyDescent="0.25">
      <c r="A135" s="2">
        <v>13</v>
      </c>
    </row>
    <row r="136" spans="1:1" ht="20.100000000000001" customHeight="1" thickBot="1" x14ac:dyDescent="0.25">
      <c r="A136" s="2">
        <v>13.25</v>
      </c>
    </row>
    <row r="137" spans="1:1" ht="20.100000000000001" customHeight="1" thickBot="1" x14ac:dyDescent="0.25">
      <c r="A137" s="2">
        <v>13.5</v>
      </c>
    </row>
    <row r="138" spans="1:1" ht="20.100000000000001" customHeight="1" thickBot="1" x14ac:dyDescent="0.25">
      <c r="A138" s="2">
        <v>13.75</v>
      </c>
    </row>
    <row r="139" spans="1:1" ht="20.100000000000001" customHeight="1" thickBot="1" x14ac:dyDescent="0.25">
      <c r="A139" s="2">
        <v>14</v>
      </c>
    </row>
    <row r="140" spans="1:1" ht="20.100000000000001" customHeight="1" thickBot="1" x14ac:dyDescent="0.25">
      <c r="A140" s="2">
        <v>14.25</v>
      </c>
    </row>
    <row r="141" spans="1:1" ht="20.100000000000001" customHeight="1" thickBot="1" x14ac:dyDescent="0.25">
      <c r="A141" s="2">
        <v>14.5</v>
      </c>
    </row>
    <row r="142" spans="1:1" ht="20.100000000000001" customHeight="1" thickBot="1" x14ac:dyDescent="0.25">
      <c r="A142" s="2">
        <v>14.75</v>
      </c>
    </row>
    <row r="143" spans="1:1" ht="20.100000000000001" customHeight="1" thickBot="1" x14ac:dyDescent="0.25">
      <c r="A143" s="2">
        <v>15</v>
      </c>
    </row>
    <row r="144" spans="1:1" ht="20.100000000000001" customHeight="1" thickBot="1" x14ac:dyDescent="0.25">
      <c r="A144" s="2">
        <v>15.25</v>
      </c>
    </row>
    <row r="145" spans="1:1" ht="20.100000000000001" customHeight="1" thickBot="1" x14ac:dyDescent="0.25">
      <c r="A145" s="2">
        <v>15.5</v>
      </c>
    </row>
    <row r="146" spans="1:1" ht="20.100000000000001" customHeight="1" thickBot="1" x14ac:dyDescent="0.25">
      <c r="A146" s="2">
        <v>15.75</v>
      </c>
    </row>
    <row r="147" spans="1:1" ht="20.100000000000001" customHeight="1" thickBot="1" x14ac:dyDescent="0.25">
      <c r="A147" s="2">
        <v>16</v>
      </c>
    </row>
    <row r="148" spans="1:1" ht="20.100000000000001" customHeight="1" thickBot="1" x14ac:dyDescent="0.25">
      <c r="A148" s="2">
        <v>16.25</v>
      </c>
    </row>
    <row r="149" spans="1:1" ht="20.100000000000001" customHeight="1" thickBot="1" x14ac:dyDescent="0.25">
      <c r="A149" s="2">
        <v>16.5</v>
      </c>
    </row>
    <row r="150" spans="1:1" ht="20.100000000000001" customHeight="1" thickBot="1" x14ac:dyDescent="0.25">
      <c r="A150" s="2">
        <v>16.75</v>
      </c>
    </row>
    <row r="151" spans="1:1" ht="20.100000000000001" customHeight="1" thickBot="1" x14ac:dyDescent="0.25">
      <c r="A151" s="2">
        <v>17</v>
      </c>
    </row>
    <row r="152" spans="1:1" ht="20.100000000000001" customHeight="1" thickBot="1" x14ac:dyDescent="0.25">
      <c r="A152" s="2">
        <v>17.25</v>
      </c>
    </row>
    <row r="153" spans="1:1" ht="20.100000000000001" customHeight="1" thickBot="1" x14ac:dyDescent="0.25">
      <c r="A153" s="2">
        <v>17.5</v>
      </c>
    </row>
    <row r="154" spans="1:1" ht="20.100000000000001" customHeight="1" thickBot="1" x14ac:dyDescent="0.25">
      <c r="A154" s="2">
        <v>17.75</v>
      </c>
    </row>
    <row r="155" spans="1:1" ht="20.100000000000001" customHeight="1" thickBot="1" x14ac:dyDescent="0.25">
      <c r="A155" s="2">
        <v>18</v>
      </c>
    </row>
    <row r="156" spans="1:1" ht="20.100000000000001" customHeight="1" thickBot="1" x14ac:dyDescent="0.25">
      <c r="A156" s="2">
        <v>18.25</v>
      </c>
    </row>
    <row r="157" spans="1:1" ht="20.100000000000001" customHeight="1" thickBot="1" x14ac:dyDescent="0.25">
      <c r="A157" s="2">
        <v>18.5</v>
      </c>
    </row>
    <row r="158" spans="1:1" ht="20.100000000000001" customHeight="1" thickBot="1" x14ac:dyDescent="0.25">
      <c r="A158" s="2">
        <v>18.75</v>
      </c>
    </row>
    <row r="159" spans="1:1" ht="20.100000000000001" customHeight="1" thickBot="1" x14ac:dyDescent="0.25">
      <c r="A159" s="2">
        <v>19</v>
      </c>
    </row>
    <row r="160" spans="1:1" ht="20.100000000000001" customHeight="1" thickBot="1" x14ac:dyDescent="0.25">
      <c r="A160" s="2">
        <v>19.25</v>
      </c>
    </row>
    <row r="161" spans="1:1" ht="20.100000000000001" customHeight="1" thickBot="1" x14ac:dyDescent="0.25">
      <c r="A161" s="2">
        <v>19.5</v>
      </c>
    </row>
    <row r="162" spans="1:1" ht="20.100000000000001" customHeight="1" thickBot="1" x14ac:dyDescent="0.25">
      <c r="A162" s="2">
        <v>19.75</v>
      </c>
    </row>
    <row r="163" spans="1:1" ht="20.100000000000001" customHeight="1" thickBot="1" x14ac:dyDescent="0.25">
      <c r="A163" s="2">
        <v>20</v>
      </c>
    </row>
    <row r="167" spans="1:1" ht="20.100000000000001" customHeight="1" thickBot="1" x14ac:dyDescent="0.25"/>
    <row r="168" spans="1:1" ht="20.100000000000001" customHeight="1" thickBot="1" x14ac:dyDescent="0.3">
      <c r="A168" s="2" t="s">
        <v>59</v>
      </c>
    </row>
    <row r="169" spans="1:1" ht="20.100000000000001" customHeight="1" x14ac:dyDescent="0.2">
      <c r="A169" s="19" t="s">
        <v>89</v>
      </c>
    </row>
    <row r="170" spans="1:1" ht="20.100000000000001" customHeight="1" x14ac:dyDescent="0.2">
      <c r="A170" s="19" t="s">
        <v>90</v>
      </c>
    </row>
    <row r="171" spans="1:1" ht="20.100000000000001" customHeight="1" x14ac:dyDescent="0.2">
      <c r="A171" s="19" t="s">
        <v>91</v>
      </c>
    </row>
    <row r="172" spans="1:1" ht="20.100000000000001" customHeight="1" x14ac:dyDescent="0.2">
      <c r="A172" s="19" t="s">
        <v>92</v>
      </c>
    </row>
    <row r="173" spans="1:1" ht="20.100000000000001" customHeight="1" x14ac:dyDescent="0.2">
      <c r="A173" s="19" t="s">
        <v>93</v>
      </c>
    </row>
    <row r="174" spans="1:1" ht="20.100000000000001" customHeight="1" x14ac:dyDescent="0.2">
      <c r="A174" s="19" t="s">
        <v>94</v>
      </c>
    </row>
    <row r="175" spans="1:1" ht="20.100000000000001" customHeight="1" x14ac:dyDescent="0.2">
      <c r="A175" s="19" t="s">
        <v>95</v>
      </c>
    </row>
    <row r="176" spans="1:1" ht="20.100000000000001" customHeight="1" x14ac:dyDescent="0.2">
      <c r="A176" s="19" t="s">
        <v>96</v>
      </c>
    </row>
    <row r="177" spans="1:1" ht="20.100000000000001" customHeight="1" x14ac:dyDescent="0.2">
      <c r="A177" s="19" t="s">
        <v>97</v>
      </c>
    </row>
    <row r="178" spans="1:1" ht="20.100000000000001" customHeight="1" x14ac:dyDescent="0.2">
      <c r="A178" s="20" t="s">
        <v>98</v>
      </c>
    </row>
    <row r="179" spans="1:1" ht="20.100000000000001" customHeight="1" x14ac:dyDescent="0.2">
      <c r="A179" s="20" t="s">
        <v>99</v>
      </c>
    </row>
    <row r="180" spans="1:1" ht="20.100000000000001" customHeight="1" x14ac:dyDescent="0.2">
      <c r="A180" s="19" t="s">
        <v>100</v>
      </c>
    </row>
    <row r="181" spans="1:1" ht="20.100000000000001" customHeight="1" x14ac:dyDescent="0.2">
      <c r="A181" s="19" t="s">
        <v>101</v>
      </c>
    </row>
    <row r="182" spans="1:1" ht="20.100000000000001" customHeight="1" x14ac:dyDescent="0.2">
      <c r="A182" s="19" t="s">
        <v>102</v>
      </c>
    </row>
    <row r="183" spans="1:1" ht="20.100000000000001" customHeight="1" x14ac:dyDescent="0.2">
      <c r="A183" s="19" t="s">
        <v>103</v>
      </c>
    </row>
    <row r="184" spans="1:1" ht="20.100000000000001" customHeight="1" x14ac:dyDescent="0.2">
      <c r="A184" s="19" t="s">
        <v>104</v>
      </c>
    </row>
    <row r="185" spans="1:1" ht="20.100000000000001" customHeight="1" x14ac:dyDescent="0.2">
      <c r="A185" s="19" t="s">
        <v>105</v>
      </c>
    </row>
    <row r="186" spans="1:1" ht="20.100000000000001" customHeight="1" x14ac:dyDescent="0.2">
      <c r="A186" s="19" t="s">
        <v>106</v>
      </c>
    </row>
    <row r="187" spans="1:1" ht="20.100000000000001" customHeight="1" x14ac:dyDescent="0.2">
      <c r="A187" s="19" t="s">
        <v>107</v>
      </c>
    </row>
    <row r="188" spans="1:1" ht="20.100000000000001" customHeight="1" x14ac:dyDescent="0.2">
      <c r="A188" s="19" t="s">
        <v>108</v>
      </c>
    </row>
    <row r="189" spans="1:1" ht="20.100000000000001" customHeight="1" x14ac:dyDescent="0.2">
      <c r="A189" s="19" t="s">
        <v>109</v>
      </c>
    </row>
    <row r="190" spans="1:1" ht="20.100000000000001" customHeight="1" x14ac:dyDescent="0.2">
      <c r="A190" s="19" t="s">
        <v>110</v>
      </c>
    </row>
    <row r="191" spans="1:1" ht="20.100000000000001" customHeight="1" x14ac:dyDescent="0.2">
      <c r="A191" s="19" t="s">
        <v>111</v>
      </c>
    </row>
    <row r="192" spans="1:1" ht="20.100000000000001" customHeight="1" x14ac:dyDescent="0.2">
      <c r="A192" s="19" t="s">
        <v>112</v>
      </c>
    </row>
    <row r="193" spans="1:1" ht="20.100000000000001" customHeight="1" x14ac:dyDescent="0.2">
      <c r="A193" s="19" t="s">
        <v>113</v>
      </c>
    </row>
    <row r="194" spans="1:1" ht="20.100000000000001" customHeight="1" x14ac:dyDescent="0.2">
      <c r="A194" s="19" t="s">
        <v>114</v>
      </c>
    </row>
    <row r="195" spans="1:1" ht="20.100000000000001" customHeight="1" x14ac:dyDescent="0.2">
      <c r="A195" s="19" t="s">
        <v>115</v>
      </c>
    </row>
    <row r="196" spans="1:1" ht="20.100000000000001" customHeight="1" x14ac:dyDescent="0.2">
      <c r="A196" s="19" t="s">
        <v>116</v>
      </c>
    </row>
    <row r="197" spans="1:1" ht="20.100000000000001" customHeight="1" x14ac:dyDescent="0.2">
      <c r="A197" s="19" t="s">
        <v>117</v>
      </c>
    </row>
    <row r="198" spans="1:1" ht="20.100000000000001" customHeight="1" x14ac:dyDescent="0.2">
      <c r="A198" s="19" t="s">
        <v>118</v>
      </c>
    </row>
    <row r="199" spans="1:1" ht="20.100000000000001" customHeight="1" x14ac:dyDescent="0.2">
      <c r="A199" s="19" t="s">
        <v>119</v>
      </c>
    </row>
    <row r="200" spans="1:1" ht="20.100000000000001" customHeight="1" x14ac:dyDescent="0.2">
      <c r="A200" s="19" t="s">
        <v>120</v>
      </c>
    </row>
    <row r="201" spans="1:1" ht="20.100000000000001" customHeight="1" x14ac:dyDescent="0.2">
      <c r="A201" s="19" t="s">
        <v>121</v>
      </c>
    </row>
    <row r="202" spans="1:1" ht="20.100000000000001" customHeight="1" x14ac:dyDescent="0.2">
      <c r="A202" s="19" t="s">
        <v>122</v>
      </c>
    </row>
    <row r="203" spans="1:1" ht="20.100000000000001" customHeight="1" x14ac:dyDescent="0.2">
      <c r="A203" s="19" t="s">
        <v>123</v>
      </c>
    </row>
    <row r="204" spans="1:1" ht="20.100000000000001" customHeight="1" x14ac:dyDescent="0.2">
      <c r="A204" s="19" t="s">
        <v>124</v>
      </c>
    </row>
    <row r="205" spans="1:1" ht="20.100000000000001" customHeight="1" x14ac:dyDescent="0.2">
      <c r="A205" s="21" t="s">
        <v>125</v>
      </c>
    </row>
    <row r="206" spans="1:1" ht="20.100000000000001" customHeight="1" x14ac:dyDescent="0.2">
      <c r="A206" s="19" t="s">
        <v>126</v>
      </c>
    </row>
    <row r="207" spans="1:1" ht="20.100000000000001" customHeight="1" x14ac:dyDescent="0.2">
      <c r="A207" s="19" t="s">
        <v>127</v>
      </c>
    </row>
    <row r="208" spans="1:1" ht="20.100000000000001" customHeight="1" x14ac:dyDescent="0.2">
      <c r="A208" s="19" t="s">
        <v>128</v>
      </c>
    </row>
    <row r="209" spans="1:1" ht="20.100000000000001" customHeight="1" x14ac:dyDescent="0.2">
      <c r="A209" s="19" t="s">
        <v>129</v>
      </c>
    </row>
    <row r="210" spans="1:1" ht="20.100000000000001" customHeight="1" x14ac:dyDescent="0.2">
      <c r="A210" s="19" t="s">
        <v>130</v>
      </c>
    </row>
    <row r="211" spans="1:1" ht="20.100000000000001" customHeight="1" x14ac:dyDescent="0.2">
      <c r="A211" s="19" t="s">
        <v>131</v>
      </c>
    </row>
    <row r="212" spans="1:1" ht="20.100000000000001" customHeight="1" x14ac:dyDescent="0.2">
      <c r="A212" s="19" t="s">
        <v>132</v>
      </c>
    </row>
    <row r="213" spans="1:1" ht="20.100000000000001" customHeight="1" x14ac:dyDescent="0.2">
      <c r="A213" s="19" t="s">
        <v>133</v>
      </c>
    </row>
    <row r="214" spans="1:1" ht="20.100000000000001" customHeight="1" x14ac:dyDescent="0.2">
      <c r="A214" s="19" t="s">
        <v>134</v>
      </c>
    </row>
    <row r="215" spans="1:1" ht="20.100000000000001" customHeight="1" x14ac:dyDescent="0.2">
      <c r="A215" s="19" t="s">
        <v>135</v>
      </c>
    </row>
    <row r="216" spans="1:1" ht="20.100000000000001" customHeight="1" x14ac:dyDescent="0.2">
      <c r="A216" s="19" t="s">
        <v>136</v>
      </c>
    </row>
    <row r="217" spans="1:1" ht="20.100000000000001" customHeight="1" x14ac:dyDescent="0.2">
      <c r="A217" s="19" t="s">
        <v>127</v>
      </c>
    </row>
    <row r="218" spans="1:1" ht="20.100000000000001" customHeight="1" x14ac:dyDescent="0.2">
      <c r="A218" s="19" t="s">
        <v>137</v>
      </c>
    </row>
    <row r="219" spans="1:1" ht="20.100000000000001" customHeight="1" x14ac:dyDescent="0.2">
      <c r="A219" s="19" t="s">
        <v>138</v>
      </c>
    </row>
    <row r="220" spans="1:1" ht="20.100000000000001" customHeight="1" x14ac:dyDescent="0.2">
      <c r="A220" s="21" t="s">
        <v>139</v>
      </c>
    </row>
    <row r="221" spans="1:1" ht="20.100000000000001" customHeight="1" x14ac:dyDescent="0.2">
      <c r="A221" s="22" t="s">
        <v>140</v>
      </c>
    </row>
    <row r="222" spans="1:1" ht="20.100000000000001" customHeight="1" x14ac:dyDescent="0.2">
      <c r="A222" s="19" t="s">
        <v>141</v>
      </c>
    </row>
    <row r="223" spans="1:1" ht="20.100000000000001" customHeight="1" x14ac:dyDescent="0.2">
      <c r="A223" s="19" t="s">
        <v>142</v>
      </c>
    </row>
    <row r="224" spans="1:1" ht="20.100000000000001" customHeight="1" x14ac:dyDescent="0.2">
      <c r="A224" s="23" t="s">
        <v>143</v>
      </c>
    </row>
    <row r="225" spans="1:1" ht="20.100000000000001" customHeight="1" x14ac:dyDescent="0.2">
      <c r="A225" s="23" t="s">
        <v>144</v>
      </c>
    </row>
    <row r="226" spans="1:1" ht="20.100000000000001" customHeight="1" x14ac:dyDescent="0.2">
      <c r="A226" s="24" t="s">
        <v>145</v>
      </c>
    </row>
    <row r="227" spans="1:1" ht="20.100000000000001" customHeight="1" x14ac:dyDescent="0.2">
      <c r="A227" s="19" t="s">
        <v>146</v>
      </c>
    </row>
    <row r="228" spans="1:1" ht="20.100000000000001" customHeight="1" x14ac:dyDescent="0.2">
      <c r="A228" s="24" t="s">
        <v>147</v>
      </c>
    </row>
    <row r="229" spans="1:1" ht="20.100000000000001" customHeight="1" x14ac:dyDescent="0.2">
      <c r="A229" s="19" t="s">
        <v>148</v>
      </c>
    </row>
    <row r="230" spans="1:1" ht="20.100000000000001" customHeight="1" x14ac:dyDescent="0.2">
      <c r="A230" s="24" t="s">
        <v>149</v>
      </c>
    </row>
    <row r="231" spans="1:1" ht="20.100000000000001" customHeight="1" x14ac:dyDescent="0.2">
      <c r="A231" s="19" t="s">
        <v>150</v>
      </c>
    </row>
    <row r="232" spans="1:1" ht="20.100000000000001" customHeight="1" x14ac:dyDescent="0.2">
      <c r="A232" s="19" t="s">
        <v>151</v>
      </c>
    </row>
    <row r="233" spans="1:1" ht="20.100000000000001" customHeight="1" x14ac:dyDescent="0.2">
      <c r="A233" s="24" t="s">
        <v>152</v>
      </c>
    </row>
    <row r="234" spans="1:1" ht="20.100000000000001" customHeight="1" x14ac:dyDescent="0.2">
      <c r="A234" s="24" t="s">
        <v>153</v>
      </c>
    </row>
    <row r="235" spans="1:1" ht="20.100000000000001" customHeight="1" x14ac:dyDescent="0.2">
      <c r="A235" s="24" t="s">
        <v>154</v>
      </c>
    </row>
    <row r="236" spans="1:1" ht="20.100000000000001" customHeight="1" x14ac:dyDescent="0.2">
      <c r="A236" s="19" t="s">
        <v>155</v>
      </c>
    </row>
    <row r="237" spans="1:1" ht="20.100000000000001" customHeight="1" x14ac:dyDescent="0.2">
      <c r="A237" s="19" t="s">
        <v>156</v>
      </c>
    </row>
    <row r="238" spans="1:1" ht="20.100000000000001" customHeight="1" x14ac:dyDescent="0.2">
      <c r="A238" s="19" t="s">
        <v>157</v>
      </c>
    </row>
    <row r="239" spans="1:1" ht="20.100000000000001" customHeight="1" x14ac:dyDescent="0.2">
      <c r="A239" s="19" t="s">
        <v>158</v>
      </c>
    </row>
    <row r="240" spans="1:1" ht="20.100000000000001" customHeight="1" x14ac:dyDescent="0.2">
      <c r="A240" s="24" t="s">
        <v>159</v>
      </c>
    </row>
    <row r="241" spans="1:1" ht="20.100000000000001" customHeight="1" x14ac:dyDescent="0.2">
      <c r="A241" s="24" t="s">
        <v>160</v>
      </c>
    </row>
    <row r="242" spans="1:1" ht="20.100000000000001" customHeight="1" x14ac:dyDescent="0.2">
      <c r="A242" s="19" t="s">
        <v>161</v>
      </c>
    </row>
    <row r="243" spans="1:1" ht="20.100000000000001" customHeight="1" x14ac:dyDescent="0.2">
      <c r="A243" s="24" t="s">
        <v>162</v>
      </c>
    </row>
    <row r="244" spans="1:1" ht="20.100000000000001" customHeight="1" x14ac:dyDescent="0.2">
      <c r="A244" s="24" t="s">
        <v>163</v>
      </c>
    </row>
    <row r="245" spans="1:1" ht="20.100000000000001" customHeight="1" x14ac:dyDescent="0.2">
      <c r="A245" s="19" t="s">
        <v>164</v>
      </c>
    </row>
    <row r="246" spans="1:1" ht="20.100000000000001" customHeight="1" x14ac:dyDescent="0.2">
      <c r="A246" s="19" t="s">
        <v>165</v>
      </c>
    </row>
    <row r="247" spans="1:1" ht="20.100000000000001" customHeight="1" x14ac:dyDescent="0.2">
      <c r="A247" s="24" t="s">
        <v>166</v>
      </c>
    </row>
    <row r="248" spans="1:1" ht="20.100000000000001" customHeight="1" x14ac:dyDescent="0.2">
      <c r="A248" s="19" t="s">
        <v>167</v>
      </c>
    </row>
    <row r="249" spans="1:1" ht="20.100000000000001" customHeight="1" x14ac:dyDescent="0.2">
      <c r="A249" s="19" t="s">
        <v>168</v>
      </c>
    </row>
    <row r="250" spans="1:1" ht="20.100000000000001" customHeight="1" x14ac:dyDescent="0.2">
      <c r="A250" s="19" t="s">
        <v>169</v>
      </c>
    </row>
    <row r="251" spans="1:1" ht="20.100000000000001" customHeight="1" x14ac:dyDescent="0.2">
      <c r="A251" s="19" t="s">
        <v>170</v>
      </c>
    </row>
    <row r="252" spans="1:1" ht="20.100000000000001" customHeight="1" x14ac:dyDescent="0.2">
      <c r="A252" s="24" t="s">
        <v>171</v>
      </c>
    </row>
    <row r="253" spans="1:1" ht="20.100000000000001" customHeight="1" x14ac:dyDescent="0.2">
      <c r="A253" s="24" t="s">
        <v>172</v>
      </c>
    </row>
    <row r="254" spans="1:1" ht="20.100000000000001" customHeight="1" x14ac:dyDescent="0.2">
      <c r="A254" s="24" t="s">
        <v>173</v>
      </c>
    </row>
    <row r="255" spans="1:1" ht="20.100000000000001" customHeight="1" thickBot="1" x14ac:dyDescent="0.25">
      <c r="A255" s="19" t="s">
        <v>174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2025-10-22T03:22:21Z</dcterms:modified>
</cp:coreProperties>
</file>