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2FAAF8E-F373-40CD-9059-72BFD34739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<sst xmlns="http://schemas.openxmlformats.org/spreadsheetml/2006/main" count="289" uniqueCount="233">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</sst>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4.xml"/><Relationship Id="rId18" Type="http://schemas.openxmlformats.org/officeDocument/2006/relationships/image" Target="../media/image9.png"/><Relationship Id="rId21" Type="http://schemas.openxmlformats.org/officeDocument/2006/relationships/customXml" Target="../ink/ink9.xml"/><Relationship Id="rId12" Type="http://schemas.openxmlformats.org/officeDocument/2006/relationships/image" Target="../media/image6.png"/><Relationship Id="rId17" Type="http://schemas.openxmlformats.org/officeDocument/2006/relationships/customXml" Target="../ink/ink6.xml"/><Relationship Id="rId16" Type="http://schemas.openxmlformats.org/officeDocument/2006/relationships/image" Target="../media/image8.png"/><Relationship Id="rId2" Type="http://schemas.openxmlformats.org/officeDocument/2006/relationships/image" Target="../media/image1.png"/><Relationship Id="rId20" Type="http://schemas.openxmlformats.org/officeDocument/2006/relationships/customXml" Target="../ink/ink8.xml"/><Relationship Id="rId1" Type="http://schemas.openxmlformats.org/officeDocument/2006/relationships/customXml" Target="../ink/ink1.xml"/><Relationship Id="rId11" Type="http://schemas.openxmlformats.org/officeDocument/2006/relationships/customXml" Target="../ink/ink3.xml"/><Relationship Id="rId24" Type="http://schemas.openxmlformats.org/officeDocument/2006/relationships/image" Target="../media/image20.png"/><Relationship Id="rId15" Type="http://schemas.openxmlformats.org/officeDocument/2006/relationships/customXml" Target="../ink/ink5.xml"/><Relationship Id="rId23" Type="http://schemas.openxmlformats.org/officeDocument/2006/relationships/customXml" Target="../ink/ink10.xml"/><Relationship Id="rId10" Type="http://schemas.openxmlformats.org/officeDocument/2006/relationships/image" Target="../media/image5.png"/><Relationship Id="rId19" Type="http://schemas.openxmlformats.org/officeDocument/2006/relationships/customXml" Target="../ink/ink7.xml"/><Relationship Id="rId9" Type="http://schemas.openxmlformats.org/officeDocument/2006/relationships/customXml" Target="../ink/ink2.xml"/><Relationship Id="rId14" Type="http://schemas.openxmlformats.org/officeDocument/2006/relationships/image" Target="../media/image7.png"/><Relationship Id="rId4" Type="http://schemas.openxmlformats.org/officeDocument/2006/relationships/image" Target="../media/image2.png"/><Relationship Id="rId2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341798</xdr:colOff>
      <xdr:row>1</xdr:row>
      <xdr:rowOff>162900</xdr:rowOff>
    </xdr:from>
    <xdr:to>
      <xdr:col>5</xdr:col>
      <xdr:colOff>353318</xdr:colOff>
      <xdr:row>1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14:cNvPr>
            <xdr14:cNvContentPartPr/>
          </xdr14:nvContentPartPr>
          <xdr14:nvPr macro=""/>
          <xdr14:xfrm>
            <a:off x="10400865864" y="734400"/>
            <a:ext cx="11520" cy="21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856864" y="725760"/>
              <a:ext cx="29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532970</xdr:colOff>
      <xdr:row>1</xdr:row>
      <xdr:rowOff>184860</xdr:rowOff>
    </xdr:from>
    <xdr:to>
      <xdr:col>4</xdr:col>
      <xdr:colOff>547370</xdr:colOff>
      <xdr:row>1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14:cNvPr>
            <xdr14:cNvContentPartPr/>
          </xdr14:nvContentPartPr>
          <xdr14:nvPr macro=""/>
          <xdr14:xfrm>
            <a:off x="10401329904" y="756360"/>
            <a:ext cx="14400" cy="3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1320904" y="747720"/>
              <a:ext cx="320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506330</xdr:colOff>
      <xdr:row>1</xdr:row>
      <xdr:rowOff>191700</xdr:rowOff>
    </xdr:from>
    <xdr:to>
      <xdr:col>4</xdr:col>
      <xdr:colOff>513530</xdr:colOff>
      <xdr:row>1</xdr:row>
      <xdr:rowOff>199620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14:cNvPr>
            <xdr14:cNvContentPartPr/>
          </xdr14:nvContentPartPr>
          <xdr14:nvPr macro=""/>
          <xdr14:xfrm>
            <a:off x="10401363744" y="763200"/>
            <a:ext cx="7200" cy="7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1354744" y="754200"/>
              <a:ext cx="2484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463838</xdr:colOff>
      <xdr:row>1</xdr:row>
      <xdr:rowOff>169740</xdr:rowOff>
    </xdr:from>
    <xdr:to>
      <xdr:col>5</xdr:col>
      <xdr:colOff>476438</xdr:colOff>
      <xdr:row>1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14:cNvPr>
            <xdr14:cNvContentPartPr/>
          </xdr14:nvContentPartPr>
          <xdr14:nvPr macro=""/>
          <xdr14:xfrm>
            <a:off x="10400742744" y="741240"/>
            <a:ext cx="12600" cy="6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00734104" y="732240"/>
              <a:ext cx="302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123626</xdr:colOff>
      <xdr:row>1</xdr:row>
      <xdr:rowOff>237060</xdr:rowOff>
    </xdr:from>
    <xdr:to>
      <xdr:col>6</xdr:col>
      <xdr:colOff>143066</xdr:colOff>
      <xdr:row>1</xdr:row>
      <xdr:rowOff>259020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14:cNvPr>
            <xdr14:cNvContentPartPr/>
          </xdr14:nvContentPartPr>
          <xdr14:nvPr macro=""/>
          <xdr14:xfrm>
            <a:off x="10400418024" y="808560"/>
            <a:ext cx="19440" cy="2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400409384" y="799920"/>
              <a:ext cx="370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440810</xdr:colOff>
      <xdr:row>1</xdr:row>
      <xdr:rowOff>289260</xdr:rowOff>
    </xdr:from>
    <xdr:to>
      <xdr:col>4</xdr:col>
      <xdr:colOff>454850</xdr:colOff>
      <xdr:row>1</xdr:row>
      <xdr:rowOff>310500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14:cNvPr>
            <xdr14:cNvContentPartPr/>
          </xdr14:nvContentPartPr>
          <xdr14:nvPr macro=""/>
          <xdr14:xfrm>
            <a:off x="10401422424" y="860760"/>
            <a:ext cx="14040" cy="21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401413784" y="852120"/>
              <a:ext cx="3168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525</xdr:col>
      <xdr:colOff>143027</xdr:colOff>
      <xdr:row>64</xdr:row>
      <xdr:rowOff>0</xdr:rowOff>
    </xdr:from>
    <xdr:to>
      <xdr:col>526</xdr:col>
      <xdr:colOff>179213</xdr:colOff>
      <xdr:row>65</xdr:row>
      <xdr:rowOff>3901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62386EE-7DC8-48C6-8B0B-03D1915B4D7A}"/>
                </a:ext>
              </a:extLst>
            </xdr14:cNvPr>
            <xdr14:cNvContentPartPr/>
          </xdr14:nvContentPartPr>
          <xdr14:nvPr macro=""/>
          <xdr14:xfrm>
            <a:off x="9759809864" y="25403908"/>
            <a:ext cx="651647" cy="185608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526</xdr:col>
      <xdr:colOff>62573</xdr:colOff>
      <xdr:row>65</xdr:row>
      <xdr:rowOff>1921</xdr:rowOff>
    </xdr:from>
    <xdr:to>
      <xdr:col>527</xdr:col>
      <xdr:colOff>509158</xdr:colOff>
      <xdr:row>65</xdr:row>
      <xdr:rowOff>3721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5BF153-FA8E-4B99-A6CA-D26E5DC3B433}"/>
                </a:ext>
              </a:extLst>
            </xdr14:cNvPr>
            <xdr14:cNvContentPartPr/>
          </xdr14:nvContentPartPr>
          <xdr14:nvPr macro=""/>
          <xdr14:xfrm>
            <a:off x="9758864457" y="25587536"/>
            <a:ext cx="1062047" cy="1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17585</xdr:colOff>
      <xdr:row>62</xdr:row>
      <xdr:rowOff>527538</xdr:rowOff>
    </xdr:from>
    <xdr:to>
      <xdr:col>8</xdr:col>
      <xdr:colOff>30325</xdr:colOff>
      <xdr:row>63</xdr:row>
      <xdr:rowOff>401898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847DAA8-C2DD-44C2-A1E4-1B73E7CDDEB6}"/>
                </a:ext>
              </a:extLst>
            </xdr14:cNvPr>
            <xdr14:cNvContentPartPr/>
          </xdr14:nvContentPartPr>
          <xdr14:nvPr macro=""/>
          <xdr14:xfrm>
            <a:off x="10079236752" y="24747415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552592</xdr:colOff>
      <xdr:row>63</xdr:row>
      <xdr:rowOff>239898</xdr:rowOff>
    </xdr:from>
    <xdr:to>
      <xdr:col>9</xdr:col>
      <xdr:colOff>336824</xdr:colOff>
      <xdr:row>63</xdr:row>
      <xdr:rowOff>558138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85A2752-3AA0-40B7-B300-8318324B2693}"/>
                </a:ext>
              </a:extLst>
            </xdr14:cNvPr>
            <xdr14:cNvContentPartPr/>
          </xdr14:nvContentPartPr>
          <xdr14:nvPr macro=""/>
          <xdr14:xfrm>
            <a:off x="10078291345" y="24993175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6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31 14891,'0'0'0,"-3"-5"80,3-12-936,0 17 856,0-4-1225,0 0-319,3 4 128,1 4 39,-4-4 1377,3 13-1440,2 1-272,7-1-489,-8 1-207,-4-14 2408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7.2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11 17899,'0'0'0,"-14"-5"176,14 5-176,-3-2-496,-9-1-208,12 3-112,0 0 48,0 0 768,3 0-688,-1 1 264,-2 2 135,3 0 89,-3-3 200,2 1-104,0 2 0,1 1 40,-1 1 0,-2-5 64,0 4-56,0 0-16,3 0 0,-3-1 32,0-3 40,0 3 8,0-1-24,2-1 16,-2 2 0,0-3 0,0 1-40,0 1 24,0-1-8,2 1 0,-2-2 24,0 1-64,0 0-120,3 2-176,-1 0-312,-2-3 672,0 3-952,3 0-328,-1 1-425,3 0-447,-5-4 2152,0 12-3329,0-12 3329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8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22 16235,'0'0'0,"-4"-3"872,1-9-832,3 10-120,0 2 80,0-3-104,0 3 64,0 0-24,0 0 48,0 0 16,0 0 8,0 0 0,0 0-24,0 0 0,0 0 32,0 0-112,0 0-16,0 0 96,0 0 56,0 0 144,0 0-288,0 0 248,-5 0 64,5 1 16,0-1-224,0 0 256,0 2 24,0-2-64,0 1 56,0-1-272,0 0 232,0 0-7,0 0-25,0 0-24,0 0-176,0 0 200,-4 0-48,4 0-16,0 0 72,0 0-208,-3 0 160,3 0 32,0 0-8,0 0-128,0 0-56,0 0 112,0 0-64,0 0 32,0 0-320,0 0 440,0 0-216,0 0 56,0 0-264,3 0 464,-3 0-256,0 0-56,0 0-8,0 0 80,0-3-160,0 3-80,0 0-136,0 0-256,0 0 632,0 0-889,0 0-303,0 0-280,0 0-393,0 0 7283,0-3-13140,0 3 4705,0 0-1216,0 0 585,0 0 3648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9.0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16 14307,'0'0'0,"-17"-12"7017,13 12-6953,-8-4-320,12 4 256,0 0-408,0 0-96,0 0 24,0 0 24,0 0 2304,0 0-3936,0 0 2016,0 0 56,0 0 104,0 0 2000,0 0-4152,0 0 2072,0 0-16,0 0 88,0 0 1904,0 0-3864,0 0 2088,0 0 112,0 0 8,0 0 696,0 0-1696,0 0 936,0 0-24,0 0-112,0 0-88,0 0 64,0 0 16,0 0-72,0 0 16,0 0-400,0 0 696,0 0-328,0 0-24,0 0 16,0 0-448,0 0 840,0 0-416,0 0-24,0 0-8,0 0 48,0 0-40,0 0 88,0 0-144,0 0 40,0 0-24,0 0 248,0 0-448,0 0 240,0 2-48,0-2-32,0 0 104,0 0-192,0 0-240,0 0-256,0 0-312,0 0 3312,0 0-5945,0 0 1969,0 0-409,2 0-599,-2 0 2672,0 1-3665,0 0-1088,0-1 4753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0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60 22332,'0'0'0,"0"0"0,-5-18 224,-5 4-328,6-3-136,4 12-112,0 5 352,0-2-496,0-1-16,0 3 0,2 0 176,-2 0 336,2 0-248,3 0 24,-2 0-120,1 0-169,-4 0 513,5 0-696,-2 0-136,1 0-48,4 0 24,-8 0 856,2 0-752,5 0 39,-4 0 105,-3 0-32,0 0 640,2 0-688,1 0-112,-3 0-272,0 1-337,0-1 1409,0 2-1720,0-1-224,0 0-521,0-1 401,0 0 2064,0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3.5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59 20644,'0'0'0,"-17"-17"504,17 17-504,-7-16-440,-7 2-376,14 3-288,0 11 7,0 0 1097,0 0-1000,0 0 256,0 1 264,0-1 152,0 0 328,0 0-248,0 0-80,0 0-152,2 0-201,-2 0 681,0 0-872,0 0-48,0 0 40,0 0 120,0 0 4192,0 0-7505,0 0 3513,0 0-48,0 0-192,0 0 6841,0 0-13322,0 0 5632,0 0-743,0 0 416,0 0 1976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516 16059,'0'0'0,"-3"-10"704,3 0 104,0 10-808,-2-9 952,2-2-15,0 9-105,0-6-160,0 8-672,0-2 584,0-1-152,0-7-64,0 9-40,0 1-328,-5-8 296,3 6 24,-1 0-23,1-7-33,2 9-264,-3-4 288,-4-4-40,3 6 16,-3-6 40,7 8-304,-17-2 224,11-10-16,-11 5-64,-1 4-104,18 3-40,-5-11 112,-20 2-40,8 0-16,-1-1 16,18 10-72,-20-9 40,2 0-24,4-2 56,-4-1-40,18 12-32,-15-12 0,9 2 8,-13 2-48,14 0 96,5 8-56,-5-7 48,-1 4-40,1-8 80,3 9-56,2 2-32,-3-2 56,-2-1-16,1-4 48,4 7-48,0 0-40,-3-3 64,3 1-40,0 1-80,0-1 72,0 2-16,0-3 24,0 0-24,0-4 16,5 5 0,-5 2-16,7-8 16,11 1-64,-3 4 80,3-4-64,-18 7 32,24-3 0,4 1 16,0-7-16,2 9 0,-30 0 0,33-2-16,0-6 8,-3 6 32,5-5-24,-35 7 0,33-2-40,-1-1 40,1-4-72,4 5 16,-37 2 56,31-12-16,1 5 16,2-2 16,-1 0-48,-33 9 32,33-9 0,4 1 32,-2 0-8,3-1 24,-38 9-48,30-8 24,3 0-112,-5-1 32,-1 1 40,-27 8 16,28-8-56,-4 5 72,-1-5 16,-7 6-8,-16 2-24,17-4 56,-10 2-56,16 0-24,-20 2-64,-3 0 88,8-2-56,7 2 24,-15 0 8,0 0-48,0 0 72,0 0-56,0 0 8,0 0-32,0 1 120,0-1-40,-3 0-40,1 1-48,-3 0 56,0 0-64,5-1 96,-1 1-40,-6 2 40,2 0-48,-2 0 40,7-3 8,-7 3 40,0 0-24,0 4-8,-10-4-8,17-3 0,-5 7 0,-10-3-8,-4 6-24,15-7 64,4-3-32,-26 10-48,9-6 24,-1 6 64,-4-6-40,22-4 0,-15 9 16,-2-2 8,-4 2-24,0-1-40,21-8 40,-19 8 32,-4 0-8,2-1-24,2-3 88,19-4-88,-20 7-56,0-3 72,7 4-32,-6-4-112,19-4 128,-16 9 0,-2-1 0,-4 0 24,4 1 136,18-9-160,-26 10 40,5 1-8,2-1-8,0-1-80,19-9 56,-23 9 0,5-1-16,-1-1-48,-2-4-64,21-3 128,-7 9-56,-14-7 40,14 6 16,-14-6-72,21-2 72,-5 3-32,-11 4 48,12-4 72,-6 0-32,10-3-56,-17 4 72,11-1-48,-11 0-40,12 1 216,5-4-200,-8 2 56,1 2-24,-3-1-104,5-2 16,5-1 56,-8 0-40,3 1 40,0 0 56,0-1-40,5 0-16,-5 1-16,3 1 16,-5-1 40,3 2-128,4-3 88,-10 3 32,-7 0-64,14 0 24,-14-1 192,17-2-184,-7 1 0,-1 0 16,2 0-16,-11 0-32,17-1 32,-5 0 40,1 0 48,-15 0-48,12 0 64,7 0-104,-16-2 88,9 0-64,-14 1 104,14-1-168,7 2 40,-18-3 0,8 0 32,-13 0-48,7-4 40,16 7-24,-21-1 48,4-2-32,-4-6-8,2 6 136,19 3-144,-21-9 48,-2 7 8,3-8-96,-7 8-24,27 2 64,-20-12 32,-6 3-16,1 0 56,1 0-32,24 9-40,-28-11-16,-2-1-24,2 0 56,0-3-48,28 15 32,-28-11 16,5 2 16,-1 2 56,1 4-48,23 3-40,-21-2 56,2-6 0,14 8-24,-8-2 40,13 2-72,-3-2 104,-4 0 24,2 2-48,5 0-40,0 0-40,0 0-72,0 0-48,0 2 24,3 1 80,-3-3 16,21 10 0,-2-2 16,-1-1-8,10 4-32,-28-11 24,26 9 40,-5 0-40,4 0-24,-1 1 32,-24-10-8,23 7 0,0-3-24,-4 3-24,7-4 32,-26-3 16,18 8-96,3-5 64,-2 5 72,-1-5-64,-18-3 24,22 7-16,-4-3-72,-2 4 64,1-5-24,-17-3 48,7 9 16,11-5 40,-15 5-96,7-5-8,-10-4 48,4 8-16,-1-6-8,-3 2-48,0-1 72,0-3 0,0 3-72,-3 0 88,-1-1-8,-4 2 8,8-4-16,-16 4 48,12 3-24,-20-4 64,5 1-16,19-4-72,-18 7 104,-6-4-88,3 4 40,-4-4-56,25-3 0,-28 8 32,-2-1-80,-3 2-24,-4 1 40,37-10 32,-40 10-56,0 1 72,1-2-16,-1 1-16,40-10 16,-33 3 0,8 5-24,1-5 32,6-1-48,18-2 40,-8 0-128,-7 0-8,7 0-16,1-1-112,7 1 264,-7-2-312,1 0-200,3 1-256,-1-2-160,4 3 928,-3-3-1281,1 1-367,2 1-505,0-1-1423,0 2 3576,-3-2-5489,3 0-1257,0 2 6746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4 11138,'0'0'0,"0"0"0,0 0 3241,-2 0-1257,-1 0-616,3 0-359,0 0-1009,0 0 632,0 0-384,5 0-96,2 0-16,-7 0-136,17 0 320,-12 0 112,18 0 80,-4 0 16,-19 0-528,22 0 504,1 0-32,6 0 216,-1 0-39,-28 0-649,37 0 680,2 0 112,1 0-280,2 0 32,-42 0-544,47 0 392,-5 0 32,5 0-40,3 0-31,-50 0-353,49 0 384,1 0-176,2 0-88,-4 0-88,-48 0-32,49-1 48,3 1-48,-5 0 88,3 0 32,-50 0-120,45 0 16,-3 0-88,0 0 80,-2 0-80,-40 0 72,34-1 152,-4 1-104,-6 0-112,-8 0 96,-16 0-32,5 0-48,2 0 96,-2 0 120,0 0-96,-5 0-72,0 0-32,0 0 232,0 0-16,-3 0-96,3 0-88,-5 0 16,-4 0-88,-9 0 40,8 0-48,10 0 80,-24 0 16,-2 0-88,0 0-40,-4 0 176,30 0-64,-31 0 184,0 0-96,-9 0-56,8 0-48,32 0 16,-39 0 48,-1-1 72,0 1-40,-4 0-96,44 0 16,-45 0-48,2 0-40,-4 0 40,-3 0 16,50 0 32,-45 0-168,-2 0 48,3 0 120,-4 0 72,48 0-72,-47 0 184,5 0-32,-4 0-88,-1 0 40,47 0-104,-47 0-88,0 0 120,2 0-32,-2 0-64,47 0 64,-47 0-48,-7 0 16,-3 0 8,0 0 64,57 0-40,-59 1 48,7-1-80,5 0 184,-2 0-56,49 0-96,-47 0 80,2 0 24,-2 0-104,0 0 16,47 0-16,-44 0 64,-3 1-48,-5-1-48,3 0-32,49 0 64,-57 0-64,1 0 96,-5 0-64,-6 1 0,67-1 32,-64 0-24,1 0-120,-3 0 24,2 0 104,64 0 16,-68 1-488,-5-1-464,-3 0-857,1 0-1423,75 0 3232,-90 1-7802,5-1-2608,85 0 10410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232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46</v>
      </c>
      <c r="D2" s="85"/>
      <c r="E2" s="13" t="s">
        <v>7</v>
      </c>
      <c r="F2" s="80">
        <v>45929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87</v>
      </c>
      <c r="D3" s="85"/>
      <c r="E3" s="13" t="s">
        <v>6</v>
      </c>
      <c r="F3" s="85" t="s">
        <v>104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3" t="s">
        <v>18</v>
      </c>
      <c r="F7" s="33" t="s">
        <v>19</v>
      </c>
      <c r="G7" s="33" t="s">
        <v>22</v>
      </c>
      <c r="H7" s="33" t="s">
        <v>20</v>
      </c>
      <c r="I7" s="94" t="s">
        <v>25</v>
      </c>
      <c r="J7" s="95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65"/>
      <c r="J8" s="66"/>
    </row>
    <row r="9" spans="1:10" ht="30" customHeight="1" x14ac:dyDescent="0.3">
      <c r="A9" s="11"/>
      <c r="B9" s="44" t="s">
        <v>181</v>
      </c>
      <c r="C9" s="45"/>
      <c r="D9" s="45"/>
      <c r="E9" s="31">
        <v>10</v>
      </c>
      <c r="F9" s="27">
        <v>7.75</v>
      </c>
      <c r="G9" s="35">
        <f>IFERROR(F9/E9,"")</f>
        <v>0.77500000000000002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x14ac:dyDescent="0.3">
      <c r="A10" s="11"/>
      <c r="B10" s="44" t="s">
        <v>182</v>
      </c>
      <c r="C10" s="45"/>
      <c r="D10" s="45"/>
      <c r="E10" s="9">
        <v>10</v>
      </c>
      <c r="F10" s="27">
        <v>7.25</v>
      </c>
      <c r="G10" s="35">
        <f t="shared" ref="G10:G59" si="0">IFERROR(F10/E10,"")</f>
        <v>0.72499999999999998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9.9" customHeight="1" x14ac:dyDescent="0.3">
      <c r="A11" s="11"/>
      <c r="B11" s="44" t="s">
        <v>183</v>
      </c>
      <c r="C11" s="45"/>
      <c r="D11" s="45"/>
      <c r="E11" s="9">
        <v>8</v>
      </c>
      <c r="F11" s="27">
        <v>6.5</v>
      </c>
      <c r="G11" s="35">
        <f t="shared" si="0"/>
        <v>0.8125</v>
      </c>
      <c r="H11" s="36" t="str">
        <f t="shared" si="1"/>
        <v>جيد جداً</v>
      </c>
      <c r="I11" s="56"/>
      <c r="J11" s="57"/>
    </row>
    <row r="12" spans="1:10" ht="30" customHeight="1" x14ac:dyDescent="0.3">
      <c r="A12" s="11"/>
      <c r="B12" s="44" t="s">
        <v>184</v>
      </c>
      <c r="C12" s="45"/>
      <c r="D12" s="45"/>
      <c r="E12" s="9">
        <v>8</v>
      </c>
      <c r="F12" s="27">
        <v>6</v>
      </c>
      <c r="G12" s="35">
        <f t="shared" si="0"/>
        <v>0.75</v>
      </c>
      <c r="H12" s="36" t="str">
        <f t="shared" si="1"/>
        <v>جيد</v>
      </c>
      <c r="I12" s="56"/>
      <c r="J12" s="57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6"/>
      <c r="J13" s="57"/>
    </row>
    <row r="14" spans="1:10" ht="30" customHeight="1" x14ac:dyDescent="0.3">
      <c r="A14" s="11"/>
      <c r="B14" s="44" t="s">
        <v>186</v>
      </c>
      <c r="C14" s="45"/>
      <c r="D14" s="45"/>
      <c r="E14" s="9">
        <v>8</v>
      </c>
      <c r="F14" s="27">
        <v>6.25</v>
      </c>
      <c r="G14" s="35">
        <f t="shared" si="0"/>
        <v>0.78125</v>
      </c>
      <c r="H14" s="36" t="str">
        <f t="shared" si="1"/>
        <v>جيد</v>
      </c>
      <c r="I14" s="56"/>
      <c r="J14" s="57"/>
    </row>
    <row r="15" spans="1:10" ht="30" customHeight="1" x14ac:dyDescent="0.3">
      <c r="A15" s="11"/>
      <c r="B15" s="44" t="s">
        <v>187</v>
      </c>
      <c r="C15" s="45"/>
      <c r="D15" s="45"/>
      <c r="E15" s="9">
        <v>7</v>
      </c>
      <c r="F15" s="27">
        <v>5.5</v>
      </c>
      <c r="G15" s="35">
        <f t="shared" si="0"/>
        <v>0.7857142857142857</v>
      </c>
      <c r="H15" s="36" t="str">
        <f t="shared" si="1"/>
        <v>جيد</v>
      </c>
      <c r="I15" s="56"/>
      <c r="J15" s="57"/>
    </row>
    <row r="16" spans="1:10" ht="30" customHeight="1" x14ac:dyDescent="0.3">
      <c r="A16" s="11"/>
      <c r="B16" s="44" t="s">
        <v>188</v>
      </c>
      <c r="C16" s="45"/>
      <c r="D16" s="4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6"/>
      <c r="J16" s="57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3.5</v>
      </c>
      <c r="G17" s="35">
        <f t="shared" si="0"/>
        <v>0.7</v>
      </c>
      <c r="H17" s="36" t="str">
        <f t="shared" si="1"/>
        <v>جيد</v>
      </c>
      <c r="I17" s="56"/>
      <c r="J17" s="57"/>
    </row>
    <row r="18" spans="1:10" ht="30" customHeight="1" x14ac:dyDescent="0.3">
      <c r="A18" s="11"/>
      <c r="B18" s="60" t="s">
        <v>190</v>
      </c>
      <c r="C18" s="61"/>
      <c r="D18" s="61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6"/>
      <c r="J18" s="57"/>
    </row>
    <row r="19" spans="1:10" ht="30" customHeight="1" x14ac:dyDescent="0.3">
      <c r="A19" s="11"/>
      <c r="B19" s="60" t="s">
        <v>191</v>
      </c>
      <c r="C19" s="61"/>
      <c r="D19" s="61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6"/>
      <c r="J19" s="57"/>
    </row>
    <row r="20" spans="1:10" ht="39.9" customHeight="1" x14ac:dyDescent="0.3">
      <c r="A20" s="11"/>
      <c r="B20" s="60" t="s">
        <v>192</v>
      </c>
      <c r="C20" s="61"/>
      <c r="D20" s="61"/>
      <c r="E20" s="9">
        <v>10</v>
      </c>
      <c r="F20" s="27">
        <v>7.75</v>
      </c>
      <c r="G20" s="35">
        <f t="shared" si="0"/>
        <v>0.77500000000000002</v>
      </c>
      <c r="H20" s="36" t="str">
        <f t="shared" si="1"/>
        <v>جيد</v>
      </c>
      <c r="I20" s="56"/>
      <c r="J20" s="57"/>
    </row>
    <row r="21" spans="1:10" ht="30" customHeight="1" x14ac:dyDescent="0.3">
      <c r="A21" s="11"/>
      <c r="B21" s="60" t="s">
        <v>193</v>
      </c>
      <c r="C21" s="61"/>
      <c r="D21" s="61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6"/>
      <c r="J21" s="57"/>
    </row>
    <row r="22" spans="1:10" ht="30" customHeight="1" x14ac:dyDescent="0.3">
      <c r="A22" s="11"/>
      <c r="B22" s="60" t="s">
        <v>194</v>
      </c>
      <c r="C22" s="61"/>
      <c r="D22" s="61"/>
      <c r="E22" s="9">
        <v>5</v>
      </c>
      <c r="F22" s="27">
        <v>4</v>
      </c>
      <c r="G22" s="35">
        <f t="shared" si="0"/>
        <v>0.8</v>
      </c>
      <c r="H22" s="36" t="str">
        <f t="shared" si="1"/>
        <v>جيد جداً</v>
      </c>
      <c r="I22" s="56"/>
      <c r="J22" s="57"/>
    </row>
    <row r="23" spans="1:10" ht="30" customHeight="1" thickBot="1" x14ac:dyDescent="0.35">
      <c r="A23" s="11"/>
      <c r="B23" s="62" t="s">
        <v>195</v>
      </c>
      <c r="C23" s="63"/>
      <c r="D23" s="63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7"/>
      <c r="J23" s="68"/>
    </row>
    <row r="24" spans="1:10" ht="30" customHeight="1" x14ac:dyDescent="0.3">
      <c r="A24" s="11"/>
      <c r="B24" s="52" t="s">
        <v>196</v>
      </c>
      <c r="C24" s="53"/>
      <c r="D24" s="53"/>
      <c r="E24" s="30"/>
      <c r="F24" s="37"/>
      <c r="G24" s="38"/>
      <c r="H24" s="39"/>
      <c r="I24" s="65"/>
      <c r="J24" s="66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6"/>
      <c r="J25" s="57"/>
    </row>
    <row r="26" spans="1:10" ht="30" customHeight="1" x14ac:dyDescent="0.3">
      <c r="A26" s="11"/>
      <c r="B26" s="44" t="s">
        <v>198</v>
      </c>
      <c r="C26" s="45"/>
      <c r="D26" s="45"/>
      <c r="E26" s="9">
        <v>5</v>
      </c>
      <c r="F26" s="27">
        <v>3.5</v>
      </c>
      <c r="G26" s="35">
        <f t="shared" si="0"/>
        <v>0.7</v>
      </c>
      <c r="H26" s="36" t="str">
        <f t="shared" si="1"/>
        <v>جيد</v>
      </c>
      <c r="I26" s="56"/>
      <c r="J26" s="57"/>
    </row>
    <row r="27" spans="1:10" ht="30" customHeight="1" x14ac:dyDescent="0.3">
      <c r="A27" s="11"/>
      <c r="B27" s="44" t="s">
        <v>199</v>
      </c>
      <c r="C27" s="45"/>
      <c r="D27" s="4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6"/>
      <c r="J27" s="57"/>
    </row>
    <row r="28" spans="1:10" ht="30" customHeight="1" x14ac:dyDescent="0.3">
      <c r="A28" s="11"/>
      <c r="B28" s="44" t="s">
        <v>200</v>
      </c>
      <c r="C28" s="45"/>
      <c r="D28" s="4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6"/>
      <c r="J28" s="57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6"/>
      <c r="J29" s="57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6"/>
      <c r="J30" s="57"/>
    </row>
    <row r="31" spans="1:10" ht="30" customHeight="1" thickBot="1" x14ac:dyDescent="0.35">
      <c r="A31" s="11"/>
      <c r="B31" s="46" t="s">
        <v>203</v>
      </c>
      <c r="C31" s="47"/>
      <c r="D31" s="47"/>
      <c r="E31" s="32">
        <v>5</v>
      </c>
      <c r="F31" s="29">
        <v>3.5</v>
      </c>
      <c r="G31" s="40">
        <f t="shared" si="0"/>
        <v>0.7</v>
      </c>
      <c r="H31" s="41" t="str">
        <f t="shared" si="1"/>
        <v>جيد</v>
      </c>
      <c r="I31" s="67"/>
      <c r="J31" s="68"/>
    </row>
    <row r="32" spans="1:10" ht="30" customHeight="1" x14ac:dyDescent="0.3">
      <c r="A32" s="11"/>
      <c r="B32" s="52" t="s">
        <v>204</v>
      </c>
      <c r="C32" s="53"/>
      <c r="D32" s="53"/>
      <c r="E32" s="30"/>
      <c r="F32" s="37"/>
      <c r="G32" s="38"/>
      <c r="H32" s="39"/>
      <c r="I32" s="65"/>
      <c r="J32" s="66"/>
    </row>
    <row r="33" spans="1:10" ht="39.9" customHeight="1" x14ac:dyDescent="0.3">
      <c r="A33" s="11"/>
      <c r="B33" s="44" t="s">
        <v>205</v>
      </c>
      <c r="C33" s="45"/>
      <c r="D33" s="45"/>
      <c r="E33" s="31">
        <v>6</v>
      </c>
      <c r="F33" s="27">
        <v>4.5</v>
      </c>
      <c r="G33" s="35">
        <f t="shared" si="0"/>
        <v>0.75</v>
      </c>
      <c r="H33" s="36" t="str">
        <f t="shared" si="1"/>
        <v>جيد</v>
      </c>
      <c r="I33" s="56"/>
      <c r="J33" s="57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56"/>
      <c r="J34" s="57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6"/>
      <c r="J35" s="57"/>
    </row>
    <row r="36" spans="1:10" ht="30" customHeight="1" thickBot="1" x14ac:dyDescent="0.35">
      <c r="A36" s="11"/>
      <c r="B36" s="46" t="s">
        <v>208</v>
      </c>
      <c r="C36" s="47"/>
      <c r="D36" s="47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7"/>
      <c r="J36" s="68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65"/>
      <c r="J37" s="66"/>
    </row>
    <row r="38" spans="1:10" ht="30" customHeight="1" x14ac:dyDescent="0.3">
      <c r="A38" s="11"/>
      <c r="B38" s="44" t="s">
        <v>210</v>
      </c>
      <c r="C38" s="45"/>
      <c r="D38" s="45"/>
      <c r="E38" s="9">
        <v>6</v>
      </c>
      <c r="F38" s="27">
        <v>4.5</v>
      </c>
      <c r="G38" s="35">
        <f t="shared" si="0"/>
        <v>0.75</v>
      </c>
      <c r="H38" s="36" t="str">
        <f t="shared" si="1"/>
        <v>جيد</v>
      </c>
      <c r="I38" s="56"/>
      <c r="J38" s="57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6"/>
      <c r="J39" s="57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6"/>
      <c r="J40" s="57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6"/>
      <c r="J41" s="57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6"/>
      <c r="J42" s="57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56"/>
      <c r="J43" s="57"/>
    </row>
    <row r="44" spans="1:10" ht="30" customHeight="1" thickBot="1" x14ac:dyDescent="0.35">
      <c r="A44" s="11"/>
      <c r="B44" s="46" t="s">
        <v>216</v>
      </c>
      <c r="C44" s="47"/>
      <c r="D44" s="47"/>
      <c r="E44" s="32">
        <v>5</v>
      </c>
      <c r="F44" s="29">
        <v>3.75</v>
      </c>
      <c r="G44" s="40">
        <f t="shared" si="0"/>
        <v>0.75</v>
      </c>
      <c r="H44" s="41" t="str">
        <f t="shared" si="1"/>
        <v>جيد</v>
      </c>
      <c r="I44" s="67"/>
      <c r="J44" s="68"/>
    </row>
    <row r="45" spans="1:10" ht="30" customHeight="1" x14ac:dyDescent="0.3">
      <c r="A45" s="11"/>
      <c r="B45" s="52" t="s">
        <v>217</v>
      </c>
      <c r="C45" s="53"/>
      <c r="D45" s="53"/>
      <c r="E45" s="30"/>
      <c r="F45" s="37"/>
      <c r="G45" s="38"/>
      <c r="H45" s="39"/>
      <c r="I45" s="65"/>
      <c r="J45" s="66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6"/>
      <c r="J46" s="57"/>
    </row>
    <row r="47" spans="1:10" ht="30" customHeight="1" x14ac:dyDescent="0.3">
      <c r="A47" s="11"/>
      <c r="B47" s="44" t="s">
        <v>219</v>
      </c>
      <c r="C47" s="45"/>
      <c r="D47" s="45"/>
      <c r="E47" s="9">
        <v>8</v>
      </c>
      <c r="F47" s="27">
        <v>6.25</v>
      </c>
      <c r="G47" s="35">
        <f t="shared" si="0"/>
        <v>0.78125</v>
      </c>
      <c r="H47" s="36" t="str">
        <f t="shared" si="1"/>
        <v>جيد</v>
      </c>
      <c r="I47" s="56"/>
      <c r="J47" s="57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6"/>
      <c r="J48" s="57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6"/>
      <c r="J49" s="57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6"/>
      <c r="J50" s="57"/>
    </row>
    <row r="51" spans="1:10" ht="30" customHeight="1" thickBot="1" x14ac:dyDescent="0.35">
      <c r="A51" s="11"/>
      <c r="B51" s="46" t="s">
        <v>223</v>
      </c>
      <c r="C51" s="47"/>
      <c r="D51" s="47"/>
      <c r="E51" s="32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7"/>
      <c r="J51" s="68"/>
    </row>
    <row r="52" spans="1:10" ht="30" customHeight="1" x14ac:dyDescent="0.3">
      <c r="A52" s="11"/>
      <c r="B52" s="48" t="s">
        <v>224</v>
      </c>
      <c r="C52" s="49"/>
      <c r="D52" s="49"/>
      <c r="E52" s="30"/>
      <c r="F52" s="37"/>
      <c r="G52" s="38"/>
      <c r="H52" s="39"/>
      <c r="I52" s="65"/>
      <c r="J52" s="66"/>
    </row>
    <row r="53" spans="1:10" ht="30" customHeight="1" x14ac:dyDescent="0.3">
      <c r="A53" s="11"/>
      <c r="B53" s="44" t="s">
        <v>225</v>
      </c>
      <c r="C53" s="45"/>
      <c r="D53" s="45"/>
      <c r="E53" s="9">
        <v>10</v>
      </c>
      <c r="F53" s="27">
        <v>7.25</v>
      </c>
      <c r="G53" s="35">
        <f t="shared" si="0"/>
        <v>0.72499999999999998</v>
      </c>
      <c r="H53" s="36" t="str">
        <f t="shared" si="1"/>
        <v>جيد</v>
      </c>
      <c r="I53" s="56"/>
      <c r="J53" s="57"/>
    </row>
    <row r="54" spans="1:10" ht="30" customHeight="1" x14ac:dyDescent="0.3">
      <c r="A54" s="11"/>
      <c r="B54" s="44" t="s">
        <v>226</v>
      </c>
      <c r="C54" s="45"/>
      <c r="D54" s="45"/>
      <c r="E54" s="9">
        <v>10</v>
      </c>
      <c r="F54" s="27">
        <v>7.25</v>
      </c>
      <c r="G54" s="35">
        <f t="shared" si="0"/>
        <v>0.72499999999999998</v>
      </c>
      <c r="H54" s="36" t="str">
        <f t="shared" si="1"/>
        <v>جيد</v>
      </c>
      <c r="I54" s="56"/>
      <c r="J54" s="57"/>
    </row>
    <row r="55" spans="1:10" ht="30" customHeight="1" thickBot="1" x14ac:dyDescent="0.35">
      <c r="A55" s="11"/>
      <c r="B55" s="46" t="s">
        <v>227</v>
      </c>
      <c r="C55" s="47"/>
      <c r="D55" s="47"/>
      <c r="E55" s="32">
        <v>5</v>
      </c>
      <c r="F55" s="29">
        <v>3.75</v>
      </c>
      <c r="G55" s="40">
        <f t="shared" si="0"/>
        <v>0.75</v>
      </c>
      <c r="H55" s="41" t="str">
        <f t="shared" si="1"/>
        <v>جيد</v>
      </c>
      <c r="I55" s="67"/>
      <c r="J55" s="68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65"/>
      <c r="J56" s="66"/>
    </row>
    <row r="57" spans="1:10" ht="30" customHeight="1" x14ac:dyDescent="0.3">
      <c r="A57" s="11"/>
      <c r="B57" s="44" t="s">
        <v>229</v>
      </c>
      <c r="C57" s="45"/>
      <c r="D57" s="45"/>
      <c r="E57" s="9">
        <v>5</v>
      </c>
      <c r="F57" s="27">
        <v>4</v>
      </c>
      <c r="G57" s="35">
        <f t="shared" si="0"/>
        <v>0.8</v>
      </c>
      <c r="H57" s="36" t="str">
        <f t="shared" si="1"/>
        <v>جيد جداً</v>
      </c>
      <c r="I57" s="56"/>
      <c r="J57" s="57"/>
    </row>
    <row r="58" spans="1:10" ht="30" customHeight="1" thickBot="1" x14ac:dyDescent="0.35">
      <c r="A58" s="11"/>
      <c r="B58" s="46" t="s">
        <v>230</v>
      </c>
      <c r="C58" s="47"/>
      <c r="D58" s="47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67"/>
      <c r="J58" s="68"/>
    </row>
    <row r="59" spans="1:10" ht="39.9" customHeight="1" thickBot="1" x14ac:dyDescent="0.35">
      <c r="A59" s="11"/>
      <c r="B59" s="50" t="s">
        <v>231</v>
      </c>
      <c r="C59" s="51"/>
      <c r="D59" s="51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58"/>
      <c r="J59" s="59"/>
    </row>
    <row r="60" spans="1:10" ht="30" customHeight="1" thickBot="1" x14ac:dyDescent="0.35">
      <c r="A60" s="4"/>
      <c r="B60" s="96" t="s">
        <v>5</v>
      </c>
      <c r="C60" s="97"/>
      <c r="D60" s="97"/>
      <c r="E60" s="34">
        <f>SUM(E8:E59)</f>
        <v>270</v>
      </c>
      <c r="F60" s="34">
        <f>SUM(F8:F59)</f>
        <v>204.5</v>
      </c>
      <c r="G60" s="76"/>
      <c r="H60" s="77"/>
      <c r="I60" s="77"/>
      <c r="J60" s="78"/>
    </row>
    <row r="61" spans="1:10" ht="30" customHeight="1" thickBot="1" x14ac:dyDescent="0.35">
      <c r="A61" s="4"/>
      <c r="B61" s="54" t="s">
        <v>54</v>
      </c>
      <c r="C61" s="55"/>
      <c r="D61" s="55"/>
      <c r="E61" s="86">
        <f>F60/E60/100*100</f>
        <v>0.75740740740740742</v>
      </c>
      <c r="F61" s="86"/>
      <c r="G61" s="86"/>
      <c r="H61" s="86"/>
      <c r="I61" s="86"/>
      <c r="J61" s="87"/>
    </row>
    <row r="62" spans="1:10" ht="30" customHeight="1" thickBot="1" x14ac:dyDescent="0.35">
      <c r="A62" s="4"/>
      <c r="B62" s="54" t="s">
        <v>55</v>
      </c>
      <c r="C62" s="55"/>
      <c r="D62" s="55"/>
      <c r="E62" s="73" t="str">
        <f>_xlfn.IFS(E61&gt;=90%,"ممتاز",E61&gt;=80%,"جيد جداً",E61&gt;=70%,"جيد",E61&gt;=60%,"مقبول",E61&lt;60%,"راسب")</f>
        <v>جيد</v>
      </c>
      <c r="F62" s="73"/>
      <c r="G62" s="73"/>
      <c r="H62" s="73"/>
      <c r="I62" s="73"/>
      <c r="J62" s="74"/>
    </row>
    <row r="63" spans="1:10" ht="42" customHeight="1" x14ac:dyDescent="0.3">
      <c r="B63" s="69" t="s">
        <v>174</v>
      </c>
      <c r="C63" s="69"/>
      <c r="D63" s="69"/>
      <c r="E63" s="64" t="s">
        <v>52</v>
      </c>
      <c r="F63" s="64"/>
      <c r="G63" s="71" t="s">
        <v>104</v>
      </c>
      <c r="H63" s="71"/>
      <c r="I63" s="71"/>
      <c r="J63" s="71"/>
    </row>
    <row r="64" spans="1:10" ht="51" customHeight="1" x14ac:dyDescent="0.3">
      <c r="A64" s="5"/>
      <c r="B64" s="70"/>
      <c r="C64" s="70"/>
      <c r="D64" s="70"/>
      <c r="E64" s="75" t="s">
        <v>53</v>
      </c>
      <c r="F64" s="75"/>
      <c r="G64" s="72"/>
      <c r="H64" s="72"/>
      <c r="I64" s="72"/>
      <c r="J64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2025-10-27T19:01:38Z</dcterms:modified>
</cp:coreProperties>
</file>