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1F20C64-DBE4-4D00-A81B-B3E9DD5201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F44" i="2"/>
  <c r="E44" i="2"/>
  <c r="E45" i="2"/>
  <c r="E46" i="2"/>
</calcChain>
</file>

<file path=xl/sharedStrings.xml><?xml version="1.0" encoding="utf-8"?>
<sst xmlns="http://schemas.openxmlformats.org/spreadsheetml/2006/main" count="276" uniqueCount="215">
  <si>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</si>
  <si>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</si>
  <si>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</si>
  <si>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</si>
  <si>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</si>
  <si>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</si>
  <si>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</si>
  <si>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</si>
  <si>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</si>
  <si>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</si>
  <si>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</si>
  <si>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</si>
  <si>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</si>
  <si>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</si>
  <si>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</si>
  <si>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</si>
  <si>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</si>
  <si>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</si>
  <si>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</si>
  <si>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</si>
  <si>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</si>
  <si>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</si>
  <si>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</si>
  <si>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</si>
  <si>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</si>
  <si>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</si>
  <si>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</si>
  <si>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</si>
  <si>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</si>
  <si>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</si>
  <si>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</si>
  <si>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</si>
  <si>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</si>
  <si>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</si>
  <si>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</si>
  <si>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</si>
  <si>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</si>
  <si>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</si>
  <si>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</si>
  <si>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</si>
  <si>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</si>
  <si>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</si>
  <si>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</si>
  <si>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</si>
  <si>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</si>
  <si>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</si>
  <si>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</si>
  <si>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</si>
  <si>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</si>
  <si>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</si>
  <si>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</si>
  <si>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</si>
  <si>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</si>
  <si>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</si>
  <si>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</si>
  <si>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</si>
  <si>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</si>
  <si>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</si>
  <si>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</si>
  <si>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</si>
  <si>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</si>
  <si>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</si>
  <si>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</si>
  <si>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</si>
  <si>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</si>
  <si>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</si>
  <si>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</si>
  <si>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</si>
  <si>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</si>
  <si>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ب. يعمل قائد السرية على تخطيط وترتيب أولويات العمل خلال التجارب وذلك من خلال:</t>
  </si>
  <si>
    <t>أ.   يعمل القادة في السرية على فهم الموقف باستخدام كافة الوسائل المتوفرة.</t>
  </si>
  <si>
    <t>د.  التأكيد على زمان ومكان التجربة وكما جاء في أمر عمليات السرية أو الأمر الإنذاري</t>
  </si>
  <si>
    <t>أ.   قام نائب قائد السرية بما يلي:</t>
  </si>
  <si>
    <t>جـ. قام قادة الفصائل بتطبيق أدوارهم في العملية وحسب تسلسل الأحداث.</t>
  </si>
  <si>
    <t>هـ. بعد انتهاء التجارب يتم تعديل الخطة حسب الحاجة وإبلاغ المعنيين بذلك حسب الأوامر التعبوية المستديمة.</t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</si>
  <si>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b/>
        <u/>
        <sz val="12"/>
        <color theme="1"/>
        <rFont val="Arial"/>
        <family val="2"/>
      </rPr>
      <t>مرحلة التنفيذ</t>
    </r>
    <r>
      <rPr>
        <b/>
        <sz val="12"/>
        <color theme="1"/>
        <rFont val="Arial"/>
        <family val="2"/>
      </rPr>
      <t>.</t>
    </r>
  </si>
  <si>
    <r>
      <t>أ.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</si>
  <si>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r>
      <t>ب.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يكمل القادة المرؤوسين تحضيراتهم للتجارب من خلال:</t>
    </r>
  </si>
  <si>
    <r>
      <t>جـ.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يتحرك المشاركون إلى موقع التجربة.</t>
    </r>
  </si>
  <si>
    <t>(1)   تدقيق قائمة الأحداث الهامة التي سيتم تطبيق التجارب عليها.</t>
  </si>
  <si>
    <t>(2)   تخصيص الوقت للتجارب.</t>
  </si>
  <si>
    <t>(3)   مراجعة التجميع للواجب للعملية.</t>
  </si>
  <si>
    <t>(4)   التأكد من حضور المشاركين في التجارب.</t>
  </si>
  <si>
    <t>(5)   التأكد من جاهزية المعدات اللازمة للتجارب.</t>
  </si>
  <si>
    <t xml:space="preserve">(6)   التأكد من توفر الشفافات والمخططات اللازمة. </t>
  </si>
  <si>
    <t>(1)   إنهاء عملية التخطيط الخاصة بهم.</t>
  </si>
  <si>
    <t>(2)   تحضير أية أمور تتعلق بتنفيذ المهمة لمناقشتها أثناء التجارب مع قيادة السرية.</t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</si>
  <si>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إيجاز المشاركين عن أسلوب تنفيذ التجارب.</t>
    </r>
  </si>
  <si>
    <r>
      <t>(2)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التأكيد على التجميع للواجب للعملية.</t>
    </r>
  </si>
  <si>
    <r>
      <t>(3)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عرض مفهوم السرية.</t>
    </r>
  </si>
  <si>
    <r>
      <t>(4)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</si>
  <si>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</si>
  <si>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</si>
  <si>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</si>
  <si>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</si>
  <si>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r>
      <t>(5)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مكان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</si>
  <si>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</si>
  <si>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تحديد المشاركين في التجارب.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</si>
  <si>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</si>
  <si>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(1)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</si>
  <si>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</si>
  <si>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</si>
  <si>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</si>
  <si>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</si>
  <si>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</si>
  <si>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</si>
  <si>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</si>
  <si>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</si>
  <si>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</si>
  <si>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</si>
  <si>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</si>
  <si>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</si>
  <si>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</si>
  <si>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</si>
  <si>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</si>
  <si>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</si>
  <si>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</si>
  <si>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</si>
  <si>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</si>
  <si>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</si>
  <si>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</si>
  <si>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</si>
  <si>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</si>
  <si>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</si>
  <si>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</si>
  <si>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</si>
  <si>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</si>
  <si>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</si>
  <si>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</si>
  <si>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</si>
  <si>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</si>
  <si>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</si>
  <si>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</si>
  <si>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</si>
  <si>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</si>
  <si>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</si>
  <si>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</si>
  <si>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</si>
  <si>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</si>
  <si>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</si>
  <si>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</si>
  <si>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</si>
  <si>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</si>
  <si>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</si>
  <si>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</si>
  <si>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</si>
  <si>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</si>
  <si>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</si>
  <si>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</si>
  <si>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</si>
  <si>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</si>
  <si>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</si>
  <si>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</si>
  <si>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</si>
  <si>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</si>
  <si>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</si>
  <si>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</si>
  <si>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</si>
  <si>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</si>
  <si>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</si>
  <si>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</si>
  <si>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</si>
  <si>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</si>
  <si>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</si>
  <si>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</si>
  <si>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</si>
  <si>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</si>
  <si>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</si>
  <si>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</si>
  <si>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</si>
  <si>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</si>
  <si>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</si>
  <si>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</si>
  <si>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</si>
  <si>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</si>
  <si>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</si>
  <si>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</si>
  <si>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</si>
  <si>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</si>
  <si>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</si>
  <si>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</si>
  <si>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</si>
  <si>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</si>
  <si>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</si>
  <si>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</si>
  <si>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</si>
  <si>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</si>
  <si>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</si>
  <si>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</si>
  <si>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</si>
  <si>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</si>
  <si>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</si>
  <si>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</si>
  <si>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</si>
  <si>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</si>
  <si>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</si>
  <si>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</si>
  <si>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</si>
  <si>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</si>
  <si>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</si>
  <si>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</si>
  <si>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</si>
  <si>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</si>
  <si>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</si>
  <si>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</si>
  <si>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</si>
  <si>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</si>
  <si>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</si>
  <si>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</si>
  <si>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</si>
  <si>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</si>
  <si>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</si>
  <si>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</si>
  <si>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السرية/فريق القتال - العمليات التعرضية
تمرين جاهزية مجموعة لواء الإمارات/1 (جندي الصحراء 2025/20)</t>
  </si>
  <si>
    <t>النقيب/ يوسف الفلاسي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</si>
</sst>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9" fontId="11" fillId="0" borderId="3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22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5" borderId="11" xfId="0" applyFont="1" applyFill="1" applyBorder="1" applyAlignment="1">
      <alignment horizontal="right" vertical="center" wrapText="1" indent="2" readingOrder="2"/>
    </xf>
    <xf numFmtId="0" fontId="9" fillId="5" borderId="12" xfId="0" applyFont="1" applyFill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9" fillId="5" borderId="22" xfId="0" applyFont="1" applyFill="1" applyBorder="1" applyAlignment="1">
      <alignment horizontal="right" vertical="center" wrapText="1" indent="4" readingOrder="2"/>
    </xf>
    <xf numFmtId="0" fontId="9" fillId="5" borderId="3" xfId="0" applyFont="1" applyFill="1" applyBorder="1" applyAlignment="1">
      <alignment horizontal="right" vertical="center" wrapText="1" indent="4" readingOrder="2"/>
    </xf>
    <xf numFmtId="0" fontId="9" fillId="5" borderId="22" xfId="0" applyFont="1" applyFill="1" applyBorder="1" applyAlignment="1">
      <alignment horizontal="right" vertical="center" wrapText="1" indent="2" readingOrder="2"/>
    </xf>
    <xf numFmtId="0" fontId="9" fillId="5" borderId="3" xfId="0" applyFont="1" applyFill="1" applyBorder="1" applyAlignment="1">
      <alignment horizontal="right" vertical="center" wrapText="1" indent="2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25" xfId="0" applyFont="1" applyBorder="1" applyAlignment="1">
      <alignment horizontal="right"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0.xml"/><Relationship Id="rId3" Type="http://schemas.openxmlformats.org/officeDocument/2006/relationships/customXml" Target="../ink/ink2.xml"/><Relationship Id="rId7" Type="http://schemas.openxmlformats.org/officeDocument/2006/relationships/image" Target="../media/image2.png"/><Relationship Id="rId12" Type="http://schemas.openxmlformats.org/officeDocument/2006/relationships/image" Target="../media/image3.png"/><Relationship Id="rId2" Type="http://schemas.openxmlformats.org/officeDocument/2006/relationships/image" Target="../media/image1.png"/><Relationship Id="rId16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1" Type="http://schemas.openxmlformats.org/officeDocument/2006/relationships/customXml" Target="../ink/ink9.xml"/><Relationship Id="rId5" Type="http://schemas.openxmlformats.org/officeDocument/2006/relationships/customXml" Target="../ink/ink4.xml"/><Relationship Id="rId15" Type="http://schemas.openxmlformats.org/officeDocument/2006/relationships/customXml" Target="../ink/ink11.xml"/><Relationship Id="rId10" Type="http://schemas.openxmlformats.org/officeDocument/2006/relationships/customXml" Target="../ink/ink8.xml"/><Relationship Id="rId4" Type="http://schemas.openxmlformats.org/officeDocument/2006/relationships/customXml" Target="../ink/ink3.xml"/><Relationship Id="rId9" Type="http://schemas.openxmlformats.org/officeDocument/2006/relationships/customXml" Target="../ink/ink7.xml"/><Relationship Id="rId1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48142</xdr:colOff>
      <xdr:row>47</xdr:row>
      <xdr:rowOff>450010</xdr:rowOff>
    </xdr:from>
    <xdr:to>
      <xdr:col>7</xdr:col>
      <xdr:colOff>48502</xdr:colOff>
      <xdr:row>47</xdr:row>
      <xdr:rowOff>450370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2101C49-F96D-9CB8-3332-DB1E0C31A178}"/>
                </a:ext>
              </a:extLst>
            </xdr14:cNvPr>
            <xdr14:cNvContentPartPr/>
          </xdr14:nvContentPartPr>
          <xdr14:nvPr macro=""/>
          <xdr14:xfrm>
            <a:off x="10437661244" y="201373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101C49-F96D-9CB8-3332-DB1E0C31A1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655124" y="20131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179902</xdr:colOff>
      <xdr:row>47</xdr:row>
      <xdr:rowOff>394570</xdr:rowOff>
    </xdr:from>
    <xdr:to>
      <xdr:col>7</xdr:col>
      <xdr:colOff>180262</xdr:colOff>
      <xdr:row>47</xdr:row>
      <xdr:rowOff>394930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CD02250-7E16-A077-C24F-3470BE5F9DB5}"/>
                </a:ext>
              </a:extLst>
            </xdr14:cNvPr>
            <xdr14:cNvContentPartPr/>
          </xdr14:nvContentPartPr>
          <xdr14:nvPr macro=""/>
          <xdr14:xfrm>
            <a:off x="10437529484" y="20081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CD02250-7E16-A077-C24F-3470BE5F9D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523364" y="20075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55342</xdr:colOff>
      <xdr:row>47</xdr:row>
      <xdr:rowOff>255970</xdr:rowOff>
    </xdr:from>
    <xdr:to>
      <xdr:col>7</xdr:col>
      <xdr:colOff>55702</xdr:colOff>
      <xdr:row>47</xdr:row>
      <xdr:rowOff>256330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A370647-DC6C-0334-EAFC-050BD17B2DFB}"/>
                </a:ext>
              </a:extLst>
            </xdr14:cNvPr>
            <xdr14:cNvContentPartPr/>
          </xdr14:nvContentPartPr>
          <xdr14:nvPr macro=""/>
          <xdr14:xfrm>
            <a:off x="10437654044" y="199432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A370647-DC6C-0334-EAFC-050BD17B2D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647924" y="19937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637114</xdr:colOff>
      <xdr:row>47</xdr:row>
      <xdr:rowOff>221410</xdr:rowOff>
    </xdr:from>
    <xdr:to>
      <xdr:col>6</xdr:col>
      <xdr:colOff>637474</xdr:colOff>
      <xdr:row>47</xdr:row>
      <xdr:rowOff>221770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014C713-C0F0-0D30-619F-6F12005228ED}"/>
                </a:ext>
              </a:extLst>
            </xdr14:cNvPr>
            <xdr14:cNvContentPartPr/>
          </xdr14:nvContentPartPr>
          <xdr14:nvPr macro=""/>
          <xdr14:xfrm>
            <a:off x="10437730364" y="199087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014C713-C0F0-0D30-619F-6F12005228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724244" y="19902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511474</xdr:colOff>
      <xdr:row>47</xdr:row>
      <xdr:rowOff>318610</xdr:rowOff>
    </xdr:from>
    <xdr:to>
      <xdr:col>6</xdr:col>
      <xdr:colOff>519754</xdr:colOff>
      <xdr:row>47</xdr:row>
      <xdr:rowOff>318970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B1DA6A1-A8E6-2A5F-88D7-6FD4D698E577}"/>
                </a:ext>
              </a:extLst>
            </xdr14:cNvPr>
            <xdr14:cNvContentPartPr/>
          </xdr14:nvContentPartPr>
          <xdr14:nvPr macro=""/>
          <xdr14:xfrm>
            <a:off x="10437848084" y="20005920"/>
            <a:ext cx="828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B1DA6A1-A8E6-2A5F-88D7-6FD4D698E57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437841964" y="19999800"/>
              <a:ext cx="205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297622</xdr:colOff>
      <xdr:row>47</xdr:row>
      <xdr:rowOff>422290</xdr:rowOff>
    </xdr:from>
    <xdr:to>
      <xdr:col>7</xdr:col>
      <xdr:colOff>297982</xdr:colOff>
      <xdr:row>47</xdr:row>
      <xdr:rowOff>422650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04337DE-2281-91EF-7B29-586402CFB6BC}"/>
                </a:ext>
              </a:extLst>
            </xdr14:cNvPr>
            <xdr14:cNvContentPartPr/>
          </xdr14:nvContentPartPr>
          <xdr14:nvPr macro=""/>
          <xdr14:xfrm>
            <a:off x="10437411764" y="201096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04337DE-2281-91EF-7B29-586402CFB6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405644" y="20103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498514</xdr:colOff>
      <xdr:row>51</xdr:row>
      <xdr:rowOff>159076</xdr:rowOff>
    </xdr:from>
    <xdr:to>
      <xdr:col>6</xdr:col>
      <xdr:colOff>498874</xdr:colOff>
      <xdr:row>51</xdr:row>
      <xdr:rowOff>159436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AF56AEE-D0D0-A2DA-B395-D7568D41983F}"/>
                </a:ext>
              </a:extLst>
            </xdr14:cNvPr>
            <xdr14:cNvContentPartPr/>
          </xdr14:nvContentPartPr>
          <xdr14:nvPr macro=""/>
          <xdr14:xfrm>
            <a:off x="10437868964" y="2107944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AF56AEE-D0D0-A2DA-B395-D7568D4198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862844" y="21073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165896</xdr:colOff>
      <xdr:row>55</xdr:row>
      <xdr:rowOff>173062</xdr:rowOff>
    </xdr:from>
    <xdr:to>
      <xdr:col>4</xdr:col>
      <xdr:colOff>173456</xdr:colOff>
      <xdr:row>55</xdr:row>
      <xdr:rowOff>173422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2382F79-F6CA-4D30-E26B-3CC0F9CDEABD}"/>
                </a:ext>
              </a:extLst>
            </xdr14:cNvPr>
            <xdr14:cNvContentPartPr/>
          </xdr14:nvContentPartPr>
          <xdr14:nvPr macro=""/>
          <xdr14:xfrm>
            <a:off x="10439510564" y="21869280"/>
            <a:ext cx="75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2382F79-F6CA-4D30-E26B-3CC0F9CDEAB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439504444" y="21863160"/>
              <a:ext cx="198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82736</xdr:colOff>
      <xdr:row>56</xdr:row>
      <xdr:rowOff>96818</xdr:rowOff>
    </xdr:from>
    <xdr:to>
      <xdr:col>4</xdr:col>
      <xdr:colOff>173456</xdr:colOff>
      <xdr:row>56</xdr:row>
      <xdr:rowOff>104018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A1A5ED0-4319-FDDA-9A2B-86D7F97FFAC0}"/>
                </a:ext>
              </a:extLst>
            </xdr14:cNvPr>
            <xdr14:cNvContentPartPr/>
          </xdr14:nvContentPartPr>
          <xdr14:nvPr macro=""/>
          <xdr14:xfrm>
            <a:off x="10439510564" y="21987000"/>
            <a:ext cx="90720" cy="72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A1A5ED0-4319-FDDA-9A2B-86D7F97FFAC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39504444" y="21980880"/>
              <a:ext cx="1029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440557</xdr:colOff>
      <xdr:row>47</xdr:row>
      <xdr:rowOff>149187</xdr:rowOff>
    </xdr:from>
    <xdr:to>
      <xdr:col>7</xdr:col>
      <xdr:colOff>440907</xdr:colOff>
      <xdr:row>47</xdr:row>
      <xdr:rowOff>422427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A8AD46A-531A-2C28-AF34-56FBB7DDB2A4}"/>
                </a:ext>
              </a:extLst>
            </xdr14:cNvPr>
            <xdr14:cNvContentPartPr/>
          </xdr14:nvContentPartPr>
          <xdr14:nvPr macro=""/>
          <xdr14:xfrm>
            <a:off x="10399462093" y="19839960"/>
            <a:ext cx="658440" cy="2732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A8AD46A-531A-2C28-AF34-56FBB7DDB2A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399455973" y="19833840"/>
              <a:ext cx="67068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536307</xdr:colOff>
      <xdr:row>47</xdr:row>
      <xdr:rowOff>223347</xdr:rowOff>
    </xdr:from>
    <xdr:to>
      <xdr:col>9</xdr:col>
      <xdr:colOff>411366</xdr:colOff>
      <xdr:row>47</xdr:row>
      <xdr:rowOff>539427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4FECC42-2D44-B190-B8CF-A3760B945307}"/>
                </a:ext>
              </a:extLst>
            </xdr14:cNvPr>
            <xdr14:cNvContentPartPr/>
          </xdr14:nvContentPartPr>
          <xdr14:nvPr macro=""/>
          <xdr14:xfrm>
            <a:off x="10398175453" y="19914120"/>
            <a:ext cx="1191240" cy="316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4FECC42-2D44-B190-B8CF-A3760B945307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398169333" y="19908000"/>
              <a:ext cx="1203480" cy="32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16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0,0 0,0 0,0 0,0 0,0 0,0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17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0,0 0,0 0,0 0,0 0,0 0,0 0,0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17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0,0 0,0 0,0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17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0,0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21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0,19 0,-17 0,-4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22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0,0 0,0 0,0 0,0 0,0 0,0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22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0,0 0,0 0,0 0,0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23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0,0 0,0 0,0 0,0 0,0 0,0 0,0 0,0 0,0 0,0 0,0 0,0 0,0 0,0 0,0 0,0 0,0 0,19 0,-19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8:02:24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0,'0'0,"0"0,0 0,0 0,0 0,0 0,0 0,0 0,0 0,0 0</inkml:trace>
  <inkml:trace contextRef="#ctx0" brushRef="#br0" timeOffset="1">1 20,'0'0,"0"0,0 0,0 0,0 0,0 0,0 0,0 0,0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03:03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1096 728 648,'0'0'0,"-5"3"1104,1 0 368,4-3-1472,-2 4 1569,-1-1 119,1 0-248,-1 0-320,3-3-1120,0 2 873,0 1-65,0 0-208,0 0-8,0-3-592,-2 0 520,2 0-176,-2 0 32,2 0-104,0 0-272,0 0 376,0 0 169,0 0 111,0 0 184,0 0-3257,0 0 5658,0 0-2417,0 0-48,0 0-151,0 0-6091,0-1 11572,0-1-5570,0 2-120,-3-1-64,3 1-352,0-2 208,-2 1-56,-3-3-24,3 1-48,2 3-80,-3-3 104,-1-1-64,-1-2 0,1-5 32,4 11-72,-5-5 80,2 1 88,-1-7-56,-1 6 56,5 5-168,-3-11 168,-3 5-16,1-8 16,1 3-48,4 11-120,-12-13 176,7-1-40,2-2 8,-8 1-8,11 15-136,-2-18 57,-3 3 7,0-2-8,1 1 8,4 16-64,-5-15 72,3-3-48,0 1-32,-1 2 48,3 15-40,0-16 56,0 3 40,0 9 8,0-9 32,0 13-136,0-1 112,-2-3 0,0-1-16,-1 1 0,3 4-96,0-11 40,-2 6-8,2 0 32,0-9-112,0 14 48,0-5 40,0-8 40,0 9 16,0-1 32,0 5-128,0-12 56,2 9 96,-2-1-24,5-2-32,-5 6-96,2-4 128,3 0-96,-5 2-8,0 0 80,0 2-104,2-2 56,-2 1 16,0-1-32,5 1-80,-5 1 40,2-3 16,0 0-8,6 0 8,-4 0 16,-4 3-32,11-4-32,-6 1-8,12 1 64,-15-1-32,-2 3 8,11-2 0,-6 1-16,10-1 0,-6 2 16,-9 0 0,11 0 0,4 0 16,-2 0-32,4 3 0,-17-3 16,16 3-16,1 0 16,-1-3 32,-2 3-72,-14-3 40,17 0-32,-4 3 16,4-3 16,-1 0 32,-16 0-32,12-2 56,9-1-16,-5 1-64,3-3 8,-19 5 16,17-5-40,1-7 8,2 8 8,4-10-24,-24 14 48,28-6-24,-5-8-48,1 8 72,-3-8 16,-21 14-16,21-11 0,0-1 0,-2 7 24,4-11 8,-23 16-32,19-11-16,-1-1 16,-3 6-32,0-6 8,-15 12 24,15-6 16,-3-8 64,1 8-96,-1-10 32,-12 16-16,11-4 32,1-9-120,0 9 64,-2-7 8,-10 11 16,11-5-40,-6 0 40,9-7-32,-10 8 64,-4 4-32,3-4 8,1 0 8,-1 2 0,-1 1-88,-2 1 72,0-2-16,3 2-40,-3 0-56,0 0 112,0 0-168,0 0-152,0 0 72,0 0 48,0 0 200,-3 3-200,1 0 72,-3 1 8,0 1 8,5-5 112,-1 12-96,-7-9 80,-1 9-32,4-8-8,5-4 56,-11 13-32,4-9 8,-10 13 8,6-6 56,11-11-40,-12 15 40,-7 0-40,3 1 0,-1-1-8,17-15 8,-18 18 0,1-3-40,1 1 40,2 1-40,14-17 40,-14 17-40,-3-1 24,2-2-24,-2 0 8,17-14 32,-16 13 0,1-2-8,0 3-25,-5-2-7,20-12 40,-20 13-56,3-2 32,1 0 64,-1 2 0,17-13-40,-11 11-40,-3-6 16,0 12-32,2-13-8,12-4 64,-12 14-32,-1-10 8,-4 11 24,5-11 0,12-4 0,-11 13-16,6-10 16,-12 8 72,13-8-72,4-3 0,-14 4 64,9 7-24,-8-11-64,1 5 72,12-5-48,-5 13-40,-11-13 56,4 4 24,-2 0-80,14-4 40,-11 11 16,-4-8-16,3 0-16,-1 1 40,13-4-24,-15 5 16,4-1-16,-3 0 32,-1-1-64,15-3 32,-8 0 72,-4 0-23,0 0 7,8 0 56,4 0-112,-14 0-16,-1 0 96,11 0 0,-10-1 8,14 1-88,-17-3 96,4 1-48,-2-1 0,-1 2-40,16 1-8,-17-1 0,2-4 32,-2 1-24,1 0 24,16 4-32,-17-14 40,1 2-24,-3-1 80,3-1-88,16 14-8,-17-13 16,-1-1 16,1 0 8,1 0 16,16 14-56,-16-14 24,0-1 32,-1 3-80,4-1 24,13 13 0,-20-13 64,7 2 24,-2 5 8,1-8 96,14 14-192,-13-5 152,-2-9-64,-1 9-16,4-10-16,12 15-56,-13-11 64,1-2 40,-3 2-40,7-1-72,8 12 8,-7-11 0,-6 7 56,9-9-56,-1 9 40,5 4-40,-4-3 16,4 0 0,0 2 24,-2 1 16,2 0-56,-3 0 32,3 0-80,-2 0 48,2 0-24,0 0 24,0 0-16,0 2 0,2 10-24,3-8 24,-5-4 16,11 16-16,-9-3 8,15-1-8,-3 4 0,-14-16 16,14 16-16,9-1 0,-4 2 48,2 0 40,-21-17-72,23 16-16,-1 0 16,-2-2-24,1-3 8,-21-11 16,19 4 16,0 12-48,-3-12 48,-2 8-72,-14-12 56,14 3-104,-2 1 120,-10 7 16,15-8-8,-17-3-24,2 4-16,10-1-8,-8 1 40,5 1-48,-9-5 32,3 4 16,9 9-16,-10-10-16,3 8 0,-5-11 16,2 3 88,0 1-104,-2 10-56,0-11 72,0-3 0,-2 4-8,-5 11 16,-7-13 8,0 13-16,14-15 0,-14 3-40,-5 9 40,3-7 40,-2 7-120,18-12 80,-17 5 24,-1 6-8,-6-8 24,0 1 88,24-4-128,-23 13-16,-7-10 32,-1 1 0,-2 9-48,33-13 32,-30 3 48,0 0-24,7 1-64,2-1 40,21-3 0,-19 2 24,14-2-24,-8 0 32,10 0-8,3 0-24,-2-1-64,2-2-112,0-1 40,2 0-88,-2 4 224,14-6-168,-5 0 80,3-5-8,-7 8 88,-5 3 8,13-4-32,-8 0 32,0-1 16,7 4 48,-12 1-64,0-2 72,0 1-32,-2 0 32,-1-1-72,3 2 0,-5-3 56,1 0-16,-8 1 16,1 0 16,11 2-72,-12-1-16,-7-1 72,2 1-8,-3 1-64,20 0 16,-24 0 40,1 0-56,-5 4 8,5 9-8,23-13 16,-29 4-72,1 8-96,-2-8-536,0 9-817,30-13 1521,-31 4-2936,-4 7-3738,3-11-2288,32 0 8962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03:03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2054 369 7665,'0'0'0,"-3"-2"4089,3 2-4089,-2-1 464,2 1 112,0 0 216,0 4 265,0-4-1057,2 16 1144,13-12-136,-2 12-56,4-5-176,-17-11-776,21 4 753,4 10-121,8-10-160,-1 9 0,-32-13-472,36 2 240,1 3 72,0-1-56,5 0 8,-42-4-264,42 12 344,2-12-32,3 4 64,-6-4 97,-41 0-473,51 0 480,1-4 0,1-8-24,1 8-136,-54 4-320,52-14 240,-9 2-112,2-1-16,-6 0-88,-39 13-24,40-14 104,-5 0-8,0 1-24,-2-1-24,-33 14-48,30-14 112,-2 1-72,-8 1 32,-4 0 0,-16 12-72,15-15 16,-3 3 56,-8-1-16,8 7 0,-12 6-56,0-15-40,0 3 64,0 1 24,0-3 40,0 14-88,-5-13 40,-2-1-56,-7-2 64,2 0-120,12 16 72,-16-17 0,2-1-64,-4-1 24,-3 1 24,21 18 16,-22-17 72,2 0-56,1 2-32,0 10-8,19 5 24,-21-13-72,1 10 24,-4 2 8,-2-2 8,26 3 32,-23-2 16,-2 2 88,-5 0-32,-3 0 128,33 0-200,-35 3 56,-3 2-144,3-1-200,-4 7 88,39-11 200,-37 0-32,-3 4 152,-1 9 96,-4-8-200,45-5-16,-44 15-48,0-1-24,-7 1 88,4 0 96,47-15-112,-54 17 48,1 0 48,2 2-80,-1-1-40,52-18 24,-51 22 40,-2-2-40,-3 2 56,-1 2 0,57-24-56,-60 26 32,-1 1-16,-5 1 72,-7 2-16,73-30-72,-68 32 24,-6-1 96,-6-1-64,4 0 16,76-30-72,-84 28 120,2 2 0,-1 2-168,2-1-24,81-31 72,-89 30-56,3-3-120,4-3 120,1 0-120,81-24 176,-86 24-464,-3 0-560,1-1-712,-10 0-1001,98-23 2737,-96 21-4345,-4-2-3217,-7 1 665,107-20 6897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213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3">
      <c r="B2" s="12" t="s">
        <v>8</v>
      </c>
      <c r="C2" s="61" t="s">
        <v>45</v>
      </c>
      <c r="D2" s="61"/>
      <c r="E2" s="12" t="s">
        <v>7</v>
      </c>
      <c r="F2" s="56">
        <v>45952</v>
      </c>
      <c r="G2" s="56"/>
      <c r="H2" s="56"/>
      <c r="I2" s="56"/>
      <c r="J2" s="56"/>
    </row>
    <row r="3" spans="1:10" ht="30" customHeight="1" x14ac:dyDescent="0.3">
      <c r="B3" s="12" t="s">
        <v>9</v>
      </c>
      <c r="C3" s="61" t="s">
        <v>60</v>
      </c>
      <c r="D3" s="61"/>
      <c r="E3" s="12" t="s">
        <v>6</v>
      </c>
      <c r="F3" s="61" t="s">
        <v>115</v>
      </c>
      <c r="G3" s="61"/>
      <c r="H3" s="61"/>
      <c r="I3" s="61"/>
      <c r="J3" s="61"/>
    </row>
    <row r="4" spans="1:10" ht="30" customHeight="1" thickBot="1" x14ac:dyDescent="0.35">
      <c r="B4" s="6"/>
      <c r="C4" s="101" t="s">
        <v>214</v>
      </c>
      <c r="D4" s="101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7" t="s">
        <v>0</v>
      </c>
      <c r="C5" s="58"/>
      <c r="D5" s="58"/>
      <c r="E5" s="46" t="s">
        <v>1</v>
      </c>
      <c r="F5" s="46"/>
      <c r="G5" s="46"/>
      <c r="H5" s="46"/>
      <c r="I5" s="46" t="s">
        <v>2</v>
      </c>
      <c r="J5" s="49"/>
    </row>
    <row r="6" spans="1:10" ht="24.9" customHeight="1" thickBot="1" x14ac:dyDescent="0.35">
      <c r="A6" s="10"/>
      <c r="B6" s="59"/>
      <c r="C6" s="60"/>
      <c r="D6" s="6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" customHeight="1" thickBot="1" x14ac:dyDescent="0.35">
      <c r="A7" s="10"/>
      <c r="B7" s="42" t="s">
        <v>21</v>
      </c>
      <c r="C7" s="43"/>
      <c r="D7" s="43"/>
      <c r="E7" s="20" t="s">
        <v>18</v>
      </c>
      <c r="F7" s="20" t="s">
        <v>19</v>
      </c>
      <c r="G7" s="20" t="s">
        <v>22</v>
      </c>
      <c r="H7" s="20" t="s">
        <v>20</v>
      </c>
      <c r="I7" s="52" t="s">
        <v>25</v>
      </c>
      <c r="J7" s="53"/>
    </row>
    <row r="8" spans="1:10" ht="30" customHeight="1" x14ac:dyDescent="0.3">
      <c r="A8" s="10"/>
      <c r="B8" s="95" t="s">
        <v>65</v>
      </c>
      <c r="C8" s="96"/>
      <c r="D8" s="96"/>
      <c r="E8" s="96"/>
      <c r="F8" s="96"/>
      <c r="G8" s="96"/>
      <c r="H8" s="96"/>
      <c r="I8" s="96"/>
      <c r="J8" s="97"/>
    </row>
    <row r="9" spans="1:10" ht="39.9" customHeight="1" x14ac:dyDescent="0.3">
      <c r="A9" s="10"/>
      <c r="B9" s="67" t="s">
        <v>70</v>
      </c>
      <c r="C9" s="68"/>
      <c r="D9" s="68"/>
      <c r="E9" s="9">
        <v>5</v>
      </c>
      <c r="F9" s="19">
        <v>3.75</v>
      </c>
      <c r="G9" s="22">
        <f>IFERROR(F9/E9,"")</f>
        <v>0.75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67" t="s">
        <v>69</v>
      </c>
      <c r="C10" s="68"/>
      <c r="D10" s="68"/>
      <c r="E10" s="9"/>
      <c r="F10" s="19"/>
      <c r="G10" s="22"/>
      <c r="H10" s="23"/>
      <c r="I10" s="44"/>
      <c r="J10" s="45"/>
    </row>
    <row r="11" spans="1:10" ht="50.1" customHeight="1" x14ac:dyDescent="0.3">
      <c r="A11" s="10"/>
      <c r="B11" s="85" t="s">
        <v>99</v>
      </c>
      <c r="C11" s="86"/>
      <c r="D11" s="86"/>
      <c r="E11" s="9">
        <v>5</v>
      </c>
      <c r="F11" s="19">
        <v>4</v>
      </c>
      <c r="G11" s="22">
        <f t="shared" ref="G11:G43" si="0">IFERROR(F11/E11,"")</f>
        <v>0.8</v>
      </c>
      <c r="H11" s="23" t="str">
        <f t="shared" ref="H11:H43" si="1">_xlfn.IFS(F11="أدخل العلامة","",F11="لا ينطبق","تم الإلغاء",G11&gt;=90%,"ممتاز",G11&gt;=80%,"جيد جداً",G11&gt;=70%,"جيد",G11&gt;=60%,"مقبول",G11&lt;60%,"راسب")</f>
        <v>جيد جداً</v>
      </c>
      <c r="I11" s="44"/>
      <c r="J11" s="45"/>
    </row>
    <row r="12" spans="1:10" ht="39.9" customHeight="1" x14ac:dyDescent="0.3">
      <c r="A12" s="10"/>
      <c r="B12" s="85" t="s">
        <v>98</v>
      </c>
      <c r="C12" s="86"/>
      <c r="D12" s="86"/>
      <c r="E12" s="9">
        <v>5</v>
      </c>
      <c r="F12" s="19">
        <v>3.5</v>
      </c>
      <c r="G12" s="22">
        <f t="shared" si="0"/>
        <v>0.7</v>
      </c>
      <c r="H12" s="23" t="str">
        <f t="shared" si="1"/>
        <v>جيد</v>
      </c>
      <c r="I12" s="44"/>
      <c r="J12" s="45"/>
    </row>
    <row r="13" spans="1:10" ht="30" customHeight="1" x14ac:dyDescent="0.3">
      <c r="A13" s="10"/>
      <c r="B13" s="85" t="s">
        <v>97</v>
      </c>
      <c r="C13" s="86"/>
      <c r="D13" s="86"/>
      <c r="E13" s="9">
        <v>5</v>
      </c>
      <c r="F13" s="19">
        <v>3.75</v>
      </c>
      <c r="G13" s="22">
        <f t="shared" si="0"/>
        <v>0.75</v>
      </c>
      <c r="H13" s="23" t="str">
        <f t="shared" si="1"/>
        <v>جيد</v>
      </c>
      <c r="I13" s="44"/>
      <c r="J13" s="45"/>
    </row>
    <row r="14" spans="1:10" ht="30" customHeight="1" x14ac:dyDescent="0.3">
      <c r="A14" s="10"/>
      <c r="B14" s="85" t="s">
        <v>96</v>
      </c>
      <c r="C14" s="86"/>
      <c r="D14" s="86"/>
      <c r="E14" s="9">
        <v>5</v>
      </c>
      <c r="F14" s="19">
        <v>3.5</v>
      </c>
      <c r="G14" s="22">
        <f t="shared" si="0"/>
        <v>0.7</v>
      </c>
      <c r="H14" s="23" t="str">
        <f t="shared" si="1"/>
        <v>جيد</v>
      </c>
      <c r="I14" s="44"/>
      <c r="J14" s="45"/>
    </row>
    <row r="15" spans="1:10" ht="30" customHeight="1" x14ac:dyDescent="0.3">
      <c r="A15" s="10"/>
      <c r="B15" s="85" t="s">
        <v>95</v>
      </c>
      <c r="C15" s="86"/>
      <c r="D15" s="86"/>
      <c r="E15" s="9">
        <v>5</v>
      </c>
      <c r="F15" s="19">
        <v>3.5</v>
      </c>
      <c r="G15" s="22">
        <f t="shared" si="0"/>
        <v>0.7</v>
      </c>
      <c r="H15" s="23" t="str">
        <f t="shared" si="1"/>
        <v>جيد</v>
      </c>
      <c r="I15" s="44"/>
      <c r="J15" s="45"/>
    </row>
    <row r="16" spans="1:10" ht="50.1" customHeight="1" x14ac:dyDescent="0.3">
      <c r="A16" s="10"/>
      <c r="B16" s="67" t="s">
        <v>64</v>
      </c>
      <c r="C16" s="68"/>
      <c r="D16" s="68"/>
      <c r="E16" s="9">
        <v>5</v>
      </c>
      <c r="F16" s="19">
        <v>3.5</v>
      </c>
      <c r="G16" s="22">
        <f t="shared" si="0"/>
        <v>0.7</v>
      </c>
      <c r="H16" s="23" t="str">
        <f t="shared" si="1"/>
        <v>جيد</v>
      </c>
      <c r="I16" s="44"/>
      <c r="J16" s="45"/>
    </row>
    <row r="17" spans="1:10" ht="30" customHeight="1" thickBot="1" x14ac:dyDescent="0.35">
      <c r="A17" s="10"/>
      <c r="B17" s="67" t="s">
        <v>71</v>
      </c>
      <c r="C17" s="68"/>
      <c r="D17" s="68"/>
      <c r="E17" s="9">
        <v>5</v>
      </c>
      <c r="F17" s="19">
        <v>3.75</v>
      </c>
      <c r="G17" s="22">
        <f t="shared" si="0"/>
        <v>0.75</v>
      </c>
      <c r="H17" s="23" t="str">
        <f t="shared" si="1"/>
        <v>جيد</v>
      </c>
      <c r="I17" s="44"/>
      <c r="J17" s="45"/>
    </row>
    <row r="18" spans="1:10" ht="30" customHeight="1" x14ac:dyDescent="0.3">
      <c r="A18" s="10"/>
      <c r="B18" s="95" t="s">
        <v>66</v>
      </c>
      <c r="C18" s="96"/>
      <c r="D18" s="96"/>
      <c r="E18" s="96"/>
      <c r="F18" s="96"/>
      <c r="G18" s="96"/>
      <c r="H18" s="96"/>
      <c r="I18" s="96"/>
      <c r="J18" s="97"/>
    </row>
    <row r="19" spans="1:10" ht="39.9" customHeight="1" x14ac:dyDescent="0.3">
      <c r="A19" s="10"/>
      <c r="B19" s="93" t="s">
        <v>76</v>
      </c>
      <c r="C19" s="94"/>
      <c r="D19" s="94"/>
      <c r="E19" s="24"/>
      <c r="F19" s="28"/>
      <c r="G19" s="22"/>
      <c r="H19" s="23"/>
      <c r="I19" s="44"/>
      <c r="J19" s="45"/>
    </row>
    <row r="20" spans="1:10" ht="30" customHeight="1" x14ac:dyDescent="0.3">
      <c r="A20" s="10"/>
      <c r="B20" s="91" t="s">
        <v>79</v>
      </c>
      <c r="C20" s="92"/>
      <c r="D20" s="92"/>
      <c r="E20" s="24">
        <v>5</v>
      </c>
      <c r="F20" s="28">
        <v>3.75</v>
      </c>
      <c r="G20" s="22">
        <f t="shared" si="0"/>
        <v>0.75</v>
      </c>
      <c r="H20" s="23" t="str">
        <f t="shared" si="1"/>
        <v>جيد</v>
      </c>
      <c r="I20" s="44"/>
      <c r="J20" s="45"/>
    </row>
    <row r="21" spans="1:10" ht="30" customHeight="1" x14ac:dyDescent="0.3">
      <c r="A21" s="10"/>
      <c r="B21" s="91" t="s">
        <v>80</v>
      </c>
      <c r="C21" s="92"/>
      <c r="D21" s="92"/>
      <c r="E21" s="24">
        <v>5</v>
      </c>
      <c r="F21" s="28">
        <v>3.5</v>
      </c>
      <c r="G21" s="22">
        <f t="shared" si="0"/>
        <v>0.7</v>
      </c>
      <c r="H21" s="23" t="str">
        <f t="shared" si="1"/>
        <v>جيد</v>
      </c>
      <c r="I21" s="44"/>
      <c r="J21" s="45"/>
    </row>
    <row r="22" spans="1:10" ht="30" customHeight="1" x14ac:dyDescent="0.3">
      <c r="A22" s="10"/>
      <c r="B22" s="91" t="s">
        <v>81</v>
      </c>
      <c r="C22" s="92"/>
      <c r="D22" s="92"/>
      <c r="E22" s="24">
        <v>5</v>
      </c>
      <c r="F22" s="28">
        <v>3.5</v>
      </c>
      <c r="G22" s="22">
        <f t="shared" si="0"/>
        <v>0.7</v>
      </c>
      <c r="H22" s="23" t="str">
        <f t="shared" si="1"/>
        <v>جيد</v>
      </c>
      <c r="I22" s="44"/>
      <c r="J22" s="45"/>
    </row>
    <row r="23" spans="1:10" ht="30" customHeight="1" x14ac:dyDescent="0.3">
      <c r="A23" s="10"/>
      <c r="B23" s="91" t="s">
        <v>82</v>
      </c>
      <c r="C23" s="92"/>
      <c r="D23" s="92"/>
      <c r="E23" s="24">
        <v>5</v>
      </c>
      <c r="F23" s="28">
        <v>3.75</v>
      </c>
      <c r="G23" s="22">
        <f t="shared" si="0"/>
        <v>0.75</v>
      </c>
      <c r="H23" s="23" t="str">
        <f t="shared" si="1"/>
        <v>جيد</v>
      </c>
      <c r="I23" s="44"/>
      <c r="J23" s="45"/>
    </row>
    <row r="24" spans="1:10" ht="30" customHeight="1" x14ac:dyDescent="0.3">
      <c r="A24" s="10"/>
      <c r="B24" s="91" t="s">
        <v>83</v>
      </c>
      <c r="C24" s="92"/>
      <c r="D24" s="92"/>
      <c r="E24" s="24">
        <v>5</v>
      </c>
      <c r="F24" s="28">
        <v>3.75</v>
      </c>
      <c r="G24" s="22">
        <f t="shared" si="0"/>
        <v>0.75</v>
      </c>
      <c r="H24" s="23" t="str">
        <f t="shared" si="1"/>
        <v>جيد</v>
      </c>
      <c r="I24" s="44"/>
      <c r="J24" s="45"/>
    </row>
    <row r="25" spans="1:10" ht="30" customHeight="1" x14ac:dyDescent="0.3">
      <c r="A25" s="10"/>
      <c r="B25" s="91" t="s">
        <v>84</v>
      </c>
      <c r="C25" s="92"/>
      <c r="D25" s="92"/>
      <c r="E25" s="24">
        <v>5</v>
      </c>
      <c r="F25" s="28">
        <v>3.75</v>
      </c>
      <c r="G25" s="22">
        <f t="shared" si="0"/>
        <v>0.75</v>
      </c>
      <c r="H25" s="23" t="str">
        <f t="shared" si="1"/>
        <v>جيد</v>
      </c>
      <c r="I25" s="44"/>
      <c r="J25" s="45"/>
    </row>
    <row r="26" spans="1:10" ht="30" customHeight="1" x14ac:dyDescent="0.3">
      <c r="A26" s="10"/>
      <c r="B26" s="93" t="s">
        <v>77</v>
      </c>
      <c r="C26" s="94"/>
      <c r="D26" s="94"/>
      <c r="E26" s="24"/>
      <c r="F26" s="28"/>
      <c r="G26" s="22"/>
      <c r="H26" s="23"/>
      <c r="I26" s="44"/>
      <c r="J26" s="45"/>
    </row>
    <row r="27" spans="1:10" ht="30" customHeight="1" x14ac:dyDescent="0.3">
      <c r="A27" s="10"/>
      <c r="B27" s="91" t="s">
        <v>85</v>
      </c>
      <c r="C27" s="92"/>
      <c r="D27" s="92"/>
      <c r="E27" s="24">
        <v>5</v>
      </c>
      <c r="F27" s="28">
        <v>3.75</v>
      </c>
      <c r="G27" s="22">
        <f t="shared" si="0"/>
        <v>0.75</v>
      </c>
      <c r="H27" s="23" t="str">
        <f t="shared" si="1"/>
        <v>جيد</v>
      </c>
      <c r="I27" s="44"/>
      <c r="J27" s="45"/>
    </row>
    <row r="28" spans="1:10" ht="39.9" customHeight="1" x14ac:dyDescent="0.3">
      <c r="A28" s="10"/>
      <c r="B28" s="91" t="s">
        <v>86</v>
      </c>
      <c r="C28" s="92"/>
      <c r="D28" s="92"/>
      <c r="E28" s="24">
        <v>5</v>
      </c>
      <c r="F28" s="28">
        <v>3.5</v>
      </c>
      <c r="G28" s="22">
        <f t="shared" si="0"/>
        <v>0.7</v>
      </c>
      <c r="H28" s="23" t="str">
        <f t="shared" si="1"/>
        <v>جيد</v>
      </c>
      <c r="I28" s="44"/>
      <c r="J28" s="45"/>
    </row>
    <row r="29" spans="1:10" ht="30" customHeight="1" thickBot="1" x14ac:dyDescent="0.35">
      <c r="A29" s="10"/>
      <c r="B29" s="87" t="s">
        <v>78</v>
      </c>
      <c r="C29" s="88"/>
      <c r="D29" s="88"/>
      <c r="E29" s="25">
        <v>5</v>
      </c>
      <c r="F29" s="29">
        <v>3.75</v>
      </c>
      <c r="G29" s="26">
        <f t="shared" si="0"/>
        <v>0.75</v>
      </c>
      <c r="H29" s="27" t="str">
        <f t="shared" si="1"/>
        <v>جيد</v>
      </c>
      <c r="I29" s="47"/>
      <c r="J29" s="48"/>
    </row>
    <row r="30" spans="1:10" ht="30" customHeight="1" x14ac:dyDescent="0.3">
      <c r="A30" s="10"/>
      <c r="B30" s="98" t="s">
        <v>75</v>
      </c>
      <c r="C30" s="99"/>
      <c r="D30" s="99"/>
      <c r="E30" s="99"/>
      <c r="F30" s="99"/>
      <c r="G30" s="99"/>
      <c r="H30" s="99"/>
      <c r="I30" s="99"/>
      <c r="J30" s="100"/>
    </row>
    <row r="31" spans="1:10" ht="30" customHeight="1" x14ac:dyDescent="0.3">
      <c r="A31" s="10"/>
      <c r="B31" s="89" t="s">
        <v>72</v>
      </c>
      <c r="C31" s="90"/>
      <c r="D31" s="90"/>
      <c r="E31" s="30"/>
      <c r="F31" s="31"/>
      <c r="G31" s="32"/>
      <c r="H31" s="33"/>
      <c r="I31" s="79"/>
      <c r="J31" s="80"/>
    </row>
    <row r="32" spans="1:10" ht="30" customHeight="1" x14ac:dyDescent="0.3">
      <c r="A32" s="10"/>
      <c r="B32" s="83" t="s">
        <v>87</v>
      </c>
      <c r="C32" s="84"/>
      <c r="D32" s="84"/>
      <c r="E32" s="34">
        <v>5</v>
      </c>
      <c r="F32" s="31">
        <v>3.5</v>
      </c>
      <c r="G32" s="32">
        <f t="shared" si="0"/>
        <v>0.7</v>
      </c>
      <c r="H32" s="33" t="str">
        <f t="shared" si="1"/>
        <v>جيد</v>
      </c>
      <c r="I32" s="79"/>
      <c r="J32" s="80"/>
    </row>
    <row r="33" spans="1:10" ht="30" customHeight="1" x14ac:dyDescent="0.3">
      <c r="A33" s="10"/>
      <c r="B33" s="83" t="s">
        <v>88</v>
      </c>
      <c r="C33" s="84"/>
      <c r="D33" s="84"/>
      <c r="E33" s="34">
        <v>5</v>
      </c>
      <c r="F33" s="31">
        <v>3.5</v>
      </c>
      <c r="G33" s="32">
        <f t="shared" si="0"/>
        <v>0.7</v>
      </c>
      <c r="H33" s="33" t="str">
        <f t="shared" si="1"/>
        <v>جيد</v>
      </c>
      <c r="I33" s="79"/>
      <c r="J33" s="80"/>
    </row>
    <row r="34" spans="1:10" ht="30" customHeight="1" x14ac:dyDescent="0.3">
      <c r="A34" s="10"/>
      <c r="B34" s="83" t="s">
        <v>89</v>
      </c>
      <c r="C34" s="84"/>
      <c r="D34" s="84"/>
      <c r="E34" s="34">
        <v>5</v>
      </c>
      <c r="F34" s="31">
        <v>3.5</v>
      </c>
      <c r="G34" s="32">
        <f t="shared" si="0"/>
        <v>0.7</v>
      </c>
      <c r="H34" s="33" t="str">
        <f t="shared" si="1"/>
        <v>جيد</v>
      </c>
      <c r="I34" s="79"/>
      <c r="J34" s="80"/>
    </row>
    <row r="35" spans="1:10" ht="30" customHeight="1" x14ac:dyDescent="0.3">
      <c r="A35" s="10"/>
      <c r="B35" s="83" t="s">
        <v>90</v>
      </c>
      <c r="C35" s="84"/>
      <c r="D35" s="84"/>
      <c r="E35" s="34">
        <v>5</v>
      </c>
      <c r="F35" s="31">
        <v>3.75</v>
      </c>
      <c r="G35" s="32">
        <f t="shared" si="0"/>
        <v>0.75</v>
      </c>
      <c r="H35" s="33" t="str">
        <f t="shared" si="1"/>
        <v>جيد</v>
      </c>
      <c r="I35" s="79"/>
      <c r="J35" s="80"/>
    </row>
    <row r="36" spans="1:10" ht="30" customHeight="1" x14ac:dyDescent="0.3">
      <c r="A36" s="10"/>
      <c r="B36" s="89" t="s">
        <v>67</v>
      </c>
      <c r="C36" s="90"/>
      <c r="D36" s="90"/>
      <c r="E36" s="30"/>
      <c r="F36" s="31"/>
      <c r="G36" s="32"/>
      <c r="H36" s="33"/>
      <c r="I36" s="79"/>
      <c r="J36" s="80"/>
    </row>
    <row r="37" spans="1:10" ht="30" customHeight="1" x14ac:dyDescent="0.3">
      <c r="A37" s="10"/>
      <c r="B37" s="83" t="s">
        <v>91</v>
      </c>
      <c r="C37" s="84"/>
      <c r="D37" s="84"/>
      <c r="E37" s="34">
        <v>5</v>
      </c>
      <c r="F37" s="31">
        <v>3.75</v>
      </c>
      <c r="G37" s="32">
        <f t="shared" si="0"/>
        <v>0.75</v>
      </c>
      <c r="H37" s="33" t="str">
        <f t="shared" si="1"/>
        <v>جيد</v>
      </c>
      <c r="I37" s="79"/>
      <c r="J37" s="80"/>
    </row>
    <row r="38" spans="1:10" ht="30" customHeight="1" x14ac:dyDescent="0.3">
      <c r="A38" s="10"/>
      <c r="B38" s="85" t="s">
        <v>92</v>
      </c>
      <c r="C38" s="86"/>
      <c r="D38" s="86"/>
      <c r="E38" s="24">
        <v>5</v>
      </c>
      <c r="F38" s="19">
        <v>3.75</v>
      </c>
      <c r="G38" s="22">
        <f t="shared" si="0"/>
        <v>0.75</v>
      </c>
      <c r="H38" s="23" t="str">
        <f t="shared" si="1"/>
        <v>جيد</v>
      </c>
      <c r="I38" s="44"/>
      <c r="J38" s="45"/>
    </row>
    <row r="39" spans="1:10" ht="30" customHeight="1" x14ac:dyDescent="0.3">
      <c r="A39" s="10"/>
      <c r="B39" s="85" t="s">
        <v>93</v>
      </c>
      <c r="C39" s="86"/>
      <c r="D39" s="86"/>
      <c r="E39" s="24">
        <v>5</v>
      </c>
      <c r="F39" s="19">
        <v>3.5</v>
      </c>
      <c r="G39" s="22">
        <f t="shared" si="0"/>
        <v>0.7</v>
      </c>
      <c r="H39" s="23" t="str">
        <f t="shared" si="1"/>
        <v>جيد</v>
      </c>
      <c r="I39" s="44"/>
      <c r="J39" s="45"/>
    </row>
    <row r="40" spans="1:10" ht="50.1" customHeight="1" x14ac:dyDescent="0.3">
      <c r="A40" s="10"/>
      <c r="B40" s="85" t="s">
        <v>94</v>
      </c>
      <c r="C40" s="86"/>
      <c r="D40" s="86"/>
      <c r="E40" s="24">
        <v>5</v>
      </c>
      <c r="F40" s="19">
        <v>3.5</v>
      </c>
      <c r="G40" s="22">
        <f t="shared" si="0"/>
        <v>0.7</v>
      </c>
      <c r="H40" s="23" t="str">
        <f t="shared" si="1"/>
        <v>جيد</v>
      </c>
      <c r="I40" s="44"/>
      <c r="J40" s="45"/>
    </row>
    <row r="41" spans="1:10" ht="39.9" customHeight="1" x14ac:dyDescent="0.3">
      <c r="A41" s="10"/>
      <c r="B41" s="67" t="s">
        <v>73</v>
      </c>
      <c r="C41" s="68"/>
      <c r="D41" s="68"/>
      <c r="E41" s="24">
        <v>5</v>
      </c>
      <c r="F41" s="19">
        <v>3.5</v>
      </c>
      <c r="G41" s="22">
        <f t="shared" si="0"/>
        <v>0.7</v>
      </c>
      <c r="H41" s="23" t="str">
        <f t="shared" si="1"/>
        <v>جيد</v>
      </c>
      <c r="I41" s="44"/>
      <c r="J41" s="45"/>
    </row>
    <row r="42" spans="1:10" ht="39.9" customHeight="1" x14ac:dyDescent="0.3">
      <c r="A42" s="10"/>
      <c r="B42" s="67" t="s">
        <v>68</v>
      </c>
      <c r="C42" s="68"/>
      <c r="D42" s="68"/>
      <c r="E42" s="24">
        <v>5</v>
      </c>
      <c r="F42" s="19">
        <v>3.75</v>
      </c>
      <c r="G42" s="22">
        <f t="shared" si="0"/>
        <v>0.75</v>
      </c>
      <c r="H42" s="23" t="str">
        <f t="shared" si="1"/>
        <v>جيد</v>
      </c>
      <c r="I42" s="44"/>
      <c r="J42" s="45"/>
    </row>
    <row r="43" spans="1:10" ht="30" customHeight="1" x14ac:dyDescent="0.3">
      <c r="A43" s="10"/>
      <c r="B43" s="67" t="s">
        <v>74</v>
      </c>
      <c r="C43" s="68"/>
      <c r="D43" s="68"/>
      <c r="E43" s="24">
        <v>5</v>
      </c>
      <c r="F43" s="19">
        <v>3.75</v>
      </c>
      <c r="G43" s="22">
        <f t="shared" si="0"/>
        <v>0.75</v>
      </c>
      <c r="H43" s="23" t="str">
        <f t="shared" si="1"/>
        <v>جيد</v>
      </c>
      <c r="I43" s="44"/>
      <c r="J43" s="45"/>
    </row>
    <row r="44" spans="1:10" ht="30" customHeight="1" thickBot="1" x14ac:dyDescent="0.35">
      <c r="A44" s="4"/>
      <c r="B44" s="81" t="s">
        <v>5</v>
      </c>
      <c r="C44" s="82"/>
      <c r="D44" s="82"/>
      <c r="E44" s="21">
        <f>SUM(E8:E43)</f>
        <v>140</v>
      </c>
      <c r="F44" s="21">
        <f>SUM(F8:F43)</f>
        <v>102</v>
      </c>
      <c r="G44" s="64"/>
      <c r="H44" s="65"/>
      <c r="I44" s="65"/>
      <c r="J44" s="66"/>
    </row>
    <row r="45" spans="1:10" ht="30" customHeight="1" thickBot="1" x14ac:dyDescent="0.35">
      <c r="A45" s="4"/>
      <c r="B45" s="77" t="s">
        <v>54</v>
      </c>
      <c r="C45" s="78"/>
      <c r="D45" s="78"/>
      <c r="E45" s="69">
        <f>F44/E44/100*100</f>
        <v>0.72857142857142854</v>
      </c>
      <c r="F45" s="69"/>
      <c r="G45" s="69"/>
      <c r="H45" s="69"/>
      <c r="I45" s="69"/>
      <c r="J45" s="70"/>
    </row>
    <row r="46" spans="1:10" ht="30" customHeight="1" thickBot="1" x14ac:dyDescent="0.35">
      <c r="A46" s="4"/>
      <c r="B46" s="77" t="s">
        <v>55</v>
      </c>
      <c r="C46" s="78"/>
      <c r="D46" s="78"/>
      <c r="E46" s="75" t="str">
        <f>_xlfn.IFS(E45&gt;=90%,"ممتاز",E45&gt;=80%,"جيد جداً",E45&gt;=70%,"جيد",E45&gt;=60%,"مقبول",E45&lt;60%,"راسب")</f>
        <v>جيد</v>
      </c>
      <c r="F46" s="75"/>
      <c r="G46" s="75"/>
      <c r="H46" s="75"/>
      <c r="I46" s="75"/>
      <c r="J46" s="76"/>
    </row>
    <row r="47" spans="1:10" ht="42" customHeight="1" x14ac:dyDescent="0.3">
      <c r="B47" s="71" t="s">
        <v>63</v>
      </c>
      <c r="C47" s="71"/>
      <c r="D47" s="71"/>
      <c r="E47" s="62" t="s">
        <v>52</v>
      </c>
      <c r="F47" s="62"/>
      <c r="G47" s="73" t="s">
        <v>115</v>
      </c>
      <c r="H47" s="73"/>
      <c r="I47" s="73"/>
      <c r="J47" s="73"/>
    </row>
    <row r="48" spans="1:10" ht="51" customHeight="1" x14ac:dyDescent="0.3">
      <c r="A48" s="5"/>
      <c r="B48" s="72"/>
      <c r="C48" s="72"/>
      <c r="D48" s="72"/>
      <c r="E48" s="63" t="s">
        <v>53</v>
      </c>
      <c r="F48" s="63"/>
      <c r="G48" s="74"/>
      <c r="H48" s="74"/>
      <c r="I48" s="74"/>
      <c r="J48" s="74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B8:J8"/>
    <mergeCell ref="B18:J18"/>
    <mergeCell ref="B30:J30"/>
    <mergeCell ref="B35:D35"/>
    <mergeCell ref="B36:D36"/>
    <mergeCell ref="B19:D19"/>
    <mergeCell ref="B9:D9"/>
    <mergeCell ref="B10:D10"/>
    <mergeCell ref="B11:D11"/>
    <mergeCell ref="B12:D12"/>
    <mergeCell ref="B13:D13"/>
    <mergeCell ref="B14:D14"/>
    <mergeCell ref="B15:D15"/>
    <mergeCell ref="B16:D16"/>
    <mergeCell ref="I24:J24"/>
    <mergeCell ref="I9:J9"/>
    <mergeCell ref="B17:D17"/>
    <mergeCell ref="I25:J25"/>
    <mergeCell ref="I26:J26"/>
    <mergeCell ref="I27:J27"/>
    <mergeCell ref="I28:J28"/>
    <mergeCell ref="B20:D20"/>
    <mergeCell ref="B21:D21"/>
    <mergeCell ref="B22:D22"/>
    <mergeCell ref="B23:D23"/>
    <mergeCell ref="B24:D24"/>
    <mergeCell ref="B27:D27"/>
    <mergeCell ref="B28:D28"/>
    <mergeCell ref="I20:J20"/>
    <mergeCell ref="I21:J21"/>
    <mergeCell ref="B25:D25"/>
    <mergeCell ref="B26:D26"/>
    <mergeCell ref="B29:D29"/>
    <mergeCell ref="B31:D31"/>
    <mergeCell ref="B32:D32"/>
    <mergeCell ref="B33:D33"/>
    <mergeCell ref="B34:D34"/>
    <mergeCell ref="I36:J36"/>
    <mergeCell ref="I37:J37"/>
    <mergeCell ref="I38:J38"/>
    <mergeCell ref="B44:D44"/>
    <mergeCell ref="B45:D45"/>
    <mergeCell ref="B42:D42"/>
    <mergeCell ref="I39:J39"/>
    <mergeCell ref="I40:J40"/>
    <mergeCell ref="I41:J41"/>
    <mergeCell ref="I42:J42"/>
    <mergeCell ref="B41:D41"/>
    <mergeCell ref="B37:D37"/>
    <mergeCell ref="B38:D38"/>
    <mergeCell ref="B39:D39"/>
    <mergeCell ref="B40:D40"/>
    <mergeCell ref="I31:J31"/>
    <mergeCell ref="I32:J32"/>
    <mergeCell ref="I33:J33"/>
    <mergeCell ref="I34:J34"/>
    <mergeCell ref="I35:J35"/>
    <mergeCell ref="E47:F47"/>
    <mergeCell ref="E48:F48"/>
    <mergeCell ref="G44:J44"/>
    <mergeCell ref="B43:D43"/>
    <mergeCell ref="E45:J45"/>
    <mergeCell ref="B47:D48"/>
    <mergeCell ref="G47:J47"/>
    <mergeCell ref="G48:J48"/>
    <mergeCell ref="E46:J46"/>
    <mergeCell ref="I43:J43"/>
    <mergeCell ref="B46:D46"/>
    <mergeCell ref="B1:J1"/>
    <mergeCell ref="F2:J2"/>
    <mergeCell ref="B5:D6"/>
    <mergeCell ref="C2:D2"/>
    <mergeCell ref="C3:D3"/>
    <mergeCell ref="F3:J3"/>
    <mergeCell ref="C4:D4"/>
    <mergeCell ref="B7:D7"/>
    <mergeCell ref="I22:J22"/>
    <mergeCell ref="I23:J23"/>
    <mergeCell ref="E5:H5"/>
    <mergeCell ref="I29:J29"/>
    <mergeCell ref="I5:J6"/>
    <mergeCell ref="I7:J7"/>
    <mergeCell ref="I10:J10"/>
    <mergeCell ref="I19:J19"/>
    <mergeCell ref="I11:J11"/>
    <mergeCell ref="I12:J12"/>
    <mergeCell ref="I13:J13"/>
    <mergeCell ref="I14:J14"/>
    <mergeCell ref="I15:J15"/>
    <mergeCell ref="I16:J16"/>
    <mergeCell ref="I17:J1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21" priority="57">
      <formula>$E46="راسب"</formula>
    </cfRule>
  </conditionalFormatting>
  <conditionalFormatting sqref="E46:J46">
    <cfRule type="expression" dxfId="20" priority="60">
      <formula>$E46="جيد جداً"</formula>
    </cfRule>
    <cfRule type="expression" dxfId="19" priority="59">
      <formula>$E46="جيد"</formula>
    </cfRule>
    <cfRule type="expression" dxfId="18" priority="58">
      <formula>$E46="مقبول"</formula>
    </cfRule>
    <cfRule type="expression" dxfId="17" priority="61">
      <formula>$E46="ممتاز"</formula>
    </cfRule>
  </conditionalFormatting>
  <conditionalFormatting sqref="F9:F17">
    <cfRule type="containsText" dxfId="16" priority="4" operator="containsText" text="أدخل العلامة">
      <formula>NOT(ISERROR(SEARCH("أدخل العلامة",F9)))</formula>
    </cfRule>
  </conditionalFormatting>
  <conditionalFormatting sqref="F19:F29 F31:F43">
    <cfRule type="containsText" dxfId="15" priority="14" operator="containsText" text="أدخل العلامة">
      <formula>NOT(ISERROR(SEARCH("أدخل العلامة",F19)))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12" priority="15" operator="containsText" text="أدخل اسم المحكم">
      <formula>NOT(ISERROR(SEARCH("أدخل اسم المحكم",G47)))</formula>
    </cfRule>
  </conditionalFormatting>
  <conditionalFormatting sqref="H9:H1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9:H29 H31:H43">
    <cfRule type="containsText" dxfId="5" priority="38" operator="containsText" text="أدخل العلامة">
      <formula>NOT(ISERROR(SEARCH("أدخل العلامة",H19)))</formula>
    </cfRule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F27:F29 F11:F17 F9 F20:F25 F32:F35 F37:F43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4" workbookViewId="0">
      <selection activeCell="C2" sqref="C2:C28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41" t="s">
        <v>186</v>
      </c>
    </row>
    <row r="3" spans="1:3" ht="20.100000000000001" customHeight="1" thickBot="1" x14ac:dyDescent="0.35">
      <c r="A3" s="2" t="s">
        <v>26</v>
      </c>
      <c r="C3" s="41" t="s">
        <v>187</v>
      </c>
    </row>
    <row r="4" spans="1:3" ht="20.100000000000001" customHeight="1" thickBot="1" x14ac:dyDescent="0.35">
      <c r="A4" s="2" t="s">
        <v>36</v>
      </c>
      <c r="C4" s="41" t="s">
        <v>188</v>
      </c>
    </row>
    <row r="5" spans="1:3" ht="20.100000000000001" customHeight="1" thickBot="1" x14ac:dyDescent="0.35">
      <c r="A5" s="2" t="s">
        <v>37</v>
      </c>
      <c r="C5" s="41" t="s">
        <v>189</v>
      </c>
    </row>
    <row r="6" spans="1:3" ht="20.100000000000001" customHeight="1" thickBot="1" x14ac:dyDescent="0.35">
      <c r="A6" s="2" t="s">
        <v>38</v>
      </c>
      <c r="C6" s="41" t="s">
        <v>190</v>
      </c>
    </row>
    <row r="7" spans="1:3" ht="20.100000000000001" customHeight="1" thickBot="1" x14ac:dyDescent="0.35">
      <c r="A7" s="2" t="s">
        <v>39</v>
      </c>
      <c r="C7" s="41" t="s">
        <v>191</v>
      </c>
    </row>
    <row r="8" spans="1:3" ht="20.100000000000001" customHeight="1" thickBot="1" x14ac:dyDescent="0.35">
      <c r="A8" s="2" t="s">
        <v>40</v>
      </c>
      <c r="C8" s="41" t="s">
        <v>192</v>
      </c>
    </row>
    <row r="9" spans="1:3" ht="20.100000000000001" customHeight="1" thickBot="1" x14ac:dyDescent="0.35">
      <c r="A9" s="2" t="s">
        <v>41</v>
      </c>
      <c r="C9" s="41" t="s">
        <v>193</v>
      </c>
    </row>
    <row r="10" spans="1:3" ht="20.100000000000001" customHeight="1" thickBot="1" x14ac:dyDescent="0.35">
      <c r="A10" s="2" t="s">
        <v>42</v>
      </c>
      <c r="C10" s="41" t="s">
        <v>194</v>
      </c>
    </row>
    <row r="11" spans="1:3" ht="20.100000000000001" customHeight="1" thickBot="1" x14ac:dyDescent="0.35">
      <c r="A11" s="2" t="s">
        <v>43</v>
      </c>
      <c r="C11" s="41" t="s">
        <v>195</v>
      </c>
    </row>
    <row r="12" spans="1:3" ht="20.100000000000001" customHeight="1" thickBot="1" x14ac:dyDescent="0.35">
      <c r="A12" s="2" t="s">
        <v>44</v>
      </c>
      <c r="C12" s="41" t="s">
        <v>196</v>
      </c>
    </row>
    <row r="13" spans="1:3" ht="20.100000000000001" customHeight="1" thickBot="1" x14ac:dyDescent="0.35">
      <c r="A13" s="2" t="s">
        <v>45</v>
      </c>
      <c r="C13" s="41" t="s">
        <v>197</v>
      </c>
    </row>
    <row r="14" spans="1:3" ht="20.100000000000001" customHeight="1" thickBot="1" x14ac:dyDescent="0.35">
      <c r="A14" s="2" t="s">
        <v>46</v>
      </c>
      <c r="C14" s="41" t="s">
        <v>198</v>
      </c>
    </row>
    <row r="15" spans="1:3" ht="20.100000000000001" customHeight="1" thickBot="1" x14ac:dyDescent="0.35">
      <c r="A15" s="2" t="s">
        <v>47</v>
      </c>
      <c r="C15" s="41" t="s">
        <v>199</v>
      </c>
    </row>
    <row r="16" spans="1:3" ht="20.100000000000001" customHeight="1" thickBot="1" x14ac:dyDescent="0.35">
      <c r="A16" s="2" t="s">
        <v>10</v>
      </c>
      <c r="C16" s="41" t="s">
        <v>200</v>
      </c>
    </row>
    <row r="17" spans="1:3" ht="20.100000000000001" customHeight="1" thickBot="1" x14ac:dyDescent="0.35">
      <c r="A17" s="2" t="s">
        <v>27</v>
      </c>
      <c r="C17" s="41" t="s">
        <v>201</v>
      </c>
    </row>
    <row r="18" spans="1:3" ht="20.100000000000001" customHeight="1" thickBot="1" x14ac:dyDescent="0.35">
      <c r="A18" s="2" t="s">
        <v>48</v>
      </c>
      <c r="C18" s="41" t="s">
        <v>202</v>
      </c>
    </row>
    <row r="19" spans="1:3" ht="20.100000000000001" customHeight="1" thickBot="1" x14ac:dyDescent="0.35">
      <c r="A19" s="2" t="s">
        <v>49</v>
      </c>
      <c r="C19" s="41" t="s">
        <v>203</v>
      </c>
    </row>
    <row r="20" spans="1:3" ht="20.100000000000001" customHeight="1" thickBot="1" x14ac:dyDescent="0.35">
      <c r="A20" s="2" t="s">
        <v>50</v>
      </c>
      <c r="C20" s="41" t="s">
        <v>204</v>
      </c>
    </row>
    <row r="21" spans="1:3" ht="20.100000000000001" customHeight="1" thickBot="1" x14ac:dyDescent="0.35">
      <c r="A21" s="2" t="s">
        <v>51</v>
      </c>
      <c r="C21" s="41" t="s">
        <v>205</v>
      </c>
    </row>
    <row r="22" spans="1:3" ht="20.100000000000001" customHeight="1" thickBot="1" x14ac:dyDescent="0.35">
      <c r="A22" s="2" t="s">
        <v>11</v>
      </c>
      <c r="C22" s="41" t="s">
        <v>206</v>
      </c>
    </row>
    <row r="23" spans="1:3" ht="20.100000000000001" customHeight="1" thickBot="1" x14ac:dyDescent="0.35">
      <c r="A23" s="2" t="s">
        <v>12</v>
      </c>
      <c r="C23" s="41" t="s">
        <v>207</v>
      </c>
    </row>
    <row r="24" spans="1:3" ht="20.100000000000001" customHeight="1" thickBot="1" x14ac:dyDescent="0.35">
      <c r="A24" s="2" t="s">
        <v>15</v>
      </c>
      <c r="C24" s="41" t="s">
        <v>208</v>
      </c>
    </row>
    <row r="25" spans="1:3" ht="20.100000000000001" customHeight="1" thickBot="1" x14ac:dyDescent="0.35">
      <c r="A25" s="2" t="s">
        <v>28</v>
      </c>
      <c r="C25" s="41" t="s">
        <v>209</v>
      </c>
    </row>
    <row r="26" spans="1:3" ht="20.100000000000001" customHeight="1" thickBot="1" x14ac:dyDescent="0.35">
      <c r="A26" s="2" t="s">
        <v>29</v>
      </c>
      <c r="C26" s="41" t="s">
        <v>210</v>
      </c>
    </row>
    <row r="27" spans="1:3" ht="20.100000000000001" customHeight="1" thickBot="1" x14ac:dyDescent="0.35">
      <c r="A27" s="2" t="s">
        <v>13</v>
      </c>
      <c r="C27" s="41" t="s">
        <v>211</v>
      </c>
    </row>
    <row r="28" spans="1:3" ht="20.100000000000001" customHeight="1" thickBot="1" x14ac:dyDescent="0.35">
      <c r="A28" s="2" t="s">
        <v>30</v>
      </c>
      <c r="C28" s="41" t="s">
        <v>212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5" t="s">
        <v>100</v>
      </c>
    </row>
    <row r="200" spans="1:1" ht="20.100000000000001" customHeight="1" x14ac:dyDescent="0.3">
      <c r="A200" s="35" t="s">
        <v>101</v>
      </c>
    </row>
    <row r="201" spans="1:1" ht="20.100000000000001" customHeight="1" x14ac:dyDescent="0.3">
      <c r="A201" s="35" t="s">
        <v>102</v>
      </c>
    </row>
    <row r="202" spans="1:1" ht="20.100000000000001" customHeight="1" x14ac:dyDescent="0.3">
      <c r="A202" s="35" t="s">
        <v>103</v>
      </c>
    </row>
    <row r="203" spans="1:1" ht="20.100000000000001" customHeight="1" x14ac:dyDescent="0.3">
      <c r="A203" s="35" t="s">
        <v>104</v>
      </c>
    </row>
    <row r="204" spans="1:1" ht="20.100000000000001" customHeight="1" x14ac:dyDescent="0.3">
      <c r="A204" s="35" t="s">
        <v>105</v>
      </c>
    </row>
    <row r="205" spans="1:1" ht="20.100000000000001" customHeight="1" x14ac:dyDescent="0.3">
      <c r="A205" s="35" t="s">
        <v>106</v>
      </c>
    </row>
    <row r="206" spans="1:1" ht="20.100000000000001" customHeight="1" x14ac:dyDescent="0.3">
      <c r="A206" s="35" t="s">
        <v>107</v>
      </c>
    </row>
    <row r="207" spans="1:1" ht="20.100000000000001" customHeight="1" x14ac:dyDescent="0.3">
      <c r="A207" s="35" t="s">
        <v>108</v>
      </c>
    </row>
    <row r="208" spans="1:1" ht="20.100000000000001" customHeight="1" x14ac:dyDescent="0.3">
      <c r="A208" s="36" t="s">
        <v>109</v>
      </c>
    </row>
    <row r="209" spans="1:1" ht="20.100000000000001" customHeight="1" x14ac:dyDescent="0.3">
      <c r="A209" s="36" t="s">
        <v>110</v>
      </c>
    </row>
    <row r="210" spans="1:1" ht="20.100000000000001" customHeight="1" x14ac:dyDescent="0.3">
      <c r="A210" s="35" t="s">
        <v>111</v>
      </c>
    </row>
    <row r="211" spans="1:1" ht="20.100000000000001" customHeight="1" x14ac:dyDescent="0.3">
      <c r="A211" s="35" t="s">
        <v>112</v>
      </c>
    </row>
    <row r="212" spans="1:1" ht="20.100000000000001" customHeight="1" x14ac:dyDescent="0.3">
      <c r="A212" s="35" t="s">
        <v>113</v>
      </c>
    </row>
    <row r="213" spans="1:1" ht="20.100000000000001" customHeight="1" x14ac:dyDescent="0.3">
      <c r="A213" s="35" t="s">
        <v>114</v>
      </c>
    </row>
    <row r="214" spans="1:1" ht="20.100000000000001" customHeight="1" x14ac:dyDescent="0.3">
      <c r="A214" s="35" t="s">
        <v>115</v>
      </c>
    </row>
    <row r="215" spans="1:1" ht="20.100000000000001" customHeight="1" x14ac:dyDescent="0.3">
      <c r="A215" s="35" t="s">
        <v>116</v>
      </c>
    </row>
    <row r="216" spans="1:1" ht="20.100000000000001" customHeight="1" x14ac:dyDescent="0.3">
      <c r="A216" s="35" t="s">
        <v>117</v>
      </c>
    </row>
    <row r="217" spans="1:1" ht="20.100000000000001" customHeight="1" x14ac:dyDescent="0.3">
      <c r="A217" s="35" t="s">
        <v>118</v>
      </c>
    </row>
    <row r="218" spans="1:1" ht="20.100000000000001" customHeight="1" x14ac:dyDescent="0.3">
      <c r="A218" s="35" t="s">
        <v>119</v>
      </c>
    </row>
    <row r="219" spans="1:1" ht="20.100000000000001" customHeight="1" x14ac:dyDescent="0.3">
      <c r="A219" s="35" t="s">
        <v>120</v>
      </c>
    </row>
    <row r="220" spans="1:1" ht="20.100000000000001" customHeight="1" x14ac:dyDescent="0.3">
      <c r="A220" s="35" t="s">
        <v>121</v>
      </c>
    </row>
    <row r="221" spans="1:1" ht="20.100000000000001" customHeight="1" x14ac:dyDescent="0.3">
      <c r="A221" s="35" t="s">
        <v>122</v>
      </c>
    </row>
    <row r="222" spans="1:1" ht="20.100000000000001" customHeight="1" x14ac:dyDescent="0.3">
      <c r="A222" s="35" t="s">
        <v>123</v>
      </c>
    </row>
    <row r="223" spans="1:1" ht="20.100000000000001" customHeight="1" x14ac:dyDescent="0.3">
      <c r="A223" s="35" t="s">
        <v>124</v>
      </c>
    </row>
    <row r="224" spans="1:1" ht="20.100000000000001" customHeight="1" x14ac:dyDescent="0.3">
      <c r="A224" s="35" t="s">
        <v>125</v>
      </c>
    </row>
    <row r="225" spans="1:1" ht="20.100000000000001" customHeight="1" x14ac:dyDescent="0.3">
      <c r="A225" s="35" t="s">
        <v>126</v>
      </c>
    </row>
    <row r="226" spans="1:1" ht="20.100000000000001" customHeight="1" x14ac:dyDescent="0.3">
      <c r="A226" s="35" t="s">
        <v>127</v>
      </c>
    </row>
    <row r="227" spans="1:1" ht="20.100000000000001" customHeight="1" x14ac:dyDescent="0.3">
      <c r="A227" s="35" t="s">
        <v>128</v>
      </c>
    </row>
    <row r="228" spans="1:1" ht="20.100000000000001" customHeight="1" x14ac:dyDescent="0.3">
      <c r="A228" s="35" t="s">
        <v>129</v>
      </c>
    </row>
    <row r="229" spans="1:1" ht="20.100000000000001" customHeight="1" x14ac:dyDescent="0.3">
      <c r="A229" s="35" t="s">
        <v>130</v>
      </c>
    </row>
    <row r="230" spans="1:1" ht="20.100000000000001" customHeight="1" x14ac:dyDescent="0.3">
      <c r="A230" s="35" t="s">
        <v>131</v>
      </c>
    </row>
    <row r="231" spans="1:1" ht="20.100000000000001" customHeight="1" x14ac:dyDescent="0.3">
      <c r="A231" s="35" t="s">
        <v>132</v>
      </c>
    </row>
    <row r="232" spans="1:1" ht="20.100000000000001" customHeight="1" x14ac:dyDescent="0.3">
      <c r="A232" s="35" t="s">
        <v>133</v>
      </c>
    </row>
    <row r="233" spans="1:1" ht="20.100000000000001" customHeight="1" x14ac:dyDescent="0.3">
      <c r="A233" s="35" t="s">
        <v>134</v>
      </c>
    </row>
    <row r="234" spans="1:1" ht="20.100000000000001" customHeight="1" x14ac:dyDescent="0.3">
      <c r="A234" s="35" t="s">
        <v>135</v>
      </c>
    </row>
    <row r="235" spans="1:1" ht="20.100000000000001" customHeight="1" x14ac:dyDescent="0.3">
      <c r="A235" s="37" t="s">
        <v>136</v>
      </c>
    </row>
    <row r="236" spans="1:1" ht="20.100000000000001" customHeight="1" x14ac:dyDescent="0.3">
      <c r="A236" s="35" t="s">
        <v>137</v>
      </c>
    </row>
    <row r="237" spans="1:1" ht="20.100000000000001" customHeight="1" x14ac:dyDescent="0.3">
      <c r="A237" s="35" t="s">
        <v>138</v>
      </c>
    </row>
    <row r="238" spans="1:1" ht="20.100000000000001" customHeight="1" x14ac:dyDescent="0.3">
      <c r="A238" s="35" t="s">
        <v>139</v>
      </c>
    </row>
    <row r="239" spans="1:1" ht="20.100000000000001" customHeight="1" x14ac:dyDescent="0.3">
      <c r="A239" s="35" t="s">
        <v>140</v>
      </c>
    </row>
    <row r="240" spans="1:1" ht="20.100000000000001" customHeight="1" x14ac:dyDescent="0.3">
      <c r="A240" s="35" t="s">
        <v>141</v>
      </c>
    </row>
    <row r="241" spans="1:1" ht="20.100000000000001" customHeight="1" x14ac:dyDescent="0.3">
      <c r="A241" s="35" t="s">
        <v>142</v>
      </c>
    </row>
    <row r="242" spans="1:1" ht="20.100000000000001" customHeight="1" x14ac:dyDescent="0.3">
      <c r="A242" s="35" t="s">
        <v>143</v>
      </c>
    </row>
    <row r="243" spans="1:1" ht="20.100000000000001" customHeight="1" x14ac:dyDescent="0.3">
      <c r="A243" s="35" t="s">
        <v>144</v>
      </c>
    </row>
    <row r="244" spans="1:1" ht="20.100000000000001" customHeight="1" x14ac:dyDescent="0.3">
      <c r="A244" s="35" t="s">
        <v>145</v>
      </c>
    </row>
    <row r="245" spans="1:1" ht="20.100000000000001" customHeight="1" x14ac:dyDescent="0.3">
      <c r="A245" s="35" t="s">
        <v>146</v>
      </c>
    </row>
    <row r="246" spans="1:1" ht="20.100000000000001" customHeight="1" x14ac:dyDescent="0.3">
      <c r="A246" s="35" t="s">
        <v>147</v>
      </c>
    </row>
    <row r="247" spans="1:1" ht="20.100000000000001" customHeight="1" x14ac:dyDescent="0.3">
      <c r="A247" s="35" t="s">
        <v>138</v>
      </c>
    </row>
    <row r="248" spans="1:1" ht="20.100000000000001" customHeight="1" x14ac:dyDescent="0.3">
      <c r="A248" s="35" t="s">
        <v>148</v>
      </c>
    </row>
    <row r="249" spans="1:1" ht="20.100000000000001" customHeight="1" x14ac:dyDescent="0.3">
      <c r="A249" s="35" t="s">
        <v>149</v>
      </c>
    </row>
    <row r="250" spans="1:1" ht="20.100000000000001" customHeight="1" x14ac:dyDescent="0.3">
      <c r="A250" s="37" t="s">
        <v>150</v>
      </c>
    </row>
    <row r="251" spans="1:1" ht="20.100000000000001" customHeight="1" x14ac:dyDescent="0.3">
      <c r="A251" s="38" t="s">
        <v>151</v>
      </c>
    </row>
    <row r="252" spans="1:1" ht="20.100000000000001" customHeight="1" x14ac:dyDescent="0.3">
      <c r="A252" s="35" t="s">
        <v>152</v>
      </c>
    </row>
    <row r="253" spans="1:1" ht="20.100000000000001" customHeight="1" x14ac:dyDescent="0.3">
      <c r="A253" s="35" t="s">
        <v>153</v>
      </c>
    </row>
    <row r="254" spans="1:1" ht="20.100000000000001" customHeight="1" x14ac:dyDescent="0.3">
      <c r="A254" s="39" t="s">
        <v>154</v>
      </c>
    </row>
    <row r="255" spans="1:1" ht="20.100000000000001" customHeight="1" x14ac:dyDescent="0.3">
      <c r="A255" s="39" t="s">
        <v>155</v>
      </c>
    </row>
    <row r="256" spans="1:1" ht="20.100000000000001" customHeight="1" x14ac:dyDescent="0.3">
      <c r="A256" s="40" t="s">
        <v>156</v>
      </c>
    </row>
    <row r="257" spans="1:1" ht="20.100000000000001" customHeight="1" x14ac:dyDescent="0.3">
      <c r="A257" s="35" t="s">
        <v>157</v>
      </c>
    </row>
    <row r="258" spans="1:1" ht="20.100000000000001" customHeight="1" x14ac:dyDescent="0.3">
      <c r="A258" s="40" t="s">
        <v>158</v>
      </c>
    </row>
    <row r="259" spans="1:1" ht="20.100000000000001" customHeight="1" x14ac:dyDescent="0.3">
      <c r="A259" s="35" t="s">
        <v>159</v>
      </c>
    </row>
    <row r="260" spans="1:1" ht="20.100000000000001" customHeight="1" x14ac:dyDescent="0.3">
      <c r="A260" s="40" t="s">
        <v>160</v>
      </c>
    </row>
    <row r="261" spans="1:1" ht="20.100000000000001" customHeight="1" x14ac:dyDescent="0.3">
      <c r="A261" s="35" t="s">
        <v>161</v>
      </c>
    </row>
    <row r="262" spans="1:1" ht="20.100000000000001" customHeight="1" x14ac:dyDescent="0.3">
      <c r="A262" s="35" t="s">
        <v>162</v>
      </c>
    </row>
    <row r="263" spans="1:1" ht="20.100000000000001" customHeight="1" x14ac:dyDescent="0.3">
      <c r="A263" s="40" t="s">
        <v>163</v>
      </c>
    </row>
    <row r="264" spans="1:1" ht="20.100000000000001" customHeight="1" x14ac:dyDescent="0.3">
      <c r="A264" s="40" t="s">
        <v>164</v>
      </c>
    </row>
    <row r="265" spans="1:1" ht="20.100000000000001" customHeight="1" x14ac:dyDescent="0.3">
      <c r="A265" s="40" t="s">
        <v>165</v>
      </c>
    </row>
    <row r="266" spans="1:1" ht="20.100000000000001" customHeight="1" x14ac:dyDescent="0.3">
      <c r="A266" s="35" t="s">
        <v>166</v>
      </c>
    </row>
    <row r="267" spans="1:1" ht="20.100000000000001" customHeight="1" x14ac:dyDescent="0.3">
      <c r="A267" s="35" t="s">
        <v>167</v>
      </c>
    </row>
    <row r="268" spans="1:1" ht="20.100000000000001" customHeight="1" x14ac:dyDescent="0.3">
      <c r="A268" s="35" t="s">
        <v>168</v>
      </c>
    </row>
    <row r="269" spans="1:1" ht="20.100000000000001" customHeight="1" x14ac:dyDescent="0.3">
      <c r="A269" s="35" t="s">
        <v>169</v>
      </c>
    </row>
    <row r="270" spans="1:1" ht="20.100000000000001" customHeight="1" x14ac:dyDescent="0.3">
      <c r="A270" s="40" t="s">
        <v>170</v>
      </c>
    </row>
    <row r="271" spans="1:1" ht="20.100000000000001" customHeight="1" x14ac:dyDescent="0.3">
      <c r="A271" s="40" t="s">
        <v>171</v>
      </c>
    </row>
    <row r="272" spans="1:1" ht="20.100000000000001" customHeight="1" x14ac:dyDescent="0.3">
      <c r="A272" s="35" t="s">
        <v>172</v>
      </c>
    </row>
    <row r="273" spans="1:1" ht="20.100000000000001" customHeight="1" x14ac:dyDescent="0.3">
      <c r="A273" s="40" t="s">
        <v>173</v>
      </c>
    </row>
    <row r="274" spans="1:1" ht="20.100000000000001" customHeight="1" x14ac:dyDescent="0.3">
      <c r="A274" s="40" t="s">
        <v>174</v>
      </c>
    </row>
    <row r="275" spans="1:1" ht="20.100000000000001" customHeight="1" x14ac:dyDescent="0.3">
      <c r="A275" s="35" t="s">
        <v>175</v>
      </c>
    </row>
    <row r="276" spans="1:1" ht="20.100000000000001" customHeight="1" x14ac:dyDescent="0.3">
      <c r="A276" s="35" t="s">
        <v>176</v>
      </c>
    </row>
    <row r="277" spans="1:1" ht="20.100000000000001" customHeight="1" x14ac:dyDescent="0.3">
      <c r="A277" s="40" t="s">
        <v>177</v>
      </c>
    </row>
    <row r="278" spans="1:1" ht="20.100000000000001" customHeight="1" x14ac:dyDescent="0.3">
      <c r="A278" s="35" t="s">
        <v>178</v>
      </c>
    </row>
    <row r="279" spans="1:1" ht="20.100000000000001" customHeight="1" x14ac:dyDescent="0.3">
      <c r="A279" s="35" t="s">
        <v>179</v>
      </c>
    </row>
    <row r="280" spans="1:1" ht="20.100000000000001" customHeight="1" x14ac:dyDescent="0.3">
      <c r="A280" s="35" t="s">
        <v>180</v>
      </c>
    </row>
    <row r="281" spans="1:1" ht="20.100000000000001" customHeight="1" x14ac:dyDescent="0.3">
      <c r="A281" s="35" t="s">
        <v>181</v>
      </c>
    </row>
    <row r="282" spans="1:1" ht="20.100000000000001" customHeight="1" x14ac:dyDescent="0.3">
      <c r="A282" s="40" t="s">
        <v>182</v>
      </c>
    </row>
    <row r="283" spans="1:1" ht="20.100000000000001" customHeight="1" x14ac:dyDescent="0.3">
      <c r="A283" s="40" t="s">
        <v>183</v>
      </c>
    </row>
    <row r="284" spans="1:1" ht="20.100000000000001" customHeight="1" x14ac:dyDescent="0.3">
      <c r="A284" s="40" t="s">
        <v>184</v>
      </c>
    </row>
    <row r="285" spans="1:1" ht="20.100000000000001" customHeight="1" thickBot="1" x14ac:dyDescent="0.35">
      <c r="A285" s="35" t="s">
        <v>185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2025-10-22T20:01:30Z</dcterms:modified>
</cp:coreProperties>
</file>