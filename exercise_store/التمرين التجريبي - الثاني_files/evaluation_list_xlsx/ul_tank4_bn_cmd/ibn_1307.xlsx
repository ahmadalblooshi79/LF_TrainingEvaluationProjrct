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C8EFFC1-7146-4725-971D-62C6F6B460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<sst xmlns="http://schemas.openxmlformats.org/spreadsheetml/2006/main" count="246" uniqueCount="190">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</sst>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617865</xdr:colOff>
      <xdr:row>20</xdr:row>
      <xdr:rowOff>144148</xdr:rowOff>
    </xdr:from>
    <xdr:to>
      <xdr:col>7</xdr:col>
      <xdr:colOff>596615</xdr:colOff>
      <xdr:row>20</xdr:row>
      <xdr:rowOff>390748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353B292-A05F-439C-1C25-1AFA30615212}"/>
                </a:ext>
              </a:extLst>
            </xdr14:cNvPr>
            <xdr14:cNvContentPartPr/>
          </xdr14:nvContentPartPr>
          <xdr14:nvPr macro=""/>
          <xdr14:xfrm>
            <a:off x="10399306385" y="9057240"/>
            <a:ext cx="636840" cy="246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353B292-A05F-439C-1C25-1AFA306152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00265" y="9051120"/>
              <a:ext cx="64908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474215</xdr:colOff>
      <xdr:row>20</xdr:row>
      <xdr:rowOff>180508</xdr:rowOff>
    </xdr:from>
    <xdr:to>
      <xdr:col>9</xdr:col>
      <xdr:colOff>130754</xdr:colOff>
      <xdr:row>20</xdr:row>
      <xdr:rowOff>439708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840F32C-F93E-CCB3-729A-F50FD35AC80B}"/>
                </a:ext>
              </a:extLst>
            </xdr14:cNvPr>
            <xdr14:cNvContentPartPr/>
          </xdr14:nvContentPartPr>
          <xdr14:nvPr macro=""/>
          <xdr14:xfrm>
            <a:off x="10398456065" y="9093600"/>
            <a:ext cx="972720" cy="259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840F32C-F93E-CCB3-729A-F50FD35AC80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449945" y="9087480"/>
              <a:ext cx="984960" cy="27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2:34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1082 685 4432,'0'0'0,"0"-1"1961,0 0-569,0-1-664,0 2-728,0-1 536,0-1-143,0 1-33,-3-1-96,3 2-264,-2-2 256,2-1 120,0 1 72,-3-1 152,3 3-600,-2-2 720,0-1 8,2 0 88,-3-1-71,3 4-745,0-3 736,-2 0-16,-1-1-104,1 1-72,2 3-544,0-3 496,0-1-96,0 1-120,-3-1-79,3 4-201,0-5 120,0 1-56,0 0-40,0-2 16,0 6-40,0-6 32,0-5-16,0 7 40,-2-2-16,2 6-40,-4-11 32,4 8-64,-2-3 96,-1-5-56,3 11-8,0-4 24,-2-2 48,0-5-48,-3 6 16,5 5-40,-3-14 16,1 8 16,-3-11-56,0 5 48,5 12-24,-3-15-24,-2 3 40,2-3 8,-4-2-24,7 17 0,-2-15 0,-1-2 8,1 0 16,0 2 0,2 15-24,0-13 16,-3 7-40,1-8 48,0 9-48,2 5 24,-2-11 8,2 7 8,-2-8 0,-1 9-8,3 3-8,0-5 48,0 1-32,-2-2-40,2 0 32,0 6-8,0-4 40,0-7-40,0 8-24,0-2-48,0 5 72,2-11-64,3 10 16,-3-2 24,9 0-80,-11 3 104,3-3-48,9 0 16,-7 0-24,10 2 56,-15 1 0,10-1-24,-8-1 16,14 1-16,-1 1 96,-15 0-72,9 0-48,5 0-112,-2 0 184,-1 0 0,-11 0-24,14 0-8,-2 0 200,2-2-168,6 1-112,-20 1 88,22-4 88,3-1-64,1-6-24,-2 8 24,-24 3-24,28-6 0,-5-5-8,5 7-32,-3-9 32,-25 13 8,24-4-56,-1-9 48,0 9-8,0-2 64,-23 6-48,22-11 16,-1 6-32,-4-6 120,6 7-72,-23 4-32,13-6 24,6-5 8,-5 8-48,0-3 32,-14 6-16,12-6 24,-1-5-40,1 8-24,-7-1 80,-5 4-40,16-4-40,-11-2 56,9 0-40,-9 2 48,-5 4-24,11-4 0,-11 0 16,2 1-8,1 1-72,-3 2 64,0-1 16,0-1 128,0 1-88,0 1-56,0 0 72,0-1-48,0 1-40,0 0 56,0 0-40,0 0-40,0 0-40,0 0 64,0 0 0,0 0 168,0 0-336,0 0 72,0 0 72,0 0 32,0 0 352,0 2-680,-5 3 376,-6-1-16,9 0-112,2-4 88,-15 5-24,8-1 48,-4 0-8,6 7 8,5-11-24,-14 0 40,3 5-104,6 6 16,-10-8 24,15-3 24,-13 11-16,3-8 40,-4 10-48,0-10 0,14-3 24,-12 13-96,-1-11 48,-1 11 32,2-9 32,12-4-16,-12 15 24,0-11 0,-3 12 0,3-12-16,12-4-8,-20 17 0,5-13 16,-4 13 8,2-5 24,17-12-48,-18 4 24,1 14-32,-1-6-48,1 0 48,17-12 8,-13 5 0,-4 10 8,6-10-16,-3 9-40,14-14 48,-10 4-64,3 7 80,-7-8 8,12 2-96,2-5 72,-15 4 56,12 0-80,-9 0 16,7-1 88,5-3-80,-12 5-24,8-1 24,-10 1 16,9-2-32,5-3 16,-12 4 40,8-1-128,-1 0 88,3 0 0,2-3 0,-8 3-8,4-1 88,-7 1-88,8-3 32,3 0-24,-7 3 0,-7 0 32,11 1 0,-5-1-24,8-3-8,-8 4 16,-6-1-32,3 1 16,-1-1 16,12-3-16,-15 4 8,4 1 16,-5-1-48,2 0-48,4 1 0,10-5 72,-12 2 8,6 1-40,-6 0 80,12-3-48,-2 0 8,-3 0-16,0 0 120,-1 0-32,-8 0 8,14 0-88,0 0 48,-3 0-32,-9 0 8,10-3 24,2 3-48,-4-3 72,-1-1-48,-7 0-8,10 0-80,2 4 64,-8-5 24,-3 0-32,9-7 8,-12 8 24,14 4-24,-5-11 8,-9 6 48,2-9-32,-1 10-40,13 4 16,-12-15 24,0 2-32,1 0 32,-1-1 72,12 14-96,-12-14-8,1-3 72,-4-2-80,2 1-8,13 18 24,-15-22 48,3 4-56,1 1 32,7 0-80,4 17 56,-15-15-8,11 1 72,-8 1 24,0 1-40,12 12-48,-5-12 96,-6 1-96,-1 5-24,8-7 112,4 13-88,-11-4-8,6-1 16,-10 0 32,15 1 0,0 4-40,-4-4 112,1 2 24,3 1-48,0 1-64,0 0-24,0 0 32,0 0-48,0 0 56,0 3-32,0-3-8,0 11-24,5-7 80,-3 15-88,15-6 160,-17-13-128,11 14-32,4-1-32,0 1 48,-3-1 64,-12-13-48,19 12 56,-2 1-32,-2 0 16,5-2-64,-20-11 24,15 13 8,5-1 16,-7-1-8,4 2-128,-17-13 112,16 11 32,-2-7 64,0 12-96,-2-13-40,-12-3 40,12 11 8,-7-8-160,8 1 152,-8 1 104,-5-5-104,5 4-24,-3 0 72,3 0-32,0 1-144,-5-5 128,0 4-56,0-1 24,0 0 32,0-1 0,0-2 0,0 3 48,-3 2-24,-2-3-48,3 1 48,2-3-24,-5 3 16,0 0-56,-8-3 80,11 3 0,2-3-40,-15 4 24,8-2 40,-9 1-40,-3 0-88,19-3 64,-16 4 0,-3 1 16,-4 6-32,-3-8-72,26-3 88,-28 4 0,1 9 0,-6-9 8,3 10-16,30-14 8,-29 5 8,1 12-56,-2-6 8,4-7 144,26-4-104,-25 17-24,2-12 0,1 9 8,4-10 32,18-4-16,-17 12-40,-4-10 112,5 3-32,0 6-48,16-11 8,-17 0 48,6 3-32,6 0-16,-5 0 48,10-3-48,-2 0 0,-1 0 24,3 0-8,-1 0 8,1 0-24,0 0-24,0-3 0,4-2 48,10 0-80,-14 5 56,14-14 16,-2 8-16,7-10-16,-3 5-8,-16 11 24,17-12 0,1 7 0,-6-9 16,1 8 8,-13 6-24,12-11 40,-9 6-64,8 1 8,-11 0 16,0 4 0,2-5-24,3 1 88,-5 1-80,0 1 40,0 2-24,0-2-24,-2 1 16,-3-1-8,-6 2-24,11 0 40,-12 0 40,-2 0-24,-3 3-8,-3 0-8,20-3 0,-24 4-8,1 0 72,0 1 64,0-2 8,23-3-136,-24 2 168,3-2-64,-2 3-48,1 0-16,22-3-40,-20 0 32,1 3 24,0-3-72,3 0-24,16 0 40,-14 0-272,-2 0-504,-1 0-1088,1 0-3890,16 0 5754,-14-3-8434,14 3 8434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13:12:35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1216 393 7993,'0'0'0,"5"16"3681,7 1-2673,-12-17-1008,11 19 832,6 3 105,-1-19-105,4 8-168,-20-11-664,23 3 560,0 1-160,5 9-72,0-13-88,-28 0-240,35 4 304,-1-1-8,4 0 56,3-3 113,-41 0-465,44 0 480,-1 0 64,6 0 24,-1-2-48,-48 2-520,49-4 448,-1-7-80,3 7-40,-2-11-40,-49 15-288,48-14 280,3 0-80,-5-2-24,-1-1-80,-45 17-96,44-15 64,-8-3 8,-1 1-32,-1 0 121,-34 17-161,33-17-16,0 0 72,-3 2-32,-1 0-64,-29 15 40,26-14 96,4 0 0,-4 1 40,-3 2 40,-23 11-176,23-12 168,-5 8-48,-1-9-16,-6 9-8,-11 4-96,12-6 40,-7 2 40,3 0-24,-8 0-24,0 4-32,5-3 56,-5-1-32,0-1 8,-5-6 24,5 11-56,-13-4 8,10-8 8,-15 8-96,6-7 80,12 11 0,-13-6-32,-7-10 16,2 5 104,-5 0-120,23 11 32,-21-12 0,-4 6 32,-5-8-64,4 3 80,26 11-48,-29-6 24,-4-7-8,1 9 0,-2 0-48,34 4 32,-38-4 0,-3-1 32,-3 4-64,-4 0 8,48 1 24,-47 0 0,0 0-88,1 4 128,5 0 8,41-4-48,-41 4 0,1 9 24,3-10-8,2 1-48,35-4 32,-36 4 32,3 8-8,0-9-88,-1 9 48,34-12 16,-30 5-96,-3 9 160,-1-10-88,4 12 80,30-16-56,-30 4 80,-3 10-144,1-9 176,2 9-104,30-14-8,-33 11-64,-1 2 32,-5 3 32,2 1-16,37-17 16,-41 20 48,-4 1 8,1 2-56,-7 1 0,51-24 0,-50 25-48,-4 2 48,-3 3 72,-1-1 40,58-29-112,-60 28 16,-3-1-32,6 0-96,-8-1 128,65-26-16,-62 25-112,-1-1-128,-4-1-64,-4 3-256,71-26 560,-72 24-761,-2 3-471,5 3-784,32-15-2881,37-15 4897,-44 22-9218,44-22 9218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A14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180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1" t="s">
        <v>8</v>
      </c>
      <c r="C2" s="72" t="s">
        <v>45</v>
      </c>
      <c r="D2" s="72"/>
      <c r="E2" s="11" t="s">
        <v>7</v>
      </c>
      <c r="F2" s="67">
        <v>45929</v>
      </c>
      <c r="G2" s="67"/>
      <c r="H2" s="67"/>
      <c r="I2" s="67"/>
      <c r="J2" s="67"/>
    </row>
    <row r="3" spans="1:10" ht="30" customHeight="1" x14ac:dyDescent="0.3">
      <c r="B3" s="11" t="s">
        <v>9</v>
      </c>
      <c r="C3" s="72" t="s">
        <v>86</v>
      </c>
      <c r="D3" s="72"/>
      <c r="E3" s="11" t="s">
        <v>6</v>
      </c>
      <c r="F3" s="72" t="s">
        <v>104</v>
      </c>
      <c r="G3" s="72"/>
      <c r="H3" s="72"/>
      <c r="I3" s="72"/>
      <c r="J3" s="7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8" t="s">
        <v>0</v>
      </c>
      <c r="C5" s="69"/>
      <c r="D5" s="69"/>
      <c r="E5" s="75" t="s">
        <v>1</v>
      </c>
      <c r="F5" s="75"/>
      <c r="G5" s="75"/>
      <c r="H5" s="75"/>
      <c r="I5" s="75" t="s">
        <v>2</v>
      </c>
      <c r="J5" s="76"/>
    </row>
    <row r="6" spans="1:10" ht="24.9" customHeight="1" thickBot="1" x14ac:dyDescent="0.35">
      <c r="A6" s="9"/>
      <c r="B6" s="70"/>
      <c r="C6" s="71"/>
      <c r="D6" s="71"/>
      <c r="E6" s="10" t="s">
        <v>3</v>
      </c>
      <c r="F6" s="10" t="s">
        <v>4</v>
      </c>
      <c r="G6" s="10" t="s">
        <v>23</v>
      </c>
      <c r="H6" s="10" t="s">
        <v>24</v>
      </c>
      <c r="I6" s="77"/>
      <c r="J6" s="78"/>
    </row>
    <row r="7" spans="1:10" ht="24.9" customHeight="1" thickBot="1" x14ac:dyDescent="0.35">
      <c r="A7" s="9"/>
      <c r="B7" s="73" t="s">
        <v>21</v>
      </c>
      <c r="C7" s="74"/>
      <c r="D7" s="74"/>
      <c r="E7" s="32" t="s">
        <v>18</v>
      </c>
      <c r="F7" s="32" t="s">
        <v>19</v>
      </c>
      <c r="G7" s="32" t="s">
        <v>22</v>
      </c>
      <c r="H7" s="32" t="s">
        <v>20</v>
      </c>
      <c r="I7" s="79" t="s">
        <v>25</v>
      </c>
      <c r="J7" s="80"/>
    </row>
    <row r="8" spans="1:10" ht="39.9" customHeight="1" x14ac:dyDescent="0.3">
      <c r="A8" s="9"/>
      <c r="B8" s="83" t="s">
        <v>181</v>
      </c>
      <c r="C8" s="84"/>
      <c r="D8" s="84"/>
      <c r="E8" s="28"/>
      <c r="F8" s="36"/>
      <c r="G8" s="37"/>
      <c r="H8" s="38"/>
      <c r="I8" s="81"/>
      <c r="J8" s="82"/>
    </row>
    <row r="9" spans="1:10" ht="39.9" customHeight="1" x14ac:dyDescent="0.3">
      <c r="A9" s="9"/>
      <c r="B9" s="85" t="s">
        <v>182</v>
      </c>
      <c r="C9" s="86"/>
      <c r="D9" s="86"/>
      <c r="E9" s="29">
        <v>10</v>
      </c>
      <c r="F9" s="25">
        <v>9</v>
      </c>
      <c r="G9" s="34">
        <f>IFERROR(F9/E9,"")</f>
        <v>0.9</v>
      </c>
      <c r="H9" s="35" t="str">
        <f>_xlfn.IFS(F9="أدخل العلامة","",F9="لا ينطبق","تم الإلغاء",G9&gt;=90%,"ممتاز",G9&gt;=80%,"جيد جداً",G9&gt;=70%,"جيد",G9&gt;=60%,"مقبول",G9&lt;60%,"راسب")</f>
        <v>ممتاز</v>
      </c>
      <c r="I9" s="48"/>
      <c r="J9" s="49"/>
    </row>
    <row r="10" spans="1:10" ht="39.9" customHeight="1" x14ac:dyDescent="0.3">
      <c r="A10" s="9"/>
      <c r="B10" s="85" t="s">
        <v>183</v>
      </c>
      <c r="C10" s="86"/>
      <c r="D10" s="86"/>
      <c r="E10" s="29">
        <v>5</v>
      </c>
      <c r="F10" s="25">
        <v>4</v>
      </c>
      <c r="G10" s="34">
        <f t="shared" ref="G10:G16" si="0">IFERROR(F10/E10,"")</f>
        <v>0.8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8"/>
      <c r="J10" s="49"/>
    </row>
    <row r="11" spans="1:10" ht="39.9" customHeight="1" thickBot="1" x14ac:dyDescent="0.35">
      <c r="A11" s="9"/>
      <c r="B11" s="87" t="s">
        <v>184</v>
      </c>
      <c r="C11" s="88"/>
      <c r="D11" s="88"/>
      <c r="E11" s="30">
        <v>5</v>
      </c>
      <c r="F11" s="27">
        <v>3.75</v>
      </c>
      <c r="G11" s="39">
        <f t="shared" si="0"/>
        <v>0.75</v>
      </c>
      <c r="H11" s="40" t="str">
        <f t="shared" si="1"/>
        <v>جيد</v>
      </c>
      <c r="I11" s="62"/>
      <c r="J11" s="63"/>
    </row>
    <row r="12" spans="1:10" ht="39.9" customHeight="1" thickBot="1" x14ac:dyDescent="0.35">
      <c r="A12" s="9"/>
      <c r="B12" s="89" t="s">
        <v>185</v>
      </c>
      <c r="C12" s="90"/>
      <c r="D12" s="90"/>
      <c r="E12" s="31">
        <v>20</v>
      </c>
      <c r="F12" s="41">
        <v>15.75</v>
      </c>
      <c r="G12" s="42">
        <f t="shared" si="0"/>
        <v>0.78749999999999998</v>
      </c>
      <c r="H12" s="26" t="str">
        <f t="shared" si="1"/>
        <v>جيد</v>
      </c>
      <c r="I12" s="64"/>
      <c r="J12" s="65"/>
    </row>
    <row r="13" spans="1:10" ht="39.9" customHeight="1" thickBot="1" x14ac:dyDescent="0.35">
      <c r="A13" s="9"/>
      <c r="B13" s="89" t="s">
        <v>186</v>
      </c>
      <c r="C13" s="90"/>
      <c r="D13" s="90"/>
      <c r="E13" s="31">
        <v>10</v>
      </c>
      <c r="F13" s="41">
        <v>7.5</v>
      </c>
      <c r="G13" s="42">
        <f t="shared" si="0"/>
        <v>0.75</v>
      </c>
      <c r="H13" s="26" t="str">
        <f t="shared" si="1"/>
        <v>جيد</v>
      </c>
      <c r="I13" s="64"/>
      <c r="J13" s="65"/>
    </row>
    <row r="14" spans="1:10" ht="39.9" customHeight="1" thickBot="1" x14ac:dyDescent="0.35">
      <c r="A14" s="9"/>
      <c r="B14" s="89" t="s">
        <v>187</v>
      </c>
      <c r="C14" s="90"/>
      <c r="D14" s="90"/>
      <c r="E14" s="31">
        <v>10</v>
      </c>
      <c r="F14" s="41">
        <v>8</v>
      </c>
      <c r="G14" s="42">
        <f t="shared" si="0"/>
        <v>0.8</v>
      </c>
      <c r="H14" s="26" t="str">
        <f t="shared" si="1"/>
        <v>جيد جداً</v>
      </c>
      <c r="I14" s="64"/>
      <c r="J14" s="65"/>
    </row>
    <row r="15" spans="1:10" ht="39.9" customHeight="1" thickBot="1" x14ac:dyDescent="0.35">
      <c r="A15" s="9"/>
      <c r="B15" s="89" t="s">
        <v>188</v>
      </c>
      <c r="C15" s="90"/>
      <c r="D15" s="90"/>
      <c r="E15" s="31">
        <v>5</v>
      </c>
      <c r="F15" s="41">
        <v>3.5</v>
      </c>
      <c r="G15" s="42">
        <f t="shared" si="0"/>
        <v>0.7</v>
      </c>
      <c r="H15" s="26" t="str">
        <f t="shared" si="1"/>
        <v>جيد</v>
      </c>
      <c r="I15" s="64"/>
      <c r="J15" s="65"/>
    </row>
    <row r="16" spans="1:10" ht="39.9" customHeight="1" thickBot="1" x14ac:dyDescent="0.35">
      <c r="A16" s="9"/>
      <c r="B16" s="89" t="s">
        <v>189</v>
      </c>
      <c r="C16" s="90"/>
      <c r="D16" s="90"/>
      <c r="E16" s="31">
        <v>5</v>
      </c>
      <c r="F16" s="41">
        <v>4.25</v>
      </c>
      <c r="G16" s="42">
        <f t="shared" si="0"/>
        <v>0.85</v>
      </c>
      <c r="H16" s="26" t="str">
        <f t="shared" si="1"/>
        <v>جيد جداً</v>
      </c>
      <c r="I16" s="64"/>
      <c r="J16" s="65"/>
    </row>
    <row r="17" spans="1:10" ht="30" customHeight="1" thickBot="1" x14ac:dyDescent="0.35">
      <c r="A17" s="4"/>
      <c r="B17" s="58" t="s">
        <v>5</v>
      </c>
      <c r="C17" s="59"/>
      <c r="D17" s="59"/>
      <c r="E17" s="33">
        <f>SUM(E8:E16)</f>
        <v>70</v>
      </c>
      <c r="F17" s="33">
        <f>SUM(F8:F16)</f>
        <v>55.75</v>
      </c>
      <c r="G17" s="45"/>
      <c r="H17" s="46"/>
      <c r="I17" s="46"/>
      <c r="J17" s="47"/>
    </row>
    <row r="18" spans="1:10" ht="30" customHeight="1" thickBot="1" x14ac:dyDescent="0.35">
      <c r="A18" s="4"/>
      <c r="B18" s="60" t="s">
        <v>54</v>
      </c>
      <c r="C18" s="61"/>
      <c r="D18" s="61"/>
      <c r="E18" s="56">
        <f>F17/E17/100*100</f>
        <v>0.79642857142857137</v>
      </c>
      <c r="F18" s="56"/>
      <c r="G18" s="56"/>
      <c r="H18" s="56"/>
      <c r="I18" s="56"/>
      <c r="J18" s="57"/>
    </row>
    <row r="19" spans="1:10" ht="30" customHeight="1" thickBot="1" x14ac:dyDescent="0.35">
      <c r="A19" s="4"/>
      <c r="B19" s="60" t="s">
        <v>55</v>
      </c>
      <c r="C19" s="61"/>
      <c r="D19" s="61"/>
      <c r="E19" s="54" t="str">
        <f>_xlfn.IFS(E18&gt;=90%,"ممتاز",E18&gt;=80%,"جيد جداً",E18&gt;=70%,"جيد",E18&gt;=60%,"مقبول",E18&lt;60%,"راسب")</f>
        <v>جيد</v>
      </c>
      <c r="F19" s="54"/>
      <c r="G19" s="54"/>
      <c r="H19" s="54"/>
      <c r="I19" s="54"/>
      <c r="J19" s="55"/>
    </row>
    <row r="20" spans="1:10" ht="42" customHeight="1" x14ac:dyDescent="0.3">
      <c r="B20" s="50" t="s">
        <v>174</v>
      </c>
      <c r="C20" s="50"/>
      <c r="D20" s="50"/>
      <c r="E20" s="43" t="s">
        <v>52</v>
      </c>
      <c r="F20" s="43"/>
      <c r="G20" s="52" t="s">
        <v>104</v>
      </c>
      <c r="H20" s="52"/>
      <c r="I20" s="52"/>
      <c r="J20" s="52"/>
    </row>
    <row r="21" spans="1:10" ht="51" customHeight="1" x14ac:dyDescent="0.3">
      <c r="A21" s="5"/>
      <c r="B21" s="51"/>
      <c r="C21" s="51"/>
      <c r="D21" s="51"/>
      <c r="E21" s="44" t="s">
        <v>53</v>
      </c>
      <c r="F21" s="44"/>
      <c r="G21" s="53"/>
      <c r="H21" s="53"/>
      <c r="I21" s="53"/>
      <c r="J21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2025-10-27T19:08:37Z</dcterms:modified>
</cp:coreProperties>
</file>