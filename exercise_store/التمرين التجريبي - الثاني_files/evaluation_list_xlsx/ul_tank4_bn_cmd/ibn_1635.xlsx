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0483BF7-77EE-AD41-9954-505F7A581CC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F64" i="2"/>
  <c r="E64" i="2"/>
  <c r="E65" i="2"/>
  <c r="E66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<sst xmlns="http://schemas.openxmlformats.org/spreadsheetml/2006/main" count="293" uniqueCount="237">
  <si>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</si>
  <si>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</si>
  <si>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</si>
  <si>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</si>
  <si>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</si>
  <si>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</si>
  <si>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</si>
  <si>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</si>
  <si>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</si>
  <si>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</si>
  <si>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</si>
  <si>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</si>
  <si>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</si>
  <si>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</si>
  <si>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</si>
  <si>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</si>
  <si>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</si>
  <si>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</si>
  <si>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</si>
  <si>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</si>
  <si>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</si>
  <si>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</si>
  <si>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</si>
  <si>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</si>
  <si>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</si>
  <si>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</si>
  <si>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</si>
  <si>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</si>
  <si>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</si>
  <si>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</si>
  <si>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</si>
  <si>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</si>
  <si>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</si>
  <si>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</si>
  <si>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</si>
  <si>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</si>
  <si>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</si>
  <si>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</si>
  <si>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</si>
  <si>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</si>
  <si>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</si>
  <si>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</si>
  <si>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</si>
  <si>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</si>
  <si>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</si>
  <si>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</si>
  <si>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</si>
  <si>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</si>
  <si>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</si>
  <si>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</si>
  <si>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</si>
  <si>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</si>
  <si>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</si>
  <si>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</si>
  <si>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</si>
  <si>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</si>
  <si>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</si>
  <si>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</si>
  <si>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</si>
  <si>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</si>
  <si>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</si>
  <si>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</si>
  <si>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</si>
  <si>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</si>
  <si>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</si>
  <si>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</si>
  <si>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</si>
  <si>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</si>
  <si>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</si>
  <si>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</si>
  <si>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</si>
  <si>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</si>
  <si>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</si>
  <si>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</si>
  <si>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</si>
  <si>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</si>
  <si>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</si>
  <si>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</si>
  <si>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</si>
  <si>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</si>
  <si>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</si>
  <si>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</si>
  <si>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</si>
  <si>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</si>
  <si>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</si>
  <si>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</si>
  <si>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</si>
  <si>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</si>
  <si>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</si>
  <si>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</si>
  <si>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</si>
  <si>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</si>
  <si>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</si>
  <si>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</si>
  <si>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</si>
  <si>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</si>
  <si>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</si>
  <si>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</si>
  <si>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</si>
  <si>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</si>
  <si>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</si>
  <si>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</si>
  <si>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</si>
  <si>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</si>
  <si>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</si>
  <si>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</si>
  <si>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</si>
  <si>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</si>
  <si>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</si>
  <si>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</si>
  <si>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</si>
  <si>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</si>
  <si>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</si>
  <si>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</si>
  <si>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</si>
  <si>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</si>
  <si>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</si>
  <si>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</si>
  <si>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</si>
  <si>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</si>
  <si>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</si>
  <si>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</si>
  <si>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</si>
  <si>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</si>
  <si>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</si>
  <si>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</si>
  <si>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</si>
  <si>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</si>
  <si>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</si>
  <si>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</si>
  <si>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</si>
  <si>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</si>
  <si>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</si>
  <si>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</si>
  <si>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</si>
  <si>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</si>
  <si>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</si>
  <si>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</si>
  <si>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</si>
  <si>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</si>
  <si>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</si>
  <si>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</si>
  <si>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</si>
  <si>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</si>
  <si>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</si>
  <si>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</si>
  <si>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</si>
  <si>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</si>
  <si>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</si>
  <si>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</si>
  <si>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</si>
  <si>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</si>
  <si>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</si>
  <si>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</si>
  <si>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</si>
  <si>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</si>
  <si>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</si>
  <si>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</si>
  <si>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</si>
  <si>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</si>
  <si>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</si>
  <si>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</si>
  <si>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</si>
  <si>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</si>
  <si>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</si>
  <si>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</si>
  <si>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</si>
  <si>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</si>
  <si>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</si>
  <si>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</si>
  <si>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</si>
  <si>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</si>
  <si>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</si>
  <si>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</si>
  <si>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</si>
  <si>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</si>
  <si>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</si>
  <si>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</si>
  <si>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</si>
  <si>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</si>
  <si>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(السرية / فريق القتال)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</si>
  <si>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</si>
  <si>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t>1.   يعمل القادة في السرية على فهم الموقف باستخدام كافة الوسائل المتوفرة.</t>
  </si>
  <si>
    <t>2.   تستلم السرية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</si>
  <si>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</si>
  <si>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</si>
  <si>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</si>
  <si>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</si>
  <si>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</si>
  <si>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</si>
  <si>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</si>
  <si>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</si>
  <si>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4.   تحديد عناصر جماعة المأوى وحسب الحاجة.</t>
  </si>
  <si>
    <t>5.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</si>
  <si>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</si>
  <si>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</si>
  <si>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</si>
  <si>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</si>
  <si>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</si>
  <si>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</si>
  <si>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ز.   تحديد نظام المسير/ ترتيب الآليات.</t>
  </si>
  <si>
    <t>6.   تحديد إجراءات الحماية التي سيتم تطبيقها قبل بدء التنقل، أثناء التنقل وبعد الوصول.</t>
  </si>
  <si>
    <t>7.   تتحديد إجراءات العمل عند حصول تماس مع قوات العدو.</t>
  </si>
  <si>
    <t>8.   تحديد إجراءات العمل في الحالات الطارئة مثل: تعطل الآليات، حوادث الآليات، تباعد المسافات بين الآليات، فقدان آلية، وخطة الإنقاذ.</t>
  </si>
  <si>
    <t>9.   تحديد وتنسيق متطلبات التزويد وإخلاء الإصابات.</t>
  </si>
  <si>
    <t>10.   تنفيذ التنسيق مع الوحدات المعنية فيما يتعلق بالمرور من خلال القوات إذا كانت خطة الحركة تتضمن ذلك.</t>
  </si>
  <si>
    <t>مرحلة التحضير</t>
  </si>
  <si>
    <t>1.   تقوم السرية بالتحضير للتنقل التعبوي كما يلي:</t>
  </si>
  <si>
    <t>أ.   استطلاع الطريق المؤدي إلى نقطة البدء وتحديد الوقت الدقيق للوصول إليها.</t>
  </si>
  <si>
    <t>ب.  تنفيذ تفقدات وتفتيشات ما قبل المعركة.</t>
  </si>
  <si>
    <t>جـ. الإشراف على إجراءات الوحدات المرؤوسة للتأكد من أن جهود التخطيط والتحضير 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</si>
  <si>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</si>
  <si>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</si>
  <si>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</si>
  <si>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</si>
  <si>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</si>
  <si>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تتحرك السرية الى منطقة الاصطفاف عند الحاجة.</t>
  </si>
  <si>
    <t>4.   توضيع عناصر السرية ضمن نظام المسير الصحيح.</t>
  </si>
  <si>
    <t>مرحلة التنفيذ</t>
  </si>
  <si>
    <t>1.   يصدر قائد السرية امره ببدء الحركة باتجاه نقطة البدء.</t>
  </si>
  <si>
    <t>2.   اجتياز نقطة البدء في الوقت المحدد في أمر العمليات أو الأمر المجزأ.</t>
  </si>
  <si>
    <t>3.   استخدام التشكيلة المحددة، أسلوب التنقل ومعدل المسير، والمحافظة على السرعة للوصول إلى نقاط الضبط والسيطرة في الأوقات كما في الأمر.</t>
  </si>
  <si>
    <t>4.   استخدام إشارات الميدان البصرية أو الأجهزة اللاسلكية للاتصال مع الوحدات وبما يتوافق مع أمر العمليات والأوامر التعبوية المستديمة.</t>
  </si>
  <si>
    <t>5.   إدامة المراقبة لجميع الجهات بما في ذلك المراقبة الجوية أثناء الحركة والوقفات.</t>
  </si>
  <si>
    <r>
      <t>6.   المحافظة على توجيه الأسلحة بالشكل المناسب لتوفير الحماية في جميع الاتجاهات خلال المسير</t>
    </r>
    <r>
      <rPr>
        <sz val="12"/>
        <color rgb="FF000000"/>
        <rFont val="Arial"/>
        <family val="2"/>
      </rPr>
      <t>.</t>
    </r>
  </si>
  <si>
    <r>
      <t xml:space="preserve">7.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</si>
  <si>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t>8.    تنفيذ الوقفات المحددة وبما يتوافق مع أمر العمليات أو الأوامر التعبوية المستديمة إذا سمح الموقف التعبوي بذلك، والقيام بإجراء الصيانة الوقائية وإعادة التزود بالوقود عند الضرورة.</t>
  </si>
  <si>
    <t>9.    التعامل مع الموانع حسب الأوامر.</t>
  </si>
  <si>
    <t>10.    تمرير موقع السرية للمستوى الأعلى وحسب الطلب.</t>
  </si>
  <si>
    <r>
      <t xml:space="preserve">11.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</si>
  <si>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12.   تنفيذ عمليات التزويد والصيانة والإنقاذ حسب الحاجة.</t>
  </si>
  <si>
    <t>13.   الوصول إلى نقاط الانتشار واجتيازها من قبل الوحدات حسب الوقت المحدد في أمر العمليات.</t>
  </si>
  <si>
    <t>11.   إصدار الأوامر المرؤوسين، وتقديم إيجازات تأكيدية من القادة المرؤوسين فور استلامهم للأوامر للتأكد من فهمهم لقصد القائد ومفهوم عملياته.</t>
  </si>
  <si>
    <t>14.   تمرير معلومات الوصول إلى نقاط الانتشار واتمام اجتيازها دون توقف.</t>
  </si>
  <si>
    <t>15.  الالتقاء مع الأدلاء جماعة المأوى/ منطقة التجمع.</t>
  </si>
  <si>
    <t>16.  تطبيق الانتشار وإجراءات التخفية والتمويه الملائمة.</t>
  </si>
  <si>
    <t>17.  تطبيق إجراءات التعامل واستخدام إنارة الاليات خلال المسير ليلاً أو في ظروف الرؤيا المحدودة.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</si>
</sst>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0" borderId="23" xfId="0" applyFont="1" applyFill="1" applyBorder="1" applyAlignment="1">
      <alignment horizontal="right" vertical="center" wrapText="1" indent="3" readingOrder="2"/>
    </xf>
    <xf numFmtId="0" fontId="14" fillId="0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0" borderId="23" xfId="0" applyFont="1" applyFill="1" applyBorder="1" applyAlignment="1">
      <alignment horizontal="right" vertical="center" wrapText="1" readingOrder="2"/>
    </xf>
    <xf numFmtId="0" fontId="14" fillId="0" borderId="3" xfId="0" applyFont="1" applyFill="1" applyBorder="1" applyAlignment="1">
      <alignment horizontal="right" vertical="center" wrapText="1" readingOrder="2"/>
    </xf>
    <xf numFmtId="0" fontId="14" fillId="0" borderId="11" xfId="0" applyFont="1" applyFill="1" applyBorder="1" applyAlignment="1">
      <alignment horizontal="right" vertical="center" wrapText="1" readingOrder="2"/>
    </xf>
    <xf numFmtId="0" fontId="14" fillId="0" borderId="12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82877</xdr:colOff>
      <xdr:row>67</xdr:row>
      <xdr:rowOff>116510</xdr:rowOff>
    </xdr:from>
    <xdr:to>
      <xdr:col>8</xdr:col>
      <xdr:colOff>28867</xdr:colOff>
      <xdr:row>67</xdr:row>
      <xdr:rowOff>407390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6291AA-F225-3B1E-F1F7-5062D3E261EA}"/>
                </a:ext>
              </a:extLst>
            </xdr14:cNvPr>
            <xdr14:cNvContentPartPr/>
          </xdr14:nvContentPartPr>
          <xdr14:nvPr macro=""/>
          <xdr14:xfrm>
            <a:off x="10437022789" y="29044800"/>
            <a:ext cx="604080" cy="290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6291AA-F225-3B1E-F1F7-5062D3E261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016669" y="29038680"/>
              <a:ext cx="61632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610997</xdr:colOff>
      <xdr:row>67</xdr:row>
      <xdr:rowOff>211910</xdr:rowOff>
    </xdr:from>
    <xdr:to>
      <xdr:col>9</xdr:col>
      <xdr:colOff>483175</xdr:colOff>
      <xdr:row>67</xdr:row>
      <xdr:rowOff>538430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0DE1DC-71C6-F8AE-7B39-B376D80C8D46}"/>
                </a:ext>
              </a:extLst>
            </xdr14:cNvPr>
            <xdr14:cNvContentPartPr/>
          </xdr14:nvContentPartPr>
          <xdr14:nvPr macro=""/>
          <xdr14:xfrm>
            <a:off x="10435910389" y="29140200"/>
            <a:ext cx="1188360" cy="326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30DE1DC-71C6-F8AE-7B39-B376D80C8D4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5904269" y="29134080"/>
              <a:ext cx="1200600" cy="338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19:42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1180 808 3632,'0'0'0,"0"0"3097,0 0-3097,0 0 2464,0 0-519,2-5-449,0 1-600,-2 4-896,0 0 681,0 0-185,0-3 0,0 3 136,0 0-632,0 0 624,3 0 80,-3 0 24,2 0 8,-2 0-736,3 0 809,-3 0-217,0-4-8,0 4-152,0 0-432,-5-3 384,2 3-56,3-3-40,0 3 40,0 0-328,0 0 240,0-4 24,0 4-104,0 0 40,0 0-200,3-3 152,-1 3 1,1 0 119,-3-4-192,0 4-80,0 0 192,0-3-72,0-1-48,-5 4 8,5 0-80,-5-3 16,3 0 40,2-1 24,0 1 72,0 3-152,0-4 88,-5 1 48,5 0-40,0-3-24,0 6-72,-3-5 152,3 0-96,-4 0-40,1-9-40,3 14 24,-5-3 24,1-2 8,-1-12 64,0 13-80,5 4-16,-5-13 0,0 9 40,0-9-96,-11 8 136,16 5-80,-5-17 0,-7 11 88,7-11-56,-9 12 8,14 5-40,-3-15-16,-2 10-56,-9-12 104,12 12 8,2 5-40,-5-17 56,2 11-24,1-11 48,-3 12-64,5 5-16,-2-18 56,-3 12-80,0-12 8,0 13 184,5 5-168,-5-14 32,3 10 24,-5-9-88,4 9-152,3 4 184,-4-5-72,-1 0 160,2 0-112,1 0 64,2 5-40,-5-5 24,3-9-32,2 11 160,0-2-136,0 5-16,0-16 88,0 13-8,0-2-88,0 0 192,0 5-184,0-14 32,0 11-104,-5-3 0,5-7 56,0 13 16,0 0-88,-2-4 88,2 1 16,0 0-144,0 3 128,0-4-32,0 4-40,0-5 104,2 2-72,-2 3 40,0-4 64,2 1 0,-2 3-96,3-4 32,-3 4 0,0-3-40,2 0-48,1-1 32,-3 1 24,0 3 32,2-4-168,-2 4 96,5 0-96,2 0-16,-7 0 184,5 0-40,9 0 40,-7 0 128,10 0-120,-17 0-8,15 2 32,-10 1-72,14 1-16,-7-2 8,-12-2 48,7 1-40,15-1-72,-5 0-16,-5 0 48,-12 0 80,14-5-144,0 0 8,6 2 56,-4-2-8,-16 5 88,20-4-24,-6 1 136,8-2-72,-3 1 56,-19 4-96,19-5-40,3 0-56,-5-9-56,2 11 0,-19 3 152,19-14-128,1 9-88,-4-12 0,1 3-48,-17 14 264,19-5-361,1-13 89,-6 4 64,3 9 8,-17 5 200,7-19-64,15 14-8,-10-10 48,5 9 120,-17 6-96,4-13-32,8 9 24,-4-9 8,4 13-96,-12 0 96,5-5 32,2-1-24,7 1-16,-11 0 8,1 0 8,-4 5-8,8-3-8,-1-1 40,0 1-32,-7 3 0,5-4-32,0 1 64,-3 0-64,0-1 32,-2 4 0,0-3-16,0 3-40,0 0 48,0 0 48,0 0 0,0 0-40,0 0-32,-2 0 32,2 0-88,0 0 88,0 0-136,0 0 48,0 0-32,0 2 40,0-1 48,0-1 32,-5 4 32,0 1-40,3 0-112,-12 0 80,14-5 40,-5 5-72,-7 2 72,7 7 88,-9-9-40,14-5-48,-3 7 56,-11-1 8,9 8 40,-10-9-48,15-5-56,-4 14 32,-13-9-16,10 2 64,-5 0-56,12-7-24,-5 13 40,-12-8-64,10 2-200,-10 7 144,17-14 80,-5 5-104,-9 0 136,9 9-32,-12-9 24,17-5-24,-5 7 40,-12 6-32,15-8 88,-3 2-8,5-7-88,-17 14 56,12-9-56,1 2 40,-11 0-56,15-7 16,-5 6 0,-9 1-200,9 0 216,-7 0-96,12-7 80,-14 14 0,9-9 80,-12 1-104,3 8-16,14-14 40,-5 5-24,-12 11 136,12-11-96,-14 8-32,19-13 16,-5 5-64,-12 2 56,15 0-32,-13 0 24,15-7 16,-2 5-16,-3 0-48,-12 0 80,17 0 8,0-5-24,-4 6 16,-8-3-8,12 0-16,-5 1 48,5-4-40,-3 3 64,-1 1-40,-1 1 96,-7-2-56,12-3-64,-8 4-24,-6 1 112,9 0-64,-9 0-24,14-5 0,-3 5 56,-11 0-96,9 0-40,-9 0 80,14-5 0,-3 5 80,-1 1-40,-11-1 0,13-2 0,2-3-40,-5 2 16,-2 0 112,4-1 8,-2-1-96,5 0-40,-14 0 64,14 0 64,-5 0-88,-9 0 96,14 0-136,-3 0 64,1-3 64,-5 3-24,2-4-64,5 4-40,-2 0 136,-3-3-288,-10 3 208,13-3 201,2 3-257,-5-4 80,-12-1 8,15 0-80,-3 0-48,5 5 40,-17-5 0,10 0 152,-5-1-96,7 1-96,5 5 40,-17-5-32,12-8 128,-9 13-80,9-6 8,5 6-24,-17-13 136,10 9-120,-10-1 24,10 0 0,7 5-40,-19-15 72,2 11-184,3-11 152,-3 10 32,17 5-72,-15-15-56,11 11 152,-13-11-112,9 11 64,8 4-48,-14-15 80,12 12 0,-13-2-8,1-9-88,14 14 16,-5-4 40,-19-9-80,7 9 128,3-9-48,14 13-40,-12-4 64,-5-11-8,5 10-8,7-9 104,5 14-152,-19-5 16,16-9 136,-2 11-16,1-2-88,4 5-48,-5-5 56,0 1 64,3 1 24,2 0-16,0 3-128,-5-4 72,2 4-144,3-3 112,0 3-64,0 0 24,0 0 24,0 0-192,-2 0 56,2 0 112,0 0-40,0 1 8,2 5-8,3 0 0,-5-6 40,5 14-104,0-9 120,12 11 40,-15-11-24,-2-5-32,15 13 56,-11-6-48,4 8-8,11-9 72,-19-6-72,12 15 0,-7-10-40,14 10-48,-2-9 24,-17-6 64,14 13-72,5-8 72,-4 9 40,-1-9-64,-14-5 24,15 14 112,-10-9-128,11 10-56,-8-10 112,-8-5-40,4 7-80,11 7 104,-13-9-48,5 0-64,-7-5 88,15 14-8,-10-11 16,-1 2-48,4 2 16,-8-7 24,14 15 40,-14-11-168,5 3 88,-3-1 136,-2-6-96,5 7 40,-5 0-104,0 0-24,5 0 16,-5-7 72,2 5-208,-2 0 208,3 0 72,-1-2-72,-2-3 0,3 4-16,-1-2 112,0 1-136,-2-1-40,0-2 80,3 1 24,-1 1-144,-2 0 88,0 0-8,0-2 40,0 0 24,-5 1-120,3 1 16,-3 0 8,5-2 72,-5 1-96,-7 1 136,8 1-80,-1 1 32,5-4 8,-20 5-128,13-2 144,-10 3 64,13-3 48,4-3-128,-17 3 120,2 1-88,3-1-32,-2-1-56,14-2 56,-15 3 64,1-1-120,0 0-8,-3-1 64,17-1 0,-17 2-72,12 0 72,-14 0 32,12-1-24,7-1-8,-20 4-24,16-1 104,-13 0-40,12-1-64,5-2 24,-22 4 56,8-3-88,-1 3 80,11-1-80,4-3 32,-17 2 0,12 0-40,0-1-56,-9-1 136,14 0-40,0 0-56,0 0 112,-5 0-152,5 0 192,0 0-96,0 0 96,2 0-96,1-3 112,-1-1-184,-2 4 72,0-3-8,3 0 72,-1-1-64,3 1-40,-5 3 40,2-4-24,1 1-120,-1-2 80,-2 1 8,0 4 56,2-5-128,3 0 128,0 2-48,0-2 88,-5 5-40,5-5-40,-3-1-32,0 3 48,1-2-72,-3 5 96,5-5-32,-1 1 8,-1-1 120,-3 2-112,0 3 16,2-4 24,-2 4 8,0 0-104,0-3 144,0 3-72,-2 0 152,2 0-88,-5 0-48,0 0 0,5 0-16,-14 0 40,11 0-40,-11 0 24,9 0-24,5 0 0,-19 0-24,14 0 24,-12 2 176,15-2-136,2 0-40,-15 0-40,15 0 176,-14 0 24,14 0-64,0 0-96,-12 0 120,7 0-64,-12 0-40,3 1-16,14-1 0,-15 2 0,-1 0-128,1 0-80,-4-1 128,19-1 80,-14 2 72,-6 0-72,-1-1-104,1 1 8,20-2 96,-19 2-256,5-1 168,-3 1 8,2-2-56,15 0 136,-14 2-176,0 1-353,-3 1-695,0-1-944,17-3 2168,-19 5-3353,2-1-3144,0 1-537,17-5 7034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19:43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2189 561 2032,'0'0'0,"0"0"0,14 2 2216,6 0 561,4 1-713,-3-1-647,-21-2-1417,24 3 1144,0 3-344,1-1-96,1-2-24,-26-3-680,24 3 641,3-1-73,4 0-24,-2-2-8,-29 0-536,31 0 544,3 0 32,-1 0 32,3 0 40,-36 0-648,34-5 625,0 0 55,-1 0-112,1 1-104,-34 4-464,31-5 360,3 2-48,-3-3-56,3 3 0,-34 3-256,31-5 248,3 0-128,-3-9 72,3 11-80,-34 3-112,29-5 104,0 0 32,-3-9-40,-7 10-32,-19 4-64,19-5 40,1 0 24,-3-8-24,2 9 0,-19 4-40,12-5 153,-5-12-41,10 14 144,-10-14 72,-7 17-328,17-6 168,-12-12-48,0 4 104,9 9-160,-14 5-64,2-21 256,3 8-72,2-1-104,-2-1 160,-5 15-240,5-14 96,-3-1 88,1-2-112,-1 1-72,-2 16 0,0-17 48,0 0 88,0 2-120,-5 0 72,5 15-88,-2-14 152,-12 0-120,11 1 144,-14 7-168,17 6-8,-4-17-112,-13 12 144,2-10-120,1 10 248,14 5-160,-12-14 144,-10 11-72,8-13 112,-5 13-136,19 3-48,-17-5 72,2-10 0,-4 11-120,0-1 184,19 5-136,-17-14 0,0 14 88,-2-5-8,0 0 0,19 5-80,-22-5 96,0 0-136,-2 1 24,0 1 64,24 3-48,-26 0 8,-1-3 40,3 3-104,-2 0-168,26 0 224,-19 0-56,-6-4 72,6 4 56,-2 0-48,21 0-24,-24 0 0,7 0-24,-5 0 40,3 0 96,19 0-112,-22 2 48,-4 0-32,-1 1 8,1 0 8,26-3-32,-31 6 40,-1-1-40,1 0-112,2 0 112,29-5 0,-29 5-32,-2 2 80,2 0 40,-2 0-152,31-7 64,-31 6 0,7 8 64,-3-11 8,1 3-104,26-6 32,-24 13-88,-8-8-72,3 9 32,3-9 40,26-5 88,-29 17-32,-2-10-16,2 10 80,0-3 0,29-14-32,-29 6 40,-2 12-40,-3-12-40,3 13 56,31-19-16,-34 14-16,5-1 32,-2-6 8,-2 12-64,33-19 40,-29 7 24,-7 12 24,4-6-64,-1 1-24,33-14 40,-39 15 40,-2 2-56,0 2 64,-2 2 8,43-21-56,-46 18-16,1 3 32,-1-1 16,3 1-96,43-21 64,-48 18 32,-1 3-48,-1-1-248,-1 3 152,51-23 112,-50 20-128,-1 1 8,3-1 176,-2-3-56,50-17 0,-51 19-40,3-4 40,-2 2 104,-3 0-48,53-17-56,-53 17-48,-5 2 24,-2-2-64,0 2-200,60-19 288,-63 19-432,-2-1-424,0 0-768,3 2-777,62-20 2401,-65 20-3473,29-14-3064,-10 14-1177,46-20 7714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8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1" t="s">
        <v>180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">
      <c r="B2" s="12" t="s">
        <v>8</v>
      </c>
      <c r="C2" s="77" t="s">
        <v>46</v>
      </c>
      <c r="D2" s="77"/>
      <c r="E2" s="12" t="s">
        <v>7</v>
      </c>
      <c r="F2" s="72">
        <v>45953</v>
      </c>
      <c r="G2" s="72"/>
      <c r="H2" s="72"/>
      <c r="I2" s="72"/>
      <c r="J2" s="72"/>
    </row>
    <row r="3" spans="1:10" ht="30" customHeight="1" x14ac:dyDescent="0.2">
      <c r="B3" s="12" t="s">
        <v>9</v>
      </c>
      <c r="C3" s="77" t="s">
        <v>178</v>
      </c>
      <c r="D3" s="77"/>
      <c r="E3" s="12" t="s">
        <v>6</v>
      </c>
      <c r="F3" s="77" t="s">
        <v>104</v>
      </c>
      <c r="G3" s="77"/>
      <c r="H3" s="77"/>
      <c r="I3" s="77"/>
      <c r="J3" s="7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5" customHeight="1" thickBot="1" x14ac:dyDescent="0.25">
      <c r="A6" s="10"/>
      <c r="B6" s="75"/>
      <c r="C6" s="76"/>
      <c r="D6" s="76"/>
      <c r="E6" s="11" t="s">
        <v>3</v>
      </c>
      <c r="F6" s="11" t="s">
        <v>4</v>
      </c>
      <c r="G6" s="11" t="s">
        <v>23</v>
      </c>
      <c r="H6" s="11" t="s">
        <v>24</v>
      </c>
      <c r="I6" s="84"/>
      <c r="J6" s="85"/>
    </row>
    <row r="7" spans="1:10" ht="24.95" customHeight="1" thickBot="1" x14ac:dyDescent="0.25">
      <c r="A7" s="10"/>
      <c r="B7" s="80" t="s">
        <v>21</v>
      </c>
      <c r="C7" s="81"/>
      <c r="D7" s="81"/>
      <c r="E7" s="28" t="s">
        <v>18</v>
      </c>
      <c r="F7" s="28" t="s">
        <v>19</v>
      </c>
      <c r="G7" s="28" t="s">
        <v>22</v>
      </c>
      <c r="H7" s="28" t="s">
        <v>20</v>
      </c>
      <c r="I7" s="86" t="s">
        <v>25</v>
      </c>
      <c r="J7" s="87"/>
    </row>
    <row r="8" spans="1:10" ht="30" customHeight="1" x14ac:dyDescent="0.2">
      <c r="A8" s="10"/>
      <c r="B8" s="35" t="s">
        <v>181</v>
      </c>
      <c r="C8" s="36"/>
      <c r="D8" s="36"/>
      <c r="E8" s="36"/>
      <c r="F8" s="36"/>
      <c r="G8" s="36"/>
      <c r="H8" s="36"/>
      <c r="I8" s="36"/>
      <c r="J8" s="37"/>
    </row>
    <row r="9" spans="1:10" ht="30" customHeight="1" x14ac:dyDescent="0.2">
      <c r="A9" s="10"/>
      <c r="B9" s="48" t="s">
        <v>182</v>
      </c>
      <c r="C9" s="49"/>
      <c r="D9" s="49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50000000000003" customHeight="1" x14ac:dyDescent="0.2">
      <c r="A10" s="10"/>
      <c r="B10" s="48" t="s">
        <v>183</v>
      </c>
      <c r="C10" s="49"/>
      <c r="D10" s="49"/>
      <c r="E10" s="9"/>
      <c r="F10" s="26"/>
      <c r="G10" s="30"/>
      <c r="H10" s="31"/>
      <c r="I10" s="52"/>
      <c r="J10" s="53"/>
    </row>
    <row r="11" spans="1:10" ht="30" customHeight="1" x14ac:dyDescent="0.2">
      <c r="A11" s="10"/>
      <c r="B11" s="44" t="s">
        <v>184</v>
      </c>
      <c r="C11" s="45"/>
      <c r="D11" s="45"/>
      <c r="E11" s="9">
        <v>5</v>
      </c>
      <c r="F11" s="26">
        <v>3.75</v>
      </c>
      <c r="G11" s="30">
        <f t="shared" ref="G11:G63" si="0">IFERROR(F11/E11,"")</f>
        <v>0.75</v>
      </c>
      <c r="H11" s="31" t="str">
        <f t="shared" ref="H11:H63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50000000000003" customHeight="1" x14ac:dyDescent="0.2">
      <c r="A12" s="10"/>
      <c r="B12" s="44" t="s">
        <v>185</v>
      </c>
      <c r="C12" s="45"/>
      <c r="D12" s="45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52"/>
      <c r="J12" s="53"/>
    </row>
    <row r="13" spans="1:10" ht="30" customHeight="1" x14ac:dyDescent="0.2">
      <c r="A13" s="10"/>
      <c r="B13" s="48" t="s">
        <v>186</v>
      </c>
      <c r="C13" s="49"/>
      <c r="D13" s="49"/>
      <c r="E13" s="9"/>
      <c r="F13" s="26"/>
      <c r="G13" s="30"/>
      <c r="H13" s="31"/>
      <c r="I13" s="52"/>
      <c r="J13" s="53"/>
    </row>
    <row r="14" spans="1:10" ht="39.950000000000003" customHeight="1" x14ac:dyDescent="0.2">
      <c r="A14" s="10"/>
      <c r="B14" s="44" t="s">
        <v>187</v>
      </c>
      <c r="C14" s="45"/>
      <c r="D14" s="45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50000000000003" customHeight="1" x14ac:dyDescent="0.2">
      <c r="A15" s="10"/>
      <c r="B15" s="44" t="s">
        <v>188</v>
      </c>
      <c r="C15" s="45"/>
      <c r="D15" s="45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52"/>
      <c r="J15" s="53"/>
    </row>
    <row r="16" spans="1:10" ht="30" customHeight="1" x14ac:dyDescent="0.2">
      <c r="A16" s="10"/>
      <c r="B16" s="44" t="s">
        <v>189</v>
      </c>
      <c r="C16" s="45"/>
      <c r="D16" s="45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50000000000003" customHeight="1" x14ac:dyDescent="0.2">
      <c r="A17" s="10"/>
      <c r="B17" s="44" t="s">
        <v>190</v>
      </c>
      <c r="C17" s="45"/>
      <c r="D17" s="45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0" customHeight="1" x14ac:dyDescent="0.2">
      <c r="A18" s="10"/>
      <c r="B18" s="44" t="s">
        <v>191</v>
      </c>
      <c r="C18" s="45"/>
      <c r="D18" s="45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52"/>
      <c r="J18" s="53"/>
    </row>
    <row r="19" spans="1:10" ht="30" customHeight="1" x14ac:dyDescent="0.2">
      <c r="A19" s="10"/>
      <c r="B19" s="48" t="s">
        <v>192</v>
      </c>
      <c r="C19" s="49"/>
      <c r="D19" s="49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30" customHeight="1" x14ac:dyDescent="0.2">
      <c r="A20" s="10"/>
      <c r="B20" s="48" t="s">
        <v>193</v>
      </c>
      <c r="C20" s="49"/>
      <c r="D20" s="49"/>
      <c r="E20" s="9"/>
      <c r="F20" s="26"/>
      <c r="G20" s="30"/>
      <c r="H20" s="31"/>
      <c r="I20" s="52"/>
      <c r="J20" s="53"/>
    </row>
    <row r="21" spans="1:10" ht="30" customHeight="1" x14ac:dyDescent="0.2">
      <c r="A21" s="10"/>
      <c r="B21" s="44" t="s">
        <v>194</v>
      </c>
      <c r="C21" s="45"/>
      <c r="D21" s="45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2"/>
      <c r="J21" s="53"/>
    </row>
    <row r="22" spans="1:10" ht="39.950000000000003" customHeight="1" x14ac:dyDescent="0.2">
      <c r="A22" s="10"/>
      <c r="B22" s="44" t="s">
        <v>195</v>
      </c>
      <c r="C22" s="45"/>
      <c r="D22" s="45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52"/>
      <c r="J22" s="53"/>
    </row>
    <row r="23" spans="1:10" ht="30" customHeight="1" x14ac:dyDescent="0.2">
      <c r="A23" s="10"/>
      <c r="B23" s="44" t="s">
        <v>196</v>
      </c>
      <c r="C23" s="45"/>
      <c r="D23" s="45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52"/>
      <c r="J23" s="53"/>
    </row>
    <row r="24" spans="1:10" ht="30" customHeight="1" x14ac:dyDescent="0.2">
      <c r="A24" s="10"/>
      <c r="B24" s="44" t="s">
        <v>197</v>
      </c>
      <c r="C24" s="45"/>
      <c r="D24" s="45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2"/>
      <c r="J24" s="53"/>
    </row>
    <row r="25" spans="1:10" ht="30" customHeight="1" x14ac:dyDescent="0.2">
      <c r="A25" s="10"/>
      <c r="B25" s="44" t="s">
        <v>198</v>
      </c>
      <c r="C25" s="45"/>
      <c r="D25" s="45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2"/>
      <c r="J25" s="53"/>
    </row>
    <row r="26" spans="1:10" ht="30" customHeight="1" x14ac:dyDescent="0.2">
      <c r="A26" s="10"/>
      <c r="B26" s="44" t="s">
        <v>199</v>
      </c>
      <c r="C26" s="45"/>
      <c r="D26" s="45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52"/>
      <c r="J26" s="53"/>
    </row>
    <row r="27" spans="1:10" ht="30" customHeight="1" x14ac:dyDescent="0.2">
      <c r="A27" s="10"/>
      <c r="B27" s="44" t="s">
        <v>200</v>
      </c>
      <c r="C27" s="45"/>
      <c r="D27" s="45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2"/>
      <c r="J27" s="53"/>
    </row>
    <row r="28" spans="1:10" ht="39.950000000000003" customHeight="1" x14ac:dyDescent="0.2">
      <c r="A28" s="10"/>
      <c r="B28" s="48" t="s">
        <v>201</v>
      </c>
      <c r="C28" s="49"/>
      <c r="D28" s="49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2"/>
      <c r="J28" s="53"/>
    </row>
    <row r="29" spans="1:10" ht="30" customHeight="1" x14ac:dyDescent="0.2">
      <c r="A29" s="10"/>
      <c r="B29" s="48" t="s">
        <v>202</v>
      </c>
      <c r="C29" s="49"/>
      <c r="D29" s="49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2"/>
      <c r="J29" s="53"/>
    </row>
    <row r="30" spans="1:10" ht="39.950000000000003" customHeight="1" x14ac:dyDescent="0.2">
      <c r="A30" s="10"/>
      <c r="B30" s="48" t="s">
        <v>203</v>
      </c>
      <c r="C30" s="49"/>
      <c r="D30" s="49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52"/>
      <c r="J30" s="53"/>
    </row>
    <row r="31" spans="1:10" ht="30" customHeight="1" x14ac:dyDescent="0.2">
      <c r="A31" s="10"/>
      <c r="B31" s="48" t="s">
        <v>204</v>
      </c>
      <c r="C31" s="49"/>
      <c r="D31" s="49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52"/>
      <c r="J31" s="53"/>
    </row>
    <row r="32" spans="1:10" ht="39.950000000000003" customHeight="1" x14ac:dyDescent="0.2">
      <c r="A32" s="10"/>
      <c r="B32" s="48" t="s">
        <v>205</v>
      </c>
      <c r="C32" s="49"/>
      <c r="D32" s="49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52"/>
      <c r="J32" s="53"/>
    </row>
    <row r="33" spans="1:10" ht="50.1" customHeight="1" thickBot="1" x14ac:dyDescent="0.25">
      <c r="A33" s="10"/>
      <c r="B33" s="50" t="s">
        <v>232</v>
      </c>
      <c r="C33" s="51"/>
      <c r="D33" s="51"/>
      <c r="E33" s="32">
        <v>5</v>
      </c>
      <c r="F33" s="27">
        <v>3.75</v>
      </c>
      <c r="G33" s="33">
        <f t="shared" si="0"/>
        <v>0.75</v>
      </c>
      <c r="H33" s="34" t="str">
        <f t="shared" si="1"/>
        <v>جيد</v>
      </c>
      <c r="I33" s="54"/>
      <c r="J33" s="55"/>
    </row>
    <row r="34" spans="1:10" ht="30" customHeight="1" x14ac:dyDescent="0.2">
      <c r="A34" s="10"/>
      <c r="B34" s="35" t="s">
        <v>206</v>
      </c>
      <c r="C34" s="36"/>
      <c r="D34" s="36"/>
      <c r="E34" s="36"/>
      <c r="F34" s="36"/>
      <c r="G34" s="36"/>
      <c r="H34" s="36"/>
      <c r="I34" s="36"/>
      <c r="J34" s="37"/>
    </row>
    <row r="35" spans="1:10" ht="30" customHeight="1" x14ac:dyDescent="0.2">
      <c r="A35" s="10"/>
      <c r="B35" s="38" t="s">
        <v>207</v>
      </c>
      <c r="C35" s="39"/>
      <c r="D35" s="39"/>
      <c r="E35" s="9"/>
      <c r="F35" s="26"/>
      <c r="G35" s="30"/>
      <c r="H35" s="31"/>
      <c r="I35" s="52"/>
      <c r="J35" s="53"/>
    </row>
    <row r="36" spans="1:10" ht="39.950000000000003" customHeight="1" x14ac:dyDescent="0.2">
      <c r="A36" s="10"/>
      <c r="B36" s="46" t="s">
        <v>208</v>
      </c>
      <c r="C36" s="47"/>
      <c r="D36" s="47"/>
      <c r="E36" s="9">
        <v>5</v>
      </c>
      <c r="F36" s="26">
        <v>3.75</v>
      </c>
      <c r="G36" s="30">
        <f t="shared" si="0"/>
        <v>0.75</v>
      </c>
      <c r="H36" s="31" t="str">
        <f t="shared" si="1"/>
        <v>جيد</v>
      </c>
      <c r="I36" s="52"/>
      <c r="J36" s="53"/>
    </row>
    <row r="37" spans="1:10" ht="30" customHeight="1" x14ac:dyDescent="0.2">
      <c r="A37" s="10"/>
      <c r="B37" s="46" t="s">
        <v>209</v>
      </c>
      <c r="C37" s="47"/>
      <c r="D37" s="47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2"/>
      <c r="J37" s="53"/>
    </row>
    <row r="38" spans="1:10" ht="39.950000000000003" customHeight="1" x14ac:dyDescent="0.2">
      <c r="A38" s="10"/>
      <c r="B38" s="46" t="s">
        <v>210</v>
      </c>
      <c r="C38" s="47"/>
      <c r="D38" s="47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52"/>
      <c r="J38" s="53"/>
    </row>
    <row r="39" spans="1:10" ht="39.950000000000003" customHeight="1" x14ac:dyDescent="0.2">
      <c r="A39" s="10"/>
      <c r="B39" s="46" t="s">
        <v>211</v>
      </c>
      <c r="C39" s="47"/>
      <c r="D39" s="47"/>
      <c r="E39" s="9">
        <v>5</v>
      </c>
      <c r="F39" s="26">
        <v>3.5</v>
      </c>
      <c r="G39" s="30">
        <f t="shared" si="0"/>
        <v>0.7</v>
      </c>
      <c r="H39" s="31" t="str">
        <f t="shared" si="1"/>
        <v>جيد</v>
      </c>
      <c r="I39" s="52"/>
      <c r="J39" s="53"/>
    </row>
    <row r="40" spans="1:10" ht="30" customHeight="1" x14ac:dyDescent="0.2">
      <c r="A40" s="10"/>
      <c r="B40" s="46" t="s">
        <v>212</v>
      </c>
      <c r="C40" s="47"/>
      <c r="D40" s="47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52"/>
      <c r="J40" s="53"/>
    </row>
    <row r="41" spans="1:10" ht="30" customHeight="1" x14ac:dyDescent="0.2">
      <c r="A41" s="10"/>
      <c r="B41" s="46" t="s">
        <v>213</v>
      </c>
      <c r="C41" s="47"/>
      <c r="D41" s="47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2"/>
      <c r="J41" s="53"/>
    </row>
    <row r="42" spans="1:10" ht="39.950000000000003" customHeight="1" x14ac:dyDescent="0.2">
      <c r="A42" s="10"/>
      <c r="B42" s="46" t="s">
        <v>214</v>
      </c>
      <c r="C42" s="47"/>
      <c r="D42" s="47"/>
      <c r="E42" s="9">
        <v>5</v>
      </c>
      <c r="F42" s="26">
        <v>3.75</v>
      </c>
      <c r="G42" s="30">
        <f t="shared" si="0"/>
        <v>0.75</v>
      </c>
      <c r="H42" s="31" t="str">
        <f t="shared" si="1"/>
        <v>جيد</v>
      </c>
      <c r="I42" s="52"/>
      <c r="J42" s="53"/>
    </row>
    <row r="43" spans="1:10" ht="30" customHeight="1" x14ac:dyDescent="0.2">
      <c r="A43" s="10"/>
      <c r="B43" s="38" t="s">
        <v>215</v>
      </c>
      <c r="C43" s="39"/>
      <c r="D43" s="39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2"/>
      <c r="J43" s="53"/>
    </row>
    <row r="44" spans="1:10" ht="30" customHeight="1" x14ac:dyDescent="0.2">
      <c r="A44" s="10"/>
      <c r="B44" s="38" t="s">
        <v>216</v>
      </c>
      <c r="C44" s="39"/>
      <c r="D44" s="39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52"/>
      <c r="J44" s="53"/>
    </row>
    <row r="45" spans="1:10" ht="30" customHeight="1" thickBot="1" x14ac:dyDescent="0.25">
      <c r="A45" s="10"/>
      <c r="B45" s="40" t="s">
        <v>217</v>
      </c>
      <c r="C45" s="41"/>
      <c r="D45" s="41"/>
      <c r="E45" s="32">
        <v>5</v>
      </c>
      <c r="F45" s="27">
        <v>3.75</v>
      </c>
      <c r="G45" s="33">
        <f t="shared" si="0"/>
        <v>0.75</v>
      </c>
      <c r="H45" s="34" t="str">
        <f t="shared" si="1"/>
        <v>جيد</v>
      </c>
      <c r="I45" s="54"/>
      <c r="J45" s="55"/>
    </row>
    <row r="46" spans="1:10" ht="30" customHeight="1" x14ac:dyDescent="0.2">
      <c r="A46" s="10"/>
      <c r="B46" s="35" t="s">
        <v>218</v>
      </c>
      <c r="C46" s="36"/>
      <c r="D46" s="36"/>
      <c r="E46" s="36"/>
      <c r="F46" s="36"/>
      <c r="G46" s="36"/>
      <c r="H46" s="36"/>
      <c r="I46" s="36"/>
      <c r="J46" s="37"/>
    </row>
    <row r="47" spans="1:10" ht="30" customHeight="1" x14ac:dyDescent="0.2">
      <c r="A47" s="10"/>
      <c r="B47" s="38" t="s">
        <v>219</v>
      </c>
      <c r="C47" s="39"/>
      <c r="D47" s="39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0" customHeight="1" x14ac:dyDescent="0.2">
      <c r="A48" s="10"/>
      <c r="B48" s="38" t="s">
        <v>220</v>
      </c>
      <c r="C48" s="39"/>
      <c r="D48" s="39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52"/>
      <c r="J48" s="53"/>
    </row>
    <row r="49" spans="1:10" ht="39.950000000000003" customHeight="1" x14ac:dyDescent="0.2">
      <c r="A49" s="10"/>
      <c r="B49" s="38" t="s">
        <v>221</v>
      </c>
      <c r="C49" s="39"/>
      <c r="D49" s="39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52"/>
      <c r="J49" s="53"/>
    </row>
    <row r="50" spans="1:10" ht="39.950000000000003" customHeight="1" x14ac:dyDescent="0.2">
      <c r="A50" s="10"/>
      <c r="B50" s="42" t="s">
        <v>222</v>
      </c>
      <c r="C50" s="43"/>
      <c r="D50" s="43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52"/>
      <c r="J50" s="53"/>
    </row>
    <row r="51" spans="1:10" ht="39.950000000000003" customHeight="1" x14ac:dyDescent="0.2">
      <c r="A51" s="10"/>
      <c r="B51" s="42" t="s">
        <v>223</v>
      </c>
      <c r="C51" s="43"/>
      <c r="D51" s="43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52"/>
      <c r="J51" s="53"/>
    </row>
    <row r="52" spans="1:10" ht="39.950000000000003" customHeight="1" x14ac:dyDescent="0.2">
      <c r="A52" s="10"/>
      <c r="B52" s="38" t="s">
        <v>224</v>
      </c>
      <c r="C52" s="39"/>
      <c r="D52" s="39"/>
      <c r="E52" s="9">
        <v>5</v>
      </c>
      <c r="F52" s="26">
        <v>3.75</v>
      </c>
      <c r="G52" s="30">
        <f t="shared" si="0"/>
        <v>0.75</v>
      </c>
      <c r="H52" s="31" t="str">
        <f t="shared" si="1"/>
        <v>جيد</v>
      </c>
      <c r="I52" s="52"/>
      <c r="J52" s="53"/>
    </row>
    <row r="53" spans="1:10" ht="39.950000000000003" customHeight="1" x14ac:dyDescent="0.2">
      <c r="A53" s="10"/>
      <c r="B53" s="38" t="s">
        <v>225</v>
      </c>
      <c r="C53" s="39"/>
      <c r="D53" s="39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52"/>
      <c r="J53" s="53"/>
    </row>
    <row r="54" spans="1:10" ht="50.1" customHeight="1" x14ac:dyDescent="0.2">
      <c r="A54" s="10"/>
      <c r="B54" s="38" t="s">
        <v>226</v>
      </c>
      <c r="C54" s="39"/>
      <c r="D54" s="39"/>
      <c r="E54" s="9">
        <v>5</v>
      </c>
      <c r="F54" s="26">
        <v>3.75</v>
      </c>
      <c r="G54" s="30">
        <f t="shared" si="0"/>
        <v>0.75</v>
      </c>
      <c r="H54" s="31" t="str">
        <f t="shared" si="1"/>
        <v>جيد</v>
      </c>
      <c r="I54" s="52"/>
      <c r="J54" s="53"/>
    </row>
    <row r="55" spans="1:10" ht="30" customHeight="1" x14ac:dyDescent="0.2">
      <c r="A55" s="10"/>
      <c r="B55" s="38" t="s">
        <v>227</v>
      </c>
      <c r="C55" s="39"/>
      <c r="D55" s="39"/>
      <c r="E55" s="9">
        <v>5</v>
      </c>
      <c r="F55" s="26">
        <v>3.5</v>
      </c>
      <c r="G55" s="30">
        <f t="shared" si="0"/>
        <v>0.7</v>
      </c>
      <c r="H55" s="31" t="str">
        <f t="shared" si="1"/>
        <v>جيد</v>
      </c>
      <c r="I55" s="52"/>
      <c r="J55" s="53"/>
    </row>
    <row r="56" spans="1:10" ht="30" customHeight="1" x14ac:dyDescent="0.2">
      <c r="A56" s="10"/>
      <c r="B56" s="38" t="s">
        <v>228</v>
      </c>
      <c r="C56" s="39"/>
      <c r="D56" s="39"/>
      <c r="E56" s="9">
        <v>5</v>
      </c>
      <c r="F56" s="26">
        <v>3.75</v>
      </c>
      <c r="G56" s="30">
        <f t="shared" si="0"/>
        <v>0.75</v>
      </c>
      <c r="H56" s="31" t="str">
        <f t="shared" si="1"/>
        <v>جيد</v>
      </c>
      <c r="I56" s="52"/>
      <c r="J56" s="53"/>
    </row>
    <row r="57" spans="1:10" ht="39.950000000000003" customHeight="1" x14ac:dyDescent="0.2">
      <c r="A57" s="10"/>
      <c r="B57" s="38" t="s">
        <v>229</v>
      </c>
      <c r="C57" s="39"/>
      <c r="D57" s="39"/>
      <c r="E57" s="9">
        <v>5</v>
      </c>
      <c r="F57" s="26">
        <v>4</v>
      </c>
      <c r="G57" s="30">
        <f t="shared" si="0"/>
        <v>0.8</v>
      </c>
      <c r="H57" s="31" t="str">
        <f t="shared" si="1"/>
        <v>جيد جداً</v>
      </c>
      <c r="I57" s="52"/>
      <c r="J57" s="53"/>
    </row>
    <row r="58" spans="1:10" ht="30" customHeight="1" x14ac:dyDescent="0.2">
      <c r="A58" s="10"/>
      <c r="B58" s="38" t="s">
        <v>230</v>
      </c>
      <c r="C58" s="39"/>
      <c r="D58" s="39"/>
      <c r="E58" s="9">
        <v>5</v>
      </c>
      <c r="F58" s="26">
        <v>3.75</v>
      </c>
      <c r="G58" s="30">
        <f t="shared" si="0"/>
        <v>0.75</v>
      </c>
      <c r="H58" s="31" t="str">
        <f t="shared" si="1"/>
        <v>جيد</v>
      </c>
      <c r="I58" s="52"/>
      <c r="J58" s="53"/>
    </row>
    <row r="59" spans="1:10" ht="39.950000000000003" customHeight="1" x14ac:dyDescent="0.2">
      <c r="A59" s="10"/>
      <c r="B59" s="38" t="s">
        <v>231</v>
      </c>
      <c r="C59" s="39"/>
      <c r="D59" s="39"/>
      <c r="E59" s="9">
        <v>5</v>
      </c>
      <c r="F59" s="26">
        <v>4</v>
      </c>
      <c r="G59" s="30">
        <f t="shared" si="0"/>
        <v>0.8</v>
      </c>
      <c r="H59" s="31" t="str">
        <f t="shared" si="1"/>
        <v>جيد جداً</v>
      </c>
      <c r="I59" s="52"/>
      <c r="J59" s="53"/>
    </row>
    <row r="60" spans="1:10" ht="39.950000000000003" customHeight="1" x14ac:dyDescent="0.2">
      <c r="A60" s="10"/>
      <c r="B60" s="38" t="s">
        <v>233</v>
      </c>
      <c r="C60" s="39"/>
      <c r="D60" s="39"/>
      <c r="E60" s="9">
        <v>5</v>
      </c>
      <c r="F60" s="26">
        <v>3.75</v>
      </c>
      <c r="G60" s="30">
        <f t="shared" si="0"/>
        <v>0.75</v>
      </c>
      <c r="H60" s="31" t="str">
        <f t="shared" si="1"/>
        <v>جيد</v>
      </c>
      <c r="I60" s="52"/>
      <c r="J60" s="53"/>
    </row>
    <row r="61" spans="1:10" ht="30" customHeight="1" x14ac:dyDescent="0.2">
      <c r="A61" s="10"/>
      <c r="B61" s="38" t="s">
        <v>234</v>
      </c>
      <c r="C61" s="39"/>
      <c r="D61" s="39"/>
      <c r="E61" s="9">
        <v>5</v>
      </c>
      <c r="F61" s="26">
        <v>3.75</v>
      </c>
      <c r="G61" s="30">
        <f t="shared" si="0"/>
        <v>0.75</v>
      </c>
      <c r="H61" s="31" t="str">
        <f t="shared" si="1"/>
        <v>جيد</v>
      </c>
      <c r="I61" s="52"/>
      <c r="J61" s="53"/>
    </row>
    <row r="62" spans="1:10" ht="30" customHeight="1" x14ac:dyDescent="0.2">
      <c r="A62" s="10"/>
      <c r="B62" s="38" t="s">
        <v>235</v>
      </c>
      <c r="C62" s="39"/>
      <c r="D62" s="39"/>
      <c r="E62" s="9">
        <v>5</v>
      </c>
      <c r="F62" s="26">
        <v>3.75</v>
      </c>
      <c r="G62" s="30">
        <f t="shared" si="0"/>
        <v>0.75</v>
      </c>
      <c r="H62" s="31" t="str">
        <f t="shared" si="1"/>
        <v>جيد</v>
      </c>
      <c r="I62" s="52"/>
      <c r="J62" s="53"/>
    </row>
    <row r="63" spans="1:10" ht="39.950000000000003" customHeight="1" thickBot="1" x14ac:dyDescent="0.25">
      <c r="A63" s="10"/>
      <c r="B63" s="40" t="s">
        <v>236</v>
      </c>
      <c r="C63" s="41"/>
      <c r="D63" s="41"/>
      <c r="E63" s="32">
        <v>5</v>
      </c>
      <c r="F63" s="27">
        <v>3.75</v>
      </c>
      <c r="G63" s="33">
        <f t="shared" si="0"/>
        <v>0.75</v>
      </c>
      <c r="H63" s="34" t="str">
        <f t="shared" si="1"/>
        <v>جيد</v>
      </c>
      <c r="I63" s="54"/>
      <c r="J63" s="55"/>
    </row>
    <row r="64" spans="1:10" ht="30" customHeight="1" thickBot="1" x14ac:dyDescent="0.25">
      <c r="A64" s="4"/>
      <c r="B64" s="56" t="s">
        <v>5</v>
      </c>
      <c r="C64" s="57"/>
      <c r="D64" s="57"/>
      <c r="E64" s="29">
        <f>SUM(E8:E63)</f>
        <v>245</v>
      </c>
      <c r="F64" s="29">
        <f>SUM(F8:F63)</f>
        <v>180.75</v>
      </c>
      <c r="G64" s="68"/>
      <c r="H64" s="69"/>
      <c r="I64" s="69"/>
      <c r="J64" s="70"/>
    </row>
    <row r="65" spans="1:10" ht="30" customHeight="1" thickBot="1" x14ac:dyDescent="0.25">
      <c r="A65" s="4"/>
      <c r="B65" s="58" t="s">
        <v>54</v>
      </c>
      <c r="C65" s="59"/>
      <c r="D65" s="59"/>
      <c r="E65" s="78">
        <f>F64/E64/100*100</f>
        <v>0.73775510204081629</v>
      </c>
      <c r="F65" s="78"/>
      <c r="G65" s="78"/>
      <c r="H65" s="78"/>
      <c r="I65" s="78"/>
      <c r="J65" s="79"/>
    </row>
    <row r="66" spans="1:10" ht="30" customHeight="1" thickBot="1" x14ac:dyDescent="0.25">
      <c r="A66" s="4"/>
      <c r="B66" s="58" t="s">
        <v>55</v>
      </c>
      <c r="C66" s="59"/>
      <c r="D66" s="59"/>
      <c r="E66" s="64" t="str">
        <f>_xlfn.IFS(E65&gt;=90%,"ممتاز",E65&gt;=80%,"جيد جداً",E65&gt;=70%,"جيد",E65&gt;=60%,"مقبول",E65&lt;60%,"راسب")</f>
        <v>جيد</v>
      </c>
      <c r="F66" s="64"/>
      <c r="G66" s="64"/>
      <c r="H66" s="64"/>
      <c r="I66" s="64"/>
      <c r="J66" s="65"/>
    </row>
    <row r="67" spans="1:10" ht="42" customHeight="1" x14ac:dyDescent="0.2">
      <c r="B67" s="60" t="s">
        <v>174</v>
      </c>
      <c r="C67" s="60"/>
      <c r="D67" s="60"/>
      <c r="E67" s="66" t="s">
        <v>52</v>
      </c>
      <c r="F67" s="66"/>
      <c r="G67" s="62" t="s">
        <v>104</v>
      </c>
      <c r="H67" s="62"/>
      <c r="I67" s="62"/>
      <c r="J67" s="62"/>
    </row>
    <row r="68" spans="1:10" ht="51" customHeight="1" x14ac:dyDescent="0.2">
      <c r="A68" s="5"/>
      <c r="B68" s="61"/>
      <c r="C68" s="61"/>
      <c r="D68" s="61"/>
      <c r="E68" s="67" t="s">
        <v>53</v>
      </c>
      <c r="F68" s="67"/>
      <c r="G68" s="63"/>
      <c r="H68" s="63"/>
      <c r="I68" s="63"/>
      <c r="J68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30">
    <mergeCell ref="I9:J9"/>
    <mergeCell ref="B1:J1"/>
    <mergeCell ref="F2:J2"/>
    <mergeCell ref="B5:D6"/>
    <mergeCell ref="C2:D2"/>
    <mergeCell ref="C3:D3"/>
    <mergeCell ref="F3:J3"/>
    <mergeCell ref="E65:J6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B67:D68"/>
    <mergeCell ref="G67:J67"/>
    <mergeCell ref="G68:J68"/>
    <mergeCell ref="E66:J66"/>
    <mergeCell ref="I39:J39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4:J44"/>
    <mergeCell ref="E67:F67"/>
    <mergeCell ref="E68:F68"/>
    <mergeCell ref="G64:J64"/>
    <mergeCell ref="I45:J45"/>
    <mergeCell ref="I47:J47"/>
    <mergeCell ref="I61:J61"/>
    <mergeCell ref="I62:J62"/>
    <mergeCell ref="I33:J33"/>
    <mergeCell ref="I35:J35"/>
    <mergeCell ref="B64:D64"/>
    <mergeCell ref="B65:D65"/>
    <mergeCell ref="B66:D66"/>
    <mergeCell ref="B61:D61"/>
    <mergeCell ref="B62:D62"/>
    <mergeCell ref="B63:D63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2:J22"/>
    <mergeCell ref="I23:J23"/>
    <mergeCell ref="I24:J24"/>
    <mergeCell ref="I25:J25"/>
    <mergeCell ref="I29:J29"/>
    <mergeCell ref="I58:J58"/>
    <mergeCell ref="I59:J59"/>
    <mergeCell ref="I60:J60"/>
    <mergeCell ref="I26:J26"/>
    <mergeCell ref="I27:J27"/>
    <mergeCell ref="I63:J63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41:D41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B8:J8"/>
    <mergeCell ref="B34:J34"/>
    <mergeCell ref="B46:J46"/>
    <mergeCell ref="B52:D52"/>
    <mergeCell ref="B53:D53"/>
    <mergeCell ref="B54:D54"/>
    <mergeCell ref="B55:D55"/>
    <mergeCell ref="B56:D56"/>
    <mergeCell ref="B57:D57"/>
    <mergeCell ref="B43:D43"/>
    <mergeCell ref="B44:D44"/>
    <mergeCell ref="B45:D45"/>
    <mergeCell ref="B47:D47"/>
    <mergeCell ref="B48:D48"/>
    <mergeCell ref="B49:D49"/>
    <mergeCell ref="B50:D50"/>
    <mergeCell ref="B51:D51"/>
    <mergeCell ref="B35:D35"/>
    <mergeCell ref="B25:D25"/>
    <mergeCell ref="B36:D36"/>
    <mergeCell ref="B37:D37"/>
    <mergeCell ref="B38:D38"/>
    <mergeCell ref="B39:D39"/>
    <mergeCell ref="B40:D40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6">
    <cfRule type="expression" dxfId="20" priority="57">
      <formula>$E66="راسب"</formula>
    </cfRule>
  </conditionalFormatting>
  <conditionalFormatting sqref="E66:J66">
    <cfRule type="expression" dxfId="19" priority="58">
      <formula>$E66="مقبول"</formula>
    </cfRule>
    <cfRule type="expression" dxfId="18" priority="59">
      <formula>$E66="جيد"</formula>
    </cfRule>
    <cfRule type="expression" dxfId="17" priority="60">
      <formula>$E66="جيد جداً"</formula>
    </cfRule>
    <cfRule type="expression" dxfId="16" priority="61">
      <formula>$E66="ممتاز"</formula>
    </cfRule>
  </conditionalFormatting>
  <conditionalFormatting sqref="F9:F33">
    <cfRule type="containsText" dxfId="15" priority="4" operator="containsText" text="أدخل العلامة">
      <formula>NOT(ISERROR(SEARCH("أدخل العلامة",F9)))</formula>
    </cfRule>
  </conditionalFormatting>
  <conditionalFormatting sqref="F35:F45 H35:H45 F47:F63 H47:H6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67:J67">
    <cfRule type="containsText" dxfId="11" priority="15" operator="containsText" text="أدخل اسم المحكم">
      <formula>NOT(ISERROR(SEARCH("أدخل اسم المحكم",G67)))</formula>
    </cfRule>
  </conditionalFormatting>
  <conditionalFormatting sqref="H9:H33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35:H45 H47:H6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F47:F63 F36:F45 F14:F19 F11:F12 F9 F21:F33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G67:J67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2025-10-20T16:19:15Z</dcterms:modified>
</cp:coreProperties>
</file>