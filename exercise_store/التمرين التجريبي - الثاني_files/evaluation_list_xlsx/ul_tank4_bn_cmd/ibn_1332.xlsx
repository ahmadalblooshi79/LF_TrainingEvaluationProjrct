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490C81AB-4C41-4C00-9626-4F49D5955B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3" i="2"/>
  <c r="H23" i="2"/>
  <c r="G24" i="2"/>
  <c r="H24" i="2"/>
  <c r="G25" i="2"/>
  <c r="H25" i="2"/>
  <c r="G27" i="2"/>
  <c r="H27" i="2"/>
  <c r="G28" i="2"/>
  <c r="H28" i="2"/>
  <c r="G30" i="2"/>
  <c r="H30" i="2"/>
  <c r="G31" i="2"/>
  <c r="H31" i="2"/>
  <c r="G32" i="2"/>
  <c r="H32" i="2"/>
  <c r="G33" i="2"/>
  <c r="H33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<sst xmlns="http://schemas.openxmlformats.org/spreadsheetml/2006/main" count="263" uniqueCount="207">
  <si>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</si>
  <si>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</si>
  <si>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</si>
  <si>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</si>
  <si>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</si>
  <si>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</si>
  <si>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</si>
  <si>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</si>
  <si>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</si>
  <si>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</si>
  <si>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</si>
  <si>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</si>
  <si>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</si>
  <si>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</si>
  <si>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</si>
  <si>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</si>
  <si>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</si>
  <si>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</si>
  <si>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</si>
  <si>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</si>
  <si>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</si>
  <si>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</si>
  <si>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</si>
  <si>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</si>
  <si>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</si>
  <si>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</si>
  <si>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</si>
  <si>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</si>
  <si>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</si>
  <si>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</si>
  <si>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</si>
  <si>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</si>
  <si>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</si>
  <si>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</si>
  <si>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</si>
  <si>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</si>
  <si>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</si>
  <si>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</si>
  <si>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</si>
  <si>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</si>
  <si>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</si>
  <si>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</si>
  <si>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</si>
  <si>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</si>
  <si>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</si>
  <si>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</si>
  <si>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</si>
  <si>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</si>
  <si>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</si>
  <si>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</si>
  <si>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</si>
  <si>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</si>
  <si>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</si>
  <si>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</si>
  <si>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</si>
  <si>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</si>
  <si>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</si>
  <si>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</si>
  <si>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</si>
  <si>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</si>
  <si>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</si>
  <si>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</si>
  <si>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</si>
  <si>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</si>
  <si>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</si>
  <si>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</si>
  <si>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</si>
  <si>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</si>
  <si>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</si>
  <si>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</si>
  <si>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</si>
  <si>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</si>
  <si>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</si>
  <si>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</si>
  <si>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</si>
  <si>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</si>
  <si>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</si>
  <si>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</si>
  <si>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</si>
  <si>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</si>
  <si>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</si>
  <si>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</si>
  <si>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</si>
  <si>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</si>
  <si>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</si>
  <si>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</si>
  <si>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</si>
  <si>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</si>
  <si>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</si>
  <si>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</si>
  <si>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</si>
  <si>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</si>
  <si>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</si>
  <si>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</si>
  <si>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</si>
  <si>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</si>
  <si>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</si>
  <si>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</si>
  <si>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</si>
  <si>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</si>
  <si>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</si>
  <si>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</si>
  <si>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</si>
  <si>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</si>
  <si>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</si>
  <si>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</si>
  <si>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</si>
  <si>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</si>
  <si>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</si>
  <si>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</si>
  <si>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</si>
  <si>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</si>
  <si>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</si>
  <si>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</si>
  <si>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</si>
  <si>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</si>
  <si>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</si>
  <si>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</si>
  <si>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</si>
  <si>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</si>
  <si>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</si>
  <si>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</si>
  <si>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</si>
  <si>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</si>
  <si>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</si>
  <si>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</si>
  <si>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</si>
  <si>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</si>
  <si>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</si>
  <si>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</si>
  <si>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</si>
  <si>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</si>
  <si>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</si>
  <si>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</si>
  <si>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</si>
  <si>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</si>
  <si>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</si>
  <si>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</si>
  <si>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</si>
  <si>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</si>
  <si>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</si>
  <si>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</si>
  <si>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</si>
  <si>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</si>
  <si>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</si>
  <si>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</si>
  <si>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</si>
  <si>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</si>
  <si>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</si>
  <si>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</si>
  <si>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</si>
  <si>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</si>
  <si>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</si>
  <si>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</si>
  <si>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</si>
  <si>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</si>
  <si>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</si>
  <si>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</si>
  <si>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</si>
  <si>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</si>
  <si>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</si>
  <si>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</si>
  <si>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</si>
  <si>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</si>
  <si>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</si>
  <si>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</si>
  <si>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</si>
  <si>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</si>
  <si>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</si>
  <si>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</si>
  <si>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</si>
  <si>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</si>
  <si>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</si>
  <si>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</si>
  <si>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</si>
  <si>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</si>
  <si>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</si>
  <si>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</si>
  <si>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</si>
  <si>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</si>
  <si>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التنقل الإداري لوحدات المناورة - تمرين جاهزية مجموعة لواء الإمارات/1 (جندي الصحراء 2025/20)</t>
  </si>
  <si>
    <r>
      <t>1.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توفر التعليمات والأوامر الضرورية للتنقـل مع قائـد القافلة</t>
    </r>
    <r>
      <rPr>
        <b/>
        <sz val="12"/>
        <color rgb="FF000000"/>
        <rFont val="Arial"/>
        <family val="2"/>
      </rPr>
      <t>، وتشمل:</t>
    </r>
  </si>
  <si>
    <t>أ.   أمر / برقية الحركة من المستوى الأعلـى.</t>
  </si>
  <si>
    <t>ب. وجود أمـر التنقل ودقة البيانات الواردة به.</t>
  </si>
  <si>
    <t>جـ. وجود جدول التنقل ودقة البيانات الواردة به.</t>
  </si>
  <si>
    <t>د.  وجود يومية التنقل ودقة البيانات الواردة بها.</t>
  </si>
  <si>
    <r>
      <t>2.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مدى التقيد بالتوقيتات، الوقفات، السرعة، الكثافة، الطرق ونقاط السيطرة.</t>
    </r>
  </si>
  <si>
    <r>
      <t>3.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مدى إلمام قائد القافلة (بالأوامر الصادرة في أمر / جدول / يومية مخطط / التنقل، المواقف الطارئة مثل إلغاء أو تأخير حركة القافلة).</t>
    </r>
  </si>
  <si>
    <r>
      <t>4.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جاهزيـة الضباط والأفــراد من حيث (الأسلحـة الشخصيـة، اللبـاس، البطاقة والرخـص العسكرية، بطاقة الطريق لكل قائد آلية، وسيلة إضاءة مع كل سائق، القلادة المعدنيـة).</t>
    </r>
  </si>
  <si>
    <r>
      <t>5.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تعيين أفراد حراسة مع القافلة حسب التعليمات.</t>
    </r>
  </si>
  <si>
    <r>
      <t>6.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التنسيـق مـع الشرطـة العسكرية.</t>
    </r>
  </si>
  <si>
    <r>
      <t>7.</t>
    </r>
    <r>
      <rPr>
        <b/>
        <sz val="7"/>
        <color theme="1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جاهزية آليات القافلة</t>
    </r>
    <r>
      <rPr>
        <b/>
        <sz val="12"/>
        <color theme="1"/>
        <rFont val="Arial"/>
        <family val="2"/>
      </rPr>
      <t>، من حيـث:</t>
    </r>
  </si>
  <si>
    <t>أ.   وجود الأعلام الضرورية (علم أزرق في بداية ونهاية كل مجموعة، علم أصفر في حالة عطل الآليـة، عدم وضع أعلام حمراء على الآليات التي تحمل ذخائر أو متفجرات).</t>
  </si>
  <si>
    <t>ب. وجود عدة / جدول التحميل والركوب لكل آلية.</t>
  </si>
  <si>
    <t>جـ. مدى صلاحية وجاهزية الآليات من حيث (الوقود، المياه، الإطار الاحتياطي، شباك التمويه مع أعمدة التثبيت).</t>
  </si>
  <si>
    <r>
      <t>8.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حمولة آليات القافلة</t>
    </r>
    <r>
      <rPr>
        <b/>
        <sz val="12"/>
        <color theme="1"/>
        <rFont val="Arial"/>
        <family val="2"/>
      </rPr>
      <t>، من حيـث:</t>
    </r>
  </si>
  <si>
    <t>أ.   التأكد من عدم تحميل الآليات أكثر من حمولتها أو وضع حمولة غير مرتبة بحيث توحي بأنها محملة أكثر من حمولتها.</t>
  </si>
  <si>
    <t>ب. التأكد من تحميل ثلث ذخيرة الخط الأول لجميع الأصناف في صناديق (أثناء التنقل لتنفيذ التمارين الخارجية) مع وجود سند صرف لاستلام الذخائر.</t>
  </si>
  <si>
    <t>جـ. التأكد من تغطية حمولة الآليات (الأسلحة، الذخائر، معدات عسكرية) ومدى صلاحية الأغطية وتثبيتها.</t>
  </si>
  <si>
    <r>
      <t>9.</t>
    </r>
    <r>
      <rPr>
        <b/>
        <sz val="7"/>
        <color theme="1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عند تحميل أي ذخيرة في القافلة</t>
    </r>
    <r>
      <rPr>
        <b/>
        <sz val="12"/>
        <color theme="1"/>
        <rFont val="Arial"/>
        <family val="2"/>
      </rPr>
      <t>، يتم توفير الآتي:</t>
    </r>
  </si>
  <si>
    <t>أ. سيارة إطفاء والتأكد من جاهزيتها وصلاحيتها وكفاءة طاقمها.</t>
  </si>
  <si>
    <t>ب. أفراد حراسة مع السلاح الشخصي والذخيرة المقررة للحراسة وملمين بواجباتهم وموزعين على القافلة.</t>
  </si>
  <si>
    <r>
      <t>10.</t>
    </r>
    <r>
      <rPr>
        <b/>
        <sz val="7"/>
        <color rgb="FF000000"/>
        <rFont val="Times New Roman"/>
        <family val="1"/>
      </rPr>
      <t xml:space="preserve">    </t>
    </r>
    <r>
      <rPr>
        <b/>
        <sz val="12"/>
        <color rgb="FF000000"/>
        <rFont val="Arial"/>
        <family val="2"/>
      </rPr>
      <t>الشؤون الإدارية.</t>
    </r>
  </si>
  <si>
    <t>أ.   توفر الإعاشة أثناء التنقـل.</t>
  </si>
  <si>
    <t>ب. سيارة إسعاف مع طبيب / ممرضة أو ممرض قانوني بكامل التجهيزات.</t>
  </si>
  <si>
    <t>جـ. وجود آلية إنقاذ مع فريق (ميكانيكي، كهربائي حسب نوع الآليات المتنقلة) وإلمام الفريق بتشغيل وسيلة الإنقـاذ.</t>
  </si>
  <si>
    <t>د.  وجود آلية إنقاذ مركبات احتياط لآليات النقل الثقيلة.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</si>
</sst>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  <font>
      <b/>
      <sz val="7"/>
      <color theme="1"/>
      <name val="Times New Roman"/>
      <family val="1"/>
    </font>
    <font>
      <b/>
      <u/>
      <sz val="12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6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378825</xdr:colOff>
      <xdr:row>37</xdr:row>
      <xdr:rowOff>111427</xdr:rowOff>
    </xdr:from>
    <xdr:to>
      <xdr:col>8</xdr:col>
      <xdr:colOff>568884</xdr:colOff>
      <xdr:row>37</xdr:row>
      <xdr:rowOff>512827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0B2C85F-2DAA-AD5E-704B-20621E10C4A1}"/>
                </a:ext>
              </a:extLst>
            </xdr14:cNvPr>
            <xdr14:cNvContentPartPr/>
          </xdr14:nvContentPartPr>
          <xdr14:nvPr macro=""/>
          <xdr14:xfrm>
            <a:off x="10398676025" y="18151200"/>
            <a:ext cx="1506240" cy="401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0B2C85F-2DAA-AD5E-704B-20621E10C4A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667385" y="18142560"/>
              <a:ext cx="1523880" cy="41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443615</xdr:colOff>
      <xdr:row>37</xdr:row>
      <xdr:rowOff>197467</xdr:rowOff>
    </xdr:from>
    <xdr:to>
      <xdr:col>9</xdr:col>
      <xdr:colOff>794</xdr:colOff>
      <xdr:row>37</xdr:row>
      <xdr:rowOff>532627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6CB8266-DB7B-8894-39F8-78CF692505D1}"/>
                </a:ext>
              </a:extLst>
            </xdr14:cNvPr>
            <xdr14:cNvContentPartPr/>
          </xdr14:nvContentPartPr>
          <xdr14:nvPr macro=""/>
          <xdr14:xfrm>
            <a:off x="10398586025" y="18237240"/>
            <a:ext cx="873360" cy="3351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6CB8266-DB7B-8894-39F8-78CF692505D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577385" y="18228600"/>
              <a:ext cx="891000" cy="352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6T03:59:46.0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4073 117 4664,'0'0'0,"5"-20"889,-5 2-233,0 0-72,0 2-224,0 16-360,0 0 296,0-2-88,0 1-40,0 1 0,0 0-168,0 0 240,0 0 32,0 0 64,0 0-8,0 0-1504,-3 0 2665,1 0-1289,2 0-136,-3 0-80,3 0 16,-4 0-88,-1 3 64,3 0-48,-12 1 24,14-4 48,-7 14-16,-8-10-32,4 14 32,6-14-8,5-4 24,-14 17-41,9-13 17,-8 12 0,8-12 16,5-4 8,-12 16-48,7-12-120,0 7-72,1-8-160,4-3 400,-2 3-600,-5 1-120,7-1-32,0-3 80,0 0 672,0 3-448,0-3 208,2 0 128,3 0 120,-5 0-8,0 0 80,2 0 32,2-1 24,1-2-32,-5 3-104,3-5 72,9 1-56,-10 0 0,3-2 24,-5 6-40,2-4 16,4-2 8,-1 2 8,-2 0-32,-3 4 0,4-5 24,1 4 24,-5 0-8,5-1-16,-5 2-24,0 0 24,0 0 0,0 0-48,0 0 8,0 0 8,0 0-48,-2 0-32,-1 0-32,3 0-16,0 0 136,0 0-104,-2 0 32,2 3 40,-3-3 32,3 0 0,-2 3-8,0 0 24,-1 0-16,1-1 0,2-2 0,-3 0 24,2 3-16,-1 0 8,-1 0 0,3-3-16,0 0 24,0 3-24,-2 0 16,2 1 0,0-4-16,-3 3-8,1 1 32,0-1 0,2 1 0,0-4-24,0 4 32,-3 8-8,3-9-16,-2 1 16,2-4-24,-3 13 16,1-11-16,-3 11 24,3-8 16,2-5-40,-11 15 40,6-11 0,-10 13 0,11-4 16,4-13-56,-14 14 72,0 2 8,-5 1 16,-2 0-8,21-17-88,-21 19 96,-3-1-16,-1-1 16,1 2 16,24-19-112,-23 15 168,-5 0 64,1-1 56,-3-3 80,30-11-368,-28 4 392,0 11 56,2-12-8,-2 1-24,28-4-416,-25 11 401,-2-11-33,-1 0-16,0 3-48,28-3-304,-25 0 216,-4 0-40,1-1-56,0-4-24,28 5-96,-28-5 104,0-10-24,2 3 64,3-1 56,23 13-200,-22-17 296,10-2 144,-3-1 8,-2-1-8,17 21-440,-5-23 336,-6-1-160,6-1-48,0-1-128,5 26 0,0-26-24,-2-1-48,2 0-32,2 2 48,-2 25 56,12-26-88,-9 5 32,10 1-40,2 3-88,-15 17 184,13-17-152,1 1-16,3 1 24,2 2 16,-19 13 128,19-12-88,-3 7-72,5-7-8,-7 10 56,-14 2 112,19-3-224,-6 1 32,-1 1 48,0 1-8,-12 0 152,12 0-88,-10 4 32,15 9-16,-13-9 64,-4-4 8,15 14-56,-13-9 32,2 12 56,-1-3 16,-3-14-48,0 13 72,0 1 32,0 0-56,0-1 56,0-13-104,-5 14 136,-9 2-16,2-1 120,-2 2-80,14-17-160,-11 18 200,-4-1-16,0 1-32,-5-2-48,20-16-104,-23 15 88,-1 1 56,1 0-96,1-4 152,22-12-200,-23 13 176,0-9-24,4 12 112,1-12-47,18-4-217,-22 15 168,4-11 8,-4 9 32,4-9-96,18-4-112,-22 11 104,7-8-16,-2 1-176,3 8 120,14-12-32,-14 3 0,-3 1-32,6 0 224,-3 0-232,14-4 40,-5 5 96,-7-3-152,12 1-40,-3-3 88,3 0 8,-6 3-64,4-3 128,2 0-80,-3 0 64,3 0-48,0 0 40,0 0-16,-2 0-32,0 0 8,2 0 0,0 0-32,-3 0 32,1 0-24,-3 0 32,5 0-8,-5 3 0,-6-3-32,-1 3 88,-2 0-120,14-3 64,-11 3-16,-9 1 64,-5 7-72,-4-7 72,29-4-48,-35 15 40,-5-4-32,-2 0 48,-4 2-48,46-13-8,-52 16-48,-5-1 32,-6 1-80,-2 0 144,65-16-48,-78 17 64,3 1-32,-9 1 88,-3 2-152,87-21 32,-96 24 48,-5 2 24,-4-1-88,-8 4 88,113-29-72,-115 27 64,-4 0 0,-1-2 160,0 1-72,120-26-152,-119 24 48,6 2 40,3-2-176,5-3 40,105-21 48,-98 22 112,1-4-216,8-1 176,9 0-64,80-17-8,-70 14-40,12 1 112,6-3-200,9-7-184,43-5 312,-35 14-712,8-11-481,7 1-503,4 0-496,16-4 2192,-4 0-2097,-1 0 273,5-1 15,0-3 321,0 4 1488,17-5-1224,-2-6 408,13-3 416,-28 14 400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6T03:59:47.2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2300 55 1704,'0'0'0,"2"-3"1688,-2 3-1688,13-4 1697,-10-1-705,-1 1-64,-2 0-72,0 4-856,-5-5 728,-8 4-200,-1 0-175,-7-1-201,21 2-152,-25 0 80,-7 3-40,-7 10 56,-2-2 72,41-11-168,-44 12 216,-2 0 88,-5 1 72,2 3 56,49-16-432,-59 14 480,2 3-32,-6 3-32,-8 1-24,71-21-392,-76 24 304,-4 2-24,-6 1-24,-3 2-79,89-29-177,-92 28 256,-3 0-32,-6 4-24,-3-1 40,104-31-240,-106 33 104,-2 0 88,7-1-184,2-3 24,99-29-32,-92 27 112,4-1-80,14-5 112,6-2-120,68-19-24,-58 14 0,12-3-16,7-6-16,9 6 56,30-11-24,-23 3 32,0 0-168,19 0-88,-3-1-448,7-2 672,0 0-1441,0 0-239,11 0 152,6-4 359,-17 4 1169,18-11-576,12-2 200,7-5 16,4-2 8,-41 20 352,48-25-304,7 1 120,1-1 40,8-2 8,-64 27 136,64-26-96,1-2 8,-1 3 32,-2-1 24,-62 26 32,63-23-48,1-1 56,-4 1 24,-1-1-16,-59 24-16,59-23 48,-9 3 16,-2-1-16,-2 3 0,-46 18-48,41-19 128,1 1-40,-5 2 64,-5 0 40,-32 16-192,30-11 120,-12 7 24,-4-2 16,-9 3 120,-5 3-280,0-1 560,0-1 312,0 2 233,-5 0-105,5 0-1000,-11 0 664,-5 3-400,-9 2-240,-6 9-72,31-14 48,-34 11-48,-7 2-24,-3 4 24,-4 0-8,48-17 56,-54 19-16,3-1-8,-8 0 16,-3 1 32,62-19-24,-62 20 8,-5-2 0,5-1 24,-3 0 16,65-17-48,-62 15 48,5-4 16,1-7-8,4 11 56,52-15-112,-49 2 24,6 10 16,4-12-16,4 4-16,35-4-8,-32 4 32,7-1-8,1 0 16,6-3-72,18 0 32,-14 0 64,3 0-24,11 0 24,-3-1 8,3 1-72,-2-3 96,2-2-80,0 1-72,2 0-8,-2 4 64,3-11-152,8 6 56,-6-8 16,9 2 120,-14 11-40,11-11-16,1-2-16,-8 2 16,8-1-72,-12 12 88,5-11 8,8 5 48,-8-8 16,6 3-72,-11 11 0,5-12-16,11-1 72,-4 1-56,-1-1 16,-11 13-16,14-16 40,-3 0-96,10-1 64,-3-2 0,-18 19-8,23-18 0,3 0 32,1 1-48,4 1 40,-31 16-24,29-15 32,6 0-64,-1 3-8,5-1 32,-39 13 8,38-12-48,-2 7 48,0-7 24,2 8-48,-38 4 24,34-4 16,3 1-32,-2 2 32,4 1 32,-39 0-48,35 0-24,-1 4 48,0 9-16,-6-9-32,-28-4 24,25 17 0,3-3-24,-7 2 0,-1 4 8,-20-20 16,16 21-16,0 5 56,3 2-24,-3 3-16,-16-31 0,11 35 88,1-3-56,-3 2 24,-5 3 56,-4-37-112,10 37 48,-5 3 24,-1 3-32,8-1 16,-12-42-56,5 43 0,6-2-24,-7-1 8,17-3-72,-21-37 88,13 35-56,4 1 24,2-2-16,4-3 120,-23-31-72,23 30 48,6-3-40,4-3 0,1-4-112,-34-20 104,40 18-64,3-6 0,3-8-240,7 0-664,-53-4 968,57 0-1672,8 0-705,0-1-1496,-65 1 3873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topLeftCell="C29" zoomScale="130" zoomScaleNormal="100" zoomScaleSheetLayoutView="130" workbookViewId="0">
      <selection activeCell="C2" sqref="C2:D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9" t="s">
        <v>180</v>
      </c>
      <c r="C1" s="79"/>
      <c r="D1" s="79"/>
      <c r="E1" s="79"/>
      <c r="F1" s="79"/>
      <c r="G1" s="79"/>
      <c r="H1" s="79"/>
      <c r="I1" s="79"/>
      <c r="J1" s="79"/>
    </row>
    <row r="2" spans="1:10" ht="30" customHeight="1" x14ac:dyDescent="0.3">
      <c r="B2" s="13" t="s">
        <v>8</v>
      </c>
      <c r="C2" s="85" t="s">
        <v>44</v>
      </c>
      <c r="D2" s="85"/>
      <c r="E2" s="13" t="s">
        <v>7</v>
      </c>
      <c r="F2" s="80">
        <v>45930</v>
      </c>
      <c r="G2" s="80"/>
      <c r="H2" s="80"/>
      <c r="I2" s="80"/>
      <c r="J2" s="80"/>
    </row>
    <row r="3" spans="1:10" ht="30" customHeight="1" x14ac:dyDescent="0.3">
      <c r="B3" s="13" t="s">
        <v>9</v>
      </c>
      <c r="C3" s="85" t="s">
        <v>85</v>
      </c>
      <c r="D3" s="85"/>
      <c r="E3" s="13" t="s">
        <v>6</v>
      </c>
      <c r="F3" s="85" t="s">
        <v>100</v>
      </c>
      <c r="G3" s="85"/>
      <c r="H3" s="85"/>
      <c r="I3" s="85"/>
      <c r="J3" s="8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81" t="s">
        <v>0</v>
      </c>
      <c r="C5" s="82"/>
      <c r="D5" s="82"/>
      <c r="E5" s="90" t="s">
        <v>1</v>
      </c>
      <c r="F5" s="90"/>
      <c r="G5" s="90"/>
      <c r="H5" s="90"/>
      <c r="I5" s="90" t="s">
        <v>2</v>
      </c>
      <c r="J5" s="91"/>
    </row>
    <row r="6" spans="1:10" ht="24.9" customHeight="1" thickBot="1" x14ac:dyDescent="0.35">
      <c r="A6" s="11"/>
      <c r="B6" s="83"/>
      <c r="C6" s="84"/>
      <c r="D6" s="84"/>
      <c r="E6" s="12" t="s">
        <v>3</v>
      </c>
      <c r="F6" s="12" t="s">
        <v>4</v>
      </c>
      <c r="G6" s="12" t="s">
        <v>23</v>
      </c>
      <c r="H6" s="12" t="s">
        <v>24</v>
      </c>
      <c r="I6" s="92"/>
      <c r="J6" s="93"/>
    </row>
    <row r="7" spans="1:10" ht="24.9" customHeight="1" thickBot="1" x14ac:dyDescent="0.35">
      <c r="A7" s="11"/>
      <c r="B7" s="88" t="s">
        <v>21</v>
      </c>
      <c r="C7" s="89"/>
      <c r="D7" s="89"/>
      <c r="E7" s="36" t="s">
        <v>18</v>
      </c>
      <c r="F7" s="36" t="s">
        <v>19</v>
      </c>
      <c r="G7" s="36" t="s">
        <v>22</v>
      </c>
      <c r="H7" s="36" t="s">
        <v>20</v>
      </c>
      <c r="I7" s="99" t="s">
        <v>25</v>
      </c>
      <c r="J7" s="100"/>
    </row>
    <row r="8" spans="1:10" ht="39.9" customHeight="1" x14ac:dyDescent="0.3">
      <c r="A8" s="11"/>
      <c r="B8" s="57" t="s">
        <v>181</v>
      </c>
      <c r="C8" s="58"/>
      <c r="D8" s="58"/>
      <c r="E8" s="30"/>
      <c r="F8" s="40"/>
      <c r="G8" s="41"/>
      <c r="H8" s="42"/>
      <c r="I8" s="65"/>
      <c r="J8" s="66"/>
    </row>
    <row r="9" spans="1:10" ht="39.9" customHeight="1" x14ac:dyDescent="0.3">
      <c r="A9" s="11"/>
      <c r="B9" s="53" t="s">
        <v>182</v>
      </c>
      <c r="C9" s="54"/>
      <c r="D9" s="54"/>
      <c r="E9" s="31">
        <v>5</v>
      </c>
      <c r="F9" s="27">
        <v>4</v>
      </c>
      <c r="G9" s="38">
        <f>IFERROR(F9/E9,"")</f>
        <v>0.8</v>
      </c>
      <c r="H9" s="39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61"/>
      <c r="J9" s="62"/>
    </row>
    <row r="10" spans="1:10" ht="39.9" customHeight="1" x14ac:dyDescent="0.3">
      <c r="A10" s="11"/>
      <c r="B10" s="53" t="s">
        <v>183</v>
      </c>
      <c r="C10" s="54"/>
      <c r="D10" s="54"/>
      <c r="E10" s="31">
        <v>8</v>
      </c>
      <c r="F10" s="27">
        <v>7</v>
      </c>
      <c r="G10" s="38">
        <f t="shared" ref="G10:G33" si="0">IFERROR(F10/E10,"")</f>
        <v>0.875</v>
      </c>
      <c r="H10" s="39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61"/>
      <c r="J10" s="62"/>
    </row>
    <row r="11" spans="1:10" ht="39.9" customHeight="1" x14ac:dyDescent="0.3">
      <c r="A11" s="11"/>
      <c r="B11" s="53" t="s">
        <v>184</v>
      </c>
      <c r="C11" s="54"/>
      <c r="D11" s="54"/>
      <c r="E11" s="31">
        <v>5</v>
      </c>
      <c r="F11" s="27">
        <v>4</v>
      </c>
      <c r="G11" s="38">
        <f t="shared" si="0"/>
        <v>0.8</v>
      </c>
      <c r="H11" s="39" t="str">
        <f t="shared" si="1"/>
        <v>جيد جداً</v>
      </c>
      <c r="I11" s="61"/>
      <c r="J11" s="62"/>
    </row>
    <row r="12" spans="1:10" ht="39.9" customHeight="1" thickBot="1" x14ac:dyDescent="0.35">
      <c r="A12" s="11"/>
      <c r="B12" s="55" t="s">
        <v>185</v>
      </c>
      <c r="C12" s="56"/>
      <c r="D12" s="56"/>
      <c r="E12" s="32">
        <v>5</v>
      </c>
      <c r="F12" s="29">
        <v>4</v>
      </c>
      <c r="G12" s="43">
        <f t="shared" si="0"/>
        <v>0.8</v>
      </c>
      <c r="H12" s="44" t="str">
        <f t="shared" si="1"/>
        <v>جيد جداً</v>
      </c>
      <c r="I12" s="63"/>
      <c r="J12" s="64"/>
    </row>
    <row r="13" spans="1:10" ht="39.9" customHeight="1" thickBot="1" x14ac:dyDescent="0.35">
      <c r="A13" s="11"/>
      <c r="B13" s="49" t="s">
        <v>186</v>
      </c>
      <c r="C13" s="50"/>
      <c r="D13" s="50"/>
      <c r="E13" s="33">
        <v>10</v>
      </c>
      <c r="F13" s="45">
        <v>8</v>
      </c>
      <c r="G13" s="46">
        <f t="shared" si="0"/>
        <v>0.8</v>
      </c>
      <c r="H13" s="28" t="str">
        <f t="shared" si="1"/>
        <v>جيد جداً</v>
      </c>
      <c r="I13" s="71"/>
      <c r="J13" s="72"/>
    </row>
    <row r="14" spans="1:10" ht="39.9" customHeight="1" thickBot="1" x14ac:dyDescent="0.35">
      <c r="A14" s="11"/>
      <c r="B14" s="49" t="s">
        <v>187</v>
      </c>
      <c r="C14" s="50"/>
      <c r="D14" s="50"/>
      <c r="E14" s="10">
        <v>10</v>
      </c>
      <c r="F14" s="45">
        <v>8</v>
      </c>
      <c r="G14" s="46">
        <f t="shared" si="0"/>
        <v>0.8</v>
      </c>
      <c r="H14" s="28" t="str">
        <f t="shared" si="1"/>
        <v>جيد جداً</v>
      </c>
      <c r="I14" s="71"/>
      <c r="J14" s="72"/>
    </row>
    <row r="15" spans="1:10" ht="57" customHeight="1" thickBot="1" x14ac:dyDescent="0.35">
      <c r="A15" s="11"/>
      <c r="B15" s="49" t="s">
        <v>188</v>
      </c>
      <c r="C15" s="50"/>
      <c r="D15" s="50"/>
      <c r="E15" s="10">
        <v>10</v>
      </c>
      <c r="F15" s="45">
        <v>8.25</v>
      </c>
      <c r="G15" s="46">
        <f t="shared" si="0"/>
        <v>0.82499999999999996</v>
      </c>
      <c r="H15" s="28" t="str">
        <f t="shared" si="1"/>
        <v>جيد جداً</v>
      </c>
      <c r="I15" s="71"/>
      <c r="J15" s="72"/>
    </row>
    <row r="16" spans="1:10" ht="39.9" customHeight="1" thickBot="1" x14ac:dyDescent="0.35">
      <c r="A16" s="11"/>
      <c r="B16" s="49" t="s">
        <v>189</v>
      </c>
      <c r="C16" s="50"/>
      <c r="D16" s="50"/>
      <c r="E16" s="10">
        <v>10</v>
      </c>
      <c r="F16" s="45">
        <v>8.5</v>
      </c>
      <c r="G16" s="46">
        <f t="shared" si="0"/>
        <v>0.85</v>
      </c>
      <c r="H16" s="28" t="str">
        <f t="shared" si="1"/>
        <v>جيد جداً</v>
      </c>
      <c r="I16" s="71"/>
      <c r="J16" s="72"/>
    </row>
    <row r="17" spans="1:10" ht="39.9" customHeight="1" thickBot="1" x14ac:dyDescent="0.35">
      <c r="A17" s="11"/>
      <c r="B17" s="49" t="s">
        <v>190</v>
      </c>
      <c r="C17" s="50"/>
      <c r="D17" s="50"/>
      <c r="E17" s="10">
        <v>5</v>
      </c>
      <c r="F17" s="45">
        <v>4</v>
      </c>
      <c r="G17" s="46">
        <f t="shared" si="0"/>
        <v>0.8</v>
      </c>
      <c r="H17" s="28" t="str">
        <f t="shared" si="1"/>
        <v>جيد جداً</v>
      </c>
      <c r="I17" s="71"/>
      <c r="J17" s="72"/>
    </row>
    <row r="18" spans="1:10" ht="39.9" customHeight="1" x14ac:dyDescent="0.3">
      <c r="A18" s="11"/>
      <c r="B18" s="51" t="s">
        <v>191</v>
      </c>
      <c r="C18" s="52"/>
      <c r="D18" s="52"/>
      <c r="E18" s="30"/>
      <c r="F18" s="40"/>
      <c r="G18" s="41"/>
      <c r="H18" s="42"/>
      <c r="I18" s="65"/>
      <c r="J18" s="66"/>
    </row>
    <row r="19" spans="1:10" ht="51" customHeight="1" x14ac:dyDescent="0.3">
      <c r="A19" s="11"/>
      <c r="B19" s="53" t="s">
        <v>192</v>
      </c>
      <c r="C19" s="54"/>
      <c r="D19" s="54"/>
      <c r="E19" s="9">
        <v>6</v>
      </c>
      <c r="F19" s="27">
        <v>4.25</v>
      </c>
      <c r="G19" s="38">
        <f t="shared" si="0"/>
        <v>0.70833333333333337</v>
      </c>
      <c r="H19" s="39" t="str">
        <f t="shared" si="1"/>
        <v>جيد</v>
      </c>
      <c r="I19" s="61"/>
      <c r="J19" s="62"/>
    </row>
    <row r="20" spans="1:10" ht="39.9" customHeight="1" x14ac:dyDescent="0.3">
      <c r="A20" s="11"/>
      <c r="B20" s="53" t="s">
        <v>193</v>
      </c>
      <c r="C20" s="54"/>
      <c r="D20" s="54"/>
      <c r="E20" s="9">
        <v>6</v>
      </c>
      <c r="F20" s="27">
        <v>5</v>
      </c>
      <c r="G20" s="38">
        <f t="shared" si="0"/>
        <v>0.83333333333333337</v>
      </c>
      <c r="H20" s="39" t="str">
        <f t="shared" si="1"/>
        <v>جيد جداً</v>
      </c>
      <c r="I20" s="61"/>
      <c r="J20" s="62"/>
    </row>
    <row r="21" spans="1:10" ht="39.9" customHeight="1" thickBot="1" x14ac:dyDescent="0.35">
      <c r="A21" s="11"/>
      <c r="B21" s="55" t="s">
        <v>194</v>
      </c>
      <c r="C21" s="56"/>
      <c r="D21" s="56"/>
      <c r="E21" s="34">
        <v>6</v>
      </c>
      <c r="F21" s="29">
        <v>5</v>
      </c>
      <c r="G21" s="43">
        <f t="shared" si="0"/>
        <v>0.83333333333333337</v>
      </c>
      <c r="H21" s="44" t="str">
        <f t="shared" si="1"/>
        <v>جيد جداً</v>
      </c>
      <c r="I21" s="63"/>
      <c r="J21" s="64"/>
    </row>
    <row r="22" spans="1:10" ht="39.9" customHeight="1" x14ac:dyDescent="0.3">
      <c r="A22" s="11"/>
      <c r="B22" s="57" t="s">
        <v>195</v>
      </c>
      <c r="C22" s="58"/>
      <c r="D22" s="58"/>
      <c r="E22" s="35"/>
      <c r="F22" s="40"/>
      <c r="G22" s="41"/>
      <c r="H22" s="42"/>
      <c r="I22" s="65"/>
      <c r="J22" s="66"/>
    </row>
    <row r="23" spans="1:10" ht="39.9" customHeight="1" x14ac:dyDescent="0.3">
      <c r="A23" s="11"/>
      <c r="B23" s="53" t="s">
        <v>196</v>
      </c>
      <c r="C23" s="54"/>
      <c r="D23" s="54"/>
      <c r="E23" s="31">
        <v>6</v>
      </c>
      <c r="F23" s="27">
        <v>5</v>
      </c>
      <c r="G23" s="38">
        <f t="shared" si="0"/>
        <v>0.83333333333333337</v>
      </c>
      <c r="H23" s="39" t="str">
        <f t="shared" si="1"/>
        <v>جيد جداً</v>
      </c>
      <c r="I23" s="61"/>
      <c r="J23" s="62"/>
    </row>
    <row r="24" spans="1:10" ht="51" customHeight="1" x14ac:dyDescent="0.3">
      <c r="A24" s="11"/>
      <c r="B24" s="53" t="s">
        <v>197</v>
      </c>
      <c r="C24" s="54"/>
      <c r="D24" s="54"/>
      <c r="E24" s="31">
        <v>10</v>
      </c>
      <c r="F24" s="27">
        <v>8</v>
      </c>
      <c r="G24" s="38">
        <f t="shared" si="0"/>
        <v>0.8</v>
      </c>
      <c r="H24" s="39" t="str">
        <f t="shared" si="1"/>
        <v>جيد جداً</v>
      </c>
      <c r="I24" s="61"/>
      <c r="J24" s="62"/>
    </row>
    <row r="25" spans="1:10" ht="39.9" customHeight="1" thickBot="1" x14ac:dyDescent="0.35">
      <c r="A25" s="11"/>
      <c r="B25" s="55" t="s">
        <v>198</v>
      </c>
      <c r="C25" s="56"/>
      <c r="D25" s="56"/>
      <c r="E25" s="32">
        <v>5</v>
      </c>
      <c r="F25" s="29">
        <v>3.75</v>
      </c>
      <c r="G25" s="43">
        <f t="shared" si="0"/>
        <v>0.75</v>
      </c>
      <c r="H25" s="44" t="str">
        <f t="shared" si="1"/>
        <v>جيد</v>
      </c>
      <c r="I25" s="63"/>
      <c r="J25" s="64"/>
    </row>
    <row r="26" spans="1:10" ht="39.9" customHeight="1" x14ac:dyDescent="0.3">
      <c r="A26" s="11"/>
      <c r="B26" s="51" t="s">
        <v>199</v>
      </c>
      <c r="C26" s="52"/>
      <c r="D26" s="52"/>
      <c r="E26" s="30"/>
      <c r="F26" s="40"/>
      <c r="G26" s="41"/>
      <c r="H26" s="42"/>
      <c r="I26" s="65"/>
      <c r="J26" s="66"/>
    </row>
    <row r="27" spans="1:10" ht="39.9" customHeight="1" x14ac:dyDescent="0.3">
      <c r="A27" s="11"/>
      <c r="B27" s="53" t="s">
        <v>200</v>
      </c>
      <c r="C27" s="54"/>
      <c r="D27" s="54"/>
      <c r="E27" s="9">
        <v>10</v>
      </c>
      <c r="F27" s="27">
        <v>8</v>
      </c>
      <c r="G27" s="38">
        <f t="shared" si="0"/>
        <v>0.8</v>
      </c>
      <c r="H27" s="39" t="str">
        <f t="shared" si="1"/>
        <v>جيد جداً</v>
      </c>
      <c r="I27" s="61"/>
      <c r="J27" s="62"/>
    </row>
    <row r="28" spans="1:10" ht="39.9" customHeight="1" thickBot="1" x14ac:dyDescent="0.35">
      <c r="A28" s="11"/>
      <c r="B28" s="55" t="s">
        <v>201</v>
      </c>
      <c r="C28" s="56"/>
      <c r="D28" s="56"/>
      <c r="E28" s="34">
        <v>10</v>
      </c>
      <c r="F28" s="29">
        <v>8</v>
      </c>
      <c r="G28" s="43">
        <f t="shared" si="0"/>
        <v>0.8</v>
      </c>
      <c r="H28" s="44" t="str">
        <f t="shared" si="1"/>
        <v>جيد جداً</v>
      </c>
      <c r="I28" s="63"/>
      <c r="J28" s="64"/>
    </row>
    <row r="29" spans="1:10" ht="39.9" customHeight="1" x14ac:dyDescent="0.3">
      <c r="A29" s="11"/>
      <c r="B29" s="57" t="s">
        <v>202</v>
      </c>
      <c r="C29" s="58"/>
      <c r="D29" s="58"/>
      <c r="E29" s="30"/>
      <c r="F29" s="40"/>
      <c r="G29" s="41"/>
      <c r="H29" s="42"/>
      <c r="I29" s="65"/>
      <c r="J29" s="66"/>
    </row>
    <row r="30" spans="1:10" ht="39.9" customHeight="1" x14ac:dyDescent="0.3">
      <c r="A30" s="11"/>
      <c r="B30" s="59" t="s">
        <v>203</v>
      </c>
      <c r="C30" s="60"/>
      <c r="D30" s="60"/>
      <c r="E30" s="9">
        <v>5</v>
      </c>
      <c r="F30" s="27">
        <v>4.25</v>
      </c>
      <c r="G30" s="38">
        <f t="shared" si="0"/>
        <v>0.85</v>
      </c>
      <c r="H30" s="39" t="str">
        <f t="shared" si="1"/>
        <v>جيد جداً</v>
      </c>
      <c r="I30" s="61"/>
      <c r="J30" s="62"/>
    </row>
    <row r="31" spans="1:10" ht="39.9" customHeight="1" x14ac:dyDescent="0.3">
      <c r="A31" s="11"/>
      <c r="B31" s="59" t="s">
        <v>204</v>
      </c>
      <c r="C31" s="60"/>
      <c r="D31" s="60"/>
      <c r="E31" s="9">
        <v>6</v>
      </c>
      <c r="F31" s="27">
        <v>5</v>
      </c>
      <c r="G31" s="38">
        <f t="shared" si="0"/>
        <v>0.83333333333333337</v>
      </c>
      <c r="H31" s="39" t="str">
        <f t="shared" si="1"/>
        <v>جيد جداً</v>
      </c>
      <c r="I31" s="61"/>
      <c r="J31" s="62"/>
    </row>
    <row r="32" spans="1:10" ht="39.9" customHeight="1" x14ac:dyDescent="0.3">
      <c r="A32" s="11"/>
      <c r="B32" s="59" t="s">
        <v>205</v>
      </c>
      <c r="C32" s="60"/>
      <c r="D32" s="60"/>
      <c r="E32" s="9">
        <v>6</v>
      </c>
      <c r="F32" s="27">
        <v>5</v>
      </c>
      <c r="G32" s="38">
        <f t="shared" si="0"/>
        <v>0.83333333333333337</v>
      </c>
      <c r="H32" s="39" t="str">
        <f t="shared" si="1"/>
        <v>جيد جداً</v>
      </c>
      <c r="I32" s="61"/>
      <c r="J32" s="62"/>
    </row>
    <row r="33" spans="1:10" ht="39.9" customHeight="1" thickBot="1" x14ac:dyDescent="0.35">
      <c r="A33" s="11"/>
      <c r="B33" s="47" t="s">
        <v>206</v>
      </c>
      <c r="C33" s="48"/>
      <c r="D33" s="48"/>
      <c r="E33" s="32">
        <v>6</v>
      </c>
      <c r="F33" s="29">
        <v>5</v>
      </c>
      <c r="G33" s="43">
        <f t="shared" si="0"/>
        <v>0.83333333333333337</v>
      </c>
      <c r="H33" s="44" t="str">
        <f t="shared" si="1"/>
        <v>جيد جداً</v>
      </c>
      <c r="I33" s="63"/>
      <c r="J33" s="64"/>
    </row>
    <row r="34" spans="1:10" ht="30" customHeight="1" thickBot="1" x14ac:dyDescent="0.35">
      <c r="A34" s="4"/>
      <c r="B34" s="67" t="s">
        <v>5</v>
      </c>
      <c r="C34" s="68"/>
      <c r="D34" s="68"/>
      <c r="E34" s="37">
        <f>SUM(E8:E33)</f>
        <v>150</v>
      </c>
      <c r="F34" s="37">
        <f>SUM(F8:F33)</f>
        <v>122</v>
      </c>
      <c r="G34" s="96"/>
      <c r="H34" s="97"/>
      <c r="I34" s="97"/>
      <c r="J34" s="98"/>
    </row>
    <row r="35" spans="1:10" ht="30" customHeight="1" thickBot="1" x14ac:dyDescent="0.35">
      <c r="A35" s="4"/>
      <c r="B35" s="69" t="s">
        <v>54</v>
      </c>
      <c r="C35" s="70"/>
      <c r="D35" s="70"/>
      <c r="E35" s="86">
        <f>F34/E34/100*100</f>
        <v>0.81333333333333324</v>
      </c>
      <c r="F35" s="86"/>
      <c r="G35" s="86"/>
      <c r="H35" s="86"/>
      <c r="I35" s="86"/>
      <c r="J35" s="87"/>
    </row>
    <row r="36" spans="1:10" ht="30" customHeight="1" thickBot="1" x14ac:dyDescent="0.35">
      <c r="A36" s="4"/>
      <c r="B36" s="69" t="s">
        <v>55</v>
      </c>
      <c r="C36" s="70"/>
      <c r="D36" s="70"/>
      <c r="E36" s="77" t="str">
        <f>_xlfn.IFS(E35&gt;=90%,"ممتاز",E35&gt;=80%,"جيد جداً",E35&gt;=70%,"جيد",E35&gt;=60%,"مقبول",E35&lt;60%,"راسب")</f>
        <v>جيد جداً</v>
      </c>
      <c r="F36" s="77"/>
      <c r="G36" s="77"/>
      <c r="H36" s="77"/>
      <c r="I36" s="77"/>
      <c r="J36" s="78"/>
    </row>
    <row r="37" spans="1:10" ht="42" customHeight="1" x14ac:dyDescent="0.3">
      <c r="B37" s="73" t="s">
        <v>174</v>
      </c>
      <c r="C37" s="73"/>
      <c r="D37" s="73"/>
      <c r="E37" s="94" t="s">
        <v>52</v>
      </c>
      <c r="F37" s="94"/>
      <c r="G37" s="75" t="s">
        <v>100</v>
      </c>
      <c r="H37" s="75"/>
      <c r="I37" s="75"/>
      <c r="J37" s="75"/>
    </row>
    <row r="38" spans="1:10" ht="51" customHeight="1" x14ac:dyDescent="0.3">
      <c r="A38" s="5"/>
      <c r="B38" s="74"/>
      <c r="C38" s="74"/>
      <c r="D38" s="74"/>
      <c r="E38" s="95" t="s">
        <v>53</v>
      </c>
      <c r="F38" s="95"/>
      <c r="G38" s="76"/>
      <c r="H38" s="76"/>
      <c r="I38" s="76"/>
      <c r="J38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E37:F37"/>
    <mergeCell ref="E38:F38"/>
    <mergeCell ref="G34:J34"/>
    <mergeCell ref="I9:J9"/>
    <mergeCell ref="I7:J7"/>
    <mergeCell ref="I10:J10"/>
    <mergeCell ref="I19:J19"/>
    <mergeCell ref="I20:J20"/>
    <mergeCell ref="I21:J21"/>
    <mergeCell ref="I33:J33"/>
    <mergeCell ref="I8:J8"/>
    <mergeCell ref="B37:D38"/>
    <mergeCell ref="G37:J37"/>
    <mergeCell ref="G38:J38"/>
    <mergeCell ref="E36:J36"/>
    <mergeCell ref="B1:J1"/>
    <mergeCell ref="F2:J2"/>
    <mergeCell ref="B5:D6"/>
    <mergeCell ref="C2:D2"/>
    <mergeCell ref="C3:D3"/>
    <mergeCell ref="F3:J3"/>
    <mergeCell ref="E35:J35"/>
    <mergeCell ref="B7:D7"/>
    <mergeCell ref="I30:J30"/>
    <mergeCell ref="I31:J31"/>
    <mergeCell ref="E5:H5"/>
    <mergeCell ref="I5:J6"/>
    <mergeCell ref="B34:D34"/>
    <mergeCell ref="B35:D35"/>
    <mergeCell ref="B36:D3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2:J22"/>
    <mergeCell ref="B13:D13"/>
    <mergeCell ref="B14:D14"/>
    <mergeCell ref="B15:D15"/>
    <mergeCell ref="B16:D16"/>
    <mergeCell ref="I32:J32"/>
    <mergeCell ref="I23:J23"/>
    <mergeCell ref="I24:J24"/>
    <mergeCell ref="I25:J25"/>
    <mergeCell ref="I26:J26"/>
    <mergeCell ref="I27:J27"/>
    <mergeCell ref="B31:D31"/>
    <mergeCell ref="B32:D32"/>
    <mergeCell ref="B8:D8"/>
    <mergeCell ref="B9:D9"/>
    <mergeCell ref="B10:D10"/>
    <mergeCell ref="B11:D11"/>
    <mergeCell ref="B12:D12"/>
    <mergeCell ref="B33:D33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58">
      <formula>$E36="مقبول"</formula>
    </cfRule>
    <cfRule type="expression" dxfId="12" priority="59">
      <formula>$E36="جيد"</formula>
    </cfRule>
    <cfRule type="expression" dxfId="11" priority="60">
      <formula>$E36="جيد جداً"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F17 F25 F9 F11:F12 F30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5E57C85F-CD35-45D5-8B1B-7469709ED2C1}">
          <x14:formula1>
            <xm:f>'بيانات التقييم'!$A$111:$A$145</xm:f>
          </x14:formula1>
          <xm:sqref>F10</xm:sqref>
        </x14:dataValidation>
        <x14:dataValidation type="list" allowBlank="1" showInputMessage="1" showErrorMessage="1" xr:uid="{F486ED15-E659-4472-AFB1-6D20FDE27AA0}">
          <x14:formula1>
            <xm:f>'بيانات التقييم'!$A$111:$A$153</xm:f>
          </x14:formula1>
          <xm:sqref>F13:F16 F24 F27 F28</xm:sqref>
        </x14:dataValidation>
        <x14:dataValidation type="list" allowBlank="1" showInputMessage="1" showErrorMessage="1" xr:uid="{69B34E0D-46B7-419B-A848-76314E7C967B}">
          <x14:formula1>
            <xm:f>'بيانات التقييم'!$A$111:$A$137</xm:f>
          </x14:formula1>
          <xm:sqref>F19 F20 F21 F23 F31 F32 F33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6" zoomScaleNormal="100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2025-10-07T17:36:55Z</dcterms:modified>
</cp:coreProperties>
</file>