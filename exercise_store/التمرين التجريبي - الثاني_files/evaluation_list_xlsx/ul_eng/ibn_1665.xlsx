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5A32CCE-DF39-42B8-8994-A02DFCCBCE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F56" i="2"/>
  <c r="E56" i="2"/>
  <c r="E57" i="2"/>
  <c r="E58" i="2"/>
</calcChain>
</file>

<file path=xl/sharedStrings.xml><?xml version="1.0" encoding="utf-8"?>
<sst xmlns="http://schemas.openxmlformats.org/spreadsheetml/2006/main" count="286" uniqueCount="231">
  <si>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</si>
  <si>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</si>
  <si>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</si>
  <si>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</si>
  <si>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</si>
  <si>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</si>
  <si>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</si>
  <si>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</si>
  <si>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</si>
  <si>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</si>
  <si>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</si>
  <si>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</si>
  <si>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</si>
  <si>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</si>
  <si>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</si>
  <si>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</si>
  <si>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</si>
  <si>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</si>
  <si>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</si>
  <si>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</si>
  <si>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</si>
  <si>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</si>
  <si>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</si>
  <si>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</si>
  <si>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</si>
  <si>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</si>
  <si>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</si>
  <si>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</si>
  <si>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</si>
  <si>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</si>
  <si>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</si>
  <si>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</si>
  <si>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</si>
  <si>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</si>
  <si>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</si>
  <si>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</si>
  <si>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</si>
  <si>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</si>
  <si>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</si>
  <si>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</si>
  <si>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</si>
  <si>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</si>
  <si>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</si>
  <si>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</si>
  <si>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</si>
  <si>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</si>
  <si>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</si>
  <si>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</si>
  <si>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</si>
  <si>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</si>
  <si>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</si>
  <si>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</si>
  <si>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</si>
  <si>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</si>
  <si>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</si>
  <si>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</si>
  <si>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</si>
  <si>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</si>
  <si>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</si>
  <si>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</si>
  <si>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</si>
  <si>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</si>
  <si>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</si>
  <si>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</si>
  <si>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</si>
  <si>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</si>
  <si>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</si>
  <si>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</si>
  <si>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</si>
  <si>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</si>
  <si>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</si>
  <si>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</si>
  <si>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</si>
  <si>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</si>
  <si>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</si>
  <si>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</si>
  <si>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</si>
  <si>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</si>
  <si>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</si>
  <si>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</si>
  <si>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</si>
  <si>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</si>
  <si>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</si>
  <si>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</si>
  <si>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</si>
  <si>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</si>
  <si>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</si>
  <si>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</si>
  <si>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</si>
  <si>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</si>
  <si>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</si>
  <si>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</si>
  <si>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</si>
  <si>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</si>
  <si>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</si>
  <si>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</si>
  <si>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</si>
  <si>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</si>
  <si>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</si>
  <si>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</si>
  <si>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</si>
  <si>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</si>
  <si>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</si>
  <si>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</si>
  <si>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</si>
  <si>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</si>
  <si>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</si>
  <si>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</si>
  <si>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</si>
  <si>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</si>
  <si>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</si>
  <si>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</si>
  <si>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</si>
  <si>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</si>
  <si>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</si>
  <si>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</si>
  <si>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</si>
  <si>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</si>
  <si>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</si>
  <si>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</si>
  <si>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</si>
  <si>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</si>
  <si>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</si>
  <si>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</si>
  <si>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</si>
  <si>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</si>
  <si>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</si>
  <si>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</si>
  <si>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</si>
  <si>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</si>
  <si>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</si>
  <si>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</si>
  <si>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</si>
  <si>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</si>
  <si>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</si>
  <si>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</si>
  <si>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</si>
  <si>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</si>
  <si>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</si>
  <si>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</si>
  <si>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</si>
  <si>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</si>
  <si>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</si>
  <si>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</si>
  <si>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</si>
  <si>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</si>
  <si>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</si>
  <si>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</si>
  <si>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</si>
  <si>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</si>
  <si>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</si>
  <si>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</si>
  <si>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</si>
  <si>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</si>
  <si>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</si>
  <si>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</si>
  <si>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</si>
  <si>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</si>
  <si>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</si>
  <si>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</si>
  <si>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</si>
  <si>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</si>
  <si>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</si>
  <si>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</si>
  <si>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</si>
  <si>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</si>
  <si>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</si>
  <si>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</si>
  <si>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</si>
  <si>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</si>
  <si>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</si>
  <si>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</si>
  <si>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</si>
  <si>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</si>
  <si>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</si>
  <si>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</si>
  <si>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</si>
  <si>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</si>
  <si>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</si>
  <si>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</si>
  <si>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التحضير.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</si>
  <si>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السرية بالتحضير لاحتلال منطقة التجمع كما يلي:</t>
    </r>
  </si>
  <si>
    <t xml:space="preserve">أ.   تنفيذ تفقدات وتفتيشات ما قبل المعركة.        </t>
  </si>
  <si>
    <t>ب. الإشراف على إجراءات الفصائل المرؤوسة للتأكد من أن جهود التخطيط والتحضير تنفذ بما يتوافق مع قصد القائد.</t>
  </si>
  <si>
    <t>جـ. إجراء التجارب خلال ساعات النهار وفي ظل ظروف الرؤية المحدودة إن أمكن.</t>
  </si>
  <si>
    <t>د.  يصدر قائد السرية الأوامر لمعالجة أية تعديلات تطرأ على الخطة خلال التجارب وحسب الضرورة.</t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</si>
  <si>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التجارب بحيث يشمل:</t>
    </r>
  </si>
  <si>
    <t>أ.   أسلوب الحركة من الموقع الحالي لمنطقة التجمع.</t>
  </si>
  <si>
    <t>ب. إجراءات التماس مع العدو أثناء الحركة.</t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</si>
  <si>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يصدر قائد السريَّة الأوامر لمعالجة أية تعديلات تطرأ على الخطة خلال التجارب وحسب الضرورة.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</si>
  <si>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تحريك السريَّة إلى منطقة الاصطفاف المخصصة (نقطة البدء) تمهيدًا لبدء الحركة.</t>
    </r>
  </si>
  <si>
    <t>مرحلة التخطيط.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</si>
  <si>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يعمل القادة في السريَّة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</si>
  <si>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تستلم السريَّة أمر العمليات ويتم البدء بالتخطيط للعملية.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</si>
  <si>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قيادة مجموعة اللواء بتحديد موقع كل وحدة مرؤوسة ضمن منطقة التجمع من خلال المخططات / الشفافات أو الاحداثيات.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</si>
  <si>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يقوم قائد السريَّة ونائبه ووكيل السريَّة بالاستطلاع من الخارطة وتأشير نقاط الترجل.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</si>
  <si>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الاستطلاع من الأرض إن أمكن للتأكد من أن منطقة التجمع المخصصة للسريَّة تكون كما يلي:</t>
    </r>
  </si>
  <si>
    <t>أ.   محمية ومستورة.</t>
  </si>
  <si>
    <t>ب. واسعة بحيث تساعد الوحدات المرؤوسة على الانفتاح والانتشار وبما يتوافق مع الموقف التعبوي لقوات العدو والقوات الصديقة.</t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</si>
  <si>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وضع الإشارات والعلامات لمنطقة تجمع السريَّة.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</si>
  <si>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قيادة السريَّة بتحديد موقع لكل فصيل ضمن منطقة التجمع.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</si>
  <si>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الأفراد الذين سيعملون ضمن جماعة المأوى.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</si>
  <si>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نظام المسير الذي يساعد على الاحتلال السريع لمنطقة التجمع وحسب أوامر مجموعة اللواء.</t>
    </r>
  </si>
  <si>
    <r>
      <t>10.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إعداد خطة للدفاع عن منطقة التجمع ضمن منطقة السريَّة وحسب أوامر مجموعة اللواء.</t>
    </r>
  </si>
  <si>
    <r>
      <t>11.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تحديد أولوية العمل وتنفيذ أعمال الصيانة وإعادة التزويد.</t>
    </r>
  </si>
  <si>
    <r>
      <t>12.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إصدار الأوامر للفصائل المرؤوسة.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</si>
  <si>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</si>
  <si>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تحريك السرية إلى منطقة الاصطفاف المخصصة (نقطة البدء) تمهيدًا لبدء الحركة.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</si>
  <si>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بالأمر تغادر جماعة المأوى نقطة الانتشار وتتحرك إلى منطقة التجمع.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</si>
  <si>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تحريك الجسم الرئيسي واحتلال منطقة التجمع حسب الخطة الموضوعة.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</si>
  <si>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تطبق إجراءات حماية القوات أثناء الحركة.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</si>
  <si>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تنظيم الدخول لمنطقة التجمع بنظام الفصائل وحسب تسلسل بدء الحركة ونظام المسير لكل فصيل ويأخذ كل فصيل قطاع محدد. 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</si>
  <si>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توجيه الأسلحة لتغطية قواطع المسؤولية.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</si>
  <si>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إبلاغ قيادة مجموعة اللواء بالوصول إلى منطقة التجمع.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</si>
  <si>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مركز القيادة والنقليات في منتصف منطقة التجمع للسرية.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</si>
  <si>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الأعمال في منطقة التجمع حسب الأولوية والأوامر التعبوية المستديمة وكما يلي:</t>
    </r>
  </si>
  <si>
    <t>أ.   تعيين قواطع النيران المباشرة للفصائل.</t>
  </si>
  <si>
    <t>ب. الدفاع الدائري ودفع نقاط الحراسة والمراقبة والإنذار المبكر وحسب أوامر مجموعة اللواء.</t>
  </si>
  <si>
    <t>جـ. تأكيد تفهم الأوامر وخطة العملية القادمة.</t>
  </si>
  <si>
    <t>د.  إعادة تزويد الآليات في حال كانت المسافة بعيدة بين منطقة الحشد والتجمع أو كانت الأرض وعرة وساعات تشغيل الآليات طويلة.</t>
  </si>
  <si>
    <r>
      <t>10.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تنفيذ إجراءات الحماية على مستوى السرية وكما يلي:</t>
    </r>
  </si>
  <si>
    <t>أ.   تعيين قواطع المسؤولية للفصائل بحيث تتقاطع أقواس الرمي فيما بينها لضمان الإسناد المتبادل وتغطية الفجوات بين القواطع بالنار والمراقبة.</t>
  </si>
  <si>
    <t>ب. إخراج الدوريات لمنع تسلل قوات العدو، وتطهير نقاط مراقبة العدو المحتملة ضمن قاطع المسؤولية (حسب الحاجة).</t>
  </si>
  <si>
    <t>جـ. تعيين نقطة مراقبة وتعيين الأفراد المعنيين بإدامتها.</t>
  </si>
  <si>
    <t>د.  التأكد من الاتصالات بين نقاط المراقبة والسرية.</t>
  </si>
  <si>
    <t>هـ. السيطرة على الإضاءة والضوضاء والتخلص من الفضلات.</t>
  </si>
  <si>
    <r>
      <t>11.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تناول وجبة ساخنة طازجة إذا سمح الوقت.</t>
    </r>
  </si>
  <si>
    <r>
      <t>12.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Arial"/>
        <family val="2"/>
      </rPr>
      <t>تغادر السرية منطقة التجمع في الوقت المحدد في أمر العمليات أو حسب أوامر مجموعة اللواء.</t>
    </r>
  </si>
  <si>
    <r>
      <rPr>
        <b/>
        <sz val="14"/>
        <color rgb="FF000000"/>
        <rFont val="Arial"/>
        <family val="2"/>
      </rPr>
      <t>تقييم سرية الهندسة في إحتلال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</si>
  <si>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نقيب / مطر محمد بالهوش</t>
  </si>
  <si>
    <t>النقيب/ سلطان حسن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</si>
</sst>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24" xfId="0" applyFont="1" applyFill="1" applyBorder="1" applyAlignment="1" applyProtection="1">
      <alignment horizontal="center" vertical="center" wrapText="1" readingOrder="2"/>
      <protection locked="0"/>
    </xf>
    <xf numFmtId="0" fontId="14" fillId="0" borderId="18" xfId="0" applyFont="1" applyBorder="1" applyAlignment="1">
      <alignment horizontal="right" vertical="center" wrapText="1" indent="3" readingOrder="2"/>
    </xf>
    <xf numFmtId="0" fontId="14" fillId="0" borderId="3" xfId="0" applyFont="1" applyBorder="1" applyAlignment="1">
      <alignment horizontal="right" vertical="center" wrapText="1" indent="3" readingOrder="2"/>
    </xf>
    <xf numFmtId="0" fontId="14" fillId="0" borderId="18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2" fillId="0" borderId="27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vertical="center" wrapText="1" readingOrder="2"/>
    </xf>
    <xf numFmtId="0" fontId="13" fillId="5" borderId="4" xfId="0" applyFont="1" applyFill="1" applyBorder="1" applyAlignment="1">
      <alignment vertical="center" wrapText="1" readingOrder="2"/>
    </xf>
    <xf numFmtId="0" fontId="13" fillId="5" borderId="6" xfId="0" applyFont="1" applyFill="1" applyBorder="1" applyAlignment="1">
      <alignment vertical="center" wrapText="1" readingOrder="2"/>
    </xf>
    <xf numFmtId="0" fontId="13" fillId="5" borderId="16" xfId="0" applyFont="1" applyFill="1" applyBorder="1" applyAlignment="1">
      <alignment vertical="center" wrapText="1" readingOrder="2"/>
    </xf>
    <xf numFmtId="0" fontId="13" fillId="5" borderId="17" xfId="0" applyFont="1" applyFill="1" applyBorder="1" applyAlignment="1">
      <alignment vertical="center" wrapText="1" readingOrder="2"/>
    </xf>
    <xf numFmtId="0" fontId="13" fillId="5" borderId="19" xfId="0" applyFont="1" applyFill="1" applyBorder="1" applyAlignment="1">
      <alignment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645367</xdr:colOff>
      <xdr:row>58</xdr:row>
      <xdr:rowOff>441920</xdr:rowOff>
    </xdr:from>
    <xdr:to>
      <xdr:col>9</xdr:col>
      <xdr:colOff>179146</xdr:colOff>
      <xdr:row>59</xdr:row>
      <xdr:rowOff>621108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D60B7E4-1048-AAC9-60CC-F69E013B9FBC}"/>
                </a:ext>
              </a:extLst>
            </xdr14:cNvPr>
            <xdr14:cNvContentPartPr/>
          </xdr14:nvContentPartPr>
          <xdr14:nvPr macro=""/>
          <xdr14:xfrm>
            <a:off x="10398407673" y="28762920"/>
            <a:ext cx="849960" cy="710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D60B7E4-1048-AAC9-60CC-F69E013B9FB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401553" y="28756800"/>
              <a:ext cx="862200" cy="722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59:21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536 1676 2024,'0'0'0,"-11"0"1312,9 3-464,2-3-848,-17 4 833,13 7-289,-3-11-352,2 0 8,5 0-200,-5 3 344,1 0 48,4-3 192,-3 0 144,3 0-728,0 0 664,0 3-32,0-3-79,0 0-65,0 0-488,0 0 496,0-2-32,0 1-96,0-2-200,0 3-168,3-4 0,-3-7-120,0 5 16,-3-10 64,3 16 40,-2-14-8,-5-4-8,-5-7-64,10-3 24,2 28 56,-11-34-40,6-1 32,-12-2 32,6 0 8,11 37-32,-14-36 56,3 2 0,-1 4 32,-2 3-40,14 27-48,-14-24 48,5 3 8,-3 7-32,8 3 24,4 11-48,-11-5 0,8 1 0,1 0-24,2 2 0,0 2 24,0-1-88,0 0-16,0 1 24,2 0-16,-2 0 96,14 2-16,-7 13-24,6-1 32,2 6 16,-15-20-8,13 28-32,1 4 0,0 8-8,3 6-16,-17-46 56,13 47-8,4 4 8,-6 1-24,1-5-24,-12-47 48,11 44-56,1-6 16,0-4-16,-1-5 32,-11-29 24,12 24-32,-8-5 16,8-7 8,-10-7-24,-2-5 32,5 12 0,-5-12-24,0 0 48,0 0 32,0 0-56,0 0 32,0 0 0,-12 0-32,-1 0 24,13 0-24,-17-1 16,-1-2 24,-3-3-24,2-6-24,19 12 8,-26-12 0,3-1-8,-2-1 16,-1-3-16,26 17 8,-27-20 24,-1 0 0,0-2-16,0-4 40,28 26-48,-28-26 0,-4-1 24,2 0-24,2-1 40,28 28-40,-23-25 8,-1 1-16,6 4 8,2 3 8,16 17-8,-14-14 16,3 8 48,6-6-16,0 11-32,5 1-16,0-3 16,-2 2-48,2-1 0,0 1-48,0 1 80,12 0-56,1 0 24,1 0 8,10 0 32,-24 0-8,27 0-16,1 0 0,6 0-80,1-2 96,-35 2 0,40-4 0,-8-1-48,1-8 96,2 8-96,-35 5 48,28-12-56,2 7 56,0-9-40,-2 9-104,-28 5 144,23-15-24,0 4 0,-2 5 32,-4-9-16,-17 15 8,15-6-16,-1-8-16,-12 1-24,10 1 128,-12 12-72,5-13-24,-2-1 0,1-2 8,-4 0 16,0 16 0,-2-14 8,-3 0 40,-7 2 0,7 8-8,5 4-40,-16-11 104,2 11 56,-2 0 64,5 3-56,11-3-168,-17 12 184,-1 4-88,1 5-48,1 6-80,16-27 32,-18 32 0,-1 6-16,5 0-16,0 6 104,14-44-72,-6 46-8,-6-1 0,9 5-48,-1 2 32,4-52 24,-4 53-64,4 1 16,0-3 16,0-4-16,0-47 48,4 44 0,8-5-32,-8-8-24,10-4-112,-14-27 168,12 20-96,-1-5-8,3-11-40,-3 9 8,-11-13 136,15 0-216,-10 0 24,10-2 0,-10-2 64,-5 4 128,16-16-128,-13 1 72,6-2 8,-4-3 48,-5 20 0,5-22-24,6 1 8,-9 1 32,-2-1 16,0 21-32,7-18 0,-2 1-8,-5-2-8,4 1-56,-4 18 72,0-20 16,0 0-32,0 3 72,0-2-32,0 19-24,-1-14 32,-2 1 72,-4 9-72,-5 0 80,12 4-112,-4-3 120,-8 2-24,7 1 48,-8 0 0,13 0-144,-3 0 96,1 0-8,-3 2-56,0-2 0,5 0-32,0 3-16,0-3-32,0 0 0,0 3-32,0-3 80,3 3-40,2-3 24,-3 4 8,9-1-24,-11-3 32,3 3-32,4-3-32,2 3 24,-4 0 32,-5-3 8,2 0-72,10 0 80,-8 0-40,7 0 16,-11 0 16,3-2 16,9 1-40,-10-1-8,3 1 8,-5 1 24,9-1-16,-9-1 8,4 1 16,1-1-40,-5 2 32,5-1-24,0 1 16,4-2 0,-9 2 8,4 0 0,8 0-8,-9-1 32,8 1 32,-11 0-56,5-1-24,10-1 64,2 1-104,2-1 40,-19 2 24,16-1-8,3-1-24,-1-2 64,3-1-16,-21 5-16,19-13 24,4 0-32,0-3-8,0-4-48,-23 20 64,25-25-24,-2-3-8,3-8 16,2-2 56,-28 38-40,25-46-32,1-3 40,0-8 8,-3-7-8,-23 64-8,21-68 8,-1-5-16,-7 0 40,-7-4-72,-6 77 40,12-81 24,-12-4 0,2-8-32,1-1 56,-3 94-48,0-96 0,0 2 16,0 10 48,-12 17-24,12 67-40,-16-47 136,-3 24 56,0 19 48,-4 4 80,23 0-320,-18 14 256,-1 10-96,0 16-104,1 14-32,18-54-24,-17 68-40,-1 12 32,7 4-32,9 4-8,2-88 48,-5 91-64,2 2 32,3 4 24,0 5-56,0-102 64,3 103 16,4 1-32,4-3-24,-4-9 32,-7-92 8,16 85-56,1-5-32,-4-7 32,2-4 24,-15-69 32,11 58-24,1-5 32,-3-11-80,-5-10 24,-4-32 48,17 23-56,-13-9 16,-2-11 8,3 0-72,-5-3 104,5 0-96,-3 0-96,-2-4 64,3-13 16,-3 17 112,5-23-112,-1-8 56,-4-6-16,0 0 48,0 37 24,0-35-24,0 2 16,-2 3-24,-5 2 0,7 28 32,-15-24 32,13-1-24,-14 4 48,5 4 8,11 17-64,-12-17 24,-2 6 48,5 7 0,4-9-32,5 13-40,-14-3 48,10-1-16,2 0 16,-1 2 8,3 2-56,0-1 32,0-1-32,0 2-56,0 0 24,0 0 32,0 0-112,0 0 72,0 3 0,3 1 24,-3-4 16,4 5 64,0 8-72,8-9-8,-9 10 0,-3-14 16,4 14-8,7-1 32,-6 2-24,7 1-16,-12-16 16,5 17-24,6 0-16,1 1 40,-8 0-48,-4-18 48,12 17-24,-10-3 40,10 0-8,-8-10 24,-4-4-32,12 13-48,-7-10 0,-2 0 8,1 1 24,-4-4 16,4 3 40,8 0-56,-9-3-16,-1 0 24,-2 0 8,5 0 0,-4 0 24,2-2-16,1-1-8,-4 3 0,5-4-24,7-9 24,-9 1-32,12-5 40,-15 17-8,12-20-48,0-6 72,4-4-16,-2-4-24,-14 34 16,16-41 16,0-7 24,0-6-48,3-6 64,-19 60-56,19-65 72,-1-9-80,3-4 0,-4-10-40,-17 88 48,20-95-16,-8-4 0,2 1 64,-2 3 32,-12 95-80,2-88 72,2 8-16,-4 3-48,0 0-16,0 77 8,-3-73-56,-10 5 72,-1 10 56,0 10-8,14 48-64,-20-40 120,3 7-80,-2 6 32,6 9 48,13 18-120,-12-13 224,0 10 56,1 3 104,6 3-64,5-3-320,-13 20 240,1 10-104,7 15-112,-6 16 0,11-61-24,-5 72-8,5 5 16,0 3-16,5 0-56,-5-80 64,16 78-40,2 1 8,3-1-40,3 1 56,-24-79 16,20 78-56,3 0 0,3 3 48,-3 0-64,-23-81 72,23 80-16,-1-4 8,-4 1-16,2-8-24,-20-69 48,17 61-48,-1-7-8,-2-6-16,-12-9 64,-2-39 8,17 32-32,-15-7 32,1-8 8,0-6 0,-3-11-8,5 3 72,-5 0-64,0 0 48,-5-3-64,5 0 8,-3 0-56,-9 0 64,4-2-64,-8-2 16,16 4 40,-12-14 16,-1 1-104,-8-1 32,2-3 40,19 17 16,-23-22-40,0 0 16,-5-4 32,-2-2 40,30 28-48,-35-27 40,1-1 8,-6-1-24,1 1-56,39 28 32,-45-30 0,2 1 0,-6 1 8,-4 2 32,53 26-40,-52-25 32,-3 2 0,-3 5-40,7-1-16,51 19 24,-58-14-24,-3 1 40,-2 8 16,1 1 16,62 4-48,-62-3 32,3 3 16,4 0 40,6 3 0,49-3-88,-46 11 88,9-7-8,1 8 80,13-10-16,23-2-144,-13 5 128,8-3-72,3 3-144,7 8-40,-5-13 128,27 11-184,5 3-16,10-2 64,14-9-16,-56-3 152,67 0-88,14-3 8,7-15 48,12 1 40,-100 17-8,109-20-8,5-1-8,2-3-16,3-3-64,-119 27 96,120-28-88,1-4 64,4-5-72,7-1 48,-132 38 48,132-44-112,5-1-160,-7-2-1281,3-4-895,-133 51 2448,122-50-4777,-122 50 4777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F7" sqref="F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3" t="s">
        <v>228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3">
      <c r="B2" s="9" t="s">
        <v>8</v>
      </c>
      <c r="C2" s="59" t="s">
        <v>12</v>
      </c>
      <c r="D2" s="59"/>
      <c r="E2" s="9" t="s">
        <v>7</v>
      </c>
      <c r="F2" s="54">
        <v>45952</v>
      </c>
      <c r="G2" s="54"/>
      <c r="H2" s="54"/>
      <c r="I2" s="54"/>
      <c r="J2" s="54"/>
    </row>
    <row r="3" spans="1:10" ht="30" customHeight="1" x14ac:dyDescent="0.3">
      <c r="B3" s="9" t="s">
        <v>9</v>
      </c>
      <c r="C3" s="59" t="s">
        <v>73</v>
      </c>
      <c r="D3" s="59"/>
      <c r="E3" s="9" t="s">
        <v>6</v>
      </c>
      <c r="F3" s="59" t="s">
        <v>59</v>
      </c>
      <c r="G3" s="59"/>
      <c r="H3" s="59"/>
      <c r="I3" s="59"/>
      <c r="J3" s="59"/>
    </row>
    <row r="4" spans="1:10" ht="30" customHeight="1" thickBot="1" x14ac:dyDescent="0.35">
      <c r="B4" s="6"/>
      <c r="C4" s="33"/>
      <c r="D4" s="33"/>
      <c r="E4" s="6"/>
      <c r="F4" s="33" t="s">
        <v>230</v>
      </c>
      <c r="G4" s="33"/>
      <c r="H4" s="33"/>
      <c r="I4" s="33"/>
      <c r="J4" s="33"/>
    </row>
    <row r="5" spans="1:10" ht="24.9" customHeight="1" x14ac:dyDescent="0.3">
      <c r="A5" s="7"/>
      <c r="B5" s="55" t="s">
        <v>0</v>
      </c>
      <c r="C5" s="56"/>
      <c r="D5" s="56"/>
      <c r="E5" s="64" t="s">
        <v>1</v>
      </c>
      <c r="F5" s="64"/>
      <c r="G5" s="64"/>
      <c r="H5" s="64"/>
      <c r="I5" s="64" t="s">
        <v>2</v>
      </c>
      <c r="J5" s="65"/>
    </row>
    <row r="6" spans="1:10" ht="24.9" customHeight="1" thickBot="1" x14ac:dyDescent="0.35">
      <c r="A6" s="7"/>
      <c r="B6" s="57"/>
      <c r="C6" s="58"/>
      <c r="D6" s="58"/>
      <c r="E6" s="8" t="s">
        <v>3</v>
      </c>
      <c r="F6" s="8" t="s">
        <v>4</v>
      </c>
      <c r="G6" s="8" t="s">
        <v>23</v>
      </c>
      <c r="H6" s="8" t="s">
        <v>24</v>
      </c>
      <c r="I6" s="66"/>
      <c r="J6" s="67"/>
    </row>
    <row r="7" spans="1:10" ht="24.9" customHeight="1" thickBot="1" x14ac:dyDescent="0.35">
      <c r="A7" s="7"/>
      <c r="B7" s="62" t="s">
        <v>21</v>
      </c>
      <c r="C7" s="63"/>
      <c r="D7" s="63"/>
      <c r="E7" s="27" t="s">
        <v>18</v>
      </c>
      <c r="F7" s="27" t="s">
        <v>19</v>
      </c>
      <c r="G7" s="27" t="s">
        <v>22</v>
      </c>
      <c r="H7" s="27" t="s">
        <v>20</v>
      </c>
      <c r="I7" s="68" t="s">
        <v>25</v>
      </c>
      <c r="J7" s="69"/>
    </row>
    <row r="8" spans="1:10" ht="39.9" customHeight="1" x14ac:dyDescent="0.3">
      <c r="A8" s="7"/>
      <c r="B8" s="76" t="s">
        <v>180</v>
      </c>
      <c r="C8" s="77"/>
      <c r="D8" s="77"/>
      <c r="E8" s="77"/>
      <c r="F8" s="77"/>
      <c r="G8" s="77"/>
      <c r="H8" s="77"/>
      <c r="I8" s="77"/>
      <c r="J8" s="78"/>
    </row>
    <row r="9" spans="1:10" ht="39.9" customHeight="1" x14ac:dyDescent="0.3">
      <c r="A9" s="7"/>
      <c r="B9" s="42" t="s">
        <v>181</v>
      </c>
      <c r="C9" s="43"/>
      <c r="D9" s="43"/>
      <c r="E9" s="25"/>
      <c r="F9" s="23"/>
      <c r="G9" s="29"/>
      <c r="H9" s="30"/>
      <c r="I9" s="34"/>
      <c r="J9" s="35"/>
    </row>
    <row r="10" spans="1:10" ht="39.9" customHeight="1" x14ac:dyDescent="0.3">
      <c r="A10" s="7"/>
      <c r="B10" s="40" t="s">
        <v>182</v>
      </c>
      <c r="C10" s="41"/>
      <c r="D10" s="41"/>
      <c r="E10" s="25">
        <v>5</v>
      </c>
      <c r="F10" s="23">
        <v>3.5</v>
      </c>
      <c r="G10" s="29">
        <f t="shared" ref="G10:G55" si="0">IFERROR(F10/E10,"")</f>
        <v>0.7</v>
      </c>
      <c r="H10" s="30" t="str">
        <f t="shared" ref="H10:H55" si="1">_xlfn.IFS(F10="أدخل العلامة","",F10="لا ينطبق","تم الإلغاء",G10&gt;=90%,"ممتاز",G10&gt;=80%,"جيد جداً",G10&gt;=70%,"جيد",G10&gt;=60%,"مقبول",G10&lt;60%,"راسب")</f>
        <v>جيد</v>
      </c>
      <c r="I10" s="34"/>
      <c r="J10" s="35"/>
    </row>
    <row r="11" spans="1:10" ht="39.9" customHeight="1" x14ac:dyDescent="0.3">
      <c r="A11" s="7"/>
      <c r="B11" s="40" t="s">
        <v>183</v>
      </c>
      <c r="C11" s="41"/>
      <c r="D11" s="41"/>
      <c r="E11" s="25">
        <v>5</v>
      </c>
      <c r="F11" s="23">
        <v>3.75</v>
      </c>
      <c r="G11" s="29">
        <f t="shared" si="0"/>
        <v>0.75</v>
      </c>
      <c r="H11" s="30" t="str">
        <f t="shared" si="1"/>
        <v>جيد</v>
      </c>
      <c r="I11" s="34"/>
      <c r="J11" s="35"/>
    </row>
    <row r="12" spans="1:10" ht="39.9" customHeight="1" x14ac:dyDescent="0.3">
      <c r="A12" s="7"/>
      <c r="B12" s="40" t="s">
        <v>184</v>
      </c>
      <c r="C12" s="41"/>
      <c r="D12" s="41"/>
      <c r="E12" s="25">
        <v>5</v>
      </c>
      <c r="F12" s="23">
        <v>3.5</v>
      </c>
      <c r="G12" s="29">
        <f t="shared" si="0"/>
        <v>0.7</v>
      </c>
      <c r="H12" s="30" t="str">
        <f t="shared" si="1"/>
        <v>جيد</v>
      </c>
      <c r="I12" s="34"/>
      <c r="J12" s="35"/>
    </row>
    <row r="13" spans="1:10" ht="39.9" customHeight="1" x14ac:dyDescent="0.3">
      <c r="A13" s="7"/>
      <c r="B13" s="40" t="s">
        <v>185</v>
      </c>
      <c r="C13" s="41"/>
      <c r="D13" s="41"/>
      <c r="E13" s="25">
        <v>5</v>
      </c>
      <c r="F13" s="23">
        <v>3.75</v>
      </c>
      <c r="G13" s="29">
        <f t="shared" si="0"/>
        <v>0.75</v>
      </c>
      <c r="H13" s="30" t="str">
        <f t="shared" si="1"/>
        <v>جيد</v>
      </c>
      <c r="I13" s="34"/>
      <c r="J13" s="35"/>
    </row>
    <row r="14" spans="1:10" ht="39.9" customHeight="1" x14ac:dyDescent="0.3">
      <c r="A14" s="7"/>
      <c r="B14" s="42" t="s">
        <v>186</v>
      </c>
      <c r="C14" s="43"/>
      <c r="D14" s="43"/>
      <c r="E14" s="25"/>
      <c r="F14" s="23"/>
      <c r="G14" s="29"/>
      <c r="H14" s="30"/>
      <c r="I14" s="34"/>
      <c r="J14" s="35"/>
    </row>
    <row r="15" spans="1:10" ht="39.9" customHeight="1" x14ac:dyDescent="0.3">
      <c r="A15" s="7"/>
      <c r="B15" s="40" t="s">
        <v>187</v>
      </c>
      <c r="C15" s="41"/>
      <c r="D15" s="41"/>
      <c r="E15" s="25">
        <v>5</v>
      </c>
      <c r="F15" s="23">
        <v>3.5</v>
      </c>
      <c r="G15" s="29">
        <f t="shared" si="0"/>
        <v>0.7</v>
      </c>
      <c r="H15" s="30" t="str">
        <f t="shared" si="1"/>
        <v>جيد</v>
      </c>
      <c r="I15" s="34"/>
      <c r="J15" s="35"/>
    </row>
    <row r="16" spans="1:10" ht="39.9" customHeight="1" x14ac:dyDescent="0.3">
      <c r="A16" s="7"/>
      <c r="B16" s="40" t="s">
        <v>188</v>
      </c>
      <c r="C16" s="41"/>
      <c r="D16" s="41"/>
      <c r="E16" s="25">
        <v>5</v>
      </c>
      <c r="F16" s="23">
        <v>3.5</v>
      </c>
      <c r="G16" s="29">
        <f t="shared" si="0"/>
        <v>0.7</v>
      </c>
      <c r="H16" s="30" t="str">
        <f t="shared" si="1"/>
        <v>جيد</v>
      </c>
      <c r="I16" s="34"/>
      <c r="J16" s="35"/>
    </row>
    <row r="17" spans="1:10" ht="39.9" customHeight="1" x14ac:dyDescent="0.3">
      <c r="A17" s="7"/>
      <c r="B17" s="42" t="s">
        <v>189</v>
      </c>
      <c r="C17" s="43"/>
      <c r="D17" s="43"/>
      <c r="E17" s="25">
        <v>5</v>
      </c>
      <c r="F17" s="23">
        <v>3.75</v>
      </c>
      <c r="G17" s="29">
        <f t="shared" si="0"/>
        <v>0.75</v>
      </c>
      <c r="H17" s="30" t="str">
        <f t="shared" si="1"/>
        <v>جيد</v>
      </c>
      <c r="I17" s="34"/>
      <c r="J17" s="35"/>
    </row>
    <row r="18" spans="1:10" ht="39.9" customHeight="1" thickBot="1" x14ac:dyDescent="0.35">
      <c r="A18" s="7"/>
      <c r="B18" s="74" t="s">
        <v>190</v>
      </c>
      <c r="C18" s="75"/>
      <c r="D18" s="75"/>
      <c r="E18" s="26">
        <v>5</v>
      </c>
      <c r="F18" s="24">
        <v>3.75</v>
      </c>
      <c r="G18" s="31">
        <f t="shared" si="0"/>
        <v>0.75</v>
      </c>
      <c r="H18" s="32" t="str">
        <f t="shared" si="1"/>
        <v>جيد</v>
      </c>
      <c r="I18" s="36"/>
      <c r="J18" s="37"/>
    </row>
    <row r="19" spans="1:10" ht="39.9" customHeight="1" x14ac:dyDescent="0.3">
      <c r="A19" s="7"/>
      <c r="B19" s="79" t="s">
        <v>191</v>
      </c>
      <c r="C19" s="80"/>
      <c r="D19" s="80"/>
      <c r="E19" s="80"/>
      <c r="F19" s="80"/>
      <c r="G19" s="80"/>
      <c r="H19" s="80"/>
      <c r="I19" s="80"/>
      <c r="J19" s="81"/>
    </row>
    <row r="20" spans="1:10" ht="39.9" customHeight="1" x14ac:dyDescent="0.3">
      <c r="A20" s="7"/>
      <c r="B20" s="42" t="s">
        <v>192</v>
      </c>
      <c r="C20" s="43"/>
      <c r="D20" s="43"/>
      <c r="E20" s="25">
        <v>5</v>
      </c>
      <c r="F20" s="23">
        <v>3.75</v>
      </c>
      <c r="G20" s="29">
        <f t="shared" si="0"/>
        <v>0.75</v>
      </c>
      <c r="H20" s="30" t="str">
        <f t="shared" si="1"/>
        <v>جيد</v>
      </c>
      <c r="I20" s="34"/>
      <c r="J20" s="35"/>
    </row>
    <row r="21" spans="1:10" ht="39.9" customHeight="1" x14ac:dyDescent="0.3">
      <c r="A21" s="7"/>
      <c r="B21" s="42" t="s">
        <v>193</v>
      </c>
      <c r="C21" s="43"/>
      <c r="D21" s="43"/>
      <c r="E21" s="25">
        <v>5</v>
      </c>
      <c r="F21" s="23">
        <v>3.5</v>
      </c>
      <c r="G21" s="29">
        <f t="shared" si="0"/>
        <v>0.7</v>
      </c>
      <c r="H21" s="30" t="str">
        <f t="shared" si="1"/>
        <v>جيد</v>
      </c>
      <c r="I21" s="34"/>
      <c r="J21" s="35"/>
    </row>
    <row r="22" spans="1:10" ht="39.9" customHeight="1" x14ac:dyDescent="0.3">
      <c r="A22" s="7"/>
      <c r="B22" s="42" t="s">
        <v>194</v>
      </c>
      <c r="C22" s="43"/>
      <c r="D22" s="43"/>
      <c r="E22" s="25">
        <v>5</v>
      </c>
      <c r="F22" s="23">
        <v>3.5</v>
      </c>
      <c r="G22" s="29">
        <f t="shared" si="0"/>
        <v>0.7</v>
      </c>
      <c r="H22" s="30" t="str">
        <f t="shared" si="1"/>
        <v>جيد</v>
      </c>
      <c r="I22" s="34"/>
      <c r="J22" s="35"/>
    </row>
    <row r="23" spans="1:10" ht="39.9" customHeight="1" x14ac:dyDescent="0.3">
      <c r="A23" s="7"/>
      <c r="B23" s="42" t="s">
        <v>195</v>
      </c>
      <c r="C23" s="43"/>
      <c r="D23" s="43"/>
      <c r="E23" s="25">
        <v>5</v>
      </c>
      <c r="F23" s="23">
        <v>3.5</v>
      </c>
      <c r="G23" s="29">
        <f t="shared" si="0"/>
        <v>0.7</v>
      </c>
      <c r="H23" s="30" t="str">
        <f t="shared" si="1"/>
        <v>جيد</v>
      </c>
      <c r="I23" s="34"/>
      <c r="J23" s="35"/>
    </row>
    <row r="24" spans="1:10" ht="39.9" customHeight="1" x14ac:dyDescent="0.3">
      <c r="A24" s="7"/>
      <c r="B24" s="42" t="s">
        <v>196</v>
      </c>
      <c r="C24" s="43"/>
      <c r="D24" s="43"/>
      <c r="E24" s="25"/>
      <c r="F24" s="23"/>
      <c r="G24" s="29"/>
      <c r="H24" s="30"/>
      <c r="I24" s="34"/>
      <c r="J24" s="35"/>
    </row>
    <row r="25" spans="1:10" ht="39.9" customHeight="1" x14ac:dyDescent="0.3">
      <c r="A25" s="7"/>
      <c r="B25" s="40" t="s">
        <v>197</v>
      </c>
      <c r="C25" s="41"/>
      <c r="D25" s="41"/>
      <c r="E25" s="25">
        <v>5</v>
      </c>
      <c r="F25" s="23">
        <v>3.5</v>
      </c>
      <c r="G25" s="29">
        <f t="shared" si="0"/>
        <v>0.7</v>
      </c>
      <c r="H25" s="30" t="str">
        <f t="shared" si="1"/>
        <v>جيد</v>
      </c>
      <c r="I25" s="34"/>
      <c r="J25" s="35"/>
    </row>
    <row r="26" spans="1:10" ht="39.9" customHeight="1" x14ac:dyDescent="0.3">
      <c r="A26" s="7"/>
      <c r="B26" s="40" t="s">
        <v>198</v>
      </c>
      <c r="C26" s="41"/>
      <c r="D26" s="41"/>
      <c r="E26" s="25">
        <v>5</v>
      </c>
      <c r="F26" s="23">
        <v>3.5</v>
      </c>
      <c r="G26" s="29">
        <f t="shared" si="0"/>
        <v>0.7</v>
      </c>
      <c r="H26" s="30" t="str">
        <f t="shared" si="1"/>
        <v>جيد</v>
      </c>
      <c r="I26" s="34"/>
      <c r="J26" s="35"/>
    </row>
    <row r="27" spans="1:10" ht="39.9" customHeight="1" x14ac:dyDescent="0.3">
      <c r="A27" s="7"/>
      <c r="B27" s="42" t="s">
        <v>199</v>
      </c>
      <c r="C27" s="43"/>
      <c r="D27" s="43"/>
      <c r="E27" s="25">
        <v>5</v>
      </c>
      <c r="F27" s="23">
        <v>3.5</v>
      </c>
      <c r="G27" s="29">
        <f t="shared" si="0"/>
        <v>0.7</v>
      </c>
      <c r="H27" s="30" t="str">
        <f t="shared" si="1"/>
        <v>جيد</v>
      </c>
      <c r="I27" s="34"/>
      <c r="J27" s="35"/>
    </row>
    <row r="28" spans="1:10" ht="39.9" customHeight="1" x14ac:dyDescent="0.3">
      <c r="A28" s="7"/>
      <c r="B28" s="42" t="s">
        <v>200</v>
      </c>
      <c r="C28" s="43"/>
      <c r="D28" s="43"/>
      <c r="E28" s="25">
        <v>5</v>
      </c>
      <c r="F28" s="23">
        <v>3.5</v>
      </c>
      <c r="G28" s="29">
        <f t="shared" si="0"/>
        <v>0.7</v>
      </c>
      <c r="H28" s="30" t="str">
        <f t="shared" si="1"/>
        <v>جيد</v>
      </c>
      <c r="I28" s="34"/>
      <c r="J28" s="35"/>
    </row>
    <row r="29" spans="1:10" ht="39.9" customHeight="1" x14ac:dyDescent="0.3">
      <c r="A29" s="7"/>
      <c r="B29" s="42" t="s">
        <v>201</v>
      </c>
      <c r="C29" s="43"/>
      <c r="D29" s="43"/>
      <c r="E29" s="25">
        <v>5</v>
      </c>
      <c r="F29" s="23">
        <v>3.75</v>
      </c>
      <c r="G29" s="29">
        <f t="shared" si="0"/>
        <v>0.75</v>
      </c>
      <c r="H29" s="30" t="str">
        <f t="shared" si="1"/>
        <v>جيد</v>
      </c>
      <c r="I29" s="34"/>
      <c r="J29" s="35"/>
    </row>
    <row r="30" spans="1:10" ht="39.9" customHeight="1" x14ac:dyDescent="0.3">
      <c r="A30" s="7"/>
      <c r="B30" s="42" t="s">
        <v>202</v>
      </c>
      <c r="C30" s="43"/>
      <c r="D30" s="43"/>
      <c r="E30" s="25">
        <v>5</v>
      </c>
      <c r="F30" s="23">
        <v>3.75</v>
      </c>
      <c r="G30" s="29">
        <f t="shared" si="0"/>
        <v>0.75</v>
      </c>
      <c r="H30" s="30" t="str">
        <f t="shared" si="1"/>
        <v>جيد</v>
      </c>
      <c r="I30" s="34"/>
      <c r="J30" s="35"/>
    </row>
    <row r="31" spans="1:10" ht="39.9" customHeight="1" x14ac:dyDescent="0.3">
      <c r="A31" s="7"/>
      <c r="B31" s="42" t="s">
        <v>203</v>
      </c>
      <c r="C31" s="43"/>
      <c r="D31" s="43"/>
      <c r="E31" s="25">
        <v>5</v>
      </c>
      <c r="F31" s="23">
        <v>3.75</v>
      </c>
      <c r="G31" s="29">
        <f t="shared" si="0"/>
        <v>0.75</v>
      </c>
      <c r="H31" s="30" t="str">
        <f t="shared" si="1"/>
        <v>جيد</v>
      </c>
      <c r="I31" s="34"/>
      <c r="J31" s="35"/>
    </row>
    <row r="32" spans="1:10" ht="39.9" customHeight="1" x14ac:dyDescent="0.3">
      <c r="A32" s="7"/>
      <c r="B32" s="42" t="s">
        <v>204</v>
      </c>
      <c r="C32" s="43"/>
      <c r="D32" s="43"/>
      <c r="E32" s="25">
        <v>5</v>
      </c>
      <c r="F32" s="23">
        <v>3.75</v>
      </c>
      <c r="G32" s="29">
        <f t="shared" si="0"/>
        <v>0.75</v>
      </c>
      <c r="H32" s="30" t="str">
        <f t="shared" si="1"/>
        <v>جيد</v>
      </c>
      <c r="I32" s="34"/>
      <c r="J32" s="35"/>
    </row>
    <row r="33" spans="1:10" ht="39.9" customHeight="1" thickBot="1" x14ac:dyDescent="0.35">
      <c r="A33" s="7"/>
      <c r="B33" s="74" t="s">
        <v>205</v>
      </c>
      <c r="C33" s="75"/>
      <c r="D33" s="75"/>
      <c r="E33" s="26">
        <v>5</v>
      </c>
      <c r="F33" s="24">
        <v>3.75</v>
      </c>
      <c r="G33" s="31">
        <f t="shared" si="0"/>
        <v>0.75</v>
      </c>
      <c r="H33" s="32" t="str">
        <f t="shared" si="1"/>
        <v>جيد</v>
      </c>
      <c r="I33" s="36"/>
      <c r="J33" s="37"/>
    </row>
    <row r="34" spans="1:10" ht="39.9" customHeight="1" x14ac:dyDescent="0.3">
      <c r="A34" s="7"/>
      <c r="B34" s="79" t="s">
        <v>206</v>
      </c>
      <c r="C34" s="80"/>
      <c r="D34" s="80"/>
      <c r="E34" s="80"/>
      <c r="F34" s="80"/>
      <c r="G34" s="80"/>
      <c r="H34" s="80"/>
      <c r="I34" s="80"/>
      <c r="J34" s="81"/>
    </row>
    <row r="35" spans="1:10" ht="39.9" customHeight="1" x14ac:dyDescent="0.3">
      <c r="A35" s="7"/>
      <c r="B35" s="42" t="s">
        <v>207</v>
      </c>
      <c r="C35" s="43"/>
      <c r="D35" s="43"/>
      <c r="E35" s="25">
        <v>5</v>
      </c>
      <c r="F35" s="23">
        <v>3.75</v>
      </c>
      <c r="G35" s="29">
        <f t="shared" si="0"/>
        <v>0.75</v>
      </c>
      <c r="H35" s="30" t="str">
        <f t="shared" si="1"/>
        <v>جيد</v>
      </c>
      <c r="I35" s="34"/>
      <c r="J35" s="35"/>
    </row>
    <row r="36" spans="1:10" ht="39.9" customHeight="1" x14ac:dyDescent="0.3">
      <c r="A36" s="7"/>
      <c r="B36" s="42" t="s">
        <v>208</v>
      </c>
      <c r="C36" s="43"/>
      <c r="D36" s="43"/>
      <c r="E36" s="25">
        <v>5</v>
      </c>
      <c r="F36" s="23">
        <v>3.5</v>
      </c>
      <c r="G36" s="29">
        <f t="shared" si="0"/>
        <v>0.7</v>
      </c>
      <c r="H36" s="30" t="str">
        <f t="shared" si="1"/>
        <v>جيد</v>
      </c>
      <c r="I36" s="34"/>
      <c r="J36" s="35"/>
    </row>
    <row r="37" spans="1:10" ht="39.9" customHeight="1" x14ac:dyDescent="0.3">
      <c r="A37" s="7"/>
      <c r="B37" s="42" t="s">
        <v>209</v>
      </c>
      <c r="C37" s="43"/>
      <c r="D37" s="43"/>
      <c r="E37" s="25">
        <v>5</v>
      </c>
      <c r="F37" s="23">
        <v>3.5</v>
      </c>
      <c r="G37" s="29">
        <f t="shared" si="0"/>
        <v>0.7</v>
      </c>
      <c r="H37" s="30" t="str">
        <f t="shared" si="1"/>
        <v>جيد</v>
      </c>
      <c r="I37" s="34"/>
      <c r="J37" s="35"/>
    </row>
    <row r="38" spans="1:10" ht="39.9" customHeight="1" x14ac:dyDescent="0.3">
      <c r="A38" s="7"/>
      <c r="B38" s="42" t="s">
        <v>210</v>
      </c>
      <c r="C38" s="43"/>
      <c r="D38" s="43"/>
      <c r="E38" s="25">
        <v>5</v>
      </c>
      <c r="F38" s="23">
        <v>3.5</v>
      </c>
      <c r="G38" s="29">
        <f t="shared" si="0"/>
        <v>0.7</v>
      </c>
      <c r="H38" s="30" t="str">
        <f t="shared" si="1"/>
        <v>جيد</v>
      </c>
      <c r="I38" s="34"/>
      <c r="J38" s="35"/>
    </row>
    <row r="39" spans="1:10" ht="39.9" customHeight="1" x14ac:dyDescent="0.3">
      <c r="A39" s="7"/>
      <c r="B39" s="42" t="s">
        <v>211</v>
      </c>
      <c r="C39" s="43"/>
      <c r="D39" s="43"/>
      <c r="E39" s="25">
        <v>5</v>
      </c>
      <c r="F39" s="23">
        <v>3.5</v>
      </c>
      <c r="G39" s="29">
        <f t="shared" si="0"/>
        <v>0.7</v>
      </c>
      <c r="H39" s="30" t="str">
        <f t="shared" si="1"/>
        <v>جيد</v>
      </c>
      <c r="I39" s="34"/>
      <c r="J39" s="35"/>
    </row>
    <row r="40" spans="1:10" ht="39.9" customHeight="1" x14ac:dyDescent="0.3">
      <c r="A40" s="7"/>
      <c r="B40" s="42" t="s">
        <v>212</v>
      </c>
      <c r="C40" s="43"/>
      <c r="D40" s="43"/>
      <c r="E40" s="25">
        <v>5</v>
      </c>
      <c r="F40" s="23">
        <v>3.5</v>
      </c>
      <c r="G40" s="29">
        <f t="shared" si="0"/>
        <v>0.7</v>
      </c>
      <c r="H40" s="30" t="str">
        <f t="shared" si="1"/>
        <v>جيد</v>
      </c>
      <c r="I40" s="34"/>
      <c r="J40" s="35"/>
    </row>
    <row r="41" spans="1:10" ht="39.9" customHeight="1" x14ac:dyDescent="0.3">
      <c r="A41" s="7"/>
      <c r="B41" s="42" t="s">
        <v>213</v>
      </c>
      <c r="C41" s="43"/>
      <c r="D41" s="43"/>
      <c r="E41" s="25">
        <v>5</v>
      </c>
      <c r="F41" s="23">
        <v>3.75</v>
      </c>
      <c r="G41" s="29">
        <f t="shared" si="0"/>
        <v>0.75</v>
      </c>
      <c r="H41" s="30" t="str">
        <f t="shared" si="1"/>
        <v>جيد</v>
      </c>
      <c r="I41" s="34"/>
      <c r="J41" s="35"/>
    </row>
    <row r="42" spans="1:10" ht="39.9" customHeight="1" x14ac:dyDescent="0.3">
      <c r="A42" s="7"/>
      <c r="B42" s="42" t="s">
        <v>214</v>
      </c>
      <c r="C42" s="43"/>
      <c r="D42" s="43"/>
      <c r="E42" s="25">
        <v>5</v>
      </c>
      <c r="F42" s="23">
        <v>3.75</v>
      </c>
      <c r="G42" s="29">
        <f t="shared" si="0"/>
        <v>0.75</v>
      </c>
      <c r="H42" s="30" t="str">
        <f t="shared" si="1"/>
        <v>جيد</v>
      </c>
      <c r="I42" s="34"/>
      <c r="J42" s="35"/>
    </row>
    <row r="43" spans="1:10" ht="39.9" customHeight="1" x14ac:dyDescent="0.3">
      <c r="A43" s="7"/>
      <c r="B43" s="42" t="s">
        <v>215</v>
      </c>
      <c r="C43" s="43"/>
      <c r="D43" s="43"/>
      <c r="E43" s="25"/>
      <c r="F43" s="23">
        <v>3.5</v>
      </c>
      <c r="G43" s="29" t="str">
        <f t="shared" si="0"/>
        <v/>
      </c>
      <c r="H43" s="30" t="str">
        <f t="shared" si="1"/>
        <v>ممتاز</v>
      </c>
      <c r="I43" s="34"/>
      <c r="J43" s="35"/>
    </row>
    <row r="44" spans="1:10" ht="39.9" customHeight="1" x14ac:dyDescent="0.3">
      <c r="A44" s="7"/>
      <c r="B44" s="40" t="s">
        <v>216</v>
      </c>
      <c r="C44" s="41"/>
      <c r="D44" s="41"/>
      <c r="E44" s="25">
        <v>5</v>
      </c>
      <c r="F44" s="23">
        <v>3.5</v>
      </c>
      <c r="G44" s="29">
        <f t="shared" si="0"/>
        <v>0.7</v>
      </c>
      <c r="H44" s="30" t="str">
        <f t="shared" si="1"/>
        <v>جيد</v>
      </c>
      <c r="I44" s="34"/>
      <c r="J44" s="35"/>
    </row>
    <row r="45" spans="1:10" ht="39.9" customHeight="1" x14ac:dyDescent="0.3">
      <c r="A45" s="7"/>
      <c r="B45" s="40" t="s">
        <v>217</v>
      </c>
      <c r="C45" s="41"/>
      <c r="D45" s="41"/>
      <c r="E45" s="25">
        <v>5</v>
      </c>
      <c r="F45" s="23">
        <v>3.5</v>
      </c>
      <c r="G45" s="29">
        <f t="shared" si="0"/>
        <v>0.7</v>
      </c>
      <c r="H45" s="30" t="str">
        <f t="shared" si="1"/>
        <v>جيد</v>
      </c>
      <c r="I45" s="34"/>
      <c r="J45" s="35"/>
    </row>
    <row r="46" spans="1:10" ht="39.9" customHeight="1" x14ac:dyDescent="0.3">
      <c r="A46" s="7"/>
      <c r="B46" s="40" t="s">
        <v>218</v>
      </c>
      <c r="C46" s="41"/>
      <c r="D46" s="41"/>
      <c r="E46" s="25">
        <v>5</v>
      </c>
      <c r="F46" s="23">
        <v>3.5</v>
      </c>
      <c r="G46" s="29">
        <f t="shared" si="0"/>
        <v>0.7</v>
      </c>
      <c r="H46" s="30" t="str">
        <f t="shared" si="1"/>
        <v>جيد</v>
      </c>
      <c r="I46" s="34"/>
      <c r="J46" s="35"/>
    </row>
    <row r="47" spans="1:10" ht="39.9" customHeight="1" x14ac:dyDescent="0.3">
      <c r="A47" s="7"/>
      <c r="B47" s="40" t="s">
        <v>219</v>
      </c>
      <c r="C47" s="41"/>
      <c r="D47" s="41"/>
      <c r="E47" s="25">
        <v>5</v>
      </c>
      <c r="F47" s="23">
        <v>3.5</v>
      </c>
      <c r="G47" s="29">
        <f t="shared" si="0"/>
        <v>0.7</v>
      </c>
      <c r="H47" s="30" t="str">
        <f t="shared" si="1"/>
        <v>جيد</v>
      </c>
      <c r="I47" s="34"/>
      <c r="J47" s="35"/>
    </row>
    <row r="48" spans="1:10" ht="39.9" customHeight="1" x14ac:dyDescent="0.3">
      <c r="A48" s="7"/>
      <c r="B48" s="42" t="s">
        <v>220</v>
      </c>
      <c r="C48" s="43"/>
      <c r="D48" s="43"/>
      <c r="E48" s="25"/>
      <c r="F48" s="23"/>
      <c r="G48" s="29"/>
      <c r="H48" s="30"/>
      <c r="I48" s="34"/>
      <c r="J48" s="35"/>
    </row>
    <row r="49" spans="1:10" ht="50.25" customHeight="1" x14ac:dyDescent="0.3">
      <c r="A49" s="7"/>
      <c r="B49" s="40" t="s">
        <v>221</v>
      </c>
      <c r="C49" s="41"/>
      <c r="D49" s="41"/>
      <c r="E49" s="25">
        <v>5</v>
      </c>
      <c r="F49" s="23">
        <v>3.5</v>
      </c>
      <c r="G49" s="29">
        <f t="shared" si="0"/>
        <v>0.7</v>
      </c>
      <c r="H49" s="30" t="str">
        <f t="shared" si="1"/>
        <v>جيد</v>
      </c>
      <c r="I49" s="34"/>
      <c r="J49" s="35"/>
    </row>
    <row r="50" spans="1:10" ht="39.9" customHeight="1" x14ac:dyDescent="0.3">
      <c r="A50" s="7"/>
      <c r="B50" s="40" t="s">
        <v>222</v>
      </c>
      <c r="C50" s="41"/>
      <c r="D50" s="41"/>
      <c r="E50" s="25">
        <v>5</v>
      </c>
      <c r="F50" s="23">
        <v>3.5</v>
      </c>
      <c r="G50" s="29">
        <f t="shared" si="0"/>
        <v>0.7</v>
      </c>
      <c r="H50" s="30" t="str">
        <f t="shared" si="1"/>
        <v>جيد</v>
      </c>
      <c r="I50" s="34"/>
      <c r="J50" s="35"/>
    </row>
    <row r="51" spans="1:10" ht="39.9" customHeight="1" x14ac:dyDescent="0.3">
      <c r="A51" s="7"/>
      <c r="B51" s="40" t="s">
        <v>223</v>
      </c>
      <c r="C51" s="41"/>
      <c r="D51" s="41"/>
      <c r="E51" s="25">
        <v>5</v>
      </c>
      <c r="F51" s="23">
        <v>3.5</v>
      </c>
      <c r="G51" s="29">
        <f t="shared" si="0"/>
        <v>0.7</v>
      </c>
      <c r="H51" s="30" t="str">
        <f t="shared" si="1"/>
        <v>جيد</v>
      </c>
      <c r="I51" s="34"/>
      <c r="J51" s="35"/>
    </row>
    <row r="52" spans="1:10" ht="39.9" customHeight="1" x14ac:dyDescent="0.3">
      <c r="A52" s="7"/>
      <c r="B52" s="40" t="s">
        <v>224</v>
      </c>
      <c r="C52" s="41"/>
      <c r="D52" s="41"/>
      <c r="E52" s="25">
        <v>5</v>
      </c>
      <c r="F52" s="23">
        <v>3.5</v>
      </c>
      <c r="G52" s="29">
        <f t="shared" si="0"/>
        <v>0.7</v>
      </c>
      <c r="H52" s="30" t="str">
        <f t="shared" si="1"/>
        <v>جيد</v>
      </c>
      <c r="I52" s="34"/>
      <c r="J52" s="35"/>
    </row>
    <row r="53" spans="1:10" ht="39.9" customHeight="1" x14ac:dyDescent="0.3">
      <c r="A53" s="7"/>
      <c r="B53" s="40" t="s">
        <v>225</v>
      </c>
      <c r="C53" s="41"/>
      <c r="D53" s="41"/>
      <c r="E53" s="25">
        <v>5</v>
      </c>
      <c r="F53" s="23">
        <v>3.5</v>
      </c>
      <c r="G53" s="29">
        <f t="shared" si="0"/>
        <v>0.7</v>
      </c>
      <c r="H53" s="30" t="str">
        <f t="shared" si="1"/>
        <v>جيد</v>
      </c>
      <c r="I53" s="34"/>
      <c r="J53" s="35"/>
    </row>
    <row r="54" spans="1:10" ht="39.9" customHeight="1" x14ac:dyDescent="0.3">
      <c r="A54" s="7"/>
      <c r="B54" s="42" t="s">
        <v>226</v>
      </c>
      <c r="C54" s="43"/>
      <c r="D54" s="43"/>
      <c r="E54" s="25">
        <v>5</v>
      </c>
      <c r="F54" s="23">
        <v>3.5</v>
      </c>
      <c r="G54" s="29">
        <f t="shared" si="0"/>
        <v>0.7</v>
      </c>
      <c r="H54" s="30" t="str">
        <f t="shared" si="1"/>
        <v>جيد</v>
      </c>
      <c r="I54" s="34"/>
      <c r="J54" s="35"/>
    </row>
    <row r="55" spans="1:10" ht="39.9" customHeight="1" thickBot="1" x14ac:dyDescent="0.35">
      <c r="A55" s="7"/>
      <c r="B55" s="74" t="s">
        <v>227</v>
      </c>
      <c r="C55" s="75"/>
      <c r="D55" s="75"/>
      <c r="E55" s="26">
        <v>5</v>
      </c>
      <c r="F55" s="24">
        <v>3.5</v>
      </c>
      <c r="G55" s="31">
        <f t="shared" si="0"/>
        <v>0.7</v>
      </c>
      <c r="H55" s="32" t="str">
        <f t="shared" si="1"/>
        <v>جيد</v>
      </c>
      <c r="I55" s="36"/>
      <c r="J55" s="37"/>
    </row>
    <row r="56" spans="1:10" ht="30" customHeight="1" thickBot="1" x14ac:dyDescent="0.35">
      <c r="A56" s="4"/>
      <c r="B56" s="38" t="s">
        <v>5</v>
      </c>
      <c r="C56" s="39"/>
      <c r="D56" s="39"/>
      <c r="E56" s="28">
        <f>SUM(E8:E55)</f>
        <v>200</v>
      </c>
      <c r="F56" s="28">
        <f>SUM(F8:F55)</f>
        <v>146.75</v>
      </c>
      <c r="G56" s="50"/>
      <c r="H56" s="51"/>
      <c r="I56" s="51"/>
      <c r="J56" s="52"/>
    </row>
    <row r="57" spans="1:10" ht="30" customHeight="1" thickBot="1" x14ac:dyDescent="0.35">
      <c r="A57" s="4"/>
      <c r="B57" s="44" t="s">
        <v>54</v>
      </c>
      <c r="C57" s="45"/>
      <c r="D57" s="45"/>
      <c r="E57" s="60">
        <f>F56/E56/100*100</f>
        <v>0.73375000000000001</v>
      </c>
      <c r="F57" s="60"/>
      <c r="G57" s="60"/>
      <c r="H57" s="60"/>
      <c r="I57" s="60"/>
      <c r="J57" s="61"/>
    </row>
    <row r="58" spans="1:10" ht="30" customHeight="1" thickBot="1" x14ac:dyDescent="0.35">
      <c r="A58" s="4"/>
      <c r="B58" s="44" t="s">
        <v>55</v>
      </c>
      <c r="C58" s="45"/>
      <c r="D58" s="45"/>
      <c r="E58" s="46" t="str">
        <f>_xlfn.IFS(E57&gt;=90%,"ممتاز",E57&gt;=80%,"جيد جداً",E57&gt;=70%,"جيد",E57&gt;=60%,"مقبول",E57&lt;60%,"راسب")</f>
        <v>جيد</v>
      </c>
      <c r="F58" s="46"/>
      <c r="G58" s="46"/>
      <c r="H58" s="46"/>
      <c r="I58" s="46"/>
      <c r="J58" s="47"/>
    </row>
    <row r="59" spans="1:10" ht="42" customHeight="1" x14ac:dyDescent="0.3">
      <c r="B59" s="70" t="s">
        <v>174</v>
      </c>
      <c r="C59" s="70"/>
      <c r="D59" s="70"/>
      <c r="E59" s="48" t="s">
        <v>52</v>
      </c>
      <c r="F59" s="48"/>
      <c r="G59" s="72" t="s">
        <v>59</v>
      </c>
      <c r="H59" s="72"/>
      <c r="I59" s="72"/>
      <c r="J59" s="72"/>
    </row>
    <row r="60" spans="1:10" ht="51" customHeight="1" x14ac:dyDescent="0.3">
      <c r="A60" s="5"/>
      <c r="B60" s="71"/>
      <c r="C60" s="71"/>
      <c r="D60" s="71"/>
      <c r="E60" s="49" t="s">
        <v>53</v>
      </c>
      <c r="F60" s="49"/>
      <c r="G60" s="73"/>
      <c r="H60" s="73"/>
      <c r="I60" s="73"/>
      <c r="J60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6">
    <mergeCell ref="B8:J8"/>
    <mergeCell ref="B19:J19"/>
    <mergeCell ref="B34:J34"/>
    <mergeCell ref="B47:D47"/>
    <mergeCell ref="B48:D48"/>
    <mergeCell ref="B49:D49"/>
    <mergeCell ref="B50:D50"/>
    <mergeCell ref="B51:D51"/>
    <mergeCell ref="B52:D52"/>
    <mergeCell ref="B28:D28"/>
    <mergeCell ref="B29:D29"/>
    <mergeCell ref="B30:D30"/>
    <mergeCell ref="B31:D31"/>
    <mergeCell ref="B32:D32"/>
    <mergeCell ref="B33:D33"/>
    <mergeCell ref="B35:D35"/>
    <mergeCell ref="B36:D36"/>
    <mergeCell ref="B37:D37"/>
    <mergeCell ref="B18:D18"/>
    <mergeCell ref="B20:D20"/>
    <mergeCell ref="B21:D21"/>
    <mergeCell ref="B22:D22"/>
    <mergeCell ref="B23:D23"/>
    <mergeCell ref="B24:D24"/>
    <mergeCell ref="B54:D54"/>
    <mergeCell ref="B55:D55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10:D10"/>
    <mergeCell ref="B11:D11"/>
    <mergeCell ref="B12:D12"/>
    <mergeCell ref="B13:D13"/>
    <mergeCell ref="B14:D14"/>
    <mergeCell ref="B15:D15"/>
    <mergeCell ref="B16:D16"/>
    <mergeCell ref="B17:D17"/>
    <mergeCell ref="B53:D53"/>
    <mergeCell ref="E59:F59"/>
    <mergeCell ref="E60:F60"/>
    <mergeCell ref="G56:J56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B59:D60"/>
    <mergeCell ref="G59:J59"/>
    <mergeCell ref="G60:J60"/>
    <mergeCell ref="B25:D25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0:J20"/>
    <mergeCell ref="I21:J21"/>
    <mergeCell ref="I22:J22"/>
    <mergeCell ref="I23:J23"/>
    <mergeCell ref="I24:J24"/>
    <mergeCell ref="I25:J25"/>
    <mergeCell ref="E58:J58"/>
    <mergeCell ref="I40:J40"/>
    <mergeCell ref="I41:J41"/>
    <mergeCell ref="I42:J42"/>
    <mergeCell ref="I43:J43"/>
    <mergeCell ref="I44:J44"/>
    <mergeCell ref="F4:J4"/>
    <mergeCell ref="C4:D4"/>
    <mergeCell ref="I32:J32"/>
    <mergeCell ref="I33:J33"/>
    <mergeCell ref="I35:J35"/>
    <mergeCell ref="I36:J36"/>
    <mergeCell ref="B56:D56"/>
    <mergeCell ref="I26:J26"/>
    <mergeCell ref="I27:J27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9:J9"/>
    <mergeCell ref="B26:D26"/>
    <mergeCell ref="B27:D27"/>
    <mergeCell ref="B9:D9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8">
    <cfRule type="expression" dxfId="21" priority="57">
      <formula>$E58="راسب"</formula>
    </cfRule>
  </conditionalFormatting>
  <conditionalFormatting sqref="E58:J58">
    <cfRule type="expression" dxfId="20" priority="60">
      <formula>$E58="جيد جداً"</formula>
    </cfRule>
    <cfRule type="expression" dxfId="19" priority="59">
      <formula>$E58="جيد"</formula>
    </cfRule>
    <cfRule type="expression" dxfId="18" priority="58">
      <formula>$E58="مقبول"</formula>
    </cfRule>
    <cfRule type="expression" dxfId="17" priority="61">
      <formula>$E58="ممتاز"</formula>
    </cfRule>
  </conditionalFormatting>
  <conditionalFormatting sqref="F9:F18">
    <cfRule type="containsText" dxfId="16" priority="4" operator="containsText" text="أدخل العلامة">
      <formula>NOT(ISERROR(SEARCH("أدخل العلامة",F9)))</formula>
    </cfRule>
  </conditionalFormatting>
  <conditionalFormatting sqref="F20:F33 F35:F55">
    <cfRule type="containsText" dxfId="15" priority="14" operator="containsText" text="أدخل العلامة">
      <formula>NOT(ISERROR(SEARCH("أدخل العلامة",F20)))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12" priority="15" operator="containsText" text="أدخل اسم المحكم">
      <formula>NOT(ISERROR(SEARCH("أدخل اسم المحكم",G59)))</formula>
    </cfRule>
  </conditionalFormatting>
  <conditionalFormatting sqref="H9:H18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0:H33 H35:H55">
    <cfRule type="containsText" dxfId="5" priority="38" operator="containsText" text="أدخل العلامة">
      <formula>NOT(ISERROR(SEARCH("أدخل العلامة",H20)))</formula>
    </cfRule>
    <cfRule type="containsText" dxfId="4" priority="39" operator="containsText" text="ممتاز">
      <formula>NOT(ISERROR(SEARCH("ممتاز",H20)))</formula>
    </cfRule>
    <cfRule type="containsText" dxfId="3" priority="40" operator="containsText" text="جيد جداً">
      <formula>NOT(ISERROR(SEARCH("جيد جداً",H20)))</formula>
    </cfRule>
    <cfRule type="containsText" dxfId="2" priority="41" operator="containsText" text="جيد">
      <formula>NOT(ISERROR(SEARCH("جيد",H20)))</formula>
    </cfRule>
    <cfRule type="containsText" dxfId="1" priority="42" operator="containsText" text="مقبول">
      <formula>NOT(ISERROR(SEARCH("مقبول",H20)))</formula>
    </cfRule>
    <cfRule type="containsText" dxfId="0" priority="43" operator="containsText" text="راسب">
      <formula>NOT(ISERROR(SEARCH("راسب",H20)))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F49:F55 F35:F47 F25:F33 F20:F23 F15:F18 F10:F13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G59:J59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259" workbookViewId="0">
      <selection activeCell="A287" sqref="A287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229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2025-10-28T05:33:59Z</dcterms:modified>
</cp:coreProperties>
</file>