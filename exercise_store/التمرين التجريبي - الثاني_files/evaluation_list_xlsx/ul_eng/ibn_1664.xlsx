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8A0801E9-9813-49D9-A547-EE056E6949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G54" i="2"/>
  <c r="H54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F83" i="2"/>
  <c r="E83" i="2"/>
  <c r="E84" i="2"/>
  <c r="E85" i="2"/>
</calcChain>
</file>

<file path=xl/sharedStrings.xml><?xml version="1.0" encoding="utf-8"?>
<sst xmlns="http://schemas.openxmlformats.org/spreadsheetml/2006/main" count="314" uniqueCount="258">
  <si>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</si>
  <si>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</si>
  <si>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</si>
  <si>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</si>
  <si>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</si>
  <si>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</si>
  <si>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</si>
  <si>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</si>
  <si>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</si>
  <si>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</si>
  <si>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</si>
  <si>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</si>
  <si>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</si>
  <si>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</si>
  <si>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</si>
  <si>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</si>
  <si>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</si>
  <si>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</si>
  <si>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</si>
  <si>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</si>
  <si>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</si>
  <si>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</si>
  <si>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</si>
  <si>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</si>
  <si>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</si>
  <si>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</si>
  <si>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</si>
  <si>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</si>
  <si>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</si>
  <si>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</si>
  <si>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</si>
  <si>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</si>
  <si>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</si>
  <si>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</si>
  <si>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</si>
  <si>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</si>
  <si>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</si>
  <si>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</si>
  <si>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</si>
  <si>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</si>
  <si>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</si>
  <si>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</si>
  <si>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</si>
  <si>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</si>
  <si>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</si>
  <si>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</si>
  <si>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</si>
  <si>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</si>
  <si>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</si>
  <si>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</si>
  <si>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</si>
  <si>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</si>
  <si>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</si>
  <si>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</si>
  <si>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</si>
  <si>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</si>
  <si>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</si>
  <si>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</si>
  <si>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</si>
  <si>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</si>
  <si>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</si>
  <si>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</si>
  <si>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</si>
  <si>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</si>
  <si>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</si>
  <si>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</si>
  <si>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</si>
  <si>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</si>
  <si>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</si>
  <si>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</si>
  <si>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</si>
  <si>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</si>
  <si>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</si>
  <si>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</si>
  <si>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</si>
  <si>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</si>
  <si>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</si>
  <si>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</si>
  <si>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</si>
  <si>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</si>
  <si>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</si>
  <si>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</si>
  <si>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</si>
  <si>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</si>
  <si>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</si>
  <si>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</si>
  <si>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</si>
  <si>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</si>
  <si>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</si>
  <si>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</si>
  <si>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</si>
  <si>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</si>
  <si>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</si>
  <si>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</si>
  <si>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</si>
  <si>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</si>
  <si>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</si>
  <si>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</si>
  <si>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</si>
  <si>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</si>
  <si>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</si>
  <si>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</si>
  <si>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</si>
  <si>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</si>
  <si>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</si>
  <si>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</si>
  <si>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</si>
  <si>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</si>
  <si>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</si>
  <si>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</si>
  <si>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</si>
  <si>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</si>
  <si>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</si>
  <si>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</si>
  <si>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</si>
  <si>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</si>
  <si>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</si>
  <si>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</si>
  <si>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</si>
  <si>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</si>
  <si>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</si>
  <si>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</si>
  <si>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</si>
  <si>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</si>
  <si>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</si>
  <si>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</si>
  <si>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</si>
  <si>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</si>
  <si>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</si>
  <si>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</si>
  <si>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</si>
  <si>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</si>
  <si>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</si>
  <si>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</si>
  <si>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</si>
  <si>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</si>
  <si>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</si>
  <si>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</si>
  <si>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</si>
  <si>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</si>
  <si>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</si>
  <si>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</si>
  <si>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</si>
  <si>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</si>
  <si>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</si>
  <si>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</si>
  <si>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</si>
  <si>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</si>
  <si>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</si>
  <si>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</si>
  <si>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</si>
  <si>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</si>
  <si>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</si>
  <si>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</si>
  <si>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</si>
  <si>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</si>
  <si>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</si>
  <si>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</si>
  <si>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</si>
  <si>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</si>
  <si>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</si>
  <si>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</si>
  <si>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</si>
  <si>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</si>
  <si>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</si>
  <si>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</si>
  <si>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</si>
  <si>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</si>
  <si>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</si>
  <si>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</si>
  <si>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</si>
  <si>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</si>
  <si>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</si>
  <si>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</si>
  <si>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</si>
  <si>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</si>
  <si>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</si>
  <si>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</si>
  <si>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</si>
  <si>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</si>
  <si>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</si>
  <si>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يعمل القادة في سرية هندسة الميدان على فهم الموقف باستخدام معدات الاتصال المتوفرة، والخرائط، وملخصات الاستخبارات، وتقارير الموقف، ومصادر المعلومات المتوفرة الأخرى.</t>
  </si>
  <si>
    <t>2.   تسلمت قيادة سرية هندسة الميدان أمر العمليات أو الأمر المجزأ لتنفيذ عملية التنقل التعبوي وتم البدء بإجراءات التخطيط وكما يلي:</t>
  </si>
  <si>
    <t>أ.    تحديد متطلبات التنقل.</t>
  </si>
  <si>
    <t>ب.  طلب المنتجات الاستخبارية المحدّثة من المستوى الأعلى في حالة عدم استلامها مع أمر العمليات.</t>
  </si>
  <si>
    <t>3.   تنفيذ الاستطلاع من الخارطة لتحديد ما يلي:</t>
  </si>
  <si>
    <t>أ.    طريق/ طرق التنقل في حالة عدم تحديدها في أمر المستوى الأعلى.</t>
  </si>
  <si>
    <t>ب.  مقتربات العدو الأكثر احتمالاً (في حال كان التماس مع العدو متوقعاً).</t>
  </si>
  <si>
    <t>جـ.  نقطة البدء ونقطة الانتشار.</t>
  </si>
  <si>
    <t>د.    المناطق الحرجة، مثل المناطق الخطرة، الممرات الضيقة، الخوانق، نقاط السيطرة على المسير.</t>
  </si>
  <si>
    <t>هـ.   منطقة التجمع ومنطقة المأوى.</t>
  </si>
  <si>
    <t>4.   البدء بالتحضير الاستخباري لميدان المعركة وكما يلي:</t>
  </si>
  <si>
    <t>أ.    استخدام جميع مصادر جمع المعلومات المتوفرة.</t>
  </si>
  <si>
    <t>ب.  تحديد بيئة ميدان المعركة وتأثيراتها على عملية التنقل.</t>
  </si>
  <si>
    <t>جـ.  تقييم العدو الذي قد يتم مواجهته خلال عملية التنقل.</t>
  </si>
  <si>
    <t>د.    تحديد أعمال العدو المحتملة خلال عملية التنقل.</t>
  </si>
  <si>
    <t>5.   استخدام عناصر الاستطلاع والمراقبة مبكراً للمساعدة في عملية التخطيط (حسب الحاجة).</t>
  </si>
  <si>
    <t>6.   تنظيم الفصائل المرؤوسة في سرية هندسة الميدان إلى عنصر الاستطلاع، جماعة المأوى، الجسم الرئيسي، حرس الأجنحة والمؤخر وحسب الحاجة.</t>
  </si>
  <si>
    <t>7.   وضع إجراءات السيطرة للمساعدة في عملية التنقل وكما يلي:</t>
  </si>
  <si>
    <t>أ.    وضع أولويات التنقل للوحدات المرؤوسة.</t>
  </si>
  <si>
    <t>ب.  تحديد أسلوب التنقل الذي سيتم استخدامه (رتل واحد أو عدة ارتال).</t>
  </si>
  <si>
    <t>جـ.  تحديد معدل سرعة المسير.</t>
  </si>
  <si>
    <t>د.   تحديد المسافات الفاصلة بين الآليات.</t>
  </si>
  <si>
    <t>هـ.  تحديد الوقت الذي تجتاز فيه مقدمة أو ذيل الرتل النقاط الحرجة.</t>
  </si>
  <si>
    <t>و.   تحديد أماكن ونقاط التوقف المحددة وحسب الحاجة.</t>
  </si>
  <si>
    <t>8.   تحديد إجراءات الحماية التي سيتم تطبيقها قبل بدء التنقل، أثناء التنقل وبعد الوصول.</t>
  </si>
  <si>
    <t>9.   دمج ومزامنة عناصر الإسناد القتالي من خلال ما يلي:</t>
  </si>
  <si>
    <t>أ.    تخطيط الإسناد الهندسي.</t>
  </si>
  <si>
    <t>ب.  دمج الهندسة مع جهود الاستطلاع وحسب الضرورة.</t>
  </si>
  <si>
    <t>جـ.  دمج المتطلبات الاستخبارية المتعلقة بالموانع في المتطلبات الاستخبارية ذات الأولوية وخطة الاستطلاع والمراقبة.</t>
  </si>
  <si>
    <t>د.    التأكد من أن المعلومات الاستخبارية المتعلقة بالموانع قد تم توزيعها مباشرة على كافة المعنيين.</t>
  </si>
  <si>
    <t>هـ.   تحديد واجبات قابلية الحركة المطلوبة.</t>
  </si>
  <si>
    <t>و.   التخطيط لزرع حقول ألغام منثورة لتعزيز الحماية على الأجنحة والدفاع السريع وحسب الطلب.</t>
  </si>
  <si>
    <t>10.   التخطيط للإدامة:</t>
  </si>
  <si>
    <t>أ.    دمج حركة وتوضيع عناصر الإدامة مع خطة الحركة لضمان تقديم الإسناد الفوري للمتطلبات المتوقعة مثل إعادة التزويد بالوقود.</t>
  </si>
  <si>
    <t>ب.  التأكد من توفر الإدامة الكافية لإسناد جهود الاستطلاع والمراقبة.</t>
  </si>
  <si>
    <t>جـ.  تخطيط وتنسيق عمليات إخلاء الإصابات.</t>
  </si>
  <si>
    <t>د.   تخطيط عمليات إنقاذ المعدات.</t>
  </si>
  <si>
    <t>11.   تنفيذ إدارة المخاطر.</t>
  </si>
  <si>
    <t>12.   إصدار الأوامر المرؤوسين، وتقديم إجازات تأكيدية من القادة المرؤوسين فور استلامهم للأوامر للتأكد من فهمهم لقصد القائد ومفهوم عملياته.</t>
  </si>
  <si>
    <t xml:space="preserve">13.   قد تقوم سرية هندسة الميدان (حسب الحاجة) بتكليف بعض العناصر للعمل كعناصر استطلاع لتنفيذ الواجبات الموكلة لها وتتمثل بما يلي: </t>
  </si>
  <si>
    <t>أ.    التأكد من توفر الطرق والظروف المناسبة للتنقل إذا لم يتم تحديد الطرق من قبل المستوى الأعلى.</t>
  </si>
  <si>
    <t>ب.  التأكد من ملائمة نقطة البدء ونقطة الانتشار.</t>
  </si>
  <si>
    <t>جـ.  التأكد من المسافة بين نقاط الضبط والسيطرة على الطرق والمسافة الكلية من نقطة البدء وحتى نقطة الانتشار.</t>
  </si>
  <si>
    <t>د.   التأكد من موقع منطقة التجمع أو المأوى.</t>
  </si>
  <si>
    <t>هـ.  التأكد من مواقع نقاط الضبط والسيطرة على الطريق عند الطلب.</t>
  </si>
  <si>
    <t>و.   تحديد وتأشير الموانع.</t>
  </si>
  <si>
    <t>مرحلة التحضير</t>
  </si>
  <si>
    <t>14.   تقوم سرية هندسة الميدان بالتحضير للتنقل التعبوي كما يلي:</t>
  </si>
  <si>
    <t>أ.    قيام كل وحدة مرؤوسة باستطلاع الطريق المؤدي إلى نقطة البدء وتحديد الوقت الدقيق للوصول إليها.</t>
  </si>
  <si>
    <t>ب.  تنفيذ تفقدات وتفتيشات ما قبل المعركة.</t>
  </si>
  <si>
    <t>جـ.  الإشراف على إجراءات الوحدات المرؤوسة للتأكد من أن جهود التخطيط والتحضير تجري في الاتجاه الصحيح وتتوافق مع قصد القائد.</t>
  </si>
  <si>
    <t>د.    إجراء التجارب خلال ساعات النهار وفي ظل ظروف الرؤية المحدودة إن أمكن.</t>
  </si>
  <si>
    <t>هـ.  تحميل كافة الآليات وفقاً لخطة التحميل وخطة الإدامة.</t>
  </si>
  <si>
    <t>و.   إيجاز الدلاء وتوزيعهم في مواقعهم.</t>
  </si>
  <si>
    <t>ز.   فحص أجهزة الاتصالات في كافة الآليات قبل البدء بالحركة.</t>
  </si>
  <si>
    <t>15.   إيجاز وإرسال جماعة المأوى للأمام.</t>
  </si>
  <si>
    <t>16.   توضيع عناصر سرية هندسة الميدان ضمن نظام المسير الصحيح.</t>
  </si>
  <si>
    <t>مرحلة التنفيذ</t>
  </si>
  <si>
    <t>17.    اجتياز نقطة البدء في الوقت المحدد في أمر العمليات أو الأمر المجزأ.</t>
  </si>
  <si>
    <t>18.   استخدام التشكيلة المحددة، أسلوب التنقل ومعدل المسير. والمحافظة على السرعة الملائمة للوصول إلى نقاط الضبط والسيطرة في الأوقات المحددة في الأمر.</t>
  </si>
  <si>
    <t>19.   استخدام إشارات التعارف البصرية أو الأجهزة اللاسلكية للاتصال مع الوحدات وبما يتوافق مع أمر العمليات والأوامر التعبوية المستديمة.</t>
  </si>
  <si>
    <t>20.   إدامة المراقبة لجميع الجهات بما في ذلك المراقبة الجوية أثناء الحركة والوقفات.</t>
  </si>
  <si>
    <t>21.    تمرير المعلومات عند اجتياز نقاط الضبط والسيطرة بما يتوافق مع أمر العمليات والأوامر التعبوية المستديمة.</t>
  </si>
  <si>
    <t>22.    تنفيذ الوقفات المبرمجة ضمن المسافات الاعتيادية وبما يتوافق مع أمر العمليات أو الأوامر التعبوية المستديمة في حالة سمح الموقف التعبوي بذلك، والقيام بإجراء الصيانة الوقائية وإعادة التزود بالوقود عند الضرورة.</t>
  </si>
  <si>
    <t>23.    التعامل مع الموانع حسب الأوامر.</t>
  </si>
  <si>
    <t>24.    تمرير مواقع الوحدات للمستوى الأعلى وحسب الطلب.</t>
  </si>
  <si>
    <t>25.   تطبيق إجراءات التماس مع قوات العدو حسب أمر العمليات أو الأوامر التعبوية المستديمة.</t>
  </si>
  <si>
    <t>26.   تنفيذ عمليات التزويد حسب الحاجة.</t>
  </si>
  <si>
    <t>27.   تنفيذ عمليات الصيانة والإنقاذ حسب الحاجة.</t>
  </si>
  <si>
    <t>28.   الوصول إلى نقاط الانتشار واجتيازها من قبل الوحدات حسب الوقت المحدد في أمر العمليات وتنفيذ الإجراءات التالية:</t>
  </si>
  <si>
    <t>أ.    تمرير معلومات الوصول إلى نقاط الانتشار واتمام اجتيازها دون توقف.</t>
  </si>
  <si>
    <t>ب.  الالتقاء مع أدلاء جماعة المأوى/ منطقة التجمع.</t>
  </si>
  <si>
    <t>جـ.  تطبيق الانتشار وإجراءات التخفية والتمويه الملائمة.</t>
  </si>
  <si>
    <t>29.   التقيد بقواعد الاشتباك وقواعد التعامل مع المدنيين.</t>
  </si>
  <si>
    <r>
      <rPr>
        <b/>
        <sz val="14"/>
        <color rgb="FF000000"/>
        <rFont val="Arial"/>
        <family val="2"/>
      </rPr>
      <t>تقييم  سرية الهندسة في التنقل التعبوي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</si>
  <si>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 xml:space="preserve">رائد/ حمد الشامسي </t>
  </si>
  <si>
    <t>النقيب/ سلطان حسن الطنيجي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</si>
</sst>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5" borderId="12" xfId="0" applyFont="1" applyFill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12" xfId="0" applyFont="1" applyFill="1" applyBorder="1" applyAlignment="1">
      <alignment horizontal="center" vertical="center" wrapText="1" readingOrder="2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14" fillId="0" borderId="24" xfId="0" applyFont="1" applyFill="1" applyBorder="1" applyAlignment="1">
      <alignment horizontal="right" vertical="center" wrapText="1" readingOrder="2"/>
    </xf>
    <xf numFmtId="0" fontId="14" fillId="0" borderId="3" xfId="0" applyFont="1" applyFill="1" applyBorder="1" applyAlignment="1">
      <alignment horizontal="right" vertical="center" wrapText="1" readingOrder="2"/>
    </xf>
    <xf numFmtId="0" fontId="14" fillId="0" borderId="24" xfId="0" applyFont="1" applyFill="1" applyBorder="1" applyAlignment="1">
      <alignment horizontal="right" vertical="center" wrapText="1" indent="2" readingOrder="2"/>
    </xf>
    <xf numFmtId="0" fontId="14" fillId="0" borderId="3" xfId="0" applyFont="1" applyFill="1" applyBorder="1" applyAlignment="1">
      <alignment horizontal="right" vertical="center" wrapText="1" indent="2" readingOrder="2"/>
    </xf>
    <xf numFmtId="0" fontId="14" fillId="5" borderId="24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24" xfId="0" applyFont="1" applyFill="1" applyBorder="1" applyAlignment="1">
      <alignment horizontal="right" vertical="center" wrapText="1" indent="2" readingOrder="2"/>
    </xf>
    <xf numFmtId="0" fontId="14" fillId="5" borderId="3" xfId="0" applyFont="1" applyFill="1" applyBorder="1" applyAlignment="1">
      <alignment horizontal="right" vertical="center" wrapText="1" indent="2" readingOrder="2"/>
    </xf>
    <xf numFmtId="0" fontId="14" fillId="5" borderId="11" xfId="0" applyFont="1" applyFill="1" applyBorder="1" applyAlignment="1">
      <alignment horizontal="right" vertical="center" wrapText="1" indent="2" readingOrder="2"/>
    </xf>
    <xf numFmtId="0" fontId="14" fillId="5" borderId="12" xfId="0" applyFont="1" applyFill="1" applyBorder="1" applyAlignment="1">
      <alignment horizontal="right" vertical="center" wrapText="1" indent="2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3" fillId="6" borderId="27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578975</xdr:colOff>
      <xdr:row>85</xdr:row>
      <xdr:rowOff>530587</xdr:rowOff>
    </xdr:from>
    <xdr:to>
      <xdr:col>9</xdr:col>
      <xdr:colOff>284834</xdr:colOff>
      <xdr:row>87</xdr:row>
      <xdr:rowOff>15352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341F9AD-4BB0-2E9B-627D-5860DE48570E}"/>
                </a:ext>
              </a:extLst>
            </xdr14:cNvPr>
            <xdr14:cNvContentPartPr/>
          </xdr14:nvContentPartPr>
          <xdr14:nvPr macro=""/>
          <xdr14:xfrm>
            <a:off x="10398301985" y="43335360"/>
            <a:ext cx="1022040" cy="662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341F9AD-4BB0-2E9B-627D-5860DE48570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93345" y="43326720"/>
              <a:ext cx="1039680" cy="680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8:59:57.82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876 1466 5489,'0'0'0,"-2"-1"680,-12 1-680,9 0-72,5 0 72,-2 0-176,-1 0-32,3 0 16,0 0 192,0 0-88,0 0 56,3 0 40,-3 0 32,0 0-40,2 0 104,3 0 200,-5 0 264,3-2 312,-3 2-880,2-1 1088,-1-4 57,-1 0-169,3-12-264,-3 17-712,5-17 440,-3-3-224,-2-7-88,0-1-16,0 28-112,0-32 128,0-3 88,0 0 16,-2 1 72,2 34-304,-5-35 336,1 3-120,-8 4-80,9 4-304,3 24 168,-7-24-112,-6 3-40,10 1-24,-11 3 224,14 17-48,-6-13-8,-6 7 40,5-8 48,-2 13-72,9 1-8,-5-4 24,3 2-32,-1 1-8,1-1 40,2 2-32,0 0 8,0 0-16,0 0-40,0 0-48,0 0-40,0 0 464,0 0-808,5 13 328,4 0 32,2 5 40,-11-18 88,12 26-48,-3 5 16,5 8-16,-4 5 32,-10-44 16,11 45-72,-6 1-8,11-3 16,-11-4-32,-5-39 96,14 36-72,-10-4 0,8-2-16,-12-30 88,2 24-128,3-6-8,-3-2-24,1-5-24,-3-8 40,0-3 144,0 4-72,-3 2 16,-9-3 64,10-1 24,2-2-32,-13 0 48,-4 0-8,1 0 24,-2-1-16,18 1-48,-22-12 8,4 7 8,-5-10-16,0 2 24,23 13-24,-21-14 8,-4-3-8,1-2 8,1-2-24,23 21 16,-23-21 8,2 0-56,2-2 48,4 2 16,15 21-16,-15-23 8,2 6 80,1 3-64,5 8-80,7 6 56,-11-11 16,8 9-8,3 1 0,-2 0-16,2 1 8,0-2-56,0 1-152,2-1-136,10-1 24,-12 3 320,16-2-336,0-1 40,7-1 192,2-2 32,-25 6 72,28-14-64,2 7 39,3-9-15,-3 5-8,-30 11 48,31-13-32,-8 0 16,0 1-72,2 0-24,-25 12 112,23-11-88,-4-2 24,1 2 40,-1 5 32,-19 6-8,19-12 8,-3 7-40,3 1 0,-8-2-72,-11 6 104,14-4-120,-10 0-8,10 0 24,-11 2 48,-3 2 56,2-1-104,-2-1 8,0 2 40,0 0 56,0 3 80,-7 0 48,-5 1-8,8 8-80,4-12-40,-14 2-24,3 14 72,-6 1-64,1 7-48,16-24 64,-17 30 80,1 5-136,5 8 48,9-2 24,2-41-16,-14 45-56,14-1 48,-5 0-32,5 2 48,0-46-8,0 46-32,5 0 48,7-3-40,-10-2-8,-2-41 32,13 38-48,2-2-104,1-3 48,0 0-16,-16-33 120,20 29-64,-1-4-8,0-1-48,1-6 8,-20-18 112,23 13-360,-6-10-224,6-3-192,-5-1 32,-18 1 744,21-15-649,-4-2 305,-1-5 152,0-2-8,-16 24 200,12-30-16,-8-1-32,7-3 144,-11 0 80,0 34-176,0-34 208,0 2 192,0 0 257,-4 7 335,4 25-992,-2-20 1080,-10 6-128,7 10-320,1-1-320,4 5-312,-11-2 232,6 0-79,-7 1-25,10-1-40,2 2-88,-4-1 24,1 0-8,1-1 48,-1 1-168,3 1 104,-2-2-48,0-1 0,2 1 48,0-1-16,0 3 16,-3-3-56,3 0 24,-2 2-41,-1-2 106,3 3-33,0-2 16,-4 0-32,2-1-17,0 1 25,2 2 8,-3-1 24,1-1-7,2 1-58,0 0 73,0 1-32,0-2 0,0 1-8,0-1 41,0 1-66,0 1 33,5-3-112,-3-1-48,0 0-72,1-9-48,-3 13 280,4-6-248,1-11 56,7 5 32,-8-3 56,-4 15 104,11-15-120,1-4 16,-8-1-64,6 1 104,-10 19 64,5-19-8,-1 2 8,7 3 40,-11 3-40,0 11 0,3-5 40,-3 0-48,0 3 104,0 2 40,0 0-136,0 0 40,0 5 120,0-1-104,-3 7 32,3-11-88,-2 0 88,2 5-56,0 6 8,0-8-48,0-3 8,2 11 24,3-8-24,10 1 0,-7-1-16,-8-3 16,15 0 56,-4 0-40,8-1 64,-3-12-32,-16 13-48,18-17 32,0-6 104,4-5 32,1-10 40,-23 38-208,18-40 184,3-7-48,2-1-48,-4-7-23,-19 55-65,21-60-48,-3-6 96,-2-5-16,-4-1-8,-12 72-24,2-72 128,1-2-104,2 3 32,-5 2-8,0 69-48,0-69 32,-5 3 8,-10 4-24,4 10 56,11 52-72,-14-43 136,-4 13 144,-3 9 24,-2 7-16,23 14-288,-23-5 200,1-7-112,2 11-32,-1-2-8,21 3-48,-23-1 16,10 1 32,-9 0-64,6 0 0,16 0 16,-18 4 16,-1 9 0,0 0 48,3 6-120,16-19 56,-19 26 32,1 6-64,2 15 24,2 8 80,14-55-72,-11 64-40,6 8 24,0 6 16,3 4-48,2-82 48,0 88-24,0 2-32,12 1-8,1-5 24,-13-86 40,17 80-16,4-5-24,2-9-16,2-8-56,-25-58 112,21 51-176,2-7 48,-3-9-120,2-5-32,-22-30 280,18 23-400,3-6-113,-3-6-31,-1-8 16,-17-3 528,16 0-456,-2 0 24,-3-4 112,-1-10 168,-10 14 152,5-16-56,8-4 120,-10-4 16,1-5 40,-4 29-120,5-32 128,-5-3-48,0-5 8,0-1-24,0 41-64,0-40 80,-2 5 168,-1 7 120,1 11 120,2 17-488,-2-12 600,-1 11-159,-2 1-33,1 0-168,4 0-240,-2 3 112,-3 0-88,3 1-32,0 0-72,2-4 80,-3 4-120,3 1 56,-2 7-96,2-7 80,0-5 80,0 18-152,0-2 112,2 1-16,10 2 8,-12-19 48,0 17-16,2 2-48,12-1 40,-9 1-8,-5-19 32,11 19-49,-9-2 33,15 0-72,-6-4 32,-11-13 56,10 13 16,3 0-88,-3 0 64,3 2 0,-13-15 8,15 11-72,1 1 48,-2-8 16,2 10-8,-16-14 16,16 3-16,-2 1-16,-1 0-48,7-1-16,-20-3 96,11 0-120,7 0 0,-4-1-64,-3-2-8,-11 3 192,12-4-96,-9 1 32,-1 0 32,3 2 40,-5 1-8,4-2-16,-4 2 0,5 0 48,-3 0-24,-2 0-8,0-1 8,5 1-24,-3-2 32,12 0 8,-14 2-24,5-3 16,9-3 64,-3-8 88,6 2 80,-17 12-248,13-15 272,3-2 40,3-4-112,0-6-95,-19 27-105,20-31 56,3-2-16,-4-2-32,-3-5 0,-16 40-8,21-42 40,-7-5-72,0-5 24,-2-8 48,-12 60-40,4-61 40,8-7 24,-12-3 16,2-4-72,-2 75-8,3-80 32,-3-1 8,0 1-8,-5 7 128,5 73-160,-23-63 232,4 11 152,-5 10 64,-1 9-40,25 33-408,-28-27 448,1 4-144,2 6-120,-1 4-40,26 13-144,-24-4-96,4-2-32,1 3-24,5 2-72,14 1 224,-13 0-184,3 0-8,4 4 16,-9 13 40,15-17 136,-11 17-80,-3 8 24,3 8 16,-1 10 40,12-43 0,-14 53-8,7 10 16,-7 6-16,14 6-8,0-75 16,-2 78-56,2-3 8,2 3 32,12-5-88,-14-73 104,21 70-32,-3-4-32,1-5-16,4-7 56,-23-54 24,23 48-56,-2-6 0,2-6-56,-5-7-56,-18-29 168,20 23-312,-2-7-88,0-12-49,-4 0-15,-14-4 464,14 0-352,0 0 112,-3-4 128,-8-2 104,-3 6 8,5-11 80,-1 8 96,-4-2 80,0-1 8,0 6-264,0-12 264,-7 7-88,-9-11-80,2 4-72,14 12-24,-18-13-120,-5 0-144,-3-1-72,1 0 48,25 14 288,-33-14-408,-2-4-80,-4-1-192,-2-1-264,41 20 944,-52-20-864,0 0 231,-4-1 193,-2 0 208,58 21 232,-63-20-120,-9 0 24,-2 0 56,-7 5 16,81 15 24,-84-13 16,-3 9-16,-1-2 24,-7 4 24,95 2-48,-92-2 40,3 2 80,-1 0 216,11 3 184,79-3-520,-37 3 737,-9-3 95,4 5-144,-9-1-40,51-4-648,-49 5 552,3 9-16,0-11 16,4 11-160,3-11-15,11 10-129,10-11-112,13 1-64,5-3-72,-2 3-264,2-3-257,18 0 1,5 0 128,-23 0 392,30-1-112,19-4 184,42-13 64,10-1 32,-101 19-168,102-19 160,-13-2 136,5-1 33,11-2-41,-105 24-288,109-25 296,3-5-64,13 2-16,0-1-80,-125 29-136,130-28 144,4 0-40,1 2-56,2 3-40,-137 23-8,141-19 0,3 1-56,6 3-8,0 4-128,-150 11 192,151-6-1913,-3-11-847,-9 3-1857,-139 14 4617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7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2" t="s">
        <v>255</v>
      </c>
      <c r="C1" s="52"/>
      <c r="D1" s="52"/>
      <c r="E1" s="52"/>
      <c r="F1" s="52"/>
      <c r="G1" s="52"/>
      <c r="H1" s="52"/>
      <c r="I1" s="52"/>
      <c r="J1" s="52"/>
    </row>
    <row r="2" spans="1:10" ht="30" customHeight="1" x14ac:dyDescent="0.3">
      <c r="B2" s="9" t="s">
        <v>8</v>
      </c>
      <c r="C2" s="58" t="s">
        <v>12</v>
      </c>
      <c r="D2" s="58"/>
      <c r="E2" s="9" t="s">
        <v>7</v>
      </c>
      <c r="F2" s="53">
        <v>45956</v>
      </c>
      <c r="G2" s="53"/>
      <c r="H2" s="53"/>
      <c r="I2" s="53"/>
      <c r="J2" s="53"/>
    </row>
    <row r="3" spans="1:10" ht="30" customHeight="1" x14ac:dyDescent="0.3">
      <c r="B3" s="9" t="s">
        <v>9</v>
      </c>
      <c r="C3" s="58" t="s">
        <v>60</v>
      </c>
      <c r="D3" s="58"/>
      <c r="E3" s="9" t="s">
        <v>6</v>
      </c>
      <c r="F3" s="58" t="s">
        <v>59</v>
      </c>
      <c r="G3" s="58"/>
      <c r="H3" s="58"/>
      <c r="I3" s="58"/>
      <c r="J3" s="58"/>
    </row>
    <row r="4" spans="1:10" ht="30" customHeight="1" thickBot="1" x14ac:dyDescent="0.35">
      <c r="B4" s="6"/>
      <c r="C4" s="36" t="s">
        <v>256</v>
      </c>
      <c r="D4" s="36"/>
      <c r="E4" s="6"/>
      <c r="F4" s="36" t="s">
        <v>257</v>
      </c>
      <c r="G4" s="36"/>
      <c r="H4" s="36"/>
      <c r="I4" s="36"/>
      <c r="J4" s="36"/>
    </row>
    <row r="5" spans="1:10" ht="24.9" customHeight="1" x14ac:dyDescent="0.3">
      <c r="A5" s="7"/>
      <c r="B5" s="54" t="s">
        <v>0</v>
      </c>
      <c r="C5" s="55"/>
      <c r="D5" s="55"/>
      <c r="E5" s="63" t="s">
        <v>1</v>
      </c>
      <c r="F5" s="63"/>
      <c r="G5" s="63"/>
      <c r="H5" s="63"/>
      <c r="I5" s="63" t="s">
        <v>2</v>
      </c>
      <c r="J5" s="64"/>
    </row>
    <row r="6" spans="1:10" ht="24.9" customHeight="1" thickBot="1" x14ac:dyDescent="0.35">
      <c r="A6" s="7"/>
      <c r="B6" s="56"/>
      <c r="C6" s="57"/>
      <c r="D6" s="57"/>
      <c r="E6" s="8" t="s">
        <v>3</v>
      </c>
      <c r="F6" s="8" t="s">
        <v>4</v>
      </c>
      <c r="G6" s="8" t="s">
        <v>23</v>
      </c>
      <c r="H6" s="8" t="s">
        <v>24</v>
      </c>
      <c r="I6" s="65"/>
      <c r="J6" s="66"/>
    </row>
    <row r="7" spans="1:10" ht="24.9" customHeight="1" thickBot="1" x14ac:dyDescent="0.35">
      <c r="A7" s="7"/>
      <c r="B7" s="61" t="s">
        <v>21</v>
      </c>
      <c r="C7" s="62"/>
      <c r="D7" s="62"/>
      <c r="E7" s="29" t="s">
        <v>18</v>
      </c>
      <c r="F7" s="29" t="s">
        <v>19</v>
      </c>
      <c r="G7" s="29" t="s">
        <v>22</v>
      </c>
      <c r="H7" s="29" t="s">
        <v>20</v>
      </c>
      <c r="I7" s="67" t="s">
        <v>25</v>
      </c>
      <c r="J7" s="68"/>
    </row>
    <row r="8" spans="1:10" ht="39.9" customHeight="1" x14ac:dyDescent="0.3">
      <c r="A8" s="7"/>
      <c r="B8" s="85" t="s">
        <v>180</v>
      </c>
      <c r="C8" s="86"/>
      <c r="D8" s="86"/>
      <c r="E8" s="86"/>
      <c r="F8" s="86"/>
      <c r="G8" s="86"/>
      <c r="H8" s="86"/>
      <c r="I8" s="86"/>
      <c r="J8" s="87"/>
    </row>
    <row r="9" spans="1:10" ht="51.75" customHeight="1" x14ac:dyDescent="0.3">
      <c r="A9" s="7"/>
      <c r="B9" s="73" t="s">
        <v>181</v>
      </c>
      <c r="C9" s="74"/>
      <c r="D9" s="74"/>
      <c r="E9" s="25">
        <v>5</v>
      </c>
      <c r="F9" s="23">
        <v>3.5</v>
      </c>
      <c r="G9" s="31">
        <f>IFERROR(F9/E9,"")</f>
        <v>0.7</v>
      </c>
      <c r="H9" s="32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7"/>
      <c r="J9" s="38"/>
    </row>
    <row r="10" spans="1:10" ht="39.9" customHeight="1" x14ac:dyDescent="0.3">
      <c r="A10" s="7"/>
      <c r="B10" s="73" t="s">
        <v>182</v>
      </c>
      <c r="C10" s="74"/>
      <c r="D10" s="74"/>
      <c r="E10" s="25"/>
      <c r="F10" s="23"/>
      <c r="G10" s="31"/>
      <c r="H10" s="32"/>
      <c r="I10" s="37"/>
      <c r="J10" s="38"/>
    </row>
    <row r="11" spans="1:10" ht="39.9" customHeight="1" x14ac:dyDescent="0.3">
      <c r="A11" s="7"/>
      <c r="B11" s="75" t="s">
        <v>183</v>
      </c>
      <c r="C11" s="76"/>
      <c r="D11" s="76"/>
      <c r="E11" s="25">
        <v>5</v>
      </c>
      <c r="F11" s="23">
        <v>3.5</v>
      </c>
      <c r="G11" s="31">
        <f t="shared" ref="G11:G73" si="0">IFERROR(F11/E11,"")</f>
        <v>0.7</v>
      </c>
      <c r="H11" s="32" t="str">
        <f t="shared" ref="H11:H73" si="1">_xlfn.IFS(F11="أدخل العلامة","",F11="لا ينطبق","تم الإلغاء",G11&gt;=90%,"ممتاز",G11&gt;=80%,"جيد جداً",G11&gt;=70%,"جيد",G11&gt;=60%,"مقبول",G11&lt;60%,"راسب")</f>
        <v>جيد</v>
      </c>
      <c r="I11" s="37"/>
      <c r="J11" s="38"/>
    </row>
    <row r="12" spans="1:10" ht="39.9" customHeight="1" x14ac:dyDescent="0.3">
      <c r="A12" s="7"/>
      <c r="B12" s="75" t="s">
        <v>184</v>
      </c>
      <c r="C12" s="76"/>
      <c r="D12" s="76"/>
      <c r="E12" s="25">
        <v>5</v>
      </c>
      <c r="F12" s="23">
        <v>3.5</v>
      </c>
      <c r="G12" s="31">
        <f t="shared" si="0"/>
        <v>0.7</v>
      </c>
      <c r="H12" s="32" t="str">
        <f t="shared" si="1"/>
        <v>جيد</v>
      </c>
      <c r="I12" s="37"/>
      <c r="J12" s="38"/>
    </row>
    <row r="13" spans="1:10" ht="39.9" customHeight="1" x14ac:dyDescent="0.3">
      <c r="A13" s="7"/>
      <c r="B13" s="73" t="s">
        <v>185</v>
      </c>
      <c r="C13" s="74"/>
      <c r="D13" s="74"/>
      <c r="E13" s="25"/>
      <c r="F13" s="23"/>
      <c r="G13" s="31"/>
      <c r="H13" s="32"/>
      <c r="I13" s="37"/>
      <c r="J13" s="38"/>
    </row>
    <row r="14" spans="1:10" ht="39.9" customHeight="1" x14ac:dyDescent="0.3">
      <c r="A14" s="7"/>
      <c r="B14" s="75" t="s">
        <v>186</v>
      </c>
      <c r="C14" s="76"/>
      <c r="D14" s="76"/>
      <c r="E14" s="25">
        <v>5</v>
      </c>
      <c r="F14" s="23">
        <v>3.5</v>
      </c>
      <c r="G14" s="31">
        <f t="shared" si="0"/>
        <v>0.7</v>
      </c>
      <c r="H14" s="32" t="str">
        <f t="shared" si="1"/>
        <v>جيد</v>
      </c>
      <c r="I14" s="37"/>
      <c r="J14" s="38"/>
    </row>
    <row r="15" spans="1:10" ht="39.9" customHeight="1" x14ac:dyDescent="0.3">
      <c r="A15" s="7"/>
      <c r="B15" s="75" t="s">
        <v>187</v>
      </c>
      <c r="C15" s="76"/>
      <c r="D15" s="76"/>
      <c r="E15" s="25">
        <v>5</v>
      </c>
      <c r="F15" s="23">
        <v>3.5</v>
      </c>
      <c r="G15" s="31">
        <f t="shared" si="0"/>
        <v>0.7</v>
      </c>
      <c r="H15" s="32" t="str">
        <f t="shared" si="1"/>
        <v>جيد</v>
      </c>
      <c r="I15" s="37"/>
      <c r="J15" s="38"/>
    </row>
    <row r="16" spans="1:10" ht="39.9" customHeight="1" x14ac:dyDescent="0.3">
      <c r="A16" s="7"/>
      <c r="B16" s="75" t="s">
        <v>188</v>
      </c>
      <c r="C16" s="76"/>
      <c r="D16" s="76"/>
      <c r="E16" s="25">
        <v>5</v>
      </c>
      <c r="F16" s="23">
        <v>3.5</v>
      </c>
      <c r="G16" s="31">
        <f t="shared" si="0"/>
        <v>0.7</v>
      </c>
      <c r="H16" s="32" t="str">
        <f t="shared" si="1"/>
        <v>جيد</v>
      </c>
      <c r="I16" s="37"/>
      <c r="J16" s="38"/>
    </row>
    <row r="17" spans="1:10" ht="39.9" customHeight="1" x14ac:dyDescent="0.3">
      <c r="A17" s="7"/>
      <c r="B17" s="75" t="s">
        <v>189</v>
      </c>
      <c r="C17" s="76"/>
      <c r="D17" s="76"/>
      <c r="E17" s="25">
        <v>5</v>
      </c>
      <c r="F17" s="23">
        <v>3.75</v>
      </c>
      <c r="G17" s="31">
        <f t="shared" si="0"/>
        <v>0.75</v>
      </c>
      <c r="H17" s="32" t="str">
        <f t="shared" si="1"/>
        <v>جيد</v>
      </c>
      <c r="I17" s="37"/>
      <c r="J17" s="38"/>
    </row>
    <row r="18" spans="1:10" ht="39.9" customHeight="1" x14ac:dyDescent="0.3">
      <c r="A18" s="7"/>
      <c r="B18" s="75" t="s">
        <v>190</v>
      </c>
      <c r="C18" s="76"/>
      <c r="D18" s="76"/>
      <c r="E18" s="25">
        <v>5</v>
      </c>
      <c r="F18" s="23">
        <v>3.75</v>
      </c>
      <c r="G18" s="31">
        <f t="shared" si="0"/>
        <v>0.75</v>
      </c>
      <c r="H18" s="32" t="str">
        <f t="shared" si="1"/>
        <v>جيد</v>
      </c>
      <c r="I18" s="37"/>
      <c r="J18" s="38"/>
    </row>
    <row r="19" spans="1:10" ht="39.9" customHeight="1" x14ac:dyDescent="0.3">
      <c r="A19" s="7"/>
      <c r="B19" s="77" t="s">
        <v>191</v>
      </c>
      <c r="C19" s="78"/>
      <c r="D19" s="78"/>
      <c r="E19" s="25"/>
      <c r="F19" s="23">
        <v>3.75</v>
      </c>
      <c r="G19" s="31" t="str">
        <f t="shared" si="0"/>
        <v/>
      </c>
      <c r="H19" s="32" t="str">
        <f t="shared" si="1"/>
        <v>ممتاز</v>
      </c>
      <c r="I19" s="37"/>
      <c r="J19" s="38"/>
    </row>
    <row r="20" spans="1:10" ht="39.9" customHeight="1" x14ac:dyDescent="0.3">
      <c r="A20" s="7"/>
      <c r="B20" s="79" t="s">
        <v>192</v>
      </c>
      <c r="C20" s="80"/>
      <c r="D20" s="80"/>
      <c r="E20" s="25">
        <v>5</v>
      </c>
      <c r="F20" s="23">
        <v>3.5</v>
      </c>
      <c r="G20" s="31">
        <f t="shared" si="0"/>
        <v>0.7</v>
      </c>
      <c r="H20" s="32" t="str">
        <f t="shared" si="1"/>
        <v>جيد</v>
      </c>
      <c r="I20" s="37"/>
      <c r="J20" s="38"/>
    </row>
    <row r="21" spans="1:10" ht="39.9" customHeight="1" x14ac:dyDescent="0.3">
      <c r="A21" s="7"/>
      <c r="B21" s="79" t="s">
        <v>193</v>
      </c>
      <c r="C21" s="80"/>
      <c r="D21" s="80"/>
      <c r="E21" s="25">
        <v>5</v>
      </c>
      <c r="F21" s="23">
        <v>3.5</v>
      </c>
      <c r="G21" s="31">
        <f t="shared" si="0"/>
        <v>0.7</v>
      </c>
      <c r="H21" s="32" t="str">
        <f t="shared" si="1"/>
        <v>جيد</v>
      </c>
      <c r="I21" s="37"/>
      <c r="J21" s="38"/>
    </row>
    <row r="22" spans="1:10" ht="39.9" customHeight="1" x14ac:dyDescent="0.3">
      <c r="A22" s="7"/>
      <c r="B22" s="79" t="s">
        <v>194</v>
      </c>
      <c r="C22" s="80"/>
      <c r="D22" s="80"/>
      <c r="E22" s="25">
        <v>5</v>
      </c>
      <c r="F22" s="23">
        <v>3.5</v>
      </c>
      <c r="G22" s="31">
        <f t="shared" si="0"/>
        <v>0.7</v>
      </c>
      <c r="H22" s="32" t="str">
        <f t="shared" si="1"/>
        <v>جيد</v>
      </c>
      <c r="I22" s="37"/>
      <c r="J22" s="38"/>
    </row>
    <row r="23" spans="1:10" ht="39.9" customHeight="1" x14ac:dyDescent="0.3">
      <c r="A23" s="7"/>
      <c r="B23" s="79" t="s">
        <v>195</v>
      </c>
      <c r="C23" s="80"/>
      <c r="D23" s="80"/>
      <c r="E23" s="25">
        <v>5</v>
      </c>
      <c r="F23" s="23">
        <v>3.5</v>
      </c>
      <c r="G23" s="31">
        <f t="shared" si="0"/>
        <v>0.7</v>
      </c>
      <c r="H23" s="32" t="str">
        <f t="shared" si="1"/>
        <v>جيد</v>
      </c>
      <c r="I23" s="37"/>
      <c r="J23" s="38"/>
    </row>
    <row r="24" spans="1:10" ht="39.9" customHeight="1" x14ac:dyDescent="0.3">
      <c r="A24" s="7"/>
      <c r="B24" s="77" t="s">
        <v>196</v>
      </c>
      <c r="C24" s="78"/>
      <c r="D24" s="78"/>
      <c r="E24" s="25">
        <v>5</v>
      </c>
      <c r="F24" s="23">
        <v>3.5</v>
      </c>
      <c r="G24" s="31">
        <f t="shared" si="0"/>
        <v>0.7</v>
      </c>
      <c r="H24" s="32" t="str">
        <f t="shared" si="1"/>
        <v>جيد</v>
      </c>
      <c r="I24" s="37"/>
      <c r="J24" s="38"/>
    </row>
    <row r="25" spans="1:10" ht="51" customHeight="1" x14ac:dyDescent="0.3">
      <c r="A25" s="7"/>
      <c r="B25" s="77" t="s">
        <v>197</v>
      </c>
      <c r="C25" s="78"/>
      <c r="D25" s="78"/>
      <c r="E25" s="25">
        <v>5</v>
      </c>
      <c r="F25" s="23">
        <v>3.5</v>
      </c>
      <c r="G25" s="31">
        <f t="shared" si="0"/>
        <v>0.7</v>
      </c>
      <c r="H25" s="32" t="str">
        <f t="shared" si="1"/>
        <v>جيد</v>
      </c>
      <c r="I25" s="37"/>
      <c r="J25" s="38"/>
    </row>
    <row r="26" spans="1:10" ht="39.9" customHeight="1" x14ac:dyDescent="0.3">
      <c r="A26" s="7"/>
      <c r="B26" s="77" t="s">
        <v>198</v>
      </c>
      <c r="C26" s="78"/>
      <c r="D26" s="78"/>
      <c r="E26" s="25"/>
      <c r="F26" s="23"/>
      <c r="G26" s="31"/>
      <c r="H26" s="32"/>
      <c r="I26" s="37"/>
      <c r="J26" s="38"/>
    </row>
    <row r="27" spans="1:10" ht="39.9" customHeight="1" x14ac:dyDescent="0.3">
      <c r="A27" s="7"/>
      <c r="B27" s="79" t="s">
        <v>199</v>
      </c>
      <c r="C27" s="80"/>
      <c r="D27" s="80"/>
      <c r="E27" s="25">
        <v>5</v>
      </c>
      <c r="F27" s="23">
        <v>3.5</v>
      </c>
      <c r="G27" s="31">
        <f t="shared" si="0"/>
        <v>0.7</v>
      </c>
      <c r="H27" s="32" t="str">
        <f t="shared" si="1"/>
        <v>جيد</v>
      </c>
      <c r="I27" s="37"/>
      <c r="J27" s="38"/>
    </row>
    <row r="28" spans="1:10" ht="39.9" customHeight="1" x14ac:dyDescent="0.3">
      <c r="A28" s="7"/>
      <c r="B28" s="79" t="s">
        <v>200</v>
      </c>
      <c r="C28" s="80"/>
      <c r="D28" s="80"/>
      <c r="E28" s="25">
        <v>5</v>
      </c>
      <c r="F28" s="23">
        <v>3.5</v>
      </c>
      <c r="G28" s="31">
        <f t="shared" si="0"/>
        <v>0.7</v>
      </c>
      <c r="H28" s="32" t="str">
        <f t="shared" si="1"/>
        <v>جيد</v>
      </c>
      <c r="I28" s="37"/>
      <c r="J28" s="38"/>
    </row>
    <row r="29" spans="1:10" ht="39.9" customHeight="1" x14ac:dyDescent="0.3">
      <c r="A29" s="7"/>
      <c r="B29" s="79" t="s">
        <v>201</v>
      </c>
      <c r="C29" s="80"/>
      <c r="D29" s="80"/>
      <c r="E29" s="25">
        <v>5</v>
      </c>
      <c r="F29" s="23">
        <v>3.75</v>
      </c>
      <c r="G29" s="31">
        <f t="shared" si="0"/>
        <v>0.75</v>
      </c>
      <c r="H29" s="32" t="str">
        <f t="shared" si="1"/>
        <v>جيد</v>
      </c>
      <c r="I29" s="37"/>
      <c r="J29" s="38"/>
    </row>
    <row r="30" spans="1:10" ht="39.9" customHeight="1" x14ac:dyDescent="0.3">
      <c r="A30" s="7"/>
      <c r="B30" s="79" t="s">
        <v>202</v>
      </c>
      <c r="C30" s="80"/>
      <c r="D30" s="80"/>
      <c r="E30" s="25">
        <v>5</v>
      </c>
      <c r="F30" s="23">
        <v>3.75</v>
      </c>
      <c r="G30" s="31">
        <f t="shared" si="0"/>
        <v>0.75</v>
      </c>
      <c r="H30" s="32" t="str">
        <f t="shared" si="1"/>
        <v>جيد</v>
      </c>
      <c r="I30" s="37"/>
      <c r="J30" s="38"/>
    </row>
    <row r="31" spans="1:10" ht="39.9" customHeight="1" x14ac:dyDescent="0.3">
      <c r="A31" s="7"/>
      <c r="B31" s="79" t="s">
        <v>203</v>
      </c>
      <c r="C31" s="80"/>
      <c r="D31" s="80"/>
      <c r="E31" s="25">
        <v>5</v>
      </c>
      <c r="F31" s="23">
        <v>3.75</v>
      </c>
      <c r="G31" s="31">
        <f t="shared" si="0"/>
        <v>0.75</v>
      </c>
      <c r="H31" s="32" t="str">
        <f t="shared" si="1"/>
        <v>جيد</v>
      </c>
      <c r="I31" s="37"/>
      <c r="J31" s="38"/>
    </row>
    <row r="32" spans="1:10" ht="39.9" customHeight="1" x14ac:dyDescent="0.3">
      <c r="A32" s="7"/>
      <c r="B32" s="79" t="s">
        <v>204</v>
      </c>
      <c r="C32" s="80"/>
      <c r="D32" s="80"/>
      <c r="E32" s="25">
        <v>5</v>
      </c>
      <c r="F32" s="23">
        <v>3.75</v>
      </c>
      <c r="G32" s="31">
        <f t="shared" si="0"/>
        <v>0.75</v>
      </c>
      <c r="H32" s="32" t="str">
        <f t="shared" si="1"/>
        <v>جيد</v>
      </c>
      <c r="I32" s="37"/>
      <c r="J32" s="38"/>
    </row>
    <row r="33" spans="1:10" ht="39.9" customHeight="1" x14ac:dyDescent="0.3">
      <c r="A33" s="7"/>
      <c r="B33" s="77" t="s">
        <v>205</v>
      </c>
      <c r="C33" s="78"/>
      <c r="D33" s="78"/>
      <c r="E33" s="25">
        <v>5</v>
      </c>
      <c r="F33" s="23">
        <v>3.75</v>
      </c>
      <c r="G33" s="31">
        <f t="shared" si="0"/>
        <v>0.75</v>
      </c>
      <c r="H33" s="32" t="str">
        <f t="shared" si="1"/>
        <v>جيد</v>
      </c>
      <c r="I33" s="37"/>
      <c r="J33" s="38"/>
    </row>
    <row r="34" spans="1:10" ht="39.9" customHeight="1" x14ac:dyDescent="0.3">
      <c r="A34" s="7"/>
      <c r="B34" s="77" t="s">
        <v>206</v>
      </c>
      <c r="C34" s="78"/>
      <c r="D34" s="78"/>
      <c r="E34" s="25"/>
      <c r="F34" s="23"/>
      <c r="G34" s="31"/>
      <c r="H34" s="32"/>
      <c r="I34" s="37"/>
      <c r="J34" s="38"/>
    </row>
    <row r="35" spans="1:10" ht="39.9" customHeight="1" x14ac:dyDescent="0.3">
      <c r="A35" s="7"/>
      <c r="B35" s="79" t="s">
        <v>207</v>
      </c>
      <c r="C35" s="80"/>
      <c r="D35" s="80"/>
      <c r="E35" s="26">
        <v>5</v>
      </c>
      <c r="F35" s="23">
        <v>3.75</v>
      </c>
      <c r="G35" s="31">
        <f t="shared" si="0"/>
        <v>0.75</v>
      </c>
      <c r="H35" s="32" t="str">
        <f t="shared" si="1"/>
        <v>جيد</v>
      </c>
      <c r="I35" s="37"/>
      <c r="J35" s="38"/>
    </row>
    <row r="36" spans="1:10" ht="39.9" customHeight="1" x14ac:dyDescent="0.3">
      <c r="A36" s="7"/>
      <c r="B36" s="79" t="s">
        <v>208</v>
      </c>
      <c r="C36" s="80"/>
      <c r="D36" s="80"/>
      <c r="E36" s="27">
        <v>5</v>
      </c>
      <c r="F36" s="23">
        <v>3.75</v>
      </c>
      <c r="G36" s="31">
        <f t="shared" si="0"/>
        <v>0.75</v>
      </c>
      <c r="H36" s="32" t="str">
        <f t="shared" si="1"/>
        <v>جيد</v>
      </c>
      <c r="I36" s="37"/>
      <c r="J36" s="38"/>
    </row>
    <row r="37" spans="1:10" ht="39.9" customHeight="1" x14ac:dyDescent="0.3">
      <c r="A37" s="7"/>
      <c r="B37" s="79" t="s">
        <v>209</v>
      </c>
      <c r="C37" s="80"/>
      <c r="D37" s="80"/>
      <c r="E37" s="27">
        <v>5</v>
      </c>
      <c r="F37" s="23">
        <v>3.5</v>
      </c>
      <c r="G37" s="31">
        <f t="shared" si="0"/>
        <v>0.7</v>
      </c>
      <c r="H37" s="32" t="str">
        <f t="shared" si="1"/>
        <v>جيد</v>
      </c>
      <c r="I37" s="37"/>
      <c r="J37" s="38"/>
    </row>
    <row r="38" spans="1:10" ht="39.9" customHeight="1" x14ac:dyDescent="0.3">
      <c r="A38" s="7"/>
      <c r="B38" s="79" t="s">
        <v>210</v>
      </c>
      <c r="C38" s="80"/>
      <c r="D38" s="80"/>
      <c r="E38" s="27">
        <v>5</v>
      </c>
      <c r="F38" s="23">
        <v>3.5</v>
      </c>
      <c r="G38" s="31">
        <f t="shared" si="0"/>
        <v>0.7</v>
      </c>
      <c r="H38" s="32" t="str">
        <f t="shared" si="1"/>
        <v>جيد</v>
      </c>
      <c r="I38" s="37"/>
      <c r="J38" s="38"/>
    </row>
    <row r="39" spans="1:10" ht="39.9" customHeight="1" x14ac:dyDescent="0.3">
      <c r="A39" s="7"/>
      <c r="B39" s="79" t="s">
        <v>211</v>
      </c>
      <c r="C39" s="80"/>
      <c r="D39" s="80"/>
      <c r="E39" s="27">
        <v>5</v>
      </c>
      <c r="F39" s="23">
        <v>3.5</v>
      </c>
      <c r="G39" s="31">
        <f t="shared" si="0"/>
        <v>0.7</v>
      </c>
      <c r="H39" s="32" t="str">
        <f t="shared" si="1"/>
        <v>جيد</v>
      </c>
      <c r="I39" s="37"/>
      <c r="J39" s="38"/>
    </row>
    <row r="40" spans="1:10" ht="39.9" customHeight="1" x14ac:dyDescent="0.3">
      <c r="A40" s="7"/>
      <c r="B40" s="79" t="s">
        <v>212</v>
      </c>
      <c r="C40" s="80"/>
      <c r="D40" s="80"/>
      <c r="E40" s="27">
        <v>5</v>
      </c>
      <c r="F40" s="23">
        <v>3.5</v>
      </c>
      <c r="G40" s="31">
        <f t="shared" si="0"/>
        <v>0.7</v>
      </c>
      <c r="H40" s="32" t="str">
        <f t="shared" si="1"/>
        <v>جيد</v>
      </c>
      <c r="I40" s="37"/>
      <c r="J40" s="38"/>
    </row>
    <row r="41" spans="1:10" ht="39.9" customHeight="1" x14ac:dyDescent="0.3">
      <c r="A41" s="7"/>
      <c r="B41" s="77" t="s">
        <v>213</v>
      </c>
      <c r="C41" s="78"/>
      <c r="D41" s="78"/>
      <c r="E41" s="27"/>
      <c r="F41" s="23"/>
      <c r="G41" s="31"/>
      <c r="H41" s="32"/>
      <c r="I41" s="37"/>
      <c r="J41" s="38"/>
    </row>
    <row r="42" spans="1:10" ht="39.9" customHeight="1" x14ac:dyDescent="0.3">
      <c r="A42" s="7"/>
      <c r="B42" s="79" t="s">
        <v>214</v>
      </c>
      <c r="C42" s="80"/>
      <c r="D42" s="80"/>
      <c r="E42" s="27">
        <v>5</v>
      </c>
      <c r="F42" s="23">
        <v>3.5</v>
      </c>
      <c r="G42" s="31">
        <f t="shared" si="0"/>
        <v>0.7</v>
      </c>
      <c r="H42" s="32" t="str">
        <f t="shared" si="1"/>
        <v>جيد</v>
      </c>
      <c r="I42" s="37"/>
      <c r="J42" s="38"/>
    </row>
    <row r="43" spans="1:10" ht="39.9" customHeight="1" x14ac:dyDescent="0.3">
      <c r="A43" s="7"/>
      <c r="B43" s="79" t="s">
        <v>215</v>
      </c>
      <c r="C43" s="80"/>
      <c r="D43" s="80"/>
      <c r="E43" s="27">
        <v>5</v>
      </c>
      <c r="F43" s="23">
        <v>3.75</v>
      </c>
      <c r="G43" s="31">
        <f t="shared" si="0"/>
        <v>0.75</v>
      </c>
      <c r="H43" s="32" t="str">
        <f t="shared" si="1"/>
        <v>جيد</v>
      </c>
      <c r="I43" s="37"/>
      <c r="J43" s="38"/>
    </row>
    <row r="44" spans="1:10" ht="39.9" customHeight="1" x14ac:dyDescent="0.3">
      <c r="A44" s="7"/>
      <c r="B44" s="79" t="s">
        <v>216</v>
      </c>
      <c r="C44" s="80"/>
      <c r="D44" s="80"/>
      <c r="E44" s="27">
        <v>5</v>
      </c>
      <c r="F44" s="23">
        <v>3.75</v>
      </c>
      <c r="G44" s="31">
        <f t="shared" si="0"/>
        <v>0.75</v>
      </c>
      <c r="H44" s="32" t="str">
        <f t="shared" si="1"/>
        <v>جيد</v>
      </c>
      <c r="I44" s="37"/>
      <c r="J44" s="38"/>
    </row>
    <row r="45" spans="1:10" ht="39.9" customHeight="1" x14ac:dyDescent="0.3">
      <c r="A45" s="7"/>
      <c r="B45" s="79" t="s">
        <v>217</v>
      </c>
      <c r="C45" s="80"/>
      <c r="D45" s="80"/>
      <c r="E45" s="27">
        <v>5</v>
      </c>
      <c r="F45" s="23">
        <v>3.5</v>
      </c>
      <c r="G45" s="31">
        <f t="shared" si="0"/>
        <v>0.7</v>
      </c>
      <c r="H45" s="32" t="str">
        <f t="shared" si="1"/>
        <v>جيد</v>
      </c>
      <c r="I45" s="37"/>
      <c r="J45" s="38"/>
    </row>
    <row r="46" spans="1:10" ht="39.9" customHeight="1" x14ac:dyDescent="0.3">
      <c r="A46" s="7"/>
      <c r="B46" s="77" t="s">
        <v>218</v>
      </c>
      <c r="C46" s="78"/>
      <c r="D46" s="78"/>
      <c r="E46" s="27">
        <v>5</v>
      </c>
      <c r="F46" s="23">
        <v>3.5</v>
      </c>
      <c r="G46" s="31">
        <f t="shared" si="0"/>
        <v>0.7</v>
      </c>
      <c r="H46" s="32" t="str">
        <f t="shared" si="1"/>
        <v>جيد</v>
      </c>
      <c r="I46" s="37"/>
      <c r="J46" s="38"/>
    </row>
    <row r="47" spans="1:10" ht="49.5" customHeight="1" x14ac:dyDescent="0.3">
      <c r="A47" s="7"/>
      <c r="B47" s="77" t="s">
        <v>219</v>
      </c>
      <c r="C47" s="78"/>
      <c r="D47" s="78"/>
      <c r="E47" s="26">
        <v>5</v>
      </c>
      <c r="F47" s="23">
        <v>3.75</v>
      </c>
      <c r="G47" s="31">
        <f t="shared" si="0"/>
        <v>0.75</v>
      </c>
      <c r="H47" s="32" t="str">
        <f t="shared" si="1"/>
        <v>جيد</v>
      </c>
      <c r="I47" s="37"/>
      <c r="J47" s="38"/>
    </row>
    <row r="48" spans="1:10" ht="39.9" customHeight="1" x14ac:dyDescent="0.3">
      <c r="A48" s="7"/>
      <c r="B48" s="77" t="s">
        <v>220</v>
      </c>
      <c r="C48" s="78"/>
      <c r="D48" s="78"/>
      <c r="E48" s="25"/>
      <c r="F48" s="23"/>
      <c r="G48" s="31"/>
      <c r="H48" s="32"/>
      <c r="I48" s="37"/>
      <c r="J48" s="38"/>
    </row>
    <row r="49" spans="1:10" ht="39.9" customHeight="1" x14ac:dyDescent="0.3">
      <c r="A49" s="7"/>
      <c r="B49" s="79" t="s">
        <v>221</v>
      </c>
      <c r="C49" s="80"/>
      <c r="D49" s="80"/>
      <c r="E49" s="25">
        <v>5</v>
      </c>
      <c r="F49" s="23">
        <v>3.75</v>
      </c>
      <c r="G49" s="31">
        <f t="shared" si="0"/>
        <v>0.75</v>
      </c>
      <c r="H49" s="32" t="str">
        <f t="shared" si="1"/>
        <v>جيد</v>
      </c>
      <c r="I49" s="37"/>
      <c r="J49" s="38"/>
    </row>
    <row r="50" spans="1:10" ht="39.9" customHeight="1" x14ac:dyDescent="0.3">
      <c r="A50" s="7"/>
      <c r="B50" s="79" t="s">
        <v>222</v>
      </c>
      <c r="C50" s="80"/>
      <c r="D50" s="80"/>
      <c r="E50" s="25">
        <v>5</v>
      </c>
      <c r="F50" s="23">
        <v>3.75</v>
      </c>
      <c r="G50" s="31">
        <f t="shared" si="0"/>
        <v>0.75</v>
      </c>
      <c r="H50" s="32" t="str">
        <f t="shared" si="1"/>
        <v>جيد</v>
      </c>
      <c r="I50" s="37"/>
      <c r="J50" s="38"/>
    </row>
    <row r="51" spans="1:10" ht="39.9" customHeight="1" x14ac:dyDescent="0.3">
      <c r="A51" s="7"/>
      <c r="B51" s="79" t="s">
        <v>223</v>
      </c>
      <c r="C51" s="80"/>
      <c r="D51" s="80"/>
      <c r="E51" s="25">
        <v>5</v>
      </c>
      <c r="F51" s="23">
        <v>3.75</v>
      </c>
      <c r="G51" s="31">
        <f t="shared" si="0"/>
        <v>0.75</v>
      </c>
      <c r="H51" s="32" t="str">
        <f t="shared" si="1"/>
        <v>جيد</v>
      </c>
      <c r="I51" s="37"/>
      <c r="J51" s="38"/>
    </row>
    <row r="52" spans="1:10" ht="39.9" customHeight="1" x14ac:dyDescent="0.3">
      <c r="A52" s="7"/>
      <c r="B52" s="79" t="s">
        <v>224</v>
      </c>
      <c r="C52" s="80"/>
      <c r="D52" s="80"/>
      <c r="E52" s="25">
        <v>5</v>
      </c>
      <c r="F52" s="23">
        <v>3.75</v>
      </c>
      <c r="G52" s="31">
        <f t="shared" si="0"/>
        <v>0.75</v>
      </c>
      <c r="H52" s="32" t="str">
        <f t="shared" si="1"/>
        <v>جيد</v>
      </c>
      <c r="I52" s="37"/>
      <c r="J52" s="38"/>
    </row>
    <row r="53" spans="1:10" ht="39.9" customHeight="1" x14ac:dyDescent="0.3">
      <c r="A53" s="7"/>
      <c r="B53" s="79" t="s">
        <v>225</v>
      </c>
      <c r="C53" s="80"/>
      <c r="D53" s="80"/>
      <c r="E53" s="25">
        <v>5</v>
      </c>
      <c r="F53" s="23">
        <v>3.5</v>
      </c>
      <c r="G53" s="31">
        <f t="shared" si="0"/>
        <v>0.7</v>
      </c>
      <c r="H53" s="32" t="str">
        <f t="shared" si="1"/>
        <v>جيد</v>
      </c>
      <c r="I53" s="37"/>
      <c r="J53" s="38"/>
    </row>
    <row r="54" spans="1:10" ht="39.9" customHeight="1" thickBot="1" x14ac:dyDescent="0.35">
      <c r="A54" s="7"/>
      <c r="B54" s="81" t="s">
        <v>226</v>
      </c>
      <c r="C54" s="82"/>
      <c r="D54" s="82"/>
      <c r="E54" s="35">
        <v>5</v>
      </c>
      <c r="F54" s="24">
        <v>3.5</v>
      </c>
      <c r="G54" s="33">
        <f t="shared" si="0"/>
        <v>0.7</v>
      </c>
      <c r="H54" s="34" t="str">
        <f t="shared" si="1"/>
        <v>جيد</v>
      </c>
      <c r="I54" s="47"/>
      <c r="J54" s="48"/>
    </row>
    <row r="55" spans="1:10" ht="39.9" customHeight="1" x14ac:dyDescent="0.3">
      <c r="A55" s="7"/>
      <c r="B55" s="85" t="s">
        <v>227</v>
      </c>
      <c r="C55" s="86"/>
      <c r="D55" s="86"/>
      <c r="E55" s="86"/>
      <c r="F55" s="86"/>
      <c r="G55" s="86"/>
      <c r="H55" s="86"/>
      <c r="I55" s="86"/>
      <c r="J55" s="87"/>
    </row>
    <row r="56" spans="1:10" ht="39.9" customHeight="1" x14ac:dyDescent="0.3">
      <c r="A56" s="7"/>
      <c r="B56" s="77" t="s">
        <v>228</v>
      </c>
      <c r="C56" s="78"/>
      <c r="D56" s="78"/>
      <c r="E56" s="25"/>
      <c r="F56" s="23"/>
      <c r="G56" s="31"/>
      <c r="H56" s="32"/>
      <c r="I56" s="37"/>
      <c r="J56" s="38"/>
    </row>
    <row r="57" spans="1:10" ht="39.9" customHeight="1" x14ac:dyDescent="0.3">
      <c r="A57" s="7"/>
      <c r="B57" s="79" t="s">
        <v>229</v>
      </c>
      <c r="C57" s="80"/>
      <c r="D57" s="80"/>
      <c r="E57" s="27">
        <v>5</v>
      </c>
      <c r="F57" s="23">
        <v>3.75</v>
      </c>
      <c r="G57" s="31">
        <f t="shared" si="0"/>
        <v>0.75</v>
      </c>
      <c r="H57" s="32" t="str">
        <f t="shared" si="1"/>
        <v>جيد</v>
      </c>
      <c r="I57" s="37"/>
      <c r="J57" s="38"/>
    </row>
    <row r="58" spans="1:10" ht="39.9" customHeight="1" x14ac:dyDescent="0.3">
      <c r="A58" s="7"/>
      <c r="B58" s="79" t="s">
        <v>230</v>
      </c>
      <c r="C58" s="80"/>
      <c r="D58" s="80"/>
      <c r="E58" s="27">
        <v>5</v>
      </c>
      <c r="F58" s="23">
        <v>3.75</v>
      </c>
      <c r="G58" s="31">
        <f t="shared" si="0"/>
        <v>0.75</v>
      </c>
      <c r="H58" s="32" t="str">
        <f t="shared" si="1"/>
        <v>جيد</v>
      </c>
      <c r="I58" s="37"/>
      <c r="J58" s="38"/>
    </row>
    <row r="59" spans="1:10" ht="39.9" customHeight="1" x14ac:dyDescent="0.3">
      <c r="A59" s="7"/>
      <c r="B59" s="79" t="s">
        <v>231</v>
      </c>
      <c r="C59" s="80"/>
      <c r="D59" s="80"/>
      <c r="E59" s="27">
        <v>5</v>
      </c>
      <c r="F59" s="23">
        <v>3.5</v>
      </c>
      <c r="G59" s="31">
        <f t="shared" si="0"/>
        <v>0.7</v>
      </c>
      <c r="H59" s="32" t="str">
        <f t="shared" si="1"/>
        <v>جيد</v>
      </c>
      <c r="I59" s="37"/>
      <c r="J59" s="38"/>
    </row>
    <row r="60" spans="1:10" ht="39.9" customHeight="1" x14ac:dyDescent="0.3">
      <c r="A60" s="7"/>
      <c r="B60" s="79" t="s">
        <v>232</v>
      </c>
      <c r="C60" s="80"/>
      <c r="D60" s="80"/>
      <c r="E60" s="27">
        <v>5</v>
      </c>
      <c r="F60" s="23">
        <v>3.75</v>
      </c>
      <c r="G60" s="31">
        <f t="shared" si="0"/>
        <v>0.75</v>
      </c>
      <c r="H60" s="32" t="str">
        <f t="shared" si="1"/>
        <v>جيد</v>
      </c>
      <c r="I60" s="37"/>
      <c r="J60" s="38"/>
    </row>
    <row r="61" spans="1:10" ht="39.9" customHeight="1" x14ac:dyDescent="0.3">
      <c r="A61" s="7"/>
      <c r="B61" s="79" t="s">
        <v>233</v>
      </c>
      <c r="C61" s="80"/>
      <c r="D61" s="80"/>
      <c r="E61" s="27">
        <v>5</v>
      </c>
      <c r="F61" s="23">
        <v>3.5</v>
      </c>
      <c r="G61" s="31">
        <f t="shared" si="0"/>
        <v>0.7</v>
      </c>
      <c r="H61" s="32" t="str">
        <f t="shared" si="1"/>
        <v>جيد</v>
      </c>
      <c r="I61" s="37"/>
      <c r="J61" s="38"/>
    </row>
    <row r="62" spans="1:10" ht="39.9" customHeight="1" x14ac:dyDescent="0.3">
      <c r="A62" s="7"/>
      <c r="B62" s="79" t="s">
        <v>234</v>
      </c>
      <c r="C62" s="80"/>
      <c r="D62" s="80"/>
      <c r="E62" s="27">
        <v>5</v>
      </c>
      <c r="F62" s="23">
        <v>3.5</v>
      </c>
      <c r="G62" s="31">
        <f t="shared" si="0"/>
        <v>0.7</v>
      </c>
      <c r="H62" s="32" t="str">
        <f t="shared" si="1"/>
        <v>جيد</v>
      </c>
      <c r="I62" s="37"/>
      <c r="J62" s="38"/>
    </row>
    <row r="63" spans="1:10" ht="39.9" customHeight="1" x14ac:dyDescent="0.3">
      <c r="A63" s="7"/>
      <c r="B63" s="79" t="s">
        <v>235</v>
      </c>
      <c r="C63" s="80"/>
      <c r="D63" s="80"/>
      <c r="E63" s="27">
        <v>5</v>
      </c>
      <c r="F63" s="23">
        <v>3.5</v>
      </c>
      <c r="G63" s="31">
        <f t="shared" si="0"/>
        <v>0.7</v>
      </c>
      <c r="H63" s="32" t="str">
        <f t="shared" si="1"/>
        <v>جيد</v>
      </c>
      <c r="I63" s="37"/>
      <c r="J63" s="38"/>
    </row>
    <row r="64" spans="1:10" ht="39.9" customHeight="1" x14ac:dyDescent="0.3">
      <c r="A64" s="7"/>
      <c r="B64" s="77" t="s">
        <v>236</v>
      </c>
      <c r="C64" s="78"/>
      <c r="D64" s="78"/>
      <c r="E64" s="27">
        <v>5</v>
      </c>
      <c r="F64" s="23">
        <v>3.5</v>
      </c>
      <c r="G64" s="31">
        <f t="shared" si="0"/>
        <v>0.7</v>
      </c>
      <c r="H64" s="32" t="str">
        <f t="shared" si="1"/>
        <v>جيد</v>
      </c>
      <c r="I64" s="37"/>
      <c r="J64" s="38"/>
    </row>
    <row r="65" spans="1:10" ht="39.9" customHeight="1" thickBot="1" x14ac:dyDescent="0.35">
      <c r="A65" s="7"/>
      <c r="B65" s="83" t="s">
        <v>237</v>
      </c>
      <c r="C65" s="84"/>
      <c r="D65" s="84"/>
      <c r="E65" s="28">
        <v>5</v>
      </c>
      <c r="F65" s="24">
        <v>3.5</v>
      </c>
      <c r="G65" s="33">
        <f t="shared" si="0"/>
        <v>0.7</v>
      </c>
      <c r="H65" s="34" t="str">
        <f t="shared" si="1"/>
        <v>جيد</v>
      </c>
      <c r="I65" s="47"/>
      <c r="J65" s="48"/>
    </row>
    <row r="66" spans="1:10" ht="39.9" customHeight="1" x14ac:dyDescent="0.3">
      <c r="A66" s="7"/>
      <c r="B66" s="85" t="s">
        <v>238</v>
      </c>
      <c r="C66" s="86"/>
      <c r="D66" s="86"/>
      <c r="E66" s="86"/>
      <c r="F66" s="86"/>
      <c r="G66" s="86"/>
      <c r="H66" s="86"/>
      <c r="I66" s="86"/>
      <c r="J66" s="87"/>
    </row>
    <row r="67" spans="1:10" ht="39.9" customHeight="1" x14ac:dyDescent="0.3">
      <c r="A67" s="7"/>
      <c r="B67" s="77" t="s">
        <v>239</v>
      </c>
      <c r="C67" s="78"/>
      <c r="D67" s="78"/>
      <c r="E67" s="27">
        <v>5</v>
      </c>
      <c r="F67" s="23">
        <v>3.75</v>
      </c>
      <c r="G67" s="31">
        <f t="shared" si="0"/>
        <v>0.75</v>
      </c>
      <c r="H67" s="32" t="str">
        <f t="shared" si="1"/>
        <v>جيد</v>
      </c>
      <c r="I67" s="37"/>
      <c r="J67" s="38"/>
    </row>
    <row r="68" spans="1:10" ht="54.75" customHeight="1" x14ac:dyDescent="0.3">
      <c r="A68" s="7"/>
      <c r="B68" s="77" t="s">
        <v>240</v>
      </c>
      <c r="C68" s="78"/>
      <c r="D68" s="78"/>
      <c r="E68" s="27">
        <v>5</v>
      </c>
      <c r="F68" s="23">
        <v>3.5</v>
      </c>
      <c r="G68" s="31">
        <f t="shared" si="0"/>
        <v>0.7</v>
      </c>
      <c r="H68" s="32" t="str">
        <f t="shared" si="1"/>
        <v>جيد</v>
      </c>
      <c r="I68" s="37"/>
      <c r="J68" s="38"/>
    </row>
    <row r="69" spans="1:10" ht="39.9" customHeight="1" x14ac:dyDescent="0.3">
      <c r="A69" s="7"/>
      <c r="B69" s="77" t="s">
        <v>241</v>
      </c>
      <c r="C69" s="78"/>
      <c r="D69" s="78"/>
      <c r="E69" s="27">
        <v>5</v>
      </c>
      <c r="F69" s="23">
        <v>3.75</v>
      </c>
      <c r="G69" s="31">
        <f t="shared" si="0"/>
        <v>0.75</v>
      </c>
      <c r="H69" s="32" t="str">
        <f t="shared" si="1"/>
        <v>جيد</v>
      </c>
      <c r="I69" s="37"/>
      <c r="J69" s="38"/>
    </row>
    <row r="70" spans="1:10" ht="39.9" customHeight="1" x14ac:dyDescent="0.3">
      <c r="A70" s="7"/>
      <c r="B70" s="77" t="s">
        <v>242</v>
      </c>
      <c r="C70" s="78"/>
      <c r="D70" s="78"/>
      <c r="E70" s="27">
        <v>5</v>
      </c>
      <c r="F70" s="23">
        <v>3.75</v>
      </c>
      <c r="G70" s="31">
        <f t="shared" si="0"/>
        <v>0.75</v>
      </c>
      <c r="H70" s="32" t="str">
        <f t="shared" si="1"/>
        <v>جيد</v>
      </c>
      <c r="I70" s="37"/>
      <c r="J70" s="38"/>
    </row>
    <row r="71" spans="1:10" ht="39.9" customHeight="1" x14ac:dyDescent="0.3">
      <c r="A71" s="7"/>
      <c r="B71" s="77" t="s">
        <v>243</v>
      </c>
      <c r="C71" s="78"/>
      <c r="D71" s="78"/>
      <c r="E71" s="27">
        <v>5</v>
      </c>
      <c r="F71" s="23">
        <v>3.5</v>
      </c>
      <c r="G71" s="31">
        <f t="shared" si="0"/>
        <v>0.7</v>
      </c>
      <c r="H71" s="32" t="str">
        <f t="shared" si="1"/>
        <v>جيد</v>
      </c>
      <c r="I71" s="37"/>
      <c r="J71" s="38"/>
    </row>
    <row r="72" spans="1:10" ht="63" customHeight="1" x14ac:dyDescent="0.3">
      <c r="A72" s="7"/>
      <c r="B72" s="77" t="s">
        <v>244</v>
      </c>
      <c r="C72" s="78"/>
      <c r="D72" s="78"/>
      <c r="E72" s="27">
        <v>5</v>
      </c>
      <c r="F72" s="23">
        <v>3.75</v>
      </c>
      <c r="G72" s="31">
        <f t="shared" si="0"/>
        <v>0.75</v>
      </c>
      <c r="H72" s="32" t="str">
        <f t="shared" si="1"/>
        <v>جيد</v>
      </c>
      <c r="I72" s="37"/>
      <c r="J72" s="38"/>
    </row>
    <row r="73" spans="1:10" ht="39.9" customHeight="1" x14ac:dyDescent="0.3">
      <c r="A73" s="7"/>
      <c r="B73" s="77" t="s">
        <v>245</v>
      </c>
      <c r="C73" s="78"/>
      <c r="D73" s="78"/>
      <c r="E73" s="27">
        <v>5</v>
      </c>
      <c r="F73" s="23">
        <v>3.75</v>
      </c>
      <c r="G73" s="31">
        <f t="shared" si="0"/>
        <v>0.75</v>
      </c>
      <c r="H73" s="32" t="str">
        <f t="shared" si="1"/>
        <v>جيد</v>
      </c>
      <c r="I73" s="37"/>
      <c r="J73" s="38"/>
    </row>
    <row r="74" spans="1:10" ht="39.9" customHeight="1" x14ac:dyDescent="0.3">
      <c r="A74" s="7"/>
      <c r="B74" s="77" t="s">
        <v>246</v>
      </c>
      <c r="C74" s="78"/>
      <c r="D74" s="78"/>
      <c r="E74" s="27">
        <v>5</v>
      </c>
      <c r="F74" s="23">
        <v>3.75</v>
      </c>
      <c r="G74" s="31">
        <f t="shared" ref="G74:G82" si="2">IFERROR(F74/E74,"")</f>
        <v>0.75</v>
      </c>
      <c r="H74" s="32" t="str">
        <f t="shared" ref="H74:H82" si="3">_xlfn.IFS(F74="أدخل العلامة","",F74="لا ينطبق","تم الإلغاء",G74&gt;=90%,"ممتاز",G74&gt;=80%,"جيد جداً",G74&gt;=70%,"جيد",G74&gt;=60%,"مقبول",G74&lt;60%,"راسب")</f>
        <v>جيد</v>
      </c>
      <c r="I74" s="37"/>
      <c r="J74" s="38"/>
    </row>
    <row r="75" spans="1:10" ht="39.9" customHeight="1" x14ac:dyDescent="0.3">
      <c r="A75" s="7"/>
      <c r="B75" s="77" t="s">
        <v>247</v>
      </c>
      <c r="C75" s="78"/>
      <c r="D75" s="78"/>
      <c r="E75" s="27">
        <v>10</v>
      </c>
      <c r="F75" s="23">
        <v>3.75</v>
      </c>
      <c r="G75" s="31">
        <f t="shared" si="2"/>
        <v>0.375</v>
      </c>
      <c r="H75" s="32" t="str">
        <f t="shared" si="3"/>
        <v>راسب</v>
      </c>
      <c r="I75" s="37"/>
      <c r="J75" s="38"/>
    </row>
    <row r="76" spans="1:10" ht="39.9" customHeight="1" x14ac:dyDescent="0.3">
      <c r="A76" s="7"/>
      <c r="B76" s="77" t="s">
        <v>248</v>
      </c>
      <c r="C76" s="78"/>
      <c r="D76" s="78"/>
      <c r="E76" s="27">
        <v>5</v>
      </c>
      <c r="F76" s="23">
        <v>3.75</v>
      </c>
      <c r="G76" s="31">
        <f t="shared" si="2"/>
        <v>0.75</v>
      </c>
      <c r="H76" s="32" t="str">
        <f t="shared" si="3"/>
        <v>جيد</v>
      </c>
      <c r="I76" s="37"/>
      <c r="J76" s="38"/>
    </row>
    <row r="77" spans="1:10" ht="39.9" customHeight="1" x14ac:dyDescent="0.3">
      <c r="A77" s="7"/>
      <c r="B77" s="77" t="s">
        <v>249</v>
      </c>
      <c r="C77" s="78"/>
      <c r="D77" s="78"/>
      <c r="E77" s="27">
        <v>5</v>
      </c>
      <c r="F77" s="23">
        <v>3.75</v>
      </c>
      <c r="G77" s="31">
        <f t="shared" si="2"/>
        <v>0.75</v>
      </c>
      <c r="H77" s="32" t="str">
        <f t="shared" si="3"/>
        <v>جيد</v>
      </c>
      <c r="I77" s="37"/>
      <c r="J77" s="38"/>
    </row>
    <row r="78" spans="1:10" ht="39.9" customHeight="1" x14ac:dyDescent="0.3">
      <c r="A78" s="7"/>
      <c r="B78" s="77" t="s">
        <v>250</v>
      </c>
      <c r="C78" s="78"/>
      <c r="D78" s="78"/>
      <c r="E78" s="27">
        <v>5</v>
      </c>
      <c r="F78" s="23">
        <v>3.75</v>
      </c>
      <c r="G78" s="31">
        <f t="shared" si="2"/>
        <v>0.75</v>
      </c>
      <c r="H78" s="32" t="str">
        <f t="shared" si="3"/>
        <v>جيد</v>
      </c>
      <c r="I78" s="37"/>
      <c r="J78" s="38"/>
    </row>
    <row r="79" spans="1:10" ht="39.9" customHeight="1" x14ac:dyDescent="0.3">
      <c r="A79" s="7"/>
      <c r="B79" s="79" t="s">
        <v>251</v>
      </c>
      <c r="C79" s="80"/>
      <c r="D79" s="80"/>
      <c r="E79" s="27">
        <v>5</v>
      </c>
      <c r="F79" s="23">
        <v>3.75</v>
      </c>
      <c r="G79" s="31">
        <f t="shared" si="2"/>
        <v>0.75</v>
      </c>
      <c r="H79" s="32" t="str">
        <f t="shared" si="3"/>
        <v>جيد</v>
      </c>
      <c r="I79" s="37"/>
      <c r="J79" s="38"/>
    </row>
    <row r="80" spans="1:10" ht="39.9" customHeight="1" x14ac:dyDescent="0.3">
      <c r="A80" s="7"/>
      <c r="B80" s="79" t="s">
        <v>252</v>
      </c>
      <c r="C80" s="80"/>
      <c r="D80" s="80"/>
      <c r="E80" s="27">
        <v>5</v>
      </c>
      <c r="F80" s="23">
        <v>3.75</v>
      </c>
      <c r="G80" s="31">
        <f t="shared" si="2"/>
        <v>0.75</v>
      </c>
      <c r="H80" s="32" t="str">
        <f t="shared" si="3"/>
        <v>جيد</v>
      </c>
      <c r="I80" s="37"/>
      <c r="J80" s="38"/>
    </row>
    <row r="81" spans="1:10" ht="39.9" customHeight="1" x14ac:dyDescent="0.3">
      <c r="A81" s="7"/>
      <c r="B81" s="79" t="s">
        <v>253</v>
      </c>
      <c r="C81" s="80"/>
      <c r="D81" s="80"/>
      <c r="E81" s="27">
        <v>5</v>
      </c>
      <c r="F81" s="23">
        <v>3.75</v>
      </c>
      <c r="G81" s="31">
        <f t="shared" si="2"/>
        <v>0.75</v>
      </c>
      <c r="H81" s="32" t="str">
        <f t="shared" si="3"/>
        <v>جيد</v>
      </c>
      <c r="I81" s="37"/>
      <c r="J81" s="38"/>
    </row>
    <row r="82" spans="1:10" ht="39.9" customHeight="1" thickBot="1" x14ac:dyDescent="0.35">
      <c r="A82" s="7"/>
      <c r="B82" s="83" t="s">
        <v>254</v>
      </c>
      <c r="C82" s="84"/>
      <c r="D82" s="84"/>
      <c r="E82" s="28">
        <v>5</v>
      </c>
      <c r="F82" s="24">
        <v>3.75</v>
      </c>
      <c r="G82" s="33">
        <f t="shared" si="2"/>
        <v>0.75</v>
      </c>
      <c r="H82" s="34" t="str">
        <f t="shared" si="3"/>
        <v>جيد</v>
      </c>
      <c r="I82" s="47"/>
      <c r="J82" s="48"/>
    </row>
    <row r="83" spans="1:10" ht="30" customHeight="1" thickBot="1" x14ac:dyDescent="0.35">
      <c r="A83" s="4"/>
      <c r="B83" s="39" t="s">
        <v>5</v>
      </c>
      <c r="C83" s="40"/>
      <c r="D83" s="40"/>
      <c r="E83" s="30">
        <f>SUM(E8:E82)</f>
        <v>325</v>
      </c>
      <c r="F83" s="30">
        <f>SUM(F8:F82)</f>
        <v>236</v>
      </c>
      <c r="G83" s="70"/>
      <c r="H83" s="71"/>
      <c r="I83" s="71"/>
      <c r="J83" s="72"/>
    </row>
    <row r="84" spans="1:10" ht="30" customHeight="1" thickBot="1" x14ac:dyDescent="0.35">
      <c r="A84" s="4"/>
      <c r="B84" s="49" t="s">
        <v>54</v>
      </c>
      <c r="C84" s="50"/>
      <c r="D84" s="50"/>
      <c r="E84" s="59">
        <f>F83/E83/100*100</f>
        <v>0.72615384615384615</v>
      </c>
      <c r="F84" s="59"/>
      <c r="G84" s="59"/>
      <c r="H84" s="59"/>
      <c r="I84" s="59"/>
      <c r="J84" s="60"/>
    </row>
    <row r="85" spans="1:10" ht="30" customHeight="1" thickBot="1" x14ac:dyDescent="0.35">
      <c r="A85" s="4"/>
      <c r="B85" s="49" t="s">
        <v>55</v>
      </c>
      <c r="C85" s="50"/>
      <c r="D85" s="50"/>
      <c r="E85" s="45" t="str">
        <f>_xlfn.IFS(E84&gt;=90%,"ممتاز",E84&gt;=80%,"جيد جداً",E84&gt;=70%,"جيد",E84&gt;=60%,"مقبول",E84&lt;60%,"راسب")</f>
        <v>جيد</v>
      </c>
      <c r="F85" s="45"/>
      <c r="G85" s="45"/>
      <c r="H85" s="45"/>
      <c r="I85" s="45"/>
      <c r="J85" s="46"/>
    </row>
    <row r="86" spans="1:10" ht="42" customHeight="1" x14ac:dyDescent="0.3">
      <c r="B86" s="41" t="s">
        <v>174</v>
      </c>
      <c r="C86" s="41"/>
      <c r="D86" s="41"/>
      <c r="E86" s="51" t="s">
        <v>52</v>
      </c>
      <c r="F86" s="51"/>
      <c r="G86" s="43" t="s">
        <v>59</v>
      </c>
      <c r="H86" s="43"/>
      <c r="I86" s="43"/>
      <c r="J86" s="43"/>
    </row>
    <row r="87" spans="1:10" ht="51" customHeight="1" x14ac:dyDescent="0.3">
      <c r="A87" s="5"/>
      <c r="B87" s="42"/>
      <c r="C87" s="42"/>
      <c r="D87" s="42"/>
      <c r="E87" s="69" t="s">
        <v>53</v>
      </c>
      <c r="F87" s="69"/>
      <c r="G87" s="44"/>
      <c r="H87" s="44"/>
      <c r="I87" s="44"/>
      <c r="J87" s="4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70">
    <mergeCell ref="B80:D80"/>
    <mergeCell ref="B81:D81"/>
    <mergeCell ref="B82:D82"/>
    <mergeCell ref="B8:J8"/>
    <mergeCell ref="B55:J55"/>
    <mergeCell ref="B66:J66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62:D62"/>
    <mergeCell ref="B63:D63"/>
    <mergeCell ref="B64:D64"/>
    <mergeCell ref="B65:D65"/>
    <mergeCell ref="B67:D67"/>
    <mergeCell ref="B68:D68"/>
    <mergeCell ref="B69:D69"/>
    <mergeCell ref="B70:D70"/>
    <mergeCell ref="B53:D53"/>
    <mergeCell ref="B54:D54"/>
    <mergeCell ref="B56:D56"/>
    <mergeCell ref="B57:D57"/>
    <mergeCell ref="B58:D58"/>
    <mergeCell ref="B59:D59"/>
    <mergeCell ref="B60:D60"/>
    <mergeCell ref="B61:D61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I24:J24"/>
    <mergeCell ref="I25:J25"/>
    <mergeCell ref="B9:D9"/>
    <mergeCell ref="B10:D10"/>
    <mergeCell ref="B11:D11"/>
    <mergeCell ref="B12:D12"/>
    <mergeCell ref="B13:D13"/>
    <mergeCell ref="B14:D14"/>
    <mergeCell ref="B15:D15"/>
    <mergeCell ref="B16:D16"/>
    <mergeCell ref="I9:J9"/>
    <mergeCell ref="I16:J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E87:F87"/>
    <mergeCell ref="G83:J83"/>
    <mergeCell ref="I62:J62"/>
    <mergeCell ref="I63:J63"/>
    <mergeCell ref="I64:J64"/>
    <mergeCell ref="I65:J65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B1:J1"/>
    <mergeCell ref="F2:J2"/>
    <mergeCell ref="B5:D6"/>
    <mergeCell ref="C2:D2"/>
    <mergeCell ref="C3:D3"/>
    <mergeCell ref="F3:J3"/>
    <mergeCell ref="E84:J84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1:J11"/>
    <mergeCell ref="I12:J12"/>
    <mergeCell ref="I13:J13"/>
    <mergeCell ref="I14:J14"/>
    <mergeCell ref="I15:J15"/>
    <mergeCell ref="I17:J17"/>
    <mergeCell ref="I23:J23"/>
    <mergeCell ref="B86:D87"/>
    <mergeCell ref="G86:J86"/>
    <mergeCell ref="G87:J87"/>
    <mergeCell ref="E85:J85"/>
    <mergeCell ref="I40:J40"/>
    <mergeCell ref="I41:J41"/>
    <mergeCell ref="I42:J42"/>
    <mergeCell ref="I43:J43"/>
    <mergeCell ref="I44:J44"/>
    <mergeCell ref="I80:J80"/>
    <mergeCell ref="I81:J81"/>
    <mergeCell ref="I82:J82"/>
    <mergeCell ref="I49:J49"/>
    <mergeCell ref="I50:J50"/>
    <mergeCell ref="I51:J51"/>
    <mergeCell ref="I52:J52"/>
    <mergeCell ref="I53:J53"/>
    <mergeCell ref="I54:J54"/>
    <mergeCell ref="I56:J56"/>
    <mergeCell ref="I57:J57"/>
    <mergeCell ref="I58:J58"/>
    <mergeCell ref="B84:D84"/>
    <mergeCell ref="B85:D85"/>
    <mergeCell ref="E86:F86"/>
    <mergeCell ref="F4:J4"/>
    <mergeCell ref="C4:D4"/>
    <mergeCell ref="I32:J32"/>
    <mergeCell ref="I33:J33"/>
    <mergeCell ref="I34:J34"/>
    <mergeCell ref="I35:J35"/>
    <mergeCell ref="I36:J36"/>
    <mergeCell ref="B83:D83"/>
    <mergeCell ref="I26:J26"/>
    <mergeCell ref="I27:J27"/>
    <mergeCell ref="I45:J45"/>
    <mergeCell ref="I46:J46"/>
    <mergeCell ref="I47:J47"/>
    <mergeCell ref="I48:J48"/>
    <mergeCell ref="I18:J18"/>
    <mergeCell ref="I28:J28"/>
    <mergeCell ref="I29:J29"/>
    <mergeCell ref="I59:J59"/>
    <mergeCell ref="I60:J60"/>
    <mergeCell ref="I61:J61"/>
    <mergeCell ref="I19:J19"/>
    <mergeCell ref="I20:J20"/>
    <mergeCell ref="I21:J21"/>
    <mergeCell ref="I22:J22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85">
    <cfRule type="expression" dxfId="21" priority="57">
      <formula>$E85="راسب"</formula>
    </cfRule>
  </conditionalFormatting>
  <conditionalFormatting sqref="E85:J85">
    <cfRule type="expression" dxfId="20" priority="60">
      <formula>$E85="جيد جداً"</formula>
    </cfRule>
    <cfRule type="expression" dxfId="19" priority="59">
      <formula>$E85="جيد"</formula>
    </cfRule>
    <cfRule type="expression" dxfId="18" priority="58">
      <formula>$E85="مقبول"</formula>
    </cfRule>
    <cfRule type="expression" dxfId="17" priority="61">
      <formula>$E85="ممتاز"</formula>
    </cfRule>
  </conditionalFormatting>
  <conditionalFormatting sqref="F9:F54">
    <cfRule type="containsText" dxfId="16" priority="4" operator="containsText" text="أدخل العلامة">
      <formula>NOT(ISERROR(SEARCH("أدخل العلامة",F9)))</formula>
    </cfRule>
  </conditionalFormatting>
  <conditionalFormatting sqref="F56:F65 F67:F82">
    <cfRule type="containsText" dxfId="15" priority="14" operator="containsText" text="أدخل العلامة">
      <formula>NOT(ISERROR(SEARCH("أدخل العلامة",F56)))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86:J86">
    <cfRule type="containsText" dxfId="12" priority="15" operator="containsText" text="أدخل اسم المحكم">
      <formula>NOT(ISERROR(SEARCH("أدخل اسم المحكم",G86)))</formula>
    </cfRule>
  </conditionalFormatting>
  <conditionalFormatting sqref="H9:H54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56:H65 H67:H82">
    <cfRule type="containsText" dxfId="5" priority="38" operator="containsText" text="أدخل العلامة">
      <formula>NOT(ISERROR(SEARCH("أدخل العلامة",H56)))</formula>
    </cfRule>
    <cfRule type="containsText" dxfId="4" priority="39" operator="containsText" text="ممتاز">
      <formula>NOT(ISERROR(SEARCH("ممتاز",H56)))</formula>
    </cfRule>
    <cfRule type="containsText" dxfId="3" priority="40" operator="containsText" text="جيد جداً">
      <formula>NOT(ISERROR(SEARCH("جيد جداً",H56)))</formula>
    </cfRule>
    <cfRule type="containsText" dxfId="2" priority="41" operator="containsText" text="جيد">
      <formula>NOT(ISERROR(SEARCH("جيد",H56)))</formula>
    </cfRule>
    <cfRule type="containsText" dxfId="1" priority="42" operator="containsText" text="مقبول">
      <formula>NOT(ISERROR(SEARCH("مقبول",H56)))</formula>
    </cfRule>
    <cfRule type="containsText" dxfId="0" priority="43" operator="containsText" text="راسب">
      <formula>NOT(ISERROR(SEARCH("راسب",H56)))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F57:F65 F49:F54 F42:F47 F35:F40 F27:F33 F14:F25 F11:F12 F67:F74 F76:F82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G86:J86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993394A6-5EF8-4E7A-8B78-BB710A76C254}">
          <x14:formula1>
            <xm:f>'بيانات التقييم'!$A$111:$A$153</xm:f>
          </x14:formula1>
          <xm:sqref>F75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46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2025-10-28T05:33:02Z</dcterms:modified>
</cp:coreProperties>
</file>