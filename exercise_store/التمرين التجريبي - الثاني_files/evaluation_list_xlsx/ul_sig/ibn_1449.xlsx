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AE1B774B-17A3-4E41-9130-D158D9786A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 s="1"/>
  <c r="G11" i="2"/>
  <c r="H11" i="2" s="1"/>
  <c r="G12" i="2"/>
  <c r="H12" i="2"/>
  <c r="G13" i="2"/>
  <c r="H13" i="2"/>
  <c r="G14" i="2"/>
  <c r="H14" i="2" s="1"/>
  <c r="G16" i="2"/>
  <c r="H16" i="2" s="1"/>
  <c r="G17" i="2"/>
  <c r="H17" i="2" s="1"/>
  <c r="G18" i="2"/>
  <c r="H18" i="2" s="1"/>
  <c r="G19" i="2"/>
  <c r="H19" i="2"/>
  <c r="G20" i="2"/>
  <c r="H20" i="2"/>
  <c r="G22" i="2"/>
  <c r="H22" i="2" s="1"/>
  <c r="G23" i="2"/>
  <c r="H23" i="2"/>
  <c r="G24" i="2"/>
  <c r="H24" i="2" s="1"/>
  <c r="G26" i="2"/>
  <c r="H26" i="2" s="1"/>
  <c r="G27" i="2"/>
  <c r="H27" i="2" s="1"/>
  <c r="G28" i="2"/>
  <c r="H28" i="2"/>
  <c r="G29" i="2"/>
  <c r="H29" i="2"/>
  <c r="G31" i="2"/>
  <c r="H31" i="2"/>
  <c r="G32" i="2"/>
  <c r="H32" i="2" s="1"/>
  <c r="G33" i="2"/>
  <c r="H33" i="2"/>
  <c r="G34" i="2"/>
  <c r="H34" i="2" s="1"/>
  <c r="G35" i="2"/>
  <c r="H35" i="2" s="1"/>
  <c r="G36" i="2"/>
  <c r="H36" i="2" s="1"/>
  <c r="G37" i="2"/>
  <c r="H37" i="2"/>
  <c r="G39" i="2"/>
  <c r="H39" i="2"/>
  <c r="G40" i="2"/>
  <c r="H40" i="2"/>
  <c r="G41" i="2"/>
  <c r="H41" i="2" s="1"/>
  <c r="G42" i="2"/>
  <c r="H42" i="2"/>
  <c r="G43" i="2"/>
  <c r="H43" i="2"/>
  <c r="G44" i="2"/>
  <c r="H44" i="2"/>
  <c r="G45" i="2"/>
  <c r="H45" i="2"/>
  <c r="G46" i="2"/>
  <c r="H46" i="2"/>
  <c r="G47" i="2"/>
  <c r="H47" i="2" s="1"/>
  <c r="G49" i="2"/>
  <c r="H49" i="2"/>
  <c r="G50" i="2"/>
  <c r="H50" i="2"/>
  <c r="G51" i="2"/>
  <c r="H51" i="2"/>
  <c r="G52" i="2"/>
  <c r="H52" i="2"/>
  <c r="G53" i="2"/>
  <c r="H53" i="2"/>
  <c r="F54" i="2"/>
  <c r="E54" i="2"/>
  <c r="E55" i="2" s="1"/>
  <c r="E56" i="2" s="1"/>
</calcChain>
</file>

<file path=xl/sharedStrings.xml><?xml version="1.0" encoding="utf-8"?>
<sst xmlns="http://schemas.openxmlformats.org/spreadsheetml/2006/main" count="316" uniqueCount="227">
  <si>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</si>
  <si>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</si>
  <si>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</si>
  <si>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</si>
  <si>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</si>
  <si>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</si>
  <si>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</si>
  <si>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</si>
  <si>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</si>
  <si>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</si>
  <si>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</si>
  <si>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</si>
  <si>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</si>
  <si>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</si>
  <si>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</si>
  <si>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</si>
  <si>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</si>
  <si>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</si>
  <si>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</si>
  <si>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</si>
  <si>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</si>
  <si>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</si>
  <si>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</si>
  <si>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</si>
  <si>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</si>
  <si>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</si>
  <si>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</si>
  <si>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</si>
  <si>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</si>
  <si>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</si>
  <si>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</si>
  <si>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</si>
  <si>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</si>
  <si>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</si>
  <si>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</si>
  <si>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</si>
  <si>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</si>
  <si>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</si>
  <si>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</si>
  <si>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</si>
  <si>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</si>
  <si>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</si>
  <si>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</si>
  <si>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</si>
  <si>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</si>
  <si>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</si>
  <si>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</si>
  <si>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</si>
  <si>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</si>
  <si>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</si>
  <si>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</si>
  <si>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</si>
  <si>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</si>
  <si>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</si>
  <si>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</si>
  <si>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</si>
  <si>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</si>
  <si>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</si>
  <si>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</si>
  <si>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</si>
  <si>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</si>
  <si>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</si>
  <si>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</si>
  <si>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</si>
  <si>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</si>
  <si>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</si>
  <si>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</si>
  <si>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</si>
  <si>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</si>
  <si>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</si>
  <si>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</si>
  <si>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</si>
  <si>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</si>
  <si>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</si>
  <si>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</si>
  <si>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</si>
  <si>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</si>
  <si>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</si>
  <si>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</si>
  <si>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</si>
  <si>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</si>
  <si>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</si>
  <si>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</si>
  <si>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</si>
  <si>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</si>
  <si>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</si>
  <si>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</si>
  <si>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</si>
  <si>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</si>
  <si>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</si>
  <si>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</si>
  <si>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</si>
  <si>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</si>
  <si>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</si>
  <si>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</si>
  <si>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</si>
  <si>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</si>
  <si>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</si>
  <si>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</si>
  <si>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</si>
  <si>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</si>
  <si>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</si>
  <si>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</si>
  <si>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</si>
  <si>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</si>
  <si>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</si>
  <si>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</si>
  <si>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</si>
  <si>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</si>
  <si>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</si>
  <si>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</si>
  <si>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</si>
  <si>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</si>
  <si>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</si>
  <si>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</si>
  <si>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</si>
  <si>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</si>
  <si>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</si>
  <si>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</si>
  <si>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</si>
  <si>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</si>
  <si>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</si>
  <si>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</si>
  <si>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</si>
  <si>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</si>
  <si>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</si>
  <si>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</si>
  <si>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</si>
  <si>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</si>
  <si>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</si>
  <si>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</si>
  <si>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</si>
  <si>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</si>
  <si>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</si>
  <si>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</si>
  <si>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</si>
  <si>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</si>
  <si>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</si>
  <si>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</si>
  <si>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</si>
  <si>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</si>
  <si>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</si>
  <si>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</si>
  <si>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</si>
  <si>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</si>
  <si>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</si>
  <si>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</si>
  <si>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</si>
  <si>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</si>
  <si>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</si>
  <si>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</si>
  <si>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</si>
  <si>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</si>
  <si>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</si>
  <si>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</si>
  <si>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</si>
  <si>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</si>
  <si>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</si>
  <si>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</si>
  <si>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</si>
  <si>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</si>
  <si>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</si>
  <si>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</si>
  <si>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</si>
  <si>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</si>
  <si>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</si>
  <si>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</si>
  <si>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</si>
  <si>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</si>
  <si>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</si>
  <si>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</si>
  <si>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</si>
  <si>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</si>
  <si>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</si>
  <si>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</si>
  <si>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</si>
  <si>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</si>
  <si>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</si>
  <si>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</si>
  <si>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</si>
  <si>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معسكرات التدريب الخارجية لسرية الإشارة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
</t>
    </r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</si>
  <si>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الشؤون الإدارية.</t>
    </r>
    <r>
      <rPr>
        <sz val="12"/>
        <color theme="1"/>
        <rFont val="Arial"/>
        <family val="2"/>
      </rPr>
      <t xml:space="preserve"> (يتم التأكد من التالي):</t>
    </r>
  </si>
  <si>
    <t>أ. المظهر العام للمعسكر من حيث (نصب الخيام، النظافة، مداخل ومخارج الطرق المؤدية واللوحات الإرشادية للمعسكر).</t>
  </si>
  <si>
    <t>ب. وجود وصلاحية مخازن الأسلحة والذخيرة والأرزاق.</t>
  </si>
  <si>
    <t>جـ. توفر وصلاحية مكاتب قيادة الوحدة.</t>
  </si>
  <si>
    <t>د. توفر وصلاحية مكتب المخابرة.</t>
  </si>
  <si>
    <t>هـ. توفر مواقف للآليات (إدارية، وقود).</t>
  </si>
  <si>
    <t>و. وجود نظــام للتخلــص مـن النفايــات والمخلـفـات (الطبية والعضوية).</t>
  </si>
  <si>
    <r>
      <t>2.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القوى البشرية والآليـات.</t>
    </r>
  </si>
  <si>
    <t>أ. نسبة الاستكمال من القوى البشرية وتشمل (المرتب، الموجود، المدربين، الموجود اليومي).</t>
  </si>
  <si>
    <t>ب. مدى استكمال التخصصات للمرتب.</t>
  </si>
  <si>
    <t>جـ. مدى استكمال التخصصات الأخرى الملحقة والمعينة (الإسناد الناري والإداري).</t>
  </si>
  <si>
    <t>د. نسبـة استكمال الآليات والمعدات الموجودة على المرتب.</t>
  </si>
  <si>
    <t>هـ. الحالة الفنية للآليات (ب).</t>
  </si>
  <si>
    <r>
      <t>3.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الأسلحــة والذخائــر.</t>
    </r>
  </si>
  <si>
    <t>أ. توفر ذخيرة العمليات حسب مقياس الذخائر وحسب تعليمات رفع حالات الاستعداد القتالي.</t>
  </si>
  <si>
    <t>ب. توفر ذخيرة التدريب حسب المقياس.</t>
  </si>
  <si>
    <t>جـ. الحالة الفنية للذخائر.</t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</si>
  <si>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مواقف الآليات</t>
    </r>
    <r>
      <rPr>
        <u/>
        <sz val="12"/>
        <color theme="1"/>
        <rFont val="Arial"/>
        <family val="2"/>
      </rPr>
      <t>.</t>
    </r>
    <r>
      <rPr>
        <sz val="12"/>
        <color theme="1"/>
        <rFont val="Arial"/>
        <family val="2"/>
      </rPr>
      <t xml:space="preserve"> عندما تكون محملة بالذخائر والوقود.</t>
    </r>
  </si>
  <si>
    <t>أ. توفر وصلاحية الإنارة في منطقة مواقف الآليات.</t>
  </si>
  <si>
    <t>ب. توفر وصلاحية وسيلة الاتصال.</t>
  </si>
  <si>
    <t>جـ. وجود وصلاحية طفايات الحريق ووجود بطاقة الصلاحية عليها بمواقف الآليات.</t>
  </si>
  <si>
    <t>د. مدى التقيد بالنظافة العامة في مواقف الآليات.</t>
  </si>
  <si>
    <r>
      <t>5.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مساعدات التدريب.</t>
    </r>
  </si>
  <si>
    <t>أ. وجود تعليمات وخطة التدريب لمعسكر التدريب الخارجي.</t>
  </si>
  <si>
    <t>ب. مدى تطابق خطة وتعليمات التدريب الخارجي مع خطة التدريب / الزمنية الشهرية للمستوى الأعلى.</t>
  </si>
  <si>
    <t>جـ. وجود برامج التدريب ومدى تطابقها مع خطة التدريب الشهرية.</t>
  </si>
  <si>
    <t>د. وجود وملائمة مناطق التدريب مع برنامج التدريب.</t>
  </si>
  <si>
    <t>هـ. وجود وثائق وتعليمات التمرين.</t>
  </si>
  <si>
    <t>و. وجود التعليمات التنظيمية للمعسكر.</t>
  </si>
  <si>
    <r>
      <t>6.</t>
    </r>
    <r>
      <rPr>
        <b/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Arial"/>
        <family val="2"/>
      </rPr>
      <t>وجود خطة الدفاع والحراسة و خطة الحريق.</t>
    </r>
  </si>
  <si>
    <r>
      <t>7.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التدريب.</t>
    </r>
  </si>
  <si>
    <t>أ. التقيد بالتعليمات الإدارية للتدريب.</t>
  </si>
  <si>
    <t>ب. مدى إلمام المرتب والمتدربين بالتعليمات الإدارية.</t>
  </si>
  <si>
    <t>جـ. مدى إلمام المدربين بالتدريب.</t>
  </si>
  <si>
    <t>د. مدى سيطرة المدربين على المتدربين.</t>
  </si>
  <si>
    <t>هـ. مدى تقيد المدربين بتوجيه المتدربين وتصحيح الأخطاء.</t>
  </si>
  <si>
    <t>و. مدى التعاون والعمل بروح الفريق بين المتدربين.</t>
  </si>
  <si>
    <t>ز. التقيد بتوزيع المهام على المتدربين.</t>
  </si>
  <si>
    <t>ح. التقيد بتوقيتات التدريب.</t>
  </si>
  <si>
    <r>
      <t>8.</t>
    </r>
    <r>
      <rPr>
        <b/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Arial"/>
        <family val="2"/>
      </rPr>
      <t>التقيد بارتداء اللباس الميداني حسب التعليمات.</t>
    </r>
  </si>
  <si>
    <r>
      <t>9.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الإشارة.</t>
    </r>
  </si>
  <si>
    <t>أ. مدى التقيد بالتعليمات الإشارية ومخططات شبكة الاتصالات.</t>
  </si>
  <si>
    <t>ب. توفر وصلاحية وسائل الاتصال في التمرين.</t>
  </si>
  <si>
    <t>جـ. مدى التقيد بأصول المخابرة الصحيحة والالتزام بالأمن اللاسلكي من قبل مستخدمي الأجهزة.</t>
  </si>
  <si>
    <t>د. مدى كفاءة الاتصالات في التمرين.</t>
  </si>
  <si>
    <r>
      <t>10.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Arial"/>
        <family val="2"/>
      </rPr>
      <t>الإشراف والمتابعة من المستوى الأعلى.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</si>
</sst>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b/>
      <u/>
      <sz val="12"/>
      <color theme="1"/>
      <name val="Arial"/>
      <family val="2"/>
    </font>
    <font>
      <b/>
      <sz val="7"/>
      <color theme="1"/>
      <name val="Times New Roman"/>
      <family val="1"/>
    </font>
    <font>
      <u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13" xfId="0" applyFont="1" applyBorder="1" applyAlignment="1">
      <alignment horizontal="center" vertical="center" wrapText="1" readingOrder="2"/>
    </xf>
    <xf numFmtId="9" fontId="3" fillId="0" borderId="13" xfId="0" applyNumberFormat="1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1"/>
    </xf>
    <xf numFmtId="0" fontId="13" fillId="0" borderId="11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21" xfId="0" applyFont="1" applyFill="1" applyBorder="1" applyAlignment="1" applyProtection="1">
      <alignment horizontal="center" vertical="center" wrapText="1" readingOrder="2"/>
      <protection locked="0"/>
    </xf>
    <xf numFmtId="0" fontId="7" fillId="4" borderId="22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6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4" fillId="0" borderId="24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14" fillId="0" borderId="13" xfId="0" applyFont="1" applyBorder="1" applyAlignment="1">
      <alignment horizontal="right" vertical="center" wrapText="1" indent="2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right" vertical="center" wrapText="1" readingOrder="2"/>
    </xf>
    <xf numFmtId="0" fontId="3" fillId="0" borderId="12" xfId="0" applyFont="1" applyBorder="1" applyAlignment="1">
      <alignment horizontal="right" vertical="center" wrapText="1" readingOrder="2"/>
    </xf>
    <xf numFmtId="0" fontId="3" fillId="0" borderId="13" xfId="0" applyFont="1" applyBorder="1" applyAlignment="1">
      <alignment horizontal="right" vertical="center" wrapText="1" readingOrder="2"/>
    </xf>
    <xf numFmtId="0" fontId="3" fillId="0" borderId="15" xfId="0" applyFont="1" applyBorder="1" applyAlignment="1">
      <alignment horizontal="right" vertical="center" wrapText="1" readingOrder="2"/>
    </xf>
    <xf numFmtId="0" fontId="3" fillId="0" borderId="11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266392</xdr:colOff>
      <xdr:row>57</xdr:row>
      <xdr:rowOff>80619</xdr:rowOff>
    </xdr:from>
    <xdr:to>
      <xdr:col>6</xdr:col>
      <xdr:colOff>421192</xdr:colOff>
      <xdr:row>57</xdr:row>
      <xdr:rowOff>430899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3B1E3D3-37C3-0917-4A1E-8EEEA4EE4F09}"/>
                </a:ext>
              </a:extLst>
            </xdr14:cNvPr>
            <xdr14:cNvContentPartPr/>
          </xdr14:nvContentPartPr>
          <xdr14:nvPr macro=""/>
          <xdr14:xfrm>
            <a:off x="10449880147" y="22056480"/>
            <a:ext cx="154800" cy="3502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3B1E3D3-37C3-0917-4A1E-8EEEA4EE4F0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49874027" y="22050360"/>
              <a:ext cx="167040" cy="36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380872</xdr:colOff>
      <xdr:row>56</xdr:row>
      <xdr:rowOff>516513</xdr:rowOff>
    </xdr:from>
    <xdr:to>
      <xdr:col>6</xdr:col>
      <xdr:colOff>474112</xdr:colOff>
      <xdr:row>57</xdr:row>
      <xdr:rowOff>74499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17DD25B-A882-2F0C-5D4A-5F72BDCEBA64}"/>
                </a:ext>
              </a:extLst>
            </xdr14:cNvPr>
            <xdr14:cNvContentPartPr/>
          </xdr14:nvContentPartPr>
          <xdr14:nvPr macro=""/>
          <xdr14:xfrm>
            <a:off x="10449827227" y="21954600"/>
            <a:ext cx="93240" cy="957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17DD25B-A882-2F0C-5D4A-5F72BDCEBA6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49821107" y="21948480"/>
              <a:ext cx="10548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579232</xdr:colOff>
      <xdr:row>57</xdr:row>
      <xdr:rowOff>215619</xdr:rowOff>
    </xdr:from>
    <xdr:to>
      <xdr:col>8</xdr:col>
      <xdr:colOff>105498</xdr:colOff>
      <xdr:row>57</xdr:row>
      <xdr:rowOff>430899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3C386857-07A3-A115-E25A-53825C541CA2}"/>
                </a:ext>
              </a:extLst>
            </xdr14:cNvPr>
            <xdr14:cNvContentPartPr/>
          </xdr14:nvContentPartPr>
          <xdr14:nvPr macro=""/>
          <xdr14:xfrm>
            <a:off x="10448883307" y="22191480"/>
            <a:ext cx="838800" cy="2152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3C386857-07A3-A115-E25A-53825C541CA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48877187" y="22185360"/>
              <a:ext cx="851040" cy="22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258138</xdr:colOff>
      <xdr:row>57</xdr:row>
      <xdr:rowOff>107259</xdr:rowOff>
    </xdr:from>
    <xdr:to>
      <xdr:col>8</xdr:col>
      <xdr:colOff>378018</xdr:colOff>
      <xdr:row>57</xdr:row>
      <xdr:rowOff>373299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FAC0AD5-13B8-C59C-7C53-CB82FEF128C3}"/>
                </a:ext>
              </a:extLst>
            </xdr14:cNvPr>
            <xdr14:cNvContentPartPr/>
          </xdr14:nvContentPartPr>
          <xdr14:nvPr macro=""/>
          <xdr14:xfrm>
            <a:off x="10448610787" y="22083120"/>
            <a:ext cx="119880" cy="2660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FAC0AD5-13B8-C59C-7C53-CB82FEF128C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448604667" y="22077000"/>
              <a:ext cx="132120" cy="27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241552</xdr:colOff>
      <xdr:row>56</xdr:row>
      <xdr:rowOff>290433</xdr:rowOff>
    </xdr:from>
    <xdr:to>
      <xdr:col>9</xdr:col>
      <xdr:colOff>292350</xdr:colOff>
      <xdr:row>57</xdr:row>
      <xdr:rowOff>502899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001E77D8-A8C5-D5FD-55E6-D1DDC18B9597}"/>
                </a:ext>
              </a:extLst>
            </xdr14:cNvPr>
            <xdr14:cNvContentPartPr/>
          </xdr14:nvContentPartPr>
          <xdr14:nvPr macro=""/>
          <xdr14:xfrm>
            <a:off x="10448040187" y="21728520"/>
            <a:ext cx="2019600" cy="7502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01E77D8-A8C5-D5FD-55E6-D1DDC18B9597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448034067" y="21722400"/>
              <a:ext cx="2031840" cy="762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6:47:12.9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0 158 5081,'0'0'0,"0"-18"1416,0 18-1416,0-7 1736,0-16 41,0 17-193,8-3-248,-8 9-1336,0-9 1145,2 0-121,-2 0-88,0-9-96,0 18-840,7-5 744,-7-1-104,0-3-55,0 2-57,0 7-528,3-7 368,-3 3-16,0 1-72,0 1-128,0 2-152,7-2 176,-5 0-104,1-1-104,4 3 64,-7 0-32,0 0 96,0 0-64,0 0 72,0 5-48,0-5-56,2 4 8,-2 1 56,8 2 0,-8 13-8,0-20-56,0 7 0,0 15 64,0-15-64,0 20 72,0-27-72,2 18 40,-2 4-16,7 3 120,-4-1-88,-3-24-56,19 30 128,-12-1-104,10 4-24,-10 1 16,-7-34-16,22 36 64,-1 4-8,6 1-72,-6 4-8,-21-45 24,29 42 8,-2 5-16,-3-4 8,2 2 8,-26-45-8,24 43-40,3-5-24,-6-2 40,-1-5-96,-20-31 120,5 29-256,14 1-104,-14-4-376,-5-1-448,0-25 1184,0 23-1601,0-5-823,0-14-1881,0 3 840,0-7 3465,-5 0-3721,-17 4 425,22-4 3296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6:47:14.1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70 1720,'0'0'0,"0"0"0,0-4 912,0-3-456,0 2-232,0 1-104,0 4-120,0-2 88,0-1-40,0-1 0,0 2 8,0 2-56,0-3 64,0 1 40,0 0 32,0 0 56,0 2-192,0 0 232,0-2 49,0-1-17,0-1-8,0 4-256,3-5 272,-3 3-32,0 0-16,0 0 0,0 2-224,2-3 184,-2 1 48,0 2 24,0-2 64,0 2-320,0 0 376,0 0 40,0-2 48,0 2-8,0 0-456,0 0 440,0 0-7,0 0-65,0 0-8,0 0-1961,0 0 3506,0 0-1649,0 0-48,-2 0-80,2 0-128,-3 0 136,-2 0-40,0 4-16,1 1 32,4-5-112,-3 4 96,-4 1-40,2 1 32,-2-1 0,7-5-88,-2 4 48,-6 3-32,6 0 16,2-1-24,0-6-8,-2 21 8,-3-21 24,5 6-16,0 15 8,0-21-24,0 4 24,7 14 16,-5-11-56,6-1 8,-8-6 8,4 21 0,6-17-24,-3 3 24,0 0-24,-7-7 24,5 6-16,3 1 8,-6-2 0,8-1-16,-10-4 24,7 0-64,7 0 8,-7 0 24,10 0-24,-17 0 56,5 0-64,2-2 8,-2 0-32,14-3-24,-19 5 112,0-4-128,8-1 8,-1-2 8,-2 3 24,-5 4 88,7-5-56,12 1-16,-17-1-24,6 3 80,-8 2 16,0-4 16,2 1 24,-2 1 40,0 0-56,0 2-24,0-2 56,0-1-40,0 3-32,0 0 16,0 0-96,0 0 24,0 0 24,0 0 8,0 0 296,0 0-544,0 0 296,0 0 0,0 0 264,0 0-536,0 0 296,0 0-8,0 0 32,0 0 96,0 0-200,-2 5 200,-3-1 24,2 1 16,3-5-192,-7 4 200,2 1 8,-4 2-48,-10-1-8,19-6-152,-8 5 120,-1 2-64,-15-1 24,16-1 8,8-5-88,-19 7 0,0-1 8,14-1 24,-17 2-48,22-7 16,-7 4 16,-12 1-48,17 1-88,-8-1-72,10-5 192,-17 6-424,12 1-528,-4 0-1049,2-3-223,7-4 2224,-8 0-1864,6 0-737,-5 0 425,7 0 2176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6:47:15.7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2149 18 2736,'0'0'0,"0"0"0,0 0 360,0 0-208,0 0-40,0-2 88,0 2-200,0-2 320,0 2 56,6 0 49,-6 0 23,0 0-448,0 0 368,0-3 48,0 3 120,0 0 40,0 0-576,0-2 688,0 0 40,0 2-104,0-2-71,0 2-553,0 0 472,-2 0-88,-2-3 24,4 3-32,0 0-376,0 0 336,0-2-16,-2 2-56,2 0-48,0 0-216,-3 0 208,-1 0-8,4 0 24,0 0-16,0 0-208,0 0 184,0 0-32,0 0-56,0 0 16,0 0-656,0 0 1144,0 0-544,-3 0-32,-4 0 40,7 0-64,-4 0 73,-3 5-33,0-1 112,2 1-136,5-5-16,-6 4 16,1 3 32,-5 13-64,4-13 48,6-7-32,-10 20 80,3-13-48,-1 15 0,0-4 16,8-18-48,-7 7 40,1 20 24,1-9-8,-2-11-144,7-7 88,-2 24-24,2-17 24,0 15-16,0-17 96,0-5-80,2 18 48,5-14-40,-4 1 56,3 2-8,-6-7-56,5 4-56,15 1 32,-13-5 8,14 0 16,-21 0 0,18 0 0,-10 0-48,15-3-56,-16-3-32,-7 6 136,23-9-128,-7 0 80,-9-9 32,14 11-16,-21 7 32,2-9 16,5 0 16,-5 0 16,0 2 96,-2 7-144,7-6 48,-7-1-40,0 0 88,0 3-88,0 4-8,0-3 88,0 3-24,0 0-72,-2 0-8,2 0 16,-5 0 0,1 0 0,-13 0 56,13 7 8,4-7-64,-19 5 88,12-1 40,-11 3-8,9-1-32,9-6-88,-20 7 64,0 0-8,2 0-32,0 11 64,18-18-88,-18 4 16,-3 3 24,-2 0-24,1-1 0,22-6-16,-27 7 8,4 0-40,2 0 32,-2-1-32,23-6 32,-21 7-48,-2-3 32,5 1-24,-3-5 0,21 0 40,-10 4-24,-13-4-40,17 0-16,-13 0 32,19 0 48,-1 0-72,-7 0 40,4 0 16,-4 0 0,8 0 16,-2 0-8,-4 0-32,3-2-16,-2-2 24,5 4 32,0-5-32,-9 1 8,5-1 16,2-1-16,2 6 24,-8-5-56,1 3 48,2-3 0,-1 3-80,6 2 88,-9 0-64,1 0 32,-8 0-72,-2 7 104,18-7 0,-25 7 16,2-1 8,-5 12 32,0-13-24,28-5-32,-25 6 0,-5 15-16,0-17 0,0 3 32,30-7-16,-30 7 32,0-1-16,-5 1 24,12-2-40,23-5 0,-28 4 8,4 1 88,2-5-80,-3 4-8,25-4-8,-21 0 24,0 0-56,15 0 16,-17 0 48,23 0-32,-7 0 24,-8 0 0,9 0-8,-3-2-16,9 2 0,-10-2 24,1-1-32,5-1 56,-4-1 24,8 5-72,-6-4 32,-4-1 8,6-1-16,-3-1-8,7 7-16,-7-7 16,0 0-72,-2 3-8,2 2 88,7 2-24,-9-5-80,2 3 40,3 0 40,-17 2-88,21 0 88,-7 0 0,-12 0 64,3 0-24,7 4-16,9-4-24,-23 7 24,4-3-16,3 1-64,-5-1 56,21-4 0,-13 5-32,-6 2 24,0-3 8,3 1-32,16-5 32,-9 4 0,-12 1-8,16-1 8,-13-4-24,18 0 24,-7 0-56,1 5 72,1-5-96,0 0 32,5 0 48,-2 0-80,-1 0 64,3 0-16,-4 0-24,4 0 56,0 0-64,0-3-120,-2 1 40,2 0 104,0 2 40,0-5-17,0 1 162,0 2-97,-2-3-56,2 5 8,-3-2-32,-2 0-64,1 2 72,-3 0-57,7 0 81,-19 0-64,13 4-72,-15 1 104,0-1 32,21-4 0,-19 7 0,-1 0 0,-1-1 88,-2 1-48,23-7-40,-21 7-8,-2-3 16,3 1-96,-6-1 48,26-4 40,-18 5-32,-1-1 96,1 1-80,13-1-136,5-4 152,-19 0-152,15 0-120,-1 0-80,-1 0 72,6 0 280,-3 0-256,1 0-80,2 0 72,0 0 16,0 0 248,-5-2-160,5 0 8,0-5 144,-2 2 64,2 5-56,-3-4-40,-5-3 96,0 0 32,-7 1-72,15 6-16,-8-7 16,-15 0 0,10 1-40,6 3 16,7 3 8,-19 0-40,15 0 32,-20 5-40,10 13 40,14-18 8,-9 6 136,-16 15 0,15-15-96,-8 19 40,18-25-80,-7 18 32,-11-11-104,10 20 168,-10-21-80,18-6-16,-6 23-112,1-16 80,-2 13-72,2-16-56,5-4 160,-5 18-432,2-13-928,-5-1-777,6 1 217,2-5 1920,0 4-1553,0-4-343,0 0 88,0 0 1808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6:47:16.2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32 3200,'0'0'0,"0"-2"440,0-5 48,0 0 241,0 7-729,0-7 968,0 3 160,0 2 24,0 2-112,0 0-1040,0-3 945,0 3-257,0 0-152,0 0-80,0 0-456,-5 5 448,5-1-24,0 3 0,0 0-64,0-7-360,0 20 344,0-2-63,10 0 15,7 4-72,-17-22-224,5 25 128,14 4 40,-12 3-88,22-1 72,-29-31-152,21 36 56,1 0-8,-3 4 8,3-1-80,-22-39 24,22 40 48,-5 3-136,2-5-32,-17 0-40,-2-38 160,22 36-304,-15 0-232,12-3-609,-12-3-991,-7-30 2136,20 29-2817,-15-7 497,14-4 639,-17-11-663,-2-7 2344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6:47:17.8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1256 1203 4977,'0'0'0,"0"0"0,-4-7 1440,4 0 296,-5-11 169,0 16-105,5 2-1800,-5-2 1400,5 0-311,-5 0-273,3 2-312,2 0-504,0 0 304,-1 0-136,1 4-72,0 3-72,0-7-24,0 20 136,3-13 24,2 22-24,5-7-24,-10-22-112,16 25 128,-9 1-56,14 3-16,-1 3-56,-20-32 0,16 31 24,3 2 0,-1-1 32,-13-3 104,-5-29-160,20 32 16,-12-4-8,10-1-64,-16-3 56,-2-24 0,8 23-16,-6-3-16,5-3 32,-7-10-104,0-7 104,3 20-24,-3-16 24,0 3 0,0-2-72,0-5 72,-3 4 24,1 1 0,-5-1-24,-1-4 16,8 0-16,-4 0 40,-15 0 24,12 0-8,-14 0 120,21 0-176,-25-4 24,4-5-64,-10-14 64,1 5-8,30 18-16,-38-19 56,6-3 0,-11-5-104,3-2 144,40 29-96,-42-34-8,2-1 88,-4-5 16,4-6-72,40 46-24,-40-49 72,3 0-48,4-4-8,-2-3 32,35 56-48,-26-53 40,-2-1-32,7 0 32,2 5-40,19 49 0,-9-49 32,-11 5 8,20 3-16,-7 3 8,7 38-32,-5-35 16,5 2 8,0 3-40,0-1-56,0 31 72,5-28-8,2-1 8,13-2 8,-15 4 88,-5 27-96,27-26 16,-1 0-8,2 1-8,2 0 64,-30 25-64,34-27 80,3-1-40,5-1 16,7-3-88,-49 32 32,54-29-24,7 3 32,5-3-8,4 2 40,-70 27-40,75-29 56,-5-1 40,10 2-80,5 1 57,-85 27-73,89-25 72,2 5-24,7 2 96,1 9 0,-99 9-144,103-19 104,2 12-48,-6 0 8,4-2 32,-103 9-96,105-6 16,8-1 8,-1 5 0,-4-1-96,-108 3 72,108-2-40,0 2 8,6 0-72,2 0 120,-116 0-16,119 5 48,1 1-24,1 15-24,-1-15-64,-120-6 64,127 20-96,-12-14 8,2 19-32,-10-7-16,-107-18 136,103 18-177,1 0-79,-4 2 16,-6-1 40,-94-19 200,89 23-200,-7 0 0,-4-3-16,-6 3-32,-72-23 248,68 22-280,-7 2 64,-1 3-16,-4 0-24,-56-27 256,48 29-248,-3-2-24,-5-1-8,2 1 64,-42-27 216,33 22-176,-3 1 40,-2-3-16,-7-1 16,-21-19 136,17 18-152,1 0-8,-15 0-33,6-10 41,-9-8 152,7 22-216,-3-17 16,1 12 80,-5-13-16,0-4 136,0 7-72,0-1 32,0 1 0,-9 11 40,9-18 0,-7 0 32,-2 7-8,-8 11-16,13-14 24,4-4-32,-17 7 8,13 13 0,-16-13 24,13 14-64,7-21 32,-7 7-8,1 20 8,-14-20-24,13 20 48,7-27-24,-18 18-8,8 0-24,-10-1 0,1 3-48,19-20 80,-19 22-48,-2 1-48,-5-1 0,3-2 32,23-20 64,-28 18-48,-1 0 16,-1-11-16,-1 18 8,31-25 40,-37 6-8,-5 17-8,2-16 0,-7 15 16,47-22 0,-53 7-48,1 10 72,-7-11-72,-2 1 56,61-7-8,-68 18 0,-7-18-8,-7 7 96,-13 0-80,95-7-8,-107 4 56,-5 1 8,-13-5-40,-8 0 88,133 0-112,-138 0 168,-16 4 0,-6-4-16,-4 5 32,164-5-184,-173 4 328,4 1-15,-14 1 135,5 12 24,178-18-472,-173 7 304,-3 14-8,19 0-8,4-1-200,153-20-88,-140 20 24,14 2 64,5 0-80,11-2 8,110-20-16,-98 20-16,2-1-24,2-1-72,5 0 136,89-18-24,-80 7 112,1 19-104,-1-19-16,6 15-32,74-22 40,-76 7-8,7 13-40,5-13-24,8 13 48,56-20 24,-59 4-136,12 14 112,-2-13 40,2 1-96,47-6 80,-42 6-64,2 1 32,10 0-16,-5-1 48,35-6 0,-25 5-32,0-1 0,18 1 0,-10-5 0,17 0 32,-4 4-32,-1-4-16,1 0 8,1 0-96,3 0 136,0 0-184,0 0-32,0-2-72,0-2-8,0 4 296,0-5-377,0-2-71,0-1-120,3 1-192,-3 7 760,7-9-1144,-5 3-312,4-3-257,14 0-135,-20 9 1848,2-9-1305,7 0 361,17-9-208,-21 14-952,-5 4 2104</inkml:trace>
  <inkml:trace contextRef="#ctx0" brushRef="#br0" timeOffset="1">839 2071 5249,'0'0'0,"-9"-7"1896,9 7-1896,-17-9 1752,14-9 25,-3 14-97,4-3-224,2 7-1456,-3-4 1209,-6-3-329,2 5-200,2-2-152,5 4-528,-7-2 424,0 0-40,2-1-112,-2 3-144,7 0-128,-2 0 160,-4 0-128,-2 0-16,-8 0 104,16 0-120,-5 0-72,1 5 96,-6-1-24,-9 0-88,19-4 88,-7 4-96,-3 3-152,-10-2-416,12 1-696,8-6 1360,-20 5-3569,0-5-424,-10 4-2608,30-4 6601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8"/>
  <sheetViews>
    <sheetView rightToLeft="1" tabSelected="1" view="pageBreakPreview" topLeftCell="A51" zoomScale="130" zoomScaleNormal="100" zoomScaleSheetLayoutView="130" workbookViewId="0">
      <selection activeCell="E48" sqref="E48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9" t="s">
        <v>180</v>
      </c>
      <c r="C1" s="49"/>
      <c r="D1" s="49"/>
      <c r="E1" s="49"/>
      <c r="F1" s="49"/>
      <c r="G1" s="49"/>
      <c r="H1" s="49"/>
      <c r="I1" s="49"/>
      <c r="J1" s="49"/>
    </row>
    <row r="2" spans="1:10" ht="30" customHeight="1" x14ac:dyDescent="0.3">
      <c r="B2" s="15" t="s">
        <v>8</v>
      </c>
      <c r="C2" s="55" t="s">
        <v>15</v>
      </c>
      <c r="D2" s="55"/>
      <c r="E2" s="15" t="s">
        <v>7</v>
      </c>
      <c r="F2" s="50">
        <v>45937</v>
      </c>
      <c r="G2" s="50"/>
      <c r="H2" s="50"/>
      <c r="I2" s="50"/>
      <c r="J2" s="50"/>
    </row>
    <row r="3" spans="1:10" ht="30" customHeight="1" x14ac:dyDescent="0.3">
      <c r="B3" s="15" t="s">
        <v>9</v>
      </c>
      <c r="C3" s="55" t="s">
        <v>75</v>
      </c>
      <c r="D3" s="55"/>
      <c r="E3" s="15" t="s">
        <v>6</v>
      </c>
      <c r="F3" s="55" t="s">
        <v>122</v>
      </c>
      <c r="G3" s="55"/>
      <c r="H3" s="55"/>
      <c r="I3" s="55"/>
      <c r="J3" s="5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3"/>
      <c r="B5" s="51" t="s">
        <v>0</v>
      </c>
      <c r="C5" s="52"/>
      <c r="D5" s="52"/>
      <c r="E5" s="64" t="s">
        <v>1</v>
      </c>
      <c r="F5" s="64"/>
      <c r="G5" s="64"/>
      <c r="H5" s="64"/>
      <c r="I5" s="64" t="s">
        <v>2</v>
      </c>
      <c r="J5" s="67"/>
    </row>
    <row r="6" spans="1:10" ht="24.9" customHeight="1" thickBot="1" x14ac:dyDescent="0.35">
      <c r="A6" s="13"/>
      <c r="B6" s="53"/>
      <c r="C6" s="54"/>
      <c r="D6" s="54"/>
      <c r="E6" s="14" t="s">
        <v>3</v>
      </c>
      <c r="F6" s="14" t="s">
        <v>4</v>
      </c>
      <c r="G6" s="14" t="s">
        <v>23</v>
      </c>
      <c r="H6" s="14" t="s">
        <v>24</v>
      </c>
      <c r="I6" s="68"/>
      <c r="J6" s="69"/>
    </row>
    <row r="7" spans="1:10" ht="24.9" customHeight="1" thickBot="1" x14ac:dyDescent="0.35">
      <c r="A7" s="13"/>
      <c r="B7" s="58" t="s">
        <v>21</v>
      </c>
      <c r="C7" s="59"/>
      <c r="D7" s="59"/>
      <c r="E7" s="33" t="s">
        <v>18</v>
      </c>
      <c r="F7" s="33" t="s">
        <v>19</v>
      </c>
      <c r="G7" s="33" t="s">
        <v>22</v>
      </c>
      <c r="H7" s="33" t="s">
        <v>20</v>
      </c>
      <c r="I7" s="70" t="s">
        <v>25</v>
      </c>
      <c r="J7" s="71"/>
    </row>
    <row r="8" spans="1:10" ht="30" customHeight="1" x14ac:dyDescent="0.3">
      <c r="A8" s="13"/>
      <c r="B8" s="89" t="s">
        <v>181</v>
      </c>
      <c r="C8" s="90"/>
      <c r="D8" s="90"/>
      <c r="E8" s="37"/>
      <c r="F8" s="38"/>
      <c r="G8" s="39"/>
      <c r="H8" s="40"/>
      <c r="I8" s="60"/>
      <c r="J8" s="61"/>
    </row>
    <row r="9" spans="1:10" ht="30" customHeight="1" x14ac:dyDescent="0.3">
      <c r="A9" s="13"/>
      <c r="B9" s="91" t="s">
        <v>182</v>
      </c>
      <c r="C9" s="92"/>
      <c r="D9" s="92"/>
      <c r="E9" s="36">
        <v>0</v>
      </c>
      <c r="F9" s="29" t="s">
        <v>17</v>
      </c>
      <c r="G9" s="34" t="str">
        <f>IFERROR(F9/E9,"")</f>
        <v/>
      </c>
      <c r="H9" s="35" t="str">
        <f>_xlfn.IFS(F9="أدخل العلامة","",F9="لا ينطبق","تم الإلغاء",G9&gt;=90%,"ممتاز",G9&gt;=80%,"جيد جداً",G9&gt;=70%,"جيد",G9&gt;=60%,"مقبول",G9&lt;60%,"راسب")</f>
        <v>تم الإلغاء</v>
      </c>
      <c r="I9" s="62"/>
      <c r="J9" s="63"/>
    </row>
    <row r="10" spans="1:10" ht="30" customHeight="1" x14ac:dyDescent="0.3">
      <c r="A10" s="13"/>
      <c r="B10" s="91" t="s">
        <v>183</v>
      </c>
      <c r="C10" s="92"/>
      <c r="D10" s="92"/>
      <c r="E10" s="36">
        <v>0</v>
      </c>
      <c r="F10" s="29" t="s">
        <v>17</v>
      </c>
      <c r="G10" s="34" t="str">
        <f t="shared" ref="G10:G53" si="0">IFERROR(F10/E10,"")</f>
        <v/>
      </c>
      <c r="H10" s="35" t="str">
        <f t="shared" ref="H10:H53" si="1">_xlfn.IFS(F10="أدخل العلامة","",F10="لا ينطبق","تم الإلغاء",G10&gt;=90%,"ممتاز",G10&gt;=80%,"جيد جداً",G10&gt;=70%,"جيد",G10&gt;=60%,"مقبول",G10&lt;60%,"راسب")</f>
        <v>تم الإلغاء</v>
      </c>
      <c r="I10" s="62"/>
      <c r="J10" s="63"/>
    </row>
    <row r="11" spans="1:10" ht="30" customHeight="1" x14ac:dyDescent="0.3">
      <c r="A11" s="13"/>
      <c r="B11" s="91" t="s">
        <v>184</v>
      </c>
      <c r="C11" s="92"/>
      <c r="D11" s="92"/>
      <c r="E11" s="36">
        <v>0</v>
      </c>
      <c r="F11" s="29" t="s">
        <v>17</v>
      </c>
      <c r="G11" s="34" t="str">
        <f t="shared" si="0"/>
        <v/>
      </c>
      <c r="H11" s="35" t="str">
        <f t="shared" si="1"/>
        <v>تم الإلغاء</v>
      </c>
      <c r="I11" s="62"/>
      <c r="J11" s="63"/>
    </row>
    <row r="12" spans="1:10" ht="30" customHeight="1" x14ac:dyDescent="0.3">
      <c r="A12" s="13"/>
      <c r="B12" s="91" t="s">
        <v>185</v>
      </c>
      <c r="C12" s="92"/>
      <c r="D12" s="92"/>
      <c r="E12" s="36">
        <v>5</v>
      </c>
      <c r="F12" s="29">
        <v>3.75</v>
      </c>
      <c r="G12" s="34">
        <f t="shared" si="0"/>
        <v>0.75</v>
      </c>
      <c r="H12" s="35" t="str">
        <f t="shared" si="1"/>
        <v>جيد</v>
      </c>
      <c r="I12" s="62"/>
      <c r="J12" s="63"/>
    </row>
    <row r="13" spans="1:10" ht="30" customHeight="1" x14ac:dyDescent="0.3">
      <c r="A13" s="13"/>
      <c r="B13" s="91" t="s">
        <v>186</v>
      </c>
      <c r="C13" s="92"/>
      <c r="D13" s="92"/>
      <c r="E13" s="36">
        <v>0</v>
      </c>
      <c r="F13" s="29" t="s">
        <v>17</v>
      </c>
      <c r="G13" s="34" t="str">
        <f t="shared" si="0"/>
        <v/>
      </c>
      <c r="H13" s="35" t="str">
        <f t="shared" si="1"/>
        <v>تم الإلغاء</v>
      </c>
      <c r="I13" s="62"/>
      <c r="J13" s="63"/>
    </row>
    <row r="14" spans="1:10" ht="30" customHeight="1" thickBot="1" x14ac:dyDescent="0.35">
      <c r="A14" s="13"/>
      <c r="B14" s="93" t="s">
        <v>187</v>
      </c>
      <c r="C14" s="94"/>
      <c r="D14" s="94"/>
      <c r="E14" s="41">
        <v>0</v>
      </c>
      <c r="F14" s="32" t="s">
        <v>17</v>
      </c>
      <c r="G14" s="42" t="str">
        <f t="shared" si="0"/>
        <v/>
      </c>
      <c r="H14" s="43" t="str">
        <f t="shared" si="1"/>
        <v>تم الإلغاء</v>
      </c>
      <c r="I14" s="72"/>
      <c r="J14" s="73"/>
    </row>
    <row r="15" spans="1:10" ht="30" customHeight="1" x14ac:dyDescent="0.3">
      <c r="A15" s="13"/>
      <c r="B15" s="95" t="s">
        <v>188</v>
      </c>
      <c r="C15" s="96"/>
      <c r="D15" s="96"/>
      <c r="E15" s="37"/>
      <c r="F15" s="38"/>
      <c r="G15" s="39"/>
      <c r="H15" s="40"/>
      <c r="I15" s="60"/>
      <c r="J15" s="61"/>
    </row>
    <row r="16" spans="1:10" ht="30" customHeight="1" x14ac:dyDescent="0.3">
      <c r="A16" s="13"/>
      <c r="B16" s="91" t="s">
        <v>189</v>
      </c>
      <c r="C16" s="92"/>
      <c r="D16" s="92"/>
      <c r="E16" s="36">
        <v>0</v>
      </c>
      <c r="F16" s="29" t="s">
        <v>17</v>
      </c>
      <c r="G16" s="34" t="str">
        <f t="shared" si="0"/>
        <v/>
      </c>
      <c r="H16" s="35" t="str">
        <f t="shared" si="1"/>
        <v>تم الإلغاء</v>
      </c>
      <c r="I16" s="62"/>
      <c r="J16" s="63"/>
    </row>
    <row r="17" spans="1:10" ht="30" customHeight="1" x14ac:dyDescent="0.3">
      <c r="A17" s="13"/>
      <c r="B17" s="91" t="s">
        <v>190</v>
      </c>
      <c r="C17" s="92"/>
      <c r="D17" s="92"/>
      <c r="E17" s="36">
        <v>0</v>
      </c>
      <c r="F17" s="29" t="s">
        <v>17</v>
      </c>
      <c r="G17" s="34" t="str">
        <f t="shared" si="0"/>
        <v/>
      </c>
      <c r="H17" s="35" t="str">
        <f t="shared" si="1"/>
        <v>تم الإلغاء</v>
      </c>
      <c r="I17" s="62"/>
      <c r="J17" s="63"/>
    </row>
    <row r="18" spans="1:10" ht="30" customHeight="1" x14ac:dyDescent="0.3">
      <c r="A18" s="13"/>
      <c r="B18" s="91" t="s">
        <v>191</v>
      </c>
      <c r="C18" s="92"/>
      <c r="D18" s="92"/>
      <c r="E18" s="36">
        <v>0</v>
      </c>
      <c r="F18" s="29" t="s">
        <v>17</v>
      </c>
      <c r="G18" s="34" t="str">
        <f t="shared" si="0"/>
        <v/>
      </c>
      <c r="H18" s="35" t="str">
        <f t="shared" si="1"/>
        <v>تم الإلغاء</v>
      </c>
      <c r="I18" s="62"/>
      <c r="J18" s="63"/>
    </row>
    <row r="19" spans="1:10" ht="30" customHeight="1" x14ac:dyDescent="0.3">
      <c r="A19" s="13"/>
      <c r="B19" s="91" t="s">
        <v>192</v>
      </c>
      <c r="C19" s="92"/>
      <c r="D19" s="92"/>
      <c r="E19" s="36">
        <v>0</v>
      </c>
      <c r="F19" s="29" t="s">
        <v>17</v>
      </c>
      <c r="G19" s="34" t="str">
        <f t="shared" si="0"/>
        <v/>
      </c>
      <c r="H19" s="35" t="str">
        <f t="shared" si="1"/>
        <v>تم الإلغاء</v>
      </c>
      <c r="I19" s="62"/>
      <c r="J19" s="63"/>
    </row>
    <row r="20" spans="1:10" ht="30" customHeight="1" thickBot="1" x14ac:dyDescent="0.35">
      <c r="A20" s="13"/>
      <c r="B20" s="93" t="s">
        <v>193</v>
      </c>
      <c r="C20" s="94"/>
      <c r="D20" s="94"/>
      <c r="E20" s="41">
        <v>0</v>
      </c>
      <c r="F20" s="32" t="s">
        <v>17</v>
      </c>
      <c r="G20" s="42" t="str">
        <f t="shared" si="0"/>
        <v/>
      </c>
      <c r="H20" s="43" t="str">
        <f t="shared" si="1"/>
        <v>تم الإلغاء</v>
      </c>
      <c r="I20" s="72"/>
      <c r="J20" s="73"/>
    </row>
    <row r="21" spans="1:10" ht="30" customHeight="1" x14ac:dyDescent="0.3">
      <c r="A21" s="13"/>
      <c r="B21" s="95" t="s">
        <v>194</v>
      </c>
      <c r="C21" s="96"/>
      <c r="D21" s="96"/>
      <c r="E21" s="37"/>
      <c r="F21" s="38"/>
      <c r="G21" s="39"/>
      <c r="H21" s="40"/>
      <c r="I21" s="60"/>
      <c r="J21" s="61"/>
    </row>
    <row r="22" spans="1:10" ht="30" customHeight="1" x14ac:dyDescent="0.3">
      <c r="A22" s="13"/>
      <c r="B22" s="91" t="s">
        <v>195</v>
      </c>
      <c r="C22" s="92"/>
      <c r="D22" s="92"/>
      <c r="E22" s="36">
        <v>0</v>
      </c>
      <c r="F22" s="29" t="s">
        <v>17</v>
      </c>
      <c r="G22" s="34" t="str">
        <f t="shared" si="0"/>
        <v/>
      </c>
      <c r="H22" s="35" t="str">
        <f t="shared" si="1"/>
        <v>تم الإلغاء</v>
      </c>
      <c r="I22" s="62"/>
      <c r="J22" s="63"/>
    </row>
    <row r="23" spans="1:10" ht="30" customHeight="1" x14ac:dyDescent="0.3">
      <c r="A23" s="13"/>
      <c r="B23" s="91" t="s">
        <v>196</v>
      </c>
      <c r="C23" s="92"/>
      <c r="D23" s="92"/>
      <c r="E23" s="36">
        <v>0</v>
      </c>
      <c r="F23" s="29" t="s">
        <v>17</v>
      </c>
      <c r="G23" s="34" t="str">
        <f t="shared" si="0"/>
        <v/>
      </c>
      <c r="H23" s="35" t="str">
        <f t="shared" si="1"/>
        <v>تم الإلغاء</v>
      </c>
      <c r="I23" s="62"/>
      <c r="J23" s="63"/>
    </row>
    <row r="24" spans="1:10" ht="30" customHeight="1" thickBot="1" x14ac:dyDescent="0.35">
      <c r="A24" s="13"/>
      <c r="B24" s="93" t="s">
        <v>197</v>
      </c>
      <c r="C24" s="94"/>
      <c r="D24" s="94"/>
      <c r="E24" s="41">
        <v>0</v>
      </c>
      <c r="F24" s="32" t="s">
        <v>17</v>
      </c>
      <c r="G24" s="42" t="str">
        <f t="shared" si="0"/>
        <v/>
      </c>
      <c r="H24" s="43" t="str">
        <f t="shared" si="1"/>
        <v>تم الإلغاء</v>
      </c>
      <c r="I24" s="72"/>
      <c r="J24" s="73"/>
    </row>
    <row r="25" spans="1:10" ht="30" customHeight="1" x14ac:dyDescent="0.3">
      <c r="A25" s="13"/>
      <c r="B25" s="89" t="s">
        <v>198</v>
      </c>
      <c r="C25" s="90"/>
      <c r="D25" s="90"/>
      <c r="E25" s="37"/>
      <c r="F25" s="38"/>
      <c r="G25" s="39"/>
      <c r="H25" s="40"/>
      <c r="I25" s="60"/>
      <c r="J25" s="61"/>
    </row>
    <row r="26" spans="1:10" ht="30" customHeight="1" x14ac:dyDescent="0.3">
      <c r="A26" s="13"/>
      <c r="B26" s="91" t="s">
        <v>199</v>
      </c>
      <c r="C26" s="92"/>
      <c r="D26" s="92"/>
      <c r="E26" s="11">
        <v>0</v>
      </c>
      <c r="F26" s="29" t="s">
        <v>17</v>
      </c>
      <c r="G26" s="34" t="str">
        <f t="shared" si="0"/>
        <v/>
      </c>
      <c r="H26" s="35" t="str">
        <f t="shared" si="1"/>
        <v>تم الإلغاء</v>
      </c>
      <c r="I26" s="62"/>
      <c r="J26" s="63"/>
    </row>
    <row r="27" spans="1:10" ht="30" customHeight="1" x14ac:dyDescent="0.3">
      <c r="A27" s="13"/>
      <c r="B27" s="91" t="s">
        <v>200</v>
      </c>
      <c r="C27" s="92"/>
      <c r="D27" s="92"/>
      <c r="E27" s="11">
        <v>0</v>
      </c>
      <c r="F27" s="29" t="s">
        <v>17</v>
      </c>
      <c r="G27" s="34" t="str">
        <f t="shared" si="0"/>
        <v/>
      </c>
      <c r="H27" s="35" t="str">
        <f t="shared" si="1"/>
        <v>تم الإلغاء</v>
      </c>
      <c r="I27" s="62"/>
      <c r="J27" s="63"/>
    </row>
    <row r="28" spans="1:10" ht="30" customHeight="1" x14ac:dyDescent="0.3">
      <c r="A28" s="13"/>
      <c r="B28" s="91" t="s">
        <v>201</v>
      </c>
      <c r="C28" s="92"/>
      <c r="D28" s="92"/>
      <c r="E28" s="11">
        <v>0</v>
      </c>
      <c r="F28" s="29" t="s">
        <v>17</v>
      </c>
      <c r="G28" s="34" t="str">
        <f t="shared" si="0"/>
        <v/>
      </c>
      <c r="H28" s="35" t="str">
        <f t="shared" si="1"/>
        <v>تم الإلغاء</v>
      </c>
      <c r="I28" s="62"/>
      <c r="J28" s="63"/>
    </row>
    <row r="29" spans="1:10" ht="30" customHeight="1" thickBot="1" x14ac:dyDescent="0.35">
      <c r="A29" s="13"/>
      <c r="B29" s="93" t="s">
        <v>202</v>
      </c>
      <c r="C29" s="94"/>
      <c r="D29" s="94"/>
      <c r="E29" s="45">
        <v>0</v>
      </c>
      <c r="F29" s="32" t="s">
        <v>17</v>
      </c>
      <c r="G29" s="42" t="str">
        <f t="shared" si="0"/>
        <v/>
      </c>
      <c r="H29" s="43" t="str">
        <f t="shared" si="1"/>
        <v>تم الإلغاء</v>
      </c>
      <c r="I29" s="72"/>
      <c r="J29" s="73"/>
    </row>
    <row r="30" spans="1:10" ht="30" customHeight="1" x14ac:dyDescent="0.3">
      <c r="A30" s="13"/>
      <c r="B30" s="95" t="s">
        <v>203</v>
      </c>
      <c r="C30" s="96"/>
      <c r="D30" s="96"/>
      <c r="E30" s="37"/>
      <c r="F30" s="38"/>
      <c r="G30" s="39"/>
      <c r="H30" s="40"/>
      <c r="I30" s="60"/>
      <c r="J30" s="61"/>
    </row>
    <row r="31" spans="1:10" ht="30" customHeight="1" x14ac:dyDescent="0.3">
      <c r="A31" s="13"/>
      <c r="B31" s="91" t="s">
        <v>204</v>
      </c>
      <c r="C31" s="92"/>
      <c r="D31" s="92"/>
      <c r="E31" s="36">
        <v>0</v>
      </c>
      <c r="F31" s="29" t="s">
        <v>17</v>
      </c>
      <c r="G31" s="34" t="str">
        <f t="shared" si="0"/>
        <v/>
      </c>
      <c r="H31" s="35" t="str">
        <f t="shared" si="1"/>
        <v>تم الإلغاء</v>
      </c>
      <c r="I31" s="62"/>
      <c r="J31" s="63"/>
    </row>
    <row r="32" spans="1:10" ht="30" customHeight="1" x14ac:dyDescent="0.3">
      <c r="A32" s="13"/>
      <c r="B32" s="91" t="s">
        <v>205</v>
      </c>
      <c r="C32" s="92"/>
      <c r="D32" s="92"/>
      <c r="E32" s="36">
        <v>0</v>
      </c>
      <c r="F32" s="29" t="s">
        <v>17</v>
      </c>
      <c r="G32" s="34" t="str">
        <f t="shared" si="0"/>
        <v/>
      </c>
      <c r="H32" s="35" t="str">
        <f t="shared" si="1"/>
        <v>تم الإلغاء</v>
      </c>
      <c r="I32" s="62"/>
      <c r="J32" s="63"/>
    </row>
    <row r="33" spans="1:10" ht="30" customHeight="1" x14ac:dyDescent="0.3">
      <c r="A33" s="13"/>
      <c r="B33" s="91" t="s">
        <v>206</v>
      </c>
      <c r="C33" s="92"/>
      <c r="D33" s="92"/>
      <c r="E33" s="36">
        <v>0</v>
      </c>
      <c r="F33" s="29" t="s">
        <v>17</v>
      </c>
      <c r="G33" s="34" t="str">
        <f t="shared" si="0"/>
        <v/>
      </c>
      <c r="H33" s="35" t="str">
        <f t="shared" si="1"/>
        <v>تم الإلغاء</v>
      </c>
      <c r="I33" s="62"/>
      <c r="J33" s="63"/>
    </row>
    <row r="34" spans="1:10" ht="30" customHeight="1" x14ac:dyDescent="0.3">
      <c r="A34" s="13"/>
      <c r="B34" s="91" t="s">
        <v>207</v>
      </c>
      <c r="C34" s="92"/>
      <c r="D34" s="92"/>
      <c r="E34" s="36">
        <v>0</v>
      </c>
      <c r="F34" s="29" t="s">
        <v>17</v>
      </c>
      <c r="G34" s="34" t="str">
        <f t="shared" si="0"/>
        <v/>
      </c>
      <c r="H34" s="35" t="str">
        <f t="shared" si="1"/>
        <v>تم الإلغاء</v>
      </c>
      <c r="I34" s="62"/>
      <c r="J34" s="63"/>
    </row>
    <row r="35" spans="1:10" ht="30" customHeight="1" x14ac:dyDescent="0.3">
      <c r="A35" s="13"/>
      <c r="B35" s="91" t="s">
        <v>208</v>
      </c>
      <c r="C35" s="92"/>
      <c r="D35" s="92"/>
      <c r="E35" s="36">
        <v>0</v>
      </c>
      <c r="F35" s="29" t="s">
        <v>17</v>
      </c>
      <c r="G35" s="34" t="str">
        <f t="shared" si="0"/>
        <v/>
      </c>
      <c r="H35" s="35" t="str">
        <f t="shared" si="1"/>
        <v>تم الإلغاء</v>
      </c>
      <c r="I35" s="62"/>
      <c r="J35" s="63"/>
    </row>
    <row r="36" spans="1:10" ht="30" customHeight="1" thickBot="1" x14ac:dyDescent="0.35">
      <c r="A36" s="13"/>
      <c r="B36" s="93" t="s">
        <v>209</v>
      </c>
      <c r="C36" s="94"/>
      <c r="D36" s="94"/>
      <c r="E36" s="41">
        <v>0</v>
      </c>
      <c r="F36" s="32" t="s">
        <v>17</v>
      </c>
      <c r="G36" s="42" t="str">
        <f t="shared" si="0"/>
        <v/>
      </c>
      <c r="H36" s="43" t="str">
        <f t="shared" si="1"/>
        <v>تم الإلغاء</v>
      </c>
      <c r="I36" s="72"/>
      <c r="J36" s="73"/>
    </row>
    <row r="37" spans="1:10" ht="30" customHeight="1" thickBot="1" x14ac:dyDescent="0.35">
      <c r="A37" s="13"/>
      <c r="B37" s="97" t="s">
        <v>210</v>
      </c>
      <c r="C37" s="98"/>
      <c r="D37" s="98"/>
      <c r="E37" s="46">
        <v>0</v>
      </c>
      <c r="F37" s="47" t="s">
        <v>17</v>
      </c>
      <c r="G37" s="48" t="str">
        <f t="shared" si="0"/>
        <v/>
      </c>
      <c r="H37" s="31" t="str">
        <f t="shared" si="1"/>
        <v>تم الإلغاء</v>
      </c>
      <c r="I37" s="65"/>
      <c r="J37" s="66"/>
    </row>
    <row r="38" spans="1:10" ht="30" customHeight="1" x14ac:dyDescent="0.3">
      <c r="A38" s="13"/>
      <c r="B38" s="95" t="s">
        <v>211</v>
      </c>
      <c r="C38" s="96"/>
      <c r="D38" s="96"/>
      <c r="E38" s="37"/>
      <c r="F38" s="38"/>
      <c r="G38" s="39"/>
      <c r="H38" s="40"/>
      <c r="I38" s="60"/>
      <c r="J38" s="61"/>
    </row>
    <row r="39" spans="1:10" ht="30" customHeight="1" x14ac:dyDescent="0.3">
      <c r="A39" s="13"/>
      <c r="B39" s="91" t="s">
        <v>212</v>
      </c>
      <c r="C39" s="92"/>
      <c r="D39" s="92"/>
      <c r="E39" s="36">
        <v>0</v>
      </c>
      <c r="F39" s="29" t="s">
        <v>17</v>
      </c>
      <c r="G39" s="34" t="str">
        <f t="shared" si="0"/>
        <v/>
      </c>
      <c r="H39" s="35" t="str">
        <f t="shared" si="1"/>
        <v>تم الإلغاء</v>
      </c>
      <c r="I39" s="62"/>
      <c r="J39" s="63"/>
    </row>
    <row r="40" spans="1:10" ht="30" customHeight="1" x14ac:dyDescent="0.3">
      <c r="A40" s="13"/>
      <c r="B40" s="91" t="s">
        <v>213</v>
      </c>
      <c r="C40" s="92"/>
      <c r="D40" s="92"/>
      <c r="E40" s="36">
        <v>0</v>
      </c>
      <c r="F40" s="29" t="s">
        <v>17</v>
      </c>
      <c r="G40" s="34" t="str">
        <f t="shared" si="0"/>
        <v/>
      </c>
      <c r="H40" s="35" t="str">
        <f t="shared" si="1"/>
        <v>تم الإلغاء</v>
      </c>
      <c r="I40" s="62"/>
      <c r="J40" s="63"/>
    </row>
    <row r="41" spans="1:10" ht="30" customHeight="1" x14ac:dyDescent="0.3">
      <c r="A41" s="13"/>
      <c r="B41" s="91" t="s">
        <v>214</v>
      </c>
      <c r="C41" s="92"/>
      <c r="D41" s="92"/>
      <c r="E41" s="36">
        <v>0</v>
      </c>
      <c r="F41" s="29" t="s">
        <v>17</v>
      </c>
      <c r="G41" s="34" t="str">
        <f t="shared" si="0"/>
        <v/>
      </c>
      <c r="H41" s="35" t="str">
        <f t="shared" si="1"/>
        <v>تم الإلغاء</v>
      </c>
      <c r="I41" s="62"/>
      <c r="J41" s="63"/>
    </row>
    <row r="42" spans="1:10" ht="30" customHeight="1" x14ac:dyDescent="0.3">
      <c r="A42" s="13"/>
      <c r="B42" s="91" t="s">
        <v>215</v>
      </c>
      <c r="C42" s="92"/>
      <c r="D42" s="92"/>
      <c r="E42" s="36">
        <v>0</v>
      </c>
      <c r="F42" s="29" t="s">
        <v>17</v>
      </c>
      <c r="G42" s="34" t="str">
        <f t="shared" si="0"/>
        <v/>
      </c>
      <c r="H42" s="35" t="str">
        <f t="shared" si="1"/>
        <v>تم الإلغاء</v>
      </c>
      <c r="I42" s="62"/>
      <c r="J42" s="63"/>
    </row>
    <row r="43" spans="1:10" ht="30" customHeight="1" x14ac:dyDescent="0.3">
      <c r="A43" s="13"/>
      <c r="B43" s="91" t="s">
        <v>216</v>
      </c>
      <c r="C43" s="92"/>
      <c r="D43" s="92"/>
      <c r="E43" s="36">
        <v>0</v>
      </c>
      <c r="F43" s="29" t="s">
        <v>17</v>
      </c>
      <c r="G43" s="34" t="str">
        <f t="shared" si="0"/>
        <v/>
      </c>
      <c r="H43" s="35" t="str">
        <f t="shared" si="1"/>
        <v>تم الإلغاء</v>
      </c>
      <c r="I43" s="62"/>
      <c r="J43" s="63"/>
    </row>
    <row r="44" spans="1:10" ht="30" customHeight="1" x14ac:dyDescent="0.3">
      <c r="A44" s="13"/>
      <c r="B44" s="91" t="s">
        <v>217</v>
      </c>
      <c r="C44" s="92"/>
      <c r="D44" s="92"/>
      <c r="E44" s="36">
        <v>0</v>
      </c>
      <c r="F44" s="29" t="s">
        <v>17</v>
      </c>
      <c r="G44" s="34" t="str">
        <f t="shared" si="0"/>
        <v/>
      </c>
      <c r="H44" s="35" t="str">
        <f t="shared" si="1"/>
        <v>تم الإلغاء</v>
      </c>
      <c r="I44" s="62"/>
      <c r="J44" s="63"/>
    </row>
    <row r="45" spans="1:10" ht="30" customHeight="1" x14ac:dyDescent="0.3">
      <c r="A45" s="13"/>
      <c r="B45" s="91" t="s">
        <v>218</v>
      </c>
      <c r="C45" s="92"/>
      <c r="D45" s="92"/>
      <c r="E45" s="36">
        <v>0</v>
      </c>
      <c r="F45" s="29" t="s">
        <v>17</v>
      </c>
      <c r="G45" s="34" t="str">
        <f t="shared" si="0"/>
        <v/>
      </c>
      <c r="H45" s="35" t="str">
        <f t="shared" si="1"/>
        <v>تم الإلغاء</v>
      </c>
      <c r="I45" s="62"/>
      <c r="J45" s="63"/>
    </row>
    <row r="46" spans="1:10" ht="30" customHeight="1" thickBot="1" x14ac:dyDescent="0.35">
      <c r="A46" s="13"/>
      <c r="B46" s="93" t="s">
        <v>219</v>
      </c>
      <c r="C46" s="94"/>
      <c r="D46" s="94"/>
      <c r="E46" s="41">
        <v>0</v>
      </c>
      <c r="F46" s="32" t="s">
        <v>17</v>
      </c>
      <c r="G46" s="42" t="str">
        <f t="shared" si="0"/>
        <v/>
      </c>
      <c r="H46" s="43" t="str">
        <f t="shared" si="1"/>
        <v>تم الإلغاء</v>
      </c>
      <c r="I46" s="72"/>
      <c r="J46" s="73"/>
    </row>
    <row r="47" spans="1:10" ht="30" customHeight="1" thickBot="1" x14ac:dyDescent="0.35">
      <c r="A47" s="13"/>
      <c r="B47" s="97" t="s">
        <v>220</v>
      </c>
      <c r="C47" s="98"/>
      <c r="D47" s="98"/>
      <c r="E47" s="12">
        <v>0</v>
      </c>
      <c r="F47" s="47" t="s">
        <v>17</v>
      </c>
      <c r="G47" s="48" t="str">
        <f t="shared" si="0"/>
        <v/>
      </c>
      <c r="H47" s="31" t="str">
        <f t="shared" si="1"/>
        <v>تم الإلغاء</v>
      </c>
      <c r="I47" s="65"/>
      <c r="J47" s="66"/>
    </row>
    <row r="48" spans="1:10" ht="30" customHeight="1" x14ac:dyDescent="0.3">
      <c r="A48" s="13"/>
      <c r="B48" s="101" t="s">
        <v>221</v>
      </c>
      <c r="C48" s="102"/>
      <c r="D48" s="102"/>
      <c r="E48" s="44"/>
      <c r="F48" s="30"/>
      <c r="G48" s="10"/>
      <c r="H48" s="9"/>
      <c r="I48" s="80"/>
      <c r="J48" s="81"/>
    </row>
    <row r="49" spans="1:10" ht="30" customHeight="1" x14ac:dyDescent="0.3">
      <c r="A49" s="13"/>
      <c r="B49" s="91" t="s">
        <v>222</v>
      </c>
      <c r="C49" s="92"/>
      <c r="D49" s="92"/>
      <c r="E49" s="36">
        <v>5</v>
      </c>
      <c r="F49" s="29">
        <v>3.75</v>
      </c>
      <c r="G49" s="34">
        <f t="shared" si="0"/>
        <v>0.75</v>
      </c>
      <c r="H49" s="35" t="str">
        <f t="shared" si="1"/>
        <v>جيد</v>
      </c>
      <c r="I49" s="62"/>
      <c r="J49" s="63"/>
    </row>
    <row r="50" spans="1:10" ht="30" customHeight="1" x14ac:dyDescent="0.3">
      <c r="A50" s="13"/>
      <c r="B50" s="91" t="s">
        <v>223</v>
      </c>
      <c r="C50" s="92"/>
      <c r="D50" s="92"/>
      <c r="E50" s="36">
        <v>5</v>
      </c>
      <c r="F50" s="29">
        <v>4</v>
      </c>
      <c r="G50" s="34">
        <f t="shared" si="0"/>
        <v>0.8</v>
      </c>
      <c r="H50" s="35" t="str">
        <f t="shared" si="1"/>
        <v>جيد جداً</v>
      </c>
      <c r="I50" s="62"/>
      <c r="J50" s="63"/>
    </row>
    <row r="51" spans="1:10" ht="30" customHeight="1" x14ac:dyDescent="0.3">
      <c r="A51" s="13"/>
      <c r="B51" s="91" t="s">
        <v>224</v>
      </c>
      <c r="C51" s="92"/>
      <c r="D51" s="92"/>
      <c r="E51" s="36">
        <v>5</v>
      </c>
      <c r="F51" s="29">
        <v>3.75</v>
      </c>
      <c r="G51" s="34">
        <f t="shared" si="0"/>
        <v>0.75</v>
      </c>
      <c r="H51" s="35" t="str">
        <f t="shared" si="1"/>
        <v>جيد</v>
      </c>
      <c r="I51" s="62"/>
      <c r="J51" s="63"/>
    </row>
    <row r="52" spans="1:10" ht="30" customHeight="1" x14ac:dyDescent="0.3">
      <c r="A52" s="13"/>
      <c r="B52" s="91" t="s">
        <v>225</v>
      </c>
      <c r="C52" s="92"/>
      <c r="D52" s="92"/>
      <c r="E52" s="36">
        <v>5</v>
      </c>
      <c r="F52" s="29">
        <v>3.75</v>
      </c>
      <c r="G52" s="34">
        <f t="shared" si="0"/>
        <v>0.75</v>
      </c>
      <c r="H52" s="35" t="str">
        <f t="shared" si="1"/>
        <v>جيد</v>
      </c>
      <c r="I52" s="62"/>
      <c r="J52" s="63"/>
    </row>
    <row r="53" spans="1:10" ht="30" customHeight="1" thickBot="1" x14ac:dyDescent="0.35">
      <c r="A53" s="13"/>
      <c r="B53" s="99" t="s">
        <v>226</v>
      </c>
      <c r="C53" s="100"/>
      <c r="D53" s="100"/>
      <c r="E53" s="41">
        <v>5</v>
      </c>
      <c r="F53" s="32">
        <v>3.75</v>
      </c>
      <c r="G53" s="42">
        <f t="shared" si="0"/>
        <v>0.75</v>
      </c>
      <c r="H53" s="43" t="str">
        <f t="shared" si="1"/>
        <v>جيد</v>
      </c>
      <c r="I53" s="72"/>
      <c r="J53" s="73"/>
    </row>
    <row r="54" spans="1:10" ht="30" customHeight="1" thickBot="1" x14ac:dyDescent="0.35">
      <c r="A54" s="4"/>
      <c r="B54" s="87" t="s">
        <v>5</v>
      </c>
      <c r="C54" s="88"/>
      <c r="D54" s="88"/>
      <c r="E54" s="12">
        <f>SUM(E8:E53)</f>
        <v>30</v>
      </c>
      <c r="F54" s="12">
        <f>SUM(F8:F53)</f>
        <v>22.75</v>
      </c>
      <c r="G54" s="84"/>
      <c r="H54" s="85"/>
      <c r="I54" s="85"/>
      <c r="J54" s="86"/>
    </row>
    <row r="55" spans="1:10" ht="30" customHeight="1" thickBot="1" x14ac:dyDescent="0.35">
      <c r="A55" s="4"/>
      <c r="B55" s="87" t="s">
        <v>54</v>
      </c>
      <c r="C55" s="88"/>
      <c r="D55" s="88"/>
      <c r="E55" s="56">
        <f>F54/E54/100*100</f>
        <v>0.7583333333333333</v>
      </c>
      <c r="F55" s="56"/>
      <c r="G55" s="56"/>
      <c r="H55" s="56"/>
      <c r="I55" s="56"/>
      <c r="J55" s="57"/>
    </row>
    <row r="56" spans="1:10" ht="30" customHeight="1" thickBot="1" x14ac:dyDescent="0.35">
      <c r="A56" s="4"/>
      <c r="B56" s="87" t="s">
        <v>55</v>
      </c>
      <c r="C56" s="88"/>
      <c r="D56" s="88"/>
      <c r="E56" s="78" t="str">
        <f>_xlfn.IFS(E55&gt;=90%,"ممتاز",E55&gt;=80%,"جيد جداً",E55&gt;=70%,"جيد",E55&gt;=60%,"مقبول",E55&lt;60%,"راسب")</f>
        <v>جيد</v>
      </c>
      <c r="F56" s="78"/>
      <c r="G56" s="78"/>
      <c r="H56" s="78"/>
      <c r="I56" s="78"/>
      <c r="J56" s="79"/>
    </row>
    <row r="57" spans="1:10" ht="42" customHeight="1" x14ac:dyDescent="0.3">
      <c r="B57" s="74" t="s">
        <v>174</v>
      </c>
      <c r="C57" s="74"/>
      <c r="D57" s="74"/>
      <c r="E57" s="82" t="s">
        <v>52</v>
      </c>
      <c r="F57" s="82"/>
      <c r="G57" s="76" t="s">
        <v>122</v>
      </c>
      <c r="H57" s="76"/>
      <c r="I57" s="76"/>
      <c r="J57" s="76"/>
    </row>
    <row r="58" spans="1:10" ht="51" customHeight="1" x14ac:dyDescent="0.3">
      <c r="A58" s="5"/>
      <c r="B58" s="75"/>
      <c r="C58" s="75"/>
      <c r="D58" s="75"/>
      <c r="E58" s="83" t="s">
        <v>53</v>
      </c>
      <c r="F58" s="83"/>
      <c r="G58" s="77"/>
      <c r="H58" s="77"/>
      <c r="I58" s="77"/>
      <c r="J58" s="77"/>
    </row>
  </sheetData>
  <sheetProtection formatCells="0" formatColumns="0" formatRows="0" insertColumns="0" insertRows="0" insertHyperlinks="0" deleteColumns="0" deleteRows="0" selectLockedCells="1" sort="0" autoFilter="0" pivotTables="0"/>
  <mergeCells count="113">
    <mergeCell ref="B37:D37"/>
    <mergeCell ref="B38:D38"/>
    <mergeCell ref="B39:D39"/>
    <mergeCell ref="B40:D40"/>
    <mergeCell ref="B41:D41"/>
    <mergeCell ref="B42:D42"/>
    <mergeCell ref="B43:D43"/>
    <mergeCell ref="B53:D5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I32:J32"/>
    <mergeCell ref="I33:J33"/>
    <mergeCell ref="I34:J34"/>
    <mergeCell ref="I35:J35"/>
    <mergeCell ref="I36:J36"/>
    <mergeCell ref="I8:J8"/>
    <mergeCell ref="B54:D54"/>
    <mergeCell ref="B55:D55"/>
    <mergeCell ref="B56:D5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57:D58"/>
    <mergeCell ref="G57:J57"/>
    <mergeCell ref="G58:J58"/>
    <mergeCell ref="E56:J56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45:J45"/>
    <mergeCell ref="I46:J46"/>
    <mergeCell ref="I47:J47"/>
    <mergeCell ref="I48:J48"/>
    <mergeCell ref="E57:F57"/>
    <mergeCell ref="E58:F58"/>
    <mergeCell ref="G54:J54"/>
    <mergeCell ref="B1:J1"/>
    <mergeCell ref="F2:J2"/>
    <mergeCell ref="B5:D6"/>
    <mergeCell ref="C2:D2"/>
    <mergeCell ref="C3:D3"/>
    <mergeCell ref="F3:J3"/>
    <mergeCell ref="E55:J55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6">
    <cfRule type="expression" dxfId="14" priority="57">
      <formula>$E56="راسب"</formula>
    </cfRule>
  </conditionalFormatting>
  <conditionalFormatting sqref="E56:J56">
    <cfRule type="expression" dxfId="13" priority="58">
      <formula>$E56="مقبول"</formula>
    </cfRule>
    <cfRule type="expression" dxfId="12" priority="59">
      <formula>$E56="جيد"</formula>
    </cfRule>
    <cfRule type="expression" dxfId="11" priority="60">
      <formula>$E56="جيد جداً"</formula>
    </cfRule>
    <cfRule type="expression" dxfId="10" priority="61">
      <formula>$E56="ممتاز"</formula>
    </cfRule>
  </conditionalFormatting>
  <conditionalFormatting sqref="F8:F5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7:J57">
    <cfRule type="containsText" dxfId="6" priority="15" operator="containsText" text="أدخل اسم المحكم">
      <formula>NOT(ISERROR(SEARCH("أدخل اسم المحكم",G57)))</formula>
    </cfRule>
  </conditionalFormatting>
  <conditionalFormatting sqref="H8:H5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F49:F53 F39:F47 F31:F37 F26:F29 F22:F24 F16:F20 F9:F14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G57:J57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2" t="s">
        <v>62</v>
      </c>
    </row>
    <row r="3" spans="1:3" ht="20.100000000000001" customHeight="1" thickBot="1" x14ac:dyDescent="0.35">
      <c r="A3" s="2" t="s">
        <v>26</v>
      </c>
      <c r="C3" s="22" t="s">
        <v>63</v>
      </c>
    </row>
    <row r="4" spans="1:3" ht="20.100000000000001" customHeight="1" thickBot="1" x14ac:dyDescent="0.35">
      <c r="A4" s="2" t="s">
        <v>36</v>
      </c>
      <c r="C4" s="22" t="s">
        <v>64</v>
      </c>
    </row>
    <row r="5" spans="1:3" ht="20.100000000000001" customHeight="1" thickBot="1" x14ac:dyDescent="0.35">
      <c r="A5" s="2" t="s">
        <v>37</v>
      </c>
      <c r="C5" s="22" t="s">
        <v>65</v>
      </c>
    </row>
    <row r="6" spans="1:3" ht="20.100000000000001" customHeight="1" thickBot="1" x14ac:dyDescent="0.35">
      <c r="A6" s="2" t="s">
        <v>38</v>
      </c>
      <c r="C6" s="22" t="s">
        <v>66</v>
      </c>
    </row>
    <row r="7" spans="1:3" ht="20.100000000000001" customHeight="1" thickBot="1" x14ac:dyDescent="0.35">
      <c r="A7" s="2" t="s">
        <v>39</v>
      </c>
      <c r="C7" s="22" t="s">
        <v>67</v>
      </c>
    </row>
    <row r="8" spans="1:3" ht="20.100000000000001" customHeight="1" thickBot="1" x14ac:dyDescent="0.35">
      <c r="A8" s="2" t="s">
        <v>40</v>
      </c>
      <c r="C8" s="22" t="s">
        <v>68</v>
      </c>
    </row>
    <row r="9" spans="1:3" ht="20.100000000000001" customHeight="1" thickBot="1" x14ac:dyDescent="0.35">
      <c r="A9" s="2" t="s">
        <v>41</v>
      </c>
      <c r="C9" s="22" t="s">
        <v>69</v>
      </c>
    </row>
    <row r="10" spans="1:3" ht="20.100000000000001" customHeight="1" thickBot="1" x14ac:dyDescent="0.35">
      <c r="A10" s="2" t="s">
        <v>42</v>
      </c>
      <c r="C10" s="22" t="s">
        <v>70</v>
      </c>
    </row>
    <row r="11" spans="1:3" ht="20.100000000000001" customHeight="1" thickBot="1" x14ac:dyDescent="0.35">
      <c r="A11" s="2" t="s">
        <v>43</v>
      </c>
      <c r="C11" s="22" t="s">
        <v>71</v>
      </c>
    </row>
    <row r="12" spans="1:3" ht="20.100000000000001" customHeight="1" thickBot="1" x14ac:dyDescent="0.35">
      <c r="A12" s="2" t="s">
        <v>44</v>
      </c>
      <c r="C12" s="22" t="s">
        <v>72</v>
      </c>
    </row>
    <row r="13" spans="1:3" ht="20.100000000000001" customHeight="1" thickBot="1" x14ac:dyDescent="0.35">
      <c r="A13" s="2" t="s">
        <v>45</v>
      </c>
      <c r="C13" s="22" t="s">
        <v>73</v>
      </c>
    </row>
    <row r="14" spans="1:3" ht="20.100000000000001" customHeight="1" thickBot="1" x14ac:dyDescent="0.35">
      <c r="A14" s="2" t="s">
        <v>46</v>
      </c>
      <c r="C14" s="22" t="s">
        <v>74</v>
      </c>
    </row>
    <row r="15" spans="1:3" ht="20.100000000000001" customHeight="1" thickBot="1" x14ac:dyDescent="0.35">
      <c r="A15" s="2" t="s">
        <v>47</v>
      </c>
      <c r="C15" s="22" t="s">
        <v>75</v>
      </c>
    </row>
    <row r="16" spans="1:3" ht="20.100000000000001" customHeight="1" thickBot="1" x14ac:dyDescent="0.35">
      <c r="A16" s="2" t="s">
        <v>10</v>
      </c>
      <c r="C16" s="22" t="s">
        <v>76</v>
      </c>
    </row>
    <row r="17" spans="1:3" ht="20.100000000000001" customHeight="1" thickBot="1" x14ac:dyDescent="0.35">
      <c r="A17" s="2" t="s">
        <v>27</v>
      </c>
      <c r="C17" s="22" t="s">
        <v>77</v>
      </c>
    </row>
    <row r="18" spans="1:3" ht="20.100000000000001" customHeight="1" thickBot="1" x14ac:dyDescent="0.35">
      <c r="A18" s="2" t="s">
        <v>48</v>
      </c>
      <c r="C18" s="22" t="s">
        <v>78</v>
      </c>
    </row>
    <row r="19" spans="1:3" ht="20.100000000000001" customHeight="1" thickBot="1" x14ac:dyDescent="0.35">
      <c r="A19" s="2" t="s">
        <v>49</v>
      </c>
      <c r="C19" s="22" t="s">
        <v>79</v>
      </c>
    </row>
    <row r="20" spans="1:3" ht="20.100000000000001" customHeight="1" thickBot="1" x14ac:dyDescent="0.35">
      <c r="A20" s="2" t="s">
        <v>50</v>
      </c>
      <c r="C20" s="22" t="s">
        <v>80</v>
      </c>
    </row>
    <row r="21" spans="1:3" ht="20.100000000000001" customHeight="1" thickBot="1" x14ac:dyDescent="0.35">
      <c r="A21" s="2" t="s">
        <v>51</v>
      </c>
      <c r="C21" s="22" t="s">
        <v>81</v>
      </c>
    </row>
    <row r="22" spans="1:3" ht="20.100000000000001" customHeight="1" thickBot="1" x14ac:dyDescent="0.35">
      <c r="A22" s="2" t="s">
        <v>11</v>
      </c>
      <c r="C22" s="22" t="s">
        <v>82</v>
      </c>
    </row>
    <row r="23" spans="1:3" ht="20.100000000000001" customHeight="1" thickBot="1" x14ac:dyDescent="0.35">
      <c r="A23" s="2" t="s">
        <v>12</v>
      </c>
      <c r="C23" s="22" t="s">
        <v>83</v>
      </c>
    </row>
    <row r="24" spans="1:3" ht="20.100000000000001" customHeight="1" thickBot="1" x14ac:dyDescent="0.35">
      <c r="A24" s="2" t="s">
        <v>15</v>
      </c>
      <c r="C24" s="22" t="s">
        <v>84</v>
      </c>
    </row>
    <row r="25" spans="1:3" ht="20.100000000000001" customHeight="1" thickBot="1" x14ac:dyDescent="0.35">
      <c r="A25" s="2" t="s">
        <v>28</v>
      </c>
      <c r="C25" s="22" t="s">
        <v>85</v>
      </c>
    </row>
    <row r="26" spans="1:3" ht="20.100000000000001" customHeight="1" thickBot="1" x14ac:dyDescent="0.35">
      <c r="A26" s="2" t="s">
        <v>29</v>
      </c>
      <c r="C26" s="22" t="s">
        <v>86</v>
      </c>
    </row>
    <row r="27" spans="1:3" ht="20.100000000000001" customHeight="1" thickBot="1" x14ac:dyDescent="0.35">
      <c r="A27" s="2" t="s">
        <v>13</v>
      </c>
      <c r="C27" s="22" t="s">
        <v>87</v>
      </c>
    </row>
    <row r="28" spans="1:3" ht="20.100000000000001" customHeight="1" thickBot="1" x14ac:dyDescent="0.35">
      <c r="A28" s="2" t="s">
        <v>30</v>
      </c>
      <c r="C28" s="22" t="s">
        <v>88</v>
      </c>
    </row>
    <row r="29" spans="1:3" ht="20.100000000000001" customHeight="1" thickBot="1" x14ac:dyDescent="0.35">
      <c r="A29" s="2" t="s">
        <v>31</v>
      </c>
      <c r="C29" s="22" t="s">
        <v>177</v>
      </c>
    </row>
    <row r="30" spans="1:3" ht="20.100000000000001" customHeight="1" thickBot="1" x14ac:dyDescent="0.35">
      <c r="A30" s="2" t="s">
        <v>32</v>
      </c>
      <c r="C30" s="22" t="s">
        <v>178</v>
      </c>
    </row>
    <row r="31" spans="1:3" ht="20.100000000000001" customHeight="1" thickBot="1" x14ac:dyDescent="0.35">
      <c r="A31" s="2" t="s">
        <v>33</v>
      </c>
      <c r="C31" s="22" t="s">
        <v>179</v>
      </c>
    </row>
    <row r="32" spans="1:3" ht="20.100000000000001" customHeight="1" thickBot="1" x14ac:dyDescent="0.35">
      <c r="A32" s="2" t="s">
        <v>16</v>
      </c>
      <c r="C32" s="22"/>
    </row>
    <row r="33" spans="1:9" ht="20.100000000000001" customHeight="1" thickBot="1" x14ac:dyDescent="0.35">
      <c r="A33" s="2" t="s">
        <v>14</v>
      </c>
      <c r="C33" s="22"/>
    </row>
    <row r="34" spans="1:9" ht="20.100000000000001" customHeight="1" thickBot="1" x14ac:dyDescent="0.35">
      <c r="A34" s="2" t="s">
        <v>34</v>
      </c>
      <c r="C34" s="22"/>
    </row>
    <row r="35" spans="1:9" ht="20.100000000000001" customHeight="1" x14ac:dyDescent="0.3">
      <c r="A35" s="21"/>
    </row>
    <row r="36" spans="1:9" s="20" customFormat="1" ht="20.100000000000001" customHeight="1" x14ac:dyDescent="0.3">
      <c r="A36" s="18"/>
      <c r="B36" s="19"/>
      <c r="C36" s="19"/>
      <c r="D36" s="19"/>
      <c r="E36" s="19"/>
      <c r="F36" s="19"/>
      <c r="G36" s="19"/>
      <c r="H36" s="19"/>
      <c r="I36" s="19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6">
        <v>45901</v>
      </c>
    </row>
    <row r="40" spans="1:9" ht="20.100000000000001" customHeight="1" thickBot="1" x14ac:dyDescent="0.35">
      <c r="A40" s="16">
        <v>45902</v>
      </c>
    </row>
    <row r="41" spans="1:9" ht="20.100000000000001" customHeight="1" thickBot="1" x14ac:dyDescent="0.35">
      <c r="A41" s="16">
        <v>45903</v>
      </c>
    </row>
    <row r="42" spans="1:9" ht="20.100000000000001" customHeight="1" thickBot="1" x14ac:dyDescent="0.35">
      <c r="A42" s="16">
        <v>45904</v>
      </c>
    </row>
    <row r="43" spans="1:9" ht="20.100000000000001" customHeight="1" thickBot="1" x14ac:dyDescent="0.35">
      <c r="A43" s="16">
        <v>45905</v>
      </c>
    </row>
    <row r="44" spans="1:9" ht="20.100000000000001" customHeight="1" thickBot="1" x14ac:dyDescent="0.35">
      <c r="A44" s="16">
        <v>45906</v>
      </c>
    </row>
    <row r="45" spans="1:9" ht="20.100000000000001" customHeight="1" thickBot="1" x14ac:dyDescent="0.35">
      <c r="A45" s="16">
        <v>45907</v>
      </c>
    </row>
    <row r="46" spans="1:9" ht="20.100000000000001" customHeight="1" thickBot="1" x14ac:dyDescent="0.35">
      <c r="A46" s="16">
        <v>45908</v>
      </c>
    </row>
    <row r="47" spans="1:9" ht="20.100000000000001" customHeight="1" thickBot="1" x14ac:dyDescent="0.35">
      <c r="A47" s="16">
        <v>45909</v>
      </c>
    </row>
    <row r="48" spans="1:9" ht="20.100000000000001" customHeight="1" thickBot="1" x14ac:dyDescent="0.35">
      <c r="A48" s="16">
        <v>45910</v>
      </c>
    </row>
    <row r="49" spans="1:1" ht="20.100000000000001" customHeight="1" thickBot="1" x14ac:dyDescent="0.35">
      <c r="A49" s="16">
        <v>45911</v>
      </c>
    </row>
    <row r="50" spans="1:1" ht="20.100000000000001" customHeight="1" thickBot="1" x14ac:dyDescent="0.35">
      <c r="A50" s="16">
        <v>45912</v>
      </c>
    </row>
    <row r="51" spans="1:1" ht="20.100000000000001" customHeight="1" thickBot="1" x14ac:dyDescent="0.35">
      <c r="A51" s="16">
        <v>45913</v>
      </c>
    </row>
    <row r="52" spans="1:1" ht="20.100000000000001" customHeight="1" thickBot="1" x14ac:dyDescent="0.35">
      <c r="A52" s="16">
        <v>45914</v>
      </c>
    </row>
    <row r="53" spans="1:1" ht="20.100000000000001" customHeight="1" thickBot="1" x14ac:dyDescent="0.35">
      <c r="A53" s="16">
        <v>45915</v>
      </c>
    </row>
    <row r="54" spans="1:1" ht="20.100000000000001" customHeight="1" thickBot="1" x14ac:dyDescent="0.35">
      <c r="A54" s="16">
        <v>45916</v>
      </c>
    </row>
    <row r="55" spans="1:1" ht="20.100000000000001" customHeight="1" thickBot="1" x14ac:dyDescent="0.35">
      <c r="A55" s="16">
        <v>45917</v>
      </c>
    </row>
    <row r="56" spans="1:1" ht="20.100000000000001" customHeight="1" thickBot="1" x14ac:dyDescent="0.35">
      <c r="A56" s="16">
        <v>45918</v>
      </c>
    </row>
    <row r="57" spans="1:1" ht="20.100000000000001" customHeight="1" thickBot="1" x14ac:dyDescent="0.35">
      <c r="A57" s="16">
        <v>45919</v>
      </c>
    </row>
    <row r="58" spans="1:1" ht="20.100000000000001" customHeight="1" thickBot="1" x14ac:dyDescent="0.35">
      <c r="A58" s="16">
        <v>45920</v>
      </c>
    </row>
    <row r="59" spans="1:1" ht="20.100000000000001" customHeight="1" thickBot="1" x14ac:dyDescent="0.35">
      <c r="A59" s="16">
        <v>45921</v>
      </c>
    </row>
    <row r="60" spans="1:1" ht="20.100000000000001" customHeight="1" thickBot="1" x14ac:dyDescent="0.35">
      <c r="A60" s="16">
        <v>45922</v>
      </c>
    </row>
    <row r="61" spans="1:1" ht="20.100000000000001" customHeight="1" thickBot="1" x14ac:dyDescent="0.35">
      <c r="A61" s="16">
        <v>45923</v>
      </c>
    </row>
    <row r="62" spans="1:1" ht="20.100000000000001" customHeight="1" thickBot="1" x14ac:dyDescent="0.35">
      <c r="A62" s="16">
        <v>45924</v>
      </c>
    </row>
    <row r="63" spans="1:1" ht="20.100000000000001" customHeight="1" thickBot="1" x14ac:dyDescent="0.35">
      <c r="A63" s="16">
        <v>45925</v>
      </c>
    </row>
    <row r="64" spans="1:1" ht="20.100000000000001" customHeight="1" thickBot="1" x14ac:dyDescent="0.35">
      <c r="A64" s="16">
        <v>45926</v>
      </c>
    </row>
    <row r="65" spans="1:1" ht="20.100000000000001" customHeight="1" thickBot="1" x14ac:dyDescent="0.35">
      <c r="A65" s="16">
        <v>45927</v>
      </c>
    </row>
    <row r="66" spans="1:1" ht="20.100000000000001" customHeight="1" thickBot="1" x14ac:dyDescent="0.35">
      <c r="A66" s="16">
        <v>45928</v>
      </c>
    </row>
    <row r="67" spans="1:1" ht="20.100000000000001" customHeight="1" thickBot="1" x14ac:dyDescent="0.35">
      <c r="A67" s="16">
        <v>45929</v>
      </c>
    </row>
    <row r="68" spans="1:1" ht="20.100000000000001" customHeight="1" thickBot="1" x14ac:dyDescent="0.35">
      <c r="A68" s="16">
        <v>45930</v>
      </c>
    </row>
    <row r="69" spans="1:1" ht="20.100000000000001" customHeight="1" thickBot="1" x14ac:dyDescent="0.35">
      <c r="A69" s="16">
        <v>45931</v>
      </c>
    </row>
    <row r="70" spans="1:1" ht="20.100000000000001" customHeight="1" thickBot="1" x14ac:dyDescent="0.35">
      <c r="A70" s="16">
        <v>45932</v>
      </c>
    </row>
    <row r="71" spans="1:1" ht="20.100000000000001" customHeight="1" thickBot="1" x14ac:dyDescent="0.35">
      <c r="A71" s="16">
        <v>45933</v>
      </c>
    </row>
    <row r="72" spans="1:1" ht="20.100000000000001" customHeight="1" thickBot="1" x14ac:dyDescent="0.35">
      <c r="A72" s="16">
        <v>45934</v>
      </c>
    </row>
    <row r="73" spans="1:1" ht="20.100000000000001" customHeight="1" thickBot="1" x14ac:dyDescent="0.35">
      <c r="A73" s="16">
        <v>45935</v>
      </c>
    </row>
    <row r="74" spans="1:1" ht="20.100000000000001" customHeight="1" thickBot="1" x14ac:dyDescent="0.35">
      <c r="A74" s="16">
        <v>45936</v>
      </c>
    </row>
    <row r="75" spans="1:1" ht="20.100000000000001" customHeight="1" thickBot="1" x14ac:dyDescent="0.35">
      <c r="A75" s="16">
        <v>45937</v>
      </c>
    </row>
    <row r="76" spans="1:1" ht="20.100000000000001" customHeight="1" thickBot="1" x14ac:dyDescent="0.35">
      <c r="A76" s="16">
        <v>45938</v>
      </c>
    </row>
    <row r="77" spans="1:1" ht="20.100000000000001" customHeight="1" thickBot="1" x14ac:dyDescent="0.35">
      <c r="A77" s="16">
        <v>45939</v>
      </c>
    </row>
    <row r="78" spans="1:1" ht="20.100000000000001" customHeight="1" thickBot="1" x14ac:dyDescent="0.35">
      <c r="A78" s="16">
        <v>45940</v>
      </c>
    </row>
    <row r="79" spans="1:1" ht="20.100000000000001" customHeight="1" thickBot="1" x14ac:dyDescent="0.35">
      <c r="A79" s="16">
        <v>45941</v>
      </c>
    </row>
    <row r="80" spans="1:1" ht="20.100000000000001" customHeight="1" thickBot="1" x14ac:dyDescent="0.35">
      <c r="A80" s="16">
        <v>45942</v>
      </c>
    </row>
    <row r="81" spans="1:1" ht="20.100000000000001" customHeight="1" thickBot="1" x14ac:dyDescent="0.35">
      <c r="A81" s="16">
        <v>45943</v>
      </c>
    </row>
    <row r="82" spans="1:1" ht="20.100000000000001" customHeight="1" thickBot="1" x14ac:dyDescent="0.35">
      <c r="A82" s="16">
        <v>45944</v>
      </c>
    </row>
    <row r="83" spans="1:1" ht="20.100000000000001" customHeight="1" thickBot="1" x14ac:dyDescent="0.35">
      <c r="A83" s="16">
        <v>45945</v>
      </c>
    </row>
    <row r="84" spans="1:1" ht="20.100000000000001" customHeight="1" thickBot="1" x14ac:dyDescent="0.35">
      <c r="A84" s="16">
        <v>45946</v>
      </c>
    </row>
    <row r="85" spans="1:1" ht="20.100000000000001" customHeight="1" thickBot="1" x14ac:dyDescent="0.35">
      <c r="A85" s="16">
        <v>45947</v>
      </c>
    </row>
    <row r="86" spans="1:1" ht="20.100000000000001" customHeight="1" thickBot="1" x14ac:dyDescent="0.35">
      <c r="A86" s="16">
        <v>45948</v>
      </c>
    </row>
    <row r="87" spans="1:1" ht="20.100000000000001" customHeight="1" thickBot="1" x14ac:dyDescent="0.35">
      <c r="A87" s="16">
        <v>45949</v>
      </c>
    </row>
    <row r="88" spans="1:1" ht="20.100000000000001" customHeight="1" thickBot="1" x14ac:dyDescent="0.35">
      <c r="A88" s="16">
        <v>45950</v>
      </c>
    </row>
    <row r="89" spans="1:1" ht="20.100000000000001" customHeight="1" thickBot="1" x14ac:dyDescent="0.35">
      <c r="A89" s="16">
        <v>45951</v>
      </c>
    </row>
    <row r="90" spans="1:1" ht="20.100000000000001" customHeight="1" thickBot="1" x14ac:dyDescent="0.35">
      <c r="A90" s="16">
        <v>45952</v>
      </c>
    </row>
    <row r="91" spans="1:1" ht="20.100000000000001" customHeight="1" thickBot="1" x14ac:dyDescent="0.35">
      <c r="A91" s="16">
        <v>45953</v>
      </c>
    </row>
    <row r="92" spans="1:1" ht="20.100000000000001" customHeight="1" thickBot="1" x14ac:dyDescent="0.35">
      <c r="A92" s="16">
        <v>45954</v>
      </c>
    </row>
    <row r="93" spans="1:1" ht="20.100000000000001" customHeight="1" thickBot="1" x14ac:dyDescent="0.35">
      <c r="A93" s="16">
        <v>45955</v>
      </c>
    </row>
    <row r="94" spans="1:1" ht="20.100000000000001" customHeight="1" thickBot="1" x14ac:dyDescent="0.35">
      <c r="A94" s="16">
        <v>45956</v>
      </c>
    </row>
    <row r="95" spans="1:1" ht="20.100000000000001" customHeight="1" thickBot="1" x14ac:dyDescent="0.35">
      <c r="A95" s="16">
        <v>45957</v>
      </c>
    </row>
    <row r="96" spans="1:1" ht="20.100000000000001" customHeight="1" thickBot="1" x14ac:dyDescent="0.35">
      <c r="A96" s="16">
        <v>45958</v>
      </c>
    </row>
    <row r="97" spans="1:9" ht="20.100000000000001" customHeight="1" thickBot="1" x14ac:dyDescent="0.35">
      <c r="A97" s="16">
        <v>45959</v>
      </c>
    </row>
    <row r="98" spans="1:9" ht="20.100000000000001" customHeight="1" thickBot="1" x14ac:dyDescent="0.35">
      <c r="A98" s="16">
        <v>45960</v>
      </c>
    </row>
    <row r="99" spans="1:9" ht="20.100000000000001" customHeight="1" thickBot="1" x14ac:dyDescent="0.35">
      <c r="A99" s="16">
        <v>45961</v>
      </c>
    </row>
    <row r="100" spans="1:9" ht="20.100000000000001" customHeight="1" thickBot="1" x14ac:dyDescent="0.35">
      <c r="A100" s="16">
        <v>45962</v>
      </c>
    </row>
    <row r="101" spans="1:9" ht="20.100000000000001" customHeight="1" thickBot="1" x14ac:dyDescent="0.35">
      <c r="A101" s="16">
        <v>45963</v>
      </c>
    </row>
    <row r="102" spans="1:9" ht="20.100000000000001" customHeight="1" thickBot="1" x14ac:dyDescent="0.35">
      <c r="A102" s="16">
        <v>45964</v>
      </c>
    </row>
    <row r="103" spans="1:9" ht="20.100000000000001" customHeight="1" thickBot="1" x14ac:dyDescent="0.35">
      <c r="A103" s="16">
        <v>45965</v>
      </c>
    </row>
    <row r="104" spans="1:9" ht="20.100000000000001" customHeight="1" thickBot="1" x14ac:dyDescent="0.35">
      <c r="A104" s="16">
        <v>45966</v>
      </c>
    </row>
    <row r="105" spans="1:9" ht="20.100000000000001" customHeight="1" thickBot="1" x14ac:dyDescent="0.35">
      <c r="A105" s="16">
        <v>45967</v>
      </c>
    </row>
    <row r="106" spans="1:9" ht="20.100000000000001" customHeight="1" thickBot="1" x14ac:dyDescent="0.35">
      <c r="A106" s="16">
        <v>45968</v>
      </c>
    </row>
    <row r="107" spans="1:9" ht="20.100000000000001" customHeight="1" x14ac:dyDescent="0.3">
      <c r="A107" s="17"/>
    </row>
    <row r="108" spans="1:9" ht="20.100000000000001" customHeight="1" x14ac:dyDescent="0.3">
      <c r="A108" s="17"/>
    </row>
    <row r="109" spans="1:9" s="20" customFormat="1" ht="20.100000000000001" customHeight="1" x14ac:dyDescent="0.3">
      <c r="A109" s="18"/>
      <c r="B109" s="19"/>
      <c r="C109" s="19"/>
      <c r="D109" s="19"/>
      <c r="E109" s="19"/>
      <c r="F109" s="19"/>
      <c r="G109" s="19"/>
      <c r="H109" s="19"/>
      <c r="I109" s="19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3" t="s">
        <v>89</v>
      </c>
    </row>
    <row r="200" spans="1:1" ht="20.100000000000001" customHeight="1" x14ac:dyDescent="0.3">
      <c r="A200" s="23" t="s">
        <v>90</v>
      </c>
    </row>
    <row r="201" spans="1:1" ht="20.100000000000001" customHeight="1" x14ac:dyDescent="0.3">
      <c r="A201" s="23" t="s">
        <v>91</v>
      </c>
    </row>
    <row r="202" spans="1:1" ht="20.100000000000001" customHeight="1" x14ac:dyDescent="0.3">
      <c r="A202" s="23" t="s">
        <v>92</v>
      </c>
    </row>
    <row r="203" spans="1:1" ht="20.100000000000001" customHeight="1" x14ac:dyDescent="0.3">
      <c r="A203" s="23" t="s">
        <v>93</v>
      </c>
    </row>
    <row r="204" spans="1:1" ht="20.100000000000001" customHeight="1" x14ac:dyDescent="0.3">
      <c r="A204" s="23" t="s">
        <v>94</v>
      </c>
    </row>
    <row r="205" spans="1:1" ht="20.100000000000001" customHeight="1" x14ac:dyDescent="0.3">
      <c r="A205" s="23" t="s">
        <v>95</v>
      </c>
    </row>
    <row r="206" spans="1:1" ht="20.100000000000001" customHeight="1" x14ac:dyDescent="0.3">
      <c r="A206" s="23" t="s">
        <v>96</v>
      </c>
    </row>
    <row r="207" spans="1:1" ht="20.100000000000001" customHeight="1" x14ac:dyDescent="0.3">
      <c r="A207" s="23" t="s">
        <v>97</v>
      </c>
    </row>
    <row r="208" spans="1:1" ht="20.100000000000001" customHeight="1" x14ac:dyDescent="0.3">
      <c r="A208" s="24" t="s">
        <v>98</v>
      </c>
    </row>
    <row r="209" spans="1:1" ht="20.100000000000001" customHeight="1" x14ac:dyDescent="0.3">
      <c r="A209" s="24" t="s">
        <v>99</v>
      </c>
    </row>
    <row r="210" spans="1:1" ht="20.100000000000001" customHeight="1" x14ac:dyDescent="0.3">
      <c r="A210" s="23" t="s">
        <v>100</v>
      </c>
    </row>
    <row r="211" spans="1:1" ht="20.100000000000001" customHeight="1" x14ac:dyDescent="0.3">
      <c r="A211" s="23" t="s">
        <v>101</v>
      </c>
    </row>
    <row r="212" spans="1:1" ht="20.100000000000001" customHeight="1" x14ac:dyDescent="0.3">
      <c r="A212" s="23" t="s">
        <v>175</v>
      </c>
    </row>
    <row r="213" spans="1:1" ht="20.100000000000001" customHeight="1" x14ac:dyDescent="0.3">
      <c r="A213" s="23" t="s">
        <v>102</v>
      </c>
    </row>
    <row r="214" spans="1:1" ht="20.100000000000001" customHeight="1" x14ac:dyDescent="0.3">
      <c r="A214" s="23" t="s">
        <v>103</v>
      </c>
    </row>
    <row r="215" spans="1:1" ht="20.100000000000001" customHeight="1" x14ac:dyDescent="0.3">
      <c r="A215" s="23" t="s">
        <v>104</v>
      </c>
    </row>
    <row r="216" spans="1:1" ht="20.100000000000001" customHeight="1" x14ac:dyDescent="0.3">
      <c r="A216" s="23" t="s">
        <v>105</v>
      </c>
    </row>
    <row r="217" spans="1:1" ht="20.100000000000001" customHeight="1" x14ac:dyDescent="0.3">
      <c r="A217" s="23" t="s">
        <v>106</v>
      </c>
    </row>
    <row r="218" spans="1:1" ht="20.100000000000001" customHeight="1" x14ac:dyDescent="0.3">
      <c r="A218" s="23" t="s">
        <v>107</v>
      </c>
    </row>
    <row r="219" spans="1:1" ht="20.100000000000001" customHeight="1" x14ac:dyDescent="0.3">
      <c r="A219" s="23" t="s">
        <v>108</v>
      </c>
    </row>
    <row r="220" spans="1:1" ht="20.100000000000001" customHeight="1" x14ac:dyDescent="0.3">
      <c r="A220" s="23" t="s">
        <v>109</v>
      </c>
    </row>
    <row r="221" spans="1:1" ht="20.100000000000001" customHeight="1" x14ac:dyDescent="0.3">
      <c r="A221" s="23" t="s">
        <v>110</v>
      </c>
    </row>
    <row r="222" spans="1:1" ht="20.100000000000001" customHeight="1" x14ac:dyDescent="0.3">
      <c r="A222" s="23" t="s">
        <v>111</v>
      </c>
    </row>
    <row r="223" spans="1:1" ht="20.100000000000001" customHeight="1" x14ac:dyDescent="0.3">
      <c r="A223" s="23" t="s">
        <v>112</v>
      </c>
    </row>
    <row r="224" spans="1:1" ht="20.100000000000001" customHeight="1" x14ac:dyDescent="0.3">
      <c r="A224" s="23" t="s">
        <v>176</v>
      </c>
    </row>
    <row r="225" spans="1:1" ht="20.100000000000001" customHeight="1" x14ac:dyDescent="0.3">
      <c r="A225" s="23" t="s">
        <v>113</v>
      </c>
    </row>
    <row r="226" spans="1:1" ht="20.100000000000001" customHeight="1" x14ac:dyDescent="0.3">
      <c r="A226" s="23" t="s">
        <v>114</v>
      </c>
    </row>
    <row r="227" spans="1:1" ht="20.100000000000001" customHeight="1" x14ac:dyDescent="0.3">
      <c r="A227" s="23" t="s">
        <v>115</v>
      </c>
    </row>
    <row r="228" spans="1:1" ht="20.100000000000001" customHeight="1" x14ac:dyDescent="0.3">
      <c r="A228" s="23" t="s">
        <v>116</v>
      </c>
    </row>
    <row r="229" spans="1:1" ht="20.100000000000001" customHeight="1" x14ac:dyDescent="0.3">
      <c r="A229" s="23" t="s">
        <v>117</v>
      </c>
    </row>
    <row r="230" spans="1:1" ht="20.100000000000001" customHeight="1" x14ac:dyDescent="0.3">
      <c r="A230" s="23" t="s">
        <v>118</v>
      </c>
    </row>
    <row r="231" spans="1:1" ht="20.100000000000001" customHeight="1" x14ac:dyDescent="0.3">
      <c r="A231" s="23" t="s">
        <v>119</v>
      </c>
    </row>
    <row r="232" spans="1:1" ht="20.100000000000001" customHeight="1" x14ac:dyDescent="0.3">
      <c r="A232" s="23" t="s">
        <v>120</v>
      </c>
    </row>
    <row r="233" spans="1:1" ht="20.100000000000001" customHeight="1" x14ac:dyDescent="0.3">
      <c r="A233" s="23" t="s">
        <v>121</v>
      </c>
    </row>
    <row r="234" spans="1:1" ht="20.100000000000001" customHeight="1" x14ac:dyDescent="0.3">
      <c r="A234" s="23" t="s">
        <v>122</v>
      </c>
    </row>
    <row r="235" spans="1:1" ht="20.100000000000001" customHeight="1" x14ac:dyDescent="0.3">
      <c r="A235" s="23" t="s">
        <v>123</v>
      </c>
    </row>
    <row r="236" spans="1:1" ht="20.100000000000001" customHeight="1" x14ac:dyDescent="0.3">
      <c r="A236" s="25" t="s">
        <v>124</v>
      </c>
    </row>
    <row r="237" spans="1:1" ht="20.100000000000001" customHeight="1" x14ac:dyDescent="0.3">
      <c r="A237" s="23" t="s">
        <v>125</v>
      </c>
    </row>
    <row r="238" spans="1:1" ht="20.100000000000001" customHeight="1" x14ac:dyDescent="0.3">
      <c r="A238" s="23" t="s">
        <v>126</v>
      </c>
    </row>
    <row r="239" spans="1:1" ht="20.100000000000001" customHeight="1" x14ac:dyDescent="0.3">
      <c r="A239" s="23" t="s">
        <v>127</v>
      </c>
    </row>
    <row r="240" spans="1:1" ht="20.100000000000001" customHeight="1" x14ac:dyDescent="0.3">
      <c r="A240" s="23" t="s">
        <v>128</v>
      </c>
    </row>
    <row r="241" spans="1:1" ht="20.100000000000001" customHeight="1" x14ac:dyDescent="0.3">
      <c r="A241" s="23" t="s">
        <v>129</v>
      </c>
    </row>
    <row r="242" spans="1:1" ht="20.100000000000001" customHeight="1" x14ac:dyDescent="0.3">
      <c r="A242" s="23" t="s">
        <v>130</v>
      </c>
    </row>
    <row r="243" spans="1:1" ht="20.100000000000001" customHeight="1" x14ac:dyDescent="0.3">
      <c r="A243" s="23" t="s">
        <v>131</v>
      </c>
    </row>
    <row r="244" spans="1:1" ht="20.100000000000001" customHeight="1" x14ac:dyDescent="0.3">
      <c r="A244" s="23" t="s">
        <v>132</v>
      </c>
    </row>
    <row r="245" spans="1:1" ht="20.100000000000001" customHeight="1" x14ac:dyDescent="0.3">
      <c r="A245" s="23" t="s">
        <v>133</v>
      </c>
    </row>
    <row r="246" spans="1:1" ht="20.100000000000001" customHeight="1" x14ac:dyDescent="0.3">
      <c r="A246" s="23" t="s">
        <v>134</v>
      </c>
    </row>
    <row r="247" spans="1:1" ht="20.100000000000001" customHeight="1" x14ac:dyDescent="0.3">
      <c r="A247" s="23" t="s">
        <v>135</v>
      </c>
    </row>
    <row r="248" spans="1:1" ht="20.100000000000001" customHeight="1" x14ac:dyDescent="0.3">
      <c r="A248" s="23" t="s">
        <v>126</v>
      </c>
    </row>
    <row r="249" spans="1:1" ht="20.100000000000001" customHeight="1" x14ac:dyDescent="0.3">
      <c r="A249" s="23" t="s">
        <v>136</v>
      </c>
    </row>
    <row r="250" spans="1:1" ht="20.100000000000001" customHeight="1" x14ac:dyDescent="0.3">
      <c r="A250" s="23" t="s">
        <v>137</v>
      </c>
    </row>
    <row r="251" spans="1:1" ht="20.100000000000001" customHeight="1" x14ac:dyDescent="0.3">
      <c r="A251" s="25" t="s">
        <v>138</v>
      </c>
    </row>
    <row r="252" spans="1:1" ht="20.100000000000001" customHeight="1" x14ac:dyDescent="0.3">
      <c r="A252" s="26" t="s">
        <v>139</v>
      </c>
    </row>
    <row r="253" spans="1:1" ht="20.100000000000001" customHeight="1" x14ac:dyDescent="0.3">
      <c r="A253" s="23" t="s">
        <v>140</v>
      </c>
    </row>
    <row r="254" spans="1:1" ht="20.100000000000001" customHeight="1" x14ac:dyDescent="0.3">
      <c r="A254" s="23" t="s">
        <v>141</v>
      </c>
    </row>
    <row r="255" spans="1:1" ht="20.100000000000001" customHeight="1" x14ac:dyDescent="0.3">
      <c r="A255" s="27" t="s">
        <v>142</v>
      </c>
    </row>
    <row r="256" spans="1:1" ht="20.100000000000001" customHeight="1" x14ac:dyDescent="0.3">
      <c r="A256" s="27" t="s">
        <v>143</v>
      </c>
    </row>
    <row r="257" spans="1:1" ht="20.100000000000001" customHeight="1" x14ac:dyDescent="0.3">
      <c r="A257" s="28" t="s">
        <v>144</v>
      </c>
    </row>
    <row r="258" spans="1:1" ht="20.100000000000001" customHeight="1" x14ac:dyDescent="0.3">
      <c r="A258" s="23" t="s">
        <v>145</v>
      </c>
    </row>
    <row r="259" spans="1:1" ht="20.100000000000001" customHeight="1" x14ac:dyDescent="0.3">
      <c r="A259" s="28" t="s">
        <v>146</v>
      </c>
    </row>
    <row r="260" spans="1:1" ht="20.100000000000001" customHeight="1" x14ac:dyDescent="0.3">
      <c r="A260" s="23" t="s">
        <v>147</v>
      </c>
    </row>
    <row r="261" spans="1:1" ht="20.100000000000001" customHeight="1" x14ac:dyDescent="0.3">
      <c r="A261" s="28" t="s">
        <v>148</v>
      </c>
    </row>
    <row r="262" spans="1:1" ht="20.100000000000001" customHeight="1" x14ac:dyDescent="0.3">
      <c r="A262" s="23" t="s">
        <v>149</v>
      </c>
    </row>
    <row r="263" spans="1:1" ht="20.100000000000001" customHeight="1" x14ac:dyDescent="0.3">
      <c r="A263" s="23" t="s">
        <v>150</v>
      </c>
    </row>
    <row r="264" spans="1:1" ht="20.100000000000001" customHeight="1" x14ac:dyDescent="0.3">
      <c r="A264" s="28" t="s">
        <v>151</v>
      </c>
    </row>
    <row r="265" spans="1:1" ht="20.100000000000001" customHeight="1" x14ac:dyDescent="0.3">
      <c r="A265" s="28" t="s">
        <v>152</v>
      </c>
    </row>
    <row r="266" spans="1:1" ht="20.100000000000001" customHeight="1" x14ac:dyDescent="0.3">
      <c r="A266" s="28" t="s">
        <v>153</v>
      </c>
    </row>
    <row r="267" spans="1:1" ht="20.100000000000001" customHeight="1" x14ac:dyDescent="0.3">
      <c r="A267" s="23" t="s">
        <v>154</v>
      </c>
    </row>
    <row r="268" spans="1:1" ht="20.100000000000001" customHeight="1" x14ac:dyDescent="0.3">
      <c r="A268" s="23" t="s">
        <v>155</v>
      </c>
    </row>
    <row r="269" spans="1:1" ht="20.100000000000001" customHeight="1" x14ac:dyDescent="0.3">
      <c r="A269" s="23" t="s">
        <v>156</v>
      </c>
    </row>
    <row r="270" spans="1:1" ht="20.100000000000001" customHeight="1" x14ac:dyDescent="0.3">
      <c r="A270" s="23" t="s">
        <v>157</v>
      </c>
    </row>
    <row r="271" spans="1:1" ht="20.100000000000001" customHeight="1" x14ac:dyDescent="0.3">
      <c r="A271" s="28" t="s">
        <v>158</v>
      </c>
    </row>
    <row r="272" spans="1:1" ht="20.100000000000001" customHeight="1" x14ac:dyDescent="0.3">
      <c r="A272" s="28" t="s">
        <v>159</v>
      </c>
    </row>
    <row r="273" spans="1:1" ht="20.100000000000001" customHeight="1" x14ac:dyDescent="0.3">
      <c r="A273" s="23" t="s">
        <v>160</v>
      </c>
    </row>
    <row r="274" spans="1:1" ht="20.100000000000001" customHeight="1" x14ac:dyDescent="0.3">
      <c r="A274" s="28" t="s">
        <v>161</v>
      </c>
    </row>
    <row r="275" spans="1:1" ht="20.100000000000001" customHeight="1" x14ac:dyDescent="0.3">
      <c r="A275" s="28" t="s">
        <v>162</v>
      </c>
    </row>
    <row r="276" spans="1:1" ht="20.100000000000001" customHeight="1" x14ac:dyDescent="0.3">
      <c r="A276" s="23" t="s">
        <v>163</v>
      </c>
    </row>
    <row r="277" spans="1:1" ht="20.100000000000001" customHeight="1" x14ac:dyDescent="0.3">
      <c r="A277" s="23" t="s">
        <v>164</v>
      </c>
    </row>
    <row r="278" spans="1:1" ht="20.100000000000001" customHeight="1" x14ac:dyDescent="0.3">
      <c r="A278" s="28" t="s">
        <v>165</v>
      </c>
    </row>
    <row r="279" spans="1:1" ht="20.100000000000001" customHeight="1" x14ac:dyDescent="0.3">
      <c r="A279" s="23" t="s">
        <v>166</v>
      </c>
    </row>
    <row r="280" spans="1:1" ht="20.100000000000001" customHeight="1" x14ac:dyDescent="0.3">
      <c r="A280" s="23" t="s">
        <v>167</v>
      </c>
    </row>
    <row r="281" spans="1:1" ht="20.100000000000001" customHeight="1" x14ac:dyDescent="0.3">
      <c r="A281" s="23" t="s">
        <v>168</v>
      </c>
    </row>
    <row r="282" spans="1:1" ht="20.100000000000001" customHeight="1" x14ac:dyDescent="0.3">
      <c r="A282" s="23" t="s">
        <v>169</v>
      </c>
    </row>
    <row r="283" spans="1:1" ht="20.100000000000001" customHeight="1" x14ac:dyDescent="0.3">
      <c r="A283" s="28" t="s">
        <v>170</v>
      </c>
    </row>
    <row r="284" spans="1:1" ht="20.100000000000001" customHeight="1" x14ac:dyDescent="0.3">
      <c r="A284" s="28" t="s">
        <v>171</v>
      </c>
    </row>
    <row r="285" spans="1:1" ht="20.100000000000001" customHeight="1" x14ac:dyDescent="0.3">
      <c r="A285" s="28" t="s">
        <v>172</v>
      </c>
    </row>
    <row r="286" spans="1:1" ht="20.100000000000001" customHeight="1" thickBot="1" x14ac:dyDescent="0.35">
      <c r="A286" s="23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2025-10-08T18:53:51Z</dcterms:modified>
</cp:coreProperties>
</file>