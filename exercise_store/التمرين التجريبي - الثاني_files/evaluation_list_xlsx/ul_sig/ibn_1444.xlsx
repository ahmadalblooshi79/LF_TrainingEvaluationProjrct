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DF9D4A3-A6E6-4EF8-B21C-D7BEEC2DA7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 s="1"/>
  <c r="G34" i="2"/>
  <c r="H34" i="2" s="1"/>
  <c r="G35" i="2"/>
  <c r="H35" i="2" s="1"/>
  <c r="G36" i="2"/>
  <c r="H36" i="2" s="1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 s="1"/>
  <c r="G58" i="2"/>
  <c r="H58" i="2" s="1"/>
  <c r="F59" i="2"/>
  <c r="E59" i="2"/>
  <c r="E60" i="2" l="1"/>
  <c r="E61" i="2" s="1"/>
</calcChain>
</file>

<file path=xl/sharedStrings.xml><?xml version="1.0" encoding="utf-8"?>
<sst xmlns="http://schemas.openxmlformats.org/spreadsheetml/2006/main" count="294" uniqueCount="232">
  <si>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</si>
  <si>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</si>
  <si>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</si>
  <si>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</si>
  <si>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</si>
  <si>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</si>
  <si>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</si>
  <si>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</si>
  <si>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</si>
  <si>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</si>
  <si>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</si>
  <si>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</si>
  <si>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</si>
  <si>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</si>
  <si>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</si>
  <si>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</si>
  <si>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</si>
  <si>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</si>
  <si>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</si>
  <si>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</si>
  <si>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</si>
  <si>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</si>
  <si>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</si>
  <si>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</si>
  <si>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</si>
  <si>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</si>
  <si>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</si>
  <si>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</si>
  <si>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</si>
  <si>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</si>
  <si>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</si>
  <si>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</si>
  <si>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</si>
  <si>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</si>
  <si>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</si>
  <si>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</si>
  <si>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</si>
  <si>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</si>
  <si>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</si>
  <si>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</si>
  <si>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</si>
  <si>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</si>
  <si>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</si>
  <si>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</si>
  <si>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</si>
  <si>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</si>
  <si>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</si>
  <si>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</si>
  <si>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</si>
  <si>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</si>
  <si>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</si>
  <si>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</si>
  <si>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</si>
  <si>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</si>
  <si>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</si>
  <si>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</si>
  <si>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</si>
  <si>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</si>
  <si>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</si>
  <si>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</si>
  <si>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</si>
  <si>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</si>
  <si>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</si>
  <si>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</si>
  <si>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</si>
  <si>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</si>
  <si>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</si>
  <si>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</si>
  <si>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</si>
  <si>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</si>
  <si>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</si>
  <si>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</si>
  <si>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</si>
  <si>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</si>
  <si>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</si>
  <si>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</si>
  <si>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</si>
  <si>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</si>
  <si>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</si>
  <si>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</si>
  <si>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</si>
  <si>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</si>
  <si>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</si>
  <si>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</si>
  <si>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</si>
  <si>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</si>
  <si>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</si>
  <si>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</si>
  <si>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</si>
  <si>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</si>
  <si>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</si>
  <si>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</si>
  <si>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</si>
  <si>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</si>
  <si>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</si>
  <si>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</si>
  <si>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</si>
  <si>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</si>
  <si>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</si>
  <si>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</si>
  <si>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</si>
  <si>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</si>
  <si>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</si>
  <si>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</si>
  <si>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</si>
  <si>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</si>
  <si>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</si>
  <si>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</si>
  <si>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</si>
  <si>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</si>
  <si>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</si>
  <si>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</si>
  <si>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</si>
  <si>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</si>
  <si>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</si>
  <si>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</si>
  <si>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</si>
  <si>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</si>
  <si>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</si>
  <si>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</si>
  <si>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</si>
  <si>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</si>
  <si>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</si>
  <si>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</si>
  <si>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</si>
  <si>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</si>
  <si>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</si>
  <si>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</si>
  <si>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</si>
  <si>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</si>
  <si>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</si>
  <si>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</si>
  <si>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</si>
  <si>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</si>
  <si>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</si>
  <si>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</si>
  <si>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</si>
  <si>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</si>
  <si>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</si>
  <si>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</si>
  <si>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</si>
  <si>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</si>
  <si>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</si>
  <si>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</si>
  <si>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</si>
  <si>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</si>
  <si>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</si>
  <si>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</si>
  <si>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</si>
  <si>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</si>
  <si>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</si>
  <si>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</si>
  <si>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</si>
  <si>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</si>
  <si>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</si>
  <si>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</si>
  <si>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</si>
  <si>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</si>
  <si>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</si>
  <si>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</si>
  <si>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</si>
  <si>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</si>
  <si>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</si>
  <si>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</si>
  <si>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</si>
  <si>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</si>
  <si>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</si>
  <si>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</si>
  <si>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</si>
  <si>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</si>
  <si>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</si>
  <si>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</si>
  <si>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</si>
  <si>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</si>
  <si>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</si>
  <si>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</si>
  <si>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</si>
  <si>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</si>
  <si>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</si>
  <si>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</si>
  <si>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تفتيش جاهزية الآليات (ب) لسرية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
</t>
    </r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</si>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</sst>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Arial"/>
      <family val="2"/>
    </font>
    <font>
      <sz val="12"/>
      <color theme="1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9" fillId="0" borderId="21" xfId="0" applyFont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9" fillId="0" borderId="11" xfId="0" applyFont="1" applyBorder="1" applyAlignment="1">
      <alignment horizontal="right" vertical="center" wrapText="1" readingOrder="2"/>
    </xf>
    <xf numFmtId="0" fontId="19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103034</xdr:colOff>
      <xdr:row>62</xdr:row>
      <xdr:rowOff>157068</xdr:rowOff>
    </xdr:from>
    <xdr:to>
      <xdr:col>6</xdr:col>
      <xdr:colOff>208154</xdr:colOff>
      <xdr:row>62</xdr:row>
      <xdr:rowOff>422388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A5E4375-D263-3F87-84C2-4F1AEC683D19}"/>
                </a:ext>
              </a:extLst>
            </xdr14:cNvPr>
            <xdr14:cNvContentPartPr/>
          </xdr14:nvContentPartPr>
          <xdr14:nvPr macro=""/>
          <xdr14:xfrm>
            <a:off x="10400352936" y="24437160"/>
            <a:ext cx="105120" cy="265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A5E4375-D263-3F87-84C2-4F1AEC683D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346816" y="24431040"/>
              <a:ext cx="11736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143714</xdr:colOff>
      <xdr:row>62</xdr:row>
      <xdr:rowOff>42948</xdr:rowOff>
    </xdr:from>
    <xdr:to>
      <xdr:col>6</xdr:col>
      <xdr:colOff>196994</xdr:colOff>
      <xdr:row>62</xdr:row>
      <xdr:rowOff>149868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1A5B12A-8883-EE06-E631-220E24A05330}"/>
                </a:ext>
              </a:extLst>
            </xdr14:cNvPr>
            <xdr14:cNvContentPartPr/>
          </xdr14:nvContentPartPr>
          <xdr14:nvPr macro=""/>
          <xdr14:xfrm>
            <a:off x="10400364096" y="24323040"/>
            <a:ext cx="53280" cy="106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1A5B12A-8883-EE06-E631-220E24A0533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357976" y="24316920"/>
              <a:ext cx="6552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138674</xdr:colOff>
      <xdr:row>62</xdr:row>
      <xdr:rowOff>273708</xdr:rowOff>
    </xdr:from>
    <xdr:to>
      <xdr:col>6</xdr:col>
      <xdr:colOff>637934</xdr:colOff>
      <xdr:row>62</xdr:row>
      <xdr:rowOff>490068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7D2E499-D718-3D06-ED42-470993340A5C}"/>
                </a:ext>
              </a:extLst>
            </xdr14:cNvPr>
            <xdr14:cNvContentPartPr/>
          </xdr14:nvContentPartPr>
          <xdr14:nvPr macro=""/>
          <xdr14:xfrm>
            <a:off x="10399915536" y="24553800"/>
            <a:ext cx="506880" cy="216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7D2E499-D718-3D06-ED42-470993340A5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909416" y="24547680"/>
              <a:ext cx="51912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152344</xdr:colOff>
      <xdr:row>62</xdr:row>
      <xdr:rowOff>316188</xdr:rowOff>
    </xdr:from>
    <xdr:to>
      <xdr:col>7</xdr:col>
      <xdr:colOff>221104</xdr:colOff>
      <xdr:row>62</xdr:row>
      <xdr:rowOff>495828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1494AB5-D92A-AD84-0332-906156375C71}"/>
                </a:ext>
              </a:extLst>
            </xdr14:cNvPr>
            <xdr14:cNvContentPartPr/>
          </xdr14:nvContentPartPr>
          <xdr14:nvPr macro=""/>
          <xdr14:xfrm>
            <a:off x="10399681896" y="24596280"/>
            <a:ext cx="68760" cy="179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1494AB5-D92A-AD84-0332-906156375C7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675776" y="24590160"/>
              <a:ext cx="8100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17354</xdr:colOff>
      <xdr:row>62</xdr:row>
      <xdr:rowOff>57348</xdr:rowOff>
    </xdr:from>
    <xdr:to>
      <xdr:col>8</xdr:col>
      <xdr:colOff>104453</xdr:colOff>
      <xdr:row>62</xdr:row>
      <xdr:rowOff>473148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DAF334F-E85F-A1B7-932D-1769A6E78EFC}"/>
                </a:ext>
              </a:extLst>
            </xdr14:cNvPr>
            <xdr14:cNvContentPartPr/>
          </xdr14:nvContentPartPr>
          <xdr14:nvPr macro=""/>
          <xdr14:xfrm>
            <a:off x="10399140456" y="24337440"/>
            <a:ext cx="1403280" cy="4158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DAF334F-E85F-A1B7-932D-1769A6E78EF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134336" y="24331320"/>
              <a:ext cx="1415520" cy="428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6:41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4945,'0'0'0,"0"-1"744,0-1-344,0 2-400,0-1 568,5-1 352,-5 1 344,0 1 305,0 0-1569,0-1 1552,0 1-168,0-2-223,2 2-241,-2 0-920,0-1 888,0 1-120,5-2-96,-5 1-40,0 1-632,0 0 473,0 0-57,5 0-64,0 0-48,-5 0-304,2 0 264,10 3-16,-7 0 32,10 8-64,-15-11-216,4 4 216,11 12-8,-1-1-80,1 4 32,-15-19-160,16 21 144,4 5-32,-1 4-40,5 1 32,-24-31-104,22 33 104,-1-2-40,-6 0-24,2 3-40,-17-34 0,14 34 40,-9 3-24,4 2 64,-9 1-136,0-40 56,0 39-64,0 0-72,3-2-152,-1-3-272,-2-34 560,0 31-1040,0-4-545,0-3-1159,0-2-1065,0-22 3809,0 12-3841,0 1-2384,0-13 6225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6:42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42 2432,'0'0'0,"5"-3"1960,-5 3-1960,4-1 1161,8-2-833,-12 0-72,0 0-72,0 3-184,0-1 120,0-2 120,5 0 104,-5 0 120,0 3-464,0-2 560,0-1 8,0 1-64,0-1-87,0 3-417,0-1 360,-2 0-88,-1-1-8,1 1 8,2 1-272,-12-2 248,7 1 8,0 1 8,3 0-72,2 0-192,-7 0 184,2 3-40,0 0-48,0 1 40,5-4-136,-4 13 112,-4-11-24,4 10-8,-1-9-24,5-3-56,-3 14 40,-1-10 8,4 10-8,0-9-8,0-5-32,0 14 72,0-10-24,4 9 8,-1-9 8,-3-4-64,17 4 8,-13 9 64,8-10-40,-9 0-32,-3-3 0,17 3 8,-5 0-16,2-1 24,-11 1 8,-3-3-24,12 0-32,-8 0-8,8 0-24,-12-1 24,0 1 40,3-2 0,-1 1 0,-2 0 24,0-1-48,0 2 24,0 0 0,-5 0-64,-9 0 0,2 3 56,12-3 8,-12 4 8,-3 8 24,-1-8-16,-1 10 0,17-14-16,-15 12-16,3 0 32,8 0-16,-11 0-32,15-12 32,-5 12-24,5 1-32,-5-1-232,5 1-1128,0-13 1416,0 5-1745,13 7-1671,-11-7-1161,-2-5 4577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6:43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1345 37 5881,'0'0'0,"0"-3"288,0-2 112,0 0 208,0 5-608,0-6 1000,0 2 361,0 0 63,-2 1-8,2 3-1416,-3-2 1192,-2-1-199,5 2-153,-7 1-232,7 0-608,-5 0 544,1 0-56,-4 0-112,-4 4 32,12-4-408,-2 5 320,-8 9-128,3-11 24,-2 9-72,9-12-144,-5 5 137,0 7-81,-2-7 0,4 6 0,3-11-56,-5 4-8,5 9 56,-2-9 8,2 9-56,0-13 0,0 3-24,0 1 16,0 8 8,2-9-64,-2-3 64,5 2 64,-5 3 40,5-1-136,0-1-40,-5-3 72,12 4-72,-10-1-8,13 0 0,-10-3 40,-5 0 40,16 0-225,-4 0-159,3 0-104,-1 0-48,-14 0 536,17 0-552,-5 0 88,-9-2 176,11 1 104,-14 1 184,5-2-48,-3 1 0,1 0 16,-3 1-48,0 0 80,0 0 32,0 2 144,-8 3 8,-4 6 40,12-11-224,-12 4 312,-4 11 40,-1-11 72,-7 14 24,24-18-448,-22 14 432,0 1-48,-2-1-55,7-1-17,17-13-312,-19 13 184,2-2-56,5-7-48,-2 10 24,14-14-104,-5 3 96,-9 1-8,9 1 24,0-2-40,5-3-72,-12 0 104,12 0-80,-5 0 0,3 0 24,2 0-48,-5-3-48,3-2 96,-1-6-32,1 7-56,2 4 40,-3-6-96,3-7-128,-2 9-176,2-9-128,0 13 528,0-4-585,0-7-7,0 9 120,-2-1 56,2 3 416,0-2-320,-5 0 72,0 2 56,-12 3 160,17-3 32,-12 11-8,-2-6 48,-3 10 32,0-3-104,17-12 32,-19 11 40,4 0-8,-2-6-16,1 9 64,16-14-80,-12 4 16,-5 9 136,10-9-120,-8 8 136,15-12-168,-7 2 40,-5 3-160,9-1 160,-11 0-120,14-4 80,-5 3 32,-9 0 0,11-3-56,-4 0 16,7 0 8,-9 0-8,4 0-40,0-2 0,0-2-128,5 4 176,-5-4-360,-2-7-128,-5 8-88,7-3 8,5 6 568,-5-6-473,-9 2 177,9 0 88,-9 2 88,14 2 120,-17 0-16,0 0-8,3 5 72,-8 6 48,22-11-96,-22 4 176,3 9 80,-3-9 56,1 12 33,21-16-345,-19 4 224,-1 13 0,6-12-40,-1 9-64,11-10 48,4-4-168,-12 4 88,7 8-16,-7-9 24,7-1 8,5-2-104,-5 3 96,0-3-40,1 0 0,4 0-56,-3 0 0,-2 0-24,1 0 16,1-1-72,-2-2-16,5 3 96,-4-4-200,1-8-184,-2 9-256,0-2-329,5 5 969,-12-12-1280,10 10-96,-3-3 152,5 5 1224,-5-4-881,3 3 401,-17 1 312,7 0 256,-5 2 168,17-2-256,-22 13 592,3-8 297,-5 13 231,-5-5 48,29-13-1168,-24 14 984,-2 0-200,2 0-287,2 1-73,22-15-424,-22 14 240,8 0-88,-5-3-32,19-11-120,-15 12 32,3-8 16,-2 10-72,2-9 56,7-1-40,5-4 8,-17 11-48,15-11-72,-6 3-376,4 0-1801,4-3 2297,-12 0-2488,12 0-753,-12 0-1944,12 0 5185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6:43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42 7537,'0'0'0,"0"-3"1560,0 1 313,-2-3-233,2 5-1640,-3-4 1400,1 0-247,-3-2-137,5 2-136,0 4-880,-2-4 816,-3-1-160,3 4-191,-1-1-153,3 2-312,0-1 200,0 1-80,0 0 32,0 4 8,0-4-160,0 12 88,0-8 80,3 12-112,4-1 72,-7-15-128,2 17 104,10 3-80,-7 1 88,12 5-112,-17-26 0,12 27 0,-10 3 0,17 0-32,-7 1-32,-12-31 64,17 33-184,-5-1-352,0 1-552,0 1-721,-12-34 1809,15 31-3089,-3-1-183,2-4 607,-9 0-3040,-5-26 5705,0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6:45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967 721 11802,'0'0'0,"0"0"1856,0 0-1856,0 0 1385,-2 0-681,2 0-240,0 0-176,0 0-288,0 0 352,0 3 176,0 0 192,0 1 1,0-4-721,2 5 624,3 6-16,7-8-264,-7 10-64,-5-13-280,11 11 384,1 0-352,5 5-40,8 11 32,-25-27-24,28 31-128,2 2 232,-3 0 112,1-2-128,-28-31-88,20 30 96,-3-5-32,-6-3-64,-8-2 24,-3-20-24,12 18 24,-12-1-24,4-1 32,1-2 32,-5-14-64,0 11 8,0 1 32,0-9 24,0 1-8,0-4-56,0 4 80,-2-1-16,-3-3 64,-9 0-152,14 0 24,-11-3 16,8-1 112,-9 0 112,5-2 48,7 6-288,-14-11 176,0 6-96,-3-8-336,1 1 152,16 12 104,-17-13 16,-1-3-88,-3-1 168,2-1-136,19 18 40,-23-22-24,2 0-96,-2-3 56,-1 1 152,24 24-88,-21-25-160,-2-1 304,1-1-176,4 2-184,18 25 216,-19-26 136,-2 0-312,7 2 216,0 0-16,14 24-24,-14-23-64,-1 2 144,7 0-136,1 2 96,7 19-40,-13-18-80,13 1 112,-4 0-168,-3 0-16,7 17 152,0-19-112,0 2-272,0-2 216,0 1-248,0 18 416,3-20-504,10-1 136,-8-1-168,13 0 16,-18 22 520,15-23-609,4 0 25,2 0 0,2 1 112,-23 22 472,26-24-384,35-20-240,4 2 72,3 7 16,-68 35 536,70-32-617,0 7 241,-2 5 8,1 4 40,-69 16 328,65-12-176,3 6 16,-1-8 64,6 8 16,-73 6 80,75-13-32,5 9 24,83-12 72,-20 12-8,-143 4-56,132-6 0,-20 2 40,-9 0-16,-3 1 8,-100 3-32,103-1 16,-2-1 24,-5 1-56,-3 1 32,-93 0-16,90 0 72,-7 0-40,-8 3 8,-7 1 8,-68-4-48,65 4 40,-5 0 0,-7 8-32,-6-9-8,-47-3 0,40 4 56,-5 7-48,-7-8 16,-4 8 24,-24-11-48,23 5-48,-2 9 56,0-10 40,0 15-24,-21-19-24,19 12 40,-1 3 16,-1 0-24,-1 1-8,-16-16-24,10 17 56,4 3-16,-10 0 16,10 3 16,-14-23-72,0 22 112,0 2-40,0-1-24,0-2 0,0-21-48,-2 22-24,-10-1 56,3-1 32,-5-1-24,14-19-40,-15 18 80,0 0-32,-2 2 1,-1-3 23,18-17-72,-15 17 56,-6-1 16,5-2-32,-3 1 24,19-15-64,-19 14 64,1-1-8,3-2 48,-5 0-72,20-11-32,-22 5 112,-1 10-16,0-11-16,-6 9 64,29-13-144,-32 5 112,-1 6 48,-2-8-64,-3 1 24,38-4-120,-35 11 128,-2-8-8,-6 0 80,-3 1-80,46-4-120,-52 5 184,-6 7-80,-3-9 16,-7 9 32,68-12-152,-76 2 64,-7 11 16,-6-8-64,-11 9 8,100-14-24,-106 4-16,-6 13-8,56-14 40,-16 8 8,72-11-24,-73 5 96,-12 10 72,3-3-24,-16 2 32,98-14-176,-98 14 48,-9 3-24,1 0-80,54-13 88,52-4-32,-58 13 216,-1-9-112,-4 12 176,0-12-184,63-4-96,-70 16-128,2-12 88,-9 13-120,7-12 4785,70-5-4625,-78 17-96,1-13 176,-3 11-176,5-10-336,75-5 432,-79 15-88,4-10-384,-2 10 264,5-10 56,72-5 152,-67 12-232,7-9 248,9 1-216,1 1 160,50-5 40,-42 4-320,9 0-376,5 1-289,7-3-719,21-2 1704,-14 0-2216,7 0-1169,5 3 256,7-3 737,-5 0 2392,4 0-4553,-4 0 4553</inkml:trace>
  <inkml:trace contextRef="#ctx0" brushRef="#br0" timeOffset="1">672 1149 8257,'0'0'0,"0"0"0,-4-1 2417,2-1-201,-3 1-735,0 0-385,5 1-1096,-12-2 736,10 1 120,-9-1-224,6 1 32,5 1-664,-12-2 689,7 1-385,-7 0 56,1-1-352,11 2-8,-7-1-72,-10-1 48,8 2-128,5 0 176,4 0-24,-15 0-48,10 3-160,-8 0-529,8 1-1439,5-4 2176,-14 5-4385,9-1-3801,5-4 8186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3"/>
  <sheetViews>
    <sheetView rightToLeft="1" tabSelected="1" view="pageBreakPreview" topLeftCell="A54" zoomScale="130" zoomScaleNormal="100" zoomScaleSheetLayoutView="130" workbookViewId="0">
      <selection activeCell="B57" sqref="B57:D5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180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3" t="s">
        <v>8</v>
      </c>
      <c r="C2" s="46" t="s">
        <v>44</v>
      </c>
      <c r="D2" s="46"/>
      <c r="E2" s="13" t="s">
        <v>7</v>
      </c>
      <c r="F2" s="41">
        <v>45929</v>
      </c>
      <c r="G2" s="41"/>
      <c r="H2" s="41"/>
      <c r="I2" s="41"/>
      <c r="J2" s="41"/>
    </row>
    <row r="3" spans="1:10" ht="30" customHeight="1" x14ac:dyDescent="0.3">
      <c r="B3" s="13" t="s">
        <v>9</v>
      </c>
      <c r="C3" s="46" t="s">
        <v>85</v>
      </c>
      <c r="D3" s="46"/>
      <c r="E3" s="13" t="s">
        <v>6</v>
      </c>
      <c r="F3" s="46" t="s">
        <v>122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8"/>
    </row>
    <row r="6" spans="1:10" ht="24.9" customHeight="1" thickBot="1" x14ac:dyDescent="0.35">
      <c r="A6" s="11"/>
      <c r="B6" s="44"/>
      <c r="C6" s="45"/>
      <c r="D6" s="45"/>
      <c r="E6" s="12" t="s">
        <v>3</v>
      </c>
      <c r="F6" s="12" t="s">
        <v>4</v>
      </c>
      <c r="G6" s="12" t="s">
        <v>23</v>
      </c>
      <c r="H6" s="12" t="s">
        <v>24</v>
      </c>
      <c r="I6" s="59"/>
      <c r="J6" s="60"/>
    </row>
    <row r="7" spans="1:10" ht="24.9" customHeight="1" thickBot="1" x14ac:dyDescent="0.35">
      <c r="A7" s="11"/>
      <c r="B7" s="49" t="s">
        <v>21</v>
      </c>
      <c r="C7" s="50"/>
      <c r="D7" s="50"/>
      <c r="E7" s="29" t="s">
        <v>18</v>
      </c>
      <c r="F7" s="29" t="s">
        <v>19</v>
      </c>
      <c r="G7" s="29" t="s">
        <v>22</v>
      </c>
      <c r="H7" s="29" t="s">
        <v>20</v>
      </c>
      <c r="I7" s="61" t="s">
        <v>25</v>
      </c>
      <c r="J7" s="62"/>
    </row>
    <row r="8" spans="1:10" ht="30" customHeight="1" x14ac:dyDescent="0.3">
      <c r="A8" s="11"/>
      <c r="B8" s="86" t="s">
        <v>181</v>
      </c>
      <c r="C8" s="87"/>
      <c r="D8" s="87"/>
      <c r="E8" s="33"/>
      <c r="F8" s="34"/>
      <c r="G8" s="35"/>
      <c r="H8" s="36"/>
      <c r="I8" s="56"/>
      <c r="J8" s="57"/>
    </row>
    <row r="9" spans="1:10" ht="30" customHeight="1" x14ac:dyDescent="0.3">
      <c r="A9" s="11"/>
      <c r="B9" s="76" t="s">
        <v>182</v>
      </c>
      <c r="C9" s="77"/>
      <c r="D9" s="77"/>
      <c r="E9" s="32">
        <v>10</v>
      </c>
      <c r="F9" s="27">
        <v>7.75</v>
      </c>
      <c r="G9" s="30">
        <f>IFERROR(F9/E9,"")</f>
        <v>0.77500000000000002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1"/>
      <c r="J9" s="52"/>
    </row>
    <row r="10" spans="1:10" ht="30" customHeight="1" x14ac:dyDescent="0.3">
      <c r="A10" s="11"/>
      <c r="B10" s="76" t="s">
        <v>183</v>
      </c>
      <c r="C10" s="77"/>
      <c r="D10" s="77"/>
      <c r="E10" s="9">
        <v>10</v>
      </c>
      <c r="F10" s="27">
        <v>7.75</v>
      </c>
      <c r="G10" s="30">
        <f t="shared" ref="G10:G58" si="0">IFERROR(F10/E10,"")</f>
        <v>0.77500000000000002</v>
      </c>
      <c r="H10" s="31" t="str">
        <f t="shared" ref="H10:H58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9.9" customHeight="1" x14ac:dyDescent="0.3">
      <c r="A11" s="11"/>
      <c r="B11" s="76" t="s">
        <v>184</v>
      </c>
      <c r="C11" s="77"/>
      <c r="D11" s="77"/>
      <c r="E11" s="9">
        <v>5</v>
      </c>
      <c r="F11" s="27">
        <v>3.75</v>
      </c>
      <c r="G11" s="30">
        <f t="shared" si="0"/>
        <v>0.75</v>
      </c>
      <c r="H11" s="31" t="str">
        <f t="shared" si="1"/>
        <v>جيد</v>
      </c>
      <c r="I11" s="51"/>
      <c r="J11" s="52"/>
    </row>
    <row r="12" spans="1:10" ht="30" customHeight="1" x14ac:dyDescent="0.3">
      <c r="A12" s="11"/>
      <c r="B12" s="76" t="s">
        <v>185</v>
      </c>
      <c r="C12" s="77"/>
      <c r="D12" s="77"/>
      <c r="E12" s="9">
        <v>5</v>
      </c>
      <c r="F12" s="27">
        <v>3.75</v>
      </c>
      <c r="G12" s="30">
        <f t="shared" si="0"/>
        <v>0.75</v>
      </c>
      <c r="H12" s="31" t="str">
        <f t="shared" si="1"/>
        <v>جيد</v>
      </c>
      <c r="I12" s="51"/>
      <c r="J12" s="52"/>
    </row>
    <row r="13" spans="1:10" ht="30" customHeight="1" x14ac:dyDescent="0.3">
      <c r="A13" s="11"/>
      <c r="B13" s="76" t="s">
        <v>186</v>
      </c>
      <c r="C13" s="77"/>
      <c r="D13" s="77"/>
      <c r="E13" s="9">
        <v>5</v>
      </c>
      <c r="F13" s="27">
        <v>3.75</v>
      </c>
      <c r="G13" s="30">
        <f t="shared" si="0"/>
        <v>0.75</v>
      </c>
      <c r="H13" s="31" t="str">
        <f t="shared" si="1"/>
        <v>جيد</v>
      </c>
      <c r="I13" s="51"/>
      <c r="J13" s="52"/>
    </row>
    <row r="14" spans="1:10" ht="30" customHeight="1" x14ac:dyDescent="0.3">
      <c r="A14" s="11"/>
      <c r="B14" s="76" t="s">
        <v>187</v>
      </c>
      <c r="C14" s="77"/>
      <c r="D14" s="77"/>
      <c r="E14" s="9">
        <v>5</v>
      </c>
      <c r="F14" s="27">
        <v>4</v>
      </c>
      <c r="G14" s="30">
        <f t="shared" si="0"/>
        <v>0.8</v>
      </c>
      <c r="H14" s="31" t="str">
        <f t="shared" si="1"/>
        <v>جيد جداً</v>
      </c>
      <c r="I14" s="51"/>
      <c r="J14" s="52"/>
    </row>
    <row r="15" spans="1:10" ht="30" customHeight="1" x14ac:dyDescent="0.3">
      <c r="A15" s="11"/>
      <c r="B15" s="76" t="s">
        <v>188</v>
      </c>
      <c r="C15" s="77"/>
      <c r="D15" s="77"/>
      <c r="E15" s="9">
        <v>5</v>
      </c>
      <c r="F15" s="27">
        <v>4</v>
      </c>
      <c r="G15" s="30">
        <f t="shared" si="0"/>
        <v>0.8</v>
      </c>
      <c r="H15" s="31" t="str">
        <f t="shared" si="1"/>
        <v>جيد جداً</v>
      </c>
      <c r="I15" s="51"/>
      <c r="J15" s="52"/>
    </row>
    <row r="16" spans="1:10" ht="30" customHeight="1" x14ac:dyDescent="0.3">
      <c r="A16" s="11"/>
      <c r="B16" s="76" t="s">
        <v>189</v>
      </c>
      <c r="C16" s="77"/>
      <c r="D16" s="77"/>
      <c r="E16" s="9">
        <v>5</v>
      </c>
      <c r="F16" s="27">
        <v>4</v>
      </c>
      <c r="G16" s="30">
        <f t="shared" si="0"/>
        <v>0.8</v>
      </c>
      <c r="H16" s="31" t="str">
        <f t="shared" si="1"/>
        <v>جيد جداً</v>
      </c>
      <c r="I16" s="51"/>
      <c r="J16" s="52"/>
    </row>
    <row r="17" spans="1:10" ht="39.9" customHeight="1" x14ac:dyDescent="0.3">
      <c r="A17" s="11"/>
      <c r="B17" s="76" t="s">
        <v>190</v>
      </c>
      <c r="C17" s="77"/>
      <c r="D17" s="77"/>
      <c r="E17" s="9">
        <v>5</v>
      </c>
      <c r="F17" s="27">
        <v>4</v>
      </c>
      <c r="G17" s="30">
        <f t="shared" si="0"/>
        <v>0.8</v>
      </c>
      <c r="H17" s="31" t="str">
        <f t="shared" si="1"/>
        <v>جيد جداً</v>
      </c>
      <c r="I17" s="51"/>
      <c r="J17" s="52"/>
    </row>
    <row r="18" spans="1:10" ht="30" customHeight="1" x14ac:dyDescent="0.3">
      <c r="A18" s="11"/>
      <c r="B18" s="78" t="s">
        <v>191</v>
      </c>
      <c r="C18" s="79"/>
      <c r="D18" s="79"/>
      <c r="E18" s="9">
        <v>5</v>
      </c>
      <c r="F18" s="27">
        <v>3.75</v>
      </c>
      <c r="G18" s="30">
        <f t="shared" si="0"/>
        <v>0.75</v>
      </c>
      <c r="H18" s="31" t="str">
        <f t="shared" si="1"/>
        <v>جيد</v>
      </c>
      <c r="I18" s="51"/>
      <c r="J18" s="52"/>
    </row>
    <row r="19" spans="1:10" ht="30" customHeight="1" x14ac:dyDescent="0.3">
      <c r="A19" s="11"/>
      <c r="B19" s="78" t="s">
        <v>192</v>
      </c>
      <c r="C19" s="79"/>
      <c r="D19" s="79"/>
      <c r="E19" s="9">
        <v>5</v>
      </c>
      <c r="F19" s="27">
        <v>4</v>
      </c>
      <c r="G19" s="30">
        <f t="shared" si="0"/>
        <v>0.8</v>
      </c>
      <c r="H19" s="31" t="str">
        <f t="shared" si="1"/>
        <v>جيد جداً</v>
      </c>
      <c r="I19" s="51"/>
      <c r="J19" s="52"/>
    </row>
    <row r="20" spans="1:10" ht="39.9" customHeight="1" x14ac:dyDescent="0.3">
      <c r="A20" s="11"/>
      <c r="B20" s="78" t="s">
        <v>193</v>
      </c>
      <c r="C20" s="79"/>
      <c r="D20" s="79"/>
      <c r="E20" s="9">
        <v>10</v>
      </c>
      <c r="F20" s="27">
        <v>7.75</v>
      </c>
      <c r="G20" s="30">
        <f t="shared" si="0"/>
        <v>0.77500000000000002</v>
      </c>
      <c r="H20" s="31" t="str">
        <f t="shared" si="1"/>
        <v>جيد</v>
      </c>
      <c r="I20" s="51"/>
      <c r="J20" s="52"/>
    </row>
    <row r="21" spans="1:10" ht="30" customHeight="1" x14ac:dyDescent="0.3">
      <c r="A21" s="11"/>
      <c r="B21" s="78" t="s">
        <v>194</v>
      </c>
      <c r="C21" s="79"/>
      <c r="D21" s="79"/>
      <c r="E21" s="9">
        <v>5</v>
      </c>
      <c r="F21" s="27">
        <v>3.75</v>
      </c>
      <c r="G21" s="30">
        <f t="shared" si="0"/>
        <v>0.75</v>
      </c>
      <c r="H21" s="31" t="str">
        <f t="shared" si="1"/>
        <v>جيد</v>
      </c>
      <c r="I21" s="51"/>
      <c r="J21" s="52"/>
    </row>
    <row r="22" spans="1:10" ht="30" customHeight="1" x14ac:dyDescent="0.3">
      <c r="A22" s="11"/>
      <c r="B22" s="78" t="s">
        <v>195</v>
      </c>
      <c r="C22" s="79"/>
      <c r="D22" s="79"/>
      <c r="E22" s="9">
        <v>5</v>
      </c>
      <c r="F22" s="27">
        <v>3.75</v>
      </c>
      <c r="G22" s="30">
        <f t="shared" si="0"/>
        <v>0.75</v>
      </c>
      <c r="H22" s="31" t="str">
        <f t="shared" si="1"/>
        <v>جيد</v>
      </c>
      <c r="I22" s="51"/>
      <c r="J22" s="52"/>
    </row>
    <row r="23" spans="1:10" ht="30" customHeight="1" thickBot="1" x14ac:dyDescent="0.35">
      <c r="A23" s="11"/>
      <c r="B23" s="80" t="s">
        <v>196</v>
      </c>
      <c r="C23" s="81"/>
      <c r="D23" s="81"/>
      <c r="E23" s="37">
        <v>5</v>
      </c>
      <c r="F23" s="28">
        <v>3.75</v>
      </c>
      <c r="G23" s="38">
        <f t="shared" si="0"/>
        <v>0.75</v>
      </c>
      <c r="H23" s="39" t="str">
        <f t="shared" si="1"/>
        <v>جيد</v>
      </c>
      <c r="I23" s="53"/>
      <c r="J23" s="54"/>
    </row>
    <row r="24" spans="1:10" ht="30" customHeight="1" x14ac:dyDescent="0.3">
      <c r="A24" s="11"/>
      <c r="B24" s="82" t="s">
        <v>197</v>
      </c>
      <c r="C24" s="83"/>
      <c r="D24" s="83"/>
      <c r="E24" s="33"/>
      <c r="F24" s="34"/>
      <c r="G24" s="35"/>
      <c r="H24" s="36"/>
      <c r="I24" s="56"/>
      <c r="J24" s="57"/>
    </row>
    <row r="25" spans="1:10" ht="30" customHeight="1" x14ac:dyDescent="0.3">
      <c r="A25" s="11"/>
      <c r="B25" s="76" t="s">
        <v>198</v>
      </c>
      <c r="C25" s="77"/>
      <c r="D25" s="77"/>
      <c r="E25" s="9">
        <v>5</v>
      </c>
      <c r="F25" s="27">
        <v>3.75</v>
      </c>
      <c r="G25" s="30">
        <f t="shared" si="0"/>
        <v>0.75</v>
      </c>
      <c r="H25" s="31" t="str">
        <f t="shared" si="1"/>
        <v>جيد</v>
      </c>
      <c r="I25" s="51"/>
      <c r="J25" s="52"/>
    </row>
    <row r="26" spans="1:10" ht="30" customHeight="1" x14ac:dyDescent="0.3">
      <c r="A26" s="11"/>
      <c r="B26" s="76" t="s">
        <v>199</v>
      </c>
      <c r="C26" s="77"/>
      <c r="D26" s="77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51"/>
      <c r="J26" s="52"/>
    </row>
    <row r="27" spans="1:10" ht="30" customHeight="1" x14ac:dyDescent="0.3">
      <c r="A27" s="11"/>
      <c r="B27" s="76" t="s">
        <v>200</v>
      </c>
      <c r="C27" s="77"/>
      <c r="D27" s="77"/>
      <c r="E27" s="9">
        <v>5</v>
      </c>
      <c r="F27" s="27">
        <v>3.75</v>
      </c>
      <c r="G27" s="30">
        <f t="shared" si="0"/>
        <v>0.75</v>
      </c>
      <c r="H27" s="31" t="str">
        <f t="shared" si="1"/>
        <v>جيد</v>
      </c>
      <c r="I27" s="51"/>
      <c r="J27" s="52"/>
    </row>
    <row r="28" spans="1:10" ht="30" customHeight="1" x14ac:dyDescent="0.3">
      <c r="A28" s="11"/>
      <c r="B28" s="76" t="s">
        <v>201</v>
      </c>
      <c r="C28" s="77"/>
      <c r="D28" s="77"/>
      <c r="E28" s="9">
        <v>5</v>
      </c>
      <c r="F28" s="27">
        <v>3.75</v>
      </c>
      <c r="G28" s="30">
        <f t="shared" si="0"/>
        <v>0.75</v>
      </c>
      <c r="H28" s="31" t="str">
        <f t="shared" si="1"/>
        <v>جيد</v>
      </c>
      <c r="I28" s="51"/>
      <c r="J28" s="52"/>
    </row>
    <row r="29" spans="1:10" ht="30" customHeight="1" x14ac:dyDescent="0.3">
      <c r="A29" s="11"/>
      <c r="B29" s="76" t="s">
        <v>202</v>
      </c>
      <c r="C29" s="77"/>
      <c r="D29" s="77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51"/>
      <c r="J29" s="52"/>
    </row>
    <row r="30" spans="1:10" ht="30" customHeight="1" x14ac:dyDescent="0.3">
      <c r="A30" s="11"/>
      <c r="B30" s="76" t="s">
        <v>203</v>
      </c>
      <c r="C30" s="77"/>
      <c r="D30" s="77"/>
      <c r="E30" s="9">
        <v>5</v>
      </c>
      <c r="F30" s="27">
        <v>3.75</v>
      </c>
      <c r="G30" s="30">
        <f t="shared" si="0"/>
        <v>0.75</v>
      </c>
      <c r="H30" s="31" t="str">
        <f t="shared" si="1"/>
        <v>جيد</v>
      </c>
      <c r="I30" s="51"/>
      <c r="J30" s="52"/>
    </row>
    <row r="31" spans="1:10" ht="30" customHeight="1" thickBot="1" x14ac:dyDescent="0.35">
      <c r="A31" s="11"/>
      <c r="B31" s="84" t="s">
        <v>204</v>
      </c>
      <c r="C31" s="85"/>
      <c r="D31" s="85"/>
      <c r="E31" s="37">
        <v>5</v>
      </c>
      <c r="F31" s="28">
        <v>3.75</v>
      </c>
      <c r="G31" s="38">
        <f t="shared" si="0"/>
        <v>0.75</v>
      </c>
      <c r="H31" s="39" t="str">
        <f t="shared" si="1"/>
        <v>جيد</v>
      </c>
      <c r="I31" s="53"/>
      <c r="J31" s="54"/>
    </row>
    <row r="32" spans="1:10" ht="30" customHeight="1" x14ac:dyDescent="0.3">
      <c r="A32" s="11"/>
      <c r="B32" s="82" t="s">
        <v>205</v>
      </c>
      <c r="C32" s="83"/>
      <c r="D32" s="83"/>
      <c r="E32" s="33"/>
      <c r="F32" s="34"/>
      <c r="G32" s="35"/>
      <c r="H32" s="36"/>
      <c r="I32" s="56"/>
      <c r="J32" s="57"/>
    </row>
    <row r="33" spans="1:10" ht="39.9" customHeight="1" x14ac:dyDescent="0.3">
      <c r="A33" s="11"/>
      <c r="B33" s="76" t="s">
        <v>206</v>
      </c>
      <c r="C33" s="77"/>
      <c r="D33" s="77"/>
      <c r="E33" s="9">
        <v>0</v>
      </c>
      <c r="F33" s="27" t="s">
        <v>17</v>
      </c>
      <c r="G33" s="30" t="str">
        <f t="shared" si="0"/>
        <v/>
      </c>
      <c r="H33" s="31" t="str">
        <f t="shared" si="1"/>
        <v>تم الإلغاء</v>
      </c>
      <c r="I33" s="51"/>
      <c r="J33" s="52"/>
    </row>
    <row r="34" spans="1:10" ht="30" customHeight="1" x14ac:dyDescent="0.3">
      <c r="A34" s="11"/>
      <c r="B34" s="76" t="s">
        <v>207</v>
      </c>
      <c r="C34" s="77"/>
      <c r="D34" s="77"/>
      <c r="E34" s="9">
        <v>0</v>
      </c>
      <c r="F34" s="27" t="s">
        <v>17</v>
      </c>
      <c r="G34" s="30" t="str">
        <f t="shared" si="0"/>
        <v/>
      </c>
      <c r="H34" s="31" t="str">
        <f t="shared" si="1"/>
        <v>تم الإلغاء</v>
      </c>
      <c r="I34" s="51"/>
      <c r="J34" s="52"/>
    </row>
    <row r="35" spans="1:10" ht="30" customHeight="1" x14ac:dyDescent="0.3">
      <c r="A35" s="11"/>
      <c r="B35" s="76" t="s">
        <v>208</v>
      </c>
      <c r="C35" s="77"/>
      <c r="D35" s="77"/>
      <c r="E35" s="9">
        <v>0</v>
      </c>
      <c r="F35" s="27" t="s">
        <v>17</v>
      </c>
      <c r="G35" s="30" t="str">
        <f t="shared" si="0"/>
        <v/>
      </c>
      <c r="H35" s="31" t="str">
        <f t="shared" si="1"/>
        <v>تم الإلغاء</v>
      </c>
      <c r="I35" s="51"/>
      <c r="J35" s="52"/>
    </row>
    <row r="36" spans="1:10" ht="30" customHeight="1" thickBot="1" x14ac:dyDescent="0.35">
      <c r="A36" s="11"/>
      <c r="B36" s="84" t="s">
        <v>209</v>
      </c>
      <c r="C36" s="85"/>
      <c r="D36" s="85"/>
      <c r="E36" s="37">
        <v>0</v>
      </c>
      <c r="F36" s="28" t="s">
        <v>17</v>
      </c>
      <c r="G36" s="38" t="str">
        <f t="shared" si="0"/>
        <v/>
      </c>
      <c r="H36" s="39" t="str">
        <f t="shared" si="1"/>
        <v>تم الإلغاء</v>
      </c>
      <c r="I36" s="53"/>
      <c r="J36" s="54"/>
    </row>
    <row r="37" spans="1:10" ht="30" customHeight="1" x14ac:dyDescent="0.3">
      <c r="A37" s="11"/>
      <c r="B37" s="86" t="s">
        <v>210</v>
      </c>
      <c r="C37" s="87"/>
      <c r="D37" s="87"/>
      <c r="E37" s="33"/>
      <c r="F37" s="34"/>
      <c r="G37" s="35"/>
      <c r="H37" s="36"/>
      <c r="I37" s="56"/>
      <c r="J37" s="57"/>
    </row>
    <row r="38" spans="1:10" ht="30" customHeight="1" x14ac:dyDescent="0.3">
      <c r="A38" s="11"/>
      <c r="B38" s="76" t="s">
        <v>211</v>
      </c>
      <c r="C38" s="77"/>
      <c r="D38" s="77"/>
      <c r="E38" s="9">
        <v>5</v>
      </c>
      <c r="F38" s="27">
        <v>4</v>
      </c>
      <c r="G38" s="30">
        <f t="shared" si="0"/>
        <v>0.8</v>
      </c>
      <c r="H38" s="31" t="str">
        <f t="shared" si="1"/>
        <v>جيد جداً</v>
      </c>
      <c r="I38" s="51"/>
      <c r="J38" s="52"/>
    </row>
    <row r="39" spans="1:10" ht="30" customHeight="1" x14ac:dyDescent="0.3">
      <c r="A39" s="11"/>
      <c r="B39" s="76" t="s">
        <v>212</v>
      </c>
      <c r="C39" s="77"/>
      <c r="D39" s="77"/>
      <c r="E39" s="9">
        <v>5</v>
      </c>
      <c r="F39" s="27">
        <v>4</v>
      </c>
      <c r="G39" s="30">
        <f t="shared" si="0"/>
        <v>0.8</v>
      </c>
      <c r="H39" s="31" t="str">
        <f t="shared" si="1"/>
        <v>جيد جداً</v>
      </c>
      <c r="I39" s="51"/>
      <c r="J39" s="52"/>
    </row>
    <row r="40" spans="1:10" ht="30" customHeight="1" x14ac:dyDescent="0.3">
      <c r="A40" s="11"/>
      <c r="B40" s="76" t="s">
        <v>213</v>
      </c>
      <c r="C40" s="77"/>
      <c r="D40" s="77"/>
      <c r="E40" s="9">
        <v>5</v>
      </c>
      <c r="F40" s="27">
        <v>4</v>
      </c>
      <c r="G40" s="30">
        <f t="shared" si="0"/>
        <v>0.8</v>
      </c>
      <c r="H40" s="31" t="str">
        <f t="shared" si="1"/>
        <v>جيد جداً</v>
      </c>
      <c r="I40" s="51"/>
      <c r="J40" s="52"/>
    </row>
    <row r="41" spans="1:10" ht="30" customHeight="1" x14ac:dyDescent="0.3">
      <c r="A41" s="11"/>
      <c r="B41" s="76" t="s">
        <v>214</v>
      </c>
      <c r="C41" s="77"/>
      <c r="D41" s="77"/>
      <c r="E41" s="9">
        <v>5</v>
      </c>
      <c r="F41" s="27">
        <v>4</v>
      </c>
      <c r="G41" s="30">
        <f t="shared" si="0"/>
        <v>0.8</v>
      </c>
      <c r="H41" s="31" t="str">
        <f t="shared" si="1"/>
        <v>جيد جداً</v>
      </c>
      <c r="I41" s="51"/>
      <c r="J41" s="52"/>
    </row>
    <row r="42" spans="1:10" ht="30" customHeight="1" x14ac:dyDescent="0.3">
      <c r="A42" s="11"/>
      <c r="B42" s="76" t="s">
        <v>215</v>
      </c>
      <c r="C42" s="77"/>
      <c r="D42" s="77"/>
      <c r="E42" s="9">
        <v>5</v>
      </c>
      <c r="F42" s="27">
        <v>4</v>
      </c>
      <c r="G42" s="30">
        <f t="shared" si="0"/>
        <v>0.8</v>
      </c>
      <c r="H42" s="31" t="str">
        <f t="shared" si="1"/>
        <v>جيد جداً</v>
      </c>
      <c r="I42" s="51"/>
      <c r="J42" s="52"/>
    </row>
    <row r="43" spans="1:10" ht="30" customHeight="1" x14ac:dyDescent="0.3">
      <c r="A43" s="11"/>
      <c r="B43" s="76" t="s">
        <v>216</v>
      </c>
      <c r="C43" s="77"/>
      <c r="D43" s="77"/>
      <c r="E43" s="9">
        <v>5</v>
      </c>
      <c r="F43" s="27">
        <v>4</v>
      </c>
      <c r="G43" s="30">
        <f t="shared" si="0"/>
        <v>0.8</v>
      </c>
      <c r="H43" s="31" t="str">
        <f t="shared" si="1"/>
        <v>جيد جداً</v>
      </c>
      <c r="I43" s="51"/>
      <c r="J43" s="52"/>
    </row>
    <row r="44" spans="1:10" ht="30" customHeight="1" thickBot="1" x14ac:dyDescent="0.35">
      <c r="A44" s="11"/>
      <c r="B44" s="84" t="s">
        <v>217</v>
      </c>
      <c r="C44" s="85"/>
      <c r="D44" s="85"/>
      <c r="E44" s="37">
        <v>5</v>
      </c>
      <c r="F44" s="28">
        <v>3.75</v>
      </c>
      <c r="G44" s="38">
        <f t="shared" si="0"/>
        <v>0.75</v>
      </c>
      <c r="H44" s="39" t="str">
        <f t="shared" si="1"/>
        <v>جيد</v>
      </c>
      <c r="I44" s="53"/>
      <c r="J44" s="54"/>
    </row>
    <row r="45" spans="1:10" ht="30" customHeight="1" x14ac:dyDescent="0.3">
      <c r="A45" s="11"/>
      <c r="B45" s="82" t="s">
        <v>218</v>
      </c>
      <c r="C45" s="83"/>
      <c r="D45" s="83"/>
      <c r="E45" s="33"/>
      <c r="F45" s="34"/>
      <c r="G45" s="35"/>
      <c r="H45" s="36"/>
      <c r="I45" s="56"/>
      <c r="J45" s="57"/>
    </row>
    <row r="46" spans="1:10" ht="30" customHeight="1" x14ac:dyDescent="0.3">
      <c r="A46" s="11"/>
      <c r="B46" s="76" t="s">
        <v>219</v>
      </c>
      <c r="C46" s="77"/>
      <c r="D46" s="77"/>
      <c r="E46" s="9">
        <v>5</v>
      </c>
      <c r="F46" s="27">
        <v>3.75</v>
      </c>
      <c r="G46" s="30">
        <f t="shared" si="0"/>
        <v>0.75</v>
      </c>
      <c r="H46" s="31" t="str">
        <f t="shared" si="1"/>
        <v>جيد</v>
      </c>
      <c r="I46" s="51"/>
      <c r="J46" s="52"/>
    </row>
    <row r="47" spans="1:10" ht="30" customHeight="1" x14ac:dyDescent="0.3">
      <c r="A47" s="11"/>
      <c r="B47" s="76" t="s">
        <v>220</v>
      </c>
      <c r="C47" s="77"/>
      <c r="D47" s="77"/>
      <c r="E47" s="9">
        <v>5</v>
      </c>
      <c r="F47" s="27">
        <v>3.75</v>
      </c>
      <c r="G47" s="30">
        <f t="shared" si="0"/>
        <v>0.75</v>
      </c>
      <c r="H47" s="31" t="str">
        <f t="shared" si="1"/>
        <v>جيد</v>
      </c>
      <c r="I47" s="51"/>
      <c r="J47" s="52"/>
    </row>
    <row r="48" spans="1:10" ht="30" customHeight="1" x14ac:dyDescent="0.3">
      <c r="A48" s="11"/>
      <c r="B48" s="76" t="s">
        <v>221</v>
      </c>
      <c r="C48" s="77"/>
      <c r="D48" s="77"/>
      <c r="E48" s="9">
        <v>5</v>
      </c>
      <c r="F48" s="27">
        <v>3.75</v>
      </c>
      <c r="G48" s="30">
        <f t="shared" si="0"/>
        <v>0.75</v>
      </c>
      <c r="H48" s="31" t="str">
        <f t="shared" si="1"/>
        <v>جيد</v>
      </c>
      <c r="I48" s="51"/>
      <c r="J48" s="52"/>
    </row>
    <row r="49" spans="1:10" ht="30" customHeight="1" x14ac:dyDescent="0.3">
      <c r="A49" s="11"/>
      <c r="B49" s="76" t="s">
        <v>222</v>
      </c>
      <c r="C49" s="77"/>
      <c r="D49" s="77"/>
      <c r="E49" s="9">
        <v>5</v>
      </c>
      <c r="F49" s="27">
        <v>3.75</v>
      </c>
      <c r="G49" s="30">
        <f t="shared" si="0"/>
        <v>0.75</v>
      </c>
      <c r="H49" s="31" t="str">
        <f t="shared" si="1"/>
        <v>جيد</v>
      </c>
      <c r="I49" s="51"/>
      <c r="J49" s="52"/>
    </row>
    <row r="50" spans="1:10" ht="30" customHeight="1" x14ac:dyDescent="0.3">
      <c r="A50" s="11"/>
      <c r="B50" s="76" t="s">
        <v>223</v>
      </c>
      <c r="C50" s="77"/>
      <c r="D50" s="77"/>
      <c r="E50" s="9">
        <v>5</v>
      </c>
      <c r="F50" s="27">
        <v>3.75</v>
      </c>
      <c r="G50" s="30">
        <f t="shared" si="0"/>
        <v>0.75</v>
      </c>
      <c r="H50" s="31" t="str">
        <f t="shared" si="1"/>
        <v>جيد</v>
      </c>
      <c r="I50" s="51"/>
      <c r="J50" s="52"/>
    </row>
    <row r="51" spans="1:10" ht="30" customHeight="1" thickBot="1" x14ac:dyDescent="0.35">
      <c r="A51" s="11"/>
      <c r="B51" s="84" t="s">
        <v>224</v>
      </c>
      <c r="C51" s="85"/>
      <c r="D51" s="85"/>
      <c r="E51" s="37">
        <v>5</v>
      </c>
      <c r="F51" s="28">
        <v>3.75</v>
      </c>
      <c r="G51" s="38">
        <f t="shared" si="0"/>
        <v>0.75</v>
      </c>
      <c r="H51" s="39" t="str">
        <f t="shared" si="1"/>
        <v>جيد</v>
      </c>
      <c r="I51" s="53"/>
      <c r="J51" s="54"/>
    </row>
    <row r="52" spans="1:10" ht="30" customHeight="1" x14ac:dyDescent="0.3">
      <c r="A52" s="11"/>
      <c r="B52" s="86" t="s">
        <v>225</v>
      </c>
      <c r="C52" s="87"/>
      <c r="D52" s="87"/>
      <c r="E52" s="33"/>
      <c r="F52" s="34"/>
      <c r="G52" s="35"/>
      <c r="H52" s="36"/>
      <c r="I52" s="56"/>
      <c r="J52" s="57"/>
    </row>
    <row r="53" spans="1:10" ht="30" customHeight="1" x14ac:dyDescent="0.3">
      <c r="A53" s="11"/>
      <c r="B53" s="76" t="s">
        <v>226</v>
      </c>
      <c r="C53" s="77"/>
      <c r="D53" s="77"/>
      <c r="E53" s="9">
        <v>5</v>
      </c>
      <c r="F53" s="27">
        <v>3.75</v>
      </c>
      <c r="G53" s="30">
        <f t="shared" si="0"/>
        <v>0.75</v>
      </c>
      <c r="H53" s="31" t="str">
        <f t="shared" si="1"/>
        <v>جيد</v>
      </c>
      <c r="I53" s="51"/>
      <c r="J53" s="52"/>
    </row>
    <row r="54" spans="1:10" ht="30" customHeight="1" x14ac:dyDescent="0.3">
      <c r="A54" s="11"/>
      <c r="B54" s="76" t="s">
        <v>227</v>
      </c>
      <c r="C54" s="77"/>
      <c r="D54" s="77"/>
      <c r="E54" s="9">
        <v>5</v>
      </c>
      <c r="F54" s="27">
        <v>3.75</v>
      </c>
      <c r="G54" s="30">
        <f t="shared" si="0"/>
        <v>0.75</v>
      </c>
      <c r="H54" s="31" t="str">
        <f t="shared" si="1"/>
        <v>جيد</v>
      </c>
      <c r="I54" s="51"/>
      <c r="J54" s="52"/>
    </row>
    <row r="55" spans="1:10" ht="30" customHeight="1" thickBot="1" x14ac:dyDescent="0.35">
      <c r="A55" s="11"/>
      <c r="B55" s="84" t="s">
        <v>228</v>
      </c>
      <c r="C55" s="85"/>
      <c r="D55" s="85"/>
      <c r="E55" s="37">
        <v>5</v>
      </c>
      <c r="F55" s="28">
        <v>3.75</v>
      </c>
      <c r="G55" s="38">
        <f t="shared" si="0"/>
        <v>0.75</v>
      </c>
      <c r="H55" s="39" t="str">
        <f t="shared" si="1"/>
        <v>جيد</v>
      </c>
      <c r="I55" s="53"/>
      <c r="J55" s="54"/>
    </row>
    <row r="56" spans="1:10" ht="30" customHeight="1" x14ac:dyDescent="0.3">
      <c r="A56" s="11"/>
      <c r="B56" s="86" t="s">
        <v>229</v>
      </c>
      <c r="C56" s="87"/>
      <c r="D56" s="87"/>
      <c r="E56" s="33"/>
      <c r="F56" s="34"/>
      <c r="G56" s="35"/>
      <c r="H56" s="36"/>
      <c r="I56" s="56"/>
      <c r="J56" s="57"/>
    </row>
    <row r="57" spans="1:10" ht="30" customHeight="1" x14ac:dyDescent="0.3">
      <c r="A57" s="11"/>
      <c r="B57" s="76" t="s">
        <v>230</v>
      </c>
      <c r="C57" s="77"/>
      <c r="D57" s="77"/>
      <c r="E57" s="9">
        <v>0</v>
      </c>
      <c r="F57" s="27" t="s">
        <v>17</v>
      </c>
      <c r="G57" s="30" t="str">
        <f t="shared" si="0"/>
        <v/>
      </c>
      <c r="H57" s="31" t="str">
        <f t="shared" si="1"/>
        <v>تم الإلغاء</v>
      </c>
      <c r="I57" s="51"/>
      <c r="J57" s="52"/>
    </row>
    <row r="58" spans="1:10" ht="30" customHeight="1" thickBot="1" x14ac:dyDescent="0.35">
      <c r="A58" s="11"/>
      <c r="B58" s="84" t="s">
        <v>231</v>
      </c>
      <c r="C58" s="85"/>
      <c r="D58" s="85"/>
      <c r="E58" s="37">
        <v>0</v>
      </c>
      <c r="F58" s="28" t="s">
        <v>17</v>
      </c>
      <c r="G58" s="38" t="str">
        <f t="shared" si="0"/>
        <v/>
      </c>
      <c r="H58" s="39" t="str">
        <f t="shared" si="1"/>
        <v>تم الإلغاء</v>
      </c>
      <c r="I58" s="53"/>
      <c r="J58" s="54"/>
    </row>
    <row r="59" spans="1:10" ht="30" customHeight="1" thickBot="1" x14ac:dyDescent="0.35">
      <c r="A59" s="4"/>
      <c r="B59" s="71" t="s">
        <v>5</v>
      </c>
      <c r="C59" s="72"/>
      <c r="D59" s="72"/>
      <c r="E59" s="10">
        <f>SUM(E8:E58)</f>
        <v>205</v>
      </c>
      <c r="F59" s="10">
        <f>SUM(F8:F58)</f>
        <v>157</v>
      </c>
      <c r="G59" s="73"/>
      <c r="H59" s="74"/>
      <c r="I59" s="74"/>
      <c r="J59" s="75"/>
    </row>
    <row r="60" spans="1:10" ht="30" customHeight="1" thickBot="1" x14ac:dyDescent="0.35">
      <c r="A60" s="4"/>
      <c r="B60" s="71" t="s">
        <v>54</v>
      </c>
      <c r="C60" s="72"/>
      <c r="D60" s="72"/>
      <c r="E60" s="47">
        <f>F59/E59/100*100</f>
        <v>0.76585365853658538</v>
      </c>
      <c r="F60" s="47"/>
      <c r="G60" s="47"/>
      <c r="H60" s="47"/>
      <c r="I60" s="47"/>
      <c r="J60" s="48"/>
    </row>
    <row r="61" spans="1:10" ht="30" customHeight="1" thickBot="1" x14ac:dyDescent="0.35">
      <c r="A61" s="4"/>
      <c r="B61" s="71" t="s">
        <v>55</v>
      </c>
      <c r="C61" s="72"/>
      <c r="D61" s="72"/>
      <c r="E61" s="67" t="str">
        <f>_xlfn.IFS(E60&gt;=90%,"ممتاز",E60&gt;=80%,"جيد جداً",E60&gt;=70%,"جيد",E60&gt;=60%,"مقبول",E60&lt;60%,"راسب")</f>
        <v>جيد</v>
      </c>
      <c r="F61" s="67"/>
      <c r="G61" s="67"/>
      <c r="H61" s="67"/>
      <c r="I61" s="67"/>
      <c r="J61" s="68"/>
    </row>
    <row r="62" spans="1:10" ht="42" customHeight="1" x14ac:dyDescent="0.3">
      <c r="B62" s="63" t="s">
        <v>174</v>
      </c>
      <c r="C62" s="63"/>
      <c r="D62" s="63"/>
      <c r="E62" s="69" t="s">
        <v>52</v>
      </c>
      <c r="F62" s="69"/>
      <c r="G62" s="65" t="s">
        <v>122</v>
      </c>
      <c r="H62" s="65"/>
      <c r="I62" s="65"/>
      <c r="J62" s="65"/>
    </row>
    <row r="63" spans="1:10" ht="51" customHeight="1" x14ac:dyDescent="0.3">
      <c r="A63" s="5"/>
      <c r="B63" s="64"/>
      <c r="C63" s="64"/>
      <c r="D63" s="64"/>
      <c r="E63" s="70" t="s">
        <v>53</v>
      </c>
      <c r="F63" s="70"/>
      <c r="G63" s="66"/>
      <c r="H63" s="66"/>
      <c r="I63" s="66"/>
      <c r="J63" s="66"/>
    </row>
  </sheetData>
  <sheetProtection formatCells="0" formatColumns="0" formatRows="0" insertColumns="0" insertRows="0" insertHyperlinks="0" deleteColumns="0" deleteRows="0" selectLockedCells="1" sort="0" autoFilter="0" pivotTables="0"/>
  <mergeCells count="123">
    <mergeCell ref="B46:D46"/>
    <mergeCell ref="B47:D47"/>
    <mergeCell ref="B56:D56"/>
    <mergeCell ref="B57:D57"/>
    <mergeCell ref="B58:D58"/>
    <mergeCell ref="B48:D48"/>
    <mergeCell ref="B49:D49"/>
    <mergeCell ref="B50:D50"/>
    <mergeCell ref="B51:D51"/>
    <mergeCell ref="B52:D52"/>
    <mergeCell ref="B53:D53"/>
    <mergeCell ref="B54:D54"/>
    <mergeCell ref="B55:D55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33:J33"/>
    <mergeCell ref="I34:J34"/>
    <mergeCell ref="I35:J35"/>
    <mergeCell ref="I36:J3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0:D30"/>
    <mergeCell ref="B31:D31"/>
    <mergeCell ref="B32:D32"/>
    <mergeCell ref="B33:D33"/>
    <mergeCell ref="B34:D34"/>
    <mergeCell ref="B35:D35"/>
    <mergeCell ref="B36:D36"/>
    <mergeCell ref="I8:J8"/>
    <mergeCell ref="B59:D59"/>
    <mergeCell ref="B60:D60"/>
    <mergeCell ref="B61:D6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8:J58"/>
    <mergeCell ref="I26:J26"/>
    <mergeCell ref="I27:J27"/>
    <mergeCell ref="G59:J59"/>
    <mergeCell ref="I9:J9"/>
    <mergeCell ref="B26:D26"/>
    <mergeCell ref="B27:D27"/>
    <mergeCell ref="B28:D28"/>
    <mergeCell ref="B29:D29"/>
    <mergeCell ref="I32:J32"/>
    <mergeCell ref="B62:D63"/>
    <mergeCell ref="G62:J62"/>
    <mergeCell ref="G63:J63"/>
    <mergeCell ref="E61:J6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2:F62"/>
    <mergeCell ref="E63:F63"/>
    <mergeCell ref="B1:J1"/>
    <mergeCell ref="F2:J2"/>
    <mergeCell ref="B5:D6"/>
    <mergeCell ref="C2:D2"/>
    <mergeCell ref="C3:D3"/>
    <mergeCell ref="F3:J3"/>
    <mergeCell ref="E60:J6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1">
    <cfRule type="expression" dxfId="14" priority="57">
      <formula>$E61="راسب"</formula>
    </cfRule>
  </conditionalFormatting>
  <conditionalFormatting sqref="E61:J61">
    <cfRule type="expression" dxfId="13" priority="58">
      <formula>$E61="مقبول"</formula>
    </cfRule>
    <cfRule type="expression" dxfId="12" priority="59">
      <formula>$E61="جيد"</formula>
    </cfRule>
    <cfRule type="expression" dxfId="11" priority="60">
      <formula>$E61="جيد جداً"</formula>
    </cfRule>
    <cfRule type="expression" dxfId="10" priority="61">
      <formula>$E61="ممتاز"</formula>
    </cfRule>
  </conditionalFormatting>
  <conditionalFormatting sqref="F8:F5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2:J62">
    <cfRule type="containsText" dxfId="6" priority="15" operator="containsText" text="أدخل اسم المحكم">
      <formula>NOT(ISERROR(SEARCH("أدخل اسم المحكم",G62)))</formula>
    </cfRule>
  </conditionalFormatting>
  <conditionalFormatting sqref="H8:H5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G62:J62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F57:F58 F53:F55 F46:F51 F38:F44 F33:F36 F25:F31 F21:F23 F11:F19</xm:sqref>
        </x14:dataValidation>
        <x14:dataValidation type="list" allowBlank="1" showInputMessage="1" showErrorMessage="1" xr:uid="{950D916C-6113-4E71-903C-FA81D9B1CAD1}">
          <x14:formula1>
            <xm:f>'بيانات التقييم'!$A$111:$A$153</xm:f>
          </x14:formula1>
          <xm:sqref>F9 F10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2025-10-08T17:33:00Z</dcterms:modified>
</cp:coreProperties>
</file>