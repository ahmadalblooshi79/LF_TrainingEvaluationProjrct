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6D5ACCA-891C-45BE-8C60-B48D3411F6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<sst xmlns="http://schemas.openxmlformats.org/spreadsheetml/2006/main" count="285" uniqueCount="228">
  <si>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</si>
  <si>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</si>
  <si>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</si>
  <si>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</si>
  <si>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</si>
  <si>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</si>
  <si>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</si>
  <si>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</si>
  <si>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</si>
  <si>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</si>
  <si>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</si>
  <si>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</si>
  <si>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</si>
  <si>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</si>
  <si>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</si>
  <si>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</si>
  <si>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</si>
  <si>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</si>
  <si>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</si>
  <si>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</si>
  <si>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</si>
  <si>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</si>
  <si>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</si>
  <si>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</si>
  <si>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</si>
  <si>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</si>
  <si>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</si>
  <si>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</si>
  <si>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</si>
  <si>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</si>
  <si>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</si>
  <si>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</si>
  <si>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</si>
  <si>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</si>
  <si>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</si>
  <si>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</si>
  <si>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</si>
  <si>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</si>
  <si>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</si>
  <si>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</si>
  <si>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</si>
  <si>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</si>
  <si>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</si>
  <si>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</si>
  <si>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</si>
  <si>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</si>
  <si>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</si>
  <si>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</si>
  <si>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</si>
  <si>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</si>
  <si>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</si>
  <si>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</si>
  <si>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</si>
  <si>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</si>
  <si>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</si>
  <si>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</si>
  <si>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</si>
  <si>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</si>
  <si>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</si>
  <si>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</si>
  <si>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</si>
  <si>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</si>
  <si>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</si>
  <si>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</si>
  <si>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</si>
  <si>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</si>
  <si>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</si>
  <si>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</si>
  <si>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</si>
  <si>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</si>
  <si>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</si>
  <si>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</si>
  <si>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</si>
  <si>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</si>
  <si>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</si>
  <si>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</si>
  <si>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</si>
  <si>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</si>
  <si>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</si>
  <si>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</si>
  <si>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</si>
  <si>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</si>
  <si>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</si>
  <si>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</si>
  <si>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</si>
  <si>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</si>
  <si>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</si>
  <si>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</si>
  <si>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</si>
  <si>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</si>
  <si>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</si>
  <si>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</si>
  <si>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</si>
  <si>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</si>
  <si>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</si>
  <si>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</si>
  <si>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</si>
  <si>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</si>
  <si>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</si>
  <si>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</si>
  <si>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</si>
  <si>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</si>
  <si>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</si>
  <si>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</si>
  <si>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</si>
  <si>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</si>
  <si>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</si>
  <si>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</si>
  <si>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</si>
  <si>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</si>
  <si>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</si>
  <si>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</si>
  <si>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</si>
  <si>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</si>
  <si>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</si>
  <si>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</si>
  <si>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</si>
  <si>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</si>
  <si>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</si>
  <si>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</si>
  <si>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</si>
  <si>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</si>
  <si>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</si>
  <si>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</si>
  <si>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</si>
  <si>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</si>
  <si>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</si>
  <si>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</si>
  <si>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</si>
  <si>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</si>
  <si>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</si>
  <si>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</si>
  <si>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</si>
  <si>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</si>
  <si>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</si>
  <si>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</si>
  <si>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</si>
  <si>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</si>
  <si>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</si>
  <si>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</si>
  <si>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</si>
  <si>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</si>
  <si>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</si>
  <si>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</si>
  <si>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</si>
  <si>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</si>
  <si>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</si>
  <si>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</si>
  <si>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</si>
  <si>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</si>
  <si>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</si>
  <si>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</si>
  <si>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</si>
  <si>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</si>
  <si>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</si>
  <si>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</si>
  <si>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</si>
  <si>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</si>
  <si>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</si>
  <si>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</si>
  <si>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</si>
  <si>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</si>
  <si>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</si>
  <si>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</si>
  <si>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</si>
  <si>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</si>
  <si>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</si>
  <si>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</si>
  <si>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</si>
  <si>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</si>
  <si>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</si>
  <si>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</si>
  <si>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</si>
  <si>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</si>
  <si>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</si>
  <si>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</si>
  <si>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</si>
  <si>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</si>
  <si>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</si>
  <si>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</si>
  <si>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معسكرات التدريب الخارجية لسرية الـ م/د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</si>
  <si>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الشؤون الإدارية.</t>
    </r>
    <r>
      <rPr>
        <sz val="12"/>
        <color theme="1"/>
        <rFont val="Arial"/>
        <family val="2"/>
      </rPr>
      <t xml:space="preserve"> (يتم التأكد من التالي):</t>
    </r>
  </si>
  <si>
    <t>أ. المظهر العام للمعسكر من حيث (نصب الخيام، النظافة، مداخل ومخارج الطرق المؤدية واللوحات الإرشادية للمعسكر).</t>
  </si>
  <si>
    <t>ب. وجود وصلاحية مخازن الأسلحة والذخيرة والأرزاق.</t>
  </si>
  <si>
    <t>جـ. توفر وصلاحية مكاتب قيادة الوحدة.</t>
  </si>
  <si>
    <t>د. توفر وصلاحية مكتب المخابرة.</t>
  </si>
  <si>
    <t>هـ. توفر مواقف للآليات (مقاتلة، إدارية، وقود).</t>
  </si>
  <si>
    <t>و. وجود نظــام للتخلــص مـن النفايــات والمخلـفـات (الطبية والعضوية).</t>
  </si>
  <si>
    <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القوى البشرية والآليـات.</t>
    </r>
  </si>
  <si>
    <t>أ. نسبة الاستكمال من القوى البشرية وتشمل (المرتب، الموجود، المدربين، الموجود اليومي).</t>
  </si>
  <si>
    <t>ب. مدى استكمال التخصصات للمرتب.</t>
  </si>
  <si>
    <t>جـ. مدى استكمال التخصصات الأخرى الملحقة والمعينة (الإسناد الناري والإداري).</t>
  </si>
  <si>
    <t>د. نسبـة استكمال الآليات والمعدات الموجودة على المرتب.</t>
  </si>
  <si>
    <t>هـ. الحالة الفنية للآليات (أ، ب).</t>
  </si>
  <si>
    <r>
      <t>3.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الأسلحــة والذخائــر.</t>
    </r>
  </si>
  <si>
    <t>أ. توفر ذخيرة العمليات حسب مقياس الذخائر وحسب تعليمات رفع حالات الاستعداد القتالي.</t>
  </si>
  <si>
    <t>ب. توفر ذخيرة التدريب حسب المقياس.</t>
  </si>
  <si>
    <t>جـ. الحالة الفنية للذخائر.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</si>
  <si>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مواقف الآليات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عندما تكون محملة بالذخائر والوقود.</t>
    </r>
  </si>
  <si>
    <t>أ. توفر وصلاحية الإنارة في منطقة مواقف الآليات.</t>
  </si>
  <si>
    <t>ب. توفر وصلاحية وسيلة الاتصال.</t>
  </si>
  <si>
    <t>جـ. وجود وصلاحية طفايات الحريق ووجود بطاقة الصلاحية عليها بمواقف الآليات.</t>
  </si>
  <si>
    <t>د. مدى التقيد بالنظافة العامة في مواقف الآليات.</t>
  </si>
  <si>
    <r>
      <t>5.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مساعدات التدريب.</t>
    </r>
  </si>
  <si>
    <t>أ. وجود تعليمات وخطة التدريب لمعسكر التدريب الخارجي.</t>
  </si>
  <si>
    <t>ب. مدى تطابق خطة وتعليمات التدريب الخارجي مع خطة التدريب / الزمنية الشهرية للمستوى الأعلى.</t>
  </si>
  <si>
    <t>جـ. وجود برامج التدريب ومدى تطابقها مع خطة التدريب الشهرية.</t>
  </si>
  <si>
    <t>د. وجود وملائمة مناطق التدريب مع برنامج التدريب.</t>
  </si>
  <si>
    <t>هـ. وجود وثائق وتعليمات التمرين.</t>
  </si>
  <si>
    <t>و. وجود التعليمات التنظيمية للمعسكر.</t>
  </si>
  <si>
    <r>
      <t>6.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وجود خطة الدفاع والحراسة وخطة الحريق.</t>
    </r>
  </si>
  <si>
    <r>
      <t>7.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التدريب.</t>
    </r>
  </si>
  <si>
    <t>أ. التقيد بالتعليمات الإدارية للتدريب.</t>
  </si>
  <si>
    <t>ب. مدى إلمام المرتب والمتدربين بالتعليمات الإدارية.</t>
  </si>
  <si>
    <t>جـ. مدى إلمام المدربين بالتدريب.</t>
  </si>
  <si>
    <t>د. مدى سيطرة المدربين على المتدربين.</t>
  </si>
  <si>
    <t>هـ. مدى تقيد المدربين بتوجيه المتدربين وتصحيح الأخطاء.</t>
  </si>
  <si>
    <t>و. مدى التعاون والعمل بروح الفريق بين المتدربين.</t>
  </si>
  <si>
    <t>ز. التقيد بتوزيع المهام على المتدربين.</t>
  </si>
  <si>
    <t>ح. التقيد بتوقيتات التدريب.</t>
  </si>
  <si>
    <r>
      <t>8.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التقيد بارتداء اللباس الميداني حسب التعليمات.</t>
    </r>
  </si>
  <si>
    <r>
      <t>9.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الإشارة.</t>
    </r>
  </si>
  <si>
    <t>أ. مدى التقيد بالتعليمات الإشارية ومخططات شبكة الاتصالات.</t>
  </si>
  <si>
    <t>ب. توفر وصلاحية وسائل الاتصال في التمرين.</t>
  </si>
  <si>
    <t>جـ. مدى التقيد بأصول المخابرة الصحيحة والالتزام بالأمن اللاسلكي من قبل مستخدمي الأجهزة.</t>
  </si>
  <si>
    <t>د. مدى كفاءة الاتصالات في التمرين.</t>
  </si>
  <si>
    <r>
      <t>10.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Arial"/>
        <family val="2"/>
      </rPr>
      <t>الإشراف والمتابعة من المستوى الأعلى.</t>
    </r>
  </si>
  <si>
    <t>لا يتوفر سياج حول المعسكر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</si>
</sst>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  <font>
      <b/>
      <sz val="7"/>
      <color theme="1"/>
      <name val="Times New Roman"/>
      <family val="1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259695</xdr:colOff>
      <xdr:row>56</xdr:row>
      <xdr:rowOff>205520</xdr:rowOff>
    </xdr:from>
    <xdr:to>
      <xdr:col>9</xdr:col>
      <xdr:colOff>412863</xdr:colOff>
      <xdr:row>59</xdr:row>
      <xdr:rowOff>155022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E21F9E19-6F10-31FF-F162-80F1C50F515C}"/>
                </a:ext>
              </a:extLst>
            </xdr14:cNvPr>
            <xdr14:cNvContentPartPr/>
          </xdr14:nvContentPartPr>
          <xdr14:nvPr macro=""/>
          <xdr14:xfrm>
            <a:off x="11438026865" y="22430520"/>
            <a:ext cx="3016440" cy="130032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E21F9E19-6F10-31FF-F162-80F1C50F51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017865" y="22421880"/>
              <a:ext cx="3034080" cy="1317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8:15:30.0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979 2112,'0'0,"0"0,0 0,0 0,0 0,0 0,0 0,0 0,0 0,0 0,0 0,-15 0,0 16,15-14,-43 13,1 17,37-28,-46 24,8 5,37-28,-46 22,-6 22,52-42,-31 18,10 7,22-27,-18 7,23 4,0-13,28-6,57-13,-72 14,102-13,57-33,-149 42,153-37,69-38,-212 70,219-75,62-27,-269 96,253-80,29-33,-280 112,221-110,45-2,-266 111,206-124,34 14,-245 109,185-107,31-3,-220 111,125-75,-35 13,-111 69,65-41,-24 21,-50 27,27-7,-35-4,0 14,-43 20,-44 31,75-42,-89 35,-27 39,109-70,-120 43,-46 43,155-82,-141 83,-43 16,182-97,-163 96,8 16,160-108,-102 73,13 3,102-84,-57 39,15 12,47-54,-12 13,21-7,0-13,43-22,57-14,-86 29,86-56,29-5,-110 55,90-45,-9 6,-84 42,69-19,1-6,-73 28,30-25,-13 13,-73 49,-15-1,49-27,-68 56,-9 20,74-70,-46 42,-15-4,62-42,-33 51,-29-10,62-41,-21 35,4-10,24-27,8 6,24-27,-24 14,22-12,-13 14,-11 0,11-16,1 16,-11 0,-6-16,3 32,0-13,-29-6,-14 35,39-27,-63 39,-34 22,89-57,-104 62,-12 10,110-69,-106 74,39-22,72-55,-61 31,2 9,63-43,-10 5,34 5,-12-14,65-37,76-30,-123 56,156-96,53-24,-196 110,202-92,78-52,-267 139,249-130,74-25,-316 154,265-144,24 7,-292 137,198-96,7 7,-219 98,126-65,-35 33,-111 41,37-19,-24 10,-28 13,-62 38,-69 14,113-42,-167 67,-61 23,210-82,-217 84,-76 31,279-112,-277 110,-89 33,353-135,-320 127,-48 9,365-137,-300 129,-34 8,340-139,-257 100,-27 24,290-126,-210 71,-9 21,230-96,-176 79,-11 3,196-85,-121 36,25-1,108-42,-45 18,7 8,49-28,-25 6,6 5,23-14,-6-4,5 2,28 0,-38 16,15-14,-12-4,6 2,28 0,8-16,0 0,-26 14,93-45,32-34,-106 69,143-74,49-27,-184 97,197-114,58-32,-242 137,286-177,84-9,-357 182,260-153,56-12,-323 167,245-142,18-9,-263 151,175-107,32 3,-218 112,181-108,-19-2,-168 110,122-76,-41 14,-95 69,49-25,-9-11,-49 40,11-33,-5 9,-13 27,-33-23,-69-20,85 40,-99-17,-14-7,110 27,-50-23,-18-5,74 29,-61-24,3 12,59 14,-65-29,47 15,26 14,-7 4,-33-2,37 0,-31 0,-6 16,34-13,-24-6,2 19,30-13,-53 27,39 2,12-27,-22 39,38 21,-11-54,11 59,2 11,-13-70,24 75,1-5,-22-68,33 121,5 12,-36-125,29 71,-21 5,-13-81,11 34,-13 15,0-55,13 28,-13-5,0-28,14 38,15 22,-23-55,31 12,20 11,-48-28,68 6,51-11,-108 0,117 0,6 0,-121 0,113-16,8-1,-121 15,84-28,-20 14,-73 14,32-12,11 14,-45 0,36-16,-20 16,-22 0,21 16,-26 0,0-13,-31 10,-67 68,82-69,-127 58,-55 43,167-96,-168 96,-43 16,203-108,-151 89,34-29,132-69,-53 24,21 13,47-42,-24 2,33 7,0-14,12-4,31-14,-34 14,111-45,81-50,-172 82,227-83,101-49,-301 125,287-134,85-55,-364 180,273-116,48 1,-327 124,212-86,1-6,-232 98,93-16,-18-1,-94 28,3 10,-108 44,74-42,-193 83,-124 57,279-126,-330 136,-34 21,355-153,-413 177,-85 41,477-208,-427 174,-51 50,484-226,-368 178,-131 65,493-238,-328 151,22 6,331-168,-177 91,75-53,134-56,-42 31,49-24,15-15,0-2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A50" zoomScale="130" zoomScaleNormal="100" zoomScaleSheetLayoutView="130" workbookViewId="0">
      <selection activeCell="K55" sqref="K5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27</v>
      </c>
      <c r="D2" s="85"/>
      <c r="E2" s="13" t="s">
        <v>7</v>
      </c>
      <c r="F2" s="80">
        <v>45938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70</v>
      </c>
      <c r="D3" s="85"/>
      <c r="E3" s="13" t="s">
        <v>6</v>
      </c>
      <c r="F3" s="85" t="s">
        <v>115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0" t="s">
        <v>18</v>
      </c>
      <c r="F7" s="30" t="s">
        <v>19</v>
      </c>
      <c r="G7" s="30" t="s">
        <v>22</v>
      </c>
      <c r="H7" s="30" t="s">
        <v>20</v>
      </c>
      <c r="I7" s="94" t="s">
        <v>25</v>
      </c>
      <c r="J7" s="95"/>
    </row>
    <row r="8" spans="1:10" ht="30" customHeight="1" x14ac:dyDescent="0.3">
      <c r="A8" s="11"/>
      <c r="B8" s="54" t="s">
        <v>181</v>
      </c>
      <c r="C8" s="55"/>
      <c r="D8" s="55"/>
      <c r="E8" s="35"/>
      <c r="F8" s="36"/>
      <c r="G8" s="37"/>
      <c r="H8" s="38"/>
      <c r="I8" s="60"/>
      <c r="J8" s="61"/>
    </row>
    <row r="9" spans="1:10" ht="39.9" customHeight="1" x14ac:dyDescent="0.3">
      <c r="A9" s="11"/>
      <c r="B9" s="50" t="s">
        <v>182</v>
      </c>
      <c r="C9" s="51"/>
      <c r="D9" s="51"/>
      <c r="E9" s="34">
        <v>5</v>
      </c>
      <c r="F9" s="27">
        <v>3.75</v>
      </c>
      <c r="G9" s="32">
        <f>IFERROR(F9/E9,"")</f>
        <v>0.75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 t="s">
        <v>227</v>
      </c>
      <c r="J9" s="57"/>
    </row>
    <row r="10" spans="1:10" ht="30" customHeight="1" x14ac:dyDescent="0.3">
      <c r="A10" s="11"/>
      <c r="B10" s="50" t="s">
        <v>183</v>
      </c>
      <c r="C10" s="51"/>
      <c r="D10" s="51"/>
      <c r="E10" s="34">
        <v>5</v>
      </c>
      <c r="F10" s="27">
        <v>3.75</v>
      </c>
      <c r="G10" s="32">
        <f t="shared" ref="G10:G53" si="0">IFERROR(F10/E10,"")</f>
        <v>0.75</v>
      </c>
      <c r="H10" s="33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0" customHeight="1" x14ac:dyDescent="0.3">
      <c r="A11" s="11"/>
      <c r="B11" s="50" t="s">
        <v>184</v>
      </c>
      <c r="C11" s="51"/>
      <c r="D11" s="51"/>
      <c r="E11" s="34">
        <v>5</v>
      </c>
      <c r="F11" s="27">
        <v>3.5</v>
      </c>
      <c r="G11" s="32">
        <f t="shared" si="0"/>
        <v>0.7</v>
      </c>
      <c r="H11" s="33" t="str">
        <f t="shared" si="1"/>
        <v>جيد</v>
      </c>
      <c r="I11" s="56"/>
      <c r="J11" s="57"/>
    </row>
    <row r="12" spans="1:10" ht="30" customHeight="1" x14ac:dyDescent="0.3">
      <c r="A12" s="11"/>
      <c r="B12" s="50" t="s">
        <v>185</v>
      </c>
      <c r="C12" s="51"/>
      <c r="D12" s="51"/>
      <c r="E12" s="34">
        <v>5</v>
      </c>
      <c r="F12" s="27">
        <v>3.75</v>
      </c>
      <c r="G12" s="32">
        <f t="shared" si="0"/>
        <v>0.75</v>
      </c>
      <c r="H12" s="33" t="str">
        <f t="shared" si="1"/>
        <v>جيد</v>
      </c>
      <c r="I12" s="56"/>
      <c r="J12" s="57"/>
    </row>
    <row r="13" spans="1:10" ht="30" customHeight="1" x14ac:dyDescent="0.3">
      <c r="A13" s="11"/>
      <c r="B13" s="50" t="s">
        <v>186</v>
      </c>
      <c r="C13" s="51"/>
      <c r="D13" s="51"/>
      <c r="E13" s="34">
        <v>5</v>
      </c>
      <c r="F13" s="27">
        <v>3.5</v>
      </c>
      <c r="G13" s="32">
        <f t="shared" si="0"/>
        <v>0.7</v>
      </c>
      <c r="H13" s="33" t="str">
        <f t="shared" si="1"/>
        <v>جيد</v>
      </c>
      <c r="I13" s="56"/>
      <c r="J13" s="57"/>
    </row>
    <row r="14" spans="1:10" ht="30" customHeight="1" thickBot="1" x14ac:dyDescent="0.35">
      <c r="A14" s="11"/>
      <c r="B14" s="52" t="s">
        <v>187</v>
      </c>
      <c r="C14" s="53"/>
      <c r="D14" s="53"/>
      <c r="E14" s="39">
        <v>5</v>
      </c>
      <c r="F14" s="29">
        <v>3.75</v>
      </c>
      <c r="G14" s="40">
        <f t="shared" si="0"/>
        <v>0.75</v>
      </c>
      <c r="H14" s="41" t="str">
        <f t="shared" si="1"/>
        <v>جيد</v>
      </c>
      <c r="I14" s="58"/>
      <c r="J14" s="59"/>
    </row>
    <row r="15" spans="1:10" ht="30" customHeight="1" x14ac:dyDescent="0.3">
      <c r="A15" s="11"/>
      <c r="B15" s="48" t="s">
        <v>188</v>
      </c>
      <c r="C15" s="49"/>
      <c r="D15" s="49"/>
      <c r="E15" s="35"/>
      <c r="F15" s="36"/>
      <c r="G15" s="37"/>
      <c r="H15" s="38"/>
      <c r="I15" s="60"/>
      <c r="J15" s="61"/>
    </row>
    <row r="16" spans="1:10" ht="39.9" customHeight="1" x14ac:dyDescent="0.3">
      <c r="A16" s="11"/>
      <c r="B16" s="50" t="s">
        <v>189</v>
      </c>
      <c r="C16" s="51"/>
      <c r="D16" s="51"/>
      <c r="E16" s="34">
        <v>5</v>
      </c>
      <c r="F16" s="27">
        <v>3.5</v>
      </c>
      <c r="G16" s="32">
        <f t="shared" si="0"/>
        <v>0.7</v>
      </c>
      <c r="H16" s="33" t="str">
        <f t="shared" si="1"/>
        <v>جيد</v>
      </c>
      <c r="I16" s="56"/>
      <c r="J16" s="57"/>
    </row>
    <row r="17" spans="1:10" ht="30" customHeight="1" x14ac:dyDescent="0.3">
      <c r="A17" s="11"/>
      <c r="B17" s="50" t="s">
        <v>190</v>
      </c>
      <c r="C17" s="51"/>
      <c r="D17" s="51"/>
      <c r="E17" s="34">
        <v>5</v>
      </c>
      <c r="F17" s="27">
        <v>3.5</v>
      </c>
      <c r="G17" s="32">
        <f t="shared" si="0"/>
        <v>0.7</v>
      </c>
      <c r="H17" s="33" t="str">
        <f t="shared" si="1"/>
        <v>جيد</v>
      </c>
      <c r="I17" s="56"/>
      <c r="J17" s="57"/>
    </row>
    <row r="18" spans="1:10" ht="39.9" customHeight="1" x14ac:dyDescent="0.3">
      <c r="A18" s="11"/>
      <c r="B18" s="50" t="s">
        <v>191</v>
      </c>
      <c r="C18" s="51"/>
      <c r="D18" s="51"/>
      <c r="E18" s="34">
        <v>5</v>
      </c>
      <c r="F18" s="27">
        <v>3.5</v>
      </c>
      <c r="G18" s="32">
        <f t="shared" si="0"/>
        <v>0.7</v>
      </c>
      <c r="H18" s="33" t="str">
        <f t="shared" si="1"/>
        <v>جيد</v>
      </c>
      <c r="I18" s="56"/>
      <c r="J18" s="57"/>
    </row>
    <row r="19" spans="1:10" ht="30" customHeight="1" x14ac:dyDescent="0.3">
      <c r="A19" s="11"/>
      <c r="B19" s="50" t="s">
        <v>192</v>
      </c>
      <c r="C19" s="51"/>
      <c r="D19" s="51"/>
      <c r="E19" s="34">
        <v>5</v>
      </c>
      <c r="F19" s="27">
        <v>3.75</v>
      </c>
      <c r="G19" s="32">
        <f t="shared" si="0"/>
        <v>0.75</v>
      </c>
      <c r="H19" s="33" t="str">
        <f t="shared" si="1"/>
        <v>جيد</v>
      </c>
      <c r="I19" s="56"/>
      <c r="J19" s="57"/>
    </row>
    <row r="20" spans="1:10" ht="30" customHeight="1" thickBot="1" x14ac:dyDescent="0.35">
      <c r="A20" s="11"/>
      <c r="B20" s="52" t="s">
        <v>193</v>
      </c>
      <c r="C20" s="53"/>
      <c r="D20" s="53"/>
      <c r="E20" s="39">
        <v>5</v>
      </c>
      <c r="F20" s="29">
        <v>3.75</v>
      </c>
      <c r="G20" s="40">
        <f t="shared" si="0"/>
        <v>0.75</v>
      </c>
      <c r="H20" s="41" t="str">
        <f t="shared" si="1"/>
        <v>جيد</v>
      </c>
      <c r="I20" s="58"/>
      <c r="J20" s="59"/>
    </row>
    <row r="21" spans="1:10" ht="30" customHeight="1" x14ac:dyDescent="0.3">
      <c r="A21" s="11"/>
      <c r="B21" s="48" t="s">
        <v>194</v>
      </c>
      <c r="C21" s="49"/>
      <c r="D21" s="49"/>
      <c r="E21" s="35"/>
      <c r="F21" s="36"/>
      <c r="G21" s="37"/>
      <c r="H21" s="38"/>
      <c r="I21" s="60"/>
      <c r="J21" s="61"/>
    </row>
    <row r="22" spans="1:10" ht="39.9" customHeight="1" x14ac:dyDescent="0.3">
      <c r="A22" s="11"/>
      <c r="B22" s="50" t="s">
        <v>195</v>
      </c>
      <c r="C22" s="51"/>
      <c r="D22" s="51"/>
      <c r="E22" s="34">
        <v>5</v>
      </c>
      <c r="F22" s="27">
        <v>4</v>
      </c>
      <c r="G22" s="32">
        <f t="shared" si="0"/>
        <v>0.8</v>
      </c>
      <c r="H22" s="33" t="str">
        <f t="shared" si="1"/>
        <v>جيد جداً</v>
      </c>
      <c r="I22" s="56"/>
      <c r="J22" s="57"/>
    </row>
    <row r="23" spans="1:10" ht="30" customHeight="1" x14ac:dyDescent="0.3">
      <c r="A23" s="11"/>
      <c r="B23" s="50" t="s">
        <v>196</v>
      </c>
      <c r="C23" s="51"/>
      <c r="D23" s="51"/>
      <c r="E23" s="34">
        <v>5</v>
      </c>
      <c r="F23" s="27">
        <v>3.5</v>
      </c>
      <c r="G23" s="32">
        <f t="shared" si="0"/>
        <v>0.7</v>
      </c>
      <c r="H23" s="33" t="str">
        <f t="shared" si="1"/>
        <v>جيد</v>
      </c>
      <c r="I23" s="56"/>
      <c r="J23" s="57"/>
    </row>
    <row r="24" spans="1:10" ht="30" customHeight="1" thickBot="1" x14ac:dyDescent="0.35">
      <c r="A24" s="11"/>
      <c r="B24" s="52" t="s">
        <v>197</v>
      </c>
      <c r="C24" s="53"/>
      <c r="D24" s="53"/>
      <c r="E24" s="39">
        <v>5</v>
      </c>
      <c r="F24" s="29">
        <v>3.75</v>
      </c>
      <c r="G24" s="40">
        <f t="shared" si="0"/>
        <v>0.75</v>
      </c>
      <c r="H24" s="41" t="str">
        <f t="shared" si="1"/>
        <v>جيد</v>
      </c>
      <c r="I24" s="58"/>
      <c r="J24" s="59"/>
    </row>
    <row r="25" spans="1:10" ht="30" customHeight="1" x14ac:dyDescent="0.3">
      <c r="A25" s="11"/>
      <c r="B25" s="54" t="s">
        <v>198</v>
      </c>
      <c r="C25" s="55"/>
      <c r="D25" s="55"/>
      <c r="E25" s="35"/>
      <c r="F25" s="36"/>
      <c r="G25" s="37"/>
      <c r="H25" s="38"/>
      <c r="I25" s="60"/>
      <c r="J25" s="61"/>
    </row>
    <row r="26" spans="1:10" ht="30" customHeight="1" x14ac:dyDescent="0.3">
      <c r="A26" s="11"/>
      <c r="B26" s="50" t="s">
        <v>199</v>
      </c>
      <c r="C26" s="51"/>
      <c r="D26" s="51"/>
      <c r="E26" s="9">
        <v>0</v>
      </c>
      <c r="F26" s="27" t="s">
        <v>17</v>
      </c>
      <c r="G26" s="32" t="str">
        <f t="shared" si="0"/>
        <v/>
      </c>
      <c r="H26" s="33" t="str">
        <f t="shared" si="1"/>
        <v>تم الإلغاء</v>
      </c>
      <c r="I26" s="56"/>
      <c r="J26" s="57"/>
    </row>
    <row r="27" spans="1:10" ht="30" customHeight="1" x14ac:dyDescent="0.3">
      <c r="A27" s="11"/>
      <c r="B27" s="50" t="s">
        <v>200</v>
      </c>
      <c r="C27" s="51"/>
      <c r="D27" s="51"/>
      <c r="E27" s="9">
        <v>5</v>
      </c>
      <c r="F27" s="27">
        <v>3.5</v>
      </c>
      <c r="G27" s="32">
        <f t="shared" si="0"/>
        <v>0.7</v>
      </c>
      <c r="H27" s="33" t="str">
        <f t="shared" si="1"/>
        <v>جيد</v>
      </c>
      <c r="I27" s="56"/>
      <c r="J27" s="57"/>
    </row>
    <row r="28" spans="1:10" ht="39.9" customHeight="1" x14ac:dyDescent="0.3">
      <c r="A28" s="11"/>
      <c r="B28" s="50" t="s">
        <v>201</v>
      </c>
      <c r="C28" s="51"/>
      <c r="D28" s="51"/>
      <c r="E28" s="9">
        <v>5</v>
      </c>
      <c r="F28" s="27">
        <v>3.75</v>
      </c>
      <c r="G28" s="32">
        <f t="shared" si="0"/>
        <v>0.75</v>
      </c>
      <c r="H28" s="33" t="str">
        <f t="shared" si="1"/>
        <v>جيد</v>
      </c>
      <c r="I28" s="56"/>
      <c r="J28" s="57"/>
    </row>
    <row r="29" spans="1:10" ht="30" customHeight="1" thickBot="1" x14ac:dyDescent="0.35">
      <c r="A29" s="11"/>
      <c r="B29" s="52" t="s">
        <v>202</v>
      </c>
      <c r="C29" s="53"/>
      <c r="D29" s="53"/>
      <c r="E29" s="45">
        <v>5</v>
      </c>
      <c r="F29" s="29">
        <v>3.75</v>
      </c>
      <c r="G29" s="40">
        <f t="shared" si="0"/>
        <v>0.75</v>
      </c>
      <c r="H29" s="41" t="str">
        <f t="shared" si="1"/>
        <v>جيد</v>
      </c>
      <c r="I29" s="58"/>
      <c r="J29" s="59"/>
    </row>
    <row r="30" spans="1:10" ht="30" customHeight="1" x14ac:dyDescent="0.3">
      <c r="A30" s="11"/>
      <c r="B30" s="48" t="s">
        <v>203</v>
      </c>
      <c r="C30" s="49"/>
      <c r="D30" s="49"/>
      <c r="E30" s="35"/>
      <c r="F30" s="36"/>
      <c r="G30" s="37"/>
      <c r="H30" s="38"/>
      <c r="I30" s="60"/>
      <c r="J30" s="61"/>
    </row>
    <row r="31" spans="1:10" ht="30" customHeight="1" x14ac:dyDescent="0.3">
      <c r="A31" s="11"/>
      <c r="B31" s="50" t="s">
        <v>204</v>
      </c>
      <c r="C31" s="51"/>
      <c r="D31" s="51"/>
      <c r="E31" s="34">
        <v>5</v>
      </c>
      <c r="F31" s="27">
        <v>3.75</v>
      </c>
      <c r="G31" s="32">
        <f t="shared" si="0"/>
        <v>0.75</v>
      </c>
      <c r="H31" s="33" t="str">
        <f t="shared" si="1"/>
        <v>جيد</v>
      </c>
      <c r="I31" s="56"/>
      <c r="J31" s="57"/>
    </row>
    <row r="32" spans="1:10" ht="39.9" customHeight="1" x14ac:dyDescent="0.3">
      <c r="A32" s="11"/>
      <c r="B32" s="50" t="s">
        <v>205</v>
      </c>
      <c r="C32" s="51"/>
      <c r="D32" s="51"/>
      <c r="E32" s="34">
        <v>5</v>
      </c>
      <c r="F32" s="27">
        <v>3.5</v>
      </c>
      <c r="G32" s="32">
        <f t="shared" si="0"/>
        <v>0.7</v>
      </c>
      <c r="H32" s="33" t="str">
        <f t="shared" si="1"/>
        <v>جيد</v>
      </c>
      <c r="I32" s="56"/>
      <c r="J32" s="57"/>
    </row>
    <row r="33" spans="1:10" ht="30" customHeight="1" x14ac:dyDescent="0.3">
      <c r="A33" s="11"/>
      <c r="B33" s="50" t="s">
        <v>206</v>
      </c>
      <c r="C33" s="51"/>
      <c r="D33" s="51"/>
      <c r="E33" s="34">
        <v>5</v>
      </c>
      <c r="F33" s="27">
        <v>3.5</v>
      </c>
      <c r="G33" s="32">
        <f t="shared" si="0"/>
        <v>0.7</v>
      </c>
      <c r="H33" s="33" t="str">
        <f t="shared" si="1"/>
        <v>جيد</v>
      </c>
      <c r="I33" s="56"/>
      <c r="J33" s="57"/>
    </row>
    <row r="34" spans="1:10" ht="30" customHeight="1" x14ac:dyDescent="0.3">
      <c r="A34" s="11"/>
      <c r="B34" s="50" t="s">
        <v>207</v>
      </c>
      <c r="C34" s="51"/>
      <c r="D34" s="51"/>
      <c r="E34" s="34">
        <v>5</v>
      </c>
      <c r="F34" s="27">
        <v>3.75</v>
      </c>
      <c r="G34" s="32">
        <f t="shared" si="0"/>
        <v>0.75</v>
      </c>
      <c r="H34" s="33" t="str">
        <f t="shared" si="1"/>
        <v>جيد</v>
      </c>
      <c r="I34" s="56"/>
      <c r="J34" s="57"/>
    </row>
    <row r="35" spans="1:10" ht="30" customHeight="1" x14ac:dyDescent="0.3">
      <c r="A35" s="11"/>
      <c r="B35" s="50" t="s">
        <v>208</v>
      </c>
      <c r="C35" s="51"/>
      <c r="D35" s="51"/>
      <c r="E35" s="34">
        <v>5</v>
      </c>
      <c r="F35" s="27">
        <v>3.75</v>
      </c>
      <c r="G35" s="32">
        <f t="shared" si="0"/>
        <v>0.75</v>
      </c>
      <c r="H35" s="33" t="str">
        <f t="shared" si="1"/>
        <v>جيد</v>
      </c>
      <c r="I35" s="56"/>
      <c r="J35" s="57"/>
    </row>
    <row r="36" spans="1:10" ht="30" customHeight="1" thickBot="1" x14ac:dyDescent="0.35">
      <c r="A36" s="11"/>
      <c r="B36" s="52" t="s">
        <v>209</v>
      </c>
      <c r="C36" s="53"/>
      <c r="D36" s="53"/>
      <c r="E36" s="39">
        <v>5</v>
      </c>
      <c r="F36" s="29">
        <v>3.5</v>
      </c>
      <c r="G36" s="40">
        <f t="shared" si="0"/>
        <v>0.7</v>
      </c>
      <c r="H36" s="41" t="str">
        <f t="shared" si="1"/>
        <v>جيد</v>
      </c>
      <c r="I36" s="58"/>
      <c r="J36" s="59"/>
    </row>
    <row r="37" spans="1:10" ht="30" customHeight="1" thickBot="1" x14ac:dyDescent="0.35">
      <c r="A37" s="11"/>
      <c r="B37" s="46" t="s">
        <v>210</v>
      </c>
      <c r="C37" s="47"/>
      <c r="D37" s="47"/>
      <c r="E37" s="42">
        <v>6</v>
      </c>
      <c r="F37" s="43">
        <v>4.25</v>
      </c>
      <c r="G37" s="44">
        <f t="shared" si="0"/>
        <v>0.70833333333333337</v>
      </c>
      <c r="H37" s="28" t="str">
        <f t="shared" si="1"/>
        <v>جيد</v>
      </c>
      <c r="I37" s="72"/>
      <c r="J37" s="73"/>
    </row>
    <row r="38" spans="1:10" ht="30" customHeight="1" x14ac:dyDescent="0.3">
      <c r="A38" s="11"/>
      <c r="B38" s="48" t="s">
        <v>211</v>
      </c>
      <c r="C38" s="49"/>
      <c r="D38" s="49"/>
      <c r="E38" s="35"/>
      <c r="F38" s="36"/>
      <c r="G38" s="37"/>
      <c r="H38" s="38"/>
      <c r="I38" s="60"/>
      <c r="J38" s="61"/>
    </row>
    <row r="39" spans="1:10" ht="30" customHeight="1" x14ac:dyDescent="0.3">
      <c r="A39" s="11"/>
      <c r="B39" s="50" t="s">
        <v>212</v>
      </c>
      <c r="C39" s="51"/>
      <c r="D39" s="51"/>
      <c r="E39" s="34">
        <v>5</v>
      </c>
      <c r="F39" s="27">
        <v>3.75</v>
      </c>
      <c r="G39" s="32">
        <f t="shared" si="0"/>
        <v>0.75</v>
      </c>
      <c r="H39" s="33" t="str">
        <f t="shared" si="1"/>
        <v>جيد</v>
      </c>
      <c r="I39" s="56"/>
      <c r="J39" s="57"/>
    </row>
    <row r="40" spans="1:10" ht="30" customHeight="1" x14ac:dyDescent="0.3">
      <c r="A40" s="11"/>
      <c r="B40" s="50" t="s">
        <v>213</v>
      </c>
      <c r="C40" s="51"/>
      <c r="D40" s="51"/>
      <c r="E40" s="34">
        <v>5</v>
      </c>
      <c r="F40" s="27">
        <v>3.75</v>
      </c>
      <c r="G40" s="32">
        <f t="shared" si="0"/>
        <v>0.75</v>
      </c>
      <c r="H40" s="33" t="str">
        <f t="shared" si="1"/>
        <v>جيد</v>
      </c>
      <c r="I40" s="56"/>
      <c r="J40" s="57"/>
    </row>
    <row r="41" spans="1:10" ht="30" customHeight="1" x14ac:dyDescent="0.3">
      <c r="A41" s="11"/>
      <c r="B41" s="50" t="s">
        <v>214</v>
      </c>
      <c r="C41" s="51"/>
      <c r="D41" s="51"/>
      <c r="E41" s="34">
        <v>5</v>
      </c>
      <c r="F41" s="27">
        <v>3.5</v>
      </c>
      <c r="G41" s="32">
        <f t="shared" si="0"/>
        <v>0.7</v>
      </c>
      <c r="H41" s="33" t="str">
        <f t="shared" si="1"/>
        <v>جيد</v>
      </c>
      <c r="I41" s="56"/>
      <c r="J41" s="57"/>
    </row>
    <row r="42" spans="1:10" ht="30" customHeight="1" x14ac:dyDescent="0.3">
      <c r="A42" s="11"/>
      <c r="B42" s="50" t="s">
        <v>215</v>
      </c>
      <c r="C42" s="51"/>
      <c r="D42" s="51"/>
      <c r="E42" s="34">
        <v>5</v>
      </c>
      <c r="F42" s="27">
        <v>3.75</v>
      </c>
      <c r="G42" s="32">
        <f t="shared" si="0"/>
        <v>0.75</v>
      </c>
      <c r="H42" s="33" t="str">
        <f t="shared" si="1"/>
        <v>جيد</v>
      </c>
      <c r="I42" s="56"/>
      <c r="J42" s="57"/>
    </row>
    <row r="43" spans="1:10" ht="30" customHeight="1" x14ac:dyDescent="0.3">
      <c r="A43" s="11"/>
      <c r="B43" s="50" t="s">
        <v>216</v>
      </c>
      <c r="C43" s="51"/>
      <c r="D43" s="51"/>
      <c r="E43" s="34">
        <v>5</v>
      </c>
      <c r="F43" s="27">
        <v>3.5</v>
      </c>
      <c r="G43" s="32">
        <f t="shared" si="0"/>
        <v>0.7</v>
      </c>
      <c r="H43" s="33" t="str">
        <f t="shared" si="1"/>
        <v>جيد</v>
      </c>
      <c r="I43" s="56"/>
      <c r="J43" s="57"/>
    </row>
    <row r="44" spans="1:10" ht="30" customHeight="1" x14ac:dyDescent="0.3">
      <c r="A44" s="11"/>
      <c r="B44" s="50" t="s">
        <v>217</v>
      </c>
      <c r="C44" s="51"/>
      <c r="D44" s="51"/>
      <c r="E44" s="34">
        <v>5</v>
      </c>
      <c r="F44" s="27">
        <v>3.5</v>
      </c>
      <c r="G44" s="32">
        <f t="shared" si="0"/>
        <v>0.7</v>
      </c>
      <c r="H44" s="33" t="str">
        <f t="shared" si="1"/>
        <v>جيد</v>
      </c>
      <c r="I44" s="56"/>
      <c r="J44" s="57"/>
    </row>
    <row r="45" spans="1:10" ht="30" customHeight="1" x14ac:dyDescent="0.3">
      <c r="A45" s="11"/>
      <c r="B45" s="50" t="s">
        <v>218</v>
      </c>
      <c r="C45" s="51"/>
      <c r="D45" s="51"/>
      <c r="E45" s="34">
        <v>5</v>
      </c>
      <c r="F45" s="27">
        <v>3.75</v>
      </c>
      <c r="G45" s="32">
        <f t="shared" si="0"/>
        <v>0.75</v>
      </c>
      <c r="H45" s="33" t="str">
        <f t="shared" si="1"/>
        <v>جيد</v>
      </c>
      <c r="I45" s="56"/>
      <c r="J45" s="57"/>
    </row>
    <row r="46" spans="1:10" ht="30" customHeight="1" thickBot="1" x14ac:dyDescent="0.35">
      <c r="A46" s="11"/>
      <c r="B46" s="52" t="s">
        <v>219</v>
      </c>
      <c r="C46" s="53"/>
      <c r="D46" s="53"/>
      <c r="E46" s="39">
        <v>5</v>
      </c>
      <c r="F46" s="29">
        <v>3.5</v>
      </c>
      <c r="G46" s="40">
        <f t="shared" si="0"/>
        <v>0.7</v>
      </c>
      <c r="H46" s="41" t="str">
        <f t="shared" si="1"/>
        <v>جيد</v>
      </c>
      <c r="I46" s="58"/>
      <c r="J46" s="59"/>
    </row>
    <row r="47" spans="1:10" ht="30" customHeight="1" thickBot="1" x14ac:dyDescent="0.35">
      <c r="A47" s="11"/>
      <c r="B47" s="46" t="s">
        <v>220</v>
      </c>
      <c r="C47" s="47"/>
      <c r="D47" s="47"/>
      <c r="E47" s="10">
        <v>8</v>
      </c>
      <c r="F47" s="43">
        <v>6.5</v>
      </c>
      <c r="G47" s="44">
        <f t="shared" si="0"/>
        <v>0.8125</v>
      </c>
      <c r="H47" s="28" t="str">
        <f t="shared" si="1"/>
        <v>جيد جداً</v>
      </c>
      <c r="I47" s="72"/>
      <c r="J47" s="73"/>
    </row>
    <row r="48" spans="1:10" ht="30" customHeight="1" x14ac:dyDescent="0.3">
      <c r="A48" s="11"/>
      <c r="B48" s="48" t="s">
        <v>221</v>
      </c>
      <c r="C48" s="49"/>
      <c r="D48" s="49"/>
      <c r="E48" s="35"/>
      <c r="F48" s="36"/>
      <c r="G48" s="37"/>
      <c r="H48" s="38"/>
      <c r="I48" s="60"/>
      <c r="J48" s="61"/>
    </row>
    <row r="49" spans="1:10" ht="30" customHeight="1" x14ac:dyDescent="0.3">
      <c r="A49" s="11"/>
      <c r="B49" s="50" t="s">
        <v>222</v>
      </c>
      <c r="C49" s="51"/>
      <c r="D49" s="51"/>
      <c r="E49" s="34">
        <v>5</v>
      </c>
      <c r="F49" s="27">
        <v>3.75</v>
      </c>
      <c r="G49" s="32">
        <f t="shared" si="0"/>
        <v>0.75</v>
      </c>
      <c r="H49" s="33" t="str">
        <f t="shared" si="1"/>
        <v>جيد</v>
      </c>
      <c r="I49" s="56"/>
      <c r="J49" s="57"/>
    </row>
    <row r="50" spans="1:10" ht="30" customHeight="1" x14ac:dyDescent="0.3">
      <c r="A50" s="11"/>
      <c r="B50" s="50" t="s">
        <v>223</v>
      </c>
      <c r="C50" s="51"/>
      <c r="D50" s="51"/>
      <c r="E50" s="34">
        <v>5</v>
      </c>
      <c r="F50" s="27">
        <v>3.75</v>
      </c>
      <c r="G50" s="32">
        <f t="shared" si="0"/>
        <v>0.75</v>
      </c>
      <c r="H50" s="33" t="str">
        <f t="shared" si="1"/>
        <v>جيد</v>
      </c>
      <c r="I50" s="56"/>
      <c r="J50" s="57"/>
    </row>
    <row r="51" spans="1:10" ht="39.9" customHeight="1" x14ac:dyDescent="0.3">
      <c r="A51" s="11"/>
      <c r="B51" s="50" t="s">
        <v>224</v>
      </c>
      <c r="C51" s="51"/>
      <c r="D51" s="51"/>
      <c r="E51" s="34">
        <v>5</v>
      </c>
      <c r="F51" s="27">
        <v>3.75</v>
      </c>
      <c r="G51" s="32">
        <f t="shared" si="0"/>
        <v>0.75</v>
      </c>
      <c r="H51" s="33" t="str">
        <f t="shared" si="1"/>
        <v>جيد</v>
      </c>
      <c r="I51" s="56"/>
      <c r="J51" s="57"/>
    </row>
    <row r="52" spans="1:10" ht="30" customHeight="1" thickBot="1" x14ac:dyDescent="0.35">
      <c r="A52" s="11"/>
      <c r="B52" s="52" t="s">
        <v>225</v>
      </c>
      <c r="C52" s="53"/>
      <c r="D52" s="53"/>
      <c r="E52" s="39">
        <v>5</v>
      </c>
      <c r="F52" s="29">
        <v>3.75</v>
      </c>
      <c r="G52" s="40">
        <f t="shared" si="0"/>
        <v>0.75</v>
      </c>
      <c r="H52" s="41" t="str">
        <f t="shared" si="1"/>
        <v>جيد</v>
      </c>
      <c r="I52" s="58"/>
      <c r="J52" s="59"/>
    </row>
    <row r="53" spans="1:10" ht="30" customHeight="1" thickBot="1" x14ac:dyDescent="0.35">
      <c r="A53" s="11"/>
      <c r="B53" s="46" t="s">
        <v>226</v>
      </c>
      <c r="C53" s="47"/>
      <c r="D53" s="47"/>
      <c r="E53" s="42">
        <v>6</v>
      </c>
      <c r="F53" s="43">
        <v>5.25</v>
      </c>
      <c r="G53" s="44">
        <f t="shared" si="0"/>
        <v>0.875</v>
      </c>
      <c r="H53" s="28" t="str">
        <f t="shared" si="1"/>
        <v>جيد جداً</v>
      </c>
      <c r="I53" s="72"/>
      <c r="J53" s="73"/>
    </row>
    <row r="54" spans="1:10" ht="30" customHeight="1" thickBot="1" x14ac:dyDescent="0.35">
      <c r="A54" s="4"/>
      <c r="B54" s="62" t="s">
        <v>5</v>
      </c>
      <c r="C54" s="63"/>
      <c r="D54" s="63"/>
      <c r="E54" s="31">
        <f>SUM(E8:E53)</f>
        <v>195</v>
      </c>
      <c r="F54" s="31">
        <f>SUM(F8:F53)</f>
        <v>144</v>
      </c>
      <c r="G54" s="76"/>
      <c r="H54" s="77"/>
      <c r="I54" s="77"/>
      <c r="J54" s="78"/>
    </row>
    <row r="55" spans="1:10" ht="30" customHeight="1" thickBot="1" x14ac:dyDescent="0.35">
      <c r="A55" s="4"/>
      <c r="B55" s="64" t="s">
        <v>54</v>
      </c>
      <c r="C55" s="65"/>
      <c r="D55" s="65"/>
      <c r="E55" s="86">
        <f>F54/E54/100*100</f>
        <v>0.7384615384615385</v>
      </c>
      <c r="F55" s="86"/>
      <c r="G55" s="86"/>
      <c r="H55" s="86"/>
      <c r="I55" s="86"/>
      <c r="J55" s="87"/>
    </row>
    <row r="56" spans="1:10" ht="30" customHeight="1" thickBot="1" x14ac:dyDescent="0.35">
      <c r="A56" s="4"/>
      <c r="B56" s="64" t="s">
        <v>55</v>
      </c>
      <c r="C56" s="65"/>
      <c r="D56" s="65"/>
      <c r="E56" s="70" t="str">
        <f>_xlfn.IFS(E55&gt;=90%,"ممتاز",E55&gt;=80%,"جيد جداً",E55&gt;=70%,"جيد",E55&gt;=60%,"مقبول",E55&lt;60%,"راسب")</f>
        <v>جيد</v>
      </c>
      <c r="F56" s="70"/>
      <c r="G56" s="70"/>
      <c r="H56" s="70"/>
      <c r="I56" s="70"/>
      <c r="J56" s="71"/>
    </row>
    <row r="57" spans="1:10" ht="42" customHeight="1" x14ac:dyDescent="0.3">
      <c r="B57" s="66" t="s">
        <v>174</v>
      </c>
      <c r="C57" s="66"/>
      <c r="D57" s="66"/>
      <c r="E57" s="74" t="s">
        <v>52</v>
      </c>
      <c r="F57" s="74"/>
      <c r="G57" s="68" t="s">
        <v>115</v>
      </c>
      <c r="H57" s="68"/>
      <c r="I57" s="68"/>
      <c r="J57" s="68"/>
    </row>
    <row r="58" spans="1:10" ht="51" customHeight="1" x14ac:dyDescent="0.3">
      <c r="A58" s="5"/>
      <c r="B58" s="67"/>
      <c r="C58" s="67"/>
      <c r="D58" s="67"/>
      <c r="E58" s="75" t="s">
        <v>53</v>
      </c>
      <c r="F58" s="75"/>
      <c r="G58" s="69"/>
      <c r="H58" s="69"/>
      <c r="I58" s="69"/>
      <c r="J58" s="6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3">
    <mergeCell ref="B1:J1"/>
    <mergeCell ref="F2:J2"/>
    <mergeCell ref="B5:D6"/>
    <mergeCell ref="C2:D2"/>
    <mergeCell ref="C3:D3"/>
    <mergeCell ref="F3:J3"/>
    <mergeCell ref="E55:J5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7:D58"/>
    <mergeCell ref="G57:J57"/>
    <mergeCell ref="G58:J58"/>
    <mergeCell ref="E56:J5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45:J45"/>
    <mergeCell ref="I46:J46"/>
    <mergeCell ref="I47:J47"/>
    <mergeCell ref="I48:J48"/>
    <mergeCell ref="E57:F57"/>
    <mergeCell ref="E58:F58"/>
    <mergeCell ref="G54:J54"/>
    <mergeCell ref="I32:J32"/>
    <mergeCell ref="I33:J33"/>
    <mergeCell ref="I34:J34"/>
    <mergeCell ref="I35:J35"/>
    <mergeCell ref="I36:J36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14" priority="57">
      <formula>$E56="راسب"</formula>
    </cfRule>
  </conditionalFormatting>
  <conditionalFormatting sqref="E56:J56">
    <cfRule type="expression" dxfId="13" priority="58">
      <formula>$E56="مقبول"</formula>
    </cfRule>
    <cfRule type="expression" dxfId="12" priority="59">
      <formula>$E56="جيد"</formula>
    </cfRule>
    <cfRule type="expression" dxfId="11" priority="60">
      <formula>$E56="جيد جداً"</formula>
    </cfRule>
    <cfRule type="expression" dxfId="10" priority="61">
      <formula>$E56="ممتاز"</formula>
    </cfRule>
  </conditionalFormatting>
  <conditionalFormatting sqref="F8:F5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6" priority="15" operator="containsText" text="أدخل اسم المحكم">
      <formula>NOT(ISERROR(SEARCH("أدخل اسم المحكم",G57)))</formula>
    </cfRule>
  </conditionalFormatting>
  <conditionalFormatting sqref="H8:H5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F31:F36 F49:F52 F9:F14 F26:F29 F22:F24 F16:F20 F39:F46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AEEAC126-104A-4B5D-8B1C-862A877AFF62}">
          <x14:formula1>
            <xm:f>'بيانات التقييم'!$A$111:$A$137</xm:f>
          </x14:formula1>
          <xm:sqref>F37 F53</xm:sqref>
        </x14:dataValidation>
        <x14:dataValidation type="list" allowBlank="1" showInputMessage="1" showErrorMessage="1" xr:uid="{45FDF3E7-1044-4DB9-95F9-93B32505CDCD}">
          <x14:formula1>
            <xm:f>'بيانات التقييم'!$A$111:$A$145</xm:f>
          </x14:formula1>
          <xm:sqref>F47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9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2025-10-08T21:15:10Z</dcterms:modified>
</cp:coreProperties>
</file>