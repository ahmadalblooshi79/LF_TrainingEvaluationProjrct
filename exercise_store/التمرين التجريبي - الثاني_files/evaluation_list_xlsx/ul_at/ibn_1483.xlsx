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3C178D6-AC7B-4ED0-9FC7-F4B95DAE13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2" l="1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20" i="2"/>
  <c r="H20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7" i="2"/>
  <c r="H17" i="2"/>
  <c r="G18" i="2"/>
  <c r="H18" i="2"/>
  <c r="G19" i="2"/>
  <c r="H19" i="2"/>
  <c r="G21" i="2"/>
  <c r="H21" i="2"/>
  <c r="G22" i="2"/>
  <c r="H22" i="2"/>
  <c r="G67" i="2"/>
  <c r="H67" i="2"/>
  <c r="G68" i="2"/>
  <c r="H68" i="2"/>
  <c r="F69" i="2"/>
  <c r="E69" i="2"/>
  <c r="E70" i="2" l="1"/>
  <c r="E71" i="2" s="1"/>
</calcChain>
</file>

<file path=xl/sharedStrings.xml><?xml version="1.0" encoding="utf-8"?>
<sst xmlns="http://schemas.openxmlformats.org/spreadsheetml/2006/main" count="300" uniqueCount="244">
  <si>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</si>
  <si>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</si>
  <si>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</si>
  <si>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</si>
  <si>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</si>
  <si>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</si>
  <si>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</si>
  <si>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</si>
  <si>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</si>
  <si>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</si>
  <si>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</si>
  <si>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</si>
  <si>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</si>
  <si>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</si>
  <si>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</si>
  <si>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</si>
  <si>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</si>
  <si>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</si>
  <si>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</si>
  <si>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</si>
  <si>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</si>
  <si>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</si>
  <si>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</si>
  <si>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</si>
  <si>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</si>
  <si>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</si>
  <si>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</si>
  <si>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</si>
  <si>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</si>
  <si>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</si>
  <si>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</si>
  <si>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</si>
  <si>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</si>
  <si>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</si>
  <si>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</si>
  <si>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</si>
  <si>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</si>
  <si>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</si>
  <si>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</si>
  <si>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</si>
  <si>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</si>
  <si>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</si>
  <si>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</si>
  <si>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</si>
  <si>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</si>
  <si>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</si>
  <si>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</si>
  <si>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</si>
  <si>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</si>
  <si>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</si>
  <si>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</si>
  <si>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</si>
  <si>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</si>
  <si>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</si>
  <si>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</si>
  <si>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</si>
  <si>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</si>
  <si>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</si>
  <si>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</si>
  <si>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</si>
  <si>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</si>
  <si>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</si>
  <si>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</si>
  <si>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</si>
  <si>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</si>
  <si>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</si>
  <si>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</si>
  <si>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</si>
  <si>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</si>
  <si>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</si>
  <si>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</si>
  <si>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</si>
  <si>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</si>
  <si>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</si>
  <si>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</si>
  <si>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</si>
  <si>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</si>
  <si>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</si>
  <si>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</si>
  <si>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</si>
  <si>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</si>
  <si>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</si>
  <si>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</si>
  <si>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</si>
  <si>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</si>
  <si>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</si>
  <si>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</si>
  <si>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</si>
  <si>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</si>
  <si>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</si>
  <si>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</si>
  <si>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</si>
  <si>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</si>
  <si>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</si>
  <si>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</si>
  <si>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</si>
  <si>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</si>
  <si>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</si>
  <si>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</si>
  <si>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</si>
  <si>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</si>
  <si>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</si>
  <si>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</si>
  <si>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</si>
  <si>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</si>
  <si>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</si>
  <si>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</si>
  <si>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</si>
  <si>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</si>
  <si>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</si>
  <si>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</si>
  <si>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</si>
  <si>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</si>
  <si>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</si>
  <si>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</si>
  <si>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</si>
  <si>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</si>
  <si>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</si>
  <si>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</si>
  <si>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</si>
  <si>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</si>
  <si>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</si>
  <si>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</si>
  <si>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</si>
  <si>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</si>
  <si>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</si>
  <si>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</si>
  <si>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</si>
  <si>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</si>
  <si>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</si>
  <si>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</si>
  <si>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</si>
  <si>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</si>
  <si>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</si>
  <si>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</si>
  <si>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</si>
  <si>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</si>
  <si>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</si>
  <si>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</si>
  <si>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</si>
  <si>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</si>
  <si>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</si>
  <si>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</si>
  <si>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</si>
  <si>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</si>
  <si>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</si>
  <si>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</si>
  <si>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</si>
  <si>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</si>
  <si>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</si>
  <si>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</si>
  <si>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</si>
  <si>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</si>
  <si>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</si>
  <si>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</si>
  <si>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</si>
  <si>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</si>
  <si>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</si>
  <si>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</si>
  <si>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</si>
  <si>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</si>
  <si>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</si>
  <si>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</si>
  <si>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</si>
  <si>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</si>
  <si>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</si>
  <si>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</si>
  <si>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</si>
  <si>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</si>
  <si>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</si>
  <si>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</si>
  <si>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</si>
  <si>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</si>
  <si>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</si>
  <si>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</si>
  <si>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</si>
  <si>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</si>
  <si>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</si>
  <si>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</si>
  <si>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</si>
  <si>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السجلات والوثائق</t>
    </r>
    <r>
      <rPr>
        <b/>
        <sz val="12"/>
        <color rgb="FF000000"/>
        <rFont val="Arial"/>
        <family val="2"/>
      </rPr>
      <t>.</t>
    </r>
  </si>
  <si>
    <t>أ. مدى استكمال المرتب من الآليات ونسبة الصلاحية.</t>
  </si>
  <si>
    <t>ب. وجود كشف معتمد من القائد بالمرتب والموجود ونسبة الصلاحية للآليات.</t>
  </si>
  <si>
    <t>جـ. وجود وإدامة سجل تدوين إطلاق الذخائر من المدفع، الآلية، الراجمة.</t>
  </si>
  <si>
    <t>د. وجود وإدامة سجلات الصيانة الدورية لكل آلية.</t>
  </si>
  <si>
    <t>هـ. وجود تعليمات وإجراءات الصيانة الدورية واللوحات الإرشادية.</t>
  </si>
  <si>
    <t>و. وجود وإدامة السجلات الخاصة بكل آلية وتصديق الضابط المسئول بالإضافة لسندات الاستلام والتسليم وتصديقها وحفظها.</t>
  </si>
  <si>
    <t>ز. وجود وإدامة سجل تسليم واستلام الآليات.</t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</si>
  <si>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مجموعة الجسم</t>
    </r>
    <r>
      <rPr>
        <b/>
        <sz val="12"/>
        <color rgb="FF000000"/>
        <rFont val="Arial"/>
        <family val="2"/>
      </rPr>
      <t>.</t>
    </r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</si>
  <si>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الزيوت / السوائل</t>
    </r>
    <r>
      <rPr>
        <sz val="12"/>
        <color rgb="FF000000"/>
        <rFont val="Arial"/>
        <family val="2"/>
      </rPr>
      <t>.</t>
    </r>
  </si>
  <si>
    <t>ب. التأكد من عدم تسرّب الزيت / الماء من الأجزاء.</t>
  </si>
  <si>
    <t>جـ. التقيد بتوقيتات تغيير الزيت / الماء.</t>
  </si>
  <si>
    <t>د. التأكد من التشحيم والتزييت.</t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</si>
  <si>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مجموعة القوى.</t>
    </r>
    <r>
      <rPr>
        <sz val="12"/>
        <color rgb="FF000000"/>
        <rFont val="Arial"/>
        <family val="2"/>
      </rPr>
      <t xml:space="preserve"> يتم التأكد من الحالة العامة للاتي:</t>
    </r>
  </si>
  <si>
    <t>أ. نظام المحرك.</t>
  </si>
  <si>
    <t>ب. نظام ناقل الحركة.</t>
  </si>
  <si>
    <t>جـ. نظام التبريد.</t>
  </si>
  <si>
    <t>د. نظام الفرامل.</t>
  </si>
  <si>
    <t>هـ. نظام التوجيه.</t>
  </si>
  <si>
    <t xml:space="preserve">و. نظام الوقود. </t>
  </si>
  <si>
    <t>ز. مولد الطاقة الرئيس / الإضافي.</t>
  </si>
  <si>
    <t>ح. نظام العادم ونظام الهواء المضغوط.</t>
  </si>
  <si>
    <t>أ. الفحص الداخلي والخارجي.</t>
  </si>
  <si>
    <t>أ. البطاريات ونظام الشحن.</t>
  </si>
  <si>
    <t>ب. نظام التشغيل وبدء الحركة.</t>
  </si>
  <si>
    <t>جـ. الإنارة الداخلية والخارجية.</t>
  </si>
  <si>
    <t>و. أجهزة التحكم والسيطرة وإدارة المعركة (الحاسب الآلي، أجهزة الاتصال، إلخ...).</t>
  </si>
  <si>
    <t>أ. نظام التكييف.</t>
  </si>
  <si>
    <t>جـ. وجود وصلاحية معدات مطابقة محاور المدفع (على مستوى سرية / قسم).</t>
  </si>
  <si>
    <t xml:space="preserve">أ. التأكد من اكتمال الطاقم المؤهل (نسبة لعدد الآليات). </t>
  </si>
  <si>
    <t>ب. مدى إلمام الطاقم بواجباته والأجهزة والمعدات.</t>
  </si>
  <si>
    <t>تفتيش جاهزية الآليات ( أ ) لسرية الـ م/د - تمرين جاهزية مجموعة لواء الإمارات/1 (جندي الصحراء 2025/20)</t>
  </si>
  <si>
    <t>أ. الفحص الداخلي والخارجي (النظافة، النواقص، الأضرار، الصبغ، إلخ).</t>
  </si>
  <si>
    <t>ب. الصلاحية العامة لونش الإنقاذ الذاتي.</t>
  </si>
  <si>
    <t>جـ. التأكد من صلاحية الإطارات ونظام ضغط الهواء ونفخ الإطارات.</t>
  </si>
  <si>
    <t>د. وجود صناديق العدة والتأكد من محتوياتها وصلاحية الطفاية اليدوية.</t>
  </si>
  <si>
    <t>هـ. التأكد من صلاحية مقاعد غرفة الطاقم والأبواب الخارجية.</t>
  </si>
  <si>
    <t>و. وجود وصلاحية أجهزة الرؤية (الكاميرا، المناظير الجانبية).</t>
  </si>
  <si>
    <t>أ.   التأكد من مستـوى الزيـت / المياه (المحرك، نظام ناقل الحركـة، الفرامـل، المقــود، البطاريات، المبرد (الراديتر)، عمود ناقل الحركة (الدفرشن)، ونظام الهيدروليك.</t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</si>
  <si>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القاذف</t>
    </r>
    <r>
      <rPr>
        <sz val="12"/>
        <color rgb="FF000000"/>
        <rFont val="Arial"/>
        <family val="2"/>
      </rPr>
      <t>. يتم التأكد من التالي:</t>
    </r>
  </si>
  <si>
    <t>ب. فحص القاذف وتوابعه.</t>
  </si>
  <si>
    <t>جـ. فحص الغطاء العلوي والأمامي.</t>
  </si>
  <si>
    <t>د. نظام الاختبار الذاتي للمنظومة.</t>
  </si>
  <si>
    <t>هـ. نظام دوران القاذف في الوضع العادي / الأتوماتيكي.</t>
  </si>
  <si>
    <t xml:space="preserve">و. نظام الرؤية الليلية / باستخدام الكاميرا (كاترينا). </t>
  </si>
  <si>
    <t>ز. نظام التعمير والتفريغ في حافظة الصواريخ والدلائل.</t>
  </si>
  <si>
    <t>ح. معايرة الكاميرا مع جهاز التوجيه والتصويب.</t>
  </si>
  <si>
    <t>ط. فحص مسننات القاذف.</t>
  </si>
  <si>
    <t>ي. التأكد من تثبيت جاهز التصويب بمسمار التثبيت.</t>
  </si>
  <si>
    <t>ك. التأكد من تثبيت الكاميرا الحرارية مع قاعدة العينية.</t>
  </si>
  <si>
    <t>ل. لوحة الرامي.</t>
  </si>
  <si>
    <t>م. الوحدة الإلكترونية.</t>
  </si>
  <si>
    <t>ن. وحدة الإطلاق.</t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</si>
  <si>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الأنظمة الكهربائية والإلكترونية</t>
    </r>
    <r>
      <rPr>
        <sz val="12"/>
        <color rgb="FF000000"/>
        <rFont val="Arial"/>
        <family val="2"/>
      </rPr>
      <t>. يتم التأكد من الحالة العامة للآتي:</t>
    </r>
  </si>
  <si>
    <t>د. لوحات العرض (عداد قياس الجهد الكهربائي).</t>
  </si>
  <si>
    <t>هـ. نظام البطاريات الاحتياطية للمنظومة.</t>
  </si>
  <si>
    <t>ب. نظام إطفاء الحريق.</t>
  </si>
  <si>
    <t>أ. وجود وصلاحية عدة الآلية.</t>
  </si>
  <si>
    <t>ب. وجود وصلاحية شباك التمويه مع الركائز.</t>
  </si>
  <si>
    <r>
      <t>7.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أنظمة البيئة.</t>
    </r>
    <r>
      <rPr>
        <sz val="12"/>
        <color rgb="FF000000"/>
        <rFont val="Arial"/>
        <family val="2"/>
      </rPr>
      <t xml:space="preserve"> يتم التأكد من الحالة العامة للآتي:</t>
    </r>
  </si>
  <si>
    <r>
      <t>8.</t>
    </r>
    <r>
      <rPr>
        <b/>
        <sz val="7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المهمات الإضافية</t>
    </r>
    <r>
      <rPr>
        <sz val="12"/>
        <color rgb="FF000000"/>
        <rFont val="Arial"/>
        <family val="2"/>
      </rPr>
      <t>.</t>
    </r>
  </si>
  <si>
    <r>
      <t>9.</t>
    </r>
    <r>
      <rPr>
        <b/>
        <sz val="7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المستوى الفني للطاقم</t>
    </r>
    <r>
      <rPr>
        <sz val="12"/>
        <color rgb="FF000000"/>
        <rFont val="Arial"/>
        <family val="2"/>
      </rPr>
      <t>.</t>
    </r>
  </si>
  <si>
    <t xml:space="preserve">بعضها يحتاج الى نظافة </t>
  </si>
  <si>
    <t xml:space="preserve">يوجد نقص في الاطقم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</si>
</sst>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b/>
      <sz val="7"/>
      <color rgb="FF000000"/>
      <name val="Times New Roman"/>
      <family val="1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top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 wrapText="1" readingOrder="2"/>
    </xf>
    <xf numFmtId="0" fontId="3" fillId="0" borderId="17" xfId="0" applyFont="1" applyBorder="1" applyAlignment="1" applyProtection="1">
      <alignment horizontal="center" vertical="center" wrapText="1" readingOrder="2"/>
      <protection locked="0"/>
    </xf>
    <xf numFmtId="9" fontId="3" fillId="0" borderId="17" xfId="0" applyNumberFormat="1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1"/>
    </xf>
    <xf numFmtId="0" fontId="13" fillId="0" borderId="25" xfId="0" applyFont="1" applyBorder="1" applyAlignment="1">
      <alignment vertical="center" wrapText="1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9" fontId="3" fillId="0" borderId="25" xfId="0" applyNumberFormat="1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1"/>
    </xf>
    <xf numFmtId="0" fontId="12" fillId="0" borderId="21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5" fillId="0" borderId="21" xfId="0" applyFont="1" applyBorder="1" applyAlignment="1">
      <alignment horizontal="right" vertical="center" wrapText="1" indent="2" readingOrder="2"/>
    </xf>
    <xf numFmtId="0" fontId="15" fillId="0" borderId="3" xfId="0" applyFont="1" applyBorder="1" applyAlignment="1">
      <alignment horizontal="right" vertical="center" wrapText="1" indent="2" readingOrder="2"/>
    </xf>
    <xf numFmtId="0" fontId="12" fillId="0" borderId="22" xfId="0" applyFont="1" applyBorder="1" applyAlignment="1">
      <alignment horizontal="right" vertical="center" wrapText="1" indent="2" readingOrder="2"/>
    </xf>
    <xf numFmtId="0" fontId="12" fillId="0" borderId="17" xfId="0" applyFont="1" applyBorder="1" applyAlignment="1">
      <alignment horizontal="right" vertical="center" wrapText="1" indent="2" readingOrder="2"/>
    </xf>
    <xf numFmtId="0" fontId="15" fillId="0" borderId="11" xfId="0" applyFont="1" applyBorder="1" applyAlignment="1">
      <alignment horizontal="right" vertical="center" wrapText="1" indent="2" readingOrder="2"/>
    </xf>
    <xf numFmtId="0" fontId="15" fillId="0" borderId="12" xfId="0" applyFont="1" applyBorder="1" applyAlignment="1">
      <alignment horizontal="right" vertical="center" wrapText="1" indent="2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24" xfId="0" applyFont="1" applyBorder="1" applyAlignment="1">
      <alignment horizontal="right" vertical="center" wrapText="1" readingOrder="2"/>
    </xf>
    <xf numFmtId="0" fontId="2" fillId="0" borderId="25" xfId="0" applyFont="1" applyBorder="1" applyAlignment="1">
      <alignment horizontal="right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17" xfId="0" applyFont="1" applyBorder="1" applyAlignment="1" applyProtection="1">
      <alignment horizontal="center" vertical="center" wrapText="1" readingOrder="2"/>
      <protection locked="0"/>
    </xf>
    <xf numFmtId="0" fontId="3" fillId="0" borderId="23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617757</xdr:colOff>
      <xdr:row>71</xdr:row>
      <xdr:rowOff>344983</xdr:rowOff>
    </xdr:from>
    <xdr:to>
      <xdr:col>9</xdr:col>
      <xdr:colOff>311703</xdr:colOff>
      <xdr:row>74</xdr:row>
      <xdr:rowOff>156605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حبر 2">
              <a:extLst>
                <a:ext uri="{FF2B5EF4-FFF2-40B4-BE49-F238E27FC236}">
                  <a16:creationId xmlns:a16="http://schemas.microsoft.com/office/drawing/2014/main" id="{CF48C5B4-088C-ED32-FEFC-4436E7C27A1A}"/>
                </a:ext>
              </a:extLst>
            </xdr14:cNvPr>
            <xdr14:cNvContentPartPr/>
          </xdr14:nvContentPartPr>
          <xdr14:nvPr macro=""/>
          <xdr14:xfrm>
            <a:off x="11438128025" y="28383120"/>
            <a:ext cx="1841400" cy="1162440"/>
          </xdr14:xfrm>
        </xdr:contentPart>
      </mc:Choice>
      <mc:Fallback xmlns="">
        <xdr:pic>
          <xdr:nvPicPr>
            <xdr:cNvPr id="3" name="حبر 2">
              <a:extLst>
                <a:ext uri="{FF2B5EF4-FFF2-40B4-BE49-F238E27FC236}">
                  <a16:creationId xmlns:a16="http://schemas.microsoft.com/office/drawing/2014/main" id="{CF48C5B4-088C-ED32-FEFC-4436E7C27A1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8119385" y="28374480"/>
              <a:ext cx="1859040" cy="1180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18:34:26.9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180 1853,'0'0,"0"0,0 0,0 0,0 0,0 0,0 0,0 0,0 0,0 0,0 0,0 0,0 0,0 0,0 0,0 0,0 0,0 0,0 16,0-11,-13 22,13-10,0-12,0 6,-15 21,12-22,-7 61,-3-38,7-23,12 28,-6-5,0-23,0 28,0-4,0-25,13 30,0-6,-8-24,5 14,17 10,-14-23,16 12,40-22,-48 0,97-49,49-64,-115 78,119-126,106-82,-184 154,119-114,121-123,-228 224,67-104,78-86,-171 200,78-44,9-59,-114 135,8 23,9-44,-56 81,15 0,-28 32,0-21,-68 108,-30 76,69-135,-53 91,-57 92,96-166,-65 107,-46 76,108-180,-19 2,-4 32,56-94,-15 24,-2 5,22-34,4-30,16-1,-6 11,3-23,18-4,-17 22,9-45,35-26,-35 56,4-31,19-25,-32 66,9-20,8-13,-19 32,-16 48,-6 0,1 1,9-23,-7-3,-3 26,10-23,8 12,-4-6,0-11,0 6,0-3,14-32,14 8,-18 11,8-6,24-5,-29 10,1-5,13-5,-16 11,8 10,-7-5,-12 0,0 16,0-11,-12 7,-3 4,11-11,-7 6,11 5,0-11,-12-10,3 5,30 16,-21 1,0 15,0-23,-12 14,12 10,0-23,-15 12,1 11,9-23,-17 12,7-6,12-11,6 23,-3-12,15-16,-1-33,-12 24,50-14,46-74,-58 61,45-42,67-52,-102 89,66-64,81-57,-135 110,69-59,36-3,-130 80,50-45,38-19,-85 67,4 14,24-32,-56 44,18-7,-1-4,-21 11,11-6,-4-6,-8 17,12 0,-4 0,-10 0,-25 0,-6 0,17 0,-24 33,-65 0,67-23,-78 61,-57 43,-28 15,-28 34,155-113,-129 63,-26 81,153-133,-97 57,-85 61,170-122,-88 97,-80 57,168-143,-75 76,-94 83,173-156,-67 52,-78 56,152-123,-54 34,-30 8,106-67,0 2,-35 17,56-35,12-14,-14 16,21-12,4-10,-11 5,11 0,-19 16,23 0,0-11,12-26,18 21,-4-16,-17 10,39-21,48-39,-65 46,77-57,44-36,-102 77,96-74,62-86,-143 135,105-89,80-61,-171 145,65-95,106-67,-172 156,64-83,54-73,-136 167,73-72,19-30,-104 114,17-32,18 0,-58 54,4-27,13 5,-28 33,14-17,-28 1,0 21,14-10,-14-29,0 36,-14-21,-14 3,20 22,-26-12,-22 5,42 12,-26-22,-31 11,51 11,-28-7,-35-4,58 11,-49 10,-21 11,66-10,-40 5,-28 5,65-11,-20 39,-32-12,59-21,-3 10,-43 12,50-22,0 27,-20-5,32-18,-9 18,-10 0,20-23,2 12,6 27,4-34,6 19,18 14,-20-33,25 19,24 14,-41-32,36 34,46 15,-69-46,38 27,16 19,-56-45,44 8,12 21,-56-34,14 19,16-2,-40-22,22 12,15 11,-35-23,19 13,3 10,-29-23,32 12,-2 27,-30-39,17 12,-2 11,-18-23,10 12,-5 27,-10-34,7 2,-11 32,0-33,0 0,0 33,0-33,0 1,0 16,0-23,0-4,0 10,0-11,13-10,-9 5,6 0,32-32,-30 21,44-27,57-44,-80 57,58-47,47-42,-86 69,62-56,53-29,-124 95,53-44,-12-2,-57 55,29 4,13-27,-48 34,14-3,-8-14,-17 22,22 3,9-9,-26 11,12-7,2-4,-20 11,-6-6,-3 22,0-6,-27 28,20-22,-69 43,-48 28,86-58,-77 65,-39 41,107-89,-85 48,-76 57,142-99,-63 36,-65 30,133-76,-72 89,-89 36,157-115,-94 69,-75 47,161-114,-63 80,-58 18,135-103,-36 9,0 12,64-45,6-8,-17 21,29-23,12-4,-5 2,-1 0,-22 8,20-11,5-10,-10 22,10-12,-7-10,-16 5,19 0,2 16,-7-16,9 5,-7 6,-3-11,10 0,-5 16,1-8,2-16,0 8,26-16,-20 16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3"/>
  <sheetViews>
    <sheetView rightToLeft="1" tabSelected="1" view="pageBreakPreview" topLeftCell="B62" zoomScale="130" zoomScaleNormal="100" zoomScaleSheetLayoutView="130" workbookViewId="0">
      <selection activeCell="E65" sqref="E65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21875" style="1" customWidth="1"/>
    <col min="8" max="8" width="9.21875" style="3" customWidth="1"/>
    <col min="9" max="9" width="9.21875" style="1" customWidth="1"/>
    <col min="10" max="10" width="15.44140625" style="1" customWidth="1"/>
    <col min="11" max="16384" width="9" style="1"/>
  </cols>
  <sheetData>
    <row r="1" spans="1:10" ht="45" customHeight="1" x14ac:dyDescent="0.3">
      <c r="B1" s="83" t="s">
        <v>211</v>
      </c>
      <c r="C1" s="83"/>
      <c r="D1" s="83"/>
      <c r="E1" s="83"/>
      <c r="F1" s="83"/>
      <c r="G1" s="83"/>
      <c r="H1" s="83"/>
      <c r="I1" s="83"/>
      <c r="J1" s="83"/>
    </row>
    <row r="2" spans="1:10" ht="30" customHeight="1" x14ac:dyDescent="0.3">
      <c r="B2" s="13" t="s">
        <v>8</v>
      </c>
      <c r="C2" s="89" t="s">
        <v>27</v>
      </c>
      <c r="D2" s="89"/>
      <c r="E2" s="13" t="s">
        <v>7</v>
      </c>
      <c r="F2" s="84">
        <v>45929</v>
      </c>
      <c r="G2" s="84"/>
      <c r="H2" s="84"/>
      <c r="I2" s="84"/>
      <c r="J2" s="84"/>
    </row>
    <row r="3" spans="1:10" ht="30" customHeight="1" x14ac:dyDescent="0.3">
      <c r="B3" s="13" t="s">
        <v>9</v>
      </c>
      <c r="C3" s="89" t="s">
        <v>70</v>
      </c>
      <c r="D3" s="89"/>
      <c r="E3" s="13" t="s">
        <v>6</v>
      </c>
      <c r="F3" s="89" t="s">
        <v>115</v>
      </c>
      <c r="G3" s="89"/>
      <c r="H3" s="89"/>
      <c r="I3" s="89"/>
      <c r="J3" s="89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85" t="s">
        <v>0</v>
      </c>
      <c r="C5" s="86"/>
      <c r="D5" s="86"/>
      <c r="E5" s="94" t="s">
        <v>1</v>
      </c>
      <c r="F5" s="94"/>
      <c r="G5" s="94"/>
      <c r="H5" s="94"/>
      <c r="I5" s="94" t="s">
        <v>2</v>
      </c>
      <c r="J5" s="95"/>
    </row>
    <row r="6" spans="1:10" ht="24.9" customHeight="1" thickBot="1" x14ac:dyDescent="0.35">
      <c r="A6" s="11"/>
      <c r="B6" s="87"/>
      <c r="C6" s="88"/>
      <c r="D6" s="88"/>
      <c r="E6" s="12" t="s">
        <v>3</v>
      </c>
      <c r="F6" s="12" t="s">
        <v>4</v>
      </c>
      <c r="G6" s="12" t="s">
        <v>23</v>
      </c>
      <c r="H6" s="12" t="s">
        <v>24</v>
      </c>
      <c r="I6" s="96"/>
      <c r="J6" s="97"/>
    </row>
    <row r="7" spans="1:10" ht="24.9" customHeight="1" thickBot="1" x14ac:dyDescent="0.35">
      <c r="A7" s="11"/>
      <c r="B7" s="92" t="s">
        <v>21</v>
      </c>
      <c r="C7" s="93"/>
      <c r="D7" s="93"/>
      <c r="E7" s="31" t="s">
        <v>18</v>
      </c>
      <c r="F7" s="31" t="s">
        <v>19</v>
      </c>
      <c r="G7" s="31" t="s">
        <v>22</v>
      </c>
      <c r="H7" s="31" t="s">
        <v>20</v>
      </c>
      <c r="I7" s="69" t="s">
        <v>25</v>
      </c>
      <c r="J7" s="70"/>
    </row>
    <row r="8" spans="1:10" ht="30" customHeight="1" x14ac:dyDescent="0.3">
      <c r="A8" s="11"/>
      <c r="B8" s="55" t="s">
        <v>180</v>
      </c>
      <c r="C8" s="56"/>
      <c r="D8" s="56"/>
      <c r="E8" s="34"/>
      <c r="F8" s="35"/>
      <c r="G8" s="36"/>
      <c r="H8" s="37"/>
      <c r="I8" s="65"/>
      <c r="J8" s="66"/>
    </row>
    <row r="9" spans="1:10" ht="30" customHeight="1" x14ac:dyDescent="0.3">
      <c r="A9" s="11"/>
      <c r="B9" s="51" t="s">
        <v>181</v>
      </c>
      <c r="C9" s="52"/>
      <c r="D9" s="52"/>
      <c r="E9" s="9">
        <v>5</v>
      </c>
      <c r="F9" s="27">
        <v>4</v>
      </c>
      <c r="G9" s="32">
        <f>IFERROR(F9/E9,"")</f>
        <v>0.8</v>
      </c>
      <c r="H9" s="33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63"/>
      <c r="J9" s="64"/>
    </row>
    <row r="10" spans="1:10" ht="39.9" customHeight="1" x14ac:dyDescent="0.3">
      <c r="A10" s="11"/>
      <c r="B10" s="51" t="s">
        <v>182</v>
      </c>
      <c r="C10" s="52"/>
      <c r="D10" s="52"/>
      <c r="E10" s="9">
        <v>5</v>
      </c>
      <c r="F10" s="27">
        <v>3.75</v>
      </c>
      <c r="G10" s="32">
        <f t="shared" ref="G10:G51" si="0">IFERROR(F10/E10,"")</f>
        <v>0.75</v>
      </c>
      <c r="H10" s="33" t="str">
        <f t="shared" ref="H10:H51" si="1">_xlfn.IFS(F10="أدخل العلامة","",F10="لا ينطبق","تم الإلغاء",G10&gt;=90%,"ممتاز",G10&gt;=80%,"جيد جداً",G10&gt;=70%,"جيد",G10&gt;=60%,"مقبول",G10&lt;60%,"راسب")</f>
        <v>جيد</v>
      </c>
      <c r="I10" s="63"/>
      <c r="J10" s="64"/>
    </row>
    <row r="11" spans="1:10" ht="30" customHeight="1" x14ac:dyDescent="0.3">
      <c r="A11" s="11"/>
      <c r="B11" s="51" t="s">
        <v>183</v>
      </c>
      <c r="C11" s="52"/>
      <c r="D11" s="52"/>
      <c r="E11" s="9">
        <v>5</v>
      </c>
      <c r="F11" s="27">
        <v>3.5</v>
      </c>
      <c r="G11" s="32">
        <f t="shared" si="0"/>
        <v>0.7</v>
      </c>
      <c r="H11" s="33" t="str">
        <f t="shared" si="1"/>
        <v>جيد</v>
      </c>
      <c r="I11" s="63"/>
      <c r="J11" s="64"/>
    </row>
    <row r="12" spans="1:10" ht="30" customHeight="1" x14ac:dyDescent="0.3">
      <c r="A12" s="11"/>
      <c r="B12" s="51" t="s">
        <v>184</v>
      </c>
      <c r="C12" s="52"/>
      <c r="D12" s="52"/>
      <c r="E12" s="9">
        <v>5</v>
      </c>
      <c r="F12" s="27">
        <v>3.75</v>
      </c>
      <c r="G12" s="32">
        <f t="shared" si="0"/>
        <v>0.75</v>
      </c>
      <c r="H12" s="33" t="str">
        <f t="shared" si="1"/>
        <v>جيد</v>
      </c>
      <c r="I12" s="63"/>
      <c r="J12" s="64"/>
    </row>
    <row r="13" spans="1:10" ht="30" customHeight="1" x14ac:dyDescent="0.3">
      <c r="A13" s="11"/>
      <c r="B13" s="51" t="s">
        <v>185</v>
      </c>
      <c r="C13" s="52"/>
      <c r="D13" s="52"/>
      <c r="E13" s="9">
        <v>5</v>
      </c>
      <c r="F13" s="27">
        <v>4</v>
      </c>
      <c r="G13" s="32">
        <f t="shared" si="0"/>
        <v>0.8</v>
      </c>
      <c r="H13" s="33" t="str">
        <f t="shared" si="1"/>
        <v>جيد جداً</v>
      </c>
      <c r="I13" s="63"/>
      <c r="J13" s="64"/>
    </row>
    <row r="14" spans="1:10" ht="39.9" customHeight="1" x14ac:dyDescent="0.3">
      <c r="A14" s="11"/>
      <c r="B14" s="51" t="s">
        <v>186</v>
      </c>
      <c r="C14" s="52"/>
      <c r="D14" s="52"/>
      <c r="E14" s="9">
        <v>5</v>
      </c>
      <c r="F14" s="27">
        <v>3.5</v>
      </c>
      <c r="G14" s="32">
        <f t="shared" si="0"/>
        <v>0.7</v>
      </c>
      <c r="H14" s="33" t="str">
        <f t="shared" si="1"/>
        <v>جيد</v>
      </c>
      <c r="I14" s="63"/>
      <c r="J14" s="64"/>
    </row>
    <row r="15" spans="1:10" ht="30" customHeight="1" thickBot="1" x14ac:dyDescent="0.35">
      <c r="A15" s="11"/>
      <c r="B15" s="59" t="s">
        <v>187</v>
      </c>
      <c r="C15" s="60"/>
      <c r="D15" s="60"/>
      <c r="E15" s="43">
        <v>5</v>
      </c>
      <c r="F15" s="44">
        <v>3.5</v>
      </c>
      <c r="G15" s="45">
        <f t="shared" si="0"/>
        <v>0.7</v>
      </c>
      <c r="H15" s="46" t="str">
        <f t="shared" si="1"/>
        <v>جيد</v>
      </c>
      <c r="I15" s="79"/>
      <c r="J15" s="80"/>
    </row>
    <row r="16" spans="1:10" ht="30" customHeight="1" x14ac:dyDescent="0.3">
      <c r="A16" s="11"/>
      <c r="B16" s="55" t="s">
        <v>188</v>
      </c>
      <c r="C16" s="56"/>
      <c r="D16" s="56"/>
      <c r="E16" s="34"/>
      <c r="F16" s="38"/>
      <c r="G16" s="36"/>
      <c r="H16" s="37"/>
      <c r="I16" s="65"/>
      <c r="J16" s="66"/>
    </row>
    <row r="17" spans="1:10" ht="39.9" customHeight="1" x14ac:dyDescent="0.3">
      <c r="A17" s="11"/>
      <c r="B17" s="57" t="s">
        <v>212</v>
      </c>
      <c r="C17" s="58"/>
      <c r="D17" s="58"/>
      <c r="E17" s="9">
        <v>5</v>
      </c>
      <c r="F17" s="29">
        <v>3.75</v>
      </c>
      <c r="G17" s="32">
        <f t="shared" si="0"/>
        <v>0.75</v>
      </c>
      <c r="H17" s="33" t="str">
        <f t="shared" si="1"/>
        <v>جيد</v>
      </c>
      <c r="I17" s="63"/>
      <c r="J17" s="64"/>
    </row>
    <row r="18" spans="1:10" ht="30" customHeight="1" x14ac:dyDescent="0.3">
      <c r="A18" s="11"/>
      <c r="B18" s="57" t="s">
        <v>213</v>
      </c>
      <c r="C18" s="58"/>
      <c r="D18" s="58"/>
      <c r="E18" s="9">
        <v>5</v>
      </c>
      <c r="F18" s="29">
        <v>3.5</v>
      </c>
      <c r="G18" s="32">
        <f t="shared" si="0"/>
        <v>0.7</v>
      </c>
      <c r="H18" s="33" t="str">
        <f t="shared" si="1"/>
        <v>جيد</v>
      </c>
      <c r="I18" s="63"/>
      <c r="J18" s="64"/>
    </row>
    <row r="19" spans="1:10" ht="30" customHeight="1" x14ac:dyDescent="0.3">
      <c r="A19" s="11"/>
      <c r="B19" s="57" t="s">
        <v>214</v>
      </c>
      <c r="C19" s="58"/>
      <c r="D19" s="58"/>
      <c r="E19" s="9">
        <v>5</v>
      </c>
      <c r="F19" s="29">
        <v>3.75</v>
      </c>
      <c r="G19" s="32">
        <f t="shared" si="0"/>
        <v>0.75</v>
      </c>
      <c r="H19" s="33" t="str">
        <f t="shared" si="1"/>
        <v>جيد</v>
      </c>
      <c r="I19" s="63"/>
      <c r="J19" s="64"/>
    </row>
    <row r="20" spans="1:10" ht="30" customHeight="1" x14ac:dyDescent="0.3">
      <c r="A20" s="11"/>
      <c r="B20" s="57" t="s">
        <v>215</v>
      </c>
      <c r="C20" s="58"/>
      <c r="D20" s="58"/>
      <c r="E20" s="9">
        <v>5</v>
      </c>
      <c r="F20" s="29">
        <v>3.75</v>
      </c>
      <c r="G20" s="32">
        <f t="shared" ref="G20" si="2">IFERROR(F20/E20,"")</f>
        <v>0.75</v>
      </c>
      <c r="H20" s="33" t="str">
        <f t="shared" ref="H20" si="3">_xlfn.IFS(F20="أدخل العلامة","",F20="لا ينطبق","تم الإلغاء",G20&gt;=90%,"ممتاز",G20&gt;=80%,"جيد جداً",G20&gt;=70%,"جيد",G20&gt;=60%,"مقبول",G20&lt;60%,"راسب")</f>
        <v>جيد</v>
      </c>
      <c r="I20" s="63"/>
      <c r="J20" s="64"/>
    </row>
    <row r="21" spans="1:10" ht="30" customHeight="1" x14ac:dyDescent="0.3">
      <c r="A21" s="11"/>
      <c r="B21" s="57" t="s">
        <v>216</v>
      </c>
      <c r="C21" s="58"/>
      <c r="D21" s="58"/>
      <c r="E21" s="9">
        <v>5</v>
      </c>
      <c r="F21" s="29">
        <v>3.75</v>
      </c>
      <c r="G21" s="32">
        <f t="shared" si="0"/>
        <v>0.75</v>
      </c>
      <c r="H21" s="33" t="str">
        <f t="shared" si="1"/>
        <v>جيد</v>
      </c>
      <c r="I21" s="63"/>
      <c r="J21" s="64"/>
    </row>
    <row r="22" spans="1:10" ht="30" customHeight="1" thickBot="1" x14ac:dyDescent="0.35">
      <c r="A22" s="11"/>
      <c r="B22" s="61" t="s">
        <v>217</v>
      </c>
      <c r="C22" s="62"/>
      <c r="D22" s="62"/>
      <c r="E22" s="39">
        <v>5</v>
      </c>
      <c r="F22" s="30">
        <v>4</v>
      </c>
      <c r="G22" s="40">
        <f t="shared" si="0"/>
        <v>0.8</v>
      </c>
      <c r="H22" s="41" t="str">
        <f t="shared" si="1"/>
        <v>جيد جداً</v>
      </c>
      <c r="I22" s="77"/>
      <c r="J22" s="78"/>
    </row>
    <row r="23" spans="1:10" ht="30" customHeight="1" x14ac:dyDescent="0.3">
      <c r="A23" s="11"/>
      <c r="B23" s="67" t="s">
        <v>189</v>
      </c>
      <c r="C23" s="68"/>
      <c r="D23" s="68"/>
      <c r="E23" s="47"/>
      <c r="F23" s="48"/>
      <c r="G23" s="49"/>
      <c r="H23" s="50"/>
      <c r="I23" s="103"/>
      <c r="J23" s="104"/>
    </row>
    <row r="24" spans="1:10" ht="57.75" customHeight="1" x14ac:dyDescent="0.3">
      <c r="A24" s="11"/>
      <c r="B24" s="51" t="s">
        <v>218</v>
      </c>
      <c r="C24" s="52"/>
      <c r="D24" s="52"/>
      <c r="E24" s="9">
        <v>0</v>
      </c>
      <c r="F24" s="27"/>
      <c r="G24" s="32"/>
      <c r="H24" s="33"/>
      <c r="I24" s="63"/>
      <c r="J24" s="64"/>
    </row>
    <row r="25" spans="1:10" ht="30" customHeight="1" x14ac:dyDescent="0.3">
      <c r="A25" s="11"/>
      <c r="B25" s="51" t="s">
        <v>190</v>
      </c>
      <c r="C25" s="52"/>
      <c r="D25" s="52"/>
      <c r="E25" s="9">
        <v>0</v>
      </c>
      <c r="F25" s="27"/>
      <c r="G25" s="32"/>
      <c r="H25" s="33"/>
      <c r="I25" s="63"/>
      <c r="J25" s="64"/>
    </row>
    <row r="26" spans="1:10" ht="30" customHeight="1" x14ac:dyDescent="0.3">
      <c r="A26" s="11"/>
      <c r="B26" s="51" t="s">
        <v>191</v>
      </c>
      <c r="C26" s="52"/>
      <c r="D26" s="52"/>
      <c r="E26" s="9">
        <v>0</v>
      </c>
      <c r="F26" s="27"/>
      <c r="G26" s="32"/>
      <c r="H26" s="33"/>
      <c r="I26" s="63"/>
      <c r="J26" s="64"/>
    </row>
    <row r="27" spans="1:10" ht="30" customHeight="1" thickBot="1" x14ac:dyDescent="0.35">
      <c r="A27" s="11"/>
      <c r="B27" s="53" t="s">
        <v>192</v>
      </c>
      <c r="C27" s="54"/>
      <c r="D27" s="54"/>
      <c r="E27" s="39">
        <v>0</v>
      </c>
      <c r="F27" s="28"/>
      <c r="G27" s="40"/>
      <c r="H27" s="41"/>
      <c r="I27" s="77"/>
      <c r="J27" s="78"/>
    </row>
    <row r="28" spans="1:10" ht="30" customHeight="1" x14ac:dyDescent="0.3">
      <c r="A28" s="11"/>
      <c r="B28" s="55" t="s">
        <v>193</v>
      </c>
      <c r="C28" s="56"/>
      <c r="D28" s="56"/>
      <c r="E28" s="42"/>
      <c r="F28" s="35"/>
      <c r="G28" s="36"/>
      <c r="H28" s="37"/>
      <c r="I28" s="65"/>
      <c r="J28" s="66"/>
    </row>
    <row r="29" spans="1:10" ht="30" customHeight="1" x14ac:dyDescent="0.3">
      <c r="A29" s="11"/>
      <c r="B29" s="51" t="s">
        <v>194</v>
      </c>
      <c r="C29" s="52"/>
      <c r="D29" s="52"/>
      <c r="E29" s="9">
        <v>0</v>
      </c>
      <c r="F29" s="27"/>
      <c r="G29" s="32"/>
      <c r="H29" s="33"/>
      <c r="I29" s="63"/>
      <c r="J29" s="64"/>
    </row>
    <row r="30" spans="1:10" ht="30" customHeight="1" x14ac:dyDescent="0.3">
      <c r="A30" s="11"/>
      <c r="B30" s="51" t="s">
        <v>195</v>
      </c>
      <c r="C30" s="52"/>
      <c r="D30" s="52"/>
      <c r="E30" s="9">
        <v>0</v>
      </c>
      <c r="F30" s="27"/>
      <c r="G30" s="32"/>
      <c r="H30" s="33"/>
      <c r="I30" s="63"/>
      <c r="J30" s="64"/>
    </row>
    <row r="31" spans="1:10" ht="30" customHeight="1" x14ac:dyDescent="0.3">
      <c r="A31" s="11"/>
      <c r="B31" s="51" t="s">
        <v>196</v>
      </c>
      <c r="C31" s="52"/>
      <c r="D31" s="52"/>
      <c r="E31" s="9">
        <v>0</v>
      </c>
      <c r="F31" s="27"/>
      <c r="G31" s="32"/>
      <c r="H31" s="33"/>
      <c r="I31" s="63"/>
      <c r="J31" s="64"/>
    </row>
    <row r="32" spans="1:10" ht="30" customHeight="1" x14ac:dyDescent="0.3">
      <c r="A32" s="11"/>
      <c r="B32" s="51" t="s">
        <v>197</v>
      </c>
      <c r="C32" s="52"/>
      <c r="D32" s="52"/>
      <c r="E32" s="9">
        <v>0</v>
      </c>
      <c r="F32" s="27"/>
      <c r="G32" s="32"/>
      <c r="H32" s="33"/>
      <c r="I32" s="63"/>
      <c r="J32" s="64"/>
    </row>
    <row r="33" spans="1:10" ht="30" customHeight="1" x14ac:dyDescent="0.3">
      <c r="A33" s="11"/>
      <c r="B33" s="51" t="s">
        <v>198</v>
      </c>
      <c r="C33" s="52"/>
      <c r="D33" s="52"/>
      <c r="E33" s="9">
        <v>0</v>
      </c>
      <c r="F33" s="27"/>
      <c r="G33" s="32"/>
      <c r="H33" s="33"/>
      <c r="I33" s="63"/>
      <c r="J33" s="64"/>
    </row>
    <row r="34" spans="1:10" ht="30" customHeight="1" x14ac:dyDescent="0.3">
      <c r="A34" s="11"/>
      <c r="B34" s="51" t="s">
        <v>199</v>
      </c>
      <c r="C34" s="52"/>
      <c r="D34" s="52"/>
      <c r="E34" s="9">
        <v>0</v>
      </c>
      <c r="F34" s="27"/>
      <c r="G34" s="32"/>
      <c r="H34" s="33"/>
      <c r="I34" s="63"/>
      <c r="J34" s="64"/>
    </row>
    <row r="35" spans="1:10" ht="30" customHeight="1" x14ac:dyDescent="0.3">
      <c r="A35" s="11"/>
      <c r="B35" s="51" t="s">
        <v>200</v>
      </c>
      <c r="C35" s="52"/>
      <c r="D35" s="52"/>
      <c r="E35" s="9">
        <v>0</v>
      </c>
      <c r="F35" s="27"/>
      <c r="G35" s="32"/>
      <c r="H35" s="33"/>
      <c r="I35" s="63"/>
      <c r="J35" s="64"/>
    </row>
    <row r="36" spans="1:10" ht="30" customHeight="1" thickBot="1" x14ac:dyDescent="0.35">
      <c r="A36" s="11"/>
      <c r="B36" s="59" t="s">
        <v>201</v>
      </c>
      <c r="C36" s="60"/>
      <c r="D36" s="60"/>
      <c r="E36" s="43">
        <v>0</v>
      </c>
      <c r="F36" s="44"/>
      <c r="G36" s="45"/>
      <c r="H36" s="46"/>
      <c r="I36" s="79"/>
      <c r="J36" s="80"/>
    </row>
    <row r="37" spans="1:10" ht="30" customHeight="1" x14ac:dyDescent="0.3">
      <c r="A37" s="11"/>
      <c r="B37" s="55" t="s">
        <v>219</v>
      </c>
      <c r="C37" s="56"/>
      <c r="D37" s="56"/>
      <c r="E37" s="42"/>
      <c r="F37" s="38"/>
      <c r="G37" s="36"/>
      <c r="H37" s="37"/>
      <c r="I37" s="65"/>
      <c r="J37" s="66"/>
    </row>
    <row r="38" spans="1:10" ht="30" customHeight="1" x14ac:dyDescent="0.3">
      <c r="A38" s="11"/>
      <c r="B38" s="57" t="s">
        <v>202</v>
      </c>
      <c r="C38" s="58"/>
      <c r="D38" s="58"/>
      <c r="E38" s="9">
        <v>5</v>
      </c>
      <c r="F38" s="29">
        <v>3.75</v>
      </c>
      <c r="G38" s="32">
        <f t="shared" si="0"/>
        <v>0.75</v>
      </c>
      <c r="H38" s="33" t="str">
        <f t="shared" si="1"/>
        <v>جيد</v>
      </c>
      <c r="I38" s="63"/>
      <c r="J38" s="64"/>
    </row>
    <row r="39" spans="1:10" ht="30" customHeight="1" x14ac:dyDescent="0.3">
      <c r="A39" s="11"/>
      <c r="B39" s="57" t="s">
        <v>220</v>
      </c>
      <c r="C39" s="58"/>
      <c r="D39" s="58"/>
      <c r="E39" s="9">
        <v>5</v>
      </c>
      <c r="F39" s="29">
        <v>3.5</v>
      </c>
      <c r="G39" s="32">
        <f t="shared" si="0"/>
        <v>0.7</v>
      </c>
      <c r="H39" s="33" t="str">
        <f t="shared" si="1"/>
        <v>جيد</v>
      </c>
      <c r="I39" s="63"/>
      <c r="J39" s="64"/>
    </row>
    <row r="40" spans="1:10" ht="30" customHeight="1" x14ac:dyDescent="0.3">
      <c r="A40" s="11"/>
      <c r="B40" s="57" t="s">
        <v>221</v>
      </c>
      <c r="C40" s="58"/>
      <c r="D40" s="58"/>
      <c r="E40" s="9">
        <v>5</v>
      </c>
      <c r="F40" s="29">
        <v>3.75</v>
      </c>
      <c r="G40" s="32">
        <f t="shared" si="0"/>
        <v>0.75</v>
      </c>
      <c r="H40" s="33" t="str">
        <f t="shared" si="1"/>
        <v>جيد</v>
      </c>
      <c r="I40" s="63"/>
      <c r="J40" s="64"/>
    </row>
    <row r="41" spans="1:10" ht="30" customHeight="1" x14ac:dyDescent="0.3">
      <c r="A41" s="11"/>
      <c r="B41" s="57" t="s">
        <v>222</v>
      </c>
      <c r="C41" s="58"/>
      <c r="D41" s="58"/>
      <c r="E41" s="9">
        <v>5</v>
      </c>
      <c r="F41" s="29">
        <v>3.75</v>
      </c>
      <c r="G41" s="32">
        <f t="shared" si="0"/>
        <v>0.75</v>
      </c>
      <c r="H41" s="33" t="str">
        <f t="shared" si="1"/>
        <v>جيد</v>
      </c>
      <c r="I41" s="63"/>
      <c r="J41" s="64"/>
    </row>
    <row r="42" spans="1:10" ht="30" customHeight="1" x14ac:dyDescent="0.3">
      <c r="A42" s="11"/>
      <c r="B42" s="57" t="s">
        <v>223</v>
      </c>
      <c r="C42" s="58"/>
      <c r="D42" s="58"/>
      <c r="E42" s="9">
        <v>5</v>
      </c>
      <c r="F42" s="29">
        <v>3.75</v>
      </c>
      <c r="G42" s="32">
        <f t="shared" si="0"/>
        <v>0.75</v>
      </c>
      <c r="H42" s="33" t="str">
        <f t="shared" si="1"/>
        <v>جيد</v>
      </c>
      <c r="I42" s="63"/>
      <c r="J42" s="64"/>
    </row>
    <row r="43" spans="1:10" ht="30" customHeight="1" x14ac:dyDescent="0.3">
      <c r="A43" s="11"/>
      <c r="B43" s="57" t="s">
        <v>224</v>
      </c>
      <c r="C43" s="58"/>
      <c r="D43" s="58"/>
      <c r="E43" s="9">
        <v>5</v>
      </c>
      <c r="F43" s="29">
        <v>3.75</v>
      </c>
      <c r="G43" s="32">
        <f t="shared" si="0"/>
        <v>0.75</v>
      </c>
      <c r="H43" s="33" t="str">
        <f t="shared" si="1"/>
        <v>جيد</v>
      </c>
      <c r="I43" s="63"/>
      <c r="J43" s="64"/>
    </row>
    <row r="44" spans="1:10" ht="30" customHeight="1" x14ac:dyDescent="0.3">
      <c r="A44" s="11"/>
      <c r="B44" s="57" t="s">
        <v>225</v>
      </c>
      <c r="C44" s="58"/>
      <c r="D44" s="58"/>
      <c r="E44" s="9">
        <v>5</v>
      </c>
      <c r="F44" s="29">
        <v>3.75</v>
      </c>
      <c r="G44" s="32">
        <f t="shared" si="0"/>
        <v>0.75</v>
      </c>
      <c r="H44" s="33" t="str">
        <f t="shared" si="1"/>
        <v>جيد</v>
      </c>
      <c r="I44" s="63"/>
      <c r="J44" s="64"/>
    </row>
    <row r="45" spans="1:10" ht="30" customHeight="1" x14ac:dyDescent="0.3">
      <c r="A45" s="11"/>
      <c r="B45" s="57" t="s">
        <v>226</v>
      </c>
      <c r="C45" s="58"/>
      <c r="D45" s="58"/>
      <c r="E45" s="9">
        <v>5</v>
      </c>
      <c r="F45" s="29">
        <v>3.5</v>
      </c>
      <c r="G45" s="32">
        <f t="shared" si="0"/>
        <v>0.7</v>
      </c>
      <c r="H45" s="33" t="str">
        <f t="shared" si="1"/>
        <v>جيد</v>
      </c>
      <c r="I45" s="63"/>
      <c r="J45" s="64"/>
    </row>
    <row r="46" spans="1:10" ht="30" customHeight="1" x14ac:dyDescent="0.3">
      <c r="A46" s="11"/>
      <c r="B46" s="57" t="s">
        <v>227</v>
      </c>
      <c r="C46" s="58"/>
      <c r="D46" s="58"/>
      <c r="E46" s="9">
        <v>5</v>
      </c>
      <c r="F46" s="29">
        <v>3.75</v>
      </c>
      <c r="G46" s="32">
        <f t="shared" si="0"/>
        <v>0.75</v>
      </c>
      <c r="H46" s="33" t="str">
        <f t="shared" si="1"/>
        <v>جيد</v>
      </c>
      <c r="I46" s="63" t="s">
        <v>242</v>
      </c>
      <c r="J46" s="64"/>
    </row>
    <row r="47" spans="1:10" ht="30" customHeight="1" x14ac:dyDescent="0.3">
      <c r="A47" s="11"/>
      <c r="B47" s="57" t="s">
        <v>228</v>
      </c>
      <c r="C47" s="58"/>
      <c r="D47" s="58"/>
      <c r="E47" s="9">
        <v>5</v>
      </c>
      <c r="F47" s="29">
        <v>3.75</v>
      </c>
      <c r="G47" s="32">
        <f t="shared" si="0"/>
        <v>0.75</v>
      </c>
      <c r="H47" s="33" t="str">
        <f t="shared" si="1"/>
        <v>جيد</v>
      </c>
      <c r="I47" s="63"/>
      <c r="J47" s="64"/>
    </row>
    <row r="48" spans="1:10" ht="30" customHeight="1" x14ac:dyDescent="0.3">
      <c r="A48" s="11"/>
      <c r="B48" s="57" t="s">
        <v>229</v>
      </c>
      <c r="C48" s="58"/>
      <c r="D48" s="58"/>
      <c r="E48" s="9">
        <v>5</v>
      </c>
      <c r="F48" s="29">
        <v>3.75</v>
      </c>
      <c r="G48" s="32">
        <f t="shared" si="0"/>
        <v>0.75</v>
      </c>
      <c r="H48" s="33" t="str">
        <f t="shared" si="1"/>
        <v>جيد</v>
      </c>
      <c r="I48" s="63"/>
      <c r="J48" s="64"/>
    </row>
    <row r="49" spans="1:10" ht="30" customHeight="1" x14ac:dyDescent="0.3">
      <c r="A49" s="11"/>
      <c r="B49" s="57" t="s">
        <v>230</v>
      </c>
      <c r="C49" s="58"/>
      <c r="D49" s="58"/>
      <c r="E49" s="9">
        <v>5</v>
      </c>
      <c r="F49" s="29">
        <v>4</v>
      </c>
      <c r="G49" s="32">
        <f t="shared" si="0"/>
        <v>0.8</v>
      </c>
      <c r="H49" s="33" t="str">
        <f t="shared" si="1"/>
        <v>جيد جداً</v>
      </c>
      <c r="I49" s="63"/>
      <c r="J49" s="64"/>
    </row>
    <row r="50" spans="1:10" ht="30" customHeight="1" x14ac:dyDescent="0.3">
      <c r="A50" s="11"/>
      <c r="B50" s="57" t="s">
        <v>231</v>
      </c>
      <c r="C50" s="58"/>
      <c r="D50" s="58"/>
      <c r="E50" s="9">
        <v>5</v>
      </c>
      <c r="F50" s="29">
        <v>4</v>
      </c>
      <c r="G50" s="32">
        <f t="shared" si="0"/>
        <v>0.8</v>
      </c>
      <c r="H50" s="33" t="str">
        <f t="shared" si="1"/>
        <v>جيد جداً</v>
      </c>
      <c r="I50" s="63"/>
      <c r="J50" s="64"/>
    </row>
    <row r="51" spans="1:10" ht="30" customHeight="1" thickBot="1" x14ac:dyDescent="0.35">
      <c r="A51" s="11"/>
      <c r="B51" s="61" t="s">
        <v>232</v>
      </c>
      <c r="C51" s="62"/>
      <c r="D51" s="62"/>
      <c r="E51" s="39">
        <v>5</v>
      </c>
      <c r="F51" s="30">
        <v>4</v>
      </c>
      <c r="G51" s="40">
        <f t="shared" si="0"/>
        <v>0.8</v>
      </c>
      <c r="H51" s="41" t="str">
        <f t="shared" si="1"/>
        <v>جيد جداً</v>
      </c>
      <c r="I51" s="77"/>
      <c r="J51" s="78"/>
    </row>
    <row r="52" spans="1:10" ht="30" customHeight="1" x14ac:dyDescent="0.3">
      <c r="A52" s="11"/>
      <c r="B52" s="55" t="s">
        <v>233</v>
      </c>
      <c r="C52" s="56"/>
      <c r="D52" s="56"/>
      <c r="E52" s="42"/>
      <c r="F52" s="35"/>
      <c r="G52" s="36"/>
      <c r="H52" s="37"/>
      <c r="I52" s="65"/>
      <c r="J52" s="66"/>
    </row>
    <row r="53" spans="1:10" ht="30" customHeight="1" x14ac:dyDescent="0.3">
      <c r="A53" s="11"/>
      <c r="B53" s="51" t="s">
        <v>203</v>
      </c>
      <c r="C53" s="52"/>
      <c r="D53" s="52"/>
      <c r="E53" s="9">
        <v>0</v>
      </c>
      <c r="F53" s="27"/>
      <c r="G53" s="32"/>
      <c r="H53" s="33"/>
      <c r="I53" s="63"/>
      <c r="J53" s="64"/>
    </row>
    <row r="54" spans="1:10" ht="30" customHeight="1" x14ac:dyDescent="0.3">
      <c r="A54" s="11"/>
      <c r="B54" s="51" t="s">
        <v>204</v>
      </c>
      <c r="C54" s="52"/>
      <c r="D54" s="52"/>
      <c r="E54" s="9">
        <v>0</v>
      </c>
      <c r="F54" s="27"/>
      <c r="G54" s="32"/>
      <c r="H54" s="33"/>
      <c r="I54" s="63"/>
      <c r="J54" s="64"/>
    </row>
    <row r="55" spans="1:10" ht="30" customHeight="1" x14ac:dyDescent="0.3">
      <c r="A55" s="11"/>
      <c r="B55" s="51" t="s">
        <v>205</v>
      </c>
      <c r="C55" s="52"/>
      <c r="D55" s="52"/>
      <c r="E55" s="9">
        <v>0</v>
      </c>
      <c r="F55" s="27"/>
      <c r="G55" s="32"/>
      <c r="H55" s="33"/>
      <c r="I55" s="63"/>
      <c r="J55" s="64"/>
    </row>
    <row r="56" spans="1:10" ht="30" customHeight="1" x14ac:dyDescent="0.3">
      <c r="A56" s="11"/>
      <c r="B56" s="51" t="s">
        <v>234</v>
      </c>
      <c r="C56" s="52"/>
      <c r="D56" s="52"/>
      <c r="E56" s="9">
        <v>0</v>
      </c>
      <c r="F56" s="27"/>
      <c r="G56" s="32"/>
      <c r="H56" s="33"/>
      <c r="I56" s="63"/>
      <c r="J56" s="64"/>
    </row>
    <row r="57" spans="1:10" ht="30" customHeight="1" x14ac:dyDescent="0.3">
      <c r="A57" s="11"/>
      <c r="B57" s="51" t="s">
        <v>235</v>
      </c>
      <c r="C57" s="52"/>
      <c r="D57" s="52"/>
      <c r="E57" s="9">
        <v>0</v>
      </c>
      <c r="F57" s="27"/>
      <c r="G57" s="32"/>
      <c r="H57" s="33"/>
      <c r="I57" s="63"/>
      <c r="J57" s="64"/>
    </row>
    <row r="58" spans="1:10" ht="39.9" customHeight="1" thickBot="1" x14ac:dyDescent="0.35">
      <c r="A58" s="11"/>
      <c r="B58" s="53" t="s">
        <v>206</v>
      </c>
      <c r="C58" s="54"/>
      <c r="D58" s="54"/>
      <c r="E58" s="39">
        <v>0</v>
      </c>
      <c r="F58" s="28"/>
      <c r="G58" s="40"/>
      <c r="H58" s="41"/>
      <c r="I58" s="77"/>
      <c r="J58" s="78"/>
    </row>
    <row r="59" spans="1:10" ht="30" customHeight="1" x14ac:dyDescent="0.3">
      <c r="A59" s="11"/>
      <c r="B59" s="55" t="s">
        <v>239</v>
      </c>
      <c r="C59" s="56"/>
      <c r="D59" s="56"/>
      <c r="E59" s="42"/>
      <c r="F59" s="35"/>
      <c r="G59" s="36"/>
      <c r="H59" s="37"/>
      <c r="I59" s="65"/>
      <c r="J59" s="66"/>
    </row>
    <row r="60" spans="1:10" ht="30" customHeight="1" x14ac:dyDescent="0.3">
      <c r="A60" s="11"/>
      <c r="B60" s="51" t="s">
        <v>207</v>
      </c>
      <c r="C60" s="52"/>
      <c r="D60" s="52"/>
      <c r="E60" s="9">
        <v>0</v>
      </c>
      <c r="F60" s="27"/>
      <c r="G60" s="32"/>
      <c r="H60" s="33"/>
      <c r="I60" s="63"/>
      <c r="J60" s="64"/>
    </row>
    <row r="61" spans="1:10" ht="30" customHeight="1" thickBot="1" x14ac:dyDescent="0.35">
      <c r="A61" s="11"/>
      <c r="B61" s="53" t="s">
        <v>236</v>
      </c>
      <c r="C61" s="54"/>
      <c r="D61" s="54"/>
      <c r="E61" s="39">
        <v>0</v>
      </c>
      <c r="F61" s="28"/>
      <c r="G61" s="40"/>
      <c r="H61" s="41"/>
      <c r="I61" s="77"/>
      <c r="J61" s="78"/>
    </row>
    <row r="62" spans="1:10" ht="30" customHeight="1" x14ac:dyDescent="0.3">
      <c r="A62" s="11"/>
      <c r="B62" s="55" t="s">
        <v>240</v>
      </c>
      <c r="C62" s="56"/>
      <c r="D62" s="56"/>
      <c r="E62" s="42"/>
      <c r="F62" s="35"/>
      <c r="G62" s="36"/>
      <c r="H62" s="37"/>
      <c r="I62" s="65"/>
      <c r="J62" s="66"/>
    </row>
    <row r="63" spans="1:10" ht="30" customHeight="1" x14ac:dyDescent="0.3">
      <c r="A63" s="11"/>
      <c r="B63" s="51" t="s">
        <v>237</v>
      </c>
      <c r="C63" s="52"/>
      <c r="D63" s="52"/>
      <c r="E63" s="9">
        <v>0</v>
      </c>
      <c r="F63" s="27"/>
      <c r="G63" s="32"/>
      <c r="H63" s="33"/>
      <c r="I63" s="63"/>
      <c r="J63" s="64"/>
    </row>
    <row r="64" spans="1:10" ht="30" customHeight="1" x14ac:dyDescent="0.3">
      <c r="A64" s="11"/>
      <c r="B64" s="51" t="s">
        <v>238</v>
      </c>
      <c r="C64" s="52"/>
      <c r="D64" s="52"/>
      <c r="E64" s="9">
        <v>0</v>
      </c>
      <c r="F64" s="27"/>
      <c r="G64" s="32"/>
      <c r="H64" s="33"/>
      <c r="I64" s="63"/>
      <c r="J64" s="64"/>
    </row>
    <row r="65" spans="1:10" ht="39.9" customHeight="1" thickBot="1" x14ac:dyDescent="0.35">
      <c r="A65" s="11"/>
      <c r="B65" s="53" t="s">
        <v>208</v>
      </c>
      <c r="C65" s="54"/>
      <c r="D65" s="54"/>
      <c r="E65" s="39">
        <v>0</v>
      </c>
      <c r="F65" s="28"/>
      <c r="G65" s="40"/>
      <c r="H65" s="41"/>
      <c r="I65" s="77"/>
      <c r="J65" s="78"/>
    </row>
    <row r="66" spans="1:10" ht="30" customHeight="1" x14ac:dyDescent="0.3">
      <c r="A66" s="11"/>
      <c r="B66" s="55" t="s">
        <v>241</v>
      </c>
      <c r="C66" s="56"/>
      <c r="D66" s="56"/>
      <c r="E66" s="42"/>
      <c r="F66" s="35"/>
      <c r="G66" s="36"/>
      <c r="H66" s="37"/>
      <c r="I66" s="65"/>
      <c r="J66" s="66"/>
    </row>
    <row r="67" spans="1:10" ht="30" customHeight="1" x14ac:dyDescent="0.3">
      <c r="A67" s="11"/>
      <c r="B67" s="51" t="s">
        <v>209</v>
      </c>
      <c r="C67" s="52"/>
      <c r="D67" s="52"/>
      <c r="E67" s="9">
        <v>5</v>
      </c>
      <c r="F67" s="27">
        <v>3.5</v>
      </c>
      <c r="G67" s="32">
        <f t="shared" ref="G53:G68" si="4">IFERROR(F67/E67,"")</f>
        <v>0.7</v>
      </c>
      <c r="H67" s="33" t="str">
        <f t="shared" ref="H53:H68" si="5">_xlfn.IFS(F67="أدخل العلامة","",F67="لا ينطبق","تم الإلغاء",G67&gt;=90%,"ممتاز",G67&gt;=80%,"جيد جداً",G67&gt;=70%,"جيد",G67&gt;=60%,"مقبول",G67&lt;60%,"راسب")</f>
        <v>جيد</v>
      </c>
      <c r="I67" s="63" t="s">
        <v>243</v>
      </c>
      <c r="J67" s="64"/>
    </row>
    <row r="68" spans="1:10" ht="30" customHeight="1" thickBot="1" x14ac:dyDescent="0.35">
      <c r="A68" s="11"/>
      <c r="B68" s="53" t="s">
        <v>210</v>
      </c>
      <c r="C68" s="54"/>
      <c r="D68" s="54"/>
      <c r="E68" s="39">
        <v>5</v>
      </c>
      <c r="F68" s="28">
        <v>3.75</v>
      </c>
      <c r="G68" s="40">
        <f t="shared" si="4"/>
        <v>0.75</v>
      </c>
      <c r="H68" s="41" t="str">
        <f t="shared" si="5"/>
        <v>جيد</v>
      </c>
      <c r="I68" s="77"/>
      <c r="J68" s="78"/>
    </row>
    <row r="69" spans="1:10" ht="30" customHeight="1" thickBot="1" x14ac:dyDescent="0.35">
      <c r="A69" s="4"/>
      <c r="B69" s="81" t="s">
        <v>5</v>
      </c>
      <c r="C69" s="82"/>
      <c r="D69" s="82"/>
      <c r="E69" s="10">
        <f>SUM(E8:E68)</f>
        <v>145</v>
      </c>
      <c r="F69" s="10">
        <f>SUM(F8:F68)</f>
        <v>108.5</v>
      </c>
      <c r="G69" s="100"/>
      <c r="H69" s="101"/>
      <c r="I69" s="101"/>
      <c r="J69" s="102"/>
    </row>
    <row r="70" spans="1:10" ht="30" customHeight="1" thickBot="1" x14ac:dyDescent="0.35">
      <c r="A70" s="4"/>
      <c r="B70" s="81" t="s">
        <v>54</v>
      </c>
      <c r="C70" s="82"/>
      <c r="D70" s="82"/>
      <c r="E70" s="90">
        <f>F69/E69/100*100</f>
        <v>0.74827586206896557</v>
      </c>
      <c r="F70" s="90"/>
      <c r="G70" s="90"/>
      <c r="H70" s="90"/>
      <c r="I70" s="90"/>
      <c r="J70" s="91"/>
    </row>
    <row r="71" spans="1:10" ht="30" customHeight="1" thickBot="1" x14ac:dyDescent="0.35">
      <c r="A71" s="4"/>
      <c r="B71" s="81" t="s">
        <v>55</v>
      </c>
      <c r="C71" s="82"/>
      <c r="D71" s="82"/>
      <c r="E71" s="75" t="str">
        <f>_xlfn.IFS(E70&gt;=90%,"ممتاز",E70&gt;=80%,"جيد جداً",E70&gt;=70%,"جيد",E70&gt;=60%,"مقبول",E70&lt;60%,"راسب")</f>
        <v>جيد</v>
      </c>
      <c r="F71" s="75"/>
      <c r="G71" s="75"/>
      <c r="H71" s="75"/>
      <c r="I71" s="75"/>
      <c r="J71" s="76"/>
    </row>
    <row r="72" spans="1:10" ht="42" customHeight="1" x14ac:dyDescent="0.3">
      <c r="B72" s="71" t="s">
        <v>174</v>
      </c>
      <c r="C72" s="71"/>
      <c r="D72" s="71"/>
      <c r="E72" s="98" t="s">
        <v>52</v>
      </c>
      <c r="F72" s="98"/>
      <c r="G72" s="73" t="s">
        <v>115</v>
      </c>
      <c r="H72" s="73"/>
      <c r="I72" s="73"/>
      <c r="J72" s="73"/>
    </row>
    <row r="73" spans="1:10" ht="51" customHeight="1" x14ac:dyDescent="0.3">
      <c r="A73" s="5"/>
      <c r="B73" s="72"/>
      <c r="C73" s="72"/>
      <c r="D73" s="72"/>
      <c r="E73" s="99" t="s">
        <v>53</v>
      </c>
      <c r="F73" s="99"/>
      <c r="G73" s="74"/>
      <c r="H73" s="74"/>
      <c r="I73" s="74"/>
      <c r="J73" s="74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I9:J9"/>
    <mergeCell ref="B20:D20"/>
    <mergeCell ref="I20:J20"/>
    <mergeCell ref="I51:J51"/>
    <mergeCell ref="I50:J50"/>
    <mergeCell ref="I47:J47"/>
    <mergeCell ref="I46:J46"/>
    <mergeCell ref="I45:J45"/>
    <mergeCell ref="I44:J44"/>
    <mergeCell ref="B44:D44"/>
    <mergeCell ref="I43:J43"/>
    <mergeCell ref="B43:D43"/>
    <mergeCell ref="I42:J42"/>
    <mergeCell ref="B42:D42"/>
    <mergeCell ref="I41:J41"/>
    <mergeCell ref="B41:D41"/>
    <mergeCell ref="I48:J48"/>
    <mergeCell ref="I49:J49"/>
    <mergeCell ref="I21:J21"/>
    <mergeCell ref="I22:J22"/>
    <mergeCell ref="I23:J23"/>
    <mergeCell ref="I24:J24"/>
    <mergeCell ref="I25:J25"/>
    <mergeCell ref="I26:J26"/>
    <mergeCell ref="E72:F72"/>
    <mergeCell ref="E73:F73"/>
    <mergeCell ref="G69:J69"/>
    <mergeCell ref="I52:J52"/>
    <mergeCell ref="I53:J53"/>
    <mergeCell ref="I54:J54"/>
    <mergeCell ref="I55:J55"/>
    <mergeCell ref="I56:J56"/>
    <mergeCell ref="I57:J57"/>
    <mergeCell ref="I27:J27"/>
    <mergeCell ref="I28:J28"/>
    <mergeCell ref="B1:J1"/>
    <mergeCell ref="F2:J2"/>
    <mergeCell ref="B5:D6"/>
    <mergeCell ref="C2:D2"/>
    <mergeCell ref="C3:D3"/>
    <mergeCell ref="F3:J3"/>
    <mergeCell ref="E70:J70"/>
    <mergeCell ref="B7:D7"/>
    <mergeCell ref="I39:J39"/>
    <mergeCell ref="I40:J40"/>
    <mergeCell ref="I61:J61"/>
    <mergeCell ref="I62:J62"/>
    <mergeCell ref="I63:J63"/>
    <mergeCell ref="I64:J64"/>
    <mergeCell ref="I65:J65"/>
    <mergeCell ref="I67:J67"/>
    <mergeCell ref="I68:J68"/>
    <mergeCell ref="I31:J31"/>
    <mergeCell ref="I32:J32"/>
    <mergeCell ref="E5:H5"/>
    <mergeCell ref="I38:J38"/>
    <mergeCell ref="I5:J6"/>
    <mergeCell ref="I7:J7"/>
    <mergeCell ref="I10:J10"/>
    <mergeCell ref="B72:D73"/>
    <mergeCell ref="G72:J72"/>
    <mergeCell ref="G73:J73"/>
    <mergeCell ref="E71:J71"/>
    <mergeCell ref="I58:J58"/>
    <mergeCell ref="I59:J59"/>
    <mergeCell ref="I60:J60"/>
    <mergeCell ref="I33:J33"/>
    <mergeCell ref="I34:J34"/>
    <mergeCell ref="I35:J35"/>
    <mergeCell ref="I36:J36"/>
    <mergeCell ref="I37:J37"/>
    <mergeCell ref="I8:J8"/>
    <mergeCell ref="B69:D69"/>
    <mergeCell ref="B70:D70"/>
    <mergeCell ref="B71:D71"/>
    <mergeCell ref="I11:J11"/>
    <mergeCell ref="I12:J12"/>
    <mergeCell ref="I13:J13"/>
    <mergeCell ref="I14:J14"/>
    <mergeCell ref="I15:J15"/>
    <mergeCell ref="I16:J16"/>
    <mergeCell ref="I17:J17"/>
    <mergeCell ref="I18:J18"/>
    <mergeCell ref="I29:J29"/>
    <mergeCell ref="I30:J30"/>
    <mergeCell ref="I66:J66"/>
    <mergeCell ref="I19:J1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40:D40"/>
    <mergeCell ref="B39:D39"/>
    <mergeCell ref="B38:D38"/>
    <mergeCell ref="B37:D37"/>
    <mergeCell ref="B67:D67"/>
    <mergeCell ref="B68:D68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</mergeCells>
  <conditionalFormatting sqref="C2:D2">
    <cfRule type="containsText" dxfId="16" priority="25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24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1">
    <cfRule type="expression" dxfId="14" priority="64">
      <formula>$E71="راسب"</formula>
    </cfRule>
  </conditionalFormatting>
  <conditionalFormatting sqref="E71:J71">
    <cfRule type="expression" dxfId="13" priority="68">
      <formula>$E71="ممتاز"</formula>
    </cfRule>
    <cfRule type="expression" dxfId="12" priority="67">
      <formula>$E71="جيد جداً"</formula>
    </cfRule>
    <cfRule type="expression" dxfId="11" priority="66">
      <formula>$E71="جيد"</formula>
    </cfRule>
    <cfRule type="expression" dxfId="10" priority="65">
      <formula>$E71="مقبول"</formula>
    </cfRule>
  </conditionalFormatting>
  <conditionalFormatting sqref="F8:F68">
    <cfRule type="containsText" dxfId="9" priority="1" operator="containsText" text="أدخل العلامة">
      <formula>NOT(ISERROR(SEARCH("أدخل العلامة",F8)))</formula>
    </cfRule>
  </conditionalFormatting>
  <conditionalFormatting sqref="F2:J2">
    <cfRule type="containsText" dxfId="8" priority="26" operator="containsText" text="أدخل التاريخ">
      <formula>NOT(ISERROR(SEARCH("أدخل التاريخ",F2)))</formula>
    </cfRule>
  </conditionalFormatting>
  <conditionalFormatting sqref="F3:J3">
    <cfRule type="containsText" dxfId="7" priority="23" operator="containsText" text="أدخل أسم المحكم">
      <formula>NOT(ISERROR(SEARCH("أدخل أسم المحكم",F3)))</formula>
    </cfRule>
  </conditionalFormatting>
  <conditionalFormatting sqref="G72:J72">
    <cfRule type="containsText" dxfId="6" priority="22" operator="containsText" text="أدخل اسم المحكم">
      <formula>NOT(ISERROR(SEARCH("أدخل اسم المحكم",G72)))</formula>
    </cfRule>
  </conditionalFormatting>
  <conditionalFormatting sqref="H8:H68">
    <cfRule type="containsText" dxfId="5" priority="7" operator="containsText" text="راسب">
      <formula>NOT(ISERROR(SEARCH("راسب",H8)))</formula>
    </cfRule>
    <cfRule type="containsText" dxfId="4" priority="6" operator="containsText" text="مقبول">
      <formula>NOT(ISERROR(SEARCH("مقبول",H8)))</formula>
    </cfRule>
    <cfRule type="containsText" dxfId="3" priority="5" operator="containsText" text="جيد">
      <formula>NOT(ISERROR(SEARCH("جيد",H8)))</formula>
    </cfRule>
    <cfRule type="containsText" dxfId="2" priority="4" operator="containsText" text="جيد جداً">
      <formula>NOT(ISERROR(SEARCH("جيد جداً",H8)))</formula>
    </cfRule>
    <cfRule type="containsText" dxfId="1" priority="3" operator="containsText" text="ممتاز">
      <formula>NOT(ISERROR(SEARCH("ممتاز",H8)))</formula>
    </cfRule>
    <cfRule type="containsText" dxfId="0" priority="2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F67:F68 F63:F65 F53:F58 F38:F51 F29:F36 F24:F27 F9:F15 F17:F22 F60:F61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G72:J72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777343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2025-10-07T14:54:13Z</dcterms:modified>
</cp:coreProperties>
</file>