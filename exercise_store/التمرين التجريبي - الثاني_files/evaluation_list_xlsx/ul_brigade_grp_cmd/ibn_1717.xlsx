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DCC62E37-88E8-4A39-B253-52B24229B45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التقييم'!$A$1:$J$55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G10" i="2"/>
  <c r="G11" i="2"/>
  <c r="G12" i="2"/>
  <c r="G14" i="2"/>
  <c r="G15" i="2"/>
  <c r="H15" i="2" s="1"/>
  <c r="G16" i="2"/>
  <c r="H16" i="2" s="1"/>
  <c r="G17" i="2"/>
  <c r="G18" i="2"/>
  <c r="G19" i="2"/>
  <c r="G20" i="2"/>
  <c r="G21" i="2"/>
  <c r="G22" i="2"/>
  <c r="G24" i="2"/>
  <c r="G25" i="2"/>
  <c r="H25" i="2" s="1"/>
  <c r="G26" i="2"/>
  <c r="H26" i="2" s="1"/>
  <c r="G27" i="2"/>
  <c r="G28" i="2"/>
  <c r="G30" i="2"/>
  <c r="G31" i="2"/>
  <c r="G32" i="2"/>
  <c r="G33" i="2"/>
  <c r="G34" i="2"/>
  <c r="G36" i="2"/>
  <c r="G37" i="2"/>
  <c r="G38" i="2"/>
  <c r="G39" i="2"/>
  <c r="G41" i="2"/>
  <c r="H41" i="2" s="1"/>
  <c r="G42" i="2"/>
  <c r="H42" i="2" s="1"/>
  <c r="G43" i="2"/>
  <c r="H43" i="2" s="1"/>
  <c r="G44" i="2"/>
  <c r="G45" i="2"/>
  <c r="G46" i="2"/>
  <c r="G48" i="2"/>
  <c r="G49" i="2"/>
  <c r="G50" i="2"/>
  <c r="H9" i="2"/>
  <c r="H10" i="2"/>
  <c r="H11" i="2"/>
  <c r="H12" i="2"/>
  <c r="H14" i="2"/>
  <c r="H17" i="2"/>
  <c r="H18" i="2"/>
  <c r="H19" i="2"/>
  <c r="H20" i="2"/>
  <c r="H21" i="2"/>
  <c r="H22" i="2"/>
  <c r="H24" i="2"/>
  <c r="H27" i="2"/>
  <c r="H28" i="2"/>
  <c r="H30" i="2"/>
  <c r="H31" i="2"/>
  <c r="H32" i="2"/>
  <c r="H33" i="2"/>
  <c r="H34" i="2"/>
  <c r="H36" i="2"/>
  <c r="H37" i="2"/>
  <c r="H38" i="2"/>
  <c r="H39" i="2"/>
  <c r="H44" i="2"/>
  <c r="H45" i="2"/>
  <c r="H46" i="2"/>
  <c r="H48" i="2"/>
  <c r="H49" i="2"/>
  <c r="H50" i="2"/>
  <c r="F51" i="2"/>
  <c r="E52" i="2" s="1"/>
  <c r="E53" i="2" s="1"/>
  <c r="E51" i="2"/>
</calcChain>
</file>

<file path=xl/sharedStrings.xml><?xml version="1.0" encoding="utf-8"?>
<sst xmlns="http://schemas.openxmlformats.org/spreadsheetml/2006/main" count="226" uniqueCount="220">
  <si>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</si>
  <si>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</si>
  <si>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</si>
  <si>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</si>
  <si>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</si>
  <si>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</si>
  <si>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</si>
  <si>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</si>
  <si>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</si>
  <si>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</si>
  <si>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</si>
  <si>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</si>
  <si>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</si>
  <si>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</si>
  <si>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</si>
  <si>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</si>
  <si>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</si>
  <si>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</si>
  <si>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</si>
  <si>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</si>
  <si>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</si>
  <si>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</si>
  <si>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</si>
  <si>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</si>
  <si>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</si>
  <si>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</si>
  <si>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</si>
  <si>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</si>
  <si>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</si>
  <si>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</si>
  <si>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</si>
  <si>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</si>
  <si>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</si>
  <si>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</si>
  <si>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</si>
  <si>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</si>
  <si>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</si>
  <si>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</si>
  <si>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</si>
  <si>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</si>
  <si>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</si>
  <si>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</si>
  <si>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</si>
  <si>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</si>
  <si>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</si>
  <si>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</si>
  <si>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</si>
  <si>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</si>
  <si>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</si>
  <si>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</si>
  <si>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</si>
  <si>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</si>
  <si>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</si>
  <si>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</si>
  <si>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</si>
  <si>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</si>
  <si>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</si>
  <si>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</si>
  <si>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أدخل اسم المحكم</t>
  </si>
  <si>
    <t>أدخل اسم قائد الوحدة الخاضعة للتقييم</t>
  </si>
  <si>
    <t>أدخل العلامة</t>
  </si>
  <si>
    <r>
      <t>ملاحظـــات</t>
    </r>
    <r>
      <rPr>
        <b/>
        <sz val="14"/>
        <color rgb="FF000000"/>
        <rFont val="Arial"/>
        <family val="2"/>
      </rPr>
      <t xml:space="preserve">: 
</t>
    </r>
    <r>
      <rPr>
        <sz val="14"/>
        <color rgb="FF000000"/>
        <rFont val="Arial"/>
        <family val="2"/>
      </rPr>
      <t>1. يعتبر هذا النموذج (سري للغاية) بعد إدخال علامات التقييم.
2. نموذج التقييم قابل للتطوير والتعديل.</t>
    </r>
  </si>
  <si>
    <r>
      <rPr>
        <sz val="12"/>
        <color rgb="FF000000"/>
        <rFont val="Arial"/>
        <family val="2"/>
      </rPr>
      <t xml:space="preserve">1.  </t>
    </r>
    <r>
      <rPr>
        <b/>
        <u/>
        <sz val="12"/>
        <color rgb="FF000000"/>
        <rFont val="Arial"/>
        <family val="2"/>
      </rPr>
      <t>استلام المهمة</t>
    </r>
    <r>
      <rPr>
        <b/>
        <sz val="12"/>
        <color rgb="FF000000"/>
        <rFont val="Arial"/>
        <family val="2"/>
      </rPr>
      <t>.</t>
    </r>
  </si>
  <si>
    <r>
      <t xml:space="preserve">أ.  </t>
    </r>
    <r>
      <rPr>
        <sz val="7"/>
        <color rgb="FF000000"/>
        <rFont val="Times New Roman"/>
        <family val="1"/>
      </rPr>
      <t xml:space="preserve">     </t>
    </r>
    <r>
      <rPr>
        <sz val="12"/>
        <color rgb="FF000000"/>
        <rFont val="Arial"/>
        <family val="2"/>
      </rPr>
      <t>استلام خطة أو أمر القيادة الأعلى أو مهمة جديدة متوقعة من قبل القائد.</t>
    </r>
  </si>
  <si>
    <r>
      <t>ب.</t>
    </r>
    <r>
      <rPr>
        <sz val="7"/>
        <color rgb="FF000000"/>
        <rFont val="Times New Roman"/>
        <family val="1"/>
      </rPr>
      <t xml:space="preserve">     </t>
    </r>
    <r>
      <rPr>
        <sz val="12"/>
        <color rgb="FF000000"/>
        <rFont val="Arial"/>
        <family val="2"/>
      </rPr>
      <t>تحضير دليل تخطيط القائد الأولي.</t>
    </r>
  </si>
  <si>
    <r>
      <t>جـ.</t>
    </r>
    <r>
      <rPr>
        <sz val="7"/>
        <color rgb="FF000000"/>
        <rFont val="Times New Roman"/>
        <family val="1"/>
      </rPr>
      <t xml:space="preserve">     </t>
    </r>
    <r>
      <rPr>
        <sz val="12"/>
        <color rgb="FF000000"/>
        <rFont val="Arial"/>
        <family val="2"/>
      </rPr>
      <t>التخصيص الأولي للوقت.</t>
    </r>
  </si>
  <si>
    <r>
      <t>د.</t>
    </r>
    <r>
      <rPr>
        <sz val="7"/>
        <color rgb="FF000000"/>
        <rFont val="Times New Roman"/>
        <family val="1"/>
      </rPr>
      <t xml:space="preserve">       </t>
    </r>
    <r>
      <rPr>
        <sz val="12"/>
        <color rgb="FF000000"/>
        <rFont val="Arial"/>
        <family val="2"/>
      </rPr>
      <t>تجهيز الأمر الإنذاري/1.</t>
    </r>
  </si>
  <si>
    <r>
      <rPr>
        <sz val="12"/>
        <color rgb="FF000000"/>
        <rFont val="Arial"/>
        <family val="2"/>
      </rPr>
      <t xml:space="preserve">2.  </t>
    </r>
    <r>
      <rPr>
        <b/>
        <u/>
        <sz val="12"/>
        <color rgb="FF000000"/>
        <rFont val="Arial"/>
        <family val="2"/>
      </rPr>
      <t>تحليل المهمة</t>
    </r>
    <r>
      <rPr>
        <b/>
        <sz val="12"/>
        <color rgb="FF000000"/>
        <rFont val="Arial"/>
        <family val="2"/>
      </rPr>
      <t>.</t>
    </r>
  </si>
  <si>
    <r>
      <t>أ.</t>
    </r>
    <r>
      <rPr>
        <sz val="7"/>
        <color rgb="FF000000"/>
        <rFont val="Times New Roman"/>
        <family val="1"/>
      </rPr>
      <t xml:space="preserve">        </t>
    </r>
    <r>
      <rPr>
        <sz val="12"/>
        <color rgb="FF000000"/>
        <rFont val="Arial"/>
        <family val="2"/>
      </rPr>
      <t>صياغة المعضلة.</t>
    </r>
  </si>
  <si>
    <r>
      <t>ب.</t>
    </r>
    <r>
      <rPr>
        <sz val="7"/>
        <color rgb="FF000000"/>
        <rFont val="Times New Roman"/>
        <family val="1"/>
      </rPr>
      <t xml:space="preserve">     </t>
    </r>
    <r>
      <rPr>
        <sz val="12"/>
        <color rgb="FF000000"/>
        <rFont val="Arial"/>
        <family val="2"/>
      </rPr>
      <t>تحضير القصد الأولي للقائد ودليل تخطيطه.</t>
    </r>
  </si>
  <si>
    <r>
      <t>جـ.</t>
    </r>
    <r>
      <rPr>
        <sz val="7"/>
        <color rgb="FF000000"/>
        <rFont val="Times New Roman"/>
        <family val="1"/>
      </rPr>
      <t xml:space="preserve">     </t>
    </r>
    <r>
      <rPr>
        <sz val="12"/>
        <color rgb="FF000000"/>
        <rFont val="Arial"/>
        <family val="2"/>
      </rPr>
      <t>عمل تقديرات موقف هيئة الركن المحدثة.</t>
    </r>
  </si>
  <si>
    <r>
      <t>د.</t>
    </r>
    <r>
      <rPr>
        <sz val="7"/>
        <color rgb="FF000000"/>
        <rFont val="Times New Roman"/>
        <family val="1"/>
      </rPr>
      <t xml:space="preserve">        </t>
    </r>
    <r>
      <rPr>
        <sz val="12"/>
        <color rgb="FF000000"/>
        <rFont val="Arial"/>
        <family val="2"/>
      </rPr>
      <t>تحديد متطلبات المعلومات الهامة للقائد والعناصر الأساسية للمعلومات الصديقة.</t>
    </r>
  </si>
  <si>
    <r>
      <t>هـ.</t>
    </r>
    <r>
      <rPr>
        <sz val="7"/>
        <color rgb="FF000000"/>
        <rFont val="Times New Roman"/>
        <family val="1"/>
      </rPr>
      <t xml:space="preserve">       </t>
    </r>
    <r>
      <rPr>
        <sz val="12"/>
        <color rgb="FF000000"/>
        <rFont val="Arial"/>
        <family val="2"/>
      </rPr>
      <t>تحضير استخباري محدّث لميدان المعركة.</t>
    </r>
  </si>
  <si>
    <r>
      <t>و.</t>
    </r>
    <r>
      <rPr>
        <sz val="7"/>
        <color rgb="FF000000"/>
        <rFont val="Times New Roman"/>
        <family val="1"/>
      </rPr>
      <t xml:space="preserve">       </t>
    </r>
    <r>
      <rPr>
        <sz val="12"/>
        <color rgb="FF000000"/>
        <rFont val="Arial"/>
        <family val="2"/>
      </rPr>
      <t>تحضير خطة استخبارات ومراقبة أولية وتقديرات جارية.</t>
    </r>
  </si>
  <si>
    <r>
      <t>ز.</t>
    </r>
    <r>
      <rPr>
        <sz val="7"/>
        <color rgb="FF000000"/>
        <rFont val="Times New Roman"/>
        <family val="1"/>
      </rPr>
      <t xml:space="preserve">       </t>
    </r>
    <r>
      <rPr>
        <sz val="12"/>
        <color rgb="FF000000"/>
        <rFont val="Arial"/>
        <family val="2"/>
      </rPr>
      <t>وضع الافتراضات.</t>
    </r>
  </si>
  <si>
    <r>
      <t>ح.</t>
    </r>
    <r>
      <rPr>
        <sz val="7"/>
        <color rgb="FF000000"/>
        <rFont val="Times New Roman"/>
        <family val="1"/>
      </rPr>
      <t xml:space="preserve">       </t>
    </r>
    <r>
      <rPr>
        <sz val="12"/>
        <color rgb="FF000000"/>
        <rFont val="Arial"/>
        <family val="2"/>
      </rPr>
      <t>تحديد معايير تقييم للأعمال الممكنة.</t>
    </r>
  </si>
  <si>
    <r>
      <t>ط.</t>
    </r>
    <r>
      <rPr>
        <sz val="7"/>
        <color rgb="FF000000"/>
        <rFont val="Times New Roman"/>
        <family val="1"/>
      </rPr>
      <t xml:space="preserve">       </t>
    </r>
    <r>
      <rPr>
        <sz val="12"/>
        <color rgb="FF000000"/>
        <rFont val="Arial"/>
        <family val="2"/>
      </rPr>
      <t>إصدار الأمر الإنذاري/2</t>
    </r>
  </si>
  <si>
    <r>
      <rPr>
        <sz val="12"/>
        <color rgb="FF000000"/>
        <rFont val="Arial"/>
        <family val="2"/>
      </rPr>
      <t xml:space="preserve">3.  </t>
    </r>
    <r>
      <rPr>
        <b/>
        <u/>
        <sz val="12"/>
        <color rgb="FF000000"/>
        <rFont val="Arial"/>
        <family val="2"/>
      </rPr>
      <t>إعداد وتطوير الأعمال الممكنة</t>
    </r>
    <r>
      <rPr>
        <b/>
        <sz val="12"/>
        <color rgb="FF000000"/>
        <rFont val="Arial"/>
        <family val="2"/>
      </rPr>
      <t>.</t>
    </r>
  </si>
  <si>
    <r>
      <t>أ.</t>
    </r>
    <r>
      <rPr>
        <sz val="7"/>
        <color rgb="FF000000"/>
        <rFont val="Times New Roman"/>
        <family val="1"/>
      </rPr>
      <t xml:space="preserve">        </t>
    </r>
    <r>
      <rPr>
        <sz val="12"/>
        <color rgb="FF000000"/>
        <rFont val="Arial"/>
        <family val="2"/>
      </rPr>
      <t>صياغة الأعمال الممكنة ومخططاتها.</t>
    </r>
  </si>
  <si>
    <r>
      <t>ب.</t>
    </r>
    <r>
      <rPr>
        <sz val="7"/>
        <color rgb="FF000000"/>
        <rFont val="Times New Roman"/>
        <family val="1"/>
      </rPr>
      <t xml:space="preserve">     </t>
    </r>
    <r>
      <rPr>
        <sz val="12"/>
        <color rgb="FF000000"/>
        <rFont val="Arial"/>
        <family val="2"/>
      </rPr>
      <t>تحديد التجميع الأولي للواجب.</t>
    </r>
  </si>
  <si>
    <r>
      <t>جـ.</t>
    </r>
    <r>
      <rPr>
        <sz val="7"/>
        <color rgb="FF000000"/>
        <rFont val="Times New Roman"/>
        <family val="1"/>
      </rPr>
      <t xml:space="preserve">     </t>
    </r>
    <r>
      <rPr>
        <sz val="12"/>
        <color rgb="FF000000"/>
        <rFont val="Arial"/>
        <family val="2"/>
      </rPr>
      <t>وضع مفهوم عمليات واسع.</t>
    </r>
  </si>
  <si>
    <r>
      <t>د.</t>
    </r>
    <r>
      <rPr>
        <sz val="7"/>
        <color rgb="FF000000"/>
        <rFont val="Times New Roman"/>
        <family val="1"/>
      </rPr>
      <t xml:space="preserve">       </t>
    </r>
    <r>
      <rPr>
        <sz val="12"/>
        <color rgb="FF000000"/>
        <rFont val="Arial"/>
        <family val="2"/>
      </rPr>
      <t>تجهيز دليل تخطيط منقّح.</t>
    </r>
  </si>
  <si>
    <r>
      <t>هـ.</t>
    </r>
    <r>
      <rPr>
        <sz val="7"/>
        <color rgb="FF000000"/>
        <rFont val="Times New Roman"/>
        <family val="1"/>
      </rPr>
      <t xml:space="preserve">      </t>
    </r>
    <r>
      <rPr>
        <sz val="12"/>
        <color rgb="FF000000"/>
        <rFont val="Arial"/>
        <family val="2"/>
      </rPr>
      <t>تحديث الافتراضات.</t>
    </r>
  </si>
  <si>
    <r>
      <rPr>
        <sz val="12"/>
        <color rgb="FF000000"/>
        <rFont val="Arial"/>
        <family val="2"/>
      </rPr>
      <t xml:space="preserve">4.  </t>
    </r>
    <r>
      <rPr>
        <b/>
        <u/>
        <sz val="12"/>
        <color rgb="FF000000"/>
        <rFont val="Arial"/>
        <family val="2"/>
      </rPr>
      <t>تحليل الأعمال الممكنة (لعبة الحرب)</t>
    </r>
    <r>
      <rPr>
        <b/>
        <sz val="12"/>
        <color rgb="FF000000"/>
        <rFont val="Arial"/>
        <family val="2"/>
      </rPr>
      <t>.</t>
    </r>
  </si>
  <si>
    <t>أ.    استنتاج أعمال ممكنة منقحة.</t>
  </si>
  <si>
    <r>
      <t>ب.</t>
    </r>
    <r>
      <rPr>
        <sz val="7"/>
        <color rgb="FF000000"/>
        <rFont val="Times New Roman"/>
        <family val="1"/>
      </rPr>
      <t xml:space="preserve">     </t>
    </r>
    <r>
      <rPr>
        <sz val="12"/>
        <color rgb="FF000000"/>
        <rFont val="Arial"/>
        <family val="2"/>
      </rPr>
      <t>الوصول إلى نتائج لعبة الحرب.</t>
    </r>
  </si>
  <si>
    <r>
      <t>جـ.</t>
    </r>
    <r>
      <rPr>
        <sz val="7"/>
        <color rgb="FF000000"/>
        <rFont val="Times New Roman"/>
        <family val="1"/>
      </rPr>
      <t xml:space="preserve">     </t>
    </r>
    <r>
      <rPr>
        <sz val="12"/>
        <color rgb="FF000000"/>
        <rFont val="Arial"/>
        <family val="2"/>
      </rPr>
      <t>تحديد نقاط اتخاذ قرار محتملة.</t>
    </r>
  </si>
  <si>
    <r>
      <t>د.</t>
    </r>
    <r>
      <rPr>
        <sz val="7"/>
        <color rgb="FF000000"/>
        <rFont val="Times New Roman"/>
        <family val="1"/>
      </rPr>
      <t xml:space="preserve">       </t>
    </r>
    <r>
      <rPr>
        <sz val="12"/>
        <color rgb="FF000000"/>
        <rFont val="Arial"/>
        <family val="2"/>
      </rPr>
      <t>وضع معايير التقييم الأولية.</t>
    </r>
  </si>
  <si>
    <r>
      <t>هـ.</t>
    </r>
    <r>
      <rPr>
        <sz val="7"/>
        <color rgb="FF000000"/>
        <rFont val="Times New Roman"/>
        <family val="1"/>
      </rPr>
      <t xml:space="preserve">     </t>
    </r>
    <r>
      <rPr>
        <sz val="12"/>
        <color rgb="FF000000"/>
        <rFont val="Arial"/>
        <family val="2"/>
      </rPr>
      <t>تحديث الافتراضات.</t>
    </r>
  </si>
  <si>
    <r>
      <rPr>
        <sz val="12"/>
        <color rgb="FF000000"/>
        <rFont val="Arial"/>
        <family val="2"/>
      </rPr>
      <t xml:space="preserve">5.  </t>
    </r>
    <r>
      <rPr>
        <b/>
        <u/>
        <sz val="12"/>
        <color rgb="FF000000"/>
        <rFont val="Arial"/>
        <family val="2"/>
      </rPr>
      <t>مقارنة الأعمال الممكنة.</t>
    </r>
  </si>
  <si>
    <r>
      <t>أ.</t>
    </r>
    <r>
      <rPr>
        <sz val="7"/>
        <color rgb="FF000000"/>
        <rFont val="Times New Roman"/>
        <family val="1"/>
      </rPr>
      <t xml:space="preserve">         </t>
    </r>
    <r>
      <rPr>
        <sz val="12"/>
        <color rgb="FF000000"/>
        <rFont val="Arial"/>
        <family val="2"/>
      </rPr>
      <t>استنتاج أعمال ممكنة مقيمة.</t>
    </r>
  </si>
  <si>
    <r>
      <t>ب.</t>
    </r>
    <r>
      <rPr>
        <sz val="7"/>
        <color rgb="FF000000"/>
        <rFont val="Times New Roman"/>
        <family val="1"/>
      </rPr>
      <t xml:space="preserve">     </t>
    </r>
    <r>
      <rPr>
        <sz val="12"/>
        <color rgb="FF000000"/>
        <rFont val="Arial"/>
        <family val="2"/>
      </rPr>
      <t>التوصية بالأعمال الممكنة.</t>
    </r>
  </si>
  <si>
    <r>
      <t>جـ.</t>
    </r>
    <r>
      <rPr>
        <sz val="7"/>
        <color rgb="FF000000"/>
        <rFont val="Times New Roman"/>
        <family val="1"/>
      </rPr>
      <t xml:space="preserve">    </t>
    </r>
    <r>
      <rPr>
        <sz val="12"/>
        <color rgb="FF000000"/>
        <rFont val="Arial"/>
        <family val="2"/>
      </rPr>
      <t>تحديث تقديرات موقف هيئة الركن.</t>
    </r>
  </si>
  <si>
    <r>
      <t>د.</t>
    </r>
    <r>
      <rPr>
        <sz val="7"/>
        <color rgb="FF000000"/>
        <rFont val="Times New Roman"/>
        <family val="1"/>
      </rPr>
      <t xml:space="preserve">        </t>
    </r>
    <r>
      <rPr>
        <sz val="12"/>
        <color rgb="FF000000"/>
        <rFont val="Arial"/>
        <family val="2"/>
      </rPr>
      <t>تحديث الافتراضات.</t>
    </r>
  </si>
  <si>
    <r>
      <rPr>
        <sz val="12"/>
        <color rgb="FF000000"/>
        <rFont val="Arial"/>
        <family val="2"/>
      </rPr>
      <t xml:space="preserve">6.  </t>
    </r>
    <r>
      <rPr>
        <b/>
        <u/>
        <sz val="12"/>
        <color rgb="FF000000"/>
        <rFont val="Arial"/>
        <family val="2"/>
      </rPr>
      <t>الموافقة على العمل الممكن وإقراره.</t>
    </r>
  </si>
  <si>
    <r>
      <t>أ.</t>
    </r>
    <r>
      <rPr>
        <sz val="7"/>
        <color rgb="FF000000"/>
        <rFont val="Times New Roman"/>
        <family val="1"/>
      </rPr>
      <t xml:space="preserve">       </t>
    </r>
    <r>
      <rPr>
        <sz val="12"/>
        <color rgb="FF000000"/>
        <rFont val="Arial"/>
        <family val="2"/>
      </rPr>
      <t>تحديث الأعمال الممكنة التي تمت الموافقة عليها من قبل القائد مع أي تعديلات عليها.</t>
    </r>
  </si>
  <si>
    <r>
      <t>ب.</t>
    </r>
    <r>
      <rPr>
        <sz val="7"/>
        <color rgb="FF000000"/>
        <rFont val="Times New Roman"/>
        <family val="1"/>
      </rPr>
      <t xml:space="preserve">     </t>
    </r>
    <r>
      <rPr>
        <sz val="12"/>
        <color rgb="FF000000"/>
        <rFont val="Arial"/>
        <family val="2"/>
      </rPr>
      <t>إصدار قصد القائد المُنقّح.</t>
    </r>
  </si>
  <si>
    <r>
      <t>جـ.</t>
    </r>
    <r>
      <rPr>
        <sz val="7"/>
        <color rgb="FF000000"/>
        <rFont val="Times New Roman"/>
        <family val="1"/>
      </rPr>
      <t xml:space="preserve">     </t>
    </r>
    <r>
      <rPr>
        <sz val="12"/>
        <color rgb="FF000000"/>
        <rFont val="Arial"/>
        <family val="2"/>
      </rPr>
      <t>تحديد متطلبات المعلومات الهامة للقائد المُنقّحة.</t>
    </r>
  </si>
  <si>
    <r>
      <t>د.</t>
    </r>
    <r>
      <rPr>
        <sz val="7"/>
        <color rgb="FF000000"/>
        <rFont val="Times New Roman"/>
        <family val="1"/>
      </rPr>
      <t xml:space="preserve">       </t>
    </r>
    <r>
      <rPr>
        <sz val="12"/>
        <color rgb="FF000000"/>
        <rFont val="Arial"/>
        <family val="2"/>
      </rPr>
      <t>تحديد العناصر الأساسية للمعلومات الصديقة.</t>
    </r>
  </si>
  <si>
    <r>
      <t>هـ.</t>
    </r>
    <r>
      <rPr>
        <sz val="7"/>
        <color rgb="FF000000"/>
        <rFont val="Times New Roman"/>
        <family val="1"/>
      </rPr>
      <t xml:space="preserve">      </t>
    </r>
    <r>
      <rPr>
        <sz val="12"/>
        <color rgb="FF000000"/>
        <rFont val="Arial"/>
        <family val="2"/>
      </rPr>
      <t>تحديث الافتراضات.</t>
    </r>
  </si>
  <si>
    <r>
      <t>و.</t>
    </r>
    <r>
      <rPr>
        <sz val="7"/>
        <color rgb="FF000000"/>
        <rFont val="Times New Roman"/>
        <family val="1"/>
      </rPr>
      <t xml:space="preserve">     </t>
    </r>
    <r>
      <rPr>
        <sz val="12"/>
        <color rgb="FF000000"/>
        <rFont val="Arial"/>
        <family val="2"/>
      </rPr>
      <t>إصدار الأمر الإنذاري/3.</t>
    </r>
  </si>
  <si>
    <r>
      <rPr>
        <sz val="12"/>
        <color rgb="FF000000"/>
        <rFont val="Arial"/>
        <family val="2"/>
      </rPr>
      <t xml:space="preserve">7.  </t>
    </r>
    <r>
      <rPr>
        <b/>
        <u/>
        <sz val="12"/>
        <color rgb="FF000000"/>
        <rFont val="Arial"/>
        <family val="2"/>
      </rPr>
      <t>إنتاج الأوامر وتوزيعها وإرسالها</t>
    </r>
    <r>
      <rPr>
        <b/>
        <sz val="12"/>
        <color rgb="FF000000"/>
        <rFont val="Arial"/>
        <family val="2"/>
      </rPr>
      <t>.</t>
    </r>
  </si>
  <si>
    <r>
      <t>أ.</t>
    </r>
    <r>
      <rPr>
        <sz val="7"/>
        <color rgb="FF000000"/>
        <rFont val="Times New Roman"/>
        <family val="1"/>
      </rPr>
      <t xml:space="preserve">        </t>
    </r>
    <r>
      <rPr>
        <sz val="12"/>
        <color rgb="FF000000"/>
        <rFont val="Arial"/>
        <family val="2"/>
      </rPr>
      <t>الوصول إلى خطة أو أمر عمليات والموافقة عليهما.</t>
    </r>
  </si>
  <si>
    <r>
      <t>ب.</t>
    </r>
    <r>
      <rPr>
        <sz val="7"/>
        <color rgb="FF000000"/>
        <rFont val="Times New Roman"/>
        <family val="1"/>
      </rPr>
      <t xml:space="preserve">     </t>
    </r>
    <r>
      <rPr>
        <sz val="12"/>
        <color rgb="FF000000"/>
        <rFont val="Arial"/>
        <family val="2"/>
      </rPr>
      <t>تحضير أمر العمليات المقرر.</t>
    </r>
  </si>
  <si>
    <r>
      <t>جـ.</t>
    </r>
    <r>
      <rPr>
        <sz val="7"/>
        <color rgb="FF000000"/>
        <rFont val="Times New Roman"/>
        <family val="1"/>
      </rPr>
      <t xml:space="preserve">     </t>
    </r>
    <r>
      <rPr>
        <sz val="12"/>
        <color rgb="FF000000"/>
        <rFont val="Arial"/>
        <family val="2"/>
      </rPr>
      <t>التأكد من فهم المرؤوسين للخطة أو الأمر.</t>
    </r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</si>
  <si>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</si>
  <si>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</si>
  <si>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</si>
  <si>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</si>
  <si>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</si>
  <si>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</si>
  <si>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</si>
  <si>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</si>
  <si>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</si>
  <si>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</si>
  <si>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</si>
  <si>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</si>
  <si>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</si>
  <si>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</si>
  <si>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</si>
  <si>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</si>
  <si>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</si>
  <si>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</si>
  <si>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</si>
  <si>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</si>
  <si>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</si>
  <si>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</si>
  <si>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</si>
  <si>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</si>
  <si>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</si>
  <si>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</si>
  <si>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</si>
  <si>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</si>
  <si>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</si>
  <si>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</si>
  <si>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</si>
  <si>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</si>
  <si>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</si>
  <si>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</si>
  <si>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</si>
  <si>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</si>
  <si>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</si>
  <si>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</si>
  <si>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</si>
  <si>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</si>
  <si>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</si>
  <si>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</si>
  <si>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</si>
  <si>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</si>
  <si>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</si>
  <si>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</si>
  <si>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</si>
  <si>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</si>
  <si>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</si>
  <si>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</si>
  <si>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راشد ضاوي  راشدالطنيجي 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</si>
  <si>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</si>
  <si>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</si>
  <si>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</si>
  <si>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</si>
  <si>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</si>
  <si>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</si>
  <si>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</si>
  <si>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</si>
  <si>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</si>
  <si>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</si>
  <si>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</si>
  <si>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</si>
  <si>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</si>
  <si>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</si>
  <si>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</si>
  <si>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</si>
  <si>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</si>
  <si>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</si>
  <si>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</si>
  <si>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</si>
  <si>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</si>
  <si>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</si>
  <si>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</si>
  <si>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</si>
  <si>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</si>
  <si>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</si>
  <si>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</si>
  <si>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</si>
  <si>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</si>
  <si>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</si>
  <si>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</si>
  <si>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</si>
  <si>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</si>
  <si>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</si>
  <si>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</si>
  <si>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</si>
  <si>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</si>
  <si>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</si>
  <si>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</si>
  <si>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</si>
  <si>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</si>
  <si>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</si>
  <si>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</si>
  <si>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</si>
  <si>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</si>
  <si>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</si>
  <si>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</si>
  <si>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</si>
  <si>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</si>
  <si>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</si>
  <si>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</si>
  <si>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</si>
  <si>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</si>
  <si>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</si>
  <si>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</si>
  <si>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</si>
  <si>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</si>
  <si>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</si>
  <si>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</si>
  <si>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</si>
  <si>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</si>
  <si>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t xml:space="preserve">عميد ركن / حمد علي جمعة الشحي </t>
  </si>
  <si>
    <t>تقييم قيادة مجموعة اللواء في صنع القرار العسكري - العمليات التعرضية
تمرين جاهزية مجموعة لواء الإمارات/1 (جندي الصحراء 2025/20)</t>
  </si>
  <si>
    <t>العقيد الركن/ محمد حبيب المزروعي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</si>
</sst>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5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4"/>
      <color rgb="FF000000"/>
      <name val="Arial"/>
      <family val="2"/>
    </font>
    <font>
      <sz val="12"/>
      <color rgb="FF000000"/>
      <name val="Arial"/>
      <family val="2"/>
    </font>
    <font>
      <sz val="7"/>
      <color rgb="FF000000"/>
      <name val="Times New Roman"/>
      <family val="1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2" fillId="0" borderId="19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11" fillId="0" borderId="3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23" xfId="0" applyFont="1" applyBorder="1" applyAlignment="1">
      <alignment horizontal="center" vertical="center"/>
    </xf>
    <xf numFmtId="0" fontId="13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9" fillId="0" borderId="14" xfId="0" applyFont="1" applyBorder="1" applyAlignment="1">
      <alignment horizontal="right" vertical="center" wrapText="1" indent="2" readingOrder="2"/>
    </xf>
    <xf numFmtId="0" fontId="9" fillId="0" borderId="3" xfId="0" applyFont="1" applyBorder="1" applyAlignment="1">
      <alignment horizontal="right" vertical="center" wrapText="1" indent="2" readingOrder="2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1" fillId="0" borderId="5" xfId="0" applyFont="1" applyBorder="1" applyAlignment="1">
      <alignment horizontal="right" vertical="center" wrapText="1" readingOrder="2"/>
    </xf>
    <xf numFmtId="0" fontId="1" fillId="0" borderId="4" xfId="0" applyFont="1" applyBorder="1" applyAlignment="1">
      <alignment horizontal="right" vertical="center" wrapText="1" readingOrder="2"/>
    </xf>
    <xf numFmtId="0" fontId="1" fillId="0" borderId="6" xfId="0" applyFont="1" applyBorder="1" applyAlignment="1">
      <alignment horizontal="right" vertical="center" wrapText="1" readingOrder="2"/>
    </xf>
    <xf numFmtId="0" fontId="5" fillId="0" borderId="1" xfId="0" applyFont="1" applyBorder="1" applyAlignment="1" applyProtection="1">
      <alignment vertical="top" wrapText="1" readingOrder="2"/>
      <protection locked="0"/>
    </xf>
    <xf numFmtId="0" fontId="5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9" fillId="0" borderId="11" xfId="0" applyFont="1" applyBorder="1" applyAlignment="1">
      <alignment horizontal="right" vertical="center" wrapText="1" indent="2" readingOrder="2"/>
    </xf>
    <xf numFmtId="0" fontId="9" fillId="0" borderId="12" xfId="0" applyFont="1" applyBorder="1" applyAlignment="1">
      <alignment horizontal="right" vertical="center" wrapText="1" indent="2" readingOrder="2"/>
    </xf>
    <xf numFmtId="0" fontId="7" fillId="4" borderId="15" xfId="0" applyFont="1" applyFill="1" applyBorder="1" applyAlignment="1" applyProtection="1">
      <alignment horizontal="center" vertical="center" wrapText="1" readingOrder="2"/>
      <protection locked="0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49" fontId="5" fillId="0" borderId="0" xfId="0" applyNumberFormat="1" applyFont="1" applyAlignment="1" applyProtection="1">
      <alignment horizontal="center" vertical="top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0" borderId="24" xfId="0" applyFont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</cellXfs>
  <cellStyles count="1">
    <cellStyle name="Normal" xfId="0" builtinId="0"/>
  </cellStyles>
  <dxfs count="24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1"/>
      </font>
      <fill>
        <patternFill>
          <bgColor rgb="FF00B0F0"/>
        </patternFill>
      </fill>
    </dxf>
    <dxf>
      <fill>
        <patternFill>
          <bgColor rgb="FF00CC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55"/>
  <sheetViews>
    <sheetView rightToLeft="1" tabSelected="1" view="pageBreakPreview" zoomScale="130" zoomScaleNormal="100" zoomScaleSheetLayoutView="130" workbookViewId="0">
      <selection activeCell="C3" sqref="C3:D3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61" t="s">
        <v>218</v>
      </c>
      <c r="C1" s="62"/>
      <c r="D1" s="62"/>
      <c r="E1" s="62"/>
      <c r="F1" s="62"/>
      <c r="G1" s="62"/>
      <c r="H1" s="62"/>
      <c r="I1" s="62"/>
      <c r="J1" s="62"/>
    </row>
    <row r="2" spans="1:10" ht="30" customHeight="1" x14ac:dyDescent="0.3">
      <c r="B2" s="10" t="s">
        <v>8</v>
      </c>
      <c r="C2" s="68" t="s">
        <v>35</v>
      </c>
      <c r="D2" s="68"/>
      <c r="E2" s="10" t="s">
        <v>7</v>
      </c>
      <c r="F2" s="63" t="s">
        <v>56</v>
      </c>
      <c r="G2" s="63"/>
      <c r="H2" s="63"/>
      <c r="I2" s="63"/>
      <c r="J2" s="63"/>
    </row>
    <row r="3" spans="1:10" ht="30" customHeight="1" x14ac:dyDescent="0.3">
      <c r="B3" s="10" t="s">
        <v>9</v>
      </c>
      <c r="C3" s="68" t="s">
        <v>105</v>
      </c>
      <c r="D3" s="68"/>
      <c r="E3" s="10" t="s">
        <v>6</v>
      </c>
      <c r="F3" s="68" t="s">
        <v>58</v>
      </c>
      <c r="G3" s="68"/>
      <c r="H3" s="68"/>
      <c r="I3" s="68"/>
      <c r="J3" s="68"/>
    </row>
    <row r="4" spans="1:10" ht="30" customHeight="1" thickBot="1" x14ac:dyDescent="0.35">
      <c r="B4" s="6"/>
      <c r="C4" s="7"/>
      <c r="D4" s="7"/>
      <c r="E4" s="6"/>
      <c r="F4" s="73" t="s">
        <v>219</v>
      </c>
      <c r="G4" s="73"/>
      <c r="H4" s="73"/>
      <c r="I4" s="73"/>
      <c r="J4" s="73"/>
    </row>
    <row r="5" spans="1:10" ht="24.9" customHeight="1" x14ac:dyDescent="0.3">
      <c r="A5" s="8"/>
      <c r="B5" s="64" t="s">
        <v>0</v>
      </c>
      <c r="C5" s="65"/>
      <c r="D5" s="65"/>
      <c r="E5" s="69" t="s">
        <v>1</v>
      </c>
      <c r="F5" s="69"/>
      <c r="G5" s="69"/>
      <c r="H5" s="69"/>
      <c r="I5" s="69" t="s">
        <v>2</v>
      </c>
      <c r="J5" s="70"/>
    </row>
    <row r="6" spans="1:10" ht="24.9" customHeight="1" thickBot="1" x14ac:dyDescent="0.35">
      <c r="A6" s="8"/>
      <c r="B6" s="66"/>
      <c r="C6" s="67"/>
      <c r="D6" s="67"/>
      <c r="E6" s="9" t="s">
        <v>3</v>
      </c>
      <c r="F6" s="9" t="s">
        <v>4</v>
      </c>
      <c r="G6" s="9" t="s">
        <v>23</v>
      </c>
      <c r="H6" s="9" t="s">
        <v>24</v>
      </c>
      <c r="I6" s="71"/>
      <c r="J6" s="72"/>
    </row>
    <row r="7" spans="1:10" ht="24.9" customHeight="1" thickBot="1" x14ac:dyDescent="0.35">
      <c r="A7" s="8"/>
      <c r="B7" s="57" t="s">
        <v>21</v>
      </c>
      <c r="C7" s="58"/>
      <c r="D7" s="58"/>
      <c r="E7" s="21" t="s">
        <v>18</v>
      </c>
      <c r="F7" s="21" t="s">
        <v>19</v>
      </c>
      <c r="G7" s="21" t="s">
        <v>22</v>
      </c>
      <c r="H7" s="21" t="s">
        <v>20</v>
      </c>
      <c r="I7" s="59" t="s">
        <v>25</v>
      </c>
      <c r="J7" s="60"/>
    </row>
    <row r="8" spans="1:10" ht="30" customHeight="1" x14ac:dyDescent="0.3">
      <c r="A8" s="8"/>
      <c r="B8" s="44" t="s">
        <v>62</v>
      </c>
      <c r="C8" s="45"/>
      <c r="D8" s="45"/>
      <c r="E8" s="45"/>
      <c r="F8" s="45"/>
      <c r="G8" s="45"/>
      <c r="H8" s="45"/>
      <c r="I8" s="45"/>
      <c r="J8" s="46"/>
    </row>
    <row r="9" spans="1:10" ht="39.9" customHeight="1" x14ac:dyDescent="0.3">
      <c r="A9" s="8"/>
      <c r="B9" s="38" t="s">
        <v>63</v>
      </c>
      <c r="C9" s="39"/>
      <c r="D9" s="39"/>
      <c r="E9" s="19">
        <v>5</v>
      </c>
      <c r="F9" s="17">
        <v>4</v>
      </c>
      <c r="G9" s="23">
        <f>IFERROR(F9/E9,"")</f>
        <v>0.8</v>
      </c>
      <c r="H9" s="24" t="str">
        <f>_xlfn.IFS(F9="أدخل العلامة","",F9="لا ينطبق","تم الإلغاء",G9&gt;=90%,"ممتاز",G9&gt;=80%,"جيد جداً",G9&gt;=70%,"جيد",G9&gt;=60%,"مقبول",G9&lt;60%,"راسب")</f>
        <v>جيد جداً</v>
      </c>
      <c r="I9" s="42"/>
      <c r="J9" s="43"/>
    </row>
    <row r="10" spans="1:10" ht="30" customHeight="1" x14ac:dyDescent="0.3">
      <c r="A10" s="8"/>
      <c r="B10" s="38" t="s">
        <v>64</v>
      </c>
      <c r="C10" s="39"/>
      <c r="D10" s="39"/>
      <c r="E10" s="19">
        <v>5</v>
      </c>
      <c r="F10" s="17">
        <v>4</v>
      </c>
      <c r="G10" s="23">
        <f t="shared" ref="G10:G50" si="0">IFERROR(F10/E10,"")</f>
        <v>0.8</v>
      </c>
      <c r="H10" s="24" t="str">
        <f t="shared" ref="H10:H50" si="1">_xlfn.IFS(F10="أدخل العلامة","",F10="لا ينطبق","تم الإلغاء",G10&gt;=90%,"ممتاز",G10&gt;=80%,"جيد جداً",G10&gt;=70%,"جيد",G10&gt;=60%,"مقبول",G10&lt;60%,"راسب")</f>
        <v>جيد جداً</v>
      </c>
      <c r="I10" s="42"/>
      <c r="J10" s="43"/>
    </row>
    <row r="11" spans="1:10" ht="30" customHeight="1" x14ac:dyDescent="0.3">
      <c r="A11" s="8"/>
      <c r="B11" s="38" t="s">
        <v>65</v>
      </c>
      <c r="C11" s="39"/>
      <c r="D11" s="39"/>
      <c r="E11" s="19">
        <v>5</v>
      </c>
      <c r="F11" s="17">
        <v>4</v>
      </c>
      <c r="G11" s="23">
        <f t="shared" si="0"/>
        <v>0.8</v>
      </c>
      <c r="H11" s="24" t="str">
        <f t="shared" si="1"/>
        <v>جيد جداً</v>
      </c>
      <c r="I11" s="42"/>
      <c r="J11" s="43"/>
    </row>
    <row r="12" spans="1:10" ht="30" customHeight="1" thickBot="1" x14ac:dyDescent="0.35">
      <c r="A12" s="8"/>
      <c r="B12" s="55" t="s">
        <v>66</v>
      </c>
      <c r="C12" s="56"/>
      <c r="D12" s="56"/>
      <c r="E12" s="20">
        <v>5</v>
      </c>
      <c r="F12" s="18">
        <v>4</v>
      </c>
      <c r="G12" s="25">
        <f t="shared" si="0"/>
        <v>0.8</v>
      </c>
      <c r="H12" s="26" t="str">
        <f t="shared" si="1"/>
        <v>جيد جداً</v>
      </c>
      <c r="I12" s="40"/>
      <c r="J12" s="41"/>
    </row>
    <row r="13" spans="1:10" ht="30" customHeight="1" x14ac:dyDescent="0.3">
      <c r="A13" s="8"/>
      <c r="B13" s="44" t="s">
        <v>67</v>
      </c>
      <c r="C13" s="45"/>
      <c r="D13" s="45"/>
      <c r="E13" s="45"/>
      <c r="F13" s="45"/>
      <c r="G13" s="45"/>
      <c r="H13" s="45"/>
      <c r="I13" s="45"/>
      <c r="J13" s="46"/>
    </row>
    <row r="14" spans="1:10" ht="30" customHeight="1" x14ac:dyDescent="0.3">
      <c r="A14" s="8"/>
      <c r="B14" s="38" t="s">
        <v>68</v>
      </c>
      <c r="C14" s="39"/>
      <c r="D14" s="39"/>
      <c r="E14" s="19">
        <v>5</v>
      </c>
      <c r="F14" s="17">
        <v>3.75</v>
      </c>
      <c r="G14" s="23">
        <f t="shared" si="0"/>
        <v>0.75</v>
      </c>
      <c r="H14" s="24" t="str">
        <f t="shared" si="1"/>
        <v>جيد</v>
      </c>
      <c r="I14" s="42"/>
      <c r="J14" s="43"/>
    </row>
    <row r="15" spans="1:10" ht="30" customHeight="1" x14ac:dyDescent="0.3">
      <c r="A15" s="8"/>
      <c r="B15" s="38" t="s">
        <v>69</v>
      </c>
      <c r="C15" s="39"/>
      <c r="D15" s="39"/>
      <c r="E15" s="19">
        <v>5</v>
      </c>
      <c r="F15" s="17">
        <v>3.75</v>
      </c>
      <c r="G15" s="23">
        <f t="shared" si="0"/>
        <v>0.75</v>
      </c>
      <c r="H15" s="24" t="str">
        <f t="shared" si="1"/>
        <v>جيد</v>
      </c>
      <c r="I15" s="42"/>
      <c r="J15" s="43"/>
    </row>
    <row r="16" spans="1:10" ht="30" customHeight="1" x14ac:dyDescent="0.3">
      <c r="A16" s="8"/>
      <c r="B16" s="38" t="s">
        <v>70</v>
      </c>
      <c r="C16" s="39"/>
      <c r="D16" s="39"/>
      <c r="E16" s="19">
        <v>5</v>
      </c>
      <c r="F16" s="17">
        <v>3.75</v>
      </c>
      <c r="G16" s="23">
        <f t="shared" si="0"/>
        <v>0.75</v>
      </c>
      <c r="H16" s="24" t="str">
        <f t="shared" si="1"/>
        <v>جيد</v>
      </c>
      <c r="I16" s="42"/>
      <c r="J16" s="43"/>
    </row>
    <row r="17" spans="1:10" ht="39.9" customHeight="1" x14ac:dyDescent="0.3">
      <c r="A17" s="8"/>
      <c r="B17" s="38" t="s">
        <v>71</v>
      </c>
      <c r="C17" s="39"/>
      <c r="D17" s="39"/>
      <c r="E17" s="19">
        <v>5</v>
      </c>
      <c r="F17" s="17">
        <v>4</v>
      </c>
      <c r="G17" s="23">
        <f t="shared" si="0"/>
        <v>0.8</v>
      </c>
      <c r="H17" s="24" t="str">
        <f t="shared" si="1"/>
        <v>جيد جداً</v>
      </c>
      <c r="I17" s="42"/>
      <c r="J17" s="43"/>
    </row>
    <row r="18" spans="1:10" ht="30" customHeight="1" x14ac:dyDescent="0.3">
      <c r="A18" s="8"/>
      <c r="B18" s="38" t="s">
        <v>72</v>
      </c>
      <c r="C18" s="39"/>
      <c r="D18" s="39"/>
      <c r="E18" s="19">
        <v>5</v>
      </c>
      <c r="F18" s="17">
        <v>4</v>
      </c>
      <c r="G18" s="23">
        <f t="shared" si="0"/>
        <v>0.8</v>
      </c>
      <c r="H18" s="24" t="str">
        <f t="shared" si="1"/>
        <v>جيد جداً</v>
      </c>
      <c r="I18" s="42"/>
      <c r="J18" s="43"/>
    </row>
    <row r="19" spans="1:10" ht="30" customHeight="1" x14ac:dyDescent="0.3">
      <c r="A19" s="8"/>
      <c r="B19" s="38" t="s">
        <v>73</v>
      </c>
      <c r="C19" s="39"/>
      <c r="D19" s="39"/>
      <c r="E19" s="19">
        <v>5</v>
      </c>
      <c r="F19" s="17">
        <v>4</v>
      </c>
      <c r="G19" s="23">
        <f t="shared" si="0"/>
        <v>0.8</v>
      </c>
      <c r="H19" s="24" t="str">
        <f t="shared" si="1"/>
        <v>جيد جداً</v>
      </c>
      <c r="I19" s="42"/>
      <c r="J19" s="43"/>
    </row>
    <row r="20" spans="1:10" ht="30" customHeight="1" x14ac:dyDescent="0.3">
      <c r="A20" s="8"/>
      <c r="B20" s="38" t="s">
        <v>74</v>
      </c>
      <c r="C20" s="39"/>
      <c r="D20" s="39"/>
      <c r="E20" s="19">
        <v>5</v>
      </c>
      <c r="F20" s="17">
        <v>4</v>
      </c>
      <c r="G20" s="23">
        <f t="shared" si="0"/>
        <v>0.8</v>
      </c>
      <c r="H20" s="24" t="str">
        <f t="shared" si="1"/>
        <v>جيد جداً</v>
      </c>
      <c r="I20" s="42"/>
      <c r="J20" s="43"/>
    </row>
    <row r="21" spans="1:10" ht="30" customHeight="1" x14ac:dyDescent="0.3">
      <c r="A21" s="8"/>
      <c r="B21" s="38" t="s">
        <v>75</v>
      </c>
      <c r="C21" s="39"/>
      <c r="D21" s="39"/>
      <c r="E21" s="19">
        <v>5</v>
      </c>
      <c r="F21" s="17">
        <v>4</v>
      </c>
      <c r="G21" s="23">
        <f t="shared" si="0"/>
        <v>0.8</v>
      </c>
      <c r="H21" s="24" t="str">
        <f t="shared" si="1"/>
        <v>جيد جداً</v>
      </c>
      <c r="I21" s="42"/>
      <c r="J21" s="43"/>
    </row>
    <row r="22" spans="1:10" ht="30" customHeight="1" thickBot="1" x14ac:dyDescent="0.35">
      <c r="A22" s="8"/>
      <c r="B22" s="55" t="s">
        <v>76</v>
      </c>
      <c r="C22" s="56"/>
      <c r="D22" s="56"/>
      <c r="E22" s="20">
        <v>5</v>
      </c>
      <c r="F22" s="18">
        <v>4</v>
      </c>
      <c r="G22" s="25">
        <f t="shared" si="0"/>
        <v>0.8</v>
      </c>
      <c r="H22" s="26" t="str">
        <f t="shared" si="1"/>
        <v>جيد جداً</v>
      </c>
      <c r="I22" s="40"/>
      <c r="J22" s="41"/>
    </row>
    <row r="23" spans="1:10" ht="30" customHeight="1" x14ac:dyDescent="0.3">
      <c r="A23" s="8"/>
      <c r="B23" s="44" t="s">
        <v>77</v>
      </c>
      <c r="C23" s="45"/>
      <c r="D23" s="45"/>
      <c r="E23" s="45"/>
      <c r="F23" s="45"/>
      <c r="G23" s="45"/>
      <c r="H23" s="45"/>
      <c r="I23" s="45"/>
      <c r="J23" s="46"/>
    </row>
    <row r="24" spans="1:10" ht="30" customHeight="1" x14ac:dyDescent="0.3">
      <c r="A24" s="8"/>
      <c r="B24" s="38" t="s">
        <v>78</v>
      </c>
      <c r="C24" s="39"/>
      <c r="D24" s="39"/>
      <c r="E24" s="19">
        <v>5</v>
      </c>
      <c r="F24" s="17">
        <v>3.75</v>
      </c>
      <c r="G24" s="23">
        <f t="shared" si="0"/>
        <v>0.75</v>
      </c>
      <c r="H24" s="24" t="str">
        <f t="shared" si="1"/>
        <v>جيد</v>
      </c>
      <c r="I24" s="42"/>
      <c r="J24" s="43"/>
    </row>
    <row r="25" spans="1:10" ht="30" customHeight="1" x14ac:dyDescent="0.3">
      <c r="A25" s="8"/>
      <c r="B25" s="38" t="s">
        <v>79</v>
      </c>
      <c r="C25" s="39"/>
      <c r="D25" s="39"/>
      <c r="E25" s="19">
        <v>5</v>
      </c>
      <c r="F25" s="17">
        <v>3.75</v>
      </c>
      <c r="G25" s="23">
        <f t="shared" si="0"/>
        <v>0.75</v>
      </c>
      <c r="H25" s="24" t="str">
        <f t="shared" si="1"/>
        <v>جيد</v>
      </c>
      <c r="I25" s="42"/>
      <c r="J25" s="43"/>
    </row>
    <row r="26" spans="1:10" ht="30" customHeight="1" x14ac:dyDescent="0.3">
      <c r="A26" s="8"/>
      <c r="B26" s="38" t="s">
        <v>80</v>
      </c>
      <c r="C26" s="39"/>
      <c r="D26" s="39"/>
      <c r="E26" s="19">
        <v>5</v>
      </c>
      <c r="F26" s="17">
        <v>3.75</v>
      </c>
      <c r="G26" s="23">
        <f t="shared" si="0"/>
        <v>0.75</v>
      </c>
      <c r="H26" s="24" t="str">
        <f t="shared" si="1"/>
        <v>جيد</v>
      </c>
      <c r="I26" s="42"/>
      <c r="J26" s="43"/>
    </row>
    <row r="27" spans="1:10" ht="30" customHeight="1" x14ac:dyDescent="0.3">
      <c r="A27" s="8"/>
      <c r="B27" s="38" t="s">
        <v>81</v>
      </c>
      <c r="C27" s="39"/>
      <c r="D27" s="39"/>
      <c r="E27" s="19">
        <v>5</v>
      </c>
      <c r="F27" s="17">
        <v>3.75</v>
      </c>
      <c r="G27" s="23">
        <f t="shared" si="0"/>
        <v>0.75</v>
      </c>
      <c r="H27" s="24" t="str">
        <f t="shared" si="1"/>
        <v>جيد</v>
      </c>
      <c r="I27" s="42"/>
      <c r="J27" s="43"/>
    </row>
    <row r="28" spans="1:10" ht="30" customHeight="1" thickBot="1" x14ac:dyDescent="0.35">
      <c r="A28" s="8"/>
      <c r="B28" s="55" t="s">
        <v>82</v>
      </c>
      <c r="C28" s="56"/>
      <c r="D28" s="56"/>
      <c r="E28" s="20">
        <v>5</v>
      </c>
      <c r="F28" s="18">
        <v>4</v>
      </c>
      <c r="G28" s="25">
        <f t="shared" si="0"/>
        <v>0.8</v>
      </c>
      <c r="H28" s="26" t="str">
        <f t="shared" si="1"/>
        <v>جيد جداً</v>
      </c>
      <c r="I28" s="40"/>
      <c r="J28" s="41"/>
    </row>
    <row r="29" spans="1:10" ht="30" customHeight="1" x14ac:dyDescent="0.3">
      <c r="A29" s="8"/>
      <c r="B29" s="44" t="s">
        <v>83</v>
      </c>
      <c r="C29" s="45"/>
      <c r="D29" s="45"/>
      <c r="E29" s="45"/>
      <c r="F29" s="45"/>
      <c r="G29" s="45"/>
      <c r="H29" s="45"/>
      <c r="I29" s="45"/>
      <c r="J29" s="46"/>
    </row>
    <row r="30" spans="1:10" ht="30" customHeight="1" x14ac:dyDescent="0.3">
      <c r="A30" s="8"/>
      <c r="B30" s="38" t="s">
        <v>84</v>
      </c>
      <c r="C30" s="39"/>
      <c r="D30" s="39"/>
      <c r="E30" s="19">
        <v>5</v>
      </c>
      <c r="F30" s="17">
        <v>4</v>
      </c>
      <c r="G30" s="23">
        <f t="shared" si="0"/>
        <v>0.8</v>
      </c>
      <c r="H30" s="24" t="str">
        <f t="shared" si="1"/>
        <v>جيد جداً</v>
      </c>
      <c r="I30" s="42"/>
      <c r="J30" s="43"/>
    </row>
    <row r="31" spans="1:10" ht="30" customHeight="1" x14ac:dyDescent="0.3">
      <c r="A31" s="8"/>
      <c r="B31" s="38" t="s">
        <v>85</v>
      </c>
      <c r="C31" s="39"/>
      <c r="D31" s="39"/>
      <c r="E31" s="19">
        <v>5</v>
      </c>
      <c r="F31" s="17">
        <v>4</v>
      </c>
      <c r="G31" s="23">
        <f t="shared" si="0"/>
        <v>0.8</v>
      </c>
      <c r="H31" s="24" t="str">
        <f t="shared" si="1"/>
        <v>جيد جداً</v>
      </c>
      <c r="I31" s="42"/>
      <c r="J31" s="43"/>
    </row>
    <row r="32" spans="1:10" ht="30" customHeight="1" x14ac:dyDescent="0.3">
      <c r="A32" s="8"/>
      <c r="B32" s="38" t="s">
        <v>86</v>
      </c>
      <c r="C32" s="39"/>
      <c r="D32" s="39"/>
      <c r="E32" s="19">
        <v>5</v>
      </c>
      <c r="F32" s="17">
        <v>4</v>
      </c>
      <c r="G32" s="23">
        <f t="shared" si="0"/>
        <v>0.8</v>
      </c>
      <c r="H32" s="24" t="str">
        <f t="shared" si="1"/>
        <v>جيد جداً</v>
      </c>
      <c r="I32" s="42"/>
      <c r="J32" s="43"/>
    </row>
    <row r="33" spans="1:10" ht="30" customHeight="1" x14ac:dyDescent="0.3">
      <c r="A33" s="8"/>
      <c r="B33" s="38" t="s">
        <v>87</v>
      </c>
      <c r="C33" s="39"/>
      <c r="D33" s="39"/>
      <c r="E33" s="19">
        <v>5</v>
      </c>
      <c r="F33" s="17">
        <v>4</v>
      </c>
      <c r="G33" s="23">
        <f t="shared" si="0"/>
        <v>0.8</v>
      </c>
      <c r="H33" s="24" t="str">
        <f t="shared" si="1"/>
        <v>جيد جداً</v>
      </c>
      <c r="I33" s="42"/>
      <c r="J33" s="43"/>
    </row>
    <row r="34" spans="1:10" ht="30" customHeight="1" thickBot="1" x14ac:dyDescent="0.35">
      <c r="A34" s="8"/>
      <c r="B34" s="55" t="s">
        <v>88</v>
      </c>
      <c r="C34" s="56"/>
      <c r="D34" s="56"/>
      <c r="E34" s="20">
        <v>5</v>
      </c>
      <c r="F34" s="18">
        <v>4</v>
      </c>
      <c r="G34" s="25">
        <f t="shared" si="0"/>
        <v>0.8</v>
      </c>
      <c r="H34" s="26" t="str">
        <f t="shared" si="1"/>
        <v>جيد جداً</v>
      </c>
      <c r="I34" s="40"/>
      <c r="J34" s="41"/>
    </row>
    <row r="35" spans="1:10" ht="30" customHeight="1" x14ac:dyDescent="0.3">
      <c r="A35" s="8"/>
      <c r="B35" s="44" t="s">
        <v>89</v>
      </c>
      <c r="C35" s="45"/>
      <c r="D35" s="45"/>
      <c r="E35" s="45"/>
      <c r="F35" s="45"/>
      <c r="G35" s="45"/>
      <c r="H35" s="45"/>
      <c r="I35" s="45"/>
      <c r="J35" s="46"/>
    </row>
    <row r="36" spans="1:10" ht="30" customHeight="1" x14ac:dyDescent="0.3">
      <c r="A36" s="8"/>
      <c r="B36" s="38" t="s">
        <v>90</v>
      </c>
      <c r="C36" s="39"/>
      <c r="D36" s="39"/>
      <c r="E36" s="19">
        <v>5</v>
      </c>
      <c r="F36" s="17">
        <v>4</v>
      </c>
      <c r="G36" s="23">
        <f t="shared" si="0"/>
        <v>0.8</v>
      </c>
      <c r="H36" s="24" t="str">
        <f t="shared" si="1"/>
        <v>جيد جداً</v>
      </c>
      <c r="I36" s="42"/>
      <c r="J36" s="43"/>
    </row>
    <row r="37" spans="1:10" ht="30" customHeight="1" x14ac:dyDescent="0.3">
      <c r="A37" s="8"/>
      <c r="B37" s="38" t="s">
        <v>91</v>
      </c>
      <c r="C37" s="39"/>
      <c r="D37" s="39"/>
      <c r="E37" s="19">
        <v>5</v>
      </c>
      <c r="F37" s="17">
        <v>4</v>
      </c>
      <c r="G37" s="23">
        <f t="shared" si="0"/>
        <v>0.8</v>
      </c>
      <c r="H37" s="24" t="str">
        <f t="shared" si="1"/>
        <v>جيد جداً</v>
      </c>
      <c r="I37" s="42"/>
      <c r="J37" s="43"/>
    </row>
    <row r="38" spans="1:10" ht="30" customHeight="1" x14ac:dyDescent="0.3">
      <c r="A38" s="8"/>
      <c r="B38" s="38" t="s">
        <v>92</v>
      </c>
      <c r="C38" s="39"/>
      <c r="D38" s="39"/>
      <c r="E38" s="19">
        <v>5</v>
      </c>
      <c r="F38" s="17">
        <v>4</v>
      </c>
      <c r="G38" s="23">
        <f t="shared" si="0"/>
        <v>0.8</v>
      </c>
      <c r="H38" s="24" t="str">
        <f t="shared" si="1"/>
        <v>جيد جداً</v>
      </c>
      <c r="I38" s="42"/>
      <c r="J38" s="43"/>
    </row>
    <row r="39" spans="1:10" ht="30" customHeight="1" thickBot="1" x14ac:dyDescent="0.35">
      <c r="A39" s="8"/>
      <c r="B39" s="55" t="s">
        <v>93</v>
      </c>
      <c r="C39" s="56"/>
      <c r="D39" s="56"/>
      <c r="E39" s="20">
        <v>5</v>
      </c>
      <c r="F39" s="18">
        <v>4</v>
      </c>
      <c r="G39" s="25">
        <f t="shared" si="0"/>
        <v>0.8</v>
      </c>
      <c r="H39" s="26" t="str">
        <f t="shared" si="1"/>
        <v>جيد جداً</v>
      </c>
      <c r="I39" s="40"/>
      <c r="J39" s="41"/>
    </row>
    <row r="40" spans="1:10" ht="30" customHeight="1" x14ac:dyDescent="0.3">
      <c r="A40" s="8"/>
      <c r="B40" s="44" t="s">
        <v>94</v>
      </c>
      <c r="C40" s="45"/>
      <c r="D40" s="45"/>
      <c r="E40" s="45"/>
      <c r="F40" s="45"/>
      <c r="G40" s="45"/>
      <c r="H40" s="45"/>
      <c r="I40" s="45"/>
      <c r="J40" s="46"/>
    </row>
    <row r="41" spans="1:10" ht="39.9" customHeight="1" x14ac:dyDescent="0.3">
      <c r="A41" s="8"/>
      <c r="B41" s="38" t="s">
        <v>95</v>
      </c>
      <c r="C41" s="39"/>
      <c r="D41" s="39"/>
      <c r="E41" s="19">
        <v>5</v>
      </c>
      <c r="F41" s="17">
        <v>3.75</v>
      </c>
      <c r="G41" s="23">
        <f t="shared" si="0"/>
        <v>0.75</v>
      </c>
      <c r="H41" s="24" t="str">
        <f t="shared" si="1"/>
        <v>جيد</v>
      </c>
      <c r="I41" s="42"/>
      <c r="J41" s="43"/>
    </row>
    <row r="42" spans="1:10" ht="30" customHeight="1" x14ac:dyDescent="0.3">
      <c r="A42" s="8"/>
      <c r="B42" s="38" t="s">
        <v>96</v>
      </c>
      <c r="C42" s="39"/>
      <c r="D42" s="39"/>
      <c r="E42" s="19">
        <v>5</v>
      </c>
      <c r="F42" s="17">
        <v>3.75</v>
      </c>
      <c r="G42" s="23">
        <f t="shared" si="0"/>
        <v>0.75</v>
      </c>
      <c r="H42" s="24" t="str">
        <f t="shared" si="1"/>
        <v>جيد</v>
      </c>
      <c r="I42" s="42"/>
      <c r="J42" s="43"/>
    </row>
    <row r="43" spans="1:10" ht="30" customHeight="1" x14ac:dyDescent="0.3">
      <c r="A43" s="8"/>
      <c r="B43" s="38" t="s">
        <v>97</v>
      </c>
      <c r="C43" s="39"/>
      <c r="D43" s="39"/>
      <c r="E43" s="19">
        <v>5</v>
      </c>
      <c r="F43" s="17">
        <v>3.75</v>
      </c>
      <c r="G43" s="23">
        <f t="shared" si="0"/>
        <v>0.75</v>
      </c>
      <c r="H43" s="24" t="str">
        <f t="shared" si="1"/>
        <v>جيد</v>
      </c>
      <c r="I43" s="42"/>
      <c r="J43" s="43"/>
    </row>
    <row r="44" spans="1:10" ht="30" customHeight="1" x14ac:dyDescent="0.3">
      <c r="A44" s="8"/>
      <c r="B44" s="38" t="s">
        <v>98</v>
      </c>
      <c r="C44" s="39"/>
      <c r="D44" s="39"/>
      <c r="E44" s="19">
        <v>5</v>
      </c>
      <c r="F44" s="17">
        <v>4</v>
      </c>
      <c r="G44" s="23">
        <f t="shared" si="0"/>
        <v>0.8</v>
      </c>
      <c r="H44" s="24" t="str">
        <f t="shared" si="1"/>
        <v>جيد جداً</v>
      </c>
      <c r="I44" s="42"/>
      <c r="J44" s="43"/>
    </row>
    <row r="45" spans="1:10" ht="30" customHeight="1" x14ac:dyDescent="0.3">
      <c r="A45" s="8"/>
      <c r="B45" s="38" t="s">
        <v>99</v>
      </c>
      <c r="C45" s="39"/>
      <c r="D45" s="39"/>
      <c r="E45" s="19">
        <v>5</v>
      </c>
      <c r="F45" s="17">
        <v>4</v>
      </c>
      <c r="G45" s="23">
        <f t="shared" si="0"/>
        <v>0.8</v>
      </c>
      <c r="H45" s="24" t="str">
        <f t="shared" si="1"/>
        <v>جيد جداً</v>
      </c>
      <c r="I45" s="42"/>
      <c r="J45" s="43"/>
    </row>
    <row r="46" spans="1:10" ht="30" customHeight="1" thickBot="1" x14ac:dyDescent="0.35">
      <c r="A46" s="8"/>
      <c r="B46" s="55" t="s">
        <v>100</v>
      </c>
      <c r="C46" s="56"/>
      <c r="D46" s="56"/>
      <c r="E46" s="20">
        <v>5</v>
      </c>
      <c r="F46" s="18">
        <v>4</v>
      </c>
      <c r="G46" s="25">
        <f t="shared" si="0"/>
        <v>0.8</v>
      </c>
      <c r="H46" s="26" t="str">
        <f t="shared" si="1"/>
        <v>جيد جداً</v>
      </c>
      <c r="I46" s="40"/>
      <c r="J46" s="41"/>
    </row>
    <row r="47" spans="1:10" ht="30" customHeight="1" x14ac:dyDescent="0.3">
      <c r="A47" s="8"/>
      <c r="B47" s="44" t="s">
        <v>101</v>
      </c>
      <c r="C47" s="45"/>
      <c r="D47" s="45"/>
      <c r="E47" s="45"/>
      <c r="F47" s="45"/>
      <c r="G47" s="45"/>
      <c r="H47" s="45"/>
      <c r="I47" s="45"/>
      <c r="J47" s="46"/>
    </row>
    <row r="48" spans="1:10" ht="30" customHeight="1" x14ac:dyDescent="0.3">
      <c r="A48" s="8"/>
      <c r="B48" s="38" t="s">
        <v>102</v>
      </c>
      <c r="C48" s="39"/>
      <c r="D48" s="39"/>
      <c r="E48" s="19">
        <v>5</v>
      </c>
      <c r="F48" s="17">
        <v>4</v>
      </c>
      <c r="G48" s="23">
        <f t="shared" si="0"/>
        <v>0.8</v>
      </c>
      <c r="H48" s="24" t="str">
        <f t="shared" si="1"/>
        <v>جيد جداً</v>
      </c>
      <c r="I48" s="42"/>
      <c r="J48" s="43"/>
    </row>
    <row r="49" spans="1:10" ht="30" customHeight="1" x14ac:dyDescent="0.3">
      <c r="A49" s="8"/>
      <c r="B49" s="38" t="s">
        <v>103</v>
      </c>
      <c r="C49" s="39"/>
      <c r="D49" s="39"/>
      <c r="E49" s="19">
        <v>5</v>
      </c>
      <c r="F49" s="17">
        <v>4</v>
      </c>
      <c r="G49" s="23">
        <f t="shared" si="0"/>
        <v>0.8</v>
      </c>
      <c r="H49" s="24" t="str">
        <f t="shared" si="1"/>
        <v>جيد جداً</v>
      </c>
      <c r="I49" s="42"/>
      <c r="J49" s="43"/>
    </row>
    <row r="50" spans="1:10" ht="30" customHeight="1" thickBot="1" x14ac:dyDescent="0.35">
      <c r="A50" s="8"/>
      <c r="B50" s="55" t="s">
        <v>104</v>
      </c>
      <c r="C50" s="56"/>
      <c r="D50" s="56"/>
      <c r="E50" s="20">
        <v>5</v>
      </c>
      <c r="F50" s="18">
        <v>4</v>
      </c>
      <c r="G50" s="25">
        <f t="shared" si="0"/>
        <v>0.8</v>
      </c>
      <c r="H50" s="26" t="str">
        <f t="shared" si="1"/>
        <v>جيد جداً</v>
      </c>
      <c r="I50" s="40"/>
      <c r="J50" s="41"/>
    </row>
    <row r="51" spans="1:10" ht="30" customHeight="1" thickBot="1" x14ac:dyDescent="0.35">
      <c r="A51" s="4"/>
      <c r="B51" s="53" t="s">
        <v>5</v>
      </c>
      <c r="C51" s="54"/>
      <c r="D51" s="54"/>
      <c r="E51" s="22">
        <f>SUM(E8:E50)</f>
        <v>180</v>
      </c>
      <c r="F51" s="22">
        <f>SUM(F8:F50)</f>
        <v>141.5</v>
      </c>
      <c r="G51" s="76"/>
      <c r="H51" s="77"/>
      <c r="I51" s="77"/>
      <c r="J51" s="78"/>
    </row>
    <row r="52" spans="1:10" ht="30" customHeight="1" thickBot="1" x14ac:dyDescent="0.35">
      <c r="A52" s="4"/>
      <c r="B52" s="34" t="s">
        <v>54</v>
      </c>
      <c r="C52" s="35"/>
      <c r="D52" s="35"/>
      <c r="E52" s="36">
        <f>F51/E51/100*100</f>
        <v>0.78611111111111098</v>
      </c>
      <c r="F52" s="36"/>
      <c r="G52" s="36"/>
      <c r="H52" s="36"/>
      <c r="I52" s="36"/>
      <c r="J52" s="37"/>
    </row>
    <row r="53" spans="1:10" ht="30" customHeight="1" thickBot="1" x14ac:dyDescent="0.35">
      <c r="A53" s="4"/>
      <c r="B53" s="34" t="s">
        <v>55</v>
      </c>
      <c r="C53" s="35"/>
      <c r="D53" s="35"/>
      <c r="E53" s="51" t="str">
        <f>_xlfn.IFS(E52&gt;=90%,"ممتاز",E52&gt;=80%,"جيد جداً",E52&gt;=70%,"جيد",E52&gt;=60%,"مقبول",E52&lt;60%,"راسب")</f>
        <v>جيد</v>
      </c>
      <c r="F53" s="51"/>
      <c r="G53" s="51"/>
      <c r="H53" s="51"/>
      <c r="I53" s="51"/>
      <c r="J53" s="52"/>
    </row>
    <row r="54" spans="1:10" ht="42" customHeight="1" x14ac:dyDescent="0.3">
      <c r="B54" s="47" t="s">
        <v>61</v>
      </c>
      <c r="C54" s="47"/>
      <c r="D54" s="47"/>
      <c r="E54" s="74" t="s">
        <v>52</v>
      </c>
      <c r="F54" s="74"/>
      <c r="G54" s="49" t="s">
        <v>58</v>
      </c>
      <c r="H54" s="49"/>
      <c r="I54" s="49"/>
      <c r="J54" s="49"/>
    </row>
    <row r="55" spans="1:10" ht="51" customHeight="1" x14ac:dyDescent="0.3">
      <c r="A55" s="5"/>
      <c r="B55" s="48"/>
      <c r="C55" s="48"/>
      <c r="D55" s="48"/>
      <c r="E55" s="75" t="s">
        <v>53</v>
      </c>
      <c r="F55" s="75"/>
      <c r="G55" s="50"/>
      <c r="H55" s="50"/>
      <c r="I55" s="50"/>
      <c r="J55" s="50"/>
    </row>
  </sheetData>
  <sheetProtection formatCells="0" formatColumns="0" formatRows="0" insertColumns="0" insertRows="0" insertHyperlinks="0" deleteColumns="0" deleteRows="0" selectLockedCells="1" sort="0" autoFilter="0" pivotTables="0"/>
  <mergeCells count="101">
    <mergeCell ref="B16:D16"/>
    <mergeCell ref="B42:D42"/>
    <mergeCell ref="B43:D43"/>
    <mergeCell ref="B38:D38"/>
    <mergeCell ref="B39:D39"/>
    <mergeCell ref="B40:J40"/>
    <mergeCell ref="B30:D30"/>
    <mergeCell ref="B31:D31"/>
    <mergeCell ref="B32:D32"/>
    <mergeCell ref="B33:D33"/>
    <mergeCell ref="B29:J29"/>
    <mergeCell ref="B35:J35"/>
    <mergeCell ref="I16:J16"/>
    <mergeCell ref="I22:J22"/>
    <mergeCell ref="I24:J24"/>
    <mergeCell ref="I18:J18"/>
    <mergeCell ref="B17:D17"/>
    <mergeCell ref="B18:D18"/>
    <mergeCell ref="B41:D41"/>
    <mergeCell ref="B44:D44"/>
    <mergeCell ref="B45:D45"/>
    <mergeCell ref="B12:D12"/>
    <mergeCell ref="B28:D28"/>
    <mergeCell ref="B23:J23"/>
    <mergeCell ref="B19:D19"/>
    <mergeCell ref="B20:D20"/>
    <mergeCell ref="B21:D21"/>
    <mergeCell ref="B22:D22"/>
    <mergeCell ref="B24:D24"/>
    <mergeCell ref="B25:D25"/>
    <mergeCell ref="B26:D26"/>
    <mergeCell ref="B27:D27"/>
    <mergeCell ref="I25:J25"/>
    <mergeCell ref="I26:J26"/>
    <mergeCell ref="I15:J15"/>
    <mergeCell ref="B14:D14"/>
    <mergeCell ref="B15:D15"/>
    <mergeCell ref="B7:D7"/>
    <mergeCell ref="I7:J7"/>
    <mergeCell ref="I10:J10"/>
    <mergeCell ref="I11:J11"/>
    <mergeCell ref="I9:J9"/>
    <mergeCell ref="B8:J8"/>
    <mergeCell ref="B11:D11"/>
    <mergeCell ref="B1:J1"/>
    <mergeCell ref="F2:J2"/>
    <mergeCell ref="B5:D6"/>
    <mergeCell ref="C2:D2"/>
    <mergeCell ref="C3:D3"/>
    <mergeCell ref="F3:J3"/>
    <mergeCell ref="E5:H5"/>
    <mergeCell ref="I5:J6"/>
    <mergeCell ref="F4:J4"/>
    <mergeCell ref="B9:D9"/>
    <mergeCell ref="B10:D10"/>
    <mergeCell ref="B54:D55"/>
    <mergeCell ref="G54:J54"/>
    <mergeCell ref="G55:J55"/>
    <mergeCell ref="E53:J53"/>
    <mergeCell ref="I41:J41"/>
    <mergeCell ref="I42:J42"/>
    <mergeCell ref="I43:J43"/>
    <mergeCell ref="I44:J44"/>
    <mergeCell ref="I49:J49"/>
    <mergeCell ref="I50:J50"/>
    <mergeCell ref="B51:D51"/>
    <mergeCell ref="B52:D52"/>
    <mergeCell ref="B49:D49"/>
    <mergeCell ref="B50:D50"/>
    <mergeCell ref="B47:J47"/>
    <mergeCell ref="E54:F54"/>
    <mergeCell ref="E55:F55"/>
    <mergeCell ref="G51:J51"/>
    <mergeCell ref="I45:J45"/>
    <mergeCell ref="I46:J46"/>
    <mergeCell ref="I48:J48"/>
    <mergeCell ref="B46:D46"/>
    <mergeCell ref="B53:D53"/>
    <mergeCell ref="E52:J52"/>
    <mergeCell ref="B48:D48"/>
    <mergeCell ref="I12:J12"/>
    <mergeCell ref="I14:J14"/>
    <mergeCell ref="I27:J27"/>
    <mergeCell ref="I28:J28"/>
    <mergeCell ref="I38:J38"/>
    <mergeCell ref="I39:J39"/>
    <mergeCell ref="I30:J30"/>
    <mergeCell ref="I31:J31"/>
    <mergeCell ref="I37:J37"/>
    <mergeCell ref="I32:J32"/>
    <mergeCell ref="I33:J33"/>
    <mergeCell ref="I34:J34"/>
    <mergeCell ref="I36:J36"/>
    <mergeCell ref="B13:J13"/>
    <mergeCell ref="B36:D36"/>
    <mergeCell ref="B37:D37"/>
    <mergeCell ref="B34:D34"/>
    <mergeCell ref="I17:J17"/>
    <mergeCell ref="I19:J19"/>
    <mergeCell ref="I20:J20"/>
    <mergeCell ref="I21:J21"/>
  </mergeCells>
  <conditionalFormatting sqref="C2:D2">
    <cfRule type="containsText" dxfId="23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22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53">
    <cfRule type="expression" dxfId="21" priority="57">
      <formula>$E53="راسب"</formula>
    </cfRule>
  </conditionalFormatting>
  <conditionalFormatting sqref="E53:J53">
    <cfRule type="expression" dxfId="20" priority="60">
      <formula>$E53="جيد جداً"</formula>
    </cfRule>
    <cfRule type="expression" dxfId="19" priority="59">
      <formula>$E53="جيد"</formula>
    </cfRule>
    <cfRule type="expression" dxfId="18" priority="58">
      <formula>$E53="مقبول"</formula>
    </cfRule>
    <cfRule type="expression" dxfId="17" priority="61">
      <formula>$E53="ممتاز"</formula>
    </cfRule>
  </conditionalFormatting>
  <conditionalFormatting sqref="F9:F12">
    <cfRule type="containsText" dxfId="16" priority="4" operator="containsText" text="أدخل العلامة">
      <formula>NOT(ISERROR(SEARCH("أدخل العلامة",F9)))</formula>
    </cfRule>
  </conditionalFormatting>
  <conditionalFormatting sqref="F14:F22 F24:F28 F30:F34 F36:F39 F41:F46 F48:F50">
    <cfRule type="containsText" dxfId="15" priority="14" operator="containsText" text="أدخل العلامة">
      <formula>NOT(ISERROR(SEARCH("أدخل العلامة",F14)))</formula>
    </cfRule>
  </conditionalFormatting>
  <conditionalFormatting sqref="F2:J2">
    <cfRule type="containsText" dxfId="14" priority="19" operator="containsText" text="أدخل التاريخ">
      <formula>NOT(ISERROR(SEARCH("أدخل التاريخ",F2)))</formula>
    </cfRule>
  </conditionalFormatting>
  <conditionalFormatting sqref="F3:J3">
    <cfRule type="containsText" dxfId="13" priority="16" operator="containsText" text="أدخل أسم المحكم">
      <formula>NOT(ISERROR(SEARCH("أدخل أسم المحكم",F3)))</formula>
    </cfRule>
  </conditionalFormatting>
  <conditionalFormatting sqref="G54:J54">
    <cfRule type="containsText" dxfId="12" priority="15" operator="containsText" text="أدخل اسم المحكم">
      <formula>NOT(ISERROR(SEARCH("أدخل اسم المحكم",G54)))</formula>
    </cfRule>
  </conditionalFormatting>
  <conditionalFormatting sqref="H9:H12">
    <cfRule type="containsText" dxfId="11" priority="10" operator="containsText" text="راسب">
      <formula>NOT(ISERROR(SEARCH("راسب",H9)))</formula>
    </cfRule>
    <cfRule type="containsText" dxfId="10" priority="9" operator="containsText" text="مقبول">
      <formula>NOT(ISERROR(SEARCH("مقبول",H9)))</formula>
    </cfRule>
    <cfRule type="containsText" dxfId="9" priority="8" operator="containsText" text="جيد">
      <formula>NOT(ISERROR(SEARCH("جيد",H9)))</formula>
    </cfRule>
    <cfRule type="containsText" dxfId="8" priority="7" operator="containsText" text="جيد جداً">
      <formula>NOT(ISERROR(SEARCH("جيد جداً",H9)))</formula>
    </cfRule>
    <cfRule type="containsText" dxfId="7" priority="6" operator="containsText" text="ممتاز">
      <formula>NOT(ISERROR(SEARCH("ممتاز",H9)))</formula>
    </cfRule>
    <cfRule type="containsText" dxfId="6" priority="5" operator="containsText" text="أدخل العلامة">
      <formula>NOT(ISERROR(SEARCH("أدخل العلامة",H9)))</formula>
    </cfRule>
  </conditionalFormatting>
  <conditionalFormatting sqref="H14:H22 H24:H28 H30:H34 H36:H39 H41:H46 H48:H50">
    <cfRule type="containsText" dxfId="5" priority="38" operator="containsText" text="أدخل العلامة">
      <formula>NOT(ISERROR(SEARCH("أدخل العلامة",H14)))</formula>
    </cfRule>
    <cfRule type="containsText" dxfId="4" priority="39" operator="containsText" text="ممتاز">
      <formula>NOT(ISERROR(SEARCH("ممتاز",H14)))</formula>
    </cfRule>
    <cfRule type="containsText" dxfId="3" priority="40" operator="containsText" text="جيد جداً">
      <formula>NOT(ISERROR(SEARCH("جيد جداً",H14)))</formula>
    </cfRule>
    <cfRule type="containsText" dxfId="2" priority="41" operator="containsText" text="جيد">
      <formula>NOT(ISERROR(SEARCH("جيد",H14)))</formula>
    </cfRule>
    <cfRule type="containsText" dxfId="1" priority="42" operator="containsText" text="مقبول">
      <formula>NOT(ISERROR(SEARCH("مقبول",H14)))</formula>
    </cfRule>
    <cfRule type="containsText" dxfId="0" priority="43" operator="containsText" text="راسب">
      <formula>NOT(ISERROR(SEARCH("راسب",H14)))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39AD22F4-AC0E-4009-A1CA-39040C022149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A272D648-FCB4-4132-BCDE-E6BADA2BBA96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B02DBD13-A8C4-4819-9425-63F70757FE96}">
          <x14:formula1>
            <xm:f>'بيانات التقييم'!$A$111:$A$133</xm:f>
          </x14:formula1>
          <xm:sqref>F9:F12 F14:F22 F24:F28 F30:F34 F36:F39 F41:F46 F48:F50</xm:sqref>
        </x14:dataValidation>
        <x14:dataValidation type="list" allowBlank="1" showInputMessage="1" showErrorMessage="1" xr:uid="{74512448-CAED-4995-932E-CDA01DC3A5DC}">
          <x14:formula1>
            <xm:f>'بيانات التقييم'!$C$1:$C$28</xm:f>
          </x14:formula1>
          <xm:sqref>C3:D3</xm:sqref>
        </x14:dataValidation>
        <x14:dataValidation type="list" allowBlank="1" showInputMessage="1" showErrorMessage="1" xr:uid="{AE50457C-7424-4A4C-907B-8DC6AA09E7A3}">
          <x14:formula1>
            <xm:f>'بيانات التقييم'!$A$198:$A$286</xm:f>
          </x14:formula1>
          <xm:sqref>G54:J54 F3:J3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285"/>
  <sheetViews>
    <sheetView rightToLeft="1" topLeftCell="A260" workbookViewId="0">
      <selection activeCell="C29" sqref="C29:C33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59</v>
      </c>
    </row>
    <row r="2" spans="1:3" ht="20.100000000000001" customHeight="1" thickBot="1" x14ac:dyDescent="0.35">
      <c r="A2" s="2" t="s">
        <v>35</v>
      </c>
      <c r="C2" s="27" t="s">
        <v>105</v>
      </c>
    </row>
    <row r="3" spans="1:3" ht="20.100000000000001" customHeight="1" thickBot="1" x14ac:dyDescent="0.35">
      <c r="A3" s="2" t="s">
        <v>26</v>
      </c>
      <c r="C3" s="27" t="s">
        <v>106</v>
      </c>
    </row>
    <row r="4" spans="1:3" ht="20.100000000000001" customHeight="1" thickBot="1" x14ac:dyDescent="0.35">
      <c r="A4" s="2" t="s">
        <v>36</v>
      </c>
      <c r="C4" s="27" t="s">
        <v>107</v>
      </c>
    </row>
    <row r="5" spans="1:3" ht="20.100000000000001" customHeight="1" thickBot="1" x14ac:dyDescent="0.35">
      <c r="A5" s="2" t="s">
        <v>37</v>
      </c>
      <c r="C5" s="27" t="s">
        <v>108</v>
      </c>
    </row>
    <row r="6" spans="1:3" ht="20.100000000000001" customHeight="1" thickBot="1" x14ac:dyDescent="0.35">
      <c r="A6" s="2" t="s">
        <v>38</v>
      </c>
      <c r="C6" s="27" t="s">
        <v>109</v>
      </c>
    </row>
    <row r="7" spans="1:3" ht="20.100000000000001" customHeight="1" thickBot="1" x14ac:dyDescent="0.35">
      <c r="A7" s="2" t="s">
        <v>39</v>
      </c>
      <c r="C7" s="27" t="s">
        <v>110</v>
      </c>
    </row>
    <row r="8" spans="1:3" ht="20.100000000000001" customHeight="1" thickBot="1" x14ac:dyDescent="0.35">
      <c r="A8" s="2" t="s">
        <v>40</v>
      </c>
      <c r="C8" s="27" t="s">
        <v>111</v>
      </c>
    </row>
    <row r="9" spans="1:3" ht="20.100000000000001" customHeight="1" thickBot="1" x14ac:dyDescent="0.35">
      <c r="A9" s="2" t="s">
        <v>41</v>
      </c>
      <c r="C9" s="27" t="s">
        <v>112</v>
      </c>
    </row>
    <row r="10" spans="1:3" ht="20.100000000000001" customHeight="1" thickBot="1" x14ac:dyDescent="0.35">
      <c r="A10" s="2" t="s">
        <v>42</v>
      </c>
      <c r="C10" s="27" t="s">
        <v>113</v>
      </c>
    </row>
    <row r="11" spans="1:3" ht="20.100000000000001" customHeight="1" thickBot="1" x14ac:dyDescent="0.35">
      <c r="A11" s="2" t="s">
        <v>43</v>
      </c>
      <c r="C11" s="27" t="s">
        <v>114</v>
      </c>
    </row>
    <row r="12" spans="1:3" ht="20.100000000000001" customHeight="1" thickBot="1" x14ac:dyDescent="0.35">
      <c r="A12" s="2" t="s">
        <v>44</v>
      </c>
      <c r="C12" s="27" t="s">
        <v>115</v>
      </c>
    </row>
    <row r="13" spans="1:3" ht="20.100000000000001" customHeight="1" thickBot="1" x14ac:dyDescent="0.35">
      <c r="A13" s="2" t="s">
        <v>45</v>
      </c>
      <c r="C13" s="27" t="s">
        <v>116</v>
      </c>
    </row>
    <row r="14" spans="1:3" ht="20.100000000000001" customHeight="1" thickBot="1" x14ac:dyDescent="0.35">
      <c r="A14" s="2" t="s">
        <v>46</v>
      </c>
      <c r="C14" s="27" t="s">
        <v>117</v>
      </c>
    </row>
    <row r="15" spans="1:3" ht="20.100000000000001" customHeight="1" thickBot="1" x14ac:dyDescent="0.35">
      <c r="A15" s="2" t="s">
        <v>47</v>
      </c>
      <c r="C15" s="27" t="s">
        <v>118</v>
      </c>
    </row>
    <row r="16" spans="1:3" ht="20.100000000000001" customHeight="1" thickBot="1" x14ac:dyDescent="0.35">
      <c r="A16" s="2" t="s">
        <v>10</v>
      </c>
      <c r="C16" s="27" t="s">
        <v>119</v>
      </c>
    </row>
    <row r="17" spans="1:3" ht="20.100000000000001" customHeight="1" thickBot="1" x14ac:dyDescent="0.35">
      <c r="A17" s="2" t="s">
        <v>27</v>
      </c>
      <c r="C17" s="27" t="s">
        <v>120</v>
      </c>
    </row>
    <row r="18" spans="1:3" ht="20.100000000000001" customHeight="1" thickBot="1" x14ac:dyDescent="0.35">
      <c r="A18" s="2" t="s">
        <v>48</v>
      </c>
      <c r="C18" s="27" t="s">
        <v>121</v>
      </c>
    </row>
    <row r="19" spans="1:3" ht="20.100000000000001" customHeight="1" thickBot="1" x14ac:dyDescent="0.35">
      <c r="A19" s="2" t="s">
        <v>49</v>
      </c>
      <c r="C19" s="27" t="s">
        <v>122</v>
      </c>
    </row>
    <row r="20" spans="1:3" ht="20.100000000000001" customHeight="1" thickBot="1" x14ac:dyDescent="0.35">
      <c r="A20" s="2" t="s">
        <v>50</v>
      </c>
      <c r="C20" s="27" t="s">
        <v>123</v>
      </c>
    </row>
    <row r="21" spans="1:3" ht="20.100000000000001" customHeight="1" thickBot="1" x14ac:dyDescent="0.35">
      <c r="A21" s="2" t="s">
        <v>51</v>
      </c>
      <c r="C21" s="27" t="s">
        <v>124</v>
      </c>
    </row>
    <row r="22" spans="1:3" ht="20.100000000000001" customHeight="1" thickBot="1" x14ac:dyDescent="0.35">
      <c r="A22" s="2" t="s">
        <v>11</v>
      </c>
      <c r="C22" s="27" t="s">
        <v>125</v>
      </c>
    </row>
    <row r="23" spans="1:3" ht="20.100000000000001" customHeight="1" thickBot="1" x14ac:dyDescent="0.35">
      <c r="A23" s="2" t="s">
        <v>12</v>
      </c>
      <c r="C23" s="27" t="s">
        <v>126</v>
      </c>
    </row>
    <row r="24" spans="1:3" ht="20.100000000000001" customHeight="1" thickBot="1" x14ac:dyDescent="0.35">
      <c r="A24" s="2" t="s">
        <v>15</v>
      </c>
      <c r="C24" s="27" t="s">
        <v>127</v>
      </c>
    </row>
    <row r="25" spans="1:3" ht="20.100000000000001" customHeight="1" thickBot="1" x14ac:dyDescent="0.35">
      <c r="A25" s="2" t="s">
        <v>28</v>
      </c>
      <c r="C25" s="27" t="s">
        <v>128</v>
      </c>
    </row>
    <row r="26" spans="1:3" ht="20.100000000000001" customHeight="1" thickBot="1" x14ac:dyDescent="0.35">
      <c r="A26" s="2" t="s">
        <v>29</v>
      </c>
      <c r="C26" s="27" t="s">
        <v>129</v>
      </c>
    </row>
    <row r="27" spans="1:3" ht="20.100000000000001" customHeight="1" thickBot="1" x14ac:dyDescent="0.35">
      <c r="A27" s="2" t="s">
        <v>13</v>
      </c>
      <c r="C27" s="27" t="s">
        <v>130</v>
      </c>
    </row>
    <row r="28" spans="1:3" ht="20.100000000000001" customHeight="1" thickBot="1" x14ac:dyDescent="0.35">
      <c r="A28" s="2" t="s">
        <v>30</v>
      </c>
      <c r="C28" s="27" t="s">
        <v>131</v>
      </c>
    </row>
    <row r="29" spans="1:3" ht="20.100000000000001" customHeight="1" thickBot="1" x14ac:dyDescent="0.35">
      <c r="A29" s="2" t="s">
        <v>31</v>
      </c>
      <c r="C29" s="2"/>
    </row>
    <row r="30" spans="1:3" ht="20.100000000000001" customHeight="1" thickBot="1" x14ac:dyDescent="0.35">
      <c r="A30" s="2" t="s">
        <v>32</v>
      </c>
      <c r="C30" s="2"/>
    </row>
    <row r="31" spans="1:3" ht="20.100000000000001" customHeight="1" thickBot="1" x14ac:dyDescent="0.35">
      <c r="A31" s="2" t="s">
        <v>33</v>
      </c>
      <c r="C31" s="2"/>
    </row>
    <row r="32" spans="1:3" ht="20.100000000000001" customHeight="1" thickBot="1" x14ac:dyDescent="0.35">
      <c r="A32" s="2" t="s">
        <v>16</v>
      </c>
      <c r="C32" s="2"/>
    </row>
    <row r="33" spans="1:9" ht="20.100000000000001" customHeight="1" thickBot="1" x14ac:dyDescent="0.35">
      <c r="A33" s="2" t="s">
        <v>14</v>
      </c>
      <c r="C33" s="2"/>
    </row>
    <row r="34" spans="1:9" ht="20.100000000000001" customHeight="1" thickBot="1" x14ac:dyDescent="0.35">
      <c r="A34" s="2" t="s">
        <v>34</v>
      </c>
      <c r="C34" s="2"/>
    </row>
    <row r="35" spans="1:9" ht="20.100000000000001" customHeight="1" x14ac:dyDescent="0.3">
      <c r="A35" s="16"/>
    </row>
    <row r="36" spans="1:9" s="15" customFormat="1" ht="20.100000000000001" customHeight="1" x14ac:dyDescent="0.3">
      <c r="A36" s="13"/>
      <c r="B36" s="14"/>
      <c r="C36" s="14"/>
      <c r="D36" s="14"/>
      <c r="E36" s="14"/>
      <c r="F36" s="14"/>
      <c r="G36" s="14"/>
      <c r="H36" s="14"/>
      <c r="I36" s="14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1">
        <v>45901</v>
      </c>
    </row>
    <row r="40" spans="1:9" ht="20.100000000000001" customHeight="1" thickBot="1" x14ac:dyDescent="0.35">
      <c r="A40" s="11">
        <v>45902</v>
      </c>
    </row>
    <row r="41" spans="1:9" ht="20.100000000000001" customHeight="1" thickBot="1" x14ac:dyDescent="0.35">
      <c r="A41" s="11">
        <v>45903</v>
      </c>
    </row>
    <row r="42" spans="1:9" ht="20.100000000000001" customHeight="1" thickBot="1" x14ac:dyDescent="0.35">
      <c r="A42" s="11">
        <v>45904</v>
      </c>
    </row>
    <row r="43" spans="1:9" ht="20.100000000000001" customHeight="1" thickBot="1" x14ac:dyDescent="0.35">
      <c r="A43" s="11">
        <v>45905</v>
      </c>
    </row>
    <row r="44" spans="1:9" ht="20.100000000000001" customHeight="1" thickBot="1" x14ac:dyDescent="0.35">
      <c r="A44" s="11">
        <v>45906</v>
      </c>
    </row>
    <row r="45" spans="1:9" ht="20.100000000000001" customHeight="1" thickBot="1" x14ac:dyDescent="0.35">
      <c r="A45" s="11">
        <v>45907</v>
      </c>
    </row>
    <row r="46" spans="1:9" ht="20.100000000000001" customHeight="1" thickBot="1" x14ac:dyDescent="0.35">
      <c r="A46" s="11">
        <v>45908</v>
      </c>
    </row>
    <row r="47" spans="1:9" ht="20.100000000000001" customHeight="1" thickBot="1" x14ac:dyDescent="0.35">
      <c r="A47" s="11">
        <v>45909</v>
      </c>
    </row>
    <row r="48" spans="1:9" ht="20.100000000000001" customHeight="1" thickBot="1" x14ac:dyDescent="0.35">
      <c r="A48" s="11">
        <v>45910</v>
      </c>
    </row>
    <row r="49" spans="1:1" ht="20.100000000000001" customHeight="1" thickBot="1" x14ac:dyDescent="0.35">
      <c r="A49" s="11">
        <v>45911</v>
      </c>
    </row>
    <row r="50" spans="1:1" ht="20.100000000000001" customHeight="1" thickBot="1" x14ac:dyDescent="0.35">
      <c r="A50" s="11">
        <v>45912</v>
      </c>
    </row>
    <row r="51" spans="1:1" ht="20.100000000000001" customHeight="1" thickBot="1" x14ac:dyDescent="0.35">
      <c r="A51" s="11">
        <v>45913</v>
      </c>
    </row>
    <row r="52" spans="1:1" ht="20.100000000000001" customHeight="1" thickBot="1" x14ac:dyDescent="0.35">
      <c r="A52" s="11">
        <v>45914</v>
      </c>
    </row>
    <row r="53" spans="1:1" ht="20.100000000000001" customHeight="1" thickBot="1" x14ac:dyDescent="0.35">
      <c r="A53" s="11">
        <v>45915</v>
      </c>
    </row>
    <row r="54" spans="1:1" ht="20.100000000000001" customHeight="1" thickBot="1" x14ac:dyDescent="0.35">
      <c r="A54" s="11">
        <v>45916</v>
      </c>
    </row>
    <row r="55" spans="1:1" ht="20.100000000000001" customHeight="1" thickBot="1" x14ac:dyDescent="0.35">
      <c r="A55" s="11">
        <v>45917</v>
      </c>
    </row>
    <row r="56" spans="1:1" ht="20.100000000000001" customHeight="1" thickBot="1" x14ac:dyDescent="0.35">
      <c r="A56" s="11">
        <v>45918</v>
      </c>
    </row>
    <row r="57" spans="1:1" ht="20.100000000000001" customHeight="1" thickBot="1" x14ac:dyDescent="0.35">
      <c r="A57" s="11">
        <v>45919</v>
      </c>
    </row>
    <row r="58" spans="1:1" ht="20.100000000000001" customHeight="1" thickBot="1" x14ac:dyDescent="0.35">
      <c r="A58" s="11">
        <v>45920</v>
      </c>
    </row>
    <row r="59" spans="1:1" ht="20.100000000000001" customHeight="1" thickBot="1" x14ac:dyDescent="0.35">
      <c r="A59" s="11">
        <v>45921</v>
      </c>
    </row>
    <row r="60" spans="1:1" ht="20.100000000000001" customHeight="1" thickBot="1" x14ac:dyDescent="0.35">
      <c r="A60" s="11">
        <v>45922</v>
      </c>
    </row>
    <row r="61" spans="1:1" ht="20.100000000000001" customHeight="1" thickBot="1" x14ac:dyDescent="0.35">
      <c r="A61" s="11">
        <v>45923</v>
      </c>
    </row>
    <row r="62" spans="1:1" ht="20.100000000000001" customHeight="1" thickBot="1" x14ac:dyDescent="0.35">
      <c r="A62" s="11">
        <v>45924</v>
      </c>
    </row>
    <row r="63" spans="1:1" ht="20.100000000000001" customHeight="1" thickBot="1" x14ac:dyDescent="0.35">
      <c r="A63" s="11">
        <v>45925</v>
      </c>
    </row>
    <row r="64" spans="1:1" ht="20.100000000000001" customHeight="1" thickBot="1" x14ac:dyDescent="0.35">
      <c r="A64" s="11">
        <v>45926</v>
      </c>
    </row>
    <row r="65" spans="1:1" ht="20.100000000000001" customHeight="1" thickBot="1" x14ac:dyDescent="0.35">
      <c r="A65" s="11">
        <v>45927</v>
      </c>
    </row>
    <row r="66" spans="1:1" ht="20.100000000000001" customHeight="1" thickBot="1" x14ac:dyDescent="0.35">
      <c r="A66" s="11">
        <v>45928</v>
      </c>
    </row>
    <row r="67" spans="1:1" ht="20.100000000000001" customHeight="1" thickBot="1" x14ac:dyDescent="0.35">
      <c r="A67" s="11">
        <v>45929</v>
      </c>
    </row>
    <row r="68" spans="1:1" ht="20.100000000000001" customHeight="1" thickBot="1" x14ac:dyDescent="0.35">
      <c r="A68" s="11">
        <v>45930</v>
      </c>
    </row>
    <row r="69" spans="1:1" ht="20.100000000000001" customHeight="1" thickBot="1" x14ac:dyDescent="0.35">
      <c r="A69" s="11">
        <v>45931</v>
      </c>
    </row>
    <row r="70" spans="1:1" ht="20.100000000000001" customHeight="1" thickBot="1" x14ac:dyDescent="0.35">
      <c r="A70" s="11">
        <v>45932</v>
      </c>
    </row>
    <row r="71" spans="1:1" ht="20.100000000000001" customHeight="1" thickBot="1" x14ac:dyDescent="0.35">
      <c r="A71" s="11">
        <v>45933</v>
      </c>
    </row>
    <row r="72" spans="1:1" ht="20.100000000000001" customHeight="1" thickBot="1" x14ac:dyDescent="0.35">
      <c r="A72" s="11">
        <v>45934</v>
      </c>
    </row>
    <row r="73" spans="1:1" ht="20.100000000000001" customHeight="1" thickBot="1" x14ac:dyDescent="0.35">
      <c r="A73" s="11">
        <v>45935</v>
      </c>
    </row>
    <row r="74" spans="1:1" ht="20.100000000000001" customHeight="1" thickBot="1" x14ac:dyDescent="0.35">
      <c r="A74" s="11">
        <v>45936</v>
      </c>
    </row>
    <row r="75" spans="1:1" ht="20.100000000000001" customHeight="1" thickBot="1" x14ac:dyDescent="0.35">
      <c r="A75" s="11">
        <v>45937</v>
      </c>
    </row>
    <row r="76" spans="1:1" ht="20.100000000000001" customHeight="1" thickBot="1" x14ac:dyDescent="0.35">
      <c r="A76" s="11">
        <v>45938</v>
      </c>
    </row>
    <row r="77" spans="1:1" ht="20.100000000000001" customHeight="1" thickBot="1" x14ac:dyDescent="0.35">
      <c r="A77" s="11">
        <v>45939</v>
      </c>
    </row>
    <row r="78" spans="1:1" ht="20.100000000000001" customHeight="1" thickBot="1" x14ac:dyDescent="0.35">
      <c r="A78" s="11">
        <v>45940</v>
      </c>
    </row>
    <row r="79" spans="1:1" ht="20.100000000000001" customHeight="1" thickBot="1" x14ac:dyDescent="0.35">
      <c r="A79" s="11">
        <v>45941</v>
      </c>
    </row>
    <row r="80" spans="1:1" ht="20.100000000000001" customHeight="1" thickBot="1" x14ac:dyDescent="0.35">
      <c r="A80" s="11">
        <v>45942</v>
      </c>
    </row>
    <row r="81" spans="1:1" ht="20.100000000000001" customHeight="1" thickBot="1" x14ac:dyDescent="0.35">
      <c r="A81" s="11">
        <v>45943</v>
      </c>
    </row>
    <row r="82" spans="1:1" ht="20.100000000000001" customHeight="1" thickBot="1" x14ac:dyDescent="0.35">
      <c r="A82" s="11">
        <v>45944</v>
      </c>
    </row>
    <row r="83" spans="1:1" ht="20.100000000000001" customHeight="1" thickBot="1" x14ac:dyDescent="0.35">
      <c r="A83" s="11">
        <v>45945</v>
      </c>
    </row>
    <row r="84" spans="1:1" ht="20.100000000000001" customHeight="1" thickBot="1" x14ac:dyDescent="0.35">
      <c r="A84" s="11">
        <v>45946</v>
      </c>
    </row>
    <row r="85" spans="1:1" ht="20.100000000000001" customHeight="1" thickBot="1" x14ac:dyDescent="0.35">
      <c r="A85" s="11">
        <v>45947</v>
      </c>
    </row>
    <row r="86" spans="1:1" ht="20.100000000000001" customHeight="1" thickBot="1" x14ac:dyDescent="0.35">
      <c r="A86" s="11">
        <v>45948</v>
      </c>
    </row>
    <row r="87" spans="1:1" ht="20.100000000000001" customHeight="1" thickBot="1" x14ac:dyDescent="0.35">
      <c r="A87" s="11">
        <v>45949</v>
      </c>
    </row>
    <row r="88" spans="1:1" ht="20.100000000000001" customHeight="1" thickBot="1" x14ac:dyDescent="0.35">
      <c r="A88" s="11">
        <v>45950</v>
      </c>
    </row>
    <row r="89" spans="1:1" ht="20.100000000000001" customHeight="1" thickBot="1" x14ac:dyDescent="0.35">
      <c r="A89" s="11">
        <v>45951</v>
      </c>
    </row>
    <row r="90" spans="1:1" ht="20.100000000000001" customHeight="1" thickBot="1" x14ac:dyDescent="0.35">
      <c r="A90" s="11">
        <v>45952</v>
      </c>
    </row>
    <row r="91" spans="1:1" ht="20.100000000000001" customHeight="1" thickBot="1" x14ac:dyDescent="0.35">
      <c r="A91" s="11">
        <v>45953</v>
      </c>
    </row>
    <row r="92" spans="1:1" ht="20.100000000000001" customHeight="1" thickBot="1" x14ac:dyDescent="0.35">
      <c r="A92" s="11">
        <v>45954</v>
      </c>
    </row>
    <row r="93" spans="1:1" ht="20.100000000000001" customHeight="1" thickBot="1" x14ac:dyDescent="0.35">
      <c r="A93" s="11">
        <v>45955</v>
      </c>
    </row>
    <row r="94" spans="1:1" ht="20.100000000000001" customHeight="1" thickBot="1" x14ac:dyDescent="0.35">
      <c r="A94" s="11">
        <v>45956</v>
      </c>
    </row>
    <row r="95" spans="1:1" ht="20.100000000000001" customHeight="1" thickBot="1" x14ac:dyDescent="0.35">
      <c r="A95" s="11">
        <v>45957</v>
      </c>
    </row>
    <row r="96" spans="1:1" ht="20.100000000000001" customHeight="1" thickBot="1" x14ac:dyDescent="0.35">
      <c r="A96" s="11">
        <v>45958</v>
      </c>
    </row>
    <row r="97" spans="1:9" ht="20.100000000000001" customHeight="1" thickBot="1" x14ac:dyDescent="0.35">
      <c r="A97" s="11">
        <v>45959</v>
      </c>
    </row>
    <row r="98" spans="1:9" ht="20.100000000000001" customHeight="1" thickBot="1" x14ac:dyDescent="0.35">
      <c r="A98" s="11">
        <v>45960</v>
      </c>
    </row>
    <row r="99" spans="1:9" ht="20.100000000000001" customHeight="1" thickBot="1" x14ac:dyDescent="0.35">
      <c r="A99" s="11">
        <v>45961</v>
      </c>
    </row>
    <row r="100" spans="1:9" ht="20.100000000000001" customHeight="1" thickBot="1" x14ac:dyDescent="0.35">
      <c r="A100" s="11">
        <v>45962</v>
      </c>
    </row>
    <row r="101" spans="1:9" ht="20.100000000000001" customHeight="1" thickBot="1" x14ac:dyDescent="0.35">
      <c r="A101" s="11">
        <v>45963</v>
      </c>
    </row>
    <row r="102" spans="1:9" ht="20.100000000000001" customHeight="1" thickBot="1" x14ac:dyDescent="0.35">
      <c r="A102" s="11">
        <v>45964</v>
      </c>
    </row>
    <row r="103" spans="1:9" ht="20.100000000000001" customHeight="1" thickBot="1" x14ac:dyDescent="0.35">
      <c r="A103" s="11">
        <v>45965</v>
      </c>
    </row>
    <row r="104" spans="1:9" ht="20.100000000000001" customHeight="1" thickBot="1" x14ac:dyDescent="0.35">
      <c r="A104" s="11">
        <v>45966</v>
      </c>
    </row>
    <row r="105" spans="1:9" ht="20.100000000000001" customHeight="1" thickBot="1" x14ac:dyDescent="0.35">
      <c r="A105" s="11">
        <v>45967</v>
      </c>
    </row>
    <row r="106" spans="1:9" ht="20.100000000000001" customHeight="1" thickBot="1" x14ac:dyDescent="0.35">
      <c r="A106" s="11">
        <v>45968</v>
      </c>
    </row>
    <row r="107" spans="1:9" ht="20.100000000000001" customHeight="1" x14ac:dyDescent="0.3">
      <c r="A107" s="12"/>
    </row>
    <row r="108" spans="1:9" ht="20.100000000000001" customHeight="1" x14ac:dyDescent="0.3">
      <c r="A108" s="12"/>
    </row>
    <row r="109" spans="1:9" s="15" customFormat="1" ht="20.100000000000001" customHeight="1" x14ac:dyDescent="0.3">
      <c r="A109" s="13"/>
      <c r="B109" s="14"/>
      <c r="C109" s="14"/>
      <c r="D109" s="14"/>
      <c r="E109" s="14"/>
      <c r="F109" s="14"/>
      <c r="G109" s="14"/>
      <c r="H109" s="14"/>
      <c r="I109" s="14"/>
    </row>
    <row r="110" spans="1:9" ht="20.100000000000001" customHeight="1" thickBot="1" x14ac:dyDescent="0.35"/>
    <row r="111" spans="1:9" ht="20.100000000000001" customHeight="1" thickBot="1" x14ac:dyDescent="0.35">
      <c r="A111" s="2" t="s">
        <v>60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58</v>
      </c>
    </row>
    <row r="199" spans="1:1" ht="20.100000000000001" customHeight="1" x14ac:dyDescent="0.3">
      <c r="A199" s="28" t="s">
        <v>217</v>
      </c>
    </row>
    <row r="200" spans="1:1" ht="20.100000000000001" customHeight="1" x14ac:dyDescent="0.3">
      <c r="A200" s="28" t="s">
        <v>132</v>
      </c>
    </row>
    <row r="201" spans="1:1" ht="20.100000000000001" customHeight="1" x14ac:dyDescent="0.3">
      <c r="A201" s="28" t="s">
        <v>133</v>
      </c>
    </row>
    <row r="202" spans="1:1" ht="20.100000000000001" customHeight="1" x14ac:dyDescent="0.3">
      <c r="A202" s="28" t="s">
        <v>134</v>
      </c>
    </row>
    <row r="203" spans="1:1" ht="20.100000000000001" customHeight="1" x14ac:dyDescent="0.3">
      <c r="A203" s="28" t="s">
        <v>135</v>
      </c>
    </row>
    <row r="204" spans="1:1" ht="20.100000000000001" customHeight="1" x14ac:dyDescent="0.3">
      <c r="A204" s="28" t="s">
        <v>136</v>
      </c>
    </row>
    <row r="205" spans="1:1" ht="20.100000000000001" customHeight="1" x14ac:dyDescent="0.3">
      <c r="A205" s="28" t="s">
        <v>137</v>
      </c>
    </row>
    <row r="206" spans="1:1" ht="20.100000000000001" customHeight="1" x14ac:dyDescent="0.3">
      <c r="A206" s="28" t="s">
        <v>138</v>
      </c>
    </row>
    <row r="207" spans="1:1" ht="20.100000000000001" customHeight="1" x14ac:dyDescent="0.3">
      <c r="A207" s="28" t="s">
        <v>139</v>
      </c>
    </row>
    <row r="208" spans="1:1" ht="20.100000000000001" customHeight="1" x14ac:dyDescent="0.3">
      <c r="A208" s="29" t="s">
        <v>140</v>
      </c>
    </row>
    <row r="209" spans="1:1" ht="20.100000000000001" customHeight="1" x14ac:dyDescent="0.3">
      <c r="A209" s="29" t="s">
        <v>141</v>
      </c>
    </row>
    <row r="210" spans="1:1" ht="20.100000000000001" customHeight="1" x14ac:dyDescent="0.3">
      <c r="A210" s="28" t="s">
        <v>142</v>
      </c>
    </row>
    <row r="211" spans="1:1" ht="20.100000000000001" customHeight="1" x14ac:dyDescent="0.3">
      <c r="A211" s="28" t="s">
        <v>143</v>
      </c>
    </row>
    <row r="212" spans="1:1" ht="20.100000000000001" customHeight="1" x14ac:dyDescent="0.3">
      <c r="A212" s="28" t="s">
        <v>144</v>
      </c>
    </row>
    <row r="213" spans="1:1" ht="20.100000000000001" customHeight="1" x14ac:dyDescent="0.3">
      <c r="A213" s="28" t="s">
        <v>145</v>
      </c>
    </row>
    <row r="214" spans="1:1" ht="20.100000000000001" customHeight="1" x14ac:dyDescent="0.3">
      <c r="A214" s="28" t="s">
        <v>146</v>
      </c>
    </row>
    <row r="215" spans="1:1" ht="20.100000000000001" customHeight="1" x14ac:dyDescent="0.3">
      <c r="A215" s="28" t="s">
        <v>147</v>
      </c>
    </row>
    <row r="216" spans="1:1" ht="20.100000000000001" customHeight="1" x14ac:dyDescent="0.3">
      <c r="A216" s="28" t="s">
        <v>148</v>
      </c>
    </row>
    <row r="217" spans="1:1" ht="20.100000000000001" customHeight="1" x14ac:dyDescent="0.3">
      <c r="A217" s="28" t="s">
        <v>149</v>
      </c>
    </row>
    <row r="218" spans="1:1" ht="20.100000000000001" customHeight="1" x14ac:dyDescent="0.3">
      <c r="A218" s="28" t="s">
        <v>150</v>
      </c>
    </row>
    <row r="219" spans="1:1" ht="20.100000000000001" customHeight="1" x14ac:dyDescent="0.3">
      <c r="A219" s="28" t="s">
        <v>151</v>
      </c>
    </row>
    <row r="220" spans="1:1" ht="20.100000000000001" customHeight="1" x14ac:dyDescent="0.3">
      <c r="A220" s="28" t="s">
        <v>152</v>
      </c>
    </row>
    <row r="221" spans="1:1" ht="20.100000000000001" customHeight="1" x14ac:dyDescent="0.3">
      <c r="A221" s="28" t="s">
        <v>153</v>
      </c>
    </row>
    <row r="222" spans="1:1" ht="20.100000000000001" customHeight="1" x14ac:dyDescent="0.3">
      <c r="A222" s="28" t="s">
        <v>154</v>
      </c>
    </row>
    <row r="223" spans="1:1" ht="20.100000000000001" customHeight="1" x14ac:dyDescent="0.3">
      <c r="A223" s="28" t="s">
        <v>155</v>
      </c>
    </row>
    <row r="224" spans="1:1" ht="20.100000000000001" customHeight="1" x14ac:dyDescent="0.3">
      <c r="A224" s="28" t="s">
        <v>156</v>
      </c>
    </row>
    <row r="225" spans="1:1" ht="20.100000000000001" customHeight="1" x14ac:dyDescent="0.3">
      <c r="A225" s="28" t="s">
        <v>157</v>
      </c>
    </row>
    <row r="226" spans="1:1" ht="20.100000000000001" customHeight="1" x14ac:dyDescent="0.3">
      <c r="A226" s="28" t="s">
        <v>158</v>
      </c>
    </row>
    <row r="227" spans="1:1" ht="20.100000000000001" customHeight="1" x14ac:dyDescent="0.3">
      <c r="A227" s="28" t="s">
        <v>159</v>
      </c>
    </row>
    <row r="228" spans="1:1" ht="20.100000000000001" customHeight="1" x14ac:dyDescent="0.3">
      <c r="A228" s="28" t="s">
        <v>160</v>
      </c>
    </row>
    <row r="229" spans="1:1" ht="20.100000000000001" customHeight="1" x14ac:dyDescent="0.3">
      <c r="A229" s="28" t="s">
        <v>161</v>
      </c>
    </row>
    <row r="230" spans="1:1" ht="20.100000000000001" customHeight="1" x14ac:dyDescent="0.3">
      <c r="A230" s="28" t="s">
        <v>162</v>
      </c>
    </row>
    <row r="231" spans="1:1" ht="20.100000000000001" customHeight="1" x14ac:dyDescent="0.3">
      <c r="A231" s="28" t="s">
        <v>163</v>
      </c>
    </row>
    <row r="232" spans="1:1" ht="20.100000000000001" customHeight="1" x14ac:dyDescent="0.3">
      <c r="A232" s="28" t="s">
        <v>164</v>
      </c>
    </row>
    <row r="233" spans="1:1" ht="20.100000000000001" customHeight="1" x14ac:dyDescent="0.3">
      <c r="A233" s="28" t="s">
        <v>165</v>
      </c>
    </row>
    <row r="234" spans="1:1" ht="20.100000000000001" customHeight="1" x14ac:dyDescent="0.3">
      <c r="A234" s="28" t="s">
        <v>166</v>
      </c>
    </row>
    <row r="235" spans="1:1" ht="20.100000000000001" customHeight="1" x14ac:dyDescent="0.3">
      <c r="A235" s="30" t="s">
        <v>167</v>
      </c>
    </row>
    <row r="236" spans="1:1" ht="20.100000000000001" customHeight="1" x14ac:dyDescent="0.3">
      <c r="A236" s="28" t="s">
        <v>168</v>
      </c>
    </row>
    <row r="237" spans="1:1" ht="20.100000000000001" customHeight="1" x14ac:dyDescent="0.3">
      <c r="A237" s="28" t="s">
        <v>169</v>
      </c>
    </row>
    <row r="238" spans="1:1" ht="20.100000000000001" customHeight="1" x14ac:dyDescent="0.3">
      <c r="A238" s="28" t="s">
        <v>170</v>
      </c>
    </row>
    <row r="239" spans="1:1" ht="20.100000000000001" customHeight="1" x14ac:dyDescent="0.3">
      <c r="A239" s="28" t="s">
        <v>171</v>
      </c>
    </row>
    <row r="240" spans="1:1" ht="20.100000000000001" customHeight="1" x14ac:dyDescent="0.3">
      <c r="A240" s="28" t="s">
        <v>172</v>
      </c>
    </row>
    <row r="241" spans="1:1" ht="20.100000000000001" customHeight="1" x14ac:dyDescent="0.3">
      <c r="A241" s="28" t="s">
        <v>173</v>
      </c>
    </row>
    <row r="242" spans="1:1" ht="20.100000000000001" customHeight="1" x14ac:dyDescent="0.3">
      <c r="A242" s="28" t="s">
        <v>174</v>
      </c>
    </row>
    <row r="243" spans="1:1" ht="20.100000000000001" customHeight="1" x14ac:dyDescent="0.3">
      <c r="A243" s="28" t="s">
        <v>175</v>
      </c>
    </row>
    <row r="244" spans="1:1" ht="20.100000000000001" customHeight="1" x14ac:dyDescent="0.3">
      <c r="A244" s="28" t="s">
        <v>176</v>
      </c>
    </row>
    <row r="245" spans="1:1" ht="20.100000000000001" customHeight="1" x14ac:dyDescent="0.3">
      <c r="A245" s="28" t="s">
        <v>177</v>
      </c>
    </row>
    <row r="246" spans="1:1" ht="20.100000000000001" customHeight="1" x14ac:dyDescent="0.3">
      <c r="A246" s="28" t="s">
        <v>178</v>
      </c>
    </row>
    <row r="247" spans="1:1" ht="20.100000000000001" customHeight="1" x14ac:dyDescent="0.3">
      <c r="A247" s="28" t="s">
        <v>169</v>
      </c>
    </row>
    <row r="248" spans="1:1" ht="20.100000000000001" customHeight="1" x14ac:dyDescent="0.3">
      <c r="A248" s="28" t="s">
        <v>179</v>
      </c>
    </row>
    <row r="249" spans="1:1" ht="20.100000000000001" customHeight="1" x14ac:dyDescent="0.3">
      <c r="A249" s="28" t="s">
        <v>180</v>
      </c>
    </row>
    <row r="250" spans="1:1" ht="20.100000000000001" customHeight="1" x14ac:dyDescent="0.3">
      <c r="A250" s="30" t="s">
        <v>181</v>
      </c>
    </row>
    <row r="251" spans="1:1" ht="20.100000000000001" customHeight="1" x14ac:dyDescent="0.3">
      <c r="A251" s="31" t="s">
        <v>182</v>
      </c>
    </row>
    <row r="252" spans="1:1" ht="20.100000000000001" customHeight="1" x14ac:dyDescent="0.3">
      <c r="A252" s="28" t="s">
        <v>183</v>
      </c>
    </row>
    <row r="253" spans="1:1" ht="20.100000000000001" customHeight="1" x14ac:dyDescent="0.3">
      <c r="A253" s="28" t="s">
        <v>184</v>
      </c>
    </row>
    <row r="254" spans="1:1" ht="20.100000000000001" customHeight="1" x14ac:dyDescent="0.3">
      <c r="A254" s="32" t="s">
        <v>185</v>
      </c>
    </row>
    <row r="255" spans="1:1" ht="20.100000000000001" customHeight="1" x14ac:dyDescent="0.3">
      <c r="A255" s="32" t="s">
        <v>186</v>
      </c>
    </row>
    <row r="256" spans="1:1" ht="20.100000000000001" customHeight="1" x14ac:dyDescent="0.3">
      <c r="A256" s="33" t="s">
        <v>187</v>
      </c>
    </row>
    <row r="257" spans="1:1" ht="20.100000000000001" customHeight="1" x14ac:dyDescent="0.3">
      <c r="A257" s="28" t="s">
        <v>188</v>
      </c>
    </row>
    <row r="258" spans="1:1" ht="20.100000000000001" customHeight="1" x14ac:dyDescent="0.3">
      <c r="A258" s="33" t="s">
        <v>189</v>
      </c>
    </row>
    <row r="259" spans="1:1" ht="20.100000000000001" customHeight="1" x14ac:dyDescent="0.3">
      <c r="A259" s="28" t="s">
        <v>190</v>
      </c>
    </row>
    <row r="260" spans="1:1" ht="20.100000000000001" customHeight="1" x14ac:dyDescent="0.3">
      <c r="A260" s="33" t="s">
        <v>191</v>
      </c>
    </row>
    <row r="261" spans="1:1" ht="20.100000000000001" customHeight="1" x14ac:dyDescent="0.3">
      <c r="A261" s="28" t="s">
        <v>192</v>
      </c>
    </row>
    <row r="262" spans="1:1" ht="20.100000000000001" customHeight="1" x14ac:dyDescent="0.3">
      <c r="A262" s="28" t="s">
        <v>193</v>
      </c>
    </row>
    <row r="263" spans="1:1" ht="20.100000000000001" customHeight="1" x14ac:dyDescent="0.3">
      <c r="A263" s="33" t="s">
        <v>194</v>
      </c>
    </row>
    <row r="264" spans="1:1" ht="20.100000000000001" customHeight="1" x14ac:dyDescent="0.3">
      <c r="A264" s="33" t="s">
        <v>195</v>
      </c>
    </row>
    <row r="265" spans="1:1" ht="20.100000000000001" customHeight="1" x14ac:dyDescent="0.3">
      <c r="A265" s="33" t="s">
        <v>196</v>
      </c>
    </row>
    <row r="266" spans="1:1" ht="20.100000000000001" customHeight="1" x14ac:dyDescent="0.3">
      <c r="A266" s="28" t="s">
        <v>197</v>
      </c>
    </row>
    <row r="267" spans="1:1" ht="20.100000000000001" customHeight="1" x14ac:dyDescent="0.3">
      <c r="A267" s="28" t="s">
        <v>198</v>
      </c>
    </row>
    <row r="268" spans="1:1" ht="20.100000000000001" customHeight="1" x14ac:dyDescent="0.3">
      <c r="A268" s="28" t="s">
        <v>199</v>
      </c>
    </row>
    <row r="269" spans="1:1" ht="20.100000000000001" customHeight="1" x14ac:dyDescent="0.3">
      <c r="A269" s="28" t="s">
        <v>200</v>
      </c>
    </row>
    <row r="270" spans="1:1" ht="20.100000000000001" customHeight="1" x14ac:dyDescent="0.3">
      <c r="A270" s="33" t="s">
        <v>201</v>
      </c>
    </row>
    <row r="271" spans="1:1" ht="20.100000000000001" customHeight="1" x14ac:dyDescent="0.3">
      <c r="A271" s="33" t="s">
        <v>202</v>
      </c>
    </row>
    <row r="272" spans="1:1" ht="20.100000000000001" customHeight="1" x14ac:dyDescent="0.3">
      <c r="A272" s="28" t="s">
        <v>203</v>
      </c>
    </row>
    <row r="273" spans="1:1" ht="20.100000000000001" customHeight="1" x14ac:dyDescent="0.3">
      <c r="A273" s="33" t="s">
        <v>204</v>
      </c>
    </row>
    <row r="274" spans="1:1" ht="20.100000000000001" customHeight="1" x14ac:dyDescent="0.3">
      <c r="A274" s="33" t="s">
        <v>205</v>
      </c>
    </row>
    <row r="275" spans="1:1" ht="20.100000000000001" customHeight="1" x14ac:dyDescent="0.3">
      <c r="A275" s="28" t="s">
        <v>206</v>
      </c>
    </row>
    <row r="276" spans="1:1" ht="20.100000000000001" customHeight="1" x14ac:dyDescent="0.3">
      <c r="A276" s="28" t="s">
        <v>207</v>
      </c>
    </row>
    <row r="277" spans="1:1" ht="20.100000000000001" customHeight="1" x14ac:dyDescent="0.3">
      <c r="A277" s="33" t="s">
        <v>208</v>
      </c>
    </row>
    <row r="278" spans="1:1" ht="20.100000000000001" customHeight="1" x14ac:dyDescent="0.3">
      <c r="A278" s="28" t="s">
        <v>209</v>
      </c>
    </row>
    <row r="279" spans="1:1" ht="20.100000000000001" customHeight="1" x14ac:dyDescent="0.3">
      <c r="A279" s="28" t="s">
        <v>210</v>
      </c>
    </row>
    <row r="280" spans="1:1" ht="20.100000000000001" customHeight="1" x14ac:dyDescent="0.3">
      <c r="A280" s="28" t="s">
        <v>211</v>
      </c>
    </row>
    <row r="281" spans="1:1" ht="20.100000000000001" customHeight="1" x14ac:dyDescent="0.3">
      <c r="A281" s="28" t="s">
        <v>212</v>
      </c>
    </row>
    <row r="282" spans="1:1" ht="20.100000000000001" customHeight="1" x14ac:dyDescent="0.3">
      <c r="A282" s="33" t="s">
        <v>213</v>
      </c>
    </row>
    <row r="283" spans="1:1" ht="20.100000000000001" customHeight="1" x14ac:dyDescent="0.3">
      <c r="A283" s="33" t="s">
        <v>214</v>
      </c>
    </row>
    <row r="284" spans="1:1" ht="20.100000000000001" customHeight="1" x14ac:dyDescent="0.3">
      <c r="A284" s="33" t="s">
        <v>215</v>
      </c>
    </row>
    <row r="285" spans="1:1" ht="20.100000000000001" customHeight="1" x14ac:dyDescent="0.3">
      <c r="A285" s="28" t="s">
        <v>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2025-10-30T05:26:14Z</dcterms:modified>
</cp:coreProperties>
</file>