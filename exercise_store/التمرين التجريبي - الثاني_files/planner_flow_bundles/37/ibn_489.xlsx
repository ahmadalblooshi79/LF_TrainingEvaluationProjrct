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4B99C274-9D4D-4EE7-A517-C190DE60617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" l="1"/>
  <c r="H27" i="2" s="1"/>
  <c r="G26" i="2"/>
  <c r="H26" i="2" s="1"/>
  <c r="G25" i="2"/>
  <c r="H25" i="2" s="1"/>
  <c r="G29" i="2"/>
  <c r="H29" i="2" s="1"/>
  <c r="G28" i="2"/>
  <c r="H28" i="2" s="1"/>
  <c r="G24" i="2"/>
  <c r="H24" i="2" s="1"/>
  <c r="G23" i="2"/>
  <c r="H23" i="2" s="1"/>
  <c r="G22" i="2"/>
  <c r="H22" i="2" s="1"/>
  <c r="G21" i="2"/>
  <c r="H21" i="2" s="1"/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30" i="2"/>
  <c r="H30" i="2" s="1"/>
  <c r="F31" i="2" l="1"/>
  <c r="E31" i="2" l="1"/>
  <c r="E32" i="2" l="1"/>
  <c r="E33" i="2" s="1"/>
</calcChain>
</file>

<file path=xl/sharedStrings.xml><?xml version="1.0" encoding="utf-8"?>
<sst xmlns="http://schemas.openxmlformats.org/spreadsheetml/2006/main" count="280" uniqueCount="203">
  <si>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</si>
  <si>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</si>
  <si>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</si>
  <si>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</si>
  <si>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</si>
  <si>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</si>
  <si>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</si>
  <si>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</si>
  <si>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</si>
  <si>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</si>
  <si>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</si>
  <si>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</si>
  <si>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</si>
  <si>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</si>
  <si>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</si>
  <si>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</si>
  <si>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</si>
  <si>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</si>
  <si>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</si>
  <si>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</si>
  <si>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</si>
  <si>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</si>
  <si>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</si>
  <si>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</si>
  <si>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</si>
  <si>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</si>
  <si>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</si>
  <si>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</si>
  <si>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</si>
  <si>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</si>
  <si>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</si>
  <si>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</si>
  <si>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</si>
  <si>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</si>
  <si>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</si>
  <si>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</si>
  <si>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</si>
  <si>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</si>
  <si>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</si>
  <si>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</si>
  <si>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</si>
  <si>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</si>
  <si>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</si>
  <si>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</si>
  <si>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</si>
  <si>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</si>
  <si>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</si>
  <si>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</si>
  <si>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</si>
  <si>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</si>
  <si>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</si>
  <si>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</si>
  <si>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</si>
  <si>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</si>
  <si>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</si>
  <si>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</si>
  <si>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</si>
  <si>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</si>
  <si>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</si>
  <si>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</si>
  <si>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</si>
  <si>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</si>
  <si>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</si>
  <si>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</si>
  <si>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</si>
  <si>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</si>
  <si>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</si>
  <si>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</si>
  <si>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</si>
  <si>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</si>
  <si>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</si>
  <si>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</si>
  <si>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</si>
  <si>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</si>
  <si>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</si>
  <si>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</si>
  <si>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</si>
  <si>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</si>
  <si>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</si>
  <si>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</si>
  <si>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</si>
  <si>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</si>
  <si>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</si>
  <si>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</si>
  <si>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</si>
  <si>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</si>
  <si>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</si>
  <si>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</si>
  <si>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</si>
  <si>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</si>
  <si>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</si>
  <si>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</si>
  <si>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</si>
  <si>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</si>
  <si>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</si>
  <si>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</si>
  <si>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</si>
  <si>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</si>
  <si>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</si>
  <si>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</si>
  <si>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</si>
  <si>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</si>
  <si>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</si>
  <si>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</si>
  <si>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</si>
  <si>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</si>
  <si>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</si>
  <si>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</si>
  <si>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</si>
  <si>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</si>
  <si>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</si>
  <si>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</si>
  <si>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</si>
  <si>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</si>
  <si>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</si>
  <si>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</si>
  <si>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</si>
  <si>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</si>
  <si>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</si>
  <si>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</si>
  <si>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</si>
  <si>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</si>
  <si>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</si>
  <si>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</si>
  <si>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</si>
  <si>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</si>
  <si>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</si>
  <si>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</si>
  <si>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</si>
  <si>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</si>
  <si>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</si>
  <si>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</si>
  <si>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</si>
  <si>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</si>
  <si>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</si>
  <si>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</si>
  <si>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</si>
  <si>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</si>
  <si>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</si>
  <si>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</si>
  <si>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</si>
  <si>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</si>
  <si>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</si>
  <si>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</si>
  <si>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</si>
  <si>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</si>
  <si>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</si>
  <si>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</si>
  <si>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</si>
  <si>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</si>
  <si>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</si>
  <si>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</si>
  <si>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</si>
  <si>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</si>
  <si>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</si>
  <si>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</si>
  <si>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</si>
  <si>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</si>
  <si>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</si>
  <si>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</si>
  <si>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</si>
  <si>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</si>
  <si>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</si>
  <si>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</si>
  <si>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</si>
  <si>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</si>
  <si>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</si>
  <si>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</si>
  <si>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</si>
  <si>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</si>
  <si>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</si>
  <si>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</si>
  <si>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</si>
  <si>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</si>
  <si>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</si>
  <si>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</si>
  <si>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</si>
  <si>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</si>
  <si>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</si>
  <si>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سرعة الوصول إلى موقع الحدث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</si>
  <si>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التوزيع السليم للأدوار</t>
    </r>
  </si>
  <si>
    <t>اجراءات رد فعل الوحدة المتأثرة بالإصابة</t>
  </si>
  <si>
    <t>اجراءات رد فعل العناصر الطبية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</si>
  <si>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</si>
  <si>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توفير الحماية</t>
    </r>
  </si>
  <si>
    <r>
      <t>3.</t>
    </r>
    <r>
      <rPr>
        <sz val="12"/>
        <color rgb="FF000000"/>
        <rFont val="Times New Roman"/>
        <family val="1"/>
      </rPr>
      <t xml:space="preserve">      توفير </t>
    </r>
    <r>
      <rPr>
        <sz val="12"/>
        <color rgb="FF000000"/>
        <rFont val="Arial"/>
        <family val="2"/>
      </rPr>
      <t xml:space="preserve">الإسعاف الذاتي والإسعاف التبادلي 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</si>
  <si>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اخراج ونقل المصابين من الآلية/موقع الإصابة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</si>
  <si>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التعامل مع الشهداء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</si>
  <si>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نقل المصابين إلى نقطة جمع المصابين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</si>
  <si>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</si>
  <si>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تصنيف الإصابات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</si>
  <si>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الإخلاء الطبي/الأرضي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</si>
  <si>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طلب إخلاء جوي/أرضي حسب الأوامر المستديمة والنسق التالي:</t>
    </r>
  </si>
  <si>
    <t>أ.   مكان موقع التحميل.</t>
  </si>
  <si>
    <t>ب.  ترددات الأجهزة اللاسلكية، النداء، الكلمات الرمزية.</t>
  </si>
  <si>
    <t>جـ.  عدد المرضى بالأسبقية.</t>
  </si>
  <si>
    <t>د.   المعدات الخاصة المطلوبة.</t>
  </si>
  <si>
    <t>هـ.  عدد المرضى حسب النوع.</t>
  </si>
  <si>
    <t>و.  حماية موقع التحميل.</t>
  </si>
  <si>
    <t>ز.  طريقة تأشير موقع التحميل.</t>
  </si>
  <si>
    <t>ح.  جنسية وحالة المصاب.</t>
  </si>
  <si>
    <t>ط. مستوى التلوث الكيميائي والبيولوجي والإشعاعي والنووي.</t>
  </si>
  <si>
    <t>تقييم الإخلاء الطبي للمصابين - اليوم/1 - المعضلة/14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</si>
</sst>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2" fillId="0" borderId="11" xfId="0" applyFont="1" applyBorder="1" applyAlignment="1">
      <alignment horizontal="right" vertical="center" wrapText="1" indent="3" readingOrder="2"/>
    </xf>
    <xf numFmtId="0" fontId="12" fillId="0" borderId="12" xfId="0" applyFont="1" applyBorder="1" applyAlignment="1">
      <alignment horizontal="right" vertical="center" wrapText="1" indent="3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3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6" zoomScaleNormal="100" zoomScaleSheetLayoutView="136" workbookViewId="0">
      <selection activeCell="B2" sqref="B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5" t="s">
        <v>202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57</v>
      </c>
      <c r="D2" s="71"/>
      <c r="E2" s="12" t="s">
        <v>7</v>
      </c>
      <c r="F2" s="66" t="s">
        <v>56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60</v>
      </c>
      <c r="D3" s="71"/>
      <c r="E3" s="12" t="s">
        <v>6</v>
      </c>
      <c r="F3" s="71" t="s">
        <v>59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7" t="s">
        <v>0</v>
      </c>
      <c r="C5" s="68"/>
      <c r="D5" s="68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5" customHeight="1" thickBot="1" x14ac:dyDescent="0.25">
      <c r="A7" s="10"/>
      <c r="B7" s="82" t="s">
        <v>21</v>
      </c>
      <c r="C7" s="83"/>
      <c r="D7" s="83"/>
      <c r="E7" s="32" t="s">
        <v>18</v>
      </c>
      <c r="F7" s="32" t="s">
        <v>19</v>
      </c>
      <c r="G7" s="32" t="s">
        <v>22</v>
      </c>
      <c r="H7" s="32" t="s">
        <v>20</v>
      </c>
      <c r="I7" s="84" t="s">
        <v>25</v>
      </c>
      <c r="J7" s="85"/>
    </row>
    <row r="8" spans="1:10" ht="30" customHeight="1" x14ac:dyDescent="0.2">
      <c r="A8" s="10"/>
      <c r="B8" s="86" t="s">
        <v>181</v>
      </c>
      <c r="C8" s="87"/>
      <c r="D8" s="87"/>
      <c r="E8" s="36"/>
      <c r="F8" s="37"/>
      <c r="G8" s="38"/>
      <c r="H8" s="39"/>
      <c r="I8" s="76"/>
      <c r="J8" s="77"/>
    </row>
    <row r="9" spans="1:10" ht="30" customHeight="1" x14ac:dyDescent="0.2">
      <c r="A9" s="10"/>
      <c r="B9" s="43" t="s">
        <v>183</v>
      </c>
      <c r="C9" s="44"/>
      <c r="D9" s="44"/>
      <c r="E9" s="33">
        <v>3</v>
      </c>
      <c r="F9" s="28" t="s">
        <v>61</v>
      </c>
      <c r="G9" s="34" t="str">
        <f>IFERROR(F9/E9,"")</f>
        <v/>
      </c>
      <c r="H9" s="35" t="str">
        <f>_xlfn.IFS(F9="أدخل العلامة","",F9="لا ينطبق","تم الإلغاء",G9&gt;=90%,"ممتاز",G9&gt;=80%,"جيد جداً",G9&gt;=70%,"جيد",G9&gt;=60%,"مقبول",G9&lt;60%,"راسب")</f>
        <v/>
      </c>
      <c r="I9" s="78"/>
      <c r="J9" s="79"/>
    </row>
    <row r="10" spans="1:10" ht="30" customHeight="1" x14ac:dyDescent="0.2">
      <c r="A10" s="10"/>
      <c r="B10" s="43" t="s">
        <v>184</v>
      </c>
      <c r="C10" s="44"/>
      <c r="D10" s="44"/>
      <c r="E10" s="33">
        <v>3</v>
      </c>
      <c r="F10" s="28" t="s">
        <v>61</v>
      </c>
      <c r="G10" s="34" t="str">
        <f t="shared" ref="G10:G30" si="0">IFERROR(F10/E10,"")</f>
        <v/>
      </c>
      <c r="H10" s="35" t="str">
        <f t="shared" ref="H10:H30" si="1">_xlfn.IFS(F10="أدخل العلامة","",F10="لا ينطبق","تم الإلغاء",G10&gt;=90%,"ممتاز",G10&gt;=80%,"جيد جداً",G10&gt;=70%,"جيد",G10&gt;=60%,"مقبول",G10&lt;60%,"راسب")</f>
        <v/>
      </c>
      <c r="I10" s="78"/>
      <c r="J10" s="79"/>
    </row>
    <row r="11" spans="1:10" ht="30" customHeight="1" x14ac:dyDescent="0.2">
      <c r="A11" s="10"/>
      <c r="B11" s="43" t="s">
        <v>185</v>
      </c>
      <c r="C11" s="44"/>
      <c r="D11" s="44"/>
      <c r="E11" s="33">
        <v>3</v>
      </c>
      <c r="F11" s="28" t="s">
        <v>61</v>
      </c>
      <c r="G11" s="34" t="str">
        <f t="shared" si="0"/>
        <v/>
      </c>
      <c r="H11" s="35" t="str">
        <f t="shared" si="1"/>
        <v/>
      </c>
      <c r="I11" s="78"/>
      <c r="J11" s="79"/>
    </row>
    <row r="12" spans="1:10" ht="30" customHeight="1" x14ac:dyDescent="0.2">
      <c r="A12" s="10"/>
      <c r="B12" s="43" t="s">
        <v>186</v>
      </c>
      <c r="C12" s="44"/>
      <c r="D12" s="44"/>
      <c r="E12" s="33">
        <v>3</v>
      </c>
      <c r="F12" s="28" t="s">
        <v>61</v>
      </c>
      <c r="G12" s="34" t="str">
        <f t="shared" si="0"/>
        <v/>
      </c>
      <c r="H12" s="35" t="str">
        <f t="shared" si="1"/>
        <v/>
      </c>
      <c r="I12" s="78"/>
      <c r="J12" s="79"/>
    </row>
    <row r="13" spans="1:10" ht="30" customHeight="1" x14ac:dyDescent="0.2">
      <c r="A13" s="10"/>
      <c r="B13" s="43" t="s">
        <v>187</v>
      </c>
      <c r="C13" s="44"/>
      <c r="D13" s="44"/>
      <c r="E13" s="33">
        <v>3</v>
      </c>
      <c r="F13" s="28" t="s">
        <v>61</v>
      </c>
      <c r="G13" s="34" t="str">
        <f t="shared" si="0"/>
        <v/>
      </c>
      <c r="H13" s="35" t="str">
        <f t="shared" si="1"/>
        <v/>
      </c>
      <c r="I13" s="78"/>
      <c r="J13" s="79"/>
    </row>
    <row r="14" spans="1:10" ht="30" customHeight="1" thickBot="1" x14ac:dyDescent="0.25">
      <c r="A14" s="10"/>
      <c r="B14" s="45" t="s">
        <v>188</v>
      </c>
      <c r="C14" s="46"/>
      <c r="D14" s="46"/>
      <c r="E14" s="40">
        <v>3</v>
      </c>
      <c r="F14" s="29" t="s">
        <v>61</v>
      </c>
      <c r="G14" s="41" t="str">
        <f t="shared" si="0"/>
        <v/>
      </c>
      <c r="H14" s="42" t="str">
        <f t="shared" si="1"/>
        <v/>
      </c>
      <c r="I14" s="80"/>
      <c r="J14" s="81"/>
    </row>
    <row r="15" spans="1:10" ht="30" customHeight="1" x14ac:dyDescent="0.2">
      <c r="A15" s="10"/>
      <c r="B15" s="86" t="s">
        <v>182</v>
      </c>
      <c r="C15" s="87"/>
      <c r="D15" s="87"/>
      <c r="E15" s="36"/>
      <c r="F15" s="37"/>
      <c r="G15" s="38"/>
      <c r="H15" s="39"/>
      <c r="I15" s="76"/>
      <c r="J15" s="77"/>
    </row>
    <row r="16" spans="1:10" ht="30" customHeight="1" x14ac:dyDescent="0.2">
      <c r="A16" s="10"/>
      <c r="B16" s="43" t="s">
        <v>179</v>
      </c>
      <c r="C16" s="44"/>
      <c r="D16" s="44"/>
      <c r="E16" s="33">
        <v>3</v>
      </c>
      <c r="F16" s="28" t="s">
        <v>61</v>
      </c>
      <c r="G16" s="34" t="str">
        <f t="shared" si="0"/>
        <v/>
      </c>
      <c r="H16" s="35" t="str">
        <f t="shared" si="1"/>
        <v/>
      </c>
      <c r="I16" s="78"/>
      <c r="J16" s="79"/>
    </row>
    <row r="17" spans="1:10" ht="30" customHeight="1" x14ac:dyDescent="0.2">
      <c r="A17" s="10"/>
      <c r="B17" s="43" t="s">
        <v>180</v>
      </c>
      <c r="C17" s="44"/>
      <c r="D17" s="44"/>
      <c r="E17" s="33">
        <v>3</v>
      </c>
      <c r="F17" s="28" t="s">
        <v>61</v>
      </c>
      <c r="G17" s="34" t="str">
        <f t="shared" si="0"/>
        <v/>
      </c>
      <c r="H17" s="35" t="str">
        <f t="shared" si="1"/>
        <v/>
      </c>
      <c r="I17" s="78"/>
      <c r="J17" s="79"/>
    </row>
    <row r="18" spans="1:10" ht="30" customHeight="1" x14ac:dyDescent="0.2">
      <c r="A18" s="10"/>
      <c r="B18" s="43" t="s">
        <v>190</v>
      </c>
      <c r="C18" s="44"/>
      <c r="D18" s="44"/>
      <c r="E18" s="33">
        <v>3</v>
      </c>
      <c r="F18" s="28" t="s">
        <v>61</v>
      </c>
      <c r="G18" s="34" t="str">
        <f t="shared" si="0"/>
        <v/>
      </c>
      <c r="H18" s="35" t="str">
        <f t="shared" si="1"/>
        <v/>
      </c>
      <c r="I18" s="78"/>
      <c r="J18" s="79"/>
    </row>
    <row r="19" spans="1:10" ht="30" customHeight="1" x14ac:dyDescent="0.2">
      <c r="A19" s="10"/>
      <c r="B19" s="43" t="s">
        <v>189</v>
      </c>
      <c r="C19" s="44"/>
      <c r="D19" s="44"/>
      <c r="E19" s="33">
        <v>3</v>
      </c>
      <c r="F19" s="28" t="s">
        <v>61</v>
      </c>
      <c r="G19" s="34" t="str">
        <f t="shared" si="0"/>
        <v/>
      </c>
      <c r="H19" s="35" t="str">
        <f t="shared" si="1"/>
        <v/>
      </c>
      <c r="I19" s="78"/>
      <c r="J19" s="79"/>
    </row>
    <row r="20" spans="1:10" ht="30" customHeight="1" x14ac:dyDescent="0.2">
      <c r="A20" s="10"/>
      <c r="B20" s="43" t="s">
        <v>192</v>
      </c>
      <c r="C20" s="44"/>
      <c r="D20" s="44"/>
      <c r="E20" s="33"/>
      <c r="F20" s="28"/>
      <c r="G20" s="34"/>
      <c r="H20" s="35"/>
      <c r="I20" s="78"/>
      <c r="J20" s="79"/>
    </row>
    <row r="21" spans="1:10" ht="30" customHeight="1" x14ac:dyDescent="0.2">
      <c r="A21" s="10"/>
      <c r="B21" s="49" t="s">
        <v>193</v>
      </c>
      <c r="C21" s="50"/>
      <c r="D21" s="50"/>
      <c r="E21" s="33">
        <v>3</v>
      </c>
      <c r="F21" s="30" t="s">
        <v>61</v>
      </c>
      <c r="G21" s="34" t="str">
        <f>IFERROR(F21/E21,"")</f>
        <v/>
      </c>
      <c r="H21" s="35" t="str">
        <f>_xlfn.IFS(F21="أدخل العلامة","",F21="لا ينطبق","تم الإلغاء",G21&gt;=90%,"ممتاز",G21&gt;=80%,"جيد جداً",G21&gt;=70%,"جيد",G21&gt;=60%,"مقبول",G21&lt;60%,"راسب")</f>
        <v/>
      </c>
      <c r="I21" s="78"/>
      <c r="J21" s="79"/>
    </row>
    <row r="22" spans="1:10" ht="30" customHeight="1" x14ac:dyDescent="0.2">
      <c r="A22" s="10"/>
      <c r="B22" s="49" t="s">
        <v>194</v>
      </c>
      <c r="C22" s="50"/>
      <c r="D22" s="50"/>
      <c r="E22" s="33">
        <v>3</v>
      </c>
      <c r="F22" s="30" t="s">
        <v>61</v>
      </c>
      <c r="G22" s="34" t="str">
        <f t="shared" ref="G22:G29" si="2">IFERROR(F22/E22,"")</f>
        <v/>
      </c>
      <c r="H22" s="35" t="str">
        <f t="shared" ref="H22:H29" si="3">_xlfn.IFS(F22="أدخل العلامة","",F22="لا ينطبق","تم الإلغاء",G22&gt;=90%,"ممتاز",G22&gt;=80%,"جيد جداً",G22&gt;=70%,"جيد",G22&gt;=60%,"مقبول",G22&lt;60%,"راسب")</f>
        <v/>
      </c>
      <c r="I22" s="78"/>
      <c r="J22" s="79"/>
    </row>
    <row r="23" spans="1:10" ht="30" customHeight="1" x14ac:dyDescent="0.2">
      <c r="A23" s="10"/>
      <c r="B23" s="49" t="s">
        <v>195</v>
      </c>
      <c r="C23" s="50"/>
      <c r="D23" s="50"/>
      <c r="E23" s="33">
        <v>3</v>
      </c>
      <c r="F23" s="30" t="s">
        <v>61</v>
      </c>
      <c r="G23" s="34" t="str">
        <f t="shared" si="2"/>
        <v/>
      </c>
      <c r="H23" s="35" t="str">
        <f t="shared" si="3"/>
        <v/>
      </c>
      <c r="I23" s="78"/>
      <c r="J23" s="79"/>
    </row>
    <row r="24" spans="1:10" ht="30" customHeight="1" x14ac:dyDescent="0.2">
      <c r="A24" s="10"/>
      <c r="B24" s="49" t="s">
        <v>196</v>
      </c>
      <c r="C24" s="50"/>
      <c r="D24" s="50"/>
      <c r="E24" s="33">
        <v>3</v>
      </c>
      <c r="F24" s="30" t="s">
        <v>61</v>
      </c>
      <c r="G24" s="34" t="str">
        <f t="shared" si="2"/>
        <v/>
      </c>
      <c r="H24" s="35" t="str">
        <f t="shared" si="3"/>
        <v/>
      </c>
      <c r="I24" s="78"/>
      <c r="J24" s="79"/>
    </row>
    <row r="25" spans="1:10" ht="30" customHeight="1" x14ac:dyDescent="0.2">
      <c r="A25" s="10"/>
      <c r="B25" s="49" t="s">
        <v>197</v>
      </c>
      <c r="C25" s="50"/>
      <c r="D25" s="50"/>
      <c r="E25" s="33">
        <v>3</v>
      </c>
      <c r="F25" s="30" t="s">
        <v>61</v>
      </c>
      <c r="G25" s="34" t="str">
        <f>IFERROR(F25/E25,"")</f>
        <v/>
      </c>
      <c r="H25" s="35" t="str">
        <f>_xlfn.IFS(F25="أدخل العلامة","",F25="لا ينطبق","تم الإلغاء",G25&gt;=90%,"ممتاز",G25&gt;=80%,"جيد جداً",G25&gt;=70%,"جيد",G25&gt;=60%,"مقبول",G25&lt;60%,"راسب")</f>
        <v/>
      </c>
      <c r="I25" s="78"/>
      <c r="J25" s="79"/>
    </row>
    <row r="26" spans="1:10" ht="30" customHeight="1" x14ac:dyDescent="0.2">
      <c r="A26" s="10"/>
      <c r="B26" s="49" t="s">
        <v>198</v>
      </c>
      <c r="C26" s="50"/>
      <c r="D26" s="50"/>
      <c r="E26" s="33">
        <v>3</v>
      </c>
      <c r="F26" s="30" t="s">
        <v>61</v>
      </c>
      <c r="G26" s="34" t="str">
        <f t="shared" ref="G26:G27" si="4">IFERROR(F26/E26,"")</f>
        <v/>
      </c>
      <c r="H26" s="35" t="str">
        <f t="shared" ref="H26:H27" si="5">_xlfn.IFS(F26="أدخل العلامة","",F26="لا ينطبق","تم الإلغاء",G26&gt;=90%,"ممتاز",G26&gt;=80%,"جيد جداً",G26&gt;=70%,"جيد",G26&gt;=60%,"مقبول",G26&lt;60%,"راسب")</f>
        <v/>
      </c>
      <c r="I26" s="78"/>
      <c r="J26" s="79"/>
    </row>
    <row r="27" spans="1:10" ht="30" customHeight="1" x14ac:dyDescent="0.2">
      <c r="A27" s="10"/>
      <c r="B27" s="49" t="s">
        <v>199</v>
      </c>
      <c r="C27" s="50"/>
      <c r="D27" s="50"/>
      <c r="E27" s="33">
        <v>3</v>
      </c>
      <c r="F27" s="30" t="s">
        <v>61</v>
      </c>
      <c r="G27" s="34" t="str">
        <f t="shared" si="4"/>
        <v/>
      </c>
      <c r="H27" s="35" t="str">
        <f t="shared" si="5"/>
        <v/>
      </c>
      <c r="I27" s="78"/>
      <c r="J27" s="79"/>
    </row>
    <row r="28" spans="1:10" ht="30" customHeight="1" x14ac:dyDescent="0.2">
      <c r="A28" s="10"/>
      <c r="B28" s="49" t="s">
        <v>200</v>
      </c>
      <c r="C28" s="50"/>
      <c r="D28" s="50"/>
      <c r="E28" s="33">
        <v>3</v>
      </c>
      <c r="F28" s="30" t="s">
        <v>61</v>
      </c>
      <c r="G28" s="34" t="str">
        <f t="shared" si="2"/>
        <v/>
      </c>
      <c r="H28" s="35" t="str">
        <f t="shared" si="3"/>
        <v/>
      </c>
      <c r="I28" s="78"/>
      <c r="J28" s="79"/>
    </row>
    <row r="29" spans="1:10" ht="30" customHeight="1" thickBot="1" x14ac:dyDescent="0.25">
      <c r="A29" s="10"/>
      <c r="B29" s="51" t="s">
        <v>201</v>
      </c>
      <c r="C29" s="52"/>
      <c r="D29" s="52"/>
      <c r="E29" s="40">
        <v>3</v>
      </c>
      <c r="F29" s="31" t="s">
        <v>61</v>
      </c>
      <c r="G29" s="41" t="str">
        <f t="shared" si="2"/>
        <v/>
      </c>
      <c r="H29" s="42" t="str">
        <f t="shared" si="3"/>
        <v/>
      </c>
      <c r="I29" s="80"/>
      <c r="J29" s="81"/>
    </row>
    <row r="30" spans="1:10" ht="30" customHeight="1" thickBot="1" x14ac:dyDescent="0.25">
      <c r="A30" s="10"/>
      <c r="B30" s="45" t="s">
        <v>191</v>
      </c>
      <c r="C30" s="46"/>
      <c r="D30" s="46"/>
      <c r="E30" s="40">
        <v>3</v>
      </c>
      <c r="F30" s="29" t="s">
        <v>61</v>
      </c>
      <c r="G30" s="41" t="str">
        <f t="shared" si="0"/>
        <v/>
      </c>
      <c r="H30" s="42" t="str">
        <f t="shared" si="1"/>
        <v/>
      </c>
      <c r="I30" s="80"/>
      <c r="J30" s="81"/>
    </row>
    <row r="31" spans="1:10" ht="30" customHeight="1" thickBot="1" x14ac:dyDescent="0.25">
      <c r="A31" s="4"/>
      <c r="B31" s="57" t="s">
        <v>5</v>
      </c>
      <c r="C31" s="58"/>
      <c r="D31" s="58"/>
      <c r="E31" s="9">
        <f>SUM(E8:E30)</f>
        <v>60</v>
      </c>
      <c r="F31" s="9">
        <f>SUM(F8:F30)</f>
        <v>0</v>
      </c>
      <c r="G31" s="90"/>
      <c r="H31" s="91"/>
      <c r="I31" s="91"/>
      <c r="J31" s="92"/>
    </row>
    <row r="32" spans="1:10" ht="30" customHeight="1" thickBot="1" x14ac:dyDescent="0.25">
      <c r="A32" s="4"/>
      <c r="B32" s="57" t="s">
        <v>54</v>
      </c>
      <c r="C32" s="58"/>
      <c r="D32" s="58"/>
      <c r="E32" s="93">
        <f>F31/E31/100*100</f>
        <v>0</v>
      </c>
      <c r="F32" s="93"/>
      <c r="G32" s="93"/>
      <c r="H32" s="93"/>
      <c r="I32" s="93"/>
      <c r="J32" s="94"/>
    </row>
    <row r="33" spans="1:10" ht="30" customHeight="1" thickBot="1" x14ac:dyDescent="0.25">
      <c r="A33" s="4"/>
      <c r="B33" s="57" t="s">
        <v>55</v>
      </c>
      <c r="C33" s="58"/>
      <c r="D33" s="58"/>
      <c r="E33" s="63" t="str">
        <f>_xlfn.IFS(E32&gt;=90%,"ممتاز",E32&gt;=80%,"جيد جداً",E32&gt;=70%,"جيد",E32&gt;=60%,"مقبول",E32&lt;60%,"راسب")</f>
        <v>راسب</v>
      </c>
      <c r="F33" s="63"/>
      <c r="G33" s="63"/>
      <c r="H33" s="63"/>
      <c r="I33" s="63"/>
      <c r="J33" s="64"/>
    </row>
    <row r="34" spans="1:10" ht="42" customHeight="1" x14ac:dyDescent="0.2">
      <c r="B34" s="59" t="s">
        <v>178</v>
      </c>
      <c r="C34" s="59"/>
      <c r="D34" s="59"/>
      <c r="E34" s="88" t="s">
        <v>52</v>
      </c>
      <c r="F34" s="88"/>
      <c r="G34" s="61" t="s">
        <v>59</v>
      </c>
      <c r="H34" s="61"/>
      <c r="I34" s="61"/>
      <c r="J34" s="61"/>
    </row>
    <row r="35" spans="1:10" ht="51" customHeight="1" x14ac:dyDescent="0.2">
      <c r="A35" s="5"/>
      <c r="B35" s="60"/>
      <c r="C35" s="60"/>
      <c r="D35" s="60"/>
      <c r="E35" s="89" t="s">
        <v>53</v>
      </c>
      <c r="F35" s="89"/>
      <c r="G35" s="62"/>
      <c r="H35" s="62"/>
      <c r="I35" s="62"/>
      <c r="J35" s="62"/>
    </row>
    <row r="36" spans="1:10" ht="15.75" x14ac:dyDescent="0.2">
      <c r="A36" s="25">
        <v>3</v>
      </c>
      <c r="B36" s="47" t="s">
        <v>175</v>
      </c>
      <c r="C36" s="48"/>
    </row>
    <row r="37" spans="1:10" ht="15.75" x14ac:dyDescent="0.2">
      <c r="A37" s="26">
        <v>2</v>
      </c>
      <c r="B37" s="53" t="s">
        <v>176</v>
      </c>
      <c r="C37" s="54"/>
    </row>
    <row r="38" spans="1:10" ht="15.75" x14ac:dyDescent="0.2">
      <c r="A38" s="27">
        <v>1</v>
      </c>
      <c r="B38" s="55" t="s">
        <v>177</v>
      </c>
      <c r="C38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0">
    <mergeCell ref="I19:J19"/>
    <mergeCell ref="I20:J20"/>
    <mergeCell ref="I30:J30"/>
    <mergeCell ref="E34:F34"/>
    <mergeCell ref="E35:F35"/>
    <mergeCell ref="G31:J31"/>
    <mergeCell ref="E32:J32"/>
    <mergeCell ref="I21:J21"/>
    <mergeCell ref="I22:J22"/>
    <mergeCell ref="I23:J23"/>
    <mergeCell ref="I24:J24"/>
    <mergeCell ref="I28:J28"/>
    <mergeCell ref="I29:J29"/>
    <mergeCell ref="I25:J25"/>
    <mergeCell ref="I26:J26"/>
    <mergeCell ref="I27:J27"/>
    <mergeCell ref="I15:J15"/>
    <mergeCell ref="I16:J16"/>
    <mergeCell ref="I17:J17"/>
    <mergeCell ref="I18:J18"/>
    <mergeCell ref="B7:D7"/>
    <mergeCell ref="I9:J9"/>
    <mergeCell ref="I7:J7"/>
    <mergeCell ref="I10:J10"/>
    <mergeCell ref="B18:D18"/>
    <mergeCell ref="B13:D13"/>
    <mergeCell ref="B14:D14"/>
    <mergeCell ref="B15:D15"/>
    <mergeCell ref="B16:D16"/>
    <mergeCell ref="B17:D17"/>
    <mergeCell ref="B8:D8"/>
    <mergeCell ref="B9:D9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I13:J13"/>
    <mergeCell ref="I14:J14"/>
    <mergeCell ref="B37:C37"/>
    <mergeCell ref="B38:C38"/>
    <mergeCell ref="B31:D31"/>
    <mergeCell ref="B32:D32"/>
    <mergeCell ref="B33:D33"/>
    <mergeCell ref="B34:D35"/>
    <mergeCell ref="B30:D30"/>
    <mergeCell ref="B36:C36"/>
    <mergeCell ref="B21:D21"/>
    <mergeCell ref="B22:D22"/>
    <mergeCell ref="B23:D23"/>
    <mergeCell ref="B24:D24"/>
    <mergeCell ref="B28:D28"/>
    <mergeCell ref="B29:D29"/>
    <mergeCell ref="B25:D25"/>
    <mergeCell ref="B26:D26"/>
    <mergeCell ref="B27:D27"/>
    <mergeCell ref="B10:D10"/>
    <mergeCell ref="B11:D11"/>
    <mergeCell ref="B12:D12"/>
    <mergeCell ref="B19:D19"/>
    <mergeCell ref="B20:D20"/>
  </mergeCells>
  <conditionalFormatting sqref="C2:D2">
    <cfRule type="containsText" dxfId="30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9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28" priority="71">
      <formula>$E33="راسب"</formula>
    </cfRule>
  </conditionalFormatting>
  <conditionalFormatting sqref="E33:J33">
    <cfRule type="expression" dxfId="27" priority="72">
      <formula>$E33="مقبول"</formula>
    </cfRule>
    <cfRule type="expression" dxfId="26" priority="73">
      <formula>$E33="جيد"</formula>
    </cfRule>
    <cfRule type="expression" dxfId="25" priority="74">
      <formula>$E33="جيد جداً"</formula>
    </cfRule>
    <cfRule type="expression" dxfId="24" priority="75">
      <formula>$E33="ممتاز"</formula>
    </cfRule>
  </conditionalFormatting>
  <conditionalFormatting sqref="F8:F20 F30">
    <cfRule type="containsText" dxfId="23" priority="28" operator="containsText" text="أدخل العلامة">
      <formula>NOT(ISERROR(SEARCH("أدخل العلامة",F8)))</formula>
    </cfRule>
  </conditionalFormatting>
  <conditionalFormatting sqref="F2:J2">
    <cfRule type="containsText" dxfId="22" priority="33" operator="containsText" text="أدخل التاريخ">
      <formula>NOT(ISERROR(SEARCH("أدخل التاريخ",F2)))</formula>
    </cfRule>
  </conditionalFormatting>
  <conditionalFormatting sqref="F3:J3">
    <cfRule type="containsText" dxfId="21" priority="30" operator="containsText" text="أدخل أسم المحكم">
      <formula>NOT(ISERROR(SEARCH("أدخل أسم المحكم",F3)))</formula>
    </cfRule>
  </conditionalFormatting>
  <conditionalFormatting sqref="G34:J34">
    <cfRule type="containsText" dxfId="20" priority="29" operator="containsText" text="أدخل اسم المحكم">
      <formula>NOT(ISERROR(SEARCH("أدخل اسم المحكم",G34)))</formula>
    </cfRule>
  </conditionalFormatting>
  <conditionalFormatting sqref="H8:H20 H30">
    <cfRule type="containsText" dxfId="19" priority="19" operator="containsText" text="أدخل العلامة">
      <formula>NOT(ISERROR(SEARCH("أدخل العلامة",H8)))</formula>
    </cfRule>
    <cfRule type="containsText" dxfId="18" priority="20" operator="containsText" text="ممتاز">
      <formula>NOT(ISERROR(SEARCH("ممتاز",H8)))</formula>
    </cfRule>
    <cfRule type="containsText" dxfId="17" priority="21" operator="containsText" text="جيد جداً">
      <formula>NOT(ISERROR(SEARCH("جيد جداً",H8)))</formula>
    </cfRule>
    <cfRule type="containsText" dxfId="16" priority="22" operator="containsText" text="جيد">
      <formula>NOT(ISERROR(SEARCH("جيد",H8)))</formula>
    </cfRule>
    <cfRule type="containsText" dxfId="15" priority="23" operator="containsText" text="مقبول">
      <formula>NOT(ISERROR(SEARCH("مقبول",H8)))</formula>
    </cfRule>
    <cfRule type="containsText" dxfId="14" priority="24" operator="containsText" text="راسب">
      <formula>NOT(ISERROR(SEARCH("راسب",H8)))</formula>
    </cfRule>
  </conditionalFormatting>
  <conditionalFormatting sqref="F21:F24 F28:F29">
    <cfRule type="containsText" dxfId="13" priority="14" operator="containsText" text="أدخل العلامة">
      <formula>NOT(ISERROR(SEARCH("أدخل العلامة",F21)))</formula>
    </cfRule>
  </conditionalFormatting>
  <conditionalFormatting sqref="H21:H24 H28:H29">
    <cfRule type="containsText" dxfId="12" priority="8" operator="containsText" text="أدخل العلامة">
      <formula>NOT(ISERROR(SEARCH("أدخل العلامة",H21)))</formula>
    </cfRule>
    <cfRule type="containsText" dxfId="11" priority="9" operator="containsText" text="ممتاز">
      <formula>NOT(ISERROR(SEARCH("ممتاز",H21)))</formula>
    </cfRule>
    <cfRule type="containsText" dxfId="10" priority="10" operator="containsText" text="جيد جداً">
      <formula>NOT(ISERROR(SEARCH("جيد جداً",H21)))</formula>
    </cfRule>
    <cfRule type="containsText" dxfId="9" priority="11" operator="containsText" text="جيد">
      <formula>NOT(ISERROR(SEARCH("جيد",H21)))</formula>
    </cfRule>
    <cfRule type="containsText" dxfId="8" priority="12" operator="containsText" text="مقبول">
      <formula>NOT(ISERROR(SEARCH("مقبول",H21)))</formula>
    </cfRule>
    <cfRule type="containsText" dxfId="7" priority="13" operator="containsText" text="راسب">
      <formula>NOT(ISERROR(SEARCH("راسب",H21)))</formula>
    </cfRule>
  </conditionalFormatting>
  <conditionalFormatting sqref="F25:F27">
    <cfRule type="containsText" dxfId="6" priority="7" operator="containsText" text="أدخل العلامة">
      <formula>NOT(ISERROR(SEARCH("أدخل العلامة",F25)))</formula>
    </cfRule>
  </conditionalFormatting>
  <conditionalFormatting sqref="H25:H27">
    <cfRule type="containsText" dxfId="5" priority="1" operator="containsText" text="أدخل العلامة">
      <formula>NOT(ISERROR(SEARCH("أدخل العلامة",H25)))</formula>
    </cfRule>
    <cfRule type="containsText" dxfId="4" priority="2" operator="containsText" text="ممتاز">
      <formula>NOT(ISERROR(SEARCH("ممتاز",H25)))</formula>
    </cfRule>
    <cfRule type="containsText" dxfId="3" priority="3" operator="containsText" text="جيد جداً">
      <formula>NOT(ISERROR(SEARCH("جيد جداً",H25)))</formula>
    </cfRule>
    <cfRule type="containsText" dxfId="2" priority="4" operator="containsText" text="جيد">
      <formula>NOT(ISERROR(SEARCH("جيد",H25)))</formula>
    </cfRule>
    <cfRule type="containsText" dxfId="1" priority="5" operator="containsText" text="مقبول">
      <formula>NOT(ISERROR(SEARCH("مقبول",H25)))</formula>
    </cfRule>
    <cfRule type="containsText" dxfId="0" priority="6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G34:J34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F9:F14 F16:F19 F21:F30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5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2025-10-20T09:19:56Z</dcterms:modified>
</cp:coreProperties>
</file>