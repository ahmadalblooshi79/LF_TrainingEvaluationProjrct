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B5065B69-9229-402A-A7E9-B37D1EB8AAF8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التقييم'!$A$1:$J$25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 l="1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9" i="2" l="1"/>
  <c r="H9" i="2" s="1"/>
  <c r="F18" i="2" l="1"/>
  <c r="E18" i="2" l="1"/>
  <c r="E19" i="2" l="1"/>
  <c r="E20" i="2" s="1"/>
</calcChain>
</file>

<file path=xl/sharedStrings.xml><?xml version="1.0" encoding="utf-8"?>
<sst xmlns="http://schemas.openxmlformats.org/spreadsheetml/2006/main" count="256" uniqueCount="190">
  <si>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</si>
  <si>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</si>
  <si>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</si>
  <si>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</si>
  <si>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</si>
  <si>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</si>
  <si>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</si>
  <si>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</si>
  <si>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</si>
  <si>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</si>
  <si>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</si>
  <si>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</si>
  <si>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</si>
  <si>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</si>
  <si>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</si>
  <si>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</si>
  <si>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</si>
  <si>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</si>
  <si>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</si>
  <si>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</si>
  <si>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</si>
  <si>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</si>
  <si>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</si>
  <si>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</si>
  <si>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</si>
  <si>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</si>
  <si>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</si>
  <si>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</si>
  <si>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</si>
  <si>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</si>
  <si>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</si>
  <si>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</si>
  <si>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</si>
  <si>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</si>
  <si>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</si>
  <si>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</si>
  <si>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</si>
  <si>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</si>
  <si>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</si>
  <si>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</si>
  <si>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</si>
  <si>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</si>
  <si>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</si>
  <si>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</si>
  <si>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</si>
  <si>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</si>
  <si>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</si>
  <si>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</si>
  <si>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</si>
  <si>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</si>
  <si>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</si>
  <si>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</si>
  <si>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</si>
  <si>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</si>
  <si>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</si>
  <si>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</si>
  <si>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</si>
  <si>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</si>
  <si>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</si>
  <si>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</si>
  <si>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</si>
  <si>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</si>
  <si>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</si>
  <si>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</si>
  <si>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</si>
  <si>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</si>
  <si>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</si>
  <si>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</si>
  <si>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</si>
  <si>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</si>
  <si>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</si>
  <si>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</si>
  <si>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</si>
  <si>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</si>
  <si>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</si>
  <si>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</si>
  <si>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</si>
  <si>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</si>
  <si>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</si>
  <si>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</si>
  <si>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</si>
  <si>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</si>
  <si>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</si>
  <si>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</si>
  <si>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</si>
  <si>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</si>
  <si>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</si>
  <si>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</si>
  <si>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</si>
  <si>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</si>
  <si>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</si>
  <si>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</si>
  <si>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</si>
  <si>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</si>
  <si>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</si>
  <si>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</si>
  <si>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</si>
  <si>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</si>
  <si>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</si>
  <si>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</si>
  <si>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</si>
  <si>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</si>
  <si>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</si>
  <si>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</si>
  <si>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</si>
  <si>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</si>
  <si>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</si>
  <si>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</si>
  <si>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</si>
  <si>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</si>
  <si>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</si>
  <si>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</si>
  <si>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</si>
  <si>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</si>
  <si>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</si>
  <si>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</si>
  <si>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</si>
  <si>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</si>
  <si>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</si>
  <si>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</si>
  <si>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</si>
  <si>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</si>
  <si>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</si>
  <si>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</si>
  <si>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</si>
  <si>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</si>
  <si>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</si>
  <si>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</si>
  <si>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</si>
  <si>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</si>
  <si>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</si>
  <si>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</si>
  <si>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</si>
  <si>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</si>
  <si>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</si>
  <si>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</si>
  <si>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</si>
  <si>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</si>
  <si>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</si>
  <si>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</si>
  <si>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</si>
  <si>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</si>
  <si>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</si>
  <si>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</si>
  <si>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</si>
  <si>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</si>
  <si>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</si>
  <si>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</si>
  <si>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</si>
  <si>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</si>
  <si>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</si>
  <si>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</si>
  <si>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</si>
  <si>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</si>
  <si>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</si>
  <si>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</si>
  <si>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</si>
  <si>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</si>
  <si>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</si>
  <si>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</si>
  <si>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</si>
  <si>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</si>
  <si>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</si>
  <si>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</si>
  <si>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</si>
  <si>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</si>
  <si>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</si>
  <si>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</si>
  <si>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</si>
  <si>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</si>
  <si>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</si>
  <si>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</si>
  <si>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</si>
  <si>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</si>
  <si>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</si>
  <si>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</si>
  <si>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</si>
  <si>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</si>
  <si>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</si>
  <si>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وصف المعضلة:</t>
    </r>
    <r>
      <rPr>
        <sz val="14"/>
        <color rgb="FF000000"/>
        <rFont val="Arial"/>
        <family val="2"/>
      </rPr>
      <t xml:space="preserve"> أثناء حركة تسلسل قيادة اللواء يتم الاشتباه في عدد من المدنيين ويحملون كاميرا تصوير مزودة بعدسة تكبير ومنظار وجهاز تحديد المواقع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</si>
  <si>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التحفظ على المتسللين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</si>
  <si>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تحريز المواد المضبوطة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</si>
  <si>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التنبيه على أفراد الحراسة باليقظة والحذر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</si>
  <si>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متابعة إجراءات خطة الدفاع والحراسة في منطقة المسؤولية</t>
    </r>
  </si>
  <si>
    <r>
      <t>7.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إرسال المشتبه بهم مع محضر الاستجواب والمواد المضبوطة والوثائق الشخصية برفقة الشرطة العسكرية إلى المستوى الأعلى</t>
    </r>
  </si>
  <si>
    <r>
      <t>8.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إرسال الاستجواب إلى المستوى الأمني الأعلى </t>
    </r>
  </si>
  <si>
    <r>
      <t>9.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كتابة تقرير أمني مفصل وإرساله للمستوى الأمني الأعلى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</si>
  <si>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استجواب المقبوض عليهم مبدئياً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</si>
  <si>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إبلاغ القائد والمستوى الأمني الأعلى</t>
    </r>
  </si>
  <si>
    <r>
      <rPr>
        <b/>
        <sz val="14"/>
        <color rgb="FF000000"/>
        <rFont val="Arial"/>
        <family val="2"/>
      </rPr>
      <t>تقييم رد الفعل على تصوير مدنيين للتنقل التعبوي - اليوم/1 - تقييم معضلة/4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</si>
</sst>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49" fontId="5" fillId="0" borderId="17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26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5"/>
  <sheetViews>
    <sheetView rightToLeft="1" tabSelected="1" view="pageBreakPreview" zoomScale="136" zoomScaleNormal="100" zoomScaleSheetLayoutView="136" workbookViewId="0">
      <selection activeCell="F10" sqref="F10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38" t="s">
        <v>189</v>
      </c>
      <c r="C1" s="38"/>
      <c r="D1" s="38"/>
      <c r="E1" s="38"/>
      <c r="F1" s="38"/>
      <c r="G1" s="38"/>
      <c r="H1" s="38"/>
      <c r="I1" s="38"/>
      <c r="J1" s="38"/>
    </row>
    <row r="2" spans="1:10" ht="45" customHeight="1" x14ac:dyDescent="0.2">
      <c r="B2" s="62" t="s">
        <v>179</v>
      </c>
      <c r="C2" s="62"/>
      <c r="D2" s="62"/>
      <c r="E2" s="62"/>
      <c r="F2" s="62"/>
      <c r="G2" s="62"/>
      <c r="H2" s="62"/>
      <c r="I2" s="62"/>
      <c r="J2" s="62"/>
    </row>
    <row r="3" spans="1:10" ht="30" customHeight="1" x14ac:dyDescent="0.2">
      <c r="B3" s="11" t="s">
        <v>8</v>
      </c>
      <c r="C3" s="44" t="s">
        <v>57</v>
      </c>
      <c r="D3" s="44"/>
      <c r="E3" s="11" t="s">
        <v>7</v>
      </c>
      <c r="F3" s="39" t="s">
        <v>56</v>
      </c>
      <c r="G3" s="39"/>
      <c r="H3" s="39"/>
      <c r="I3" s="39"/>
      <c r="J3" s="39"/>
    </row>
    <row r="4" spans="1:10" ht="30" customHeight="1" x14ac:dyDescent="0.2">
      <c r="B4" s="11" t="s">
        <v>9</v>
      </c>
      <c r="C4" s="44" t="s">
        <v>60</v>
      </c>
      <c r="D4" s="44"/>
      <c r="E4" s="11" t="s">
        <v>6</v>
      </c>
      <c r="F4" s="44" t="s">
        <v>59</v>
      </c>
      <c r="G4" s="44"/>
      <c r="H4" s="44"/>
      <c r="I4" s="44"/>
      <c r="J4" s="44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9"/>
      <c r="B6" s="40" t="s">
        <v>0</v>
      </c>
      <c r="C6" s="41"/>
      <c r="D6" s="41"/>
      <c r="E6" s="45" t="s">
        <v>1</v>
      </c>
      <c r="F6" s="45"/>
      <c r="G6" s="45"/>
      <c r="H6" s="45"/>
      <c r="I6" s="45" t="s">
        <v>2</v>
      </c>
      <c r="J6" s="46"/>
    </row>
    <row r="7" spans="1:10" ht="24.95" customHeight="1" thickBot="1" x14ac:dyDescent="0.25">
      <c r="A7" s="9"/>
      <c r="B7" s="42"/>
      <c r="C7" s="43"/>
      <c r="D7" s="43"/>
      <c r="E7" s="10" t="s">
        <v>3</v>
      </c>
      <c r="F7" s="10" t="s">
        <v>4</v>
      </c>
      <c r="G7" s="10" t="s">
        <v>23</v>
      </c>
      <c r="H7" s="10" t="s">
        <v>24</v>
      </c>
      <c r="I7" s="47"/>
      <c r="J7" s="48"/>
    </row>
    <row r="8" spans="1:10" ht="24.95" customHeight="1" thickBot="1" x14ac:dyDescent="0.25">
      <c r="A8" s="9"/>
      <c r="B8" s="63" t="s">
        <v>21</v>
      </c>
      <c r="C8" s="64"/>
      <c r="D8" s="64"/>
      <c r="E8" s="65" t="s">
        <v>18</v>
      </c>
      <c r="F8" s="65" t="s">
        <v>19</v>
      </c>
      <c r="G8" s="65" t="s">
        <v>22</v>
      </c>
      <c r="H8" s="65" t="s">
        <v>20</v>
      </c>
      <c r="I8" s="66" t="s">
        <v>25</v>
      </c>
      <c r="J8" s="67"/>
    </row>
    <row r="9" spans="1:10" ht="30" customHeight="1" x14ac:dyDescent="0.2">
      <c r="A9" s="9"/>
      <c r="B9" s="78" t="s">
        <v>180</v>
      </c>
      <c r="C9" s="79"/>
      <c r="D9" s="79"/>
      <c r="E9" s="80">
        <v>3</v>
      </c>
      <c r="F9" s="81" t="s">
        <v>61</v>
      </c>
      <c r="G9" s="82" t="str">
        <f>IFERROR(F9/E9,"")</f>
        <v/>
      </c>
      <c r="H9" s="83" t="str">
        <f>_xlfn.IFS(F9="أدخل العلامة","",F9="لا ينطبق","تم الإلغاء",G9&gt;=90%,"ممتاز",G9&gt;=80%,"جيد جداً",G9&gt;=70%,"جيد",G9&gt;=60%,"مقبول",G9&lt;60%,"راسب")</f>
        <v/>
      </c>
      <c r="I9" s="84"/>
      <c r="J9" s="85"/>
    </row>
    <row r="10" spans="1:10" ht="30" customHeight="1" x14ac:dyDescent="0.2">
      <c r="A10" s="9"/>
      <c r="B10" s="86" t="s">
        <v>181</v>
      </c>
      <c r="C10" s="74"/>
      <c r="D10" s="74"/>
      <c r="E10" s="75">
        <v>3</v>
      </c>
      <c r="F10" s="27" t="s">
        <v>61</v>
      </c>
      <c r="G10" s="76" t="str">
        <f>IFERROR(F10/E10,"")</f>
        <v/>
      </c>
      <c r="H10" s="77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29"/>
      <c r="J10" s="30"/>
    </row>
    <row r="11" spans="1:10" ht="30" customHeight="1" x14ac:dyDescent="0.2">
      <c r="A11" s="9"/>
      <c r="B11" s="86" t="s">
        <v>187</v>
      </c>
      <c r="C11" s="74"/>
      <c r="D11" s="74"/>
      <c r="E11" s="75">
        <v>3</v>
      </c>
      <c r="F11" s="27" t="s">
        <v>61</v>
      </c>
      <c r="G11" s="76" t="str">
        <f t="shared" ref="G11:G17" si="0">IFERROR(F11/E11,"")</f>
        <v/>
      </c>
      <c r="H11" s="77" t="str">
        <f t="shared" ref="H11:H17" si="1">_xlfn.IFS(F11="أدخل العلامة","",F11="لا ينطبق","تم الإلغاء",G11&gt;=90%,"ممتاز",G11&gt;=80%,"جيد جداً",G11&gt;=70%,"جيد",G11&gt;=60%,"مقبول",G11&lt;60%,"راسب")</f>
        <v/>
      </c>
      <c r="I11" s="29"/>
      <c r="J11" s="30"/>
    </row>
    <row r="12" spans="1:10" ht="30" customHeight="1" x14ac:dyDescent="0.2">
      <c r="A12" s="9"/>
      <c r="B12" s="86" t="s">
        <v>188</v>
      </c>
      <c r="C12" s="74"/>
      <c r="D12" s="74"/>
      <c r="E12" s="75">
        <v>3</v>
      </c>
      <c r="F12" s="27" t="s">
        <v>61</v>
      </c>
      <c r="G12" s="76" t="str">
        <f t="shared" si="0"/>
        <v/>
      </c>
      <c r="H12" s="77" t="str">
        <f t="shared" si="1"/>
        <v/>
      </c>
      <c r="I12" s="29"/>
      <c r="J12" s="30"/>
    </row>
    <row r="13" spans="1:10" ht="30" customHeight="1" x14ac:dyDescent="0.2">
      <c r="A13" s="9"/>
      <c r="B13" s="86" t="s">
        <v>182</v>
      </c>
      <c r="C13" s="74"/>
      <c r="D13" s="74"/>
      <c r="E13" s="75">
        <v>3</v>
      </c>
      <c r="F13" s="27" t="s">
        <v>61</v>
      </c>
      <c r="G13" s="76" t="str">
        <f t="shared" si="0"/>
        <v/>
      </c>
      <c r="H13" s="77" t="str">
        <f t="shared" si="1"/>
        <v/>
      </c>
      <c r="I13" s="29"/>
      <c r="J13" s="30"/>
    </row>
    <row r="14" spans="1:10" ht="30" customHeight="1" x14ac:dyDescent="0.2">
      <c r="A14" s="9"/>
      <c r="B14" s="86" t="s">
        <v>183</v>
      </c>
      <c r="C14" s="74"/>
      <c r="D14" s="74"/>
      <c r="E14" s="75">
        <v>3</v>
      </c>
      <c r="F14" s="27" t="s">
        <v>61</v>
      </c>
      <c r="G14" s="76" t="str">
        <f t="shared" si="0"/>
        <v/>
      </c>
      <c r="H14" s="77" t="str">
        <f t="shared" si="1"/>
        <v/>
      </c>
      <c r="I14" s="29"/>
      <c r="J14" s="30"/>
    </row>
    <row r="15" spans="1:10" ht="39.950000000000003" customHeight="1" x14ac:dyDescent="0.2">
      <c r="A15" s="9"/>
      <c r="B15" s="86" t="s">
        <v>184</v>
      </c>
      <c r="C15" s="74"/>
      <c r="D15" s="74"/>
      <c r="E15" s="75">
        <v>3</v>
      </c>
      <c r="F15" s="27" t="s">
        <v>61</v>
      </c>
      <c r="G15" s="76" t="str">
        <f t="shared" si="0"/>
        <v/>
      </c>
      <c r="H15" s="77" t="str">
        <f t="shared" si="1"/>
        <v/>
      </c>
      <c r="I15" s="29"/>
      <c r="J15" s="30"/>
    </row>
    <row r="16" spans="1:10" ht="30" customHeight="1" x14ac:dyDescent="0.2">
      <c r="A16" s="9"/>
      <c r="B16" s="86" t="s">
        <v>185</v>
      </c>
      <c r="C16" s="74"/>
      <c r="D16" s="74"/>
      <c r="E16" s="75">
        <v>3</v>
      </c>
      <c r="F16" s="27" t="s">
        <v>61</v>
      </c>
      <c r="G16" s="76" t="str">
        <f t="shared" si="0"/>
        <v/>
      </c>
      <c r="H16" s="77" t="str">
        <f t="shared" si="1"/>
        <v/>
      </c>
      <c r="I16" s="29"/>
      <c r="J16" s="30"/>
    </row>
    <row r="17" spans="1:10" ht="30" customHeight="1" thickBot="1" x14ac:dyDescent="0.25">
      <c r="A17" s="9"/>
      <c r="B17" s="87" t="s">
        <v>186</v>
      </c>
      <c r="C17" s="88"/>
      <c r="D17" s="88"/>
      <c r="E17" s="89">
        <v>3</v>
      </c>
      <c r="F17" s="28" t="s">
        <v>61</v>
      </c>
      <c r="G17" s="90" t="str">
        <f t="shared" si="0"/>
        <v/>
      </c>
      <c r="H17" s="91" t="str">
        <f t="shared" si="1"/>
        <v/>
      </c>
      <c r="I17" s="32"/>
      <c r="J17" s="33"/>
    </row>
    <row r="18" spans="1:10" ht="30" customHeight="1" thickBot="1" x14ac:dyDescent="0.25">
      <c r="A18" s="4"/>
      <c r="B18" s="68" t="s">
        <v>5</v>
      </c>
      <c r="C18" s="69"/>
      <c r="D18" s="69"/>
      <c r="E18" s="70">
        <f>SUM(E9:E17)</f>
        <v>27</v>
      </c>
      <c r="F18" s="70">
        <f>SUM(F9:F17)</f>
        <v>0</v>
      </c>
      <c r="G18" s="71"/>
      <c r="H18" s="72"/>
      <c r="I18" s="72"/>
      <c r="J18" s="73"/>
    </row>
    <row r="19" spans="1:10" ht="30" customHeight="1" thickBot="1" x14ac:dyDescent="0.25">
      <c r="A19" s="4"/>
      <c r="B19" s="61" t="s">
        <v>54</v>
      </c>
      <c r="C19" s="37"/>
      <c r="D19" s="37"/>
      <c r="E19" s="34">
        <f>F18/E18/100*100</f>
        <v>0</v>
      </c>
      <c r="F19" s="34"/>
      <c r="G19" s="34"/>
      <c r="H19" s="34"/>
      <c r="I19" s="34"/>
      <c r="J19" s="35"/>
    </row>
    <row r="20" spans="1:10" ht="30" customHeight="1" thickBot="1" x14ac:dyDescent="0.25">
      <c r="A20" s="4"/>
      <c r="B20" s="61" t="s">
        <v>55</v>
      </c>
      <c r="C20" s="37"/>
      <c r="D20" s="37"/>
      <c r="E20" s="53" t="str">
        <f>_xlfn.IFS(E19&gt;=90%,"ممتاز",E19&gt;=80%,"جيد جداً",E19&gt;=70%,"جيد",E19&gt;=60%,"مقبول",E19&lt;60%,"راسب")</f>
        <v>راسب</v>
      </c>
      <c r="F20" s="53"/>
      <c r="G20" s="53"/>
      <c r="H20" s="53"/>
      <c r="I20" s="53"/>
      <c r="J20" s="54"/>
    </row>
    <row r="21" spans="1:10" ht="42" customHeight="1" x14ac:dyDescent="0.2">
      <c r="B21" s="49" t="s">
        <v>178</v>
      </c>
      <c r="C21" s="49"/>
      <c r="D21" s="49"/>
      <c r="E21" s="36" t="s">
        <v>52</v>
      </c>
      <c r="F21" s="36"/>
      <c r="G21" s="51" t="s">
        <v>59</v>
      </c>
      <c r="H21" s="51"/>
      <c r="I21" s="51"/>
      <c r="J21" s="51"/>
    </row>
    <row r="22" spans="1:10" ht="51" customHeight="1" x14ac:dyDescent="0.2">
      <c r="A22" s="5"/>
      <c r="B22" s="50"/>
      <c r="C22" s="50"/>
      <c r="D22" s="50"/>
      <c r="E22" s="31" t="s">
        <v>53</v>
      </c>
      <c r="F22" s="31"/>
      <c r="G22" s="52"/>
      <c r="H22" s="52"/>
      <c r="I22" s="52"/>
      <c r="J22" s="52"/>
    </row>
    <row r="23" spans="1:10" ht="15.75" x14ac:dyDescent="0.2">
      <c r="A23" s="24">
        <v>3</v>
      </c>
      <c r="B23" s="55" t="s">
        <v>175</v>
      </c>
      <c r="C23" s="56"/>
    </row>
    <row r="24" spans="1:10" ht="15.75" x14ac:dyDescent="0.2">
      <c r="A24" s="25">
        <v>2</v>
      </c>
      <c r="B24" s="57" t="s">
        <v>176</v>
      </c>
      <c r="C24" s="58"/>
    </row>
    <row r="25" spans="1:10" ht="15.75" x14ac:dyDescent="0.2">
      <c r="A25" s="26">
        <v>1</v>
      </c>
      <c r="B25" s="59" t="s">
        <v>177</v>
      </c>
      <c r="C25" s="6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3">
    <mergeCell ref="B2:J2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23:C23"/>
    <mergeCell ref="B24:C24"/>
    <mergeCell ref="B25:C25"/>
    <mergeCell ref="B18:D18"/>
    <mergeCell ref="B19:D19"/>
    <mergeCell ref="B20:D20"/>
    <mergeCell ref="B21:D22"/>
    <mergeCell ref="G21:J21"/>
    <mergeCell ref="G22:J22"/>
    <mergeCell ref="E20:J20"/>
    <mergeCell ref="B1:J1"/>
    <mergeCell ref="F3:J3"/>
    <mergeCell ref="B6:D7"/>
    <mergeCell ref="C3:D3"/>
    <mergeCell ref="C4:D4"/>
    <mergeCell ref="F4:J4"/>
    <mergeCell ref="E6:H6"/>
    <mergeCell ref="I6:J7"/>
    <mergeCell ref="I9:J9"/>
    <mergeCell ref="I12:J12"/>
    <mergeCell ref="I13:J13"/>
    <mergeCell ref="I14:J14"/>
    <mergeCell ref="I15:J15"/>
    <mergeCell ref="I16:J16"/>
    <mergeCell ref="I17:J17"/>
    <mergeCell ref="B8:D8"/>
    <mergeCell ref="I10:J10"/>
    <mergeCell ref="I8:J8"/>
    <mergeCell ref="I11:J11"/>
    <mergeCell ref="E21:F21"/>
    <mergeCell ref="E22:F22"/>
    <mergeCell ref="G18:J18"/>
    <mergeCell ref="E19:J19"/>
  </mergeCells>
  <conditionalFormatting sqref="C3:D3">
    <cfRule type="containsText" dxfId="16" priority="18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15" priority="17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0">
    <cfRule type="expression" dxfId="14" priority="57">
      <formula>$E20="راسب"</formula>
    </cfRule>
  </conditionalFormatting>
  <conditionalFormatting sqref="E20:J20">
    <cfRule type="expression" dxfId="13" priority="58">
      <formula>$E20="مقبول"</formula>
    </cfRule>
    <cfRule type="expression" dxfId="12" priority="59">
      <formula>$E20="جيد"</formula>
    </cfRule>
    <cfRule type="expression" dxfId="11" priority="60">
      <formula>$E20="جيد جداً"</formula>
    </cfRule>
    <cfRule type="expression" dxfId="10" priority="61">
      <formula>$E20="ممتاز"</formula>
    </cfRule>
  </conditionalFormatting>
  <conditionalFormatting sqref="F9:F17">
    <cfRule type="containsText" dxfId="9" priority="14" operator="containsText" text="أدخل العلامة">
      <formula>NOT(ISERROR(SEARCH("أدخل العلامة",F9)))</formula>
    </cfRule>
  </conditionalFormatting>
  <conditionalFormatting sqref="F3:J3">
    <cfRule type="containsText" dxfId="8" priority="19" operator="containsText" text="أدخل التاريخ">
      <formula>NOT(ISERROR(SEARCH("أدخل التاريخ",F3)))</formula>
    </cfRule>
  </conditionalFormatting>
  <conditionalFormatting sqref="F4:J4">
    <cfRule type="containsText" dxfId="7" priority="16" operator="containsText" text="أدخل أسم المحكم">
      <formula>NOT(ISERROR(SEARCH("أدخل أسم المحكم",F4)))</formula>
    </cfRule>
  </conditionalFormatting>
  <conditionalFormatting sqref="G21:J21">
    <cfRule type="containsText" dxfId="6" priority="15" operator="containsText" text="أدخل اسم المحكم">
      <formula>NOT(ISERROR(SEARCH("أدخل اسم المحكم",G21)))</formula>
    </cfRule>
  </conditionalFormatting>
  <conditionalFormatting sqref="H9:H17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G21:J21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F9:F17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9" ht="20.100000000000001" customHeight="1" thickBot="1" x14ac:dyDescent="0.25">
      <c r="A65" s="12">
        <v>45957</v>
      </c>
    </row>
    <row r="66" spans="1:9" ht="20.100000000000001" customHeight="1" thickBot="1" x14ac:dyDescent="0.25">
      <c r="A66" s="12">
        <v>45958</v>
      </c>
    </row>
    <row r="67" spans="1:9" ht="20.100000000000001" customHeight="1" thickBot="1" x14ac:dyDescent="0.25">
      <c r="A67" s="12">
        <v>45959</v>
      </c>
    </row>
    <row r="68" spans="1:9" ht="20.100000000000001" customHeight="1" thickBot="1" x14ac:dyDescent="0.25">
      <c r="A68" s="12">
        <v>45960</v>
      </c>
    </row>
    <row r="69" spans="1:9" ht="20.100000000000001" customHeight="1" thickBot="1" x14ac:dyDescent="0.25">
      <c r="A69" s="12">
        <v>45961</v>
      </c>
    </row>
    <row r="70" spans="1:9" ht="20.100000000000001" customHeight="1" x14ac:dyDescent="0.2">
      <c r="A70" s="13"/>
    </row>
    <row r="71" spans="1:9" ht="20.100000000000001" customHeight="1" x14ac:dyDescent="0.2">
      <c r="A71" s="13"/>
    </row>
    <row r="72" spans="1:9" s="16" customFormat="1" ht="20.100000000000001" customHeight="1" x14ac:dyDescent="0.2">
      <c r="A72" s="14"/>
      <c r="B72" s="15"/>
      <c r="C72" s="15"/>
      <c r="D72" s="15"/>
      <c r="E72" s="15"/>
      <c r="F72" s="15"/>
      <c r="G72" s="15"/>
      <c r="H72" s="15"/>
      <c r="I72" s="15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2025-10-20T08:13:24Z</dcterms:modified>
</cp:coreProperties>
</file>