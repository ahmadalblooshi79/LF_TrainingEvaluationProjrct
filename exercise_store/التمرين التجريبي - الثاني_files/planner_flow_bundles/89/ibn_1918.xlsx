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A1D9E25C-6ED0-431A-A87E-44F9F3975843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التقييم'!$B$4</definedName>
    <definedName name="_xlnm.Print_Area" localSheetId="0">'قائمة التقييم'!$A$1:$J$29</definedName>
    <definedName name="_xlnm.Print_Titles" localSheetId="0">'قائمة التقييم'!$9:$9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2" i="2" l="1"/>
  <c r="G21" i="2"/>
  <c r="H21" i="2" s="1"/>
  <c r="G20" i="2"/>
  <c r="H20" i="2" s="1"/>
  <c r="G19" i="2"/>
  <c r="H19" i="2" s="1"/>
  <c r="G17" i="2"/>
  <c r="H17" i="2" s="1"/>
  <c r="G11" i="2" l="1"/>
  <c r="H11" i="2" s="1"/>
  <c r="G12" i="2" l="1"/>
  <c r="H12" i="2" s="1"/>
  <c r="G13" i="2"/>
  <c r="H13" i="2" s="1"/>
  <c r="G15" i="2"/>
  <c r="H15" i="2" s="1"/>
  <c r="G16" i="2"/>
  <c r="H16" i="2" s="1"/>
  <c r="F22" i="2" l="1"/>
  <c r="E23" i="2" l="1"/>
  <c r="E24" i="2" s="1"/>
</calcChain>
</file>

<file path=xl/sharedStrings.xml><?xml version="1.0" encoding="utf-8"?>
<sst xmlns="http://schemas.openxmlformats.org/spreadsheetml/2006/main" count="271" uniqueCount="203">
  <si>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</si>
  <si>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</si>
  <si>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</si>
  <si>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</si>
  <si>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</si>
  <si>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</si>
  <si>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</si>
  <si>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</si>
  <si>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</si>
  <si>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</si>
  <si>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</si>
  <si>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</si>
  <si>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</si>
  <si>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</si>
  <si>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</si>
  <si>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</si>
  <si>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</si>
  <si>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</si>
  <si>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</si>
  <si>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</si>
  <si>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</si>
  <si>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</si>
  <si>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</si>
  <si>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</si>
  <si>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</si>
  <si>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</si>
  <si>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</si>
  <si>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</si>
  <si>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</si>
  <si>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</si>
  <si>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</si>
  <si>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</si>
  <si>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</si>
  <si>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</si>
  <si>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</si>
  <si>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</si>
  <si>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</si>
  <si>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</si>
  <si>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</si>
  <si>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</si>
  <si>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</si>
  <si>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</si>
  <si>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</si>
  <si>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</si>
  <si>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</si>
  <si>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</si>
  <si>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</si>
  <si>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</si>
  <si>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</si>
  <si>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</si>
  <si>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</si>
  <si>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</si>
  <si>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</si>
  <si>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</si>
  <si>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</si>
  <si>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</si>
  <si>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</si>
  <si>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</si>
  <si>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</si>
  <si>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</si>
  <si>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</si>
  <si>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</si>
  <si>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</si>
  <si>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</si>
  <si>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</si>
  <si>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</si>
  <si>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</si>
  <si>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</si>
  <si>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</si>
  <si>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</si>
  <si>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</si>
  <si>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</si>
  <si>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</si>
  <si>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</si>
  <si>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</si>
  <si>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</si>
  <si>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</si>
  <si>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</si>
  <si>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</si>
  <si>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</si>
  <si>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</si>
  <si>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</si>
  <si>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</si>
  <si>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</si>
  <si>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</si>
  <si>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</si>
  <si>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</si>
  <si>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</si>
  <si>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</si>
  <si>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</si>
  <si>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</si>
  <si>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</si>
  <si>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</si>
  <si>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</si>
  <si>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</si>
  <si>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</si>
  <si>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</si>
  <si>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</si>
  <si>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</si>
  <si>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</si>
  <si>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</si>
  <si>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</si>
  <si>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</si>
  <si>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</si>
  <si>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</si>
  <si>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</si>
  <si>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</si>
  <si>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</si>
  <si>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</si>
  <si>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</si>
  <si>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</si>
  <si>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</si>
  <si>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</si>
  <si>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</si>
  <si>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</si>
  <si>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</si>
  <si>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</si>
  <si>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</si>
  <si>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</si>
  <si>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</si>
  <si>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</si>
  <si>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</si>
  <si>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</si>
  <si>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</si>
  <si>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</si>
  <si>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</si>
  <si>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</si>
  <si>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</si>
  <si>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</si>
  <si>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</si>
  <si>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</si>
  <si>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</si>
  <si>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</si>
  <si>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</si>
  <si>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</si>
  <si>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</si>
  <si>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</si>
  <si>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</si>
  <si>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</si>
  <si>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</si>
  <si>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</si>
  <si>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</si>
  <si>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</si>
  <si>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</si>
  <si>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</si>
  <si>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</si>
  <si>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</si>
  <si>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</si>
  <si>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</si>
  <si>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</si>
  <si>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</si>
  <si>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</si>
  <si>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</si>
  <si>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</si>
  <si>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</si>
  <si>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</si>
  <si>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</si>
  <si>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</si>
  <si>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</si>
  <si>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</si>
  <si>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</si>
  <si>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</si>
  <si>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</si>
  <si>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</si>
  <si>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</si>
  <si>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</si>
  <si>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</si>
  <si>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</si>
  <si>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</si>
  <si>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</si>
  <si>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</si>
  <si>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</si>
  <si>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</si>
  <si>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</si>
  <si>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</si>
  <si>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</si>
  <si>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</si>
  <si>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</si>
  <si>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</si>
  <si>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اليوم الأول - التنقل التعبوي</t>
  </si>
  <si>
    <t>اليوم الثاني - التقدم للتماس</t>
  </si>
  <si>
    <t>اليوم الثالث - الهجوم السريع</t>
  </si>
  <si>
    <t>اليوم الرابع - الدفاع السريع</t>
  </si>
  <si>
    <t>اليوم الخامس - الدفاع السريع</t>
  </si>
  <si>
    <t>اليوم السادس - الهجوم المدبر</t>
  </si>
  <si>
    <t>أدخل رقم المعضلة</t>
  </si>
  <si>
    <t>مجـرى الأحـداث والمعاضل:</t>
  </si>
  <si>
    <t>رقــم المعضلـة حسـب مجـرى الأحداث والمعاضل:</t>
  </si>
  <si>
    <t>أدخل مجرى الأحداث والمعاضل</t>
  </si>
  <si>
    <r>
      <rPr>
        <b/>
        <sz val="14"/>
        <color rgb="FF000000"/>
        <rFont val="Arial"/>
        <family val="2"/>
      </rPr>
      <t>معضلة تعطل جهاز الجيرو في أحد المدافع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</si>
  <si>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وصف المعضلة:</t>
    </r>
    <r>
      <rPr>
        <sz val="14"/>
        <color rgb="FF000000"/>
        <rFont val="Arial"/>
        <family val="2"/>
      </rPr>
      <t xml:space="preserve"> تقييم إجراءات التعامل مع تعرض أحد أجهزة الجيرو لعطل فني اثناء قيام المدفع بتنفيذ الرماية.</t>
    </r>
  </si>
  <si>
    <t>تقييم الاجراءات المتخذة مسبقا للمحافظة على كفاءة جهاز الجيرو:</t>
  </si>
  <si>
    <r>
      <t>1.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Arial"/>
        <family val="2"/>
      </rPr>
      <t>اجراء التفتيشات المعتمدة على الجهاز وبشكل منتظم.</t>
    </r>
  </si>
  <si>
    <r>
      <t>2.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Arial"/>
        <family val="2"/>
      </rPr>
      <t>اجراء عمليات الصيانة باستمرار.</t>
    </r>
  </si>
  <si>
    <r>
      <t>3.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Arial"/>
        <family val="2"/>
      </rPr>
      <t>اجراء عملية المعايرة والتأسيس للجهاز بشكل صحيح.</t>
    </r>
  </si>
  <si>
    <t>تقييم اجراءات عدد اول عند تعطل جهاز الجيرو:</t>
  </si>
  <si>
    <r>
      <t>1.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Arial"/>
        <family val="2"/>
      </rPr>
      <t>يقوم بإبلاغ ضابط الموقع عن العطل.</t>
    </r>
  </si>
  <si>
    <r>
      <t>2.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Arial"/>
        <family val="2"/>
      </rPr>
      <t>التحول لاستخدام الأسلوب اليدوي في توجيه المدفع (مسطرة المدفع والمزواة).</t>
    </r>
  </si>
  <si>
    <r>
      <t>3.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Arial"/>
        <family val="2"/>
      </rPr>
      <t>بعد انتهاء الرماية يطلب فني الأجهزة لفحص وإصلاح جهاز الجيرو.</t>
    </r>
  </si>
  <si>
    <t>تقييم تأثير المعضلة على قدرة السرية في تنفيذ واجباتها:</t>
  </si>
  <si>
    <r>
      <t>1.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Arial"/>
        <family val="2"/>
      </rPr>
      <t>القيام بأعمال الصيانة اللازمة للمهمات والأجهزة يؤدي الى المحافظة عليها والى رفع كفاءتها.</t>
    </r>
  </si>
  <si>
    <r>
      <t>2.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Arial"/>
        <family val="2"/>
      </rPr>
      <t>توفر وسائل بديلة لأجهزة الرمي يمكن المدفع من الاستمرار في تنفيذ الرماية.</t>
    </r>
  </si>
  <si>
    <r>
      <t>3.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Arial"/>
        <family val="2"/>
      </rPr>
      <t>إصلاح الأجهزة من قبل الفنيين المختصين عند تعطلها يؤدي لعودها إلى العمل بكفاءة.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</si>
</sst>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9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4"/>
      <color rgb="FF000000"/>
      <name val="Arial"/>
      <family val="2"/>
    </font>
    <font>
      <sz val="14"/>
      <color rgb="FFFF0000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u/>
      <sz val="12"/>
      <color theme="1"/>
      <name val="Arial"/>
      <family val="2"/>
    </font>
    <font>
      <sz val="12"/>
      <color theme="1"/>
      <name val="Arial"/>
      <family val="2"/>
    </font>
    <font>
      <sz val="7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164" fontId="14" fillId="0" borderId="2" xfId="0" applyNumberFormat="1" applyFont="1" applyBorder="1" applyAlignment="1" applyProtection="1">
      <alignment horizontal="center" vertical="center" wrapText="1" readingOrder="2"/>
      <protection locked="0"/>
    </xf>
    <xf numFmtId="0" fontId="15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23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49" fontId="5" fillId="0" borderId="21" xfId="0" applyNumberFormat="1" applyFont="1" applyBorder="1" applyAlignment="1" applyProtection="1">
      <alignment horizontal="right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4" xfId="0" applyFont="1" applyBorder="1" applyAlignment="1">
      <alignment horizontal="center" vertical="center" wrapText="1" readingOrder="2"/>
    </xf>
    <xf numFmtId="0" fontId="2" fillId="0" borderId="25" xfId="0" applyFont="1" applyBorder="1" applyAlignment="1">
      <alignment horizontal="center" vertical="center" wrapText="1" readingOrder="2"/>
    </xf>
    <xf numFmtId="0" fontId="2" fillId="0" borderId="26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6" fillId="4" borderId="22" xfId="0" applyFont="1" applyFill="1" applyBorder="1" applyAlignment="1" applyProtection="1">
      <alignment horizontal="center" vertical="center" wrapText="1" readingOrder="2"/>
      <protection locked="0"/>
    </xf>
    <xf numFmtId="0" fontId="6" fillId="4" borderId="23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0" fontId="6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7" fillId="0" borderId="3" xfId="0" applyFont="1" applyBorder="1" applyAlignment="1">
      <alignment horizontal="right" vertical="center" wrapText="1" readingOrder="2"/>
    </xf>
    <xf numFmtId="0" fontId="16" fillId="0" borderId="5" xfId="0" applyFont="1" applyBorder="1" applyAlignment="1">
      <alignment horizontal="right" vertical="center" wrapText="1"/>
    </xf>
    <xf numFmtId="0" fontId="16" fillId="0" borderId="4" xfId="0" applyFont="1" applyBorder="1" applyAlignment="1">
      <alignment horizontal="right" vertical="center" wrapText="1"/>
    </xf>
    <xf numFmtId="0" fontId="17" fillId="0" borderId="20" xfId="0" applyFont="1" applyBorder="1" applyAlignment="1">
      <alignment horizontal="right" vertical="center" wrapText="1" readingOrder="2"/>
    </xf>
    <xf numFmtId="0" fontId="17" fillId="0" borderId="11" xfId="0" applyFont="1" applyBorder="1" applyAlignment="1">
      <alignment horizontal="right" vertical="center" wrapText="1" readingOrder="2"/>
    </xf>
    <xf numFmtId="0" fontId="17" fillId="0" borderId="12" xfId="0" applyFont="1" applyBorder="1" applyAlignment="1">
      <alignment horizontal="right" vertical="center" wrapText="1" readingOrder="2"/>
    </xf>
    <xf numFmtId="0" fontId="16" fillId="0" borderId="5" xfId="0" applyFont="1" applyBorder="1" applyAlignment="1">
      <alignment horizontal="right" vertical="center" wrapText="1" readingOrder="2"/>
    </xf>
    <xf numFmtId="0" fontId="16" fillId="0" borderId="4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40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9"/>
  <sheetViews>
    <sheetView rightToLeft="1" tabSelected="1" view="pageBreakPreview" topLeftCell="A6" zoomScale="136" zoomScaleNormal="100" zoomScaleSheetLayoutView="136" workbookViewId="0">
      <selection activeCell="F11" sqref="F11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62" t="s">
        <v>189</v>
      </c>
      <c r="C1" s="62"/>
      <c r="D1" s="62"/>
      <c r="E1" s="62"/>
      <c r="F1" s="62"/>
      <c r="G1" s="62"/>
      <c r="H1" s="62"/>
      <c r="I1" s="62"/>
      <c r="J1" s="62"/>
    </row>
    <row r="2" spans="1:10" ht="45" customHeight="1" x14ac:dyDescent="0.2">
      <c r="B2" s="44" t="s">
        <v>190</v>
      </c>
      <c r="C2" s="44"/>
      <c r="D2" s="44"/>
      <c r="E2" s="44"/>
      <c r="F2" s="44"/>
      <c r="G2" s="44"/>
      <c r="H2" s="44"/>
      <c r="I2" s="44"/>
      <c r="J2" s="44"/>
    </row>
    <row r="3" spans="1:10" ht="30" customHeight="1" x14ac:dyDescent="0.2">
      <c r="B3" s="11" t="s">
        <v>8</v>
      </c>
      <c r="C3" s="68" t="s">
        <v>57</v>
      </c>
      <c r="D3" s="68"/>
      <c r="E3" s="11" t="s">
        <v>7</v>
      </c>
      <c r="F3" s="63" t="s">
        <v>56</v>
      </c>
      <c r="G3" s="63"/>
      <c r="H3" s="63"/>
      <c r="I3" s="63"/>
      <c r="J3" s="63"/>
    </row>
    <row r="4" spans="1:10" ht="30" customHeight="1" x14ac:dyDescent="0.2">
      <c r="B4" s="11" t="s">
        <v>9</v>
      </c>
      <c r="C4" s="68" t="s">
        <v>60</v>
      </c>
      <c r="D4" s="68"/>
      <c r="E4" s="11" t="s">
        <v>6</v>
      </c>
      <c r="F4" s="68" t="s">
        <v>59</v>
      </c>
      <c r="G4" s="68"/>
      <c r="H4" s="68"/>
      <c r="I4" s="68"/>
      <c r="J4" s="68"/>
    </row>
    <row r="5" spans="1:10" ht="30" customHeight="1" x14ac:dyDescent="0.2">
      <c r="B5" s="87" t="s">
        <v>186</v>
      </c>
      <c r="C5" s="87"/>
      <c r="D5" s="39" t="s">
        <v>188</v>
      </c>
      <c r="E5" s="87" t="s">
        <v>187</v>
      </c>
      <c r="F5" s="87"/>
      <c r="G5" s="87"/>
      <c r="H5" s="87"/>
      <c r="I5" s="88" t="s">
        <v>185</v>
      </c>
      <c r="J5" s="88"/>
    </row>
    <row r="6" spans="1:10" ht="30" customHeight="1" thickBot="1" x14ac:dyDescent="0.25">
      <c r="B6" s="6"/>
      <c r="C6" s="7"/>
      <c r="D6" s="7"/>
      <c r="E6" s="6"/>
      <c r="F6" s="7"/>
      <c r="G6" s="7"/>
      <c r="H6" s="8"/>
      <c r="I6" s="7"/>
      <c r="J6" s="7"/>
    </row>
    <row r="7" spans="1:10" ht="24.95" customHeight="1" x14ac:dyDescent="0.2">
      <c r="A7" s="9"/>
      <c r="B7" s="64" t="s">
        <v>0</v>
      </c>
      <c r="C7" s="65"/>
      <c r="D7" s="65"/>
      <c r="E7" s="69" t="s">
        <v>1</v>
      </c>
      <c r="F7" s="69"/>
      <c r="G7" s="69"/>
      <c r="H7" s="69"/>
      <c r="I7" s="69" t="s">
        <v>2</v>
      </c>
      <c r="J7" s="70"/>
    </row>
    <row r="8" spans="1:10" ht="24.95" customHeight="1" thickBot="1" x14ac:dyDescent="0.25">
      <c r="A8" s="9"/>
      <c r="B8" s="66"/>
      <c r="C8" s="67"/>
      <c r="D8" s="67"/>
      <c r="E8" s="10" t="s">
        <v>3</v>
      </c>
      <c r="F8" s="10" t="s">
        <v>4</v>
      </c>
      <c r="G8" s="10" t="s">
        <v>23</v>
      </c>
      <c r="H8" s="10" t="s">
        <v>24</v>
      </c>
      <c r="I8" s="71"/>
      <c r="J8" s="72"/>
    </row>
    <row r="9" spans="1:10" ht="24.95" customHeight="1" thickBot="1" x14ac:dyDescent="0.25">
      <c r="A9" s="9"/>
      <c r="B9" s="54" t="s">
        <v>21</v>
      </c>
      <c r="C9" s="55"/>
      <c r="D9" s="55"/>
      <c r="E9" s="27" t="s">
        <v>18</v>
      </c>
      <c r="F9" s="27" t="s">
        <v>19</v>
      </c>
      <c r="G9" s="27" t="s">
        <v>22</v>
      </c>
      <c r="H9" s="27" t="s">
        <v>20</v>
      </c>
      <c r="I9" s="56" t="s">
        <v>25</v>
      </c>
      <c r="J9" s="57"/>
    </row>
    <row r="10" spans="1:10" ht="39.950000000000003" customHeight="1" x14ac:dyDescent="0.2">
      <c r="A10" s="9"/>
      <c r="B10" s="92" t="s">
        <v>191</v>
      </c>
      <c r="C10" s="93"/>
      <c r="D10" s="93"/>
      <c r="E10" s="31"/>
      <c r="F10" s="43"/>
      <c r="G10" s="32"/>
      <c r="H10" s="33"/>
      <c r="I10" s="73"/>
      <c r="J10" s="74"/>
    </row>
    <row r="11" spans="1:10" ht="39.950000000000003" customHeight="1" x14ac:dyDescent="0.2">
      <c r="A11" s="9"/>
      <c r="B11" s="94" t="s">
        <v>192</v>
      </c>
      <c r="C11" s="91"/>
      <c r="D11" s="91"/>
      <c r="E11" s="28">
        <v>3</v>
      </c>
      <c r="F11" s="41" t="s">
        <v>61</v>
      </c>
      <c r="G11" s="29" t="str">
        <f>IFERROR(F11/E11,"")</f>
        <v/>
      </c>
      <c r="H11" s="30" t="str">
        <f>_xlfn.IFS(F11="أدخل العلامة","",F11="لا ينطبق","تم الإلغاء",G11&gt;=90%,"ممتاز",G11&gt;=80%,"جيد جداً",G11&gt;=70%,"جيد",G11&gt;=60%,"مقبول",G11&lt;60%,"راسب")</f>
        <v/>
      </c>
      <c r="I11" s="45"/>
      <c r="J11" s="46"/>
    </row>
    <row r="12" spans="1:10" ht="39.950000000000003" customHeight="1" x14ac:dyDescent="0.2">
      <c r="A12" s="9"/>
      <c r="B12" s="94" t="s">
        <v>193</v>
      </c>
      <c r="C12" s="91"/>
      <c r="D12" s="91"/>
      <c r="E12" s="28">
        <v>3</v>
      </c>
      <c r="F12" s="41" t="s">
        <v>61</v>
      </c>
      <c r="G12" s="29" t="str">
        <f t="shared" ref="G12:G16" si="0">IFERROR(F12/E12,"")</f>
        <v/>
      </c>
      <c r="H12" s="30" t="str">
        <f t="shared" ref="H12:H16" si="1">_xlfn.IFS(F12="أدخل العلامة","",F12="لا ينطبق","تم الإلغاء",G12&gt;=90%,"ممتاز",G12&gt;=80%,"جيد جداً",G12&gt;=70%,"جيد",G12&gt;=60%,"مقبول",G12&lt;60%,"راسب")</f>
        <v/>
      </c>
      <c r="I12" s="45"/>
      <c r="J12" s="46"/>
    </row>
    <row r="13" spans="1:10" ht="39.950000000000003" customHeight="1" thickBot="1" x14ac:dyDescent="0.25">
      <c r="A13" s="9"/>
      <c r="B13" s="95" t="s">
        <v>194</v>
      </c>
      <c r="C13" s="96"/>
      <c r="D13" s="96"/>
      <c r="E13" s="34">
        <v>3</v>
      </c>
      <c r="F13" s="42" t="s">
        <v>61</v>
      </c>
      <c r="G13" s="35" t="str">
        <f t="shared" si="0"/>
        <v/>
      </c>
      <c r="H13" s="36" t="str">
        <f t="shared" si="1"/>
        <v/>
      </c>
      <c r="I13" s="89"/>
      <c r="J13" s="90"/>
    </row>
    <row r="14" spans="1:10" ht="39.950000000000003" customHeight="1" x14ac:dyDescent="0.2">
      <c r="A14" s="9"/>
      <c r="B14" s="92" t="s">
        <v>195</v>
      </c>
      <c r="C14" s="93"/>
      <c r="D14" s="93"/>
      <c r="E14" s="31"/>
      <c r="F14" s="43"/>
      <c r="G14" s="32"/>
      <c r="H14" s="33"/>
      <c r="I14" s="73"/>
      <c r="J14" s="74"/>
    </row>
    <row r="15" spans="1:10" ht="39.950000000000003" customHeight="1" x14ac:dyDescent="0.2">
      <c r="A15" s="9"/>
      <c r="B15" s="94" t="s">
        <v>196</v>
      </c>
      <c r="C15" s="91"/>
      <c r="D15" s="91"/>
      <c r="E15" s="28">
        <v>3</v>
      </c>
      <c r="F15" s="41" t="s">
        <v>61</v>
      </c>
      <c r="G15" s="29" t="str">
        <f t="shared" si="0"/>
        <v/>
      </c>
      <c r="H15" s="30" t="str">
        <f t="shared" si="1"/>
        <v/>
      </c>
      <c r="I15" s="45"/>
      <c r="J15" s="46"/>
    </row>
    <row r="16" spans="1:10" ht="39.950000000000003" customHeight="1" x14ac:dyDescent="0.2">
      <c r="A16" s="9"/>
      <c r="B16" s="94" t="s">
        <v>197</v>
      </c>
      <c r="C16" s="91"/>
      <c r="D16" s="91"/>
      <c r="E16" s="28">
        <v>3</v>
      </c>
      <c r="F16" s="41" t="s">
        <v>61</v>
      </c>
      <c r="G16" s="29" t="str">
        <f t="shared" si="0"/>
        <v/>
      </c>
      <c r="H16" s="30" t="str">
        <f t="shared" si="1"/>
        <v/>
      </c>
      <c r="I16" s="45"/>
      <c r="J16" s="46"/>
    </row>
    <row r="17" spans="1:10" ht="39.950000000000003" customHeight="1" thickBot="1" x14ac:dyDescent="0.25">
      <c r="A17" s="9"/>
      <c r="B17" s="95" t="s">
        <v>198</v>
      </c>
      <c r="C17" s="96"/>
      <c r="D17" s="96"/>
      <c r="E17" s="34">
        <v>3</v>
      </c>
      <c r="F17" s="42" t="s">
        <v>61</v>
      </c>
      <c r="G17" s="35" t="str">
        <f>IFERROR(F17/E17,"")</f>
        <v/>
      </c>
      <c r="H17" s="36" t="str">
        <f>_xlfn.IFS(F17="أدخل العلامة","",F17="لا ينطبق","تم الإلغاء",G17&gt;=90%,"ممتاز",G17&gt;=80%,"جيد جداً",G17&gt;=70%,"جيد",G17&gt;=60%,"مقبول",G17&lt;60%,"راسب")</f>
        <v/>
      </c>
      <c r="I17" s="89"/>
      <c r="J17" s="90"/>
    </row>
    <row r="18" spans="1:10" ht="39.950000000000003" customHeight="1" x14ac:dyDescent="0.2">
      <c r="A18" s="9"/>
      <c r="B18" s="97" t="s">
        <v>199</v>
      </c>
      <c r="C18" s="98"/>
      <c r="D18" s="98"/>
      <c r="E18" s="31"/>
      <c r="F18" s="43"/>
      <c r="G18" s="32"/>
      <c r="H18" s="33"/>
      <c r="I18" s="73"/>
      <c r="J18" s="74"/>
    </row>
    <row r="19" spans="1:10" ht="39.950000000000003" customHeight="1" x14ac:dyDescent="0.2">
      <c r="A19" s="9"/>
      <c r="B19" s="94" t="s">
        <v>200</v>
      </c>
      <c r="C19" s="91"/>
      <c r="D19" s="91"/>
      <c r="E19" s="28">
        <v>3</v>
      </c>
      <c r="F19" s="41" t="s">
        <v>61</v>
      </c>
      <c r="G19" s="29" t="str">
        <f t="shared" ref="G19:G21" si="2">IFERROR(F19/E19,"")</f>
        <v/>
      </c>
      <c r="H19" s="30" t="str">
        <f t="shared" ref="H19:H21" si="3">_xlfn.IFS(F19="أدخل العلامة","",F19="لا ينطبق","تم الإلغاء",G19&gt;=90%,"ممتاز",G19&gt;=80%,"جيد جداً",G19&gt;=70%,"جيد",G19&gt;=60%,"مقبول",G19&lt;60%,"راسب")</f>
        <v/>
      </c>
      <c r="I19" s="45"/>
      <c r="J19" s="46"/>
    </row>
    <row r="20" spans="1:10" ht="39.950000000000003" customHeight="1" x14ac:dyDescent="0.2">
      <c r="A20" s="9"/>
      <c r="B20" s="94" t="s">
        <v>201</v>
      </c>
      <c r="C20" s="91"/>
      <c r="D20" s="91"/>
      <c r="E20" s="28">
        <v>3</v>
      </c>
      <c r="F20" s="41" t="s">
        <v>61</v>
      </c>
      <c r="G20" s="29" t="str">
        <f t="shared" si="2"/>
        <v/>
      </c>
      <c r="H20" s="30" t="str">
        <f t="shared" si="3"/>
        <v/>
      </c>
      <c r="I20" s="45"/>
      <c r="J20" s="46"/>
    </row>
    <row r="21" spans="1:10" ht="39.950000000000003" customHeight="1" thickBot="1" x14ac:dyDescent="0.25">
      <c r="A21" s="9"/>
      <c r="B21" s="95" t="s">
        <v>202</v>
      </c>
      <c r="C21" s="96"/>
      <c r="D21" s="96"/>
      <c r="E21" s="34">
        <v>3</v>
      </c>
      <c r="F21" s="42" t="s">
        <v>61</v>
      </c>
      <c r="G21" s="35" t="str">
        <f t="shared" si="2"/>
        <v/>
      </c>
      <c r="H21" s="36" t="str">
        <f t="shared" si="3"/>
        <v/>
      </c>
      <c r="I21" s="89"/>
      <c r="J21" s="90"/>
    </row>
    <row r="22" spans="1:10" ht="30" customHeight="1" thickBot="1" x14ac:dyDescent="0.25">
      <c r="A22" s="4"/>
      <c r="B22" s="77" t="s">
        <v>5</v>
      </c>
      <c r="C22" s="78"/>
      <c r="D22" s="78"/>
      <c r="E22" s="40">
        <f>SUM(E10:E21)</f>
        <v>27</v>
      </c>
      <c r="F22" s="40">
        <f>SUM(F10:F16)</f>
        <v>0</v>
      </c>
      <c r="G22" s="49"/>
      <c r="H22" s="50"/>
      <c r="I22" s="50"/>
      <c r="J22" s="51"/>
    </row>
    <row r="23" spans="1:10" ht="30" customHeight="1" thickBot="1" x14ac:dyDescent="0.25">
      <c r="A23" s="4"/>
      <c r="B23" s="79" t="s">
        <v>54</v>
      </c>
      <c r="C23" s="80"/>
      <c r="D23" s="80"/>
      <c r="E23" s="52">
        <f>F22/E22/100*100</f>
        <v>0</v>
      </c>
      <c r="F23" s="52"/>
      <c r="G23" s="52"/>
      <c r="H23" s="52"/>
      <c r="I23" s="52"/>
      <c r="J23" s="53"/>
    </row>
    <row r="24" spans="1:10" ht="30" customHeight="1" thickBot="1" x14ac:dyDescent="0.25">
      <c r="A24" s="4"/>
      <c r="B24" s="79" t="s">
        <v>55</v>
      </c>
      <c r="C24" s="80"/>
      <c r="D24" s="80"/>
      <c r="E24" s="60" t="str">
        <f>_xlfn.IFS(E23&gt;=90%,"ممتاز",E23&gt;=80%,"جيد جداً",E23&gt;=70%,"جيد",E23&gt;=60%,"مقبول",E23&lt;60%,"راسب")</f>
        <v>راسب</v>
      </c>
      <c r="F24" s="60"/>
      <c r="G24" s="60"/>
      <c r="H24" s="60"/>
      <c r="I24" s="60"/>
      <c r="J24" s="61"/>
    </row>
    <row r="25" spans="1:10" ht="42" customHeight="1" x14ac:dyDescent="0.2">
      <c r="B25" s="81" t="s">
        <v>178</v>
      </c>
      <c r="C25" s="81"/>
      <c r="D25" s="81"/>
      <c r="E25" s="47" t="s">
        <v>52</v>
      </c>
      <c r="F25" s="47"/>
      <c r="G25" s="58" t="s">
        <v>59</v>
      </c>
      <c r="H25" s="58"/>
      <c r="I25" s="58"/>
      <c r="J25" s="58"/>
    </row>
    <row r="26" spans="1:10" ht="51" customHeight="1" x14ac:dyDescent="0.2">
      <c r="A26" s="5"/>
      <c r="B26" s="82"/>
      <c r="C26" s="82"/>
      <c r="D26" s="82"/>
      <c r="E26" s="48" t="s">
        <v>53</v>
      </c>
      <c r="F26" s="48"/>
      <c r="G26" s="59"/>
      <c r="H26" s="59"/>
      <c r="I26" s="59"/>
      <c r="J26" s="59"/>
    </row>
    <row r="27" spans="1:10" ht="15.75" x14ac:dyDescent="0.2">
      <c r="A27" s="24">
        <v>3</v>
      </c>
      <c r="B27" s="83" t="s">
        <v>175</v>
      </c>
      <c r="C27" s="84"/>
    </row>
    <row r="28" spans="1:10" ht="15.75" x14ac:dyDescent="0.2">
      <c r="A28" s="25">
        <v>2</v>
      </c>
      <c r="B28" s="85" t="s">
        <v>176</v>
      </c>
      <c r="C28" s="86"/>
    </row>
    <row r="29" spans="1:10" ht="15.75" x14ac:dyDescent="0.2">
      <c r="A29" s="26">
        <v>1</v>
      </c>
      <c r="B29" s="75" t="s">
        <v>177</v>
      </c>
      <c r="C29" s="76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52">
    <mergeCell ref="B16:D16"/>
    <mergeCell ref="B10:D10"/>
    <mergeCell ref="B11:D11"/>
    <mergeCell ref="B13:D13"/>
    <mergeCell ref="B14:D14"/>
    <mergeCell ref="B15:D15"/>
    <mergeCell ref="B17:D17"/>
    <mergeCell ref="B18:D18"/>
    <mergeCell ref="B19:D19"/>
    <mergeCell ref="B21:D21"/>
    <mergeCell ref="B5:C5"/>
    <mergeCell ref="E5:H5"/>
    <mergeCell ref="I5:J5"/>
    <mergeCell ref="B12:D12"/>
    <mergeCell ref="B29:C29"/>
    <mergeCell ref="B22:D22"/>
    <mergeCell ref="B23:D23"/>
    <mergeCell ref="B24:D24"/>
    <mergeCell ref="B25:D26"/>
    <mergeCell ref="B27:C27"/>
    <mergeCell ref="B28:C28"/>
    <mergeCell ref="G26:J26"/>
    <mergeCell ref="E24:J24"/>
    <mergeCell ref="B1:J1"/>
    <mergeCell ref="F3:J3"/>
    <mergeCell ref="B7:D8"/>
    <mergeCell ref="C3:D3"/>
    <mergeCell ref="C4:D4"/>
    <mergeCell ref="F4:J4"/>
    <mergeCell ref="E7:H7"/>
    <mergeCell ref="I7:J8"/>
    <mergeCell ref="I10:J10"/>
    <mergeCell ref="I13:J13"/>
    <mergeCell ref="I14:J14"/>
    <mergeCell ref="I15:J15"/>
    <mergeCell ref="I16:J16"/>
    <mergeCell ref="B20:D20"/>
    <mergeCell ref="B2:J2"/>
    <mergeCell ref="I21:J21"/>
    <mergeCell ref="E25:F25"/>
    <mergeCell ref="E26:F26"/>
    <mergeCell ref="G22:J22"/>
    <mergeCell ref="E23:J23"/>
    <mergeCell ref="I17:J17"/>
    <mergeCell ref="I18:J18"/>
    <mergeCell ref="I19:J19"/>
    <mergeCell ref="I20:J20"/>
    <mergeCell ref="B9:D9"/>
    <mergeCell ref="I11:J11"/>
    <mergeCell ref="I9:J9"/>
    <mergeCell ref="I12:J12"/>
    <mergeCell ref="G25:J25"/>
  </mergeCells>
  <conditionalFormatting sqref="C3:D3">
    <cfRule type="containsText" dxfId="39" priority="41" operator="containsText" text="أدخل الوحدة الخاضعة للتقييم">
      <formula>NOT(ISERROR(SEARCH("أدخل الوحدة الخاضعة للتقييم",C3)))</formula>
    </cfRule>
  </conditionalFormatting>
  <conditionalFormatting sqref="C4:D4 D5">
    <cfRule type="containsText" dxfId="38" priority="40" operator="containsText" text="أدخل أسم قائد الوحدة الخاضعة للتقييم">
      <formula>NOT(ISERROR(SEARCH("أدخل أسم قائد الوحدة الخاضعة للتقييم",C4)))</formula>
    </cfRule>
  </conditionalFormatting>
  <conditionalFormatting sqref="E24">
    <cfRule type="expression" dxfId="37" priority="80">
      <formula>$E24="راسب"</formula>
    </cfRule>
  </conditionalFormatting>
  <conditionalFormatting sqref="E24:J24">
    <cfRule type="expression" dxfId="36" priority="81">
      <formula>$E24="مقبول"</formula>
    </cfRule>
    <cfRule type="expression" dxfId="35" priority="82">
      <formula>$E24="جيد"</formula>
    </cfRule>
    <cfRule type="expression" dxfId="34" priority="83">
      <formula>$E24="جيد جداً"</formula>
    </cfRule>
    <cfRule type="expression" dxfId="33" priority="84">
      <formula>$E24="ممتاز"</formula>
    </cfRule>
  </conditionalFormatting>
  <conditionalFormatting sqref="F10:F16">
    <cfRule type="containsText" dxfId="32" priority="37" operator="containsText" text="أدخل العلامة">
      <formula>NOT(ISERROR(SEARCH("أدخل العلامة",F10)))</formula>
    </cfRule>
  </conditionalFormatting>
  <conditionalFormatting sqref="F3:J3">
    <cfRule type="containsText" dxfId="31" priority="42" operator="containsText" text="أدخل التاريخ">
      <formula>NOT(ISERROR(SEARCH("أدخل التاريخ",F3)))</formula>
    </cfRule>
  </conditionalFormatting>
  <conditionalFormatting sqref="F4:J4 I5">
    <cfRule type="containsText" dxfId="30" priority="39" operator="containsText" text="أدخل أسم المحكم">
      <formula>NOT(ISERROR(SEARCH("أدخل أسم المحكم",F4)))</formula>
    </cfRule>
  </conditionalFormatting>
  <conditionalFormatting sqref="G25:J25">
    <cfRule type="containsText" dxfId="29" priority="38" operator="containsText" text="أدخل اسم المحكم">
      <formula>NOT(ISERROR(SEARCH("أدخل اسم المحكم",G25)))</formula>
    </cfRule>
  </conditionalFormatting>
  <conditionalFormatting sqref="H10:H16">
    <cfRule type="containsText" dxfId="28" priority="28" operator="containsText" text="أدخل العلامة">
      <formula>NOT(ISERROR(SEARCH("أدخل العلامة",H10)))</formula>
    </cfRule>
    <cfRule type="containsText" dxfId="27" priority="29" operator="containsText" text="ممتاز">
      <formula>NOT(ISERROR(SEARCH("ممتاز",H10)))</formula>
    </cfRule>
    <cfRule type="containsText" dxfId="26" priority="30" operator="containsText" text="جيد جداً">
      <formula>NOT(ISERROR(SEARCH("جيد جداً",H10)))</formula>
    </cfRule>
    <cfRule type="containsText" dxfId="25" priority="31" operator="containsText" text="جيد">
      <formula>NOT(ISERROR(SEARCH("جيد",H10)))</formula>
    </cfRule>
    <cfRule type="containsText" dxfId="24" priority="32" operator="containsText" text="مقبول">
      <formula>NOT(ISERROR(SEARCH("مقبول",H10)))</formula>
    </cfRule>
    <cfRule type="containsText" dxfId="23" priority="33" operator="containsText" text="راسب">
      <formula>NOT(ISERROR(SEARCH("راسب",H10)))</formula>
    </cfRule>
  </conditionalFormatting>
  <conditionalFormatting sqref="D5">
    <cfRule type="containsText" dxfId="22" priority="23" operator="containsText" text="أدخل مجرى الأحداث والمعاضل">
      <formula>NOT(ISERROR(SEARCH("أدخل مجرى الأحداث والمعاضل",D5)))</formula>
    </cfRule>
  </conditionalFormatting>
  <conditionalFormatting sqref="I5:J5">
    <cfRule type="containsText" dxfId="21" priority="22" operator="containsText" text="أدخل رقم المعضلة">
      <formula>NOT(ISERROR(SEARCH("أدخل رقم المعضلة",I5)))</formula>
    </cfRule>
  </conditionalFormatting>
  <conditionalFormatting sqref="F17:F21">
    <cfRule type="containsText" dxfId="20" priority="21" operator="containsText" text="أدخل العلامة">
      <formula>NOT(ISERROR(SEARCH("أدخل العلامة",F17)))</formula>
    </cfRule>
  </conditionalFormatting>
  <conditionalFormatting sqref="H17:H21">
    <cfRule type="containsText" dxfId="19" priority="15" operator="containsText" text="أدخل العلامة">
      <formula>NOT(ISERROR(SEARCH("أدخل العلامة",H17)))</formula>
    </cfRule>
    <cfRule type="containsText" dxfId="18" priority="16" operator="containsText" text="ممتاز">
      <formula>NOT(ISERROR(SEARCH("ممتاز",H17)))</formula>
    </cfRule>
    <cfRule type="containsText" dxfId="17" priority="17" operator="containsText" text="جيد جداً">
      <formula>NOT(ISERROR(SEARCH("جيد جداً",H17)))</formula>
    </cfRule>
    <cfRule type="containsText" dxfId="16" priority="18" operator="containsText" text="جيد">
      <formula>NOT(ISERROR(SEARCH("جيد",H17)))</formula>
    </cfRule>
    <cfRule type="containsText" dxfId="15" priority="19" operator="containsText" text="مقبول">
      <formula>NOT(ISERROR(SEARCH("مقبول",H17)))</formula>
    </cfRule>
    <cfRule type="containsText" dxfId="14" priority="20" operator="containsText" text="راسب">
      <formula>NOT(ISERROR(SEARCH("راسب",H17)))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55D9C459-379A-4EA3-86D6-AC6DD3AFB3C4}">
          <x14:formula1>
            <xm:f>'بيانات التقييم'!$A$1:$A$34</xm:f>
          </x14:formula1>
          <xm:sqref>C3:D3</xm:sqref>
        </x14:dataValidation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G25:J25 F4:J4</xm:sqref>
        </x14:dataValidation>
        <x14:dataValidation type="list" allowBlank="1" showInputMessage="1" showErrorMessage="1" xr:uid="{F72E204D-1C7B-489A-B322-92895779B550}">
          <x14:formula1>
            <xm:f>'بيانات التقييم'!$C$1:$C$28</xm:f>
          </x14:formula1>
          <xm:sqref>C4:D4</xm:sqref>
        </x14:dataValidation>
        <x14:dataValidation type="list" allowBlank="1" showInputMessage="1" showErrorMessage="1" xr:uid="{1939A6AE-2C19-4014-8C58-E46FD55CABCD}">
          <x14:formula1>
            <xm:f>'بيانات التقييم'!$A$74:$A$88</xm:f>
          </x14:formula1>
          <xm:sqref>F19:F21 F11:F13 F15:F17</xm:sqref>
        </x14:dataValidation>
        <x14:dataValidation type="list" allowBlank="1" showInputMessage="1" showErrorMessage="1" xr:uid="{DBF42519-CE6B-425D-A4B8-E7B87BAB2DFC}">
          <x14:formula1>
            <xm:f>'بيانات التقييم'!$A$38:$A$69</xm:f>
          </x14:formula1>
          <xm:sqref>F3:J3</xm:sqref>
        </x14:dataValidation>
        <x14:dataValidation type="list" allowBlank="1" showInputMessage="1" showErrorMessage="1" xr:uid="{58CE3459-45CE-4663-998C-88FB1B38926D}">
          <x14:formula1>
            <xm:f>'بيانات التقييم'!$C$41:$C$47</xm:f>
          </x14:formula1>
          <xm:sqref>D5</xm:sqref>
        </x14:dataValidation>
        <x14:dataValidation type="list" allowBlank="1" showInputMessage="1" showErrorMessage="1" xr:uid="{EE63C107-4C00-44FE-B2A2-85A590F081DA}">
          <x14:formula1>
            <xm:f>'بيانات التقييم'!$C$50:$C$150</xm:f>
          </x14:formula1>
          <xm:sqref>I5:J5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32" workbookViewId="0">
      <selection activeCell="C41" sqref="C41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57</v>
      </c>
      <c r="C1" s="2" t="s">
        <v>60</v>
      </c>
    </row>
    <row r="2" spans="1:3" ht="20.100000000000001" customHeight="1" thickBot="1" x14ac:dyDescent="0.25">
      <c r="A2" s="2" t="s">
        <v>35</v>
      </c>
      <c r="C2" s="18" t="s">
        <v>62</v>
      </c>
    </row>
    <row r="3" spans="1:3" ht="20.100000000000001" customHeight="1" thickBot="1" x14ac:dyDescent="0.25">
      <c r="A3" s="2" t="s">
        <v>26</v>
      </c>
      <c r="C3" s="18" t="s">
        <v>63</v>
      </c>
    </row>
    <row r="4" spans="1:3" ht="20.100000000000001" customHeight="1" thickBot="1" x14ac:dyDescent="0.25">
      <c r="A4" s="2" t="s">
        <v>36</v>
      </c>
      <c r="C4" s="18" t="s">
        <v>64</v>
      </c>
    </row>
    <row r="5" spans="1:3" ht="20.100000000000001" customHeight="1" thickBot="1" x14ac:dyDescent="0.25">
      <c r="A5" s="2" t="s">
        <v>37</v>
      </c>
      <c r="C5" s="18" t="s">
        <v>65</v>
      </c>
    </row>
    <row r="6" spans="1:3" ht="20.100000000000001" customHeight="1" thickBot="1" x14ac:dyDescent="0.25">
      <c r="A6" s="2" t="s">
        <v>38</v>
      </c>
      <c r="C6" s="18" t="s">
        <v>66</v>
      </c>
    </row>
    <row r="7" spans="1:3" ht="20.100000000000001" customHeight="1" thickBot="1" x14ac:dyDescent="0.25">
      <c r="A7" s="2" t="s">
        <v>39</v>
      </c>
      <c r="C7" s="18" t="s">
        <v>67</v>
      </c>
    </row>
    <row r="8" spans="1:3" ht="20.100000000000001" customHeight="1" thickBot="1" x14ac:dyDescent="0.25">
      <c r="A8" s="2" t="s">
        <v>40</v>
      </c>
      <c r="C8" s="18" t="s">
        <v>68</v>
      </c>
    </row>
    <row r="9" spans="1:3" ht="20.100000000000001" customHeight="1" thickBot="1" x14ac:dyDescent="0.25">
      <c r="A9" s="2" t="s">
        <v>41</v>
      </c>
      <c r="C9" s="18" t="s">
        <v>69</v>
      </c>
    </row>
    <row r="10" spans="1:3" ht="20.100000000000001" customHeight="1" thickBot="1" x14ac:dyDescent="0.25">
      <c r="A10" s="2" t="s">
        <v>42</v>
      </c>
      <c r="C10" s="18" t="s">
        <v>70</v>
      </c>
    </row>
    <row r="11" spans="1:3" ht="20.100000000000001" customHeight="1" thickBot="1" x14ac:dyDescent="0.25">
      <c r="A11" s="2" t="s">
        <v>43</v>
      </c>
      <c r="C11" s="18" t="s">
        <v>71</v>
      </c>
    </row>
    <row r="12" spans="1:3" ht="20.100000000000001" customHeight="1" thickBot="1" x14ac:dyDescent="0.25">
      <c r="A12" s="2" t="s">
        <v>44</v>
      </c>
      <c r="C12" s="18" t="s">
        <v>72</v>
      </c>
    </row>
    <row r="13" spans="1:3" ht="20.100000000000001" customHeight="1" thickBot="1" x14ac:dyDescent="0.25">
      <c r="A13" s="2" t="s">
        <v>45</v>
      </c>
      <c r="C13" s="18" t="s">
        <v>73</v>
      </c>
    </row>
    <row r="14" spans="1:3" ht="20.100000000000001" customHeight="1" thickBot="1" x14ac:dyDescent="0.25">
      <c r="A14" s="2" t="s">
        <v>46</v>
      </c>
      <c r="C14" s="18" t="s">
        <v>74</v>
      </c>
    </row>
    <row r="15" spans="1:3" ht="20.100000000000001" customHeight="1" thickBot="1" x14ac:dyDescent="0.25">
      <c r="A15" s="2" t="s">
        <v>47</v>
      </c>
      <c r="C15" s="18" t="s">
        <v>75</v>
      </c>
    </row>
    <row r="16" spans="1:3" ht="20.100000000000001" customHeight="1" thickBot="1" x14ac:dyDescent="0.25">
      <c r="A16" s="2" t="s">
        <v>10</v>
      </c>
      <c r="C16" s="18" t="s">
        <v>76</v>
      </c>
    </row>
    <row r="17" spans="1:3" ht="20.100000000000001" customHeight="1" thickBot="1" x14ac:dyDescent="0.25">
      <c r="A17" s="2" t="s">
        <v>27</v>
      </c>
      <c r="C17" s="18" t="s">
        <v>77</v>
      </c>
    </row>
    <row r="18" spans="1:3" ht="20.100000000000001" customHeight="1" thickBot="1" x14ac:dyDescent="0.25">
      <c r="A18" s="2" t="s">
        <v>48</v>
      </c>
      <c r="C18" s="18" t="s">
        <v>78</v>
      </c>
    </row>
    <row r="19" spans="1:3" ht="20.100000000000001" customHeight="1" thickBot="1" x14ac:dyDescent="0.25">
      <c r="A19" s="2" t="s">
        <v>49</v>
      </c>
      <c r="C19" s="18" t="s">
        <v>79</v>
      </c>
    </row>
    <row r="20" spans="1:3" ht="20.100000000000001" customHeight="1" thickBot="1" x14ac:dyDescent="0.25">
      <c r="A20" s="2" t="s">
        <v>50</v>
      </c>
      <c r="C20" s="18" t="s">
        <v>80</v>
      </c>
    </row>
    <row r="21" spans="1:3" ht="20.100000000000001" customHeight="1" thickBot="1" x14ac:dyDescent="0.25">
      <c r="A21" s="2" t="s">
        <v>51</v>
      </c>
      <c r="C21" s="18" t="s">
        <v>81</v>
      </c>
    </row>
    <row r="22" spans="1:3" ht="20.100000000000001" customHeight="1" thickBot="1" x14ac:dyDescent="0.25">
      <c r="A22" s="2" t="s">
        <v>11</v>
      </c>
      <c r="C22" s="18" t="s">
        <v>82</v>
      </c>
    </row>
    <row r="23" spans="1:3" ht="20.100000000000001" customHeight="1" thickBot="1" x14ac:dyDescent="0.25">
      <c r="A23" s="2" t="s">
        <v>12</v>
      </c>
      <c r="C23" s="18" t="s">
        <v>83</v>
      </c>
    </row>
    <row r="24" spans="1:3" ht="20.100000000000001" customHeight="1" thickBot="1" x14ac:dyDescent="0.25">
      <c r="A24" s="2" t="s">
        <v>15</v>
      </c>
      <c r="C24" s="18" t="s">
        <v>84</v>
      </c>
    </row>
    <row r="25" spans="1:3" ht="20.100000000000001" customHeight="1" thickBot="1" x14ac:dyDescent="0.25">
      <c r="A25" s="2" t="s">
        <v>28</v>
      </c>
      <c r="C25" s="18" t="s">
        <v>85</v>
      </c>
    </row>
    <row r="26" spans="1:3" ht="20.100000000000001" customHeight="1" thickBot="1" x14ac:dyDescent="0.25">
      <c r="A26" s="2" t="s">
        <v>29</v>
      </c>
      <c r="C26" s="18" t="s">
        <v>86</v>
      </c>
    </row>
    <row r="27" spans="1:3" ht="20.100000000000001" customHeight="1" thickBot="1" x14ac:dyDescent="0.25">
      <c r="A27" s="2" t="s">
        <v>13</v>
      </c>
      <c r="C27" s="18" t="s">
        <v>87</v>
      </c>
    </row>
    <row r="28" spans="1:3" ht="20.100000000000001" customHeight="1" thickBot="1" x14ac:dyDescent="0.25">
      <c r="A28" s="2" t="s">
        <v>30</v>
      </c>
      <c r="C28" s="18" t="s">
        <v>88</v>
      </c>
    </row>
    <row r="29" spans="1:3" ht="20.100000000000001" customHeight="1" thickBot="1" x14ac:dyDescent="0.25">
      <c r="A29" s="2" t="s">
        <v>31</v>
      </c>
      <c r="C29" s="18"/>
    </row>
    <row r="30" spans="1:3" ht="20.100000000000001" customHeight="1" thickBot="1" x14ac:dyDescent="0.25">
      <c r="A30" s="2" t="s">
        <v>32</v>
      </c>
      <c r="C30" s="18"/>
    </row>
    <row r="31" spans="1:3" ht="20.100000000000001" customHeight="1" thickBot="1" x14ac:dyDescent="0.25">
      <c r="A31" s="2" t="s">
        <v>33</v>
      </c>
      <c r="C31" s="18"/>
    </row>
    <row r="32" spans="1:3" ht="20.100000000000001" customHeight="1" thickBot="1" x14ac:dyDescent="0.25">
      <c r="A32" s="2" t="s">
        <v>16</v>
      </c>
      <c r="C32" s="18"/>
    </row>
    <row r="33" spans="1:9" ht="20.100000000000001" customHeight="1" thickBot="1" x14ac:dyDescent="0.25">
      <c r="A33" s="2" t="s">
        <v>14</v>
      </c>
      <c r="C33" s="18"/>
    </row>
    <row r="34" spans="1:9" ht="20.100000000000001" customHeight="1" thickBot="1" x14ac:dyDescent="0.25">
      <c r="A34" s="2" t="s">
        <v>34</v>
      </c>
      <c r="C34" s="18"/>
    </row>
    <row r="35" spans="1:9" ht="20.100000000000001" customHeight="1" x14ac:dyDescent="0.2">
      <c r="A35" s="17"/>
    </row>
    <row r="36" spans="1:9" s="16" customFormat="1" ht="20.100000000000001" customHeight="1" x14ac:dyDescent="0.2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25"/>
    <row r="38" spans="1:9" ht="20.100000000000001" customHeight="1" thickBot="1" x14ac:dyDescent="0.25">
      <c r="A38" s="2" t="s">
        <v>56</v>
      </c>
    </row>
    <row r="39" spans="1:9" ht="20.100000000000001" customHeight="1" thickBot="1" x14ac:dyDescent="0.25">
      <c r="A39" s="12">
        <v>45931</v>
      </c>
    </row>
    <row r="40" spans="1:9" ht="20.100000000000001" customHeight="1" thickBot="1" x14ac:dyDescent="0.25">
      <c r="A40" s="12">
        <v>45932</v>
      </c>
    </row>
    <row r="41" spans="1:9" ht="20.100000000000001" customHeight="1" thickBot="1" x14ac:dyDescent="0.25">
      <c r="A41" s="12">
        <v>45933</v>
      </c>
      <c r="C41" s="37" t="s">
        <v>188</v>
      </c>
    </row>
    <row r="42" spans="1:9" ht="20.100000000000001" customHeight="1" thickBot="1" x14ac:dyDescent="0.25">
      <c r="A42" s="12">
        <v>45934</v>
      </c>
      <c r="C42" s="12" t="s">
        <v>179</v>
      </c>
    </row>
    <row r="43" spans="1:9" ht="20.100000000000001" customHeight="1" thickBot="1" x14ac:dyDescent="0.25">
      <c r="A43" s="12">
        <v>45935</v>
      </c>
      <c r="C43" s="12" t="s">
        <v>180</v>
      </c>
    </row>
    <row r="44" spans="1:9" ht="20.100000000000001" customHeight="1" thickBot="1" x14ac:dyDescent="0.25">
      <c r="A44" s="12">
        <v>45936</v>
      </c>
      <c r="C44" s="12" t="s">
        <v>181</v>
      </c>
    </row>
    <row r="45" spans="1:9" ht="20.100000000000001" customHeight="1" thickBot="1" x14ac:dyDescent="0.25">
      <c r="A45" s="12">
        <v>45937</v>
      </c>
      <c r="C45" s="12" t="s">
        <v>182</v>
      </c>
    </row>
    <row r="46" spans="1:9" ht="20.100000000000001" customHeight="1" thickBot="1" x14ac:dyDescent="0.25">
      <c r="A46" s="12">
        <v>45938</v>
      </c>
      <c r="C46" s="12" t="s">
        <v>183</v>
      </c>
    </row>
    <row r="47" spans="1:9" ht="20.100000000000001" customHeight="1" thickBot="1" x14ac:dyDescent="0.25">
      <c r="A47" s="12">
        <v>45939</v>
      </c>
      <c r="C47" s="12" t="s">
        <v>184</v>
      </c>
    </row>
    <row r="48" spans="1:9" ht="20.100000000000001" customHeight="1" thickBot="1" x14ac:dyDescent="0.25">
      <c r="A48" s="12">
        <v>45940</v>
      </c>
    </row>
    <row r="49" spans="1:3" ht="20.100000000000001" customHeight="1" thickBot="1" x14ac:dyDescent="0.25">
      <c r="A49" s="12">
        <v>45941</v>
      </c>
    </row>
    <row r="50" spans="1:3" ht="20.100000000000001" customHeight="1" thickBot="1" x14ac:dyDescent="0.3">
      <c r="A50" s="12">
        <v>45942</v>
      </c>
      <c r="C50" s="38" t="s">
        <v>185</v>
      </c>
    </row>
    <row r="51" spans="1:3" ht="20.100000000000001" customHeight="1" thickBot="1" x14ac:dyDescent="0.3">
      <c r="A51" s="12">
        <v>45943</v>
      </c>
      <c r="C51" s="38">
        <v>1</v>
      </c>
    </row>
    <row r="52" spans="1:3" ht="20.100000000000001" customHeight="1" thickBot="1" x14ac:dyDescent="0.3">
      <c r="A52" s="12">
        <v>45944</v>
      </c>
      <c r="C52" s="38">
        <v>2</v>
      </c>
    </row>
    <row r="53" spans="1:3" ht="20.100000000000001" customHeight="1" thickBot="1" x14ac:dyDescent="0.3">
      <c r="A53" s="12">
        <v>45945</v>
      </c>
      <c r="C53" s="38">
        <v>3</v>
      </c>
    </row>
    <row r="54" spans="1:3" ht="20.100000000000001" customHeight="1" thickBot="1" x14ac:dyDescent="0.3">
      <c r="A54" s="12">
        <v>45946</v>
      </c>
      <c r="C54" s="38">
        <v>4</v>
      </c>
    </row>
    <row r="55" spans="1:3" ht="20.100000000000001" customHeight="1" thickBot="1" x14ac:dyDescent="0.3">
      <c r="A55" s="12">
        <v>45947</v>
      </c>
      <c r="C55" s="38">
        <v>5</v>
      </c>
    </row>
    <row r="56" spans="1:3" ht="20.100000000000001" customHeight="1" thickBot="1" x14ac:dyDescent="0.3">
      <c r="A56" s="12">
        <v>45948</v>
      </c>
      <c r="C56" s="38">
        <v>6</v>
      </c>
    </row>
    <row r="57" spans="1:3" ht="20.100000000000001" customHeight="1" thickBot="1" x14ac:dyDescent="0.3">
      <c r="A57" s="12">
        <v>45949</v>
      </c>
      <c r="C57" s="38">
        <v>7</v>
      </c>
    </row>
    <row r="58" spans="1:3" ht="20.100000000000001" customHeight="1" thickBot="1" x14ac:dyDescent="0.3">
      <c r="A58" s="12">
        <v>45950</v>
      </c>
      <c r="C58" s="38">
        <v>8</v>
      </c>
    </row>
    <row r="59" spans="1:3" ht="20.100000000000001" customHeight="1" thickBot="1" x14ac:dyDescent="0.3">
      <c r="A59" s="12">
        <v>45951</v>
      </c>
      <c r="C59" s="38">
        <v>9</v>
      </c>
    </row>
    <row r="60" spans="1:3" ht="20.100000000000001" customHeight="1" thickBot="1" x14ac:dyDescent="0.3">
      <c r="A60" s="12">
        <v>45952</v>
      </c>
      <c r="C60" s="38">
        <v>10</v>
      </c>
    </row>
    <row r="61" spans="1:3" ht="20.100000000000001" customHeight="1" thickBot="1" x14ac:dyDescent="0.3">
      <c r="A61" s="12">
        <v>45953</v>
      </c>
      <c r="C61" s="38">
        <v>11</v>
      </c>
    </row>
    <row r="62" spans="1:3" ht="20.100000000000001" customHeight="1" thickBot="1" x14ac:dyDescent="0.3">
      <c r="A62" s="12">
        <v>45954</v>
      </c>
      <c r="C62" s="38">
        <v>12</v>
      </c>
    </row>
    <row r="63" spans="1:3" ht="20.100000000000001" customHeight="1" thickBot="1" x14ac:dyDescent="0.3">
      <c r="A63" s="12">
        <v>45955</v>
      </c>
      <c r="C63" s="38">
        <v>13</v>
      </c>
    </row>
    <row r="64" spans="1:3" ht="20.100000000000001" customHeight="1" thickBot="1" x14ac:dyDescent="0.3">
      <c r="A64" s="12">
        <v>45956</v>
      </c>
      <c r="C64" s="38">
        <v>14</v>
      </c>
    </row>
    <row r="65" spans="1:9" ht="20.100000000000001" customHeight="1" thickBot="1" x14ac:dyDescent="0.3">
      <c r="A65" s="12">
        <v>45957</v>
      </c>
      <c r="C65" s="38">
        <v>15</v>
      </c>
    </row>
    <row r="66" spans="1:9" ht="20.100000000000001" customHeight="1" thickBot="1" x14ac:dyDescent="0.3">
      <c r="A66" s="12">
        <v>45958</v>
      </c>
      <c r="C66" s="38">
        <v>16</v>
      </c>
    </row>
    <row r="67" spans="1:9" ht="20.100000000000001" customHeight="1" thickBot="1" x14ac:dyDescent="0.3">
      <c r="A67" s="12">
        <v>45959</v>
      </c>
      <c r="C67" s="38">
        <v>17</v>
      </c>
    </row>
    <row r="68" spans="1:9" ht="20.100000000000001" customHeight="1" thickBot="1" x14ac:dyDescent="0.3">
      <c r="A68" s="12">
        <v>45960</v>
      </c>
      <c r="C68" s="38">
        <v>18</v>
      </c>
    </row>
    <row r="69" spans="1:9" ht="20.100000000000001" customHeight="1" thickBot="1" x14ac:dyDescent="0.3">
      <c r="A69" s="12">
        <v>45961</v>
      </c>
      <c r="C69" s="38">
        <v>19</v>
      </c>
    </row>
    <row r="70" spans="1:9" ht="20.100000000000001" customHeight="1" x14ac:dyDescent="0.25">
      <c r="A70" s="13"/>
      <c r="C70" s="38">
        <v>20</v>
      </c>
    </row>
    <row r="71" spans="1:9" ht="20.100000000000001" customHeight="1" x14ac:dyDescent="0.25">
      <c r="A71" s="13"/>
      <c r="C71" s="38">
        <v>21</v>
      </c>
    </row>
    <row r="72" spans="1:9" s="16" customFormat="1" ht="20.100000000000001" customHeight="1" x14ac:dyDescent="0.25">
      <c r="A72" s="14"/>
      <c r="B72" s="15"/>
      <c r="C72" s="38">
        <v>22</v>
      </c>
      <c r="D72" s="15"/>
      <c r="E72" s="15"/>
      <c r="F72" s="15"/>
      <c r="G72" s="15"/>
      <c r="H72" s="15"/>
      <c r="I72" s="15"/>
    </row>
    <row r="73" spans="1:9" ht="20.100000000000001" customHeight="1" thickBot="1" x14ac:dyDescent="0.3">
      <c r="C73" s="38">
        <v>23</v>
      </c>
    </row>
    <row r="74" spans="1:9" ht="20.100000000000001" customHeight="1" thickBot="1" x14ac:dyDescent="0.3">
      <c r="A74" s="2" t="s">
        <v>61</v>
      </c>
      <c r="C74" s="38">
        <v>24</v>
      </c>
    </row>
    <row r="75" spans="1:9" ht="20.100000000000001" customHeight="1" thickBot="1" x14ac:dyDescent="0.3">
      <c r="A75" s="2" t="s">
        <v>17</v>
      </c>
      <c r="C75" s="38">
        <v>25</v>
      </c>
    </row>
    <row r="76" spans="1:9" ht="20.100000000000001" customHeight="1" thickBot="1" x14ac:dyDescent="0.3">
      <c r="A76" s="2">
        <v>0</v>
      </c>
      <c r="C76" s="38">
        <v>26</v>
      </c>
    </row>
    <row r="77" spans="1:9" ht="20.100000000000001" customHeight="1" thickBot="1" x14ac:dyDescent="0.3">
      <c r="A77" s="2">
        <v>0.25</v>
      </c>
      <c r="C77" s="38">
        <v>27</v>
      </c>
    </row>
    <row r="78" spans="1:9" ht="20.100000000000001" customHeight="1" thickBot="1" x14ac:dyDescent="0.3">
      <c r="A78" s="2">
        <v>0.5</v>
      </c>
      <c r="C78" s="38">
        <v>28</v>
      </c>
    </row>
    <row r="79" spans="1:9" ht="20.100000000000001" customHeight="1" thickBot="1" x14ac:dyDescent="0.3">
      <c r="A79" s="2">
        <v>0.75</v>
      </c>
      <c r="C79" s="38">
        <v>29</v>
      </c>
    </row>
    <row r="80" spans="1:9" ht="20.100000000000001" customHeight="1" thickBot="1" x14ac:dyDescent="0.3">
      <c r="A80" s="2">
        <v>1</v>
      </c>
      <c r="C80" s="38">
        <v>30</v>
      </c>
    </row>
    <row r="81" spans="1:3" ht="20.100000000000001" customHeight="1" thickBot="1" x14ac:dyDescent="0.3">
      <c r="A81" s="2">
        <v>1.25</v>
      </c>
      <c r="C81" s="38">
        <v>31</v>
      </c>
    </row>
    <row r="82" spans="1:3" ht="20.100000000000001" customHeight="1" thickBot="1" x14ac:dyDescent="0.3">
      <c r="A82" s="2">
        <v>1.5</v>
      </c>
      <c r="C82" s="38">
        <v>32</v>
      </c>
    </row>
    <row r="83" spans="1:3" ht="20.100000000000001" customHeight="1" thickBot="1" x14ac:dyDescent="0.3">
      <c r="A83" s="2">
        <v>1.75</v>
      </c>
      <c r="C83" s="38">
        <v>33</v>
      </c>
    </row>
    <row r="84" spans="1:3" ht="20.100000000000001" customHeight="1" thickBot="1" x14ac:dyDescent="0.3">
      <c r="A84" s="2">
        <v>2</v>
      </c>
      <c r="C84" s="38">
        <v>34</v>
      </c>
    </row>
    <row r="85" spans="1:3" ht="20.100000000000001" customHeight="1" thickBot="1" x14ac:dyDescent="0.3">
      <c r="A85" s="2">
        <v>2.25</v>
      </c>
      <c r="C85" s="38">
        <v>35</v>
      </c>
    </row>
    <row r="86" spans="1:3" ht="20.100000000000001" customHeight="1" thickBot="1" x14ac:dyDescent="0.3">
      <c r="A86" s="2">
        <v>2.5</v>
      </c>
      <c r="C86" s="38">
        <v>36</v>
      </c>
    </row>
    <row r="87" spans="1:3" ht="20.100000000000001" customHeight="1" thickBot="1" x14ac:dyDescent="0.3">
      <c r="A87" s="2">
        <v>2.75</v>
      </c>
      <c r="C87" s="38">
        <v>37</v>
      </c>
    </row>
    <row r="88" spans="1:3" ht="20.100000000000001" customHeight="1" thickBot="1" x14ac:dyDescent="0.3">
      <c r="A88" s="2">
        <v>3</v>
      </c>
      <c r="C88" s="38">
        <v>38</v>
      </c>
    </row>
    <row r="89" spans="1:3" ht="20.100000000000001" customHeight="1" thickBot="1" x14ac:dyDescent="0.3">
      <c r="A89" s="2">
        <v>3.25</v>
      </c>
      <c r="C89" s="38">
        <v>39</v>
      </c>
    </row>
    <row r="90" spans="1:3" ht="20.100000000000001" customHeight="1" thickBot="1" x14ac:dyDescent="0.3">
      <c r="A90" s="2">
        <v>3.5</v>
      </c>
      <c r="C90" s="38">
        <v>40</v>
      </c>
    </row>
    <row r="91" spans="1:3" ht="20.100000000000001" customHeight="1" thickBot="1" x14ac:dyDescent="0.3">
      <c r="A91" s="2">
        <v>3.75</v>
      </c>
      <c r="C91" s="38">
        <v>41</v>
      </c>
    </row>
    <row r="92" spans="1:3" ht="20.100000000000001" customHeight="1" thickBot="1" x14ac:dyDescent="0.3">
      <c r="A92" s="2">
        <v>4</v>
      </c>
      <c r="C92" s="38">
        <v>42</v>
      </c>
    </row>
    <row r="93" spans="1:3" ht="20.100000000000001" customHeight="1" thickBot="1" x14ac:dyDescent="0.3">
      <c r="A93" s="2">
        <v>4.25</v>
      </c>
      <c r="C93" s="38">
        <v>43</v>
      </c>
    </row>
    <row r="94" spans="1:3" ht="20.100000000000001" customHeight="1" thickBot="1" x14ac:dyDescent="0.3">
      <c r="A94" s="2">
        <v>4.5</v>
      </c>
      <c r="C94" s="38">
        <v>44</v>
      </c>
    </row>
    <row r="95" spans="1:3" ht="20.100000000000001" customHeight="1" thickBot="1" x14ac:dyDescent="0.3">
      <c r="A95" s="2">
        <v>4.75</v>
      </c>
      <c r="C95" s="38">
        <v>45</v>
      </c>
    </row>
    <row r="96" spans="1:3" ht="20.100000000000001" customHeight="1" thickBot="1" x14ac:dyDescent="0.3">
      <c r="A96" s="2">
        <v>5</v>
      </c>
      <c r="C96" s="38">
        <v>46</v>
      </c>
    </row>
    <row r="97" spans="1:3" ht="20.100000000000001" customHeight="1" thickBot="1" x14ac:dyDescent="0.3">
      <c r="A97" s="2">
        <v>5.25</v>
      </c>
      <c r="C97" s="38">
        <v>47</v>
      </c>
    </row>
    <row r="98" spans="1:3" ht="20.100000000000001" customHeight="1" thickBot="1" x14ac:dyDescent="0.3">
      <c r="A98" s="2">
        <v>5.5</v>
      </c>
      <c r="C98" s="38">
        <v>48</v>
      </c>
    </row>
    <row r="99" spans="1:3" ht="20.100000000000001" customHeight="1" thickBot="1" x14ac:dyDescent="0.3">
      <c r="A99" s="2">
        <v>5.75</v>
      </c>
      <c r="C99" s="38">
        <v>49</v>
      </c>
    </row>
    <row r="100" spans="1:3" ht="20.100000000000001" customHeight="1" thickBot="1" x14ac:dyDescent="0.3">
      <c r="A100" s="2">
        <v>6</v>
      </c>
      <c r="C100" s="38">
        <v>50</v>
      </c>
    </row>
    <row r="101" spans="1:3" ht="20.100000000000001" customHeight="1" thickBot="1" x14ac:dyDescent="0.3">
      <c r="A101" s="2">
        <v>6.25</v>
      </c>
      <c r="C101" s="38">
        <v>51</v>
      </c>
    </row>
    <row r="102" spans="1:3" ht="20.100000000000001" customHeight="1" thickBot="1" x14ac:dyDescent="0.3">
      <c r="A102" s="2">
        <v>6.5</v>
      </c>
      <c r="C102" s="38">
        <v>52</v>
      </c>
    </row>
    <row r="103" spans="1:3" ht="20.100000000000001" customHeight="1" thickBot="1" x14ac:dyDescent="0.3">
      <c r="A103" s="2">
        <v>6.75</v>
      </c>
      <c r="C103" s="38">
        <v>53</v>
      </c>
    </row>
    <row r="104" spans="1:3" ht="20.100000000000001" customHeight="1" thickBot="1" x14ac:dyDescent="0.3">
      <c r="A104" s="2">
        <v>7</v>
      </c>
      <c r="C104" s="38">
        <v>54</v>
      </c>
    </row>
    <row r="105" spans="1:3" ht="20.100000000000001" customHeight="1" thickBot="1" x14ac:dyDescent="0.3">
      <c r="A105" s="2">
        <v>7.25</v>
      </c>
      <c r="C105" s="38">
        <v>55</v>
      </c>
    </row>
    <row r="106" spans="1:3" ht="20.100000000000001" customHeight="1" thickBot="1" x14ac:dyDescent="0.3">
      <c r="A106" s="2">
        <v>7.5</v>
      </c>
      <c r="C106" s="38">
        <v>56</v>
      </c>
    </row>
    <row r="107" spans="1:3" ht="20.100000000000001" customHeight="1" thickBot="1" x14ac:dyDescent="0.3">
      <c r="A107" s="2">
        <v>7.75</v>
      </c>
      <c r="C107" s="38">
        <v>57</v>
      </c>
    </row>
    <row r="108" spans="1:3" ht="20.100000000000001" customHeight="1" thickBot="1" x14ac:dyDescent="0.3">
      <c r="A108" s="2">
        <v>8</v>
      </c>
      <c r="C108" s="38">
        <v>58</v>
      </c>
    </row>
    <row r="109" spans="1:3" ht="20.100000000000001" customHeight="1" thickBot="1" x14ac:dyDescent="0.3">
      <c r="A109" s="2">
        <v>8.25</v>
      </c>
      <c r="C109" s="38">
        <v>59</v>
      </c>
    </row>
    <row r="110" spans="1:3" ht="20.100000000000001" customHeight="1" thickBot="1" x14ac:dyDescent="0.3">
      <c r="A110" s="2">
        <v>8.5</v>
      </c>
      <c r="C110" s="38">
        <v>60</v>
      </c>
    </row>
    <row r="111" spans="1:3" ht="20.100000000000001" customHeight="1" thickBot="1" x14ac:dyDescent="0.3">
      <c r="A111" s="2">
        <v>8.75</v>
      </c>
      <c r="C111" s="38">
        <v>61</v>
      </c>
    </row>
    <row r="112" spans="1:3" ht="20.100000000000001" customHeight="1" thickBot="1" x14ac:dyDescent="0.3">
      <c r="A112" s="2">
        <v>9</v>
      </c>
      <c r="C112" s="38">
        <v>62</v>
      </c>
    </row>
    <row r="113" spans="1:3" ht="20.100000000000001" customHeight="1" thickBot="1" x14ac:dyDescent="0.3">
      <c r="A113" s="2">
        <v>9.25</v>
      </c>
      <c r="C113" s="38">
        <v>63</v>
      </c>
    </row>
    <row r="114" spans="1:3" ht="20.100000000000001" customHeight="1" thickBot="1" x14ac:dyDescent="0.3">
      <c r="A114" s="2">
        <v>9.5</v>
      </c>
      <c r="C114" s="38">
        <v>64</v>
      </c>
    </row>
    <row r="115" spans="1:3" ht="20.100000000000001" customHeight="1" thickBot="1" x14ac:dyDescent="0.3">
      <c r="A115" s="2">
        <v>9.75</v>
      </c>
      <c r="C115" s="38">
        <v>65</v>
      </c>
    </row>
    <row r="116" spans="1:3" ht="20.100000000000001" customHeight="1" thickBot="1" x14ac:dyDescent="0.3">
      <c r="A116" s="2">
        <v>10</v>
      </c>
      <c r="C116" s="38">
        <v>66</v>
      </c>
    </row>
    <row r="117" spans="1:3" ht="20.100000000000001" customHeight="1" thickBot="1" x14ac:dyDescent="0.3">
      <c r="A117" s="2">
        <v>10.25</v>
      </c>
      <c r="C117" s="38">
        <v>67</v>
      </c>
    </row>
    <row r="118" spans="1:3" ht="20.100000000000001" customHeight="1" thickBot="1" x14ac:dyDescent="0.3">
      <c r="A118" s="2">
        <v>10.5</v>
      </c>
      <c r="C118" s="38">
        <v>68</v>
      </c>
    </row>
    <row r="119" spans="1:3" ht="20.100000000000001" customHeight="1" thickBot="1" x14ac:dyDescent="0.3">
      <c r="A119" s="2">
        <v>10.75</v>
      </c>
      <c r="C119" s="38">
        <v>69</v>
      </c>
    </row>
    <row r="120" spans="1:3" ht="20.100000000000001" customHeight="1" thickBot="1" x14ac:dyDescent="0.3">
      <c r="A120" s="2">
        <v>11</v>
      </c>
      <c r="C120" s="38">
        <v>70</v>
      </c>
    </row>
    <row r="121" spans="1:3" ht="20.100000000000001" customHeight="1" thickBot="1" x14ac:dyDescent="0.3">
      <c r="A121" s="2">
        <v>11.25</v>
      </c>
      <c r="C121" s="38">
        <v>71</v>
      </c>
    </row>
    <row r="122" spans="1:3" ht="20.100000000000001" customHeight="1" thickBot="1" x14ac:dyDescent="0.3">
      <c r="A122" s="2">
        <v>11.5</v>
      </c>
      <c r="C122" s="38">
        <v>72</v>
      </c>
    </row>
    <row r="123" spans="1:3" ht="20.100000000000001" customHeight="1" thickBot="1" x14ac:dyDescent="0.3">
      <c r="A123" s="2">
        <v>11.75</v>
      </c>
      <c r="C123" s="38">
        <v>73</v>
      </c>
    </row>
    <row r="124" spans="1:3" ht="20.100000000000001" customHeight="1" thickBot="1" x14ac:dyDescent="0.3">
      <c r="A124" s="2">
        <v>12</v>
      </c>
      <c r="C124" s="38">
        <v>74</v>
      </c>
    </row>
    <row r="125" spans="1:3" ht="20.100000000000001" customHeight="1" thickBot="1" x14ac:dyDescent="0.3">
      <c r="A125" s="2">
        <v>12.25</v>
      </c>
      <c r="C125" s="38">
        <v>75</v>
      </c>
    </row>
    <row r="126" spans="1:3" ht="20.100000000000001" customHeight="1" thickBot="1" x14ac:dyDescent="0.3">
      <c r="A126" s="2">
        <v>12.5</v>
      </c>
      <c r="C126" s="38">
        <v>76</v>
      </c>
    </row>
    <row r="127" spans="1:3" ht="20.100000000000001" customHeight="1" thickBot="1" x14ac:dyDescent="0.3">
      <c r="A127" s="2">
        <v>12.75</v>
      </c>
      <c r="C127" s="38">
        <v>77</v>
      </c>
    </row>
    <row r="128" spans="1:3" ht="20.100000000000001" customHeight="1" thickBot="1" x14ac:dyDescent="0.3">
      <c r="A128" s="2">
        <v>13</v>
      </c>
      <c r="C128" s="38">
        <v>78</v>
      </c>
    </row>
    <row r="129" spans="1:3" ht="20.100000000000001" customHeight="1" thickBot="1" x14ac:dyDescent="0.3">
      <c r="A129" s="2">
        <v>13.25</v>
      </c>
      <c r="C129" s="38">
        <v>79</v>
      </c>
    </row>
    <row r="130" spans="1:3" ht="20.100000000000001" customHeight="1" thickBot="1" x14ac:dyDescent="0.3">
      <c r="A130" s="2">
        <v>13.5</v>
      </c>
      <c r="C130" s="38">
        <v>80</v>
      </c>
    </row>
    <row r="131" spans="1:3" ht="20.100000000000001" customHeight="1" thickBot="1" x14ac:dyDescent="0.3">
      <c r="A131" s="2">
        <v>13.75</v>
      </c>
      <c r="C131" s="38">
        <v>81</v>
      </c>
    </row>
    <row r="132" spans="1:3" ht="20.100000000000001" customHeight="1" thickBot="1" x14ac:dyDescent="0.3">
      <c r="A132" s="2">
        <v>14</v>
      </c>
      <c r="C132" s="38">
        <v>82</v>
      </c>
    </row>
    <row r="133" spans="1:3" ht="20.100000000000001" customHeight="1" thickBot="1" x14ac:dyDescent="0.3">
      <c r="A133" s="2">
        <v>14.25</v>
      </c>
      <c r="C133" s="38">
        <v>83</v>
      </c>
    </row>
    <row r="134" spans="1:3" ht="20.100000000000001" customHeight="1" thickBot="1" x14ac:dyDescent="0.3">
      <c r="A134" s="2">
        <v>14.5</v>
      </c>
      <c r="C134" s="38">
        <v>84</v>
      </c>
    </row>
    <row r="135" spans="1:3" ht="20.100000000000001" customHeight="1" thickBot="1" x14ac:dyDescent="0.3">
      <c r="A135" s="2">
        <v>14.75</v>
      </c>
      <c r="C135" s="38">
        <v>85</v>
      </c>
    </row>
    <row r="136" spans="1:3" ht="20.100000000000001" customHeight="1" thickBot="1" x14ac:dyDescent="0.3">
      <c r="A136" s="2">
        <v>15</v>
      </c>
      <c r="C136" s="38">
        <v>86</v>
      </c>
    </row>
    <row r="137" spans="1:3" ht="20.100000000000001" customHeight="1" thickBot="1" x14ac:dyDescent="0.3">
      <c r="A137" s="2">
        <v>15.25</v>
      </c>
      <c r="C137" s="38">
        <v>87</v>
      </c>
    </row>
    <row r="138" spans="1:3" ht="20.100000000000001" customHeight="1" thickBot="1" x14ac:dyDescent="0.3">
      <c r="A138" s="2">
        <v>15.5</v>
      </c>
      <c r="C138" s="38">
        <v>88</v>
      </c>
    </row>
    <row r="139" spans="1:3" ht="20.100000000000001" customHeight="1" thickBot="1" x14ac:dyDescent="0.3">
      <c r="A139" s="2">
        <v>15.75</v>
      </c>
      <c r="C139" s="38">
        <v>89</v>
      </c>
    </row>
    <row r="140" spans="1:3" ht="20.100000000000001" customHeight="1" thickBot="1" x14ac:dyDescent="0.3">
      <c r="A140" s="2">
        <v>16</v>
      </c>
      <c r="C140" s="38">
        <v>90</v>
      </c>
    </row>
    <row r="141" spans="1:3" ht="20.100000000000001" customHeight="1" thickBot="1" x14ac:dyDescent="0.3">
      <c r="A141" s="2">
        <v>16.25</v>
      </c>
      <c r="C141" s="38">
        <v>91</v>
      </c>
    </row>
    <row r="142" spans="1:3" ht="20.100000000000001" customHeight="1" thickBot="1" x14ac:dyDescent="0.3">
      <c r="A142" s="2">
        <v>16.5</v>
      </c>
      <c r="C142" s="38">
        <v>92</v>
      </c>
    </row>
    <row r="143" spans="1:3" ht="20.100000000000001" customHeight="1" thickBot="1" x14ac:dyDescent="0.3">
      <c r="A143" s="2">
        <v>16.75</v>
      </c>
      <c r="C143" s="38">
        <v>93</v>
      </c>
    </row>
    <row r="144" spans="1:3" ht="20.100000000000001" customHeight="1" thickBot="1" x14ac:dyDescent="0.3">
      <c r="A144" s="2">
        <v>17</v>
      </c>
      <c r="C144" s="38">
        <v>94</v>
      </c>
    </row>
    <row r="145" spans="1:3" ht="20.100000000000001" customHeight="1" thickBot="1" x14ac:dyDescent="0.3">
      <c r="A145" s="2">
        <v>17.25</v>
      </c>
      <c r="C145" s="38">
        <v>95</v>
      </c>
    </row>
    <row r="146" spans="1:3" ht="20.100000000000001" customHeight="1" thickBot="1" x14ac:dyDescent="0.3">
      <c r="A146" s="2">
        <v>17.5</v>
      </c>
      <c r="C146" s="38">
        <v>96</v>
      </c>
    </row>
    <row r="147" spans="1:3" ht="20.100000000000001" customHeight="1" thickBot="1" x14ac:dyDescent="0.3">
      <c r="A147" s="2">
        <v>17.75</v>
      </c>
      <c r="C147" s="38">
        <v>97</v>
      </c>
    </row>
    <row r="148" spans="1:3" ht="20.100000000000001" customHeight="1" thickBot="1" x14ac:dyDescent="0.3">
      <c r="A148" s="2">
        <v>18</v>
      </c>
      <c r="C148" s="38">
        <v>98</v>
      </c>
    </row>
    <row r="149" spans="1:3" ht="20.100000000000001" customHeight="1" thickBot="1" x14ac:dyDescent="0.3">
      <c r="A149" s="2">
        <v>18.25</v>
      </c>
      <c r="C149" s="38">
        <v>99</v>
      </c>
    </row>
    <row r="150" spans="1:3" ht="20.100000000000001" customHeight="1" thickBot="1" x14ac:dyDescent="0.3">
      <c r="A150" s="2">
        <v>18.5</v>
      </c>
      <c r="C150" s="38">
        <v>100</v>
      </c>
    </row>
    <row r="151" spans="1:3" ht="20.100000000000001" customHeight="1" thickBot="1" x14ac:dyDescent="0.25">
      <c r="A151" s="2">
        <v>18.75</v>
      </c>
    </row>
    <row r="152" spans="1:3" ht="20.100000000000001" customHeight="1" thickBot="1" x14ac:dyDescent="0.25">
      <c r="A152" s="2">
        <v>19</v>
      </c>
    </row>
    <row r="153" spans="1:3" ht="20.100000000000001" customHeight="1" thickBot="1" x14ac:dyDescent="0.25">
      <c r="A153" s="2">
        <v>19.25</v>
      </c>
    </row>
    <row r="154" spans="1:3" ht="20.100000000000001" customHeight="1" thickBot="1" x14ac:dyDescent="0.25">
      <c r="A154" s="2">
        <v>19.5</v>
      </c>
    </row>
    <row r="155" spans="1:3" ht="20.100000000000001" customHeight="1" thickBot="1" x14ac:dyDescent="0.25">
      <c r="A155" s="2">
        <v>19.75</v>
      </c>
    </row>
    <row r="156" spans="1:3" ht="20.100000000000001" customHeight="1" thickBot="1" x14ac:dyDescent="0.25">
      <c r="A156" s="2">
        <v>20</v>
      </c>
    </row>
    <row r="160" spans="1:3" ht="20.100000000000001" customHeight="1" thickBot="1" x14ac:dyDescent="0.25"/>
    <row r="161" spans="1:1" ht="20.100000000000001" customHeight="1" thickBot="1" x14ac:dyDescent="0.25">
      <c r="A161" s="2" t="s">
        <v>59</v>
      </c>
    </row>
    <row r="162" spans="1:1" ht="20.100000000000001" customHeight="1" x14ac:dyDescent="0.2">
      <c r="A162" s="19" t="s">
        <v>89</v>
      </c>
    </row>
    <row r="163" spans="1:1" ht="20.100000000000001" customHeight="1" x14ac:dyDescent="0.2">
      <c r="A163" s="19" t="s">
        <v>90</v>
      </c>
    </row>
    <row r="164" spans="1:1" ht="20.100000000000001" customHeight="1" x14ac:dyDescent="0.2">
      <c r="A164" s="19" t="s">
        <v>91</v>
      </c>
    </row>
    <row r="165" spans="1:1" ht="20.100000000000001" customHeight="1" x14ac:dyDescent="0.2">
      <c r="A165" s="19" t="s">
        <v>92</v>
      </c>
    </row>
    <row r="166" spans="1:1" ht="20.100000000000001" customHeight="1" x14ac:dyDescent="0.2">
      <c r="A166" s="19" t="s">
        <v>93</v>
      </c>
    </row>
    <row r="167" spans="1:1" ht="20.100000000000001" customHeight="1" x14ac:dyDescent="0.2">
      <c r="A167" s="19" t="s">
        <v>94</v>
      </c>
    </row>
    <row r="168" spans="1:1" ht="20.100000000000001" customHeight="1" x14ac:dyDescent="0.2">
      <c r="A168" s="19" t="s">
        <v>95</v>
      </c>
    </row>
    <row r="169" spans="1:1" ht="20.100000000000001" customHeight="1" x14ac:dyDescent="0.2">
      <c r="A169" s="19" t="s">
        <v>96</v>
      </c>
    </row>
    <row r="170" spans="1:1" ht="20.100000000000001" customHeight="1" x14ac:dyDescent="0.2">
      <c r="A170" s="19" t="s">
        <v>97</v>
      </c>
    </row>
    <row r="171" spans="1:1" ht="20.100000000000001" customHeight="1" x14ac:dyDescent="0.2">
      <c r="A171" s="20" t="s">
        <v>98</v>
      </c>
    </row>
    <row r="172" spans="1:1" ht="20.100000000000001" customHeight="1" x14ac:dyDescent="0.2">
      <c r="A172" s="20" t="s">
        <v>99</v>
      </c>
    </row>
    <row r="173" spans="1:1" ht="20.100000000000001" customHeight="1" x14ac:dyDescent="0.2">
      <c r="A173" s="19" t="s">
        <v>100</v>
      </c>
    </row>
    <row r="174" spans="1:1" ht="20.100000000000001" customHeight="1" x14ac:dyDescent="0.2">
      <c r="A174" s="19" t="s">
        <v>101</v>
      </c>
    </row>
    <row r="175" spans="1:1" ht="20.100000000000001" customHeight="1" x14ac:dyDescent="0.2">
      <c r="A175" s="19" t="s">
        <v>102</v>
      </c>
    </row>
    <row r="176" spans="1:1" ht="20.100000000000001" customHeight="1" x14ac:dyDescent="0.2">
      <c r="A176" s="19" t="s">
        <v>103</v>
      </c>
    </row>
    <row r="177" spans="1:1" ht="20.100000000000001" customHeight="1" x14ac:dyDescent="0.2">
      <c r="A177" s="19" t="s">
        <v>104</v>
      </c>
    </row>
    <row r="178" spans="1:1" ht="20.100000000000001" customHeight="1" x14ac:dyDescent="0.2">
      <c r="A178" s="19" t="s">
        <v>105</v>
      </c>
    </row>
    <row r="179" spans="1:1" ht="20.100000000000001" customHeight="1" x14ac:dyDescent="0.2">
      <c r="A179" s="19" t="s">
        <v>106</v>
      </c>
    </row>
    <row r="180" spans="1:1" ht="20.100000000000001" customHeight="1" x14ac:dyDescent="0.2">
      <c r="A180" s="19" t="s">
        <v>107</v>
      </c>
    </row>
    <row r="181" spans="1:1" ht="20.100000000000001" customHeight="1" x14ac:dyDescent="0.2">
      <c r="A181" s="19" t="s">
        <v>108</v>
      </c>
    </row>
    <row r="182" spans="1:1" ht="20.100000000000001" customHeight="1" x14ac:dyDescent="0.2">
      <c r="A182" s="19" t="s">
        <v>109</v>
      </c>
    </row>
    <row r="183" spans="1:1" ht="20.100000000000001" customHeight="1" x14ac:dyDescent="0.2">
      <c r="A183" s="19" t="s">
        <v>110</v>
      </c>
    </row>
    <row r="184" spans="1:1" ht="20.100000000000001" customHeight="1" x14ac:dyDescent="0.2">
      <c r="A184" s="19" t="s">
        <v>111</v>
      </c>
    </row>
    <row r="185" spans="1:1" ht="20.100000000000001" customHeight="1" x14ac:dyDescent="0.2">
      <c r="A185" s="19" t="s">
        <v>112</v>
      </c>
    </row>
    <row r="186" spans="1:1" ht="20.100000000000001" customHeight="1" x14ac:dyDescent="0.2">
      <c r="A186" s="19" t="s">
        <v>113</v>
      </c>
    </row>
    <row r="187" spans="1:1" ht="20.100000000000001" customHeight="1" x14ac:dyDescent="0.2">
      <c r="A187" s="19" t="s">
        <v>114</v>
      </c>
    </row>
    <row r="188" spans="1:1" ht="20.100000000000001" customHeight="1" x14ac:dyDescent="0.2">
      <c r="A188" s="19" t="s">
        <v>115</v>
      </c>
    </row>
    <row r="189" spans="1:1" ht="20.100000000000001" customHeight="1" x14ac:dyDescent="0.2">
      <c r="A189" s="19" t="s">
        <v>116</v>
      </c>
    </row>
    <row r="190" spans="1:1" ht="20.100000000000001" customHeight="1" x14ac:dyDescent="0.2">
      <c r="A190" s="19" t="s">
        <v>117</v>
      </c>
    </row>
    <row r="191" spans="1:1" ht="20.100000000000001" customHeight="1" x14ac:dyDescent="0.2">
      <c r="A191" s="19" t="s">
        <v>118</v>
      </c>
    </row>
    <row r="192" spans="1:1" ht="20.100000000000001" customHeight="1" x14ac:dyDescent="0.2">
      <c r="A192" s="19" t="s">
        <v>119</v>
      </c>
    </row>
    <row r="193" spans="1:1" ht="20.100000000000001" customHeight="1" x14ac:dyDescent="0.2">
      <c r="A193" s="19" t="s">
        <v>120</v>
      </c>
    </row>
    <row r="194" spans="1:1" ht="20.100000000000001" customHeight="1" x14ac:dyDescent="0.2">
      <c r="A194" s="19" t="s">
        <v>121</v>
      </c>
    </row>
    <row r="195" spans="1:1" ht="20.100000000000001" customHeight="1" x14ac:dyDescent="0.2">
      <c r="A195" s="19" t="s">
        <v>122</v>
      </c>
    </row>
    <row r="196" spans="1:1" ht="20.100000000000001" customHeight="1" x14ac:dyDescent="0.2">
      <c r="A196" s="19" t="s">
        <v>123</v>
      </c>
    </row>
    <row r="197" spans="1:1" ht="20.100000000000001" customHeight="1" x14ac:dyDescent="0.2">
      <c r="A197" s="19" t="s">
        <v>124</v>
      </c>
    </row>
    <row r="198" spans="1:1" ht="20.100000000000001" customHeight="1" x14ac:dyDescent="0.2">
      <c r="A198" s="21" t="s">
        <v>125</v>
      </c>
    </row>
    <row r="199" spans="1:1" ht="20.100000000000001" customHeight="1" x14ac:dyDescent="0.2">
      <c r="A199" s="19" t="s">
        <v>126</v>
      </c>
    </row>
    <row r="200" spans="1:1" ht="20.100000000000001" customHeight="1" x14ac:dyDescent="0.2">
      <c r="A200" s="19" t="s">
        <v>127</v>
      </c>
    </row>
    <row r="201" spans="1:1" ht="20.100000000000001" customHeight="1" x14ac:dyDescent="0.2">
      <c r="A201" s="19" t="s">
        <v>128</v>
      </c>
    </row>
    <row r="202" spans="1:1" ht="20.100000000000001" customHeight="1" x14ac:dyDescent="0.2">
      <c r="A202" s="19" t="s">
        <v>129</v>
      </c>
    </row>
    <row r="203" spans="1:1" ht="20.100000000000001" customHeight="1" x14ac:dyDescent="0.2">
      <c r="A203" s="19" t="s">
        <v>130</v>
      </c>
    </row>
    <row r="204" spans="1:1" ht="20.100000000000001" customHeight="1" x14ac:dyDescent="0.2">
      <c r="A204" s="19" t="s">
        <v>131</v>
      </c>
    </row>
    <row r="205" spans="1:1" ht="20.100000000000001" customHeight="1" x14ac:dyDescent="0.2">
      <c r="A205" s="19" t="s">
        <v>132</v>
      </c>
    </row>
    <row r="206" spans="1:1" ht="20.100000000000001" customHeight="1" x14ac:dyDescent="0.2">
      <c r="A206" s="19" t="s">
        <v>133</v>
      </c>
    </row>
    <row r="207" spans="1:1" ht="20.100000000000001" customHeight="1" x14ac:dyDescent="0.2">
      <c r="A207" s="19" t="s">
        <v>134</v>
      </c>
    </row>
    <row r="208" spans="1:1" ht="20.100000000000001" customHeight="1" x14ac:dyDescent="0.2">
      <c r="A208" s="19" t="s">
        <v>135</v>
      </c>
    </row>
    <row r="209" spans="1:1" ht="20.100000000000001" customHeight="1" x14ac:dyDescent="0.2">
      <c r="A209" s="19" t="s">
        <v>136</v>
      </c>
    </row>
    <row r="210" spans="1:1" ht="20.100000000000001" customHeight="1" x14ac:dyDescent="0.2">
      <c r="A210" s="19" t="s">
        <v>127</v>
      </c>
    </row>
    <row r="211" spans="1:1" ht="20.100000000000001" customHeight="1" x14ac:dyDescent="0.2">
      <c r="A211" s="19" t="s">
        <v>137</v>
      </c>
    </row>
    <row r="212" spans="1:1" ht="20.100000000000001" customHeight="1" x14ac:dyDescent="0.2">
      <c r="A212" s="19" t="s">
        <v>138</v>
      </c>
    </row>
    <row r="213" spans="1:1" ht="20.100000000000001" customHeight="1" x14ac:dyDescent="0.2">
      <c r="A213" s="21" t="s">
        <v>139</v>
      </c>
    </row>
    <row r="214" spans="1:1" ht="20.100000000000001" customHeight="1" x14ac:dyDescent="0.2">
      <c r="A214" s="22" t="s">
        <v>140</v>
      </c>
    </row>
    <row r="215" spans="1:1" ht="20.100000000000001" customHeight="1" x14ac:dyDescent="0.2">
      <c r="A215" s="19" t="s">
        <v>141</v>
      </c>
    </row>
    <row r="216" spans="1:1" ht="20.100000000000001" customHeight="1" x14ac:dyDescent="0.2">
      <c r="A216" s="19" t="s">
        <v>142</v>
      </c>
    </row>
    <row r="217" spans="1:1" ht="20.100000000000001" customHeight="1" x14ac:dyDescent="0.2">
      <c r="A217" s="23" t="s">
        <v>143</v>
      </c>
    </row>
    <row r="218" spans="1:1" ht="20.100000000000001" customHeight="1" x14ac:dyDescent="0.2">
      <c r="A218" s="23" t="s">
        <v>144</v>
      </c>
    </row>
    <row r="219" spans="1:1" ht="20.100000000000001" customHeight="1" x14ac:dyDescent="0.2">
      <c r="A219" s="22" t="s">
        <v>145</v>
      </c>
    </row>
    <row r="220" spans="1:1" ht="20.100000000000001" customHeight="1" x14ac:dyDescent="0.2">
      <c r="A220" s="19" t="s">
        <v>146</v>
      </c>
    </row>
    <row r="221" spans="1:1" ht="20.100000000000001" customHeight="1" x14ac:dyDescent="0.2">
      <c r="A221" s="22" t="s">
        <v>147</v>
      </c>
    </row>
    <row r="222" spans="1:1" ht="20.100000000000001" customHeight="1" x14ac:dyDescent="0.2">
      <c r="A222" s="19" t="s">
        <v>148</v>
      </c>
    </row>
    <row r="223" spans="1:1" ht="20.100000000000001" customHeight="1" x14ac:dyDescent="0.2">
      <c r="A223" s="22" t="s">
        <v>149</v>
      </c>
    </row>
    <row r="224" spans="1:1" ht="20.100000000000001" customHeight="1" x14ac:dyDescent="0.2">
      <c r="A224" s="19" t="s">
        <v>150</v>
      </c>
    </row>
    <row r="225" spans="1:1" ht="20.100000000000001" customHeight="1" x14ac:dyDescent="0.2">
      <c r="A225" s="19" t="s">
        <v>151</v>
      </c>
    </row>
    <row r="226" spans="1:1" ht="20.100000000000001" customHeight="1" x14ac:dyDescent="0.2">
      <c r="A226" s="22" t="s">
        <v>152</v>
      </c>
    </row>
    <row r="227" spans="1:1" ht="20.100000000000001" customHeight="1" x14ac:dyDescent="0.2">
      <c r="A227" s="22" t="s">
        <v>153</v>
      </c>
    </row>
    <row r="228" spans="1:1" ht="20.100000000000001" customHeight="1" x14ac:dyDescent="0.2">
      <c r="A228" s="22" t="s">
        <v>154</v>
      </c>
    </row>
    <row r="229" spans="1:1" ht="20.100000000000001" customHeight="1" x14ac:dyDescent="0.2">
      <c r="A229" s="19" t="s">
        <v>155</v>
      </c>
    </row>
    <row r="230" spans="1:1" ht="20.100000000000001" customHeight="1" x14ac:dyDescent="0.2">
      <c r="A230" s="19" t="s">
        <v>156</v>
      </c>
    </row>
    <row r="231" spans="1:1" ht="20.100000000000001" customHeight="1" x14ac:dyDescent="0.2">
      <c r="A231" s="19" t="s">
        <v>157</v>
      </c>
    </row>
    <row r="232" spans="1:1" ht="20.100000000000001" customHeight="1" x14ac:dyDescent="0.2">
      <c r="A232" s="19" t="s">
        <v>158</v>
      </c>
    </row>
    <row r="233" spans="1:1" ht="20.100000000000001" customHeight="1" x14ac:dyDescent="0.2">
      <c r="A233" s="22" t="s">
        <v>159</v>
      </c>
    </row>
    <row r="234" spans="1:1" ht="20.100000000000001" customHeight="1" x14ac:dyDescent="0.2">
      <c r="A234" s="22" t="s">
        <v>160</v>
      </c>
    </row>
    <row r="235" spans="1:1" ht="20.100000000000001" customHeight="1" x14ac:dyDescent="0.2">
      <c r="A235" s="19" t="s">
        <v>161</v>
      </c>
    </row>
    <row r="236" spans="1:1" ht="20.100000000000001" customHeight="1" x14ac:dyDescent="0.2">
      <c r="A236" s="22" t="s">
        <v>162</v>
      </c>
    </row>
    <row r="237" spans="1:1" ht="20.100000000000001" customHeight="1" x14ac:dyDescent="0.2">
      <c r="A237" s="22" t="s">
        <v>163</v>
      </c>
    </row>
    <row r="238" spans="1:1" ht="20.100000000000001" customHeight="1" x14ac:dyDescent="0.2">
      <c r="A238" s="19" t="s">
        <v>164</v>
      </c>
    </row>
    <row r="239" spans="1:1" ht="20.100000000000001" customHeight="1" x14ac:dyDescent="0.2">
      <c r="A239" s="19" t="s">
        <v>165</v>
      </c>
    </row>
    <row r="240" spans="1:1" ht="20.100000000000001" customHeight="1" x14ac:dyDescent="0.2">
      <c r="A240" s="22" t="s">
        <v>166</v>
      </c>
    </row>
    <row r="241" spans="1:1" ht="20.100000000000001" customHeight="1" x14ac:dyDescent="0.2">
      <c r="A241" s="19" t="s">
        <v>167</v>
      </c>
    </row>
    <row r="242" spans="1:1" ht="20.100000000000001" customHeight="1" x14ac:dyDescent="0.2">
      <c r="A242" s="19" t="s">
        <v>168</v>
      </c>
    </row>
    <row r="243" spans="1:1" ht="20.100000000000001" customHeight="1" x14ac:dyDescent="0.2">
      <c r="A243" s="19" t="s">
        <v>169</v>
      </c>
    </row>
    <row r="244" spans="1:1" ht="20.100000000000001" customHeight="1" x14ac:dyDescent="0.2">
      <c r="A244" s="19" t="s">
        <v>170</v>
      </c>
    </row>
    <row r="245" spans="1:1" ht="20.100000000000001" customHeight="1" x14ac:dyDescent="0.2">
      <c r="A245" s="22" t="s">
        <v>171</v>
      </c>
    </row>
    <row r="246" spans="1:1" ht="20.100000000000001" customHeight="1" x14ac:dyDescent="0.2">
      <c r="A246" s="22" t="s">
        <v>172</v>
      </c>
    </row>
    <row r="247" spans="1:1" ht="20.100000000000001" customHeight="1" x14ac:dyDescent="0.2">
      <c r="A247" s="22" t="s">
        <v>173</v>
      </c>
    </row>
    <row r="248" spans="1:1" ht="20.100000000000001" customHeight="1" thickBot="1" x14ac:dyDescent="0.25">
      <c r="A248" s="19" t="s">
        <v>174</v>
      </c>
    </row>
    <row r="249" spans="1:1" ht="20.100000000000001" customHeight="1" thickBot="1" x14ac:dyDescent="0.25">
      <c r="A249" s="2" t="s">
        <v>58</v>
      </c>
    </row>
    <row r="250" spans="1:1" ht="20.100000000000001" customHeight="1" thickBot="1" x14ac:dyDescent="0.25">
      <c r="A250" s="2" t="s">
        <v>58</v>
      </c>
    </row>
    <row r="251" spans="1:1" ht="20.100000000000001" customHeight="1" thickBot="1" x14ac:dyDescent="0.25">
      <c r="A251" s="2" t="s">
        <v>58</v>
      </c>
    </row>
    <row r="252" spans="1:1" ht="20.100000000000001" customHeight="1" thickBot="1" x14ac:dyDescent="0.25">
      <c r="A252" s="2" t="s">
        <v>58</v>
      </c>
    </row>
    <row r="253" spans="1:1" ht="20.100000000000001" customHeight="1" thickBot="1" x14ac:dyDescent="0.25">
      <c r="A253" s="2" t="s">
        <v>58</v>
      </c>
    </row>
    <row r="254" spans="1:1" ht="20.100000000000001" customHeight="1" thickBot="1" x14ac:dyDescent="0.25">
      <c r="A254" s="2" t="s">
        <v>58</v>
      </c>
    </row>
    <row r="255" spans="1:1" ht="20.100000000000001" customHeight="1" thickBot="1" x14ac:dyDescent="0.25">
      <c r="A255" s="2" t="s">
        <v>58</v>
      </c>
    </row>
    <row r="256" spans="1:1" ht="20.100000000000001" customHeight="1" thickBot="1" x14ac:dyDescent="0.25">
      <c r="A256" s="2" t="s">
        <v>58</v>
      </c>
    </row>
    <row r="257" spans="1:1" ht="20.100000000000001" customHeight="1" thickBot="1" x14ac:dyDescent="0.25">
      <c r="A257" s="2" t="s">
        <v>58</v>
      </c>
    </row>
    <row r="258" spans="1:1" ht="20.100000000000001" customHeight="1" thickBot="1" x14ac:dyDescent="0.25">
      <c r="A258" s="2" t="s">
        <v>58</v>
      </c>
    </row>
    <row r="259" spans="1:1" ht="20.100000000000001" customHeight="1" thickBot="1" x14ac:dyDescent="0.25">
      <c r="A259" s="2" t="s">
        <v>58</v>
      </c>
    </row>
    <row r="260" spans="1:1" ht="20.100000000000001" customHeight="1" thickBot="1" x14ac:dyDescent="0.25">
      <c r="A260" s="2" t="s">
        <v>58</v>
      </c>
    </row>
    <row r="261" spans="1:1" ht="20.100000000000001" customHeight="1" thickBot="1" x14ac:dyDescent="0.25">
      <c r="A261" s="2" t="s">
        <v>58</v>
      </c>
    </row>
    <row r="262" spans="1:1" ht="20.100000000000001" customHeight="1" thickBot="1" x14ac:dyDescent="0.25">
      <c r="A262" s="2" t="s">
        <v>58</v>
      </c>
    </row>
    <row r="263" spans="1:1" ht="20.100000000000001" customHeight="1" thickBot="1" x14ac:dyDescent="0.25">
      <c r="A263" s="2" t="s">
        <v>58</v>
      </c>
    </row>
    <row r="264" spans="1:1" ht="20.100000000000001" customHeight="1" thickBot="1" x14ac:dyDescent="0.25">
      <c r="A264" s="2" t="s">
        <v>58</v>
      </c>
    </row>
    <row r="265" spans="1:1" ht="20.100000000000001" customHeight="1" thickBot="1" x14ac:dyDescent="0.25">
      <c r="A265" s="2" t="s">
        <v>58</v>
      </c>
    </row>
    <row r="266" spans="1:1" ht="20.100000000000001" customHeight="1" thickBot="1" x14ac:dyDescent="0.25">
      <c r="A266" s="2" t="s">
        <v>58</v>
      </c>
    </row>
    <row r="267" spans="1:1" ht="20.100000000000001" customHeight="1" thickBot="1" x14ac:dyDescent="0.25">
      <c r="A267" s="2" t="s">
        <v>58</v>
      </c>
    </row>
    <row r="268" spans="1:1" ht="20.100000000000001" customHeight="1" thickBot="1" x14ac:dyDescent="0.25">
      <c r="A268" s="2" t="s">
        <v>58</v>
      </c>
    </row>
    <row r="269" spans="1:1" ht="20.100000000000001" customHeight="1" thickBot="1" x14ac:dyDescent="0.25">
      <c r="A269" s="2" t="s">
        <v>58</v>
      </c>
    </row>
    <row r="270" spans="1:1" ht="20.100000000000001" customHeight="1" thickBot="1" x14ac:dyDescent="0.25">
      <c r="A270" s="2" t="s">
        <v>58</v>
      </c>
    </row>
    <row r="271" spans="1:1" ht="20.100000000000001" customHeight="1" thickBot="1" x14ac:dyDescent="0.25">
      <c r="A271" s="2" t="s">
        <v>58</v>
      </c>
    </row>
    <row r="272" spans="1:1" ht="20.100000000000001" customHeight="1" thickBot="1" x14ac:dyDescent="0.25">
      <c r="A272" s="2" t="s">
        <v>58</v>
      </c>
    </row>
    <row r="273" spans="1:1" ht="20.100000000000001" customHeight="1" thickBot="1" x14ac:dyDescent="0.25">
      <c r="A273" s="2" t="s">
        <v>58</v>
      </c>
    </row>
    <row r="274" spans="1:1" ht="20.100000000000001" customHeight="1" thickBot="1" x14ac:dyDescent="0.25">
      <c r="A274" s="2" t="s">
        <v>58</v>
      </c>
    </row>
    <row r="275" spans="1:1" ht="20.100000000000001" customHeight="1" thickBot="1" x14ac:dyDescent="0.25">
      <c r="A275" s="2" t="s">
        <v>58</v>
      </c>
    </row>
    <row r="276" spans="1:1" ht="20.100000000000001" customHeight="1" thickBot="1" x14ac:dyDescent="0.25">
      <c r="A276" s="2" t="s">
        <v>58</v>
      </c>
    </row>
    <row r="277" spans="1:1" ht="20.100000000000001" customHeight="1" thickBot="1" x14ac:dyDescent="0.25">
      <c r="A277" s="2" t="s">
        <v>58</v>
      </c>
    </row>
    <row r="278" spans="1:1" ht="20.100000000000001" customHeight="1" thickBot="1" x14ac:dyDescent="0.25">
      <c r="A278" s="2" t="s">
        <v>58</v>
      </c>
    </row>
    <row r="279" spans="1:1" ht="20.100000000000001" customHeight="1" thickBot="1" x14ac:dyDescent="0.25">
      <c r="A279" s="2" t="s">
        <v>58</v>
      </c>
    </row>
    <row r="280" spans="1:1" ht="20.100000000000001" customHeight="1" thickBot="1" x14ac:dyDescent="0.25">
      <c r="A280" s="2" t="s">
        <v>58</v>
      </c>
    </row>
    <row r="281" spans="1:1" ht="20.100000000000001" customHeight="1" thickBot="1" x14ac:dyDescent="0.25">
      <c r="A281" s="2" t="s">
        <v>58</v>
      </c>
    </row>
    <row r="282" spans="1:1" ht="20.100000000000001" customHeight="1" thickBot="1" x14ac:dyDescent="0.25">
      <c r="A282" s="2" t="s">
        <v>58</v>
      </c>
    </row>
    <row r="283" spans="1:1" ht="20.100000000000001" customHeight="1" thickBot="1" x14ac:dyDescent="0.25">
      <c r="A283" s="2" t="s">
        <v>58</v>
      </c>
    </row>
    <row r="284" spans="1:1" ht="20.100000000000001" customHeight="1" thickBot="1" x14ac:dyDescent="0.25">
      <c r="A284" s="2" t="s">
        <v>58</v>
      </c>
    </row>
    <row r="285" spans="1:1" ht="20.100000000000001" customHeight="1" thickBot="1" x14ac:dyDescent="0.25">
      <c r="A285" s="2" t="s">
        <v>58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2025-10-23T06:51:00Z</dcterms:modified>
</cp:coreProperties>
</file>