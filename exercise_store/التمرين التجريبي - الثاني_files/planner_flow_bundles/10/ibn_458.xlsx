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4E4A2B42-51E6-4D2D-8447-E3D17A6CBF1B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3" i="2"/>
  <c r="H13" i="2" s="1"/>
  <c r="G14" i="2"/>
  <c r="H14" i="2" s="1"/>
  <c r="G15" i="2"/>
  <c r="H15" i="2" s="1"/>
  <c r="G16" i="2"/>
  <c r="H16" i="2" s="1"/>
  <c r="F17" i="2" l="1"/>
  <c r="E17" i="2" l="1"/>
  <c r="E18" i="2" l="1"/>
  <c r="E19" i="2" s="1"/>
</calcChain>
</file>

<file path=xl/sharedStrings.xml><?xml version="1.0" encoding="utf-8"?>
<sst xmlns="http://schemas.openxmlformats.org/spreadsheetml/2006/main" count="279" uniqueCount="211">
  <si>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</si>
  <si>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</si>
  <si>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</si>
  <si>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</si>
  <si>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</si>
  <si>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</si>
  <si>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</si>
  <si>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</si>
  <si>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</si>
  <si>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</si>
  <si>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</si>
  <si>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</si>
  <si>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</si>
  <si>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</si>
  <si>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</si>
  <si>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</si>
  <si>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</si>
  <si>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</si>
  <si>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</si>
  <si>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</si>
  <si>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</si>
  <si>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</si>
  <si>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</si>
  <si>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</si>
  <si>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</si>
  <si>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</si>
  <si>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</si>
  <si>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</si>
  <si>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</si>
  <si>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</si>
  <si>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</si>
  <si>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</si>
  <si>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</si>
  <si>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</si>
  <si>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</si>
  <si>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</si>
  <si>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</si>
  <si>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</si>
  <si>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</si>
  <si>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</si>
  <si>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</si>
  <si>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</si>
  <si>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</si>
  <si>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</si>
  <si>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</si>
  <si>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</si>
  <si>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</si>
  <si>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</si>
  <si>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</si>
  <si>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</si>
  <si>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</si>
  <si>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</si>
  <si>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</si>
  <si>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</si>
  <si>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</si>
  <si>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</si>
  <si>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</si>
  <si>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</si>
  <si>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</si>
  <si>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</si>
  <si>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</si>
  <si>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</si>
  <si>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</si>
  <si>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</si>
  <si>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</si>
  <si>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</si>
  <si>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</si>
  <si>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</si>
  <si>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</si>
  <si>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</si>
  <si>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</si>
  <si>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</si>
  <si>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</si>
  <si>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</si>
  <si>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</si>
  <si>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</si>
  <si>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</si>
  <si>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</si>
  <si>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</si>
  <si>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</si>
  <si>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</si>
  <si>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</si>
  <si>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</si>
  <si>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</si>
  <si>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</si>
  <si>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</si>
  <si>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</si>
  <si>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</si>
  <si>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</si>
  <si>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</si>
  <si>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</si>
  <si>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</si>
  <si>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</si>
  <si>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</si>
  <si>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</si>
  <si>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</si>
  <si>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</si>
  <si>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</si>
  <si>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</si>
  <si>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</si>
  <si>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</si>
  <si>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</si>
  <si>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</si>
  <si>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</si>
  <si>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</si>
  <si>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</si>
  <si>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</si>
  <si>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</si>
  <si>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</si>
  <si>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</si>
  <si>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</si>
  <si>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</si>
  <si>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</si>
  <si>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</si>
  <si>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</si>
  <si>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</si>
  <si>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</si>
  <si>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</si>
  <si>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</si>
  <si>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</si>
  <si>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</si>
  <si>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</si>
  <si>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</si>
  <si>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</si>
  <si>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</si>
  <si>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</si>
  <si>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</si>
  <si>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</si>
  <si>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</si>
  <si>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</si>
  <si>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</si>
  <si>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</si>
  <si>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</si>
  <si>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</si>
  <si>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</si>
  <si>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</si>
  <si>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</si>
  <si>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</si>
  <si>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</si>
  <si>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</si>
  <si>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</si>
  <si>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</si>
  <si>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</si>
  <si>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</si>
  <si>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</si>
  <si>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</si>
  <si>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</si>
  <si>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</si>
  <si>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</si>
  <si>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</si>
  <si>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</si>
  <si>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</si>
  <si>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</si>
  <si>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</si>
  <si>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</si>
  <si>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</si>
  <si>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</si>
  <si>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</si>
  <si>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</si>
  <si>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</si>
  <si>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</si>
  <si>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</si>
  <si>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</si>
  <si>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</si>
  <si>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</si>
  <si>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</si>
  <si>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</si>
  <si>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</si>
  <si>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</si>
  <si>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</si>
  <si>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</si>
  <si>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</si>
  <si>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</si>
  <si>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</si>
  <si>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</si>
  <si>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</si>
  <si>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</si>
  <si>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</si>
  <si>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</si>
  <si>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تقييم عطل في إحدى آليات الذخيرة الثقيلة بكتيبة المدفعية أثناء التنقل - اليوم/1 - تقييم معضلة/7
تمرين جاهزية مجموعة لواء الإمارات/1 (جندي الصحراء 2025/20)</t>
  </si>
  <si>
    <t>تنفيذ الاجراءات الأولية لقائد القافلة للتعامل مع الموقف: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</si>
  <si>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فهم الموقف بصورة دقيقة من قبل قائد القافلة.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</si>
  <si>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الاستمرار بالمسير وعدم توقف القافلة / يمكن تقليل السرعة.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</si>
  <si>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محاولة تحريك الآلية المعطلة قدر الإمكان / أو تحويل السير للسماح للآليات الأخرى بمواصلة المسير.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</si>
  <si>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إبلاغ عناصر الصيانة لمعالجة العطل.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</si>
  <si>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ابلاغ قائد السرية بالموقف وبالإجراءات المتخذة.</t>
    </r>
  </si>
  <si>
    <t>تنفيذ اجراءات الحماية خلال هذه المواقف: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</si>
  <si>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إنذار قوات الحماية المخصصة لحماية القافلة.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</si>
  <si>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تأمين الحماية الأرضية والجوية قدر الإمكان وبالوسائل المتوفرة.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</si>
  <si>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طلب عناصر حماية إضافية لحماية القافلة والآلية المعطلة.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</si>
  <si>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التنسيق مع القوات الصديقة / إن وجدة للمساعدة في اجراءات الحماية.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</si>
  <si>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الاستمرار بمراقبة الموقف.</t>
    </r>
  </si>
  <si>
    <t>معالجة الموقف ونقل الذخيرة الى آلية اخرى فارغة: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</si>
  <si>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تكليف عناصر الصيانة بتقييم الموقف (إخلاء أو إصلاح).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</si>
  <si>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التأكد من وجود عناصر للحماية للآلية المعطلة ولبقية القافلة.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</si>
  <si>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احضار الآلية الفارغة (الاحتياط) والقيام بنقل الذخيرة لها.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</si>
  <si>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التحاق الآلية الجديدة بالقافلة ومواصلة المسير.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</si>
  <si>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إبلاغ قائد السرية عن الموقف.</t>
    </r>
  </si>
  <si>
    <t>إجمالـي العلامـــــــات</t>
  </si>
  <si>
    <t>النسبـــــة المئويـــــة</t>
  </si>
  <si>
    <t>%</t>
  </si>
  <si>
    <t>التقديـــــر العـــــــام</t>
  </si>
  <si>
    <r>
      <t>وصف المعضلة:</t>
    </r>
    <r>
      <rPr>
        <sz val="14"/>
        <color rgb="FF000000"/>
        <rFont val="Arial"/>
        <family val="2"/>
      </rPr>
      <t xml:space="preserve"> عطب أحد إطارات الناقلة ربدان (تبديل إطار) من السرية/2 للكتيبة/13</t>
    </r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</si>
  <si>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فك الاطار.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</si>
  <si>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	احضار إطار جديد او اصلاح الإطار المتضرر 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</si>
  <si>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تركيب الإطار </t>
    </r>
  </si>
  <si>
    <t>أ.    ممتاز خلال (40 – 52) دقيقة.</t>
  </si>
  <si>
    <t xml:space="preserve">ب.  جيد جدا خلال (53 – 67) دقيقة </t>
  </si>
  <si>
    <t>جـ.  جيد خلال (68-79) دقيقة.</t>
  </si>
  <si>
    <t xml:space="preserve">د.   متوسط خلال (80 د فما فوق) دقيقة. </t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</si>
  <si>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إنجاز العمل ضمن الوقت المحدد: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</si>
</sst>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7CAAC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7" borderId="19" xfId="0" applyFont="1" applyFill="1" applyBorder="1" applyAlignment="1">
      <alignment horizontal="center" vertical="center" wrapText="1" readingOrder="2"/>
    </xf>
    <xf numFmtId="0" fontId="2" fillId="7" borderId="20" xfId="0" applyFont="1" applyFill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13" fillId="0" borderId="26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2" fillId="7" borderId="18" xfId="0" applyFont="1" applyFill="1" applyBorder="1" applyAlignment="1">
      <alignment horizontal="right" vertical="center" wrapText="1" readingOrder="2"/>
    </xf>
    <xf numFmtId="0" fontId="14" fillId="0" borderId="21" xfId="0" applyFont="1" applyBorder="1" applyAlignment="1">
      <alignment horizontal="right" vertical="center" wrapText="1"/>
    </xf>
    <xf numFmtId="0" fontId="15" fillId="0" borderId="21" xfId="0" applyFont="1" applyBorder="1" applyAlignment="1">
      <alignment horizontal="right" vertical="center" wrapText="1" readingOrder="2"/>
    </xf>
    <xf numFmtId="0" fontId="15" fillId="0" borderId="24" xfId="0" applyFont="1" applyBorder="1" applyAlignment="1">
      <alignment horizontal="right" vertical="center" wrapText="1" readingOrder="2"/>
    </xf>
    <xf numFmtId="0" fontId="2" fillId="7" borderId="27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6" fillId="4" borderId="31" xfId="0" applyFont="1" applyFill="1" applyBorder="1" applyAlignment="1" applyProtection="1">
      <alignment horizontal="center" vertical="center" wrapText="1" readingOrder="2"/>
      <protection locked="0"/>
    </xf>
    <xf numFmtId="0" fontId="2" fillId="0" borderId="34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5" fillId="0" borderId="38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33" xfId="0" applyFont="1" applyFill="1" applyBorder="1" applyAlignment="1" applyProtection="1">
      <alignment horizontal="center" vertical="center" wrapText="1" readingOrder="2"/>
      <protection locked="0"/>
    </xf>
    <xf numFmtId="0" fontId="6" fillId="4" borderId="34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30" xfId="0" applyFont="1" applyFill="1" applyBorder="1" applyAlignment="1" applyProtection="1">
      <alignment horizontal="center" vertical="center" wrapText="1" readingOrder="2"/>
      <protection locked="0"/>
    </xf>
    <xf numFmtId="0" fontId="7" fillId="4" borderId="31" xfId="0" applyFont="1" applyFill="1" applyBorder="1" applyAlignment="1" applyProtection="1">
      <alignment horizontal="center" vertical="center" wrapText="1" readingOrder="2"/>
      <protection locked="0"/>
    </xf>
    <xf numFmtId="0" fontId="6" fillId="4" borderId="31" xfId="0" applyFont="1" applyFill="1" applyBorder="1" applyAlignment="1" applyProtection="1">
      <alignment horizontal="center" vertical="center" wrapText="1" readingOrder="2"/>
      <protection locked="0"/>
    </xf>
    <xf numFmtId="0" fontId="6" fillId="4" borderId="32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49" fontId="5" fillId="0" borderId="17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35" xfId="0" applyFont="1" applyBorder="1" applyAlignment="1">
      <alignment horizontal="center" vertical="center" wrapText="1" readingOrder="2"/>
    </xf>
    <xf numFmtId="0" fontId="2" fillId="0" borderId="36" xfId="0" applyFont="1" applyBorder="1" applyAlignment="1">
      <alignment horizontal="center" vertical="center" wrapText="1" readingOrder="2"/>
    </xf>
    <xf numFmtId="0" fontId="2" fillId="0" borderId="37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2"/>
    </xf>
    <xf numFmtId="0" fontId="2" fillId="0" borderId="29" xfId="0" applyFont="1" applyBorder="1" applyAlignment="1">
      <alignment horizontal="center" vertical="center" wrapText="1" readingOrder="2"/>
    </xf>
    <xf numFmtId="0" fontId="13" fillId="0" borderId="28" xfId="0" applyFont="1" applyBorder="1" applyAlignment="1">
      <alignment horizontal="center" vertical="center" wrapText="1" readingOrder="2"/>
    </xf>
    <xf numFmtId="0" fontId="13" fillId="0" borderId="29" xfId="0" applyFont="1" applyBorder="1" applyAlignment="1">
      <alignment horizontal="center" vertical="center" wrapText="1" readingOrder="2"/>
    </xf>
    <xf numFmtId="0" fontId="15" fillId="0" borderId="38" xfId="0" applyFont="1" applyBorder="1" applyAlignment="1">
      <alignment horizontal="right" vertical="center" wrapText="1" indent="3" readingOrder="2"/>
    </xf>
    <xf numFmtId="0" fontId="15" fillId="0" borderId="3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6" zoomScaleNormal="100" zoomScaleSheetLayoutView="136" workbookViewId="0">
      <selection activeCell="F10" sqref="F10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2" t="s">
        <v>179</v>
      </c>
      <c r="C1" s="72"/>
      <c r="D1" s="72"/>
      <c r="E1" s="72"/>
      <c r="F1" s="72"/>
      <c r="G1" s="72"/>
      <c r="H1" s="72"/>
      <c r="I1" s="72"/>
      <c r="J1" s="72"/>
    </row>
    <row r="2" spans="1:10" ht="45" customHeight="1" x14ac:dyDescent="0.2">
      <c r="B2" s="83" t="s">
        <v>202</v>
      </c>
      <c r="C2" s="83"/>
      <c r="D2" s="83"/>
      <c r="E2" s="83"/>
      <c r="F2" s="83"/>
      <c r="G2" s="83"/>
      <c r="H2" s="83"/>
      <c r="I2" s="83"/>
      <c r="J2" s="83"/>
    </row>
    <row r="3" spans="1:10" ht="30" customHeight="1" x14ac:dyDescent="0.2">
      <c r="B3" s="11" t="s">
        <v>8</v>
      </c>
      <c r="C3" s="78" t="s">
        <v>57</v>
      </c>
      <c r="D3" s="78"/>
      <c r="E3" s="11" t="s">
        <v>7</v>
      </c>
      <c r="F3" s="73" t="s">
        <v>56</v>
      </c>
      <c r="G3" s="73"/>
      <c r="H3" s="73"/>
      <c r="I3" s="73"/>
      <c r="J3" s="73"/>
    </row>
    <row r="4" spans="1:10" ht="30" customHeight="1" x14ac:dyDescent="0.2">
      <c r="B4" s="11" t="s">
        <v>9</v>
      </c>
      <c r="C4" s="78" t="s">
        <v>60</v>
      </c>
      <c r="D4" s="78"/>
      <c r="E4" s="11" t="s">
        <v>6</v>
      </c>
      <c r="F4" s="78" t="s">
        <v>59</v>
      </c>
      <c r="G4" s="78"/>
      <c r="H4" s="78"/>
      <c r="I4" s="78"/>
      <c r="J4" s="78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74" t="s">
        <v>0</v>
      </c>
      <c r="C6" s="75"/>
      <c r="D6" s="75"/>
      <c r="E6" s="79" t="s">
        <v>1</v>
      </c>
      <c r="F6" s="79"/>
      <c r="G6" s="79"/>
      <c r="H6" s="79"/>
      <c r="I6" s="79" t="s">
        <v>2</v>
      </c>
      <c r="J6" s="80"/>
    </row>
    <row r="7" spans="1:10" ht="24.95" customHeight="1" thickBot="1" x14ac:dyDescent="0.25">
      <c r="A7" s="9"/>
      <c r="B7" s="76"/>
      <c r="C7" s="77"/>
      <c r="D7" s="77"/>
      <c r="E7" s="10" t="s">
        <v>3</v>
      </c>
      <c r="F7" s="10" t="s">
        <v>4</v>
      </c>
      <c r="G7" s="10" t="s">
        <v>23</v>
      </c>
      <c r="H7" s="10" t="s">
        <v>24</v>
      </c>
      <c r="I7" s="81"/>
      <c r="J7" s="82"/>
    </row>
    <row r="8" spans="1:10" ht="24.95" customHeight="1" x14ac:dyDescent="0.2">
      <c r="A8" s="9"/>
      <c r="B8" s="68" t="s">
        <v>21</v>
      </c>
      <c r="C8" s="69"/>
      <c r="D8" s="69"/>
      <c r="E8" s="43" t="s">
        <v>18</v>
      </c>
      <c r="F8" s="43" t="s">
        <v>19</v>
      </c>
      <c r="G8" s="43" t="s">
        <v>22</v>
      </c>
      <c r="H8" s="43" t="s">
        <v>20</v>
      </c>
      <c r="I8" s="70" t="s">
        <v>25</v>
      </c>
      <c r="J8" s="71"/>
    </row>
    <row r="9" spans="1:10" ht="30" customHeight="1" x14ac:dyDescent="0.2">
      <c r="A9" s="9"/>
      <c r="B9" s="48" t="s">
        <v>203</v>
      </c>
      <c r="C9" s="49"/>
      <c r="D9" s="49"/>
      <c r="E9" s="45">
        <v>3</v>
      </c>
      <c r="F9" s="27" t="s">
        <v>61</v>
      </c>
      <c r="G9" s="46" t="str">
        <f>IFERROR(F9/E9,"")</f>
        <v/>
      </c>
      <c r="H9" s="47" t="str">
        <f>_xlfn.IFS(F9="أدخل العلامة","",F9="لا ينطبق","تم الإلغاء",G9&gt;=90%,"ممتاز",G9&gt;=80%,"جيد جداً",G9&gt;=70%,"جيد",G9&gt;=60%,"مقبول",G9&lt;60%,"راسب")</f>
        <v/>
      </c>
      <c r="I9" s="66"/>
      <c r="J9" s="67"/>
    </row>
    <row r="10" spans="1:10" ht="30" customHeight="1" x14ac:dyDescent="0.2">
      <c r="A10" s="9"/>
      <c r="B10" s="48" t="s">
        <v>204</v>
      </c>
      <c r="C10" s="49"/>
      <c r="D10" s="49"/>
      <c r="E10" s="45">
        <v>3</v>
      </c>
      <c r="F10" s="27" t="s">
        <v>61</v>
      </c>
      <c r="G10" s="46" t="str">
        <f t="shared" ref="G10:G16" si="0">IFERROR(F10/E10,"")</f>
        <v/>
      </c>
      <c r="H10" s="47" t="str">
        <f t="shared" ref="H10:H16" si="1">_xlfn.IFS(F10="أدخل العلامة","",F10="لا ينطبق","تم الإلغاء",G10&gt;=90%,"ممتاز",G10&gt;=80%,"جيد جداً",G10&gt;=70%,"جيد",G10&gt;=60%,"مقبول",G10&lt;60%,"راسب")</f>
        <v/>
      </c>
      <c r="I10" s="66"/>
      <c r="J10" s="67"/>
    </row>
    <row r="11" spans="1:10" ht="39.950000000000003" customHeight="1" x14ac:dyDescent="0.2">
      <c r="A11" s="9"/>
      <c r="B11" s="48" t="s">
        <v>205</v>
      </c>
      <c r="C11" s="49"/>
      <c r="D11" s="49"/>
      <c r="E11" s="45">
        <v>3</v>
      </c>
      <c r="F11" s="27" t="s">
        <v>61</v>
      </c>
      <c r="G11" s="46" t="str">
        <f t="shared" si="0"/>
        <v/>
      </c>
      <c r="H11" s="47" t="str">
        <f t="shared" si="1"/>
        <v/>
      </c>
      <c r="I11" s="66"/>
      <c r="J11" s="67"/>
    </row>
    <row r="12" spans="1:10" ht="39.950000000000003" customHeight="1" x14ac:dyDescent="0.2">
      <c r="A12" s="9"/>
      <c r="B12" s="48" t="s">
        <v>210</v>
      </c>
      <c r="C12" s="49"/>
      <c r="D12" s="49"/>
      <c r="E12" s="45"/>
      <c r="F12" s="28"/>
      <c r="G12" s="46"/>
      <c r="H12" s="47"/>
      <c r="I12" s="66"/>
      <c r="J12" s="67"/>
    </row>
    <row r="13" spans="1:10" ht="30" customHeight="1" x14ac:dyDescent="0.2">
      <c r="A13" s="9"/>
      <c r="B13" s="95" t="s">
        <v>206</v>
      </c>
      <c r="C13" s="96"/>
      <c r="D13" s="96"/>
      <c r="E13" s="45">
        <v>3</v>
      </c>
      <c r="F13" s="27" t="s">
        <v>61</v>
      </c>
      <c r="G13" s="46" t="str">
        <f t="shared" si="0"/>
        <v/>
      </c>
      <c r="H13" s="47" t="str">
        <f t="shared" si="1"/>
        <v/>
      </c>
      <c r="I13" s="66"/>
      <c r="J13" s="67"/>
    </row>
    <row r="14" spans="1:10" ht="30" customHeight="1" x14ac:dyDescent="0.2">
      <c r="A14" s="9"/>
      <c r="B14" s="95" t="s">
        <v>207</v>
      </c>
      <c r="C14" s="96"/>
      <c r="D14" s="96"/>
      <c r="E14" s="45">
        <v>3</v>
      </c>
      <c r="F14" s="27" t="s">
        <v>61</v>
      </c>
      <c r="G14" s="46" t="str">
        <f t="shared" si="0"/>
        <v/>
      </c>
      <c r="H14" s="47" t="str">
        <f t="shared" si="1"/>
        <v/>
      </c>
      <c r="I14" s="66"/>
      <c r="J14" s="67"/>
    </row>
    <row r="15" spans="1:10" ht="30" customHeight="1" x14ac:dyDescent="0.2">
      <c r="A15" s="9"/>
      <c r="B15" s="95" t="s">
        <v>208</v>
      </c>
      <c r="C15" s="96"/>
      <c r="D15" s="96"/>
      <c r="E15" s="45">
        <v>3</v>
      </c>
      <c r="F15" s="27" t="s">
        <v>61</v>
      </c>
      <c r="G15" s="46" t="str">
        <f t="shared" si="0"/>
        <v/>
      </c>
      <c r="H15" s="47" t="str">
        <f t="shared" si="1"/>
        <v/>
      </c>
      <c r="I15" s="66"/>
      <c r="J15" s="67"/>
    </row>
    <row r="16" spans="1:10" ht="39.950000000000003" customHeight="1" x14ac:dyDescent="0.2">
      <c r="A16" s="9"/>
      <c r="B16" s="95" t="s">
        <v>209</v>
      </c>
      <c r="C16" s="96"/>
      <c r="D16" s="96"/>
      <c r="E16" s="45">
        <v>3</v>
      </c>
      <c r="F16" s="27" t="s">
        <v>61</v>
      </c>
      <c r="G16" s="46" t="str">
        <f t="shared" si="0"/>
        <v/>
      </c>
      <c r="H16" s="47" t="str">
        <f t="shared" si="1"/>
        <v/>
      </c>
      <c r="I16" s="66"/>
      <c r="J16" s="67"/>
    </row>
    <row r="17" spans="1:10" ht="30" customHeight="1" thickBot="1" x14ac:dyDescent="0.25">
      <c r="A17" s="4"/>
      <c r="B17" s="56" t="s">
        <v>5</v>
      </c>
      <c r="C17" s="57"/>
      <c r="D17" s="57"/>
      <c r="E17" s="44">
        <f>SUM(E9:E16)</f>
        <v>21</v>
      </c>
      <c r="F17" s="44">
        <f>SUM(F9:F16)</f>
        <v>0</v>
      </c>
      <c r="G17" s="86"/>
      <c r="H17" s="87"/>
      <c r="I17" s="87"/>
      <c r="J17" s="88"/>
    </row>
    <row r="18" spans="1:10" ht="30" customHeight="1" thickBot="1" x14ac:dyDescent="0.25">
      <c r="A18" s="4"/>
      <c r="B18" s="58" t="s">
        <v>54</v>
      </c>
      <c r="C18" s="59"/>
      <c r="D18" s="59"/>
      <c r="E18" s="89">
        <f>F17/E17/100*100</f>
        <v>0</v>
      </c>
      <c r="F18" s="89"/>
      <c r="G18" s="89"/>
      <c r="H18" s="89"/>
      <c r="I18" s="89"/>
      <c r="J18" s="90"/>
    </row>
    <row r="19" spans="1:10" ht="30" customHeight="1" thickBot="1" x14ac:dyDescent="0.25">
      <c r="A19" s="4"/>
      <c r="B19" s="58" t="s">
        <v>55</v>
      </c>
      <c r="C19" s="59"/>
      <c r="D19" s="59"/>
      <c r="E19" s="64" t="str">
        <f>_xlfn.IFS(E18&gt;=90%,"ممتاز",E18&gt;=80%,"جيد جداً",E18&gt;=70%,"جيد",E18&gt;=60%,"مقبول",E18&lt;60%,"راسب")</f>
        <v>راسب</v>
      </c>
      <c r="F19" s="64"/>
      <c r="G19" s="64"/>
      <c r="H19" s="64"/>
      <c r="I19" s="64"/>
      <c r="J19" s="65"/>
    </row>
    <row r="20" spans="1:10" ht="42" customHeight="1" x14ac:dyDescent="0.2">
      <c r="B20" s="60" t="s">
        <v>178</v>
      </c>
      <c r="C20" s="60"/>
      <c r="D20" s="60"/>
      <c r="E20" s="84" t="s">
        <v>52</v>
      </c>
      <c r="F20" s="84"/>
      <c r="G20" s="62" t="s">
        <v>59</v>
      </c>
      <c r="H20" s="62"/>
      <c r="I20" s="62"/>
      <c r="J20" s="62"/>
    </row>
    <row r="21" spans="1:10" ht="51" customHeight="1" x14ac:dyDescent="0.2">
      <c r="A21" s="5"/>
      <c r="B21" s="61"/>
      <c r="C21" s="61"/>
      <c r="D21" s="61"/>
      <c r="E21" s="85" t="s">
        <v>53</v>
      </c>
      <c r="F21" s="85"/>
      <c r="G21" s="63"/>
      <c r="H21" s="63"/>
      <c r="I21" s="63"/>
      <c r="J21" s="63"/>
    </row>
    <row r="22" spans="1:10" ht="15.75" x14ac:dyDescent="0.2">
      <c r="A22" s="24">
        <v>3</v>
      </c>
      <c r="B22" s="50" t="s">
        <v>175</v>
      </c>
      <c r="C22" s="51"/>
    </row>
    <row r="23" spans="1:10" ht="15.75" x14ac:dyDescent="0.2">
      <c r="A23" s="25">
        <v>2</v>
      </c>
      <c r="B23" s="52" t="s">
        <v>176</v>
      </c>
      <c r="C23" s="53"/>
    </row>
    <row r="24" spans="1:10" ht="15.75" x14ac:dyDescent="0.2">
      <c r="A24" s="26">
        <v>1</v>
      </c>
      <c r="B24" s="54" t="s">
        <v>177</v>
      </c>
      <c r="C24" s="5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I11:J11"/>
    <mergeCell ref="I12:J12"/>
    <mergeCell ref="E20:F20"/>
    <mergeCell ref="G17:J17"/>
    <mergeCell ref="E18:J18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I9:J9"/>
    <mergeCell ref="I10:J10"/>
    <mergeCell ref="B14:D14"/>
    <mergeCell ref="B15:D15"/>
    <mergeCell ref="B16:D16"/>
    <mergeCell ref="B11:D11"/>
    <mergeCell ref="B12:D12"/>
    <mergeCell ref="B13:D13"/>
    <mergeCell ref="B8:D8"/>
    <mergeCell ref="I8:J8"/>
    <mergeCell ref="B9:D9"/>
    <mergeCell ref="B10:D10"/>
    <mergeCell ref="G20:J20"/>
    <mergeCell ref="G21:J21"/>
    <mergeCell ref="E19:J19"/>
    <mergeCell ref="I13:J13"/>
    <mergeCell ref="I14:J14"/>
    <mergeCell ref="I15:J15"/>
    <mergeCell ref="I16:J16"/>
    <mergeCell ref="E21:F21"/>
    <mergeCell ref="B23:C23"/>
    <mergeCell ref="B24:C24"/>
    <mergeCell ref="B17:D17"/>
    <mergeCell ref="B18:D18"/>
    <mergeCell ref="B19:D19"/>
    <mergeCell ref="B20:D21"/>
    <mergeCell ref="B22:C22"/>
  </mergeCells>
  <conditionalFormatting sqref="C3:D3">
    <cfRule type="containsText" dxfId="23" priority="25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22" priority="24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21" priority="64">
      <formula>$E19="راسب"</formula>
    </cfRule>
  </conditionalFormatting>
  <conditionalFormatting sqref="E19:J19">
    <cfRule type="expression" dxfId="20" priority="65">
      <formula>$E19="مقبول"</formula>
    </cfRule>
    <cfRule type="expression" dxfId="19" priority="66">
      <formula>$E19="جيد"</formula>
    </cfRule>
    <cfRule type="expression" dxfId="18" priority="67">
      <formula>$E19="جيد جداً"</formula>
    </cfRule>
    <cfRule type="expression" dxfId="17" priority="68">
      <formula>$E19="ممتاز"</formula>
    </cfRule>
  </conditionalFormatting>
  <conditionalFormatting sqref="F9:F11 F13:F16">
    <cfRule type="containsText" dxfId="16" priority="21" operator="containsText" text="أدخل العلامة">
      <formula>NOT(ISERROR(SEARCH("أدخل العلامة",F9)))</formula>
    </cfRule>
  </conditionalFormatting>
  <conditionalFormatting sqref="F3:J3">
    <cfRule type="containsText" dxfId="15" priority="26" operator="containsText" text="أدخل التاريخ">
      <formula>NOT(ISERROR(SEARCH("أدخل التاريخ",F3)))</formula>
    </cfRule>
  </conditionalFormatting>
  <conditionalFormatting sqref="F4:J4">
    <cfRule type="containsText" dxfId="14" priority="23" operator="containsText" text="أدخل أسم المحكم">
      <formula>NOT(ISERROR(SEARCH("أدخل أسم المحكم",F4)))</formula>
    </cfRule>
  </conditionalFormatting>
  <conditionalFormatting sqref="G20:J20">
    <cfRule type="containsText" dxfId="13" priority="22" operator="containsText" text="أدخل اسم المحكم">
      <formula>NOT(ISERROR(SEARCH("أدخل اسم المحكم",G20)))</formula>
    </cfRule>
  </conditionalFormatting>
  <conditionalFormatting sqref="H9:H11 H13:H16">
    <cfRule type="containsText" dxfId="12" priority="12" operator="containsText" text="أدخل العلامة">
      <formula>NOT(ISERROR(SEARCH("أدخل العلامة",H9)))</formula>
    </cfRule>
    <cfRule type="containsText" dxfId="11" priority="13" operator="containsText" text="ممتاز">
      <formula>NOT(ISERROR(SEARCH("ممتاز",H9)))</formula>
    </cfRule>
    <cfRule type="containsText" dxfId="10" priority="14" operator="containsText" text="جيد جداً">
      <formula>NOT(ISERROR(SEARCH("جيد جداً",H9)))</formula>
    </cfRule>
    <cfRule type="containsText" dxfId="9" priority="15" operator="containsText" text="جيد">
      <formula>NOT(ISERROR(SEARCH("جيد",H9)))</formula>
    </cfRule>
    <cfRule type="containsText" dxfId="8" priority="16" operator="containsText" text="مقبول">
      <formula>NOT(ISERROR(SEARCH("مقبول",H9)))</formula>
    </cfRule>
    <cfRule type="containsText" dxfId="7" priority="17" operator="containsText" text="راسب">
      <formula>NOT(ISERROR(SEARCH("راسب",H9)))</formula>
    </cfRule>
  </conditionalFormatting>
  <conditionalFormatting sqref="F12">
    <cfRule type="containsText" dxfId="6" priority="7" operator="containsText" text="أدخل العلامة">
      <formula>NOT(ISERROR(SEARCH("أدخل العلامة",F12)))</formula>
    </cfRule>
  </conditionalFormatting>
  <conditionalFormatting sqref="H12">
    <cfRule type="containsText" dxfId="5" priority="1" operator="containsText" text="أدخل العلامة">
      <formula>NOT(ISERROR(SEARCH("أدخل العلامة",H12)))</formula>
    </cfRule>
    <cfRule type="containsText" dxfId="4" priority="2" operator="containsText" text="ممتاز">
      <formula>NOT(ISERROR(SEARCH("ممتاز",H12)))</formula>
    </cfRule>
    <cfRule type="containsText" dxfId="3" priority="3" operator="containsText" text="جيد جداً">
      <formula>NOT(ISERROR(SEARCH("جيد جداً",H12)))</formula>
    </cfRule>
    <cfRule type="containsText" dxfId="2" priority="4" operator="containsText" text="جيد">
      <formula>NOT(ISERROR(SEARCH("جيد",H12)))</formula>
    </cfRule>
    <cfRule type="containsText" dxfId="1" priority="5" operator="containsText" text="مقبول">
      <formula>NOT(ISERROR(SEARCH("مقبول",H12)))</formula>
    </cfRule>
    <cfRule type="containsText" dxfId="0" priority="6" operator="containsText" text="راسب">
      <formula>NOT(ISERROR(SEARCH("راسب",H12)))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F9:F11 F13:F16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:D23"/>
  <sheetViews>
    <sheetView rightToLeft="1" topLeftCell="A5" workbookViewId="0">
      <selection activeCell="B2" sqref="A2:B19"/>
    </sheetView>
  </sheetViews>
  <sheetFormatPr defaultRowHeight="14.25" x14ac:dyDescent="0.2"/>
  <cols>
    <col min="1" max="1" width="33.25" style="42" customWidth="1"/>
  </cols>
  <sheetData>
    <row r="1" spans="1:4" ht="16.5" thickBot="1" x14ac:dyDescent="0.25">
      <c r="A1" s="37" t="s">
        <v>21</v>
      </c>
      <c r="B1" s="29" t="s">
        <v>18</v>
      </c>
      <c r="C1" s="29" t="s">
        <v>19</v>
      </c>
      <c r="D1" s="30" t="s">
        <v>22</v>
      </c>
    </row>
    <row r="2" spans="1:4" ht="32.25" thickTop="1" x14ac:dyDescent="0.2">
      <c r="A2" s="38" t="s">
        <v>180</v>
      </c>
      <c r="B2" s="31"/>
      <c r="C2" s="31"/>
      <c r="D2" s="32"/>
    </row>
    <row r="3" spans="1:4" ht="30" x14ac:dyDescent="0.2">
      <c r="A3" s="39" t="s">
        <v>181</v>
      </c>
      <c r="B3" s="31">
        <v>3</v>
      </c>
      <c r="C3" s="31"/>
      <c r="D3" s="33"/>
    </row>
    <row r="4" spans="1:4" ht="30" x14ac:dyDescent="0.2">
      <c r="A4" s="39" t="s">
        <v>182</v>
      </c>
      <c r="B4" s="31">
        <v>3</v>
      </c>
      <c r="C4" s="31"/>
      <c r="D4" s="33"/>
    </row>
    <row r="5" spans="1:4" ht="45" x14ac:dyDescent="0.2">
      <c r="A5" s="39" t="s">
        <v>183</v>
      </c>
      <c r="B5" s="31">
        <v>3</v>
      </c>
      <c r="C5" s="31"/>
      <c r="D5" s="33"/>
    </row>
    <row r="6" spans="1:4" ht="15.75" x14ac:dyDescent="0.2">
      <c r="A6" s="39" t="s">
        <v>184</v>
      </c>
      <c r="B6" s="31">
        <v>3</v>
      </c>
      <c r="C6" s="31"/>
      <c r="D6" s="33"/>
    </row>
    <row r="7" spans="1:4" ht="30.75" thickBot="1" x14ac:dyDescent="0.25">
      <c r="A7" s="40" t="s">
        <v>185</v>
      </c>
      <c r="B7" s="34">
        <v>3</v>
      </c>
      <c r="C7" s="34"/>
      <c r="D7" s="35"/>
    </row>
    <row r="8" spans="1:4" ht="16.5" thickTop="1" x14ac:dyDescent="0.2">
      <c r="A8" s="38" t="s">
        <v>186</v>
      </c>
      <c r="B8" s="31"/>
      <c r="C8" s="31"/>
      <c r="D8" s="33"/>
    </row>
    <row r="9" spans="1:4" ht="30" x14ac:dyDescent="0.2">
      <c r="A9" s="39" t="s">
        <v>187</v>
      </c>
      <c r="B9" s="31">
        <v>3</v>
      </c>
      <c r="C9" s="31"/>
      <c r="D9" s="33"/>
    </row>
    <row r="10" spans="1:4" ht="30" x14ac:dyDescent="0.2">
      <c r="A10" s="39" t="s">
        <v>188</v>
      </c>
      <c r="B10" s="31">
        <v>3</v>
      </c>
      <c r="C10" s="31"/>
      <c r="D10" s="33"/>
    </row>
    <row r="11" spans="1:4" ht="30" x14ac:dyDescent="0.2">
      <c r="A11" s="39" t="s">
        <v>189</v>
      </c>
      <c r="B11" s="31">
        <v>3</v>
      </c>
      <c r="C11" s="31"/>
      <c r="D11" s="33"/>
    </row>
    <row r="12" spans="1:4" ht="30" x14ac:dyDescent="0.2">
      <c r="A12" s="39" t="s">
        <v>190</v>
      </c>
      <c r="B12" s="31">
        <v>3</v>
      </c>
      <c r="C12" s="31"/>
      <c r="D12" s="33"/>
    </row>
    <row r="13" spans="1:4" ht="16.5" thickBot="1" x14ac:dyDescent="0.25">
      <c r="A13" s="40" t="s">
        <v>191</v>
      </c>
      <c r="B13" s="34">
        <v>3</v>
      </c>
      <c r="C13" s="34"/>
      <c r="D13" s="35"/>
    </row>
    <row r="14" spans="1:4" ht="32.25" thickTop="1" x14ac:dyDescent="0.2">
      <c r="A14" s="38" t="s">
        <v>192</v>
      </c>
      <c r="B14" s="31"/>
      <c r="C14" s="31"/>
      <c r="D14" s="33"/>
    </row>
    <row r="15" spans="1:4" ht="30" x14ac:dyDescent="0.2">
      <c r="A15" s="39" t="s">
        <v>193</v>
      </c>
      <c r="B15" s="31">
        <v>3</v>
      </c>
      <c r="C15" s="31"/>
      <c r="D15" s="33"/>
    </row>
    <row r="16" spans="1:4" ht="30" x14ac:dyDescent="0.2">
      <c r="A16" s="39" t="s">
        <v>194</v>
      </c>
      <c r="B16" s="31">
        <v>3</v>
      </c>
      <c r="C16" s="31"/>
      <c r="D16" s="33"/>
    </row>
    <row r="17" spans="1:4" ht="30" x14ac:dyDescent="0.2">
      <c r="A17" s="39" t="s">
        <v>195</v>
      </c>
      <c r="B17" s="31">
        <v>3</v>
      </c>
      <c r="C17" s="31"/>
      <c r="D17" s="33"/>
    </row>
    <row r="18" spans="1:4" ht="30" x14ac:dyDescent="0.2">
      <c r="A18" s="39" t="s">
        <v>196</v>
      </c>
      <c r="B18" s="31">
        <v>3</v>
      </c>
      <c r="C18" s="31"/>
      <c r="D18" s="33"/>
    </row>
    <row r="19" spans="1:4" ht="16.5" thickBot="1" x14ac:dyDescent="0.25">
      <c r="A19" s="40" t="s">
        <v>197</v>
      </c>
      <c r="B19" s="34">
        <v>3</v>
      </c>
      <c r="C19" s="34"/>
      <c r="D19" s="35"/>
    </row>
    <row r="20" spans="1:4" ht="17.25" thickTop="1" thickBot="1" x14ac:dyDescent="0.25">
      <c r="A20" s="41" t="s">
        <v>198</v>
      </c>
      <c r="B20" s="36">
        <v>45</v>
      </c>
      <c r="C20" s="36"/>
      <c r="D20" s="35"/>
    </row>
    <row r="21" spans="1:4" ht="17.25" thickTop="1" thickBot="1" x14ac:dyDescent="0.25">
      <c r="A21" s="41" t="s">
        <v>199</v>
      </c>
      <c r="B21" s="91" t="s">
        <v>200</v>
      </c>
      <c r="C21" s="92"/>
      <c r="D21" s="92"/>
    </row>
    <row r="22" spans="1:4" ht="17.25" thickTop="1" thickBot="1" x14ac:dyDescent="0.25">
      <c r="A22" s="41" t="s">
        <v>201</v>
      </c>
      <c r="B22" s="93"/>
      <c r="C22" s="94"/>
      <c r="D22" s="94"/>
    </row>
    <row r="23" spans="1:4" ht="15" thickTop="1" x14ac:dyDescent="0.2"/>
  </sheetData>
  <mergeCells count="2">
    <mergeCell ref="B21:D21"/>
    <mergeCell ref="B22:D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2025-10-20T08:42:36Z</dcterms:modified>
</cp:coreProperties>
</file>