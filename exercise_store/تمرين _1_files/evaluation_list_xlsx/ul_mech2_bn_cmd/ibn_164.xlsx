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34E5C32-F596-4DFE-B20F-4A15E3D938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<sst xmlns="http://schemas.openxmlformats.org/spreadsheetml/2006/main" count="287" uniqueCount="227">
  <si>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</si>
  <si>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</si>
  <si>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</si>
  <si>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</si>
  <si>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</si>
  <si>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</si>
  <si>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</si>
  <si>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</si>
  <si>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</si>
  <si>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</si>
  <si>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</si>
  <si>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</si>
  <si>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</si>
  <si>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</si>
  <si>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</si>
  <si>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</si>
  <si>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</si>
  <si>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</si>
  <si>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</si>
  <si>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</si>
  <si>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</si>
  <si>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</si>
  <si>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</si>
  <si>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</si>
  <si>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</si>
  <si>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</si>
  <si>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</si>
  <si>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</si>
  <si>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</si>
  <si>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</si>
  <si>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</si>
  <si>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</si>
  <si>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</si>
  <si>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</si>
  <si>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</si>
  <si>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</si>
  <si>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</si>
  <si>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</si>
  <si>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</si>
  <si>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</si>
  <si>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</si>
  <si>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</si>
  <si>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</si>
  <si>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</si>
  <si>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</si>
  <si>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</si>
  <si>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</si>
  <si>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</si>
  <si>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</si>
  <si>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</si>
  <si>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</si>
  <si>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</si>
  <si>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</si>
  <si>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</si>
  <si>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</si>
  <si>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</si>
  <si>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</si>
  <si>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</si>
  <si>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</si>
  <si>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</si>
  <si>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</si>
  <si>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</si>
  <si>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</si>
  <si>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</si>
  <si>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ب. قام القائد والأركانية وقادة وضباط الوحدات المرؤوسة بتخطيط وترتيب أولويات العمل خلال التجارب من خلال ما يلي:</t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</si>
  <si>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</si>
  <si>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t>هـ. قام نائب القائد بما يلي:</t>
  </si>
  <si>
    <t>ب. تخصيص الوقت للتجارب.</t>
  </si>
  <si>
    <t>جـ. مراجعة التجميع للواجب للعملية.</t>
  </si>
  <si>
    <t>د. التأكد من حضور المشاركين في التجارب.</t>
  </si>
  <si>
    <t>هـ. التأكد من جاهزية المعدات اللازمة للتجارب.</t>
  </si>
  <si>
    <t>ز. إعداد شفافات موحدة تضم كافة مخططات الوحدات المرؤوسة.</t>
  </si>
  <si>
    <t>ح. تعيين مسجل ملاحظات للتجربة.</t>
  </si>
  <si>
    <t>ط. إصدار الشفافات الموحدة (شفاف المناورة، الإسناد الناري، الإسناد الهندسي والإدامة).</t>
  </si>
  <si>
    <t>ي. انتهاء القادة المرؤوسين من عملية التخطيط لوحداتهم.</t>
  </si>
  <si>
    <t>ك. تحضير القادة المرؤوسين لأي أمور لمناقشتها أثناء التجارب مع القيادة الأعلى.</t>
  </si>
  <si>
    <t>ل. تحرك المشاركون إلى موقع التجربة.</t>
  </si>
  <si>
    <t>جـ. قام قادة الوحدات المرؤوسة (المناورة) بتطبيق أدوارهم في العملية وحسب تسلسل الأحداث.</t>
  </si>
  <si>
    <t>هـ. تم تسجيل الملاحظات التي تتطلب اتخاذ قرار من قبل القائد.</t>
  </si>
  <si>
    <t>ح. أرسال القيادات لأي تحديثات على أمر العمليات / الخطة للوحدات المرؤوسة.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</si>
  <si>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</si>
  <si>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</si>
  <si>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</si>
  <si>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المشاركين في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</si>
  <si>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</si>
  <si>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(5)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مكان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</si>
  <si>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الأحداث الهامة التي سيتم التمرين عليها.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</si>
  <si>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تسلسل الأحداث الهامة.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</si>
  <si>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قائمة تدقيق للأفعال (النشاطات) من قبل قواتنا.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</si>
  <si>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زمان ومكان التجربة وكما جاء في أمر العمليات أو الأمر الإنذاري.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</si>
  <si>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المخرجات المطلوبة من إجراء التجربة.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</si>
  <si>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التنسيق لحضور ضباط ارتباط الوحدات المجاورة عند الضرورة.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</si>
  <si>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</si>
  <si>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التنفيذ</t>
    </r>
    <r>
      <rPr>
        <b/>
        <sz val="12"/>
        <color rgb="FF000000"/>
        <rFont val="Arial"/>
        <family val="2"/>
      </rPr>
      <t>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</si>
  <si>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إيجاز المشاركين عن أسلوب تنفيذ التجارب.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</si>
  <si>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</si>
  <si>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عرض مفهوم العمليات.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</si>
  <si>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</si>
  <si>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</si>
  <si>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</si>
  <si>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</si>
  <si>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</si>
  <si>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t>أ.   فهم القادة للموقف باستخدام كافة الوسائل المتوفرة.</t>
  </si>
  <si>
    <t>د.   كتابة النص الخاص بالتجارب شاملاً ما يلي:</t>
  </si>
  <si>
    <t>و.   تضمين مكان ووقت التجارب في أمر العمليات أو الإنذاري</t>
  </si>
  <si>
    <t>أ.   تم تدقيق قائمة الأحداث الهامة التي سيتم تطبيق التجارب عليها.</t>
  </si>
  <si>
    <t>و.  إزالة التعارض بين شفافات ومخططات الوحدات المرؤوسة إن وجدت.</t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</si>
  <si>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</si>
  <si>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</si>
  <si>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و.  تم تعديل الخطة بعد انتهاء التجارب حسب الحاجة وإبلاغ المعنيين بذلك حسب الأوامر التعبوية المستديمة.</t>
  </si>
  <si>
    <t>ز.  قام مسجل الملاحظات فور الانتهاء من التجربة ببيان التعديلات، أعمال التنسيق، أو الاستفسارات التي اجريت بناءً على توجيهات القائد.</t>
  </si>
  <si>
    <t>أ.   قام ضابط العمليات بما يلي: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</si>
  <si>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</si>
  <si>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</si>
  <si>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</si>
  <si>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</si>
  <si>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</si>
  <si>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</si>
  <si>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</si>
  <si>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</si>
  <si>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</si>
  <si>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</si>
  <si>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</si>
  <si>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</si>
  <si>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</si>
  <si>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</si>
  <si>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</si>
  <si>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</si>
  <si>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</si>
  <si>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</si>
  <si>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</si>
  <si>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</si>
  <si>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</si>
  <si>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</si>
  <si>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</si>
  <si>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</si>
  <si>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</si>
  <si>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</si>
  <si>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</si>
  <si>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</si>
  <si>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</si>
  <si>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</si>
  <si>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</si>
  <si>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</si>
  <si>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</si>
  <si>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</si>
  <si>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</si>
  <si>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</si>
  <si>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</si>
  <si>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</si>
  <si>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</si>
  <si>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</si>
  <si>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</si>
  <si>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</si>
  <si>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</si>
  <si>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</si>
  <si>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</si>
  <si>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</si>
  <si>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</si>
  <si>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</si>
  <si>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</si>
  <si>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</si>
  <si>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</si>
  <si>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</si>
  <si>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</si>
  <si>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</si>
  <si>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</si>
  <si>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</si>
  <si>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</si>
  <si>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</si>
  <si>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</si>
  <si>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</si>
  <si>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</si>
  <si>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</si>
  <si>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</si>
  <si>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</si>
  <si>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</si>
  <si>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</si>
  <si>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</si>
  <si>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</si>
  <si>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</si>
  <si>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</si>
  <si>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</si>
  <si>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</si>
  <si>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</si>
  <si>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</si>
  <si>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</si>
  <si>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</si>
  <si>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</si>
  <si>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</si>
  <si>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</si>
  <si>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</si>
  <si>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</si>
  <si>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</si>
  <si>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</si>
  <si>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</si>
  <si>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</si>
  <si>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</si>
  <si>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</si>
  <si>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</si>
  <si>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</si>
  <si>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</si>
  <si>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</si>
  <si>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</si>
  <si>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</si>
  <si>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</si>
  <si>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</si>
  <si>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</si>
  <si>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</si>
  <si>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</si>
  <si>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</si>
  <si>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</si>
  <si>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</si>
  <si>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</si>
  <si>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</si>
  <si>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</si>
  <si>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</si>
  <si>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</si>
  <si>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</si>
  <si>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</si>
  <si>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</si>
  <si>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</si>
  <si>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</si>
  <si>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</si>
  <si>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</si>
  <si>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تجارب الكتيبة/مجموعة القتال - العمليات التعرضية
تمرين جاهزية مجموعة لواء الإمارات/1 (جندي الصحراء 2025/20)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</si>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</sst>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22" xfId="0" applyFont="1" applyBorder="1" applyAlignment="1">
      <alignment horizontal="right" vertical="center" wrapText="1" indent="4" readingOrder="2"/>
    </xf>
    <xf numFmtId="0" fontId="9" fillId="0" borderId="3" xfId="0" applyFont="1" applyBorder="1" applyAlignment="1">
      <alignment horizontal="right" vertical="center" wrapText="1" indent="4" readingOrder="2"/>
    </xf>
    <xf numFmtId="0" fontId="9" fillId="0" borderId="5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2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190074</xdr:colOff>
      <xdr:row>58</xdr:row>
      <xdr:rowOff>472818</xdr:rowOff>
    </xdr:from>
    <xdr:to>
      <xdr:col>9</xdr:col>
      <xdr:colOff>618247</xdr:colOff>
      <xdr:row>60</xdr:row>
      <xdr:rowOff>108496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9167D53-F100-14DB-5A1F-E905604156BB}"/>
                </a:ext>
              </a:extLst>
            </xdr14:cNvPr>
            <xdr14:cNvContentPartPr/>
          </xdr14:nvContentPartPr>
          <xdr14:nvPr macro=""/>
          <xdr14:xfrm>
            <a:off x="10078009922" y="24909572"/>
            <a:ext cx="2344896" cy="819709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9167D53-F100-14DB-5A1F-E905604156B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670193" y="25542360"/>
              <a:ext cx="2419200" cy="86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625951</xdr:colOff>
      <xdr:row>60</xdr:row>
      <xdr:rowOff>104666</xdr:rowOff>
    </xdr:from>
    <xdr:to>
      <xdr:col>7</xdr:col>
      <xdr:colOff>74488</xdr:colOff>
      <xdr:row>60</xdr:row>
      <xdr:rowOff>141746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24E3855-8F76-38D6-995C-3CDC2488901F}"/>
                </a:ext>
              </a:extLst>
            </xdr14:cNvPr>
            <xdr14:cNvContentPartPr/>
          </xdr14:nvContentPartPr>
          <xdr14:nvPr macro=""/>
          <xdr14:xfrm>
            <a:off x="10079831496" y="25725451"/>
            <a:ext cx="87445" cy="370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24E3855-8F76-38D6-995C-3CDC2488901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24270753" y="26279280"/>
              <a:ext cx="115200" cy="49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1:05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4562 1887 26981,'0'0'0,"-10"-9"2657,5-1-1577,-9 1-600,10 5-384,2 0-112,0 1 0,2 3 16,0-1-64,0-1-48,3 1-40,7-1-96,0-2 72,6-6 24,-16 10 152,18-4-120,6-11 88,5 3 16,2-1-32,7-2-24,4-2 56,-42 17 16,45-18-16,5-1 48,4-3 40,3-2-72,3-1-16,1-2-8,-61 27 24,65-29-16,2-1 0,2 0 56,-2-1-48,-1 0 64,1 2 8,-67 29-64,65-30 0,-3 2 32,-1-1-16,-6 1 16,-3 1-80,-5 0 96,-47 27-48,44-23-16,-4 2-16,-4 1 152,-5 1-152,-3 2 80,-6 0-80,-22 17 32,18-15-120,-7 3 184,-7 1-24,-2 7 120,0-7 128,-2 7-24,0 4-264,-1-11 296,-8 8 88,5-10-56,-12 3-72,1 0-48,-5-3-144,20 13-64,-23-11-32,-5 0 80,-4 0 48,-4 3-112,-6 3 0,-4-5 80,46 10-64,-52-1-96,-5 1 128,-7 0-32,-6 11-80,-4 0 80,-4 1-48,78-12 48,-84 15-48,-4 5 48,-3 3-32,-6 3 48,-1 2 48,-2 1-64,100-29 0,-107 31-48,2 4 16,-3 2-16,-1 3 16,-3-1 48,0 5-16,112-44 0,-111 41-32,-1 0 32,3 2 0,-1 0 0,6 2 32,3-3-16,101-42-16,-96 44-16,7-4 32,2 1 0,9-4 0,5-1 16,7-3-16,66-33-16,-60 30-16,8-5 80,5-1-48,9-3 16,4-2-16,6-3-16,28-16 0,-23 13 80,8-3-64,1-7 32,10 8-48,-1-11 0,1 2-32,4-2 32,-1 2-16,1-2 32,0 0-64,2 0 16,2 0 48,7 0-16,-11 0 0,9 0-16,6 0 32,4-1-16,4-2-32,6-6 48,5-1 0,-34 10-16,40-12-48,6-4 64,6-2-16,4-3-48,6-3 96,3-1-48,-65 25 0,71-29-16,4-1-16,2-3-16,1-1 16,3-1 16,-1 1 0,-80 34 16,83-35 96,-1-1-112,2 2 16,-2-1-16,1 2-64,-1 0 80,-82 33 0,79-34 32,1 0-32,-4 2-32,-3-1 80,0-1-96,-5 3 48,-68 31 0,67-32-16,-6 3-32,-3 4 32,-4 1 32,-4 1 64,-3 2-80,-47 21 0,43-21 32,-5 0 0,-4 3-48,-5 0 32,-2 1 32,-3 2-64,-24 15 16,19-12 32,-2 0 0,-3 2 96,-5 6-111,-6-7-17,1 7 0,-4 4 0,0-4 0,2 0 0,-2 1 0,-1 0 0,-1-1 0,-8-1 0,10 5 0,-3-4 0,-10-5 0,-1 5 0,-2 1 0,-8-1 0,-2 1 0,26 3 0,-34-2 0,-5 2 0,-8 4 0,-8 9 0,-4-1 0,-7 5 0,66-17 0,-73 21 0,-6 4 0,-7 3 0,-5 3 0,-3 4 0,-5 2 0,99-37 0,-105 39 0,-2 1 0,-5 4 0,-1 3 0,-2 0 0,-2 3 0,117-50 0,-116 49 0,-1 2 0,0 1 0,0 1 0,3-1 0,3 1 0,111-53 0,-110 52 0,5 0 0,6-2 0,3-2 0,7-4 0,6 0 0,83-44 0,-77 41 0,6-1 0,8-5 0,10-6 0,6-3 0,6-4 0,41-22 0,-34 21 0,8-7 0,5-1 0,10-10 0,8 7 0,2-10 0,1 0 0,-2 0 0,5 0 0,9 0 0,4 0 0,4 0 0,-20 0 0,28-2 0,4-7 0,7-1 0,5-4 0,8-6 0,10-4 0,-62 24 0,68-28 0,7-4 0,8-6 0,3-3 0,8-3 0,2-2 0,-96 46 0,101-48 0,4 0 0,2 0 0,4-2 0,1 0 0,4-1 0,-116 51 0,113-49 0,3 1 0,-1 2 0,-1-1 0,-1 4 0,0 0 0,-113 43 0,111-43 0,-1 1 0,-3 1 0,-2 0 0,-5 4 0,0 0 0,-100 37 0,96-33 0,-2-2 0,-2 3 0,-5 1 0,-2 2 0,-2 2 0,-83 27 0,81-29 0,-4 2 0,-2 0 0,-3 2 0,-1 1 0,-2 2 0,-69 22 0,66-23 0,-5 3 0,-2-1 0,-2 2 0,-2 3 0,-3-2 0,-52 18 0,53-16 0,-4-1 0,-2 2 0,1 0 0,-5 1 0,-3 2 0,-40 12 0,38-12 0,-3 1 0,-1-1 0,-3 1 0,-2 1 0,-4 5 0,-25 5 0,21-11 0,-4 9 0,-6-3 0,-2 2 0,-6-1 0,-1 2 0,-2 2 0,3-2 0,-3 2 0,-2-1 0,-1 0 0,3 1 0,-4-1 0,-1-2 0,-6 0 0,2-1 0,-6 0 0,-1 0 0,16 4 0,-22-9 0,-4 8 0,-5-3 0,-4 2 0,-3 1 0,-6 1 0,44 0 0,-50 2 0,-5 2 0,-7 8 0,-6-1 0,-5 2 0,-4 5 0,77-18 0,-86 19 0,-3 4 0,-8 3 0,-7 0 0,-6 4 0,-7 2 0,117-32 0,-123 35 0,-3 2 0,-7 2 0,-2 1 0,-7 4 0,1 0 0,141-44 0,-147 45 0,-2-1 0,-2 2 0,-2 0 0,-1 1 0,-3 2 0,157-49 0,-156 49 0,-3 3 0,0 0 0,3-1 0,-3-2 0,3 1 0,156-50 0,-157 49 0,2 2 0,3-1 0,1-3 0,6 0 0,2-1 0,143-46 0,-138 43 0,5-3 0,6-1 0,7-5 0,5 1 0,4-4 0,111-31 0,-108 30 0,7-3 0,9-6 0,4-1 0,5-3 0,4-3 0,79-14 0,-72 11 0,6-7 0,8 5 0,10-9 0,6 0 0,7-1 0,35 1 0,-28-5 0,8-7 0,4 4 0,4-4 0,2-2 0,8-2 0,2 16 0,-1-21 0,1-4 0,9-5 0,3-4 0,6-4 0,7-2 0,-25 40 0,31-44 0,7-6 0,7-3 0,8-5 0,7-4 0,9-2 0,-69 64 0,76-67 0,4-3 0,6-3 0,4 0 0,3-2 0,6-1 0,-99 76 0,101-74 0,3-1 0,2 2 0,3 1 0,0 1 0,0 2 0,-109 69 0,110-69 0,1 4 0,1 0 0,-4 4 0,1 3 0,-3 4 0,-106 54 0,103-51 0,-1 4 0,-4 3 0,0 3 0,-3 5 0,-5 2 0,-90 34 0,88-29 0,-7 6 0,-4 3 0,-2 5 0,-3 6 0,-7 5 0,-65 4 0,65-1 0,-1 1 0,-4 0 0,-3 13 0,-5 2 0,-4 3 0,-48-18 0,44 22 0,-1 4 0,-2 4 0,-3 4 0,-2 4 0,-2 3 0,-34-41 0,33 43 0,-4 3 0,-2 2 0,1 3 0,-3 2 0,-2 2 0,0 1 0,-23-56 0,21 57 0,-2 1 0,-2 0 0,1-1 0,-1 1 0,-1 0 0,-16-58 0,16 59 0,2-2 0,0 0 0,3-1 0,-3 0 0,1 1 0,-19-57 0,20 54 0,-1 0 0,1 0 0,2-4 0,-2 0 0,3-2 0,-23-48 0,23 48 0,0 0 0,3-1 0,1-3 0,2-1 0,0 0 0,-29-43 0,31 39 0,-1-1 0,2 0 0,1-2 0,2-1 0,0-2 0,-35-33 0,36 30-545,1-2-1671,4-3-1633,1-4-4089,2-8-4496,-44-13 12434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1:05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243 103 32767,'0'0'0,"-53"-37"0,8 10 0,-10 0 0,17 16 0,14 11 0,24 0 0,-16 0 0,8 0 0,6 0 0,1 0 0,1 0 0,2 2 0,8 1 0,0 9 0,6-2-1617,8 5-3664,4-1-10730,-28-14 16011,0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topLeftCell="C1" zoomScale="130" zoomScaleNormal="100" zoomScaleSheetLayoutView="130" workbookViewId="0">
      <selection activeCell="E60" sqref="E60:F6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7" t="s">
        <v>225</v>
      </c>
      <c r="C1" s="38"/>
      <c r="D1" s="38"/>
      <c r="E1" s="38"/>
      <c r="F1" s="38"/>
      <c r="G1" s="38"/>
      <c r="H1" s="38"/>
      <c r="I1" s="38"/>
      <c r="J1" s="38"/>
    </row>
    <row r="2" spans="1:10" ht="30" customHeight="1" x14ac:dyDescent="0.3">
      <c r="B2" s="12" t="s">
        <v>8</v>
      </c>
      <c r="C2" s="44" t="s">
        <v>36</v>
      </c>
      <c r="D2" s="44"/>
      <c r="E2" s="12" t="s">
        <v>7</v>
      </c>
      <c r="F2" s="39">
        <v>45951</v>
      </c>
      <c r="G2" s="39"/>
      <c r="H2" s="39"/>
      <c r="I2" s="39"/>
      <c r="J2" s="39"/>
    </row>
    <row r="3" spans="1:10" ht="30" customHeight="1" x14ac:dyDescent="0.3">
      <c r="B3" s="12" t="s">
        <v>9</v>
      </c>
      <c r="C3" s="44" t="s">
        <v>213</v>
      </c>
      <c r="D3" s="44"/>
      <c r="E3" s="12" t="s">
        <v>6</v>
      </c>
      <c r="F3" s="44" t="s">
        <v>116</v>
      </c>
      <c r="G3" s="44"/>
      <c r="H3" s="44"/>
      <c r="I3" s="44"/>
      <c r="J3" s="4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0" t="s">
        <v>0</v>
      </c>
      <c r="C5" s="41"/>
      <c r="D5" s="41"/>
      <c r="E5" s="53" t="s">
        <v>1</v>
      </c>
      <c r="F5" s="53"/>
      <c r="G5" s="53"/>
      <c r="H5" s="53"/>
      <c r="I5" s="53" t="s">
        <v>2</v>
      </c>
      <c r="J5" s="54"/>
    </row>
    <row r="6" spans="1:10" ht="24.9" customHeight="1" thickBot="1" x14ac:dyDescent="0.35">
      <c r="A6" s="10"/>
      <c r="B6" s="42"/>
      <c r="C6" s="43"/>
      <c r="D6" s="43"/>
      <c r="E6" s="11" t="s">
        <v>3</v>
      </c>
      <c r="F6" s="11" t="s">
        <v>4</v>
      </c>
      <c r="G6" s="11" t="s">
        <v>23</v>
      </c>
      <c r="H6" s="11" t="s">
        <v>24</v>
      </c>
      <c r="I6" s="55"/>
      <c r="J6" s="56"/>
    </row>
    <row r="7" spans="1:10" ht="24.9" customHeight="1" thickBot="1" x14ac:dyDescent="0.35">
      <c r="A7" s="10"/>
      <c r="B7" s="47" t="s">
        <v>21</v>
      </c>
      <c r="C7" s="48"/>
      <c r="D7" s="48"/>
      <c r="E7" s="21" t="s">
        <v>18</v>
      </c>
      <c r="F7" s="21" t="s">
        <v>19</v>
      </c>
      <c r="G7" s="21" t="s">
        <v>22</v>
      </c>
      <c r="H7" s="21" t="s">
        <v>20</v>
      </c>
      <c r="I7" s="57" t="s">
        <v>25</v>
      </c>
      <c r="J7" s="58"/>
    </row>
    <row r="8" spans="1:10" ht="30" customHeight="1" x14ac:dyDescent="0.3">
      <c r="A8" s="10"/>
      <c r="B8" s="80" t="s">
        <v>80</v>
      </c>
      <c r="C8" s="81"/>
      <c r="D8" s="81"/>
      <c r="E8" s="81"/>
      <c r="F8" s="81"/>
      <c r="G8" s="81"/>
      <c r="H8" s="81"/>
      <c r="I8" s="81"/>
      <c r="J8" s="82"/>
    </row>
    <row r="9" spans="1:10" ht="30" customHeight="1" x14ac:dyDescent="0.3">
      <c r="A9" s="10"/>
      <c r="B9" s="70" t="s">
        <v>102</v>
      </c>
      <c r="C9" s="71"/>
      <c r="D9" s="71"/>
      <c r="E9" s="9">
        <v>5</v>
      </c>
      <c r="F9" s="19">
        <v>3.5</v>
      </c>
      <c r="G9" s="23">
        <f>IFERROR(F9/E9,"")</f>
        <v>0.7</v>
      </c>
      <c r="H9" s="2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1"/>
      <c r="J9" s="52"/>
    </row>
    <row r="10" spans="1:10" ht="39.9" customHeight="1" x14ac:dyDescent="0.3">
      <c r="A10" s="10"/>
      <c r="B10" s="70" t="s">
        <v>64</v>
      </c>
      <c r="C10" s="71"/>
      <c r="D10" s="71"/>
      <c r="E10" s="9"/>
      <c r="F10" s="19"/>
      <c r="G10" s="23"/>
      <c r="H10" s="24"/>
      <c r="I10" s="51"/>
      <c r="J10" s="52"/>
    </row>
    <row r="11" spans="1:10" ht="50.1" customHeight="1" x14ac:dyDescent="0.3">
      <c r="A11" s="10"/>
      <c r="B11" s="78" t="s">
        <v>81</v>
      </c>
      <c r="C11" s="79"/>
      <c r="D11" s="79"/>
      <c r="E11" s="9">
        <v>5</v>
      </c>
      <c r="F11" s="19">
        <v>3.5</v>
      </c>
      <c r="G11" s="23">
        <f t="shared" ref="G11:G55" si="0">IFERROR(F11/E11,"")</f>
        <v>0.7</v>
      </c>
      <c r="H11" s="24" t="str">
        <f t="shared" ref="H11:H55" si="1">_xlfn.IFS(F11="أدخل العلامة","",F11="لا ينطبق","تم الإلغاء",G11&gt;=90%,"ممتاز",G11&gt;=80%,"جيد جداً",G11&gt;=70%,"جيد",G11&gt;=60%,"مقبول",G11&lt;60%,"راسب")</f>
        <v>جيد</v>
      </c>
      <c r="I11" s="51"/>
      <c r="J11" s="52"/>
    </row>
    <row r="12" spans="1:10" ht="39.9" customHeight="1" x14ac:dyDescent="0.3">
      <c r="A12" s="10"/>
      <c r="B12" s="78" t="s">
        <v>82</v>
      </c>
      <c r="C12" s="79"/>
      <c r="D12" s="79"/>
      <c r="E12" s="9">
        <v>5</v>
      </c>
      <c r="F12" s="19">
        <v>3.5</v>
      </c>
      <c r="G12" s="23">
        <f t="shared" si="0"/>
        <v>0.7</v>
      </c>
      <c r="H12" s="24" t="str">
        <f t="shared" si="1"/>
        <v>جيد</v>
      </c>
      <c r="I12" s="51"/>
      <c r="J12" s="52"/>
    </row>
    <row r="13" spans="1:10" ht="30" customHeight="1" x14ac:dyDescent="0.3">
      <c r="A13" s="10"/>
      <c r="B13" s="78" t="s">
        <v>83</v>
      </c>
      <c r="C13" s="79"/>
      <c r="D13" s="79"/>
      <c r="E13" s="9">
        <v>5</v>
      </c>
      <c r="F13" s="19">
        <v>3.5</v>
      </c>
      <c r="G13" s="23">
        <f t="shared" si="0"/>
        <v>0.7</v>
      </c>
      <c r="H13" s="24" t="str">
        <f t="shared" si="1"/>
        <v>جيد</v>
      </c>
      <c r="I13" s="51"/>
      <c r="J13" s="52"/>
    </row>
    <row r="14" spans="1:10" ht="30" customHeight="1" x14ac:dyDescent="0.3">
      <c r="A14" s="10"/>
      <c r="B14" s="78" t="s">
        <v>84</v>
      </c>
      <c r="C14" s="79"/>
      <c r="D14" s="79"/>
      <c r="E14" s="9">
        <v>5</v>
      </c>
      <c r="F14" s="19">
        <v>3.5</v>
      </c>
      <c r="G14" s="23">
        <f t="shared" si="0"/>
        <v>0.7</v>
      </c>
      <c r="H14" s="24" t="str">
        <f t="shared" si="1"/>
        <v>جيد</v>
      </c>
      <c r="I14" s="51"/>
      <c r="J14" s="52"/>
    </row>
    <row r="15" spans="1:10" ht="30" customHeight="1" x14ac:dyDescent="0.3">
      <c r="A15" s="10"/>
      <c r="B15" s="78" t="s">
        <v>85</v>
      </c>
      <c r="C15" s="79"/>
      <c r="D15" s="79"/>
      <c r="E15" s="9">
        <v>5</v>
      </c>
      <c r="F15" s="19">
        <v>3.5</v>
      </c>
      <c r="G15" s="23">
        <f t="shared" si="0"/>
        <v>0.7</v>
      </c>
      <c r="H15" s="24" t="str">
        <f t="shared" si="1"/>
        <v>جيد</v>
      </c>
      <c r="I15" s="51"/>
      <c r="J15" s="52"/>
    </row>
    <row r="16" spans="1:10" ht="50.1" customHeight="1" x14ac:dyDescent="0.3">
      <c r="A16" s="10"/>
      <c r="B16" s="70" t="s">
        <v>65</v>
      </c>
      <c r="C16" s="71"/>
      <c r="D16" s="71"/>
      <c r="E16" s="9">
        <v>5</v>
      </c>
      <c r="F16" s="19">
        <v>3</v>
      </c>
      <c r="G16" s="23">
        <f t="shared" si="0"/>
        <v>0.6</v>
      </c>
      <c r="H16" s="24" t="str">
        <f t="shared" si="1"/>
        <v>مقبول</v>
      </c>
      <c r="I16" s="51"/>
      <c r="J16" s="52"/>
    </row>
    <row r="17" spans="1:10" ht="30" customHeight="1" x14ac:dyDescent="0.3">
      <c r="A17" s="10"/>
      <c r="B17" s="70" t="s">
        <v>103</v>
      </c>
      <c r="C17" s="71"/>
      <c r="D17" s="71"/>
      <c r="E17" s="9"/>
      <c r="F17" s="19"/>
      <c r="G17" s="23"/>
      <c r="H17" s="24"/>
      <c r="I17" s="51"/>
      <c r="J17" s="52"/>
    </row>
    <row r="18" spans="1:10" ht="30" customHeight="1" x14ac:dyDescent="0.3">
      <c r="A18" s="10"/>
      <c r="B18" s="78" t="s">
        <v>86</v>
      </c>
      <c r="C18" s="79"/>
      <c r="D18" s="79"/>
      <c r="E18" s="9">
        <v>5</v>
      </c>
      <c r="F18" s="19">
        <v>3</v>
      </c>
      <c r="G18" s="23">
        <f t="shared" si="0"/>
        <v>0.6</v>
      </c>
      <c r="H18" s="24" t="str">
        <f t="shared" si="1"/>
        <v>مقبول</v>
      </c>
      <c r="I18" s="51"/>
      <c r="J18" s="52"/>
    </row>
    <row r="19" spans="1:10" ht="30" customHeight="1" x14ac:dyDescent="0.3">
      <c r="A19" s="10"/>
      <c r="B19" s="78" t="s">
        <v>87</v>
      </c>
      <c r="C19" s="79"/>
      <c r="D19" s="79"/>
      <c r="E19" s="9">
        <v>5</v>
      </c>
      <c r="F19" s="19">
        <v>3</v>
      </c>
      <c r="G19" s="23">
        <f t="shared" si="0"/>
        <v>0.6</v>
      </c>
      <c r="H19" s="24" t="str">
        <f t="shared" si="1"/>
        <v>مقبول</v>
      </c>
      <c r="I19" s="51"/>
      <c r="J19" s="52"/>
    </row>
    <row r="20" spans="1:10" ht="30" customHeight="1" x14ac:dyDescent="0.3">
      <c r="A20" s="10"/>
      <c r="B20" s="78" t="s">
        <v>88</v>
      </c>
      <c r="C20" s="79"/>
      <c r="D20" s="79"/>
      <c r="E20" s="9">
        <v>5</v>
      </c>
      <c r="F20" s="19">
        <v>3</v>
      </c>
      <c r="G20" s="23">
        <f t="shared" si="0"/>
        <v>0.6</v>
      </c>
      <c r="H20" s="24" t="str">
        <f t="shared" si="1"/>
        <v>مقبول</v>
      </c>
      <c r="I20" s="51"/>
      <c r="J20" s="52"/>
    </row>
    <row r="21" spans="1:10" ht="30" customHeight="1" x14ac:dyDescent="0.3">
      <c r="A21" s="10"/>
      <c r="B21" s="70" t="s">
        <v>66</v>
      </c>
      <c r="C21" s="71"/>
      <c r="D21" s="71"/>
      <c r="E21" s="9"/>
      <c r="F21" s="19"/>
      <c r="G21" s="23"/>
      <c r="H21" s="24"/>
      <c r="I21" s="51"/>
      <c r="J21" s="52"/>
    </row>
    <row r="22" spans="1:10" ht="39.9" customHeight="1" x14ac:dyDescent="0.3">
      <c r="A22" s="10"/>
      <c r="B22" s="78" t="s">
        <v>89</v>
      </c>
      <c r="C22" s="79"/>
      <c r="D22" s="79"/>
      <c r="E22" s="9">
        <v>5</v>
      </c>
      <c r="F22" s="19">
        <v>3.5</v>
      </c>
      <c r="G22" s="23">
        <f t="shared" si="0"/>
        <v>0.7</v>
      </c>
      <c r="H22" s="24" t="str">
        <f t="shared" si="1"/>
        <v>جيد</v>
      </c>
      <c r="I22" s="51"/>
      <c r="J22" s="52"/>
    </row>
    <row r="23" spans="1:10" ht="30" customHeight="1" x14ac:dyDescent="0.3">
      <c r="A23" s="10"/>
      <c r="B23" s="78" t="s">
        <v>90</v>
      </c>
      <c r="C23" s="79"/>
      <c r="D23" s="79"/>
      <c r="E23" s="9">
        <v>5</v>
      </c>
      <c r="F23" s="19">
        <v>3</v>
      </c>
      <c r="G23" s="23">
        <f t="shared" si="0"/>
        <v>0.6</v>
      </c>
      <c r="H23" s="24" t="str">
        <f t="shared" si="1"/>
        <v>مقبول</v>
      </c>
      <c r="I23" s="51"/>
      <c r="J23" s="52"/>
    </row>
    <row r="24" spans="1:10" ht="39.9" customHeight="1" x14ac:dyDescent="0.3">
      <c r="A24" s="10"/>
      <c r="B24" s="78" t="s">
        <v>91</v>
      </c>
      <c r="C24" s="79"/>
      <c r="D24" s="79"/>
      <c r="E24" s="9">
        <v>5</v>
      </c>
      <c r="F24" s="19">
        <v>3.25</v>
      </c>
      <c r="G24" s="23">
        <f t="shared" si="0"/>
        <v>0.65</v>
      </c>
      <c r="H24" s="24" t="str">
        <f t="shared" si="1"/>
        <v>مقبول</v>
      </c>
      <c r="I24" s="51"/>
      <c r="J24" s="52"/>
    </row>
    <row r="25" spans="1:10" ht="30" customHeight="1" thickBot="1" x14ac:dyDescent="0.35">
      <c r="A25" s="10"/>
      <c r="B25" s="76" t="s">
        <v>104</v>
      </c>
      <c r="C25" s="77"/>
      <c r="D25" s="77"/>
      <c r="E25" s="29">
        <v>5</v>
      </c>
      <c r="F25" s="20">
        <v>3.5</v>
      </c>
      <c r="G25" s="27">
        <f t="shared" si="0"/>
        <v>0.7</v>
      </c>
      <c r="H25" s="28" t="str">
        <f t="shared" si="1"/>
        <v>جيد</v>
      </c>
      <c r="I25" s="49"/>
      <c r="J25" s="50"/>
    </row>
    <row r="26" spans="1:10" ht="30" customHeight="1" x14ac:dyDescent="0.3">
      <c r="A26" s="10"/>
      <c r="B26" s="80" t="s">
        <v>92</v>
      </c>
      <c r="C26" s="81"/>
      <c r="D26" s="81"/>
      <c r="E26" s="81"/>
      <c r="F26" s="81"/>
      <c r="G26" s="81"/>
      <c r="H26" s="81"/>
      <c r="I26" s="81"/>
      <c r="J26" s="82"/>
    </row>
    <row r="27" spans="1:10" ht="30" customHeight="1" x14ac:dyDescent="0.3">
      <c r="A27" s="10"/>
      <c r="B27" s="70" t="s">
        <v>105</v>
      </c>
      <c r="C27" s="71"/>
      <c r="D27" s="71"/>
      <c r="E27" s="25">
        <v>5</v>
      </c>
      <c r="F27" s="19">
        <v>3.5</v>
      </c>
      <c r="G27" s="23">
        <f t="shared" si="0"/>
        <v>0.7</v>
      </c>
      <c r="H27" s="24" t="str">
        <f t="shared" si="1"/>
        <v>جيد</v>
      </c>
      <c r="I27" s="51"/>
      <c r="J27" s="52"/>
    </row>
    <row r="28" spans="1:10" ht="30" customHeight="1" x14ac:dyDescent="0.3">
      <c r="A28" s="10"/>
      <c r="B28" s="70" t="s">
        <v>67</v>
      </c>
      <c r="C28" s="71"/>
      <c r="D28" s="71"/>
      <c r="E28" s="25">
        <v>5</v>
      </c>
      <c r="F28" s="19">
        <v>3.5</v>
      </c>
      <c r="G28" s="23">
        <f t="shared" si="0"/>
        <v>0.7</v>
      </c>
      <c r="H28" s="24" t="str">
        <f t="shared" si="1"/>
        <v>جيد</v>
      </c>
      <c r="I28" s="51"/>
      <c r="J28" s="52"/>
    </row>
    <row r="29" spans="1:10" ht="30" customHeight="1" x14ac:dyDescent="0.3">
      <c r="A29" s="10"/>
      <c r="B29" s="70" t="s">
        <v>68</v>
      </c>
      <c r="C29" s="71"/>
      <c r="D29" s="71"/>
      <c r="E29" s="25">
        <v>5</v>
      </c>
      <c r="F29" s="19">
        <v>3.25</v>
      </c>
      <c r="G29" s="23">
        <f t="shared" si="0"/>
        <v>0.65</v>
      </c>
      <c r="H29" s="24" t="str">
        <f t="shared" si="1"/>
        <v>مقبول</v>
      </c>
      <c r="I29" s="51"/>
      <c r="J29" s="52"/>
    </row>
    <row r="30" spans="1:10" ht="30" customHeight="1" x14ac:dyDescent="0.3">
      <c r="A30" s="10"/>
      <c r="B30" s="70" t="s">
        <v>69</v>
      </c>
      <c r="C30" s="71"/>
      <c r="D30" s="71"/>
      <c r="E30" s="25">
        <v>5</v>
      </c>
      <c r="F30" s="19">
        <v>3.5</v>
      </c>
      <c r="G30" s="23">
        <f t="shared" si="0"/>
        <v>0.7</v>
      </c>
      <c r="H30" s="24" t="str">
        <f t="shared" si="1"/>
        <v>جيد</v>
      </c>
      <c r="I30" s="51"/>
      <c r="J30" s="52"/>
    </row>
    <row r="31" spans="1:10" ht="30" customHeight="1" x14ac:dyDescent="0.3">
      <c r="A31" s="10"/>
      <c r="B31" s="70" t="s">
        <v>70</v>
      </c>
      <c r="C31" s="71"/>
      <c r="D31" s="71"/>
      <c r="E31" s="25">
        <v>5</v>
      </c>
      <c r="F31" s="19">
        <v>3.5</v>
      </c>
      <c r="G31" s="23">
        <f t="shared" si="0"/>
        <v>0.7</v>
      </c>
      <c r="H31" s="24" t="str">
        <f t="shared" si="1"/>
        <v>جيد</v>
      </c>
      <c r="I31" s="51"/>
      <c r="J31" s="52"/>
    </row>
    <row r="32" spans="1:10" ht="39.9" customHeight="1" x14ac:dyDescent="0.3">
      <c r="A32" s="10"/>
      <c r="B32" s="70" t="s">
        <v>106</v>
      </c>
      <c r="C32" s="71"/>
      <c r="D32" s="71"/>
      <c r="E32" s="25">
        <v>5</v>
      </c>
      <c r="F32" s="19">
        <v>3.5</v>
      </c>
      <c r="G32" s="23">
        <f t="shared" si="0"/>
        <v>0.7</v>
      </c>
      <c r="H32" s="24" t="str">
        <f t="shared" si="1"/>
        <v>جيد</v>
      </c>
      <c r="I32" s="51"/>
      <c r="J32" s="52"/>
    </row>
    <row r="33" spans="1:10" ht="30" customHeight="1" x14ac:dyDescent="0.3">
      <c r="A33" s="10"/>
      <c r="B33" s="70" t="s">
        <v>71</v>
      </c>
      <c r="C33" s="71"/>
      <c r="D33" s="71"/>
      <c r="E33" s="25">
        <v>5</v>
      </c>
      <c r="F33" s="19">
        <v>3.75</v>
      </c>
      <c r="G33" s="23">
        <f t="shared" si="0"/>
        <v>0.75</v>
      </c>
      <c r="H33" s="24" t="str">
        <f t="shared" si="1"/>
        <v>جيد</v>
      </c>
      <c r="I33" s="51"/>
      <c r="J33" s="52"/>
    </row>
    <row r="34" spans="1:10" ht="30" customHeight="1" x14ac:dyDescent="0.3">
      <c r="A34" s="10"/>
      <c r="B34" s="70" t="s">
        <v>72</v>
      </c>
      <c r="C34" s="71"/>
      <c r="D34" s="71"/>
      <c r="E34" s="25">
        <v>5</v>
      </c>
      <c r="F34" s="19">
        <v>4</v>
      </c>
      <c r="G34" s="23">
        <f t="shared" si="0"/>
        <v>0.8</v>
      </c>
      <c r="H34" s="24" t="str">
        <f t="shared" si="1"/>
        <v>جيد جداً</v>
      </c>
      <c r="I34" s="51"/>
      <c r="J34" s="52"/>
    </row>
    <row r="35" spans="1:10" ht="39.9" customHeight="1" x14ac:dyDescent="0.3">
      <c r="A35" s="10"/>
      <c r="B35" s="70" t="s">
        <v>73</v>
      </c>
      <c r="C35" s="71"/>
      <c r="D35" s="71"/>
      <c r="E35" s="25">
        <v>5</v>
      </c>
      <c r="F35" s="19">
        <v>3.25</v>
      </c>
      <c r="G35" s="23">
        <f t="shared" si="0"/>
        <v>0.65</v>
      </c>
      <c r="H35" s="24" t="str">
        <f t="shared" si="1"/>
        <v>مقبول</v>
      </c>
      <c r="I35" s="51"/>
      <c r="J35" s="52"/>
    </row>
    <row r="36" spans="1:10" ht="30" customHeight="1" x14ac:dyDescent="0.3">
      <c r="A36" s="10"/>
      <c r="B36" s="70" t="s">
        <v>74</v>
      </c>
      <c r="C36" s="71"/>
      <c r="D36" s="71"/>
      <c r="E36" s="25">
        <v>5</v>
      </c>
      <c r="F36" s="19">
        <v>3.5</v>
      </c>
      <c r="G36" s="23">
        <f t="shared" si="0"/>
        <v>0.7</v>
      </c>
      <c r="H36" s="24" t="str">
        <f t="shared" si="1"/>
        <v>جيد</v>
      </c>
      <c r="I36" s="51"/>
      <c r="J36" s="52"/>
    </row>
    <row r="37" spans="1:10" ht="39.9" customHeight="1" x14ac:dyDescent="0.3">
      <c r="A37" s="10"/>
      <c r="B37" s="70" t="s">
        <v>75</v>
      </c>
      <c r="C37" s="71"/>
      <c r="D37" s="71"/>
      <c r="E37" s="25">
        <v>5</v>
      </c>
      <c r="F37" s="19">
        <v>3.5</v>
      </c>
      <c r="G37" s="23">
        <f t="shared" si="0"/>
        <v>0.7</v>
      </c>
      <c r="H37" s="24" t="str">
        <f t="shared" si="1"/>
        <v>جيد</v>
      </c>
      <c r="I37" s="51"/>
      <c r="J37" s="52"/>
    </row>
    <row r="38" spans="1:10" ht="30" customHeight="1" thickBot="1" x14ac:dyDescent="0.35">
      <c r="A38" s="10"/>
      <c r="B38" s="76" t="s">
        <v>76</v>
      </c>
      <c r="C38" s="77"/>
      <c r="D38" s="77"/>
      <c r="E38" s="26">
        <v>5</v>
      </c>
      <c r="F38" s="20">
        <v>3.5</v>
      </c>
      <c r="G38" s="27">
        <f t="shared" si="0"/>
        <v>0.7</v>
      </c>
      <c r="H38" s="28" t="str">
        <f t="shared" si="1"/>
        <v>جيد</v>
      </c>
      <c r="I38" s="49"/>
      <c r="J38" s="50"/>
    </row>
    <row r="39" spans="1:10" ht="30" customHeight="1" x14ac:dyDescent="0.3">
      <c r="A39" s="10"/>
      <c r="B39" s="80" t="s">
        <v>93</v>
      </c>
      <c r="C39" s="81"/>
      <c r="D39" s="81"/>
      <c r="E39" s="81"/>
      <c r="F39" s="81"/>
      <c r="G39" s="81"/>
      <c r="H39" s="81"/>
      <c r="I39" s="81"/>
      <c r="J39" s="82"/>
    </row>
    <row r="40" spans="1:10" ht="30" customHeight="1" x14ac:dyDescent="0.3">
      <c r="A40" s="10"/>
      <c r="B40" s="70" t="s">
        <v>111</v>
      </c>
      <c r="C40" s="71"/>
      <c r="D40" s="71"/>
      <c r="E40" s="9"/>
      <c r="F40" s="19"/>
      <c r="G40" s="23"/>
      <c r="H40" s="24"/>
      <c r="I40" s="51"/>
      <c r="J40" s="52"/>
    </row>
    <row r="41" spans="1:10" ht="30" customHeight="1" x14ac:dyDescent="0.3">
      <c r="A41" s="10"/>
      <c r="B41" s="78" t="s">
        <v>94</v>
      </c>
      <c r="C41" s="79"/>
      <c r="D41" s="79"/>
      <c r="E41" s="25">
        <v>5</v>
      </c>
      <c r="F41" s="19">
        <v>3.5</v>
      </c>
      <c r="G41" s="23">
        <f t="shared" si="0"/>
        <v>0.7</v>
      </c>
      <c r="H41" s="24" t="str">
        <f t="shared" si="1"/>
        <v>جيد</v>
      </c>
      <c r="I41" s="51"/>
      <c r="J41" s="52"/>
    </row>
    <row r="42" spans="1:10" ht="30" customHeight="1" x14ac:dyDescent="0.3">
      <c r="A42" s="10"/>
      <c r="B42" s="78" t="s">
        <v>95</v>
      </c>
      <c r="C42" s="79"/>
      <c r="D42" s="79"/>
      <c r="E42" s="25">
        <v>5</v>
      </c>
      <c r="F42" s="19">
        <v>3.5</v>
      </c>
      <c r="G42" s="23">
        <f t="shared" si="0"/>
        <v>0.7</v>
      </c>
      <c r="H42" s="24" t="str">
        <f t="shared" si="1"/>
        <v>جيد</v>
      </c>
      <c r="I42" s="51"/>
      <c r="J42" s="52"/>
    </row>
    <row r="43" spans="1:10" ht="30" customHeight="1" x14ac:dyDescent="0.3">
      <c r="A43" s="10"/>
      <c r="B43" s="78" t="s">
        <v>96</v>
      </c>
      <c r="C43" s="79"/>
      <c r="D43" s="79"/>
      <c r="E43" s="25">
        <v>5</v>
      </c>
      <c r="F43" s="19">
        <v>3.5</v>
      </c>
      <c r="G43" s="23">
        <f t="shared" si="0"/>
        <v>0.7</v>
      </c>
      <c r="H43" s="24" t="str">
        <f t="shared" si="1"/>
        <v>جيد</v>
      </c>
      <c r="I43" s="51"/>
      <c r="J43" s="52"/>
    </row>
    <row r="44" spans="1:10" ht="39.9" customHeight="1" x14ac:dyDescent="0.3">
      <c r="A44" s="10"/>
      <c r="B44" s="78" t="s">
        <v>97</v>
      </c>
      <c r="C44" s="79"/>
      <c r="D44" s="79"/>
      <c r="E44" s="25">
        <v>5</v>
      </c>
      <c r="F44" s="19">
        <v>3.5</v>
      </c>
      <c r="G44" s="23">
        <f t="shared" si="0"/>
        <v>0.7</v>
      </c>
      <c r="H44" s="24" t="str">
        <f t="shared" si="1"/>
        <v>جيد</v>
      </c>
      <c r="I44" s="51"/>
      <c r="J44" s="52"/>
    </row>
    <row r="45" spans="1:10" ht="30" customHeight="1" x14ac:dyDescent="0.3">
      <c r="A45" s="10"/>
      <c r="B45" s="70" t="s">
        <v>107</v>
      </c>
      <c r="C45" s="71"/>
      <c r="D45" s="71"/>
      <c r="E45" s="9"/>
      <c r="F45" s="19"/>
      <c r="G45" s="23"/>
      <c r="H45" s="24"/>
      <c r="I45" s="51"/>
      <c r="J45" s="52"/>
    </row>
    <row r="46" spans="1:10" ht="30" customHeight="1" x14ac:dyDescent="0.3">
      <c r="A46" s="10"/>
      <c r="B46" s="78" t="s">
        <v>98</v>
      </c>
      <c r="C46" s="79"/>
      <c r="D46" s="79"/>
      <c r="E46" s="25">
        <v>5</v>
      </c>
      <c r="F46" s="19">
        <v>3.5</v>
      </c>
      <c r="G46" s="23">
        <f t="shared" si="0"/>
        <v>0.7</v>
      </c>
      <c r="H46" s="24" t="str">
        <f t="shared" si="1"/>
        <v>جيد</v>
      </c>
      <c r="I46" s="51"/>
      <c r="J46" s="52"/>
    </row>
    <row r="47" spans="1:10" ht="30" customHeight="1" x14ac:dyDescent="0.3">
      <c r="A47" s="10"/>
      <c r="B47" s="78" t="s">
        <v>99</v>
      </c>
      <c r="C47" s="79"/>
      <c r="D47" s="79"/>
      <c r="E47" s="25">
        <v>5</v>
      </c>
      <c r="F47" s="19">
        <v>3.5</v>
      </c>
      <c r="G47" s="23">
        <f t="shared" si="0"/>
        <v>0.7</v>
      </c>
      <c r="H47" s="24" t="str">
        <f t="shared" si="1"/>
        <v>جيد</v>
      </c>
      <c r="I47" s="51"/>
      <c r="J47" s="52"/>
    </row>
    <row r="48" spans="1:10" ht="30" customHeight="1" x14ac:dyDescent="0.3">
      <c r="A48" s="10"/>
      <c r="B48" s="78" t="s">
        <v>100</v>
      </c>
      <c r="C48" s="79"/>
      <c r="D48" s="79"/>
      <c r="E48" s="25">
        <v>5</v>
      </c>
      <c r="F48" s="19">
        <v>3.5</v>
      </c>
      <c r="G48" s="23">
        <f t="shared" si="0"/>
        <v>0.7</v>
      </c>
      <c r="H48" s="24" t="str">
        <f t="shared" si="1"/>
        <v>جيد</v>
      </c>
      <c r="I48" s="51"/>
      <c r="J48" s="52"/>
    </row>
    <row r="49" spans="1:10" ht="50.1" customHeight="1" x14ac:dyDescent="0.3">
      <c r="A49" s="10"/>
      <c r="B49" s="78" t="s">
        <v>101</v>
      </c>
      <c r="C49" s="79"/>
      <c r="D49" s="79"/>
      <c r="E49" s="25">
        <v>5</v>
      </c>
      <c r="F49" s="19">
        <v>3.5</v>
      </c>
      <c r="G49" s="23">
        <f t="shared" si="0"/>
        <v>0.7</v>
      </c>
      <c r="H49" s="24" t="str">
        <f t="shared" si="1"/>
        <v>جيد</v>
      </c>
      <c r="I49" s="51"/>
      <c r="J49" s="52"/>
    </row>
    <row r="50" spans="1:10" ht="39.9" customHeight="1" x14ac:dyDescent="0.3">
      <c r="A50" s="10"/>
      <c r="B50" s="70" t="s">
        <v>77</v>
      </c>
      <c r="C50" s="71"/>
      <c r="D50" s="71"/>
      <c r="E50" s="25">
        <v>5</v>
      </c>
      <c r="F50" s="19">
        <v>3.5</v>
      </c>
      <c r="G50" s="23">
        <f t="shared" si="0"/>
        <v>0.7</v>
      </c>
      <c r="H50" s="24" t="str">
        <f t="shared" si="1"/>
        <v>جيد</v>
      </c>
      <c r="I50" s="51"/>
      <c r="J50" s="52"/>
    </row>
    <row r="51" spans="1:10" ht="39.9" customHeight="1" x14ac:dyDescent="0.3">
      <c r="A51" s="10"/>
      <c r="B51" s="70" t="s">
        <v>108</v>
      </c>
      <c r="C51" s="71"/>
      <c r="D51" s="71"/>
      <c r="E51" s="25">
        <v>5</v>
      </c>
      <c r="F51" s="19">
        <v>3.5</v>
      </c>
      <c r="G51" s="23">
        <f t="shared" si="0"/>
        <v>0.7</v>
      </c>
      <c r="H51" s="24" t="str">
        <f t="shared" si="1"/>
        <v>جيد</v>
      </c>
      <c r="I51" s="51"/>
      <c r="J51" s="52"/>
    </row>
    <row r="52" spans="1:10" ht="30" customHeight="1" x14ac:dyDescent="0.3">
      <c r="A52" s="10"/>
      <c r="B52" s="70" t="s">
        <v>78</v>
      </c>
      <c r="C52" s="71"/>
      <c r="D52" s="71"/>
      <c r="E52" s="25">
        <v>5</v>
      </c>
      <c r="F52" s="19">
        <v>3.5</v>
      </c>
      <c r="G52" s="23">
        <f t="shared" si="0"/>
        <v>0.7</v>
      </c>
      <c r="H52" s="24" t="str">
        <f t="shared" si="1"/>
        <v>جيد</v>
      </c>
      <c r="I52" s="51"/>
      <c r="J52" s="52"/>
    </row>
    <row r="53" spans="1:10" ht="39.9" customHeight="1" x14ac:dyDescent="0.3">
      <c r="A53" s="10"/>
      <c r="B53" s="70" t="s">
        <v>109</v>
      </c>
      <c r="C53" s="71"/>
      <c r="D53" s="71"/>
      <c r="E53" s="25">
        <v>5</v>
      </c>
      <c r="F53" s="19">
        <v>3.5</v>
      </c>
      <c r="G53" s="23">
        <f t="shared" si="0"/>
        <v>0.7</v>
      </c>
      <c r="H53" s="24" t="str">
        <f t="shared" si="1"/>
        <v>جيد</v>
      </c>
      <c r="I53" s="51"/>
      <c r="J53" s="52"/>
    </row>
    <row r="54" spans="1:10" ht="39.9" customHeight="1" x14ac:dyDescent="0.3">
      <c r="A54" s="10"/>
      <c r="B54" s="70" t="s">
        <v>110</v>
      </c>
      <c r="C54" s="71"/>
      <c r="D54" s="71"/>
      <c r="E54" s="25">
        <v>5</v>
      </c>
      <c r="F54" s="19">
        <v>3.5</v>
      </c>
      <c r="G54" s="23">
        <f t="shared" si="0"/>
        <v>0.7</v>
      </c>
      <c r="H54" s="24" t="str">
        <f t="shared" si="1"/>
        <v>جيد</v>
      </c>
      <c r="I54" s="51"/>
      <c r="J54" s="52"/>
    </row>
    <row r="55" spans="1:10" ht="39.9" customHeight="1" thickBot="1" x14ac:dyDescent="0.35">
      <c r="A55" s="10"/>
      <c r="B55" s="76" t="s">
        <v>79</v>
      </c>
      <c r="C55" s="77"/>
      <c r="D55" s="77"/>
      <c r="E55" s="26">
        <v>5</v>
      </c>
      <c r="F55" s="20">
        <v>3.5</v>
      </c>
      <c r="G55" s="27">
        <f t="shared" si="0"/>
        <v>0.7</v>
      </c>
      <c r="H55" s="28" t="str">
        <f t="shared" si="1"/>
        <v>جيد</v>
      </c>
      <c r="I55" s="49"/>
      <c r="J55" s="50"/>
    </row>
    <row r="56" spans="1:10" ht="30" customHeight="1" thickBot="1" x14ac:dyDescent="0.35">
      <c r="A56" s="4"/>
      <c r="B56" s="72" t="s">
        <v>5</v>
      </c>
      <c r="C56" s="73"/>
      <c r="D56" s="73"/>
      <c r="E56" s="22">
        <f>SUM(E8:E55)</f>
        <v>200</v>
      </c>
      <c r="F56" s="22">
        <f>SUM(F8:F55)</f>
        <v>137.5</v>
      </c>
      <c r="G56" s="67"/>
      <c r="H56" s="68"/>
      <c r="I56" s="68"/>
      <c r="J56" s="69"/>
    </row>
    <row r="57" spans="1:10" ht="30" customHeight="1" thickBot="1" x14ac:dyDescent="0.35">
      <c r="A57" s="4"/>
      <c r="B57" s="74" t="s">
        <v>54</v>
      </c>
      <c r="C57" s="75"/>
      <c r="D57" s="75"/>
      <c r="E57" s="45">
        <f>F56/E56/100*100</f>
        <v>0.6875</v>
      </c>
      <c r="F57" s="45"/>
      <c r="G57" s="45"/>
      <c r="H57" s="45"/>
      <c r="I57" s="45"/>
      <c r="J57" s="46"/>
    </row>
    <row r="58" spans="1:10" ht="30" customHeight="1" thickBot="1" x14ac:dyDescent="0.35">
      <c r="A58" s="4"/>
      <c r="B58" s="74" t="s">
        <v>55</v>
      </c>
      <c r="C58" s="75"/>
      <c r="D58" s="75"/>
      <c r="E58" s="63" t="str">
        <f>_xlfn.IFS(E57&gt;=90%,"ممتاز",E57&gt;=80%,"جيد جداً",E57&gt;=70%,"جيد",E57&gt;=60%,"مقبول",E57&lt;60%,"راسب")</f>
        <v>مقبول</v>
      </c>
      <c r="F58" s="63"/>
      <c r="G58" s="63"/>
      <c r="H58" s="63"/>
      <c r="I58" s="63"/>
      <c r="J58" s="64"/>
    </row>
    <row r="59" spans="1:10" ht="42" customHeight="1" x14ac:dyDescent="0.3">
      <c r="B59" s="59" t="s">
        <v>63</v>
      </c>
      <c r="C59" s="59"/>
      <c r="D59" s="59"/>
      <c r="E59" s="65" t="s">
        <v>52</v>
      </c>
      <c r="F59" s="65"/>
      <c r="G59" s="61" t="s">
        <v>116</v>
      </c>
      <c r="H59" s="61"/>
      <c r="I59" s="61"/>
      <c r="J59" s="61"/>
    </row>
    <row r="60" spans="1:10" ht="51" customHeight="1" x14ac:dyDescent="0.3">
      <c r="A60" s="5"/>
      <c r="B60" s="60"/>
      <c r="C60" s="60"/>
      <c r="D60" s="60"/>
      <c r="E60" s="66" t="s">
        <v>53</v>
      </c>
      <c r="F60" s="66"/>
      <c r="G60" s="62" t="s">
        <v>226</v>
      </c>
      <c r="H60" s="62"/>
      <c r="I60" s="62"/>
      <c r="J60" s="6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8:J8"/>
    <mergeCell ref="B26:J26"/>
    <mergeCell ref="B39:J39"/>
    <mergeCell ref="B44:D44"/>
    <mergeCell ref="B45:D45"/>
    <mergeCell ref="B46:D46"/>
    <mergeCell ref="B47:D47"/>
    <mergeCell ref="B48:D48"/>
    <mergeCell ref="B49:D49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50:D50"/>
    <mergeCell ref="B51:D51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E9 F9:F25 F27:F38 F40:F55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1" workbookViewId="0">
      <selection activeCell="C2" sqref="C2:C29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36" t="s">
        <v>198</v>
      </c>
    </row>
    <row r="3" spans="1:3" ht="20.100000000000001" customHeight="1" thickBot="1" x14ac:dyDescent="0.35">
      <c r="A3" s="2" t="s">
        <v>26</v>
      </c>
      <c r="C3" s="36" t="s">
        <v>199</v>
      </c>
    </row>
    <row r="4" spans="1:3" ht="20.100000000000001" customHeight="1" thickBot="1" x14ac:dyDescent="0.35">
      <c r="A4" s="2" t="s">
        <v>36</v>
      </c>
      <c r="C4" s="36" t="s">
        <v>200</v>
      </c>
    </row>
    <row r="5" spans="1:3" ht="20.100000000000001" customHeight="1" thickBot="1" x14ac:dyDescent="0.35">
      <c r="A5" s="2" t="s">
        <v>37</v>
      </c>
      <c r="C5" s="36" t="s">
        <v>201</v>
      </c>
    </row>
    <row r="6" spans="1:3" ht="20.100000000000001" customHeight="1" thickBot="1" x14ac:dyDescent="0.35">
      <c r="A6" s="2" t="s">
        <v>38</v>
      </c>
      <c r="C6" s="36" t="s">
        <v>202</v>
      </c>
    </row>
    <row r="7" spans="1:3" ht="20.100000000000001" customHeight="1" thickBot="1" x14ac:dyDescent="0.35">
      <c r="A7" s="2" t="s">
        <v>39</v>
      </c>
      <c r="C7" s="36" t="s">
        <v>203</v>
      </c>
    </row>
    <row r="8" spans="1:3" ht="20.100000000000001" customHeight="1" thickBot="1" x14ac:dyDescent="0.35">
      <c r="A8" s="2" t="s">
        <v>40</v>
      </c>
      <c r="C8" s="36" t="s">
        <v>204</v>
      </c>
    </row>
    <row r="9" spans="1:3" ht="20.100000000000001" customHeight="1" thickBot="1" x14ac:dyDescent="0.35">
      <c r="A9" s="2" t="s">
        <v>41</v>
      </c>
      <c r="C9" s="36" t="s">
        <v>205</v>
      </c>
    </row>
    <row r="10" spans="1:3" ht="20.100000000000001" customHeight="1" thickBot="1" x14ac:dyDescent="0.35">
      <c r="A10" s="2" t="s">
        <v>42</v>
      </c>
      <c r="C10" s="36" t="s">
        <v>206</v>
      </c>
    </row>
    <row r="11" spans="1:3" ht="20.100000000000001" customHeight="1" thickBot="1" x14ac:dyDescent="0.35">
      <c r="A11" s="2" t="s">
        <v>43</v>
      </c>
      <c r="C11" s="36" t="s">
        <v>207</v>
      </c>
    </row>
    <row r="12" spans="1:3" ht="20.100000000000001" customHeight="1" thickBot="1" x14ac:dyDescent="0.35">
      <c r="A12" s="2" t="s">
        <v>44</v>
      </c>
      <c r="C12" s="36" t="s">
        <v>208</v>
      </c>
    </row>
    <row r="13" spans="1:3" ht="20.100000000000001" customHeight="1" thickBot="1" x14ac:dyDescent="0.35">
      <c r="A13" s="2" t="s">
        <v>45</v>
      </c>
      <c r="C13" s="36" t="s">
        <v>209</v>
      </c>
    </row>
    <row r="14" spans="1:3" ht="20.100000000000001" customHeight="1" thickBot="1" x14ac:dyDescent="0.35">
      <c r="A14" s="2" t="s">
        <v>46</v>
      </c>
      <c r="C14" s="36" t="s">
        <v>210</v>
      </c>
    </row>
    <row r="15" spans="1:3" ht="20.100000000000001" customHeight="1" thickBot="1" x14ac:dyDescent="0.35">
      <c r="A15" s="2" t="s">
        <v>47</v>
      </c>
      <c r="C15" s="36" t="s">
        <v>211</v>
      </c>
    </row>
    <row r="16" spans="1:3" ht="20.100000000000001" customHeight="1" thickBot="1" x14ac:dyDescent="0.35">
      <c r="A16" s="2" t="s">
        <v>10</v>
      </c>
      <c r="C16" s="36" t="s">
        <v>212</v>
      </c>
    </row>
    <row r="17" spans="1:3" ht="20.100000000000001" customHeight="1" thickBot="1" x14ac:dyDescent="0.35">
      <c r="A17" s="2" t="s">
        <v>27</v>
      </c>
      <c r="C17" s="36" t="s">
        <v>213</v>
      </c>
    </row>
    <row r="18" spans="1:3" ht="20.100000000000001" customHeight="1" thickBot="1" x14ac:dyDescent="0.35">
      <c r="A18" s="2" t="s">
        <v>48</v>
      </c>
      <c r="C18" s="36" t="s">
        <v>214</v>
      </c>
    </row>
    <row r="19" spans="1:3" ht="20.100000000000001" customHeight="1" thickBot="1" x14ac:dyDescent="0.35">
      <c r="A19" s="2" t="s">
        <v>49</v>
      </c>
      <c r="C19" s="36" t="s">
        <v>215</v>
      </c>
    </row>
    <row r="20" spans="1:3" ht="20.100000000000001" customHeight="1" thickBot="1" x14ac:dyDescent="0.35">
      <c r="A20" s="2" t="s">
        <v>50</v>
      </c>
      <c r="C20" s="36" t="s">
        <v>216</v>
      </c>
    </row>
    <row r="21" spans="1:3" ht="20.100000000000001" customHeight="1" thickBot="1" x14ac:dyDescent="0.35">
      <c r="A21" s="2" t="s">
        <v>51</v>
      </c>
      <c r="C21" s="36" t="s">
        <v>217</v>
      </c>
    </row>
    <row r="22" spans="1:3" ht="20.100000000000001" customHeight="1" thickBot="1" x14ac:dyDescent="0.35">
      <c r="A22" s="2" t="s">
        <v>11</v>
      </c>
      <c r="C22" s="36" t="s">
        <v>218</v>
      </c>
    </row>
    <row r="23" spans="1:3" ht="20.100000000000001" customHeight="1" thickBot="1" x14ac:dyDescent="0.35">
      <c r="A23" s="2" t="s">
        <v>12</v>
      </c>
      <c r="C23" s="36" t="s">
        <v>219</v>
      </c>
    </row>
    <row r="24" spans="1:3" ht="20.100000000000001" customHeight="1" thickBot="1" x14ac:dyDescent="0.35">
      <c r="A24" s="2" t="s">
        <v>15</v>
      </c>
      <c r="C24" s="36" t="s">
        <v>220</v>
      </c>
    </row>
    <row r="25" spans="1:3" ht="20.100000000000001" customHeight="1" thickBot="1" x14ac:dyDescent="0.35">
      <c r="A25" s="2" t="s">
        <v>28</v>
      </c>
      <c r="C25" s="36" t="s">
        <v>221</v>
      </c>
    </row>
    <row r="26" spans="1:3" ht="20.100000000000001" customHeight="1" thickBot="1" x14ac:dyDescent="0.35">
      <c r="A26" s="2" t="s">
        <v>29</v>
      </c>
      <c r="C26" s="36" t="s">
        <v>222</v>
      </c>
    </row>
    <row r="27" spans="1:3" ht="20.100000000000001" customHeight="1" thickBot="1" x14ac:dyDescent="0.35">
      <c r="A27" s="2" t="s">
        <v>13</v>
      </c>
      <c r="C27" s="36" t="s">
        <v>223</v>
      </c>
    </row>
    <row r="28" spans="1:3" ht="20.100000000000001" customHeight="1" thickBot="1" x14ac:dyDescent="0.35">
      <c r="A28" s="2" t="s">
        <v>30</v>
      </c>
      <c r="C28" s="36" t="s">
        <v>224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30" t="s">
        <v>112</v>
      </c>
    </row>
    <row r="200" spans="1:1" ht="20.100000000000001" customHeight="1" x14ac:dyDescent="0.3">
      <c r="A200" s="30" t="s">
        <v>113</v>
      </c>
    </row>
    <row r="201" spans="1:1" ht="20.100000000000001" customHeight="1" x14ac:dyDescent="0.3">
      <c r="A201" s="30" t="s">
        <v>114</v>
      </c>
    </row>
    <row r="202" spans="1:1" ht="20.100000000000001" customHeight="1" x14ac:dyDescent="0.3">
      <c r="A202" s="30" t="s">
        <v>115</v>
      </c>
    </row>
    <row r="203" spans="1:1" ht="20.100000000000001" customHeight="1" x14ac:dyDescent="0.3">
      <c r="A203" s="30" t="s">
        <v>116</v>
      </c>
    </row>
    <row r="204" spans="1:1" ht="20.100000000000001" customHeight="1" x14ac:dyDescent="0.3">
      <c r="A204" s="30" t="s">
        <v>117</v>
      </c>
    </row>
    <row r="205" spans="1:1" ht="20.100000000000001" customHeight="1" x14ac:dyDescent="0.3">
      <c r="A205" s="30" t="s">
        <v>118</v>
      </c>
    </row>
    <row r="206" spans="1:1" ht="20.100000000000001" customHeight="1" x14ac:dyDescent="0.3">
      <c r="A206" s="30" t="s">
        <v>119</v>
      </c>
    </row>
    <row r="207" spans="1:1" ht="20.100000000000001" customHeight="1" x14ac:dyDescent="0.3">
      <c r="A207" s="30" t="s">
        <v>120</v>
      </c>
    </row>
    <row r="208" spans="1:1" ht="20.100000000000001" customHeight="1" x14ac:dyDescent="0.3">
      <c r="A208" s="31" t="s">
        <v>121</v>
      </c>
    </row>
    <row r="209" spans="1:1" ht="20.100000000000001" customHeight="1" x14ac:dyDescent="0.3">
      <c r="A209" s="31" t="s">
        <v>122</v>
      </c>
    </row>
    <row r="210" spans="1:1" ht="20.100000000000001" customHeight="1" x14ac:dyDescent="0.3">
      <c r="A210" s="30" t="s">
        <v>123</v>
      </c>
    </row>
    <row r="211" spans="1:1" ht="20.100000000000001" customHeight="1" x14ac:dyDescent="0.3">
      <c r="A211" s="30" t="s">
        <v>124</v>
      </c>
    </row>
    <row r="212" spans="1:1" ht="20.100000000000001" customHeight="1" x14ac:dyDescent="0.3">
      <c r="A212" s="30" t="s">
        <v>125</v>
      </c>
    </row>
    <row r="213" spans="1:1" ht="20.100000000000001" customHeight="1" x14ac:dyDescent="0.3">
      <c r="A213" s="30" t="s">
        <v>126</v>
      </c>
    </row>
    <row r="214" spans="1:1" ht="20.100000000000001" customHeight="1" x14ac:dyDescent="0.3">
      <c r="A214" s="30" t="s">
        <v>127</v>
      </c>
    </row>
    <row r="215" spans="1:1" ht="20.100000000000001" customHeight="1" x14ac:dyDescent="0.3">
      <c r="A215" s="30" t="s">
        <v>128</v>
      </c>
    </row>
    <row r="216" spans="1:1" ht="20.100000000000001" customHeight="1" x14ac:dyDescent="0.3">
      <c r="A216" s="30" t="s">
        <v>129</v>
      </c>
    </row>
    <row r="217" spans="1:1" ht="20.100000000000001" customHeight="1" x14ac:dyDescent="0.3">
      <c r="A217" s="30" t="s">
        <v>130</v>
      </c>
    </row>
    <row r="218" spans="1:1" ht="20.100000000000001" customHeight="1" x14ac:dyDescent="0.3">
      <c r="A218" s="30" t="s">
        <v>131</v>
      </c>
    </row>
    <row r="219" spans="1:1" ht="20.100000000000001" customHeight="1" x14ac:dyDescent="0.3">
      <c r="A219" s="30" t="s">
        <v>132</v>
      </c>
    </row>
    <row r="220" spans="1:1" ht="20.100000000000001" customHeight="1" x14ac:dyDescent="0.3">
      <c r="A220" s="30" t="s">
        <v>133</v>
      </c>
    </row>
    <row r="221" spans="1:1" ht="20.100000000000001" customHeight="1" x14ac:dyDescent="0.3">
      <c r="A221" s="30" t="s">
        <v>134</v>
      </c>
    </row>
    <row r="222" spans="1:1" ht="20.100000000000001" customHeight="1" x14ac:dyDescent="0.3">
      <c r="A222" s="30" t="s">
        <v>135</v>
      </c>
    </row>
    <row r="223" spans="1:1" ht="20.100000000000001" customHeight="1" x14ac:dyDescent="0.3">
      <c r="A223" s="30" t="s">
        <v>136</v>
      </c>
    </row>
    <row r="224" spans="1:1" ht="20.100000000000001" customHeight="1" x14ac:dyDescent="0.3">
      <c r="A224" s="30" t="s">
        <v>137</v>
      </c>
    </row>
    <row r="225" spans="1:1" ht="20.100000000000001" customHeight="1" x14ac:dyDescent="0.3">
      <c r="A225" s="30" t="s">
        <v>138</v>
      </c>
    </row>
    <row r="226" spans="1:1" ht="20.100000000000001" customHeight="1" x14ac:dyDescent="0.3">
      <c r="A226" s="30" t="s">
        <v>139</v>
      </c>
    </row>
    <row r="227" spans="1:1" ht="20.100000000000001" customHeight="1" x14ac:dyDescent="0.3">
      <c r="A227" s="30" t="s">
        <v>140</v>
      </c>
    </row>
    <row r="228" spans="1:1" ht="20.100000000000001" customHeight="1" x14ac:dyDescent="0.3">
      <c r="A228" s="30" t="s">
        <v>141</v>
      </c>
    </row>
    <row r="229" spans="1:1" ht="20.100000000000001" customHeight="1" x14ac:dyDescent="0.3">
      <c r="A229" s="30" t="s">
        <v>142</v>
      </c>
    </row>
    <row r="230" spans="1:1" ht="20.100000000000001" customHeight="1" x14ac:dyDescent="0.3">
      <c r="A230" s="30" t="s">
        <v>143</v>
      </c>
    </row>
    <row r="231" spans="1:1" ht="20.100000000000001" customHeight="1" x14ac:dyDescent="0.3">
      <c r="A231" s="30" t="s">
        <v>144</v>
      </c>
    </row>
    <row r="232" spans="1:1" ht="20.100000000000001" customHeight="1" x14ac:dyDescent="0.3">
      <c r="A232" s="30" t="s">
        <v>145</v>
      </c>
    </row>
    <row r="233" spans="1:1" ht="20.100000000000001" customHeight="1" x14ac:dyDescent="0.3">
      <c r="A233" s="30" t="s">
        <v>146</v>
      </c>
    </row>
    <row r="234" spans="1:1" ht="20.100000000000001" customHeight="1" x14ac:dyDescent="0.3">
      <c r="A234" s="30" t="s">
        <v>147</v>
      </c>
    </row>
    <row r="235" spans="1:1" ht="20.100000000000001" customHeight="1" x14ac:dyDescent="0.3">
      <c r="A235" s="32" t="s">
        <v>148</v>
      </c>
    </row>
    <row r="236" spans="1:1" ht="20.100000000000001" customHeight="1" x14ac:dyDescent="0.3">
      <c r="A236" s="30" t="s">
        <v>149</v>
      </c>
    </row>
    <row r="237" spans="1:1" ht="20.100000000000001" customHeight="1" x14ac:dyDescent="0.3">
      <c r="A237" s="30" t="s">
        <v>150</v>
      </c>
    </row>
    <row r="238" spans="1:1" ht="20.100000000000001" customHeight="1" x14ac:dyDescent="0.3">
      <c r="A238" s="30" t="s">
        <v>151</v>
      </c>
    </row>
    <row r="239" spans="1:1" ht="20.100000000000001" customHeight="1" x14ac:dyDescent="0.3">
      <c r="A239" s="30" t="s">
        <v>152</v>
      </c>
    </row>
    <row r="240" spans="1:1" ht="20.100000000000001" customHeight="1" x14ac:dyDescent="0.3">
      <c r="A240" s="30" t="s">
        <v>153</v>
      </c>
    </row>
    <row r="241" spans="1:1" ht="20.100000000000001" customHeight="1" x14ac:dyDescent="0.3">
      <c r="A241" s="30" t="s">
        <v>154</v>
      </c>
    </row>
    <row r="242" spans="1:1" ht="20.100000000000001" customHeight="1" x14ac:dyDescent="0.3">
      <c r="A242" s="30" t="s">
        <v>155</v>
      </c>
    </row>
    <row r="243" spans="1:1" ht="20.100000000000001" customHeight="1" x14ac:dyDescent="0.3">
      <c r="A243" s="30" t="s">
        <v>156</v>
      </c>
    </row>
    <row r="244" spans="1:1" ht="20.100000000000001" customHeight="1" x14ac:dyDescent="0.3">
      <c r="A244" s="30" t="s">
        <v>157</v>
      </c>
    </row>
    <row r="245" spans="1:1" ht="20.100000000000001" customHeight="1" x14ac:dyDescent="0.3">
      <c r="A245" s="30" t="s">
        <v>158</v>
      </c>
    </row>
    <row r="246" spans="1:1" ht="20.100000000000001" customHeight="1" x14ac:dyDescent="0.3">
      <c r="A246" s="30" t="s">
        <v>159</v>
      </c>
    </row>
    <row r="247" spans="1:1" ht="20.100000000000001" customHeight="1" x14ac:dyDescent="0.3">
      <c r="A247" s="30" t="s">
        <v>150</v>
      </c>
    </row>
    <row r="248" spans="1:1" ht="20.100000000000001" customHeight="1" x14ac:dyDescent="0.3">
      <c r="A248" s="30" t="s">
        <v>160</v>
      </c>
    </row>
    <row r="249" spans="1:1" ht="20.100000000000001" customHeight="1" x14ac:dyDescent="0.3">
      <c r="A249" s="30" t="s">
        <v>161</v>
      </c>
    </row>
    <row r="250" spans="1:1" ht="20.100000000000001" customHeight="1" x14ac:dyDescent="0.3">
      <c r="A250" s="32" t="s">
        <v>162</v>
      </c>
    </row>
    <row r="251" spans="1:1" ht="20.100000000000001" customHeight="1" x14ac:dyDescent="0.3">
      <c r="A251" s="33" t="s">
        <v>163</v>
      </c>
    </row>
    <row r="252" spans="1:1" ht="20.100000000000001" customHeight="1" x14ac:dyDescent="0.3">
      <c r="A252" s="30" t="s">
        <v>164</v>
      </c>
    </row>
    <row r="253" spans="1:1" ht="20.100000000000001" customHeight="1" x14ac:dyDescent="0.3">
      <c r="A253" s="30" t="s">
        <v>165</v>
      </c>
    </row>
    <row r="254" spans="1:1" ht="20.100000000000001" customHeight="1" x14ac:dyDescent="0.3">
      <c r="A254" s="34" t="s">
        <v>166</v>
      </c>
    </row>
    <row r="255" spans="1:1" ht="20.100000000000001" customHeight="1" x14ac:dyDescent="0.3">
      <c r="A255" s="34" t="s">
        <v>167</v>
      </c>
    </row>
    <row r="256" spans="1:1" ht="20.100000000000001" customHeight="1" x14ac:dyDescent="0.3">
      <c r="A256" s="35" t="s">
        <v>168</v>
      </c>
    </row>
    <row r="257" spans="1:1" ht="20.100000000000001" customHeight="1" x14ac:dyDescent="0.3">
      <c r="A257" s="30" t="s">
        <v>169</v>
      </c>
    </row>
    <row r="258" spans="1:1" ht="20.100000000000001" customHeight="1" x14ac:dyDescent="0.3">
      <c r="A258" s="35" t="s">
        <v>170</v>
      </c>
    </row>
    <row r="259" spans="1:1" ht="20.100000000000001" customHeight="1" x14ac:dyDescent="0.3">
      <c r="A259" s="30" t="s">
        <v>171</v>
      </c>
    </row>
    <row r="260" spans="1:1" ht="20.100000000000001" customHeight="1" x14ac:dyDescent="0.3">
      <c r="A260" s="35" t="s">
        <v>172</v>
      </c>
    </row>
    <row r="261" spans="1:1" ht="20.100000000000001" customHeight="1" x14ac:dyDescent="0.3">
      <c r="A261" s="30" t="s">
        <v>173</v>
      </c>
    </row>
    <row r="262" spans="1:1" ht="20.100000000000001" customHeight="1" x14ac:dyDescent="0.3">
      <c r="A262" s="30" t="s">
        <v>174</v>
      </c>
    </row>
    <row r="263" spans="1:1" ht="20.100000000000001" customHeight="1" x14ac:dyDescent="0.3">
      <c r="A263" s="35" t="s">
        <v>175</v>
      </c>
    </row>
    <row r="264" spans="1:1" ht="20.100000000000001" customHeight="1" x14ac:dyDescent="0.3">
      <c r="A264" s="35" t="s">
        <v>176</v>
      </c>
    </row>
    <row r="265" spans="1:1" ht="20.100000000000001" customHeight="1" x14ac:dyDescent="0.3">
      <c r="A265" s="35" t="s">
        <v>177</v>
      </c>
    </row>
    <row r="266" spans="1:1" ht="20.100000000000001" customHeight="1" x14ac:dyDescent="0.3">
      <c r="A266" s="30" t="s">
        <v>178</v>
      </c>
    </row>
    <row r="267" spans="1:1" ht="20.100000000000001" customHeight="1" x14ac:dyDescent="0.3">
      <c r="A267" s="30" t="s">
        <v>179</v>
      </c>
    </row>
    <row r="268" spans="1:1" ht="20.100000000000001" customHeight="1" x14ac:dyDescent="0.3">
      <c r="A268" s="30" t="s">
        <v>180</v>
      </c>
    </row>
    <row r="269" spans="1:1" ht="20.100000000000001" customHeight="1" x14ac:dyDescent="0.3">
      <c r="A269" s="30" t="s">
        <v>181</v>
      </c>
    </row>
    <row r="270" spans="1:1" ht="20.100000000000001" customHeight="1" x14ac:dyDescent="0.3">
      <c r="A270" s="35" t="s">
        <v>182</v>
      </c>
    </row>
    <row r="271" spans="1:1" ht="20.100000000000001" customHeight="1" x14ac:dyDescent="0.3">
      <c r="A271" s="35" t="s">
        <v>183</v>
      </c>
    </row>
    <row r="272" spans="1:1" ht="20.100000000000001" customHeight="1" x14ac:dyDescent="0.3">
      <c r="A272" s="30" t="s">
        <v>184</v>
      </c>
    </row>
    <row r="273" spans="1:1" ht="20.100000000000001" customHeight="1" x14ac:dyDescent="0.3">
      <c r="A273" s="35" t="s">
        <v>185</v>
      </c>
    </row>
    <row r="274" spans="1:1" ht="20.100000000000001" customHeight="1" x14ac:dyDescent="0.3">
      <c r="A274" s="35" t="s">
        <v>186</v>
      </c>
    </row>
    <row r="275" spans="1:1" ht="20.100000000000001" customHeight="1" x14ac:dyDescent="0.3">
      <c r="A275" s="30" t="s">
        <v>187</v>
      </c>
    </row>
    <row r="276" spans="1:1" ht="20.100000000000001" customHeight="1" x14ac:dyDescent="0.3">
      <c r="A276" s="30" t="s">
        <v>188</v>
      </c>
    </row>
    <row r="277" spans="1:1" ht="20.100000000000001" customHeight="1" x14ac:dyDescent="0.3">
      <c r="A277" s="35" t="s">
        <v>189</v>
      </c>
    </row>
    <row r="278" spans="1:1" ht="20.100000000000001" customHeight="1" x14ac:dyDescent="0.3">
      <c r="A278" s="30" t="s">
        <v>190</v>
      </c>
    </row>
    <row r="279" spans="1:1" ht="20.100000000000001" customHeight="1" x14ac:dyDescent="0.3">
      <c r="A279" s="30" t="s">
        <v>191</v>
      </c>
    </row>
    <row r="280" spans="1:1" ht="20.100000000000001" customHeight="1" x14ac:dyDescent="0.3">
      <c r="A280" s="30" t="s">
        <v>192</v>
      </c>
    </row>
    <row r="281" spans="1:1" ht="20.100000000000001" customHeight="1" x14ac:dyDescent="0.3">
      <c r="A281" s="30" t="s">
        <v>193</v>
      </c>
    </row>
    <row r="282" spans="1:1" ht="20.100000000000001" customHeight="1" x14ac:dyDescent="0.3">
      <c r="A282" s="35" t="s">
        <v>194</v>
      </c>
    </row>
    <row r="283" spans="1:1" ht="20.100000000000001" customHeight="1" x14ac:dyDescent="0.3">
      <c r="A283" s="35" t="s">
        <v>195</v>
      </c>
    </row>
    <row r="284" spans="1:1" ht="20.100000000000001" customHeight="1" x14ac:dyDescent="0.3">
      <c r="A284" s="35" t="s">
        <v>196</v>
      </c>
    </row>
    <row r="285" spans="1:1" ht="20.100000000000001" customHeight="1" thickBot="1" x14ac:dyDescent="0.35">
      <c r="A285" s="30" t="s">
        <v>197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2025-10-27T05:20:42Z</dcterms:modified>
</cp:coreProperties>
</file>