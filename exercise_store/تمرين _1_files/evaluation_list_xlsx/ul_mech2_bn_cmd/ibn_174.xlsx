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5932D86-A39C-1943-ABB6-D707B253B2E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<sst xmlns="http://schemas.openxmlformats.org/spreadsheetml/2006/main" count="281" uniqueCount="225">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</sst>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customXml" Target="../ink/ink2.xml" /><Relationship Id="rId7" Type="http://schemas.openxmlformats.org/officeDocument/2006/relationships/customXml" Target="../ink/ink4.xml" /><Relationship Id="rId12" Type="http://schemas.openxmlformats.org/officeDocument/2006/relationships/image" Target="../media/image6.png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11" Type="http://schemas.openxmlformats.org/officeDocument/2006/relationships/customXml" Target="../ink/ink6.xml" /><Relationship Id="rId5" Type="http://schemas.openxmlformats.org/officeDocument/2006/relationships/customXml" Target="../ink/ink3.xml" /><Relationship Id="rId10" Type="http://schemas.openxmlformats.org/officeDocument/2006/relationships/image" Target="../media/image5.png" /><Relationship Id="rId4" Type="http://schemas.openxmlformats.org/officeDocument/2006/relationships/image" Target="../media/image2.png" /><Relationship Id="rId9" Type="http://schemas.openxmlformats.org/officeDocument/2006/relationships/customXml" Target="../ink/ink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30889</xdr:colOff>
      <xdr:row>59</xdr:row>
      <xdr:rowOff>87275</xdr:rowOff>
    </xdr:from>
    <xdr:to>
      <xdr:col>8</xdr:col>
      <xdr:colOff>103306</xdr:colOff>
      <xdr:row>59</xdr:row>
      <xdr:rowOff>409835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1772F28-AAC1-E610-4559-02D7980EAECD}"/>
                </a:ext>
              </a:extLst>
            </xdr14:cNvPr>
            <xdr14:cNvContentPartPr/>
          </xdr14:nvContentPartPr>
          <xdr14:nvPr macro=""/>
          <xdr14:xfrm>
            <a:off x="10423599494" y="28976040"/>
            <a:ext cx="726840" cy="322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1772F28-AAC1-E610-4559-02D7980EAEC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590494" y="28967040"/>
              <a:ext cx="744480" cy="34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9706</xdr:colOff>
      <xdr:row>59</xdr:row>
      <xdr:rowOff>235595</xdr:rowOff>
    </xdr:from>
    <xdr:to>
      <xdr:col>8</xdr:col>
      <xdr:colOff>406786</xdr:colOff>
      <xdr:row>59</xdr:row>
      <xdr:rowOff>581555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9E3AFD6-6C84-68F7-2D64-571461D7267B}"/>
                </a:ext>
              </a:extLst>
            </xdr14:cNvPr>
            <xdr14:cNvContentPartPr/>
          </xdr14:nvContentPartPr>
          <xdr14:nvPr macro=""/>
          <xdr14:xfrm>
            <a:off x="10423296014" y="29124360"/>
            <a:ext cx="397080" cy="345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9E3AFD6-6C84-68F7-2D64-571461D7267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287374" y="29115360"/>
              <a:ext cx="414720" cy="36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331046</xdr:colOff>
      <xdr:row>1</xdr:row>
      <xdr:rowOff>123218</xdr:rowOff>
    </xdr:from>
    <xdr:to>
      <xdr:col>3</xdr:col>
      <xdr:colOff>341126</xdr:colOff>
      <xdr:row>1</xdr:row>
      <xdr:rowOff>146978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4B77E97-B074-C4D8-9980-5AA5E1E6367F}"/>
                </a:ext>
              </a:extLst>
            </xdr14:cNvPr>
            <xdr14:cNvContentPartPr/>
          </xdr14:nvContentPartPr>
          <xdr14:nvPr macro=""/>
          <xdr14:xfrm>
            <a:off x="10427969534" y="696960"/>
            <a:ext cx="10080" cy="237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4B77E97-B074-C4D8-9980-5AA5E1E6367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27960534" y="687960"/>
              <a:ext cx="2772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396579</xdr:colOff>
      <xdr:row>1</xdr:row>
      <xdr:rowOff>210338</xdr:rowOff>
    </xdr:from>
    <xdr:to>
      <xdr:col>2</xdr:col>
      <xdr:colOff>422859</xdr:colOff>
      <xdr:row>1</xdr:row>
      <xdr:rowOff>273698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97F2CF8-DFF4-05F7-E321-4E130E0B43A4}"/>
                </a:ext>
              </a:extLst>
            </xdr14:cNvPr>
            <xdr14:cNvContentPartPr/>
          </xdr14:nvContentPartPr>
          <xdr14:nvPr macro=""/>
          <xdr14:xfrm>
            <a:off x="10428524294" y="784080"/>
            <a:ext cx="26280" cy="63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97F2CF8-DFF4-05F7-E321-4E130E0B43A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28515654" y="775080"/>
              <a:ext cx="4392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516806</xdr:colOff>
      <xdr:row>1</xdr:row>
      <xdr:rowOff>286658</xdr:rowOff>
    </xdr:from>
    <xdr:to>
      <xdr:col>3</xdr:col>
      <xdr:colOff>534086</xdr:colOff>
      <xdr:row>1</xdr:row>
      <xdr:rowOff>301418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7B5F9BC-0AD7-6B52-3449-B267BDA776DC}"/>
                </a:ext>
              </a:extLst>
            </xdr14:cNvPr>
            <xdr14:cNvContentPartPr/>
          </xdr14:nvContentPartPr>
          <xdr14:nvPr macro=""/>
          <xdr14:xfrm>
            <a:off x="10427776574" y="860400"/>
            <a:ext cx="17280" cy="147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7B5F9BC-0AD7-6B52-3449-B267BDA776D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27767934" y="851400"/>
              <a:ext cx="3492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372806</xdr:colOff>
      <xdr:row>1</xdr:row>
      <xdr:rowOff>108098</xdr:rowOff>
    </xdr:from>
    <xdr:to>
      <xdr:col>3</xdr:col>
      <xdr:colOff>442286</xdr:colOff>
      <xdr:row>1</xdr:row>
      <xdr:rowOff>140858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AA30AF1-DD29-166C-2F79-7354041C4C48}"/>
                </a:ext>
              </a:extLst>
            </xdr14:cNvPr>
            <xdr14:cNvContentPartPr/>
          </xdr14:nvContentPartPr>
          <xdr14:nvPr macro=""/>
          <xdr14:xfrm>
            <a:off x="10427868374" y="681840"/>
            <a:ext cx="69480" cy="327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AA30AF1-DD29-166C-2F79-7354041C4C4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27859734" y="672840"/>
              <a:ext cx="87120" cy="50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4:32:57.3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1428 695 14795,'0'0'0,"0"0"0,-13-12 7945,-3-1-6520,-3-5-689,2 3-384,4 3-176,3-2-48,7 5-56,3 9-72,-10-4 88,9-7-48,0 8-64,1-2-24,0 0-88,0 0-104,0 5 240,2-4-312,2-1-64,-1 0-64,9-6 40,-2 7 7,2-8 41,-12 12 352,15-11-296,3 0 24,2 0 40,0-1 24,0 1 16,2 1-56,-22 10 248,23-12-264,-2 1 48,1-1 72,1 0 72,-3 1 56,2-1-8,-22 12 24,19-9-16,-1 4 8,0-7-32,-1 7 40,-1-6-16,-16 11 16,15-3 0,-1-8 16,1 8-32,1 0 16,0-1-24,-2 1 16,-14 3 8,16-3-16,-1 2-8,3 0-16,0 1 16,1 0-24,1 2 16,-20-2 32,18 4-8,-2-1-32,1 8 0,-1-7-48,-2 7 0,-2-8-8,-12-3 96,11 15-104,-8-6-48,8 2-8,-11 1-16,3 0-40,-3 1 80,0-13 136,-1 14-16,-9 0-120,-1 0 8,-3 0-48,-4 1-97,-4 0 161,22-15 112,-25 17-80,-5 0 16,-2 1-16,-4 0-16,-3 0 8,2-1 56,37-17 32,-39 18 96,-3-2-72,0-1 24,-4-2-16,2 0-80,-3-2 120,47-11-72,-47 3 48,3 11-48,-1-11-72,0 1-56,1 5-240,-2-6-296,46-3 664,-50 2-800,1 1-160,1-1 120,1-2 199,2 0-7,2 0 16,43 0 632,-45 0-648,0 0 16,3-2 152,1-1 184,3 0 152,-1-1 96,39 4 48,-36-4 72,1 0 8,1-6 0,1 8 80,2-3 8,1 0 168,30 5-336,-27-9 408,0 6 24,1 0 56,1-7 24,1 6-64,2-5 241,22 9-689,-20-4 592,2-5-16,0 5 144,4-7-248,0 6 80,5-8-104,9 13-448,-10-9 424,7 4-32,-2-8-56,1 3-47,2-1-209,1 0-128,1 11 48,0-12-104,0-1-97,2-1 89,9-3-224,-2-1-8,5-2 72,-14 20 272,16-24-336,4-1 232,3-3-96,5-1 88,2 2-48,2-1 24,-32 28 136,32-27-88,0-1-64,3-1 168,1 3-56,1 0-56,0 0 72,-37 26 24,38-21-80,-1 0 104,-1 2 224,-1 3-112,1 0-32,-2 3-24,-34 13-80,34-12 8,0 7 104,-3-7 152,0 8-120,2 1-80,-1 0 8,-32 3-72,32-1-32,1 1 104,-5 0 112,4 4-160,-4 7 0,0-8 0,-28-3-24,29 16-88,-4-3 104,-2 1-48,1 3 8,-2 1-48,-1 0-48,-21-18 120,20 19-104,-6 0 16,0 1 24,-4 0-128,-6-1 0,6 0-72,-10-19 264,0 18-240,0-1 64,-5 1 152,-10-1 104,0 1 56,-4 0 176,19-18-312,-25 19 312,-9-1 208,-4 1-32,-3 1-8,-6 1 25,-2 0-129,49-21-376,-51 22 496,-7-2 40,0 2-112,0 0-24,-2-1-96,-1-1-120,61-20-184,-60 23 144,-1-2 48,2-1-200,3 0 16,-1-2-16,5 1-168,52-19 176,-54 20-64,1-1 40,3 1-360,2-1-488,4 2-560,6-2-681,38-19 2113,-35 18-2488,4-3-513,5 0-344,3-2 601,4-2 927,4-8-1223,15-3 3040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4:32:58.1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1102 35 11762,'0'0'0,"0"-9"6041,-1 4-3624,0-7-1657,1 12-760,-3-4 304,2 2-224,0 1-160,0-1-136,1 2-104,0 0-144,0 0 464,0 0-576,0 0-80,-1 3-57,0 0 41,-1 1 8,-1 7 80,3-11 584,-4 9-392,-7 3 88,1 5 96,-5 2-32,-3 3-152,-1 3-112,19-25 504,-24 26-529,0 1 49,-5-1 144,1-1 112,-4 1 112,0-2 96,32-24 16,-35 23 32,-1 0 24,0-1 32,-2-2 8,0-1-8,-2-1 32,40-18-120,-37 18 120,1-1 40,2-5 0,3 0 48,1-8 25,4 6-25,26-10-208,-24 0 248,5 3-56,3-3 0,6 0-56,5 0-136,0-1-128,5 1 128,-4-3-328,3-2-401,1 1-487,4-7-344,9 6-153,-2-8 193,-11 13 1520,12-13-1136,4-3 336,4-1 288,0-2 192,-1 1 216,0-1 328,-19 19-224,17-19 536,-3 1 456,-3 1 432,-1 2 385,-8 0 295,2 3 33,-4 12-2137,0-9 2136,0 4-240,0-6-335,-4 7-273,1-5-400,-12 5-144,15 4-744,-9-5 680,-3 1-215,-3-6-105,2 9-128,-5-3-216,-1 2 176,19 2-192,-19-1 136,0-1-104,-3 1 64,2 1-208,0 0 0,0 4 32,20-4 80,-19 11-240,1-8 128,-1 8-48,2-7-72,5 6-32,0-7-329,12-3 593,-12 3-680,7 7-184,-5-10-192,6 2-64,0 1-177,1-3 17,3 0 1280,-4 0-1184,2 0 152,1 0 255,-1 0 273,1 0 240,0-1 304,1 1-40,0-4 264,0 0 136,-1 0 169,1-6-9,-2 6-40,1-6 168,1 10-688,-1-4 656,0-7 8,1 8 8,-1-8-168,0 7-87,-1-5-81,2 9-336,0-4 208,0-1-96,0-4-88,0 6-88,0 0-80,0-7-8,0 10 152,3-2-120,0-2-80,1-1 48,0 2-113,-1-1-111,8-1-104,-11 5 480,4-3-616,6-1-160,-6 1-176,6-1-136,-7 2-89,7 0-63,-10 2 1240,3-1-1192,1 1 48,-1 0 95,0 0 257,-3 3 320,0-1 312,0-2 160,-1 2 128,-3 2 144,1 0 144,-8 8 72,6-9 24,-12 13 81,17-16-593,-13 13 480,-5 2-8,2 3 0,-2 4-88,0 2 80,2 1 64,16-25-528,-18 29 552,2 1 112,1 2-72,0 2-191,3 2-113,3 2-136,9-38-152,-3 40 40,2 0 24,1 1-128,13 0 8,4 1 8,6 0 0,-23-42 48,30 41 56,4-2-32,10-2-336,3-3-569,6-4-799,6-3-985,-59-27 2665,63 25-2960,6-4 847,1-3 753,4-15-1200,-74-3 2560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4:33:02.6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65 9129,'0'0'0,"-3"-4"513,3 4-513,-11-12 368,7 3-120,1 6-264,2 0-184,-1-1-216,1 2-289,1 2 705,0-3-976,0 1-288,3-2-280,0 1 351,8-8 345,-1 6-1880,-10 5 2728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4:33:04.3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60 18147,'0'0'0,"-17"-18"1945,2 4-1545,-1-2-64,16 16-336,-5-3 176,0-1-32,2 2-80,2 1-120,0-1-144,1 2-208,0 0 408,0 0-640,0 3-200,0 0-105,3 9-135,8 0-96,-8 4-184,-3-16 1360,11 18-1673,-7 1-295,7-1-393,-8 2-183,9-2 735,-2 0 625,-10-18 1184,3 18-2664,-3-18 2664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4:33:17.0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 40 2048,'0'0'0,"0"-1"152,0 0-104,0 1-48,0-2 16,0 1-16,3 0-8,-3 0 8,2 0 16,-2-1 32,0 2-48,0-1 160,0 1 104,0-1 176,0 1 184,0-1 128,0 0 137,0 1-889,0 0 920,-1-2-32,0 1-80,-2 0-120,0 0-128,-1 0-119,4 1-441,-2-2 376,-2 1-168,1 0-72,-1 0-96,1-2-96,0 2-24,3 1 80,-1-1-176,-1 0-208,0 0-353,1-1-447,-1 1-512,1 0-49,1 1 1745,-2 0-1232,0-1 424,0-2-1400,2 3 2208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4:33:26.7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56 66 12226,'0'0'0,"-18"-17"112,18 17-112,-13-16 48,-3-2 0,13 8-16,-1 9-104,3-1-160,1 0-208,0 2 440,0 0-600,0 0-24,0 0 104,3 0 176,7 3 144,-6 0 95,-4-3 105,14 4-56,-3 0 32,1 6 0,1-7-16,0 0-32,0 8-88,-13-11 160,12 4-280,4 6-448,-1-6-568,1 8-160,3-8 231,2 11-2159,-21-15 3384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topLeftCell="C1" zoomScale="130" zoomScaleNormal="100" zoomScaleSheetLayoutView="130" workbookViewId="0">
      <selection activeCell="F3" sqref="F3:J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8" t="s">
        <v>224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2">
      <c r="B2" s="12" t="s">
        <v>8</v>
      </c>
      <c r="C2" s="74" t="s">
        <v>40</v>
      </c>
      <c r="D2" s="74"/>
      <c r="E2" s="12" t="s">
        <v>7</v>
      </c>
      <c r="F2" s="69">
        <v>45954</v>
      </c>
      <c r="G2" s="69"/>
      <c r="H2" s="69"/>
      <c r="I2" s="69"/>
      <c r="J2" s="69"/>
    </row>
    <row r="3" spans="1:10" ht="30" customHeight="1" x14ac:dyDescent="0.2">
      <c r="B3" s="12" t="s">
        <v>9</v>
      </c>
      <c r="C3" s="74" t="s">
        <v>81</v>
      </c>
      <c r="D3" s="74"/>
      <c r="E3" s="12" t="s">
        <v>6</v>
      </c>
      <c r="F3" s="74" t="s">
        <v>92</v>
      </c>
      <c r="G3" s="74"/>
      <c r="H3" s="74"/>
      <c r="I3" s="74"/>
      <c r="J3" s="7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5" customHeight="1" thickBot="1" x14ac:dyDescent="0.2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5" customHeight="1" thickBot="1" x14ac:dyDescent="0.25">
      <c r="A7" s="10"/>
      <c r="B7" s="77" t="s">
        <v>21</v>
      </c>
      <c r="C7" s="78"/>
      <c r="D7" s="78"/>
      <c r="E7" s="28" t="s">
        <v>18</v>
      </c>
      <c r="F7" s="28" t="s">
        <v>19</v>
      </c>
      <c r="G7" s="28" t="s">
        <v>22</v>
      </c>
      <c r="H7" s="28" t="s">
        <v>20</v>
      </c>
      <c r="I7" s="83" t="s">
        <v>25</v>
      </c>
      <c r="J7" s="84"/>
    </row>
    <row r="8" spans="1:10" ht="39.950000000000003" customHeight="1" x14ac:dyDescent="0.2">
      <c r="A8" s="10"/>
      <c r="B8" s="36" t="s">
        <v>176</v>
      </c>
      <c r="C8" s="37"/>
      <c r="D8" s="37"/>
      <c r="E8" s="37"/>
      <c r="F8" s="37"/>
      <c r="G8" s="37"/>
      <c r="H8" s="37"/>
      <c r="I8" s="37"/>
      <c r="J8" s="38"/>
    </row>
    <row r="9" spans="1:10" ht="39.950000000000003" customHeight="1" x14ac:dyDescent="0.2">
      <c r="A9" s="10"/>
      <c r="B9" s="41" t="s">
        <v>177</v>
      </c>
      <c r="C9" s="42"/>
      <c r="D9" s="42"/>
      <c r="E9" s="30"/>
      <c r="F9" s="26"/>
      <c r="G9" s="31"/>
      <c r="H9" s="32"/>
      <c r="I9" s="47"/>
      <c r="J9" s="48"/>
    </row>
    <row r="10" spans="1:10" ht="39.950000000000003" customHeight="1" x14ac:dyDescent="0.2">
      <c r="A10" s="10"/>
      <c r="B10" s="39" t="s">
        <v>178</v>
      </c>
      <c r="C10" s="40"/>
      <c r="D10" s="40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9.950000000000003" customHeight="1" x14ac:dyDescent="0.2">
      <c r="A11" s="10"/>
      <c r="B11" s="39" t="s">
        <v>179</v>
      </c>
      <c r="C11" s="40"/>
      <c r="D11" s="40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7"/>
      <c r="J11" s="48"/>
    </row>
    <row r="12" spans="1:10" ht="39.950000000000003" customHeight="1" x14ac:dyDescent="0.2">
      <c r="A12" s="10"/>
      <c r="B12" s="39" t="s">
        <v>180</v>
      </c>
      <c r="C12" s="40"/>
      <c r="D12" s="40"/>
      <c r="E12" s="9">
        <v>5</v>
      </c>
      <c r="F12" s="26">
        <v>3.5</v>
      </c>
      <c r="G12" s="31">
        <f t="shared" si="0"/>
        <v>0.7</v>
      </c>
      <c r="H12" s="32" t="str">
        <f t="shared" si="1"/>
        <v>جيد</v>
      </c>
      <c r="I12" s="47"/>
      <c r="J12" s="48"/>
    </row>
    <row r="13" spans="1:10" ht="39.950000000000003" customHeight="1" x14ac:dyDescent="0.2">
      <c r="A13" s="10"/>
      <c r="B13" s="39" t="s">
        <v>181</v>
      </c>
      <c r="C13" s="40"/>
      <c r="D13" s="40"/>
      <c r="E13" s="30"/>
      <c r="F13" s="26"/>
      <c r="G13" s="31"/>
      <c r="H13" s="32"/>
      <c r="I13" s="47"/>
      <c r="J13" s="48"/>
    </row>
    <row r="14" spans="1:10" ht="39.950000000000003" customHeight="1" x14ac:dyDescent="0.2">
      <c r="A14" s="10"/>
      <c r="B14" s="45" t="s">
        <v>182</v>
      </c>
      <c r="C14" s="46"/>
      <c r="D14" s="46"/>
      <c r="E14" s="9">
        <v>5</v>
      </c>
      <c r="F14" s="26">
        <v>3.75</v>
      </c>
      <c r="G14" s="31">
        <f t="shared" si="0"/>
        <v>0.75</v>
      </c>
      <c r="H14" s="32" t="str">
        <f t="shared" si="1"/>
        <v>جيد</v>
      </c>
      <c r="I14" s="47"/>
      <c r="J14" s="48"/>
    </row>
    <row r="15" spans="1:10" ht="39.950000000000003" customHeight="1" x14ac:dyDescent="0.2">
      <c r="A15" s="10"/>
      <c r="B15" s="45" t="s">
        <v>183</v>
      </c>
      <c r="C15" s="46"/>
      <c r="D15" s="46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7"/>
      <c r="J15" s="48"/>
    </row>
    <row r="16" spans="1:10" ht="50.1" customHeight="1" x14ac:dyDescent="0.2">
      <c r="A16" s="10"/>
      <c r="B16" s="45" t="s">
        <v>184</v>
      </c>
      <c r="C16" s="46"/>
      <c r="D16" s="46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47"/>
      <c r="J16" s="48"/>
    </row>
    <row r="17" spans="1:10" ht="39.950000000000003" customHeight="1" x14ac:dyDescent="0.2">
      <c r="A17" s="10"/>
      <c r="B17" s="45" t="s">
        <v>185</v>
      </c>
      <c r="C17" s="46"/>
      <c r="D17" s="46"/>
      <c r="E17" s="9">
        <v>5</v>
      </c>
      <c r="F17" s="26">
        <v>3.5</v>
      </c>
      <c r="G17" s="31">
        <f t="shared" si="0"/>
        <v>0.7</v>
      </c>
      <c r="H17" s="32" t="str">
        <f t="shared" si="1"/>
        <v>جيد</v>
      </c>
      <c r="I17" s="47"/>
      <c r="J17" s="48"/>
    </row>
    <row r="18" spans="1:10" ht="39.950000000000003" customHeight="1" x14ac:dyDescent="0.2">
      <c r="A18" s="10"/>
      <c r="B18" s="45" t="s">
        <v>186</v>
      </c>
      <c r="C18" s="46"/>
      <c r="D18" s="46"/>
      <c r="E18" s="9">
        <v>5</v>
      </c>
      <c r="F18" s="26">
        <v>3.75</v>
      </c>
      <c r="G18" s="31">
        <f t="shared" si="0"/>
        <v>0.75</v>
      </c>
      <c r="H18" s="32" t="str">
        <f t="shared" si="1"/>
        <v>جيد</v>
      </c>
      <c r="I18" s="47"/>
      <c r="J18" s="48"/>
    </row>
    <row r="19" spans="1:10" ht="39.950000000000003" customHeight="1" x14ac:dyDescent="0.2">
      <c r="A19" s="10"/>
      <c r="B19" s="39" t="s">
        <v>187</v>
      </c>
      <c r="C19" s="40"/>
      <c r="D19" s="40"/>
      <c r="E19" s="9">
        <v>5</v>
      </c>
      <c r="F19" s="26">
        <v>3.5</v>
      </c>
      <c r="G19" s="31">
        <f t="shared" si="0"/>
        <v>0.7</v>
      </c>
      <c r="H19" s="32" t="str">
        <f t="shared" si="1"/>
        <v>جيد</v>
      </c>
      <c r="I19" s="47"/>
      <c r="J19" s="48"/>
    </row>
    <row r="20" spans="1:10" ht="39.950000000000003" customHeight="1" x14ac:dyDescent="0.2">
      <c r="A20" s="10"/>
      <c r="B20" s="39" t="s">
        <v>188</v>
      </c>
      <c r="C20" s="40"/>
      <c r="D20" s="40"/>
      <c r="E20" s="30"/>
      <c r="F20" s="26"/>
      <c r="G20" s="31"/>
      <c r="H20" s="32"/>
      <c r="I20" s="47"/>
      <c r="J20" s="48"/>
    </row>
    <row r="21" spans="1:10" ht="39.950000000000003" customHeight="1" x14ac:dyDescent="0.2">
      <c r="A21" s="10"/>
      <c r="B21" s="45" t="s">
        <v>189</v>
      </c>
      <c r="C21" s="46"/>
      <c r="D21" s="46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7"/>
      <c r="J21" s="48"/>
    </row>
    <row r="22" spans="1:10" ht="39.950000000000003" customHeight="1" x14ac:dyDescent="0.2">
      <c r="A22" s="10"/>
      <c r="B22" s="45" t="s">
        <v>190</v>
      </c>
      <c r="C22" s="46"/>
      <c r="D22" s="46"/>
      <c r="E22" s="9">
        <v>5</v>
      </c>
      <c r="F22" s="26">
        <v>3.5</v>
      </c>
      <c r="G22" s="31">
        <f t="shared" si="0"/>
        <v>0.7</v>
      </c>
      <c r="H22" s="32" t="str">
        <f t="shared" si="1"/>
        <v>جيد</v>
      </c>
      <c r="I22" s="47"/>
      <c r="J22" s="48"/>
    </row>
    <row r="23" spans="1:10" ht="39.950000000000003" customHeight="1" x14ac:dyDescent="0.2">
      <c r="A23" s="10"/>
      <c r="B23" s="45" t="s">
        <v>191</v>
      </c>
      <c r="C23" s="46"/>
      <c r="D23" s="46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7"/>
      <c r="J23" s="48"/>
    </row>
    <row r="24" spans="1:10" ht="39.950000000000003" customHeight="1" x14ac:dyDescent="0.2">
      <c r="A24" s="10"/>
      <c r="B24" s="45" t="s">
        <v>192</v>
      </c>
      <c r="C24" s="46"/>
      <c r="D24" s="46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7"/>
      <c r="J24" s="48"/>
    </row>
    <row r="25" spans="1:10" ht="39.950000000000003" customHeight="1" thickBot="1" x14ac:dyDescent="0.25">
      <c r="A25" s="10"/>
      <c r="B25" s="49" t="s">
        <v>193</v>
      </c>
      <c r="C25" s="50"/>
      <c r="D25" s="50"/>
      <c r="E25" s="33">
        <v>5</v>
      </c>
      <c r="F25" s="27">
        <v>3.5</v>
      </c>
      <c r="G25" s="34">
        <f t="shared" si="0"/>
        <v>0.7</v>
      </c>
      <c r="H25" s="35" t="str">
        <f t="shared" si="1"/>
        <v>جيد</v>
      </c>
      <c r="I25" s="61"/>
      <c r="J25" s="62"/>
    </row>
    <row r="26" spans="1:10" ht="39.950000000000003" customHeight="1" x14ac:dyDescent="0.2">
      <c r="A26" s="10"/>
      <c r="B26" s="36" t="s">
        <v>194</v>
      </c>
      <c r="C26" s="37"/>
      <c r="D26" s="37"/>
      <c r="E26" s="37"/>
      <c r="F26" s="37"/>
      <c r="G26" s="37"/>
      <c r="H26" s="37"/>
      <c r="I26" s="37"/>
      <c r="J26" s="38"/>
    </row>
    <row r="27" spans="1:10" ht="50.1" customHeight="1" x14ac:dyDescent="0.2">
      <c r="A27" s="10"/>
      <c r="B27" s="41" t="s">
        <v>195</v>
      </c>
      <c r="C27" s="42"/>
      <c r="D27" s="42"/>
      <c r="E27" s="9"/>
      <c r="F27" s="26"/>
      <c r="G27" s="31"/>
      <c r="H27" s="32"/>
      <c r="I27" s="47"/>
      <c r="J27" s="48"/>
    </row>
    <row r="28" spans="1:10" ht="39.950000000000003" customHeight="1" x14ac:dyDescent="0.2">
      <c r="A28" s="10"/>
      <c r="B28" s="39" t="s">
        <v>196</v>
      </c>
      <c r="C28" s="40"/>
      <c r="D28" s="40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7"/>
      <c r="J28" s="48"/>
    </row>
    <row r="29" spans="1:10" ht="39.950000000000003" customHeight="1" x14ac:dyDescent="0.2">
      <c r="A29" s="10"/>
      <c r="B29" s="39" t="s">
        <v>197</v>
      </c>
      <c r="C29" s="40"/>
      <c r="D29" s="40"/>
      <c r="E29" s="9">
        <v>5</v>
      </c>
      <c r="F29" s="26">
        <v>3.5</v>
      </c>
      <c r="G29" s="31">
        <f t="shared" si="0"/>
        <v>0.7</v>
      </c>
      <c r="H29" s="32" t="str">
        <f t="shared" si="1"/>
        <v>جيد</v>
      </c>
      <c r="I29" s="47"/>
      <c r="J29" s="48"/>
    </row>
    <row r="30" spans="1:10" ht="39.950000000000003" customHeight="1" x14ac:dyDescent="0.2">
      <c r="A30" s="10"/>
      <c r="B30" s="39" t="s">
        <v>198</v>
      </c>
      <c r="C30" s="40"/>
      <c r="D30" s="40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7"/>
      <c r="J30" s="48"/>
    </row>
    <row r="31" spans="1:10" ht="39.950000000000003" customHeight="1" x14ac:dyDescent="0.2">
      <c r="A31" s="10"/>
      <c r="B31" s="39" t="s">
        <v>199</v>
      </c>
      <c r="C31" s="40"/>
      <c r="D31" s="40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7"/>
      <c r="J31" s="48"/>
    </row>
    <row r="32" spans="1:10" ht="39.950000000000003" customHeight="1" x14ac:dyDescent="0.2">
      <c r="A32" s="10"/>
      <c r="B32" s="41" t="s">
        <v>200</v>
      </c>
      <c r="C32" s="42"/>
      <c r="D32" s="42"/>
      <c r="E32" s="30"/>
      <c r="F32" s="26"/>
      <c r="G32" s="31"/>
      <c r="H32" s="32"/>
      <c r="I32" s="47"/>
      <c r="J32" s="48"/>
    </row>
    <row r="33" spans="1:10" ht="39.950000000000003" customHeight="1" x14ac:dyDescent="0.2">
      <c r="A33" s="10"/>
      <c r="B33" s="39" t="s">
        <v>201</v>
      </c>
      <c r="C33" s="40"/>
      <c r="D33" s="40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7"/>
      <c r="J33" s="48"/>
    </row>
    <row r="34" spans="1:10" ht="39.950000000000003" customHeight="1" x14ac:dyDescent="0.2">
      <c r="A34" s="10"/>
      <c r="B34" s="39" t="s">
        <v>202</v>
      </c>
      <c r="C34" s="40"/>
      <c r="D34" s="40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7"/>
      <c r="J34" s="48"/>
    </row>
    <row r="35" spans="1:10" ht="39.950000000000003" customHeight="1" x14ac:dyDescent="0.2">
      <c r="A35" s="10"/>
      <c r="B35" s="39" t="s">
        <v>203</v>
      </c>
      <c r="C35" s="40"/>
      <c r="D35" s="40"/>
      <c r="E35" s="9">
        <v>5</v>
      </c>
      <c r="F35" s="26">
        <v>3.75</v>
      </c>
      <c r="G35" s="31">
        <f t="shared" si="0"/>
        <v>0.75</v>
      </c>
      <c r="H35" s="32" t="str">
        <f t="shared" si="1"/>
        <v>جيد</v>
      </c>
      <c r="I35" s="47"/>
      <c r="J35" s="48"/>
    </row>
    <row r="36" spans="1:10" ht="39.950000000000003" customHeight="1" x14ac:dyDescent="0.2">
      <c r="A36" s="10"/>
      <c r="B36" s="39" t="s">
        <v>204</v>
      </c>
      <c r="C36" s="40"/>
      <c r="D36" s="40"/>
      <c r="E36" s="9">
        <v>5</v>
      </c>
      <c r="F36" s="26">
        <v>3.5</v>
      </c>
      <c r="G36" s="31">
        <f t="shared" si="0"/>
        <v>0.7</v>
      </c>
      <c r="H36" s="32" t="str">
        <f t="shared" si="1"/>
        <v>جيد</v>
      </c>
      <c r="I36" s="47"/>
      <c r="J36" s="48"/>
    </row>
    <row r="37" spans="1:10" ht="39.950000000000003" customHeight="1" x14ac:dyDescent="0.2">
      <c r="A37" s="10"/>
      <c r="B37" s="39" t="s">
        <v>205</v>
      </c>
      <c r="C37" s="40"/>
      <c r="D37" s="40"/>
      <c r="E37" s="9">
        <v>5</v>
      </c>
      <c r="F37" s="26">
        <v>4.25</v>
      </c>
      <c r="G37" s="31">
        <f t="shared" si="0"/>
        <v>0.85</v>
      </c>
      <c r="H37" s="32" t="str">
        <f t="shared" si="1"/>
        <v>جيد جداً</v>
      </c>
      <c r="I37" s="47"/>
      <c r="J37" s="48"/>
    </row>
    <row r="38" spans="1:10" ht="39.950000000000003" customHeight="1" thickBot="1" x14ac:dyDescent="0.25">
      <c r="A38" s="10"/>
      <c r="B38" s="43" t="s">
        <v>206</v>
      </c>
      <c r="C38" s="44"/>
      <c r="D38" s="44"/>
      <c r="E38" s="33">
        <v>5</v>
      </c>
      <c r="F38" s="27">
        <v>4</v>
      </c>
      <c r="G38" s="34">
        <f t="shared" si="0"/>
        <v>0.8</v>
      </c>
      <c r="H38" s="35" t="str">
        <f t="shared" si="1"/>
        <v>جيد جداً</v>
      </c>
      <c r="I38" s="61"/>
      <c r="J38" s="62"/>
    </row>
    <row r="39" spans="1:10" ht="39.950000000000003" customHeight="1" x14ac:dyDescent="0.2">
      <c r="A39" s="10"/>
      <c r="B39" s="36" t="s">
        <v>207</v>
      </c>
      <c r="C39" s="37"/>
      <c r="D39" s="37"/>
      <c r="E39" s="37"/>
      <c r="F39" s="37"/>
      <c r="G39" s="37"/>
      <c r="H39" s="37"/>
      <c r="I39" s="37"/>
      <c r="J39" s="38"/>
    </row>
    <row r="40" spans="1:10" ht="39.950000000000003" customHeight="1" x14ac:dyDescent="0.2">
      <c r="A40" s="10"/>
      <c r="B40" s="41" t="s">
        <v>208</v>
      </c>
      <c r="C40" s="42"/>
      <c r="D40" s="42"/>
      <c r="E40" s="9"/>
      <c r="F40" s="26"/>
      <c r="G40" s="31"/>
      <c r="H40" s="32"/>
      <c r="I40" s="47"/>
      <c r="J40" s="48"/>
    </row>
    <row r="41" spans="1:10" ht="39.950000000000003" customHeight="1" x14ac:dyDescent="0.2">
      <c r="A41" s="10"/>
      <c r="B41" s="39" t="s">
        <v>209</v>
      </c>
      <c r="C41" s="40"/>
      <c r="D41" s="40"/>
      <c r="E41" s="9">
        <v>5</v>
      </c>
      <c r="F41" s="26">
        <v>4</v>
      </c>
      <c r="G41" s="31">
        <f t="shared" si="0"/>
        <v>0.8</v>
      </c>
      <c r="H41" s="32" t="str">
        <f t="shared" si="1"/>
        <v>جيد جداً</v>
      </c>
      <c r="I41" s="47"/>
      <c r="J41" s="48"/>
    </row>
    <row r="42" spans="1:10" ht="39.950000000000003" customHeight="1" x14ac:dyDescent="0.2">
      <c r="A42" s="10"/>
      <c r="B42" s="39" t="s">
        <v>210</v>
      </c>
      <c r="C42" s="40"/>
      <c r="D42" s="40"/>
      <c r="E42" s="9">
        <v>5</v>
      </c>
      <c r="F42" s="26">
        <v>4</v>
      </c>
      <c r="G42" s="31">
        <f t="shared" si="0"/>
        <v>0.8</v>
      </c>
      <c r="H42" s="32" t="str">
        <f t="shared" si="1"/>
        <v>جيد جداً</v>
      </c>
      <c r="I42" s="47"/>
      <c r="J42" s="48"/>
    </row>
    <row r="43" spans="1:10" ht="39.950000000000003" customHeight="1" x14ac:dyDescent="0.2">
      <c r="A43" s="10"/>
      <c r="B43" s="39" t="s">
        <v>211</v>
      </c>
      <c r="C43" s="40"/>
      <c r="D43" s="40"/>
      <c r="E43" s="9">
        <v>5</v>
      </c>
      <c r="F43" s="26">
        <v>3.5</v>
      </c>
      <c r="G43" s="31">
        <f t="shared" si="0"/>
        <v>0.7</v>
      </c>
      <c r="H43" s="32" t="str">
        <f t="shared" si="1"/>
        <v>جيد</v>
      </c>
      <c r="I43" s="47"/>
      <c r="J43" s="48"/>
    </row>
    <row r="44" spans="1:10" ht="39.950000000000003" customHeight="1" x14ac:dyDescent="0.2">
      <c r="A44" s="10"/>
      <c r="B44" s="39" t="s">
        <v>212</v>
      </c>
      <c r="C44" s="40"/>
      <c r="D44" s="40"/>
      <c r="E44" s="9">
        <v>5</v>
      </c>
      <c r="F44" s="26">
        <v>4</v>
      </c>
      <c r="G44" s="31">
        <f t="shared" si="0"/>
        <v>0.8</v>
      </c>
      <c r="H44" s="32" t="str">
        <f t="shared" si="1"/>
        <v>جيد جداً</v>
      </c>
      <c r="I44" s="47"/>
      <c r="J44" s="48"/>
    </row>
    <row r="45" spans="1:10" ht="39.950000000000003" customHeight="1" x14ac:dyDescent="0.2">
      <c r="A45" s="10"/>
      <c r="B45" s="39" t="s">
        <v>213</v>
      </c>
      <c r="C45" s="40"/>
      <c r="D45" s="40"/>
      <c r="E45" s="9">
        <v>5</v>
      </c>
      <c r="F45" s="26">
        <v>4.25</v>
      </c>
      <c r="G45" s="31">
        <f t="shared" si="0"/>
        <v>0.85</v>
      </c>
      <c r="H45" s="32" t="str">
        <f t="shared" si="1"/>
        <v>جيد جداً</v>
      </c>
      <c r="I45" s="47"/>
      <c r="J45" s="48"/>
    </row>
    <row r="46" spans="1:10" ht="39.950000000000003" customHeight="1" x14ac:dyDescent="0.2">
      <c r="A46" s="10"/>
      <c r="B46" s="39" t="s">
        <v>214</v>
      </c>
      <c r="C46" s="40"/>
      <c r="D46" s="40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7"/>
      <c r="J46" s="48"/>
    </row>
    <row r="47" spans="1:10" ht="39.950000000000003" customHeight="1" x14ac:dyDescent="0.2">
      <c r="A47" s="10"/>
      <c r="B47" s="41" t="s">
        <v>215</v>
      </c>
      <c r="C47" s="42"/>
      <c r="D47" s="42"/>
      <c r="E47" s="30"/>
      <c r="F47" s="26"/>
      <c r="G47" s="31"/>
      <c r="H47" s="32"/>
      <c r="I47" s="47"/>
      <c r="J47" s="48"/>
    </row>
    <row r="48" spans="1:10" ht="39.950000000000003" customHeight="1" x14ac:dyDescent="0.2">
      <c r="A48" s="10"/>
      <c r="B48" s="39" t="s">
        <v>216</v>
      </c>
      <c r="C48" s="40"/>
      <c r="D48" s="40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7"/>
      <c r="J48" s="48"/>
    </row>
    <row r="49" spans="1:10" ht="39.950000000000003" customHeight="1" x14ac:dyDescent="0.2">
      <c r="A49" s="10"/>
      <c r="B49" s="39" t="s">
        <v>217</v>
      </c>
      <c r="C49" s="40"/>
      <c r="D49" s="40"/>
      <c r="E49" s="9">
        <v>5</v>
      </c>
      <c r="F49" s="26">
        <v>4</v>
      </c>
      <c r="G49" s="31">
        <f t="shared" si="0"/>
        <v>0.8</v>
      </c>
      <c r="H49" s="32" t="str">
        <f t="shared" si="1"/>
        <v>جيد جداً</v>
      </c>
      <c r="I49" s="47"/>
      <c r="J49" s="48"/>
    </row>
    <row r="50" spans="1:10" ht="39.950000000000003" customHeight="1" x14ac:dyDescent="0.2">
      <c r="A50" s="10"/>
      <c r="B50" s="39" t="s">
        <v>218</v>
      </c>
      <c r="C50" s="40"/>
      <c r="D50" s="40"/>
      <c r="E50" s="9">
        <v>5</v>
      </c>
      <c r="F50" s="26">
        <v>4</v>
      </c>
      <c r="G50" s="31">
        <f t="shared" si="0"/>
        <v>0.8</v>
      </c>
      <c r="H50" s="32" t="str">
        <f t="shared" si="1"/>
        <v>جيد جداً</v>
      </c>
      <c r="I50" s="47"/>
      <c r="J50" s="48"/>
    </row>
    <row r="51" spans="1:10" ht="39.950000000000003" customHeight="1" x14ac:dyDescent="0.2">
      <c r="A51" s="10"/>
      <c r="B51" s="39" t="s">
        <v>219</v>
      </c>
      <c r="C51" s="40"/>
      <c r="D51" s="40"/>
      <c r="E51" s="9">
        <v>5</v>
      </c>
      <c r="F51" s="26">
        <v>3.5</v>
      </c>
      <c r="G51" s="31">
        <f t="shared" si="0"/>
        <v>0.7</v>
      </c>
      <c r="H51" s="32" t="str">
        <f t="shared" si="1"/>
        <v>جيد</v>
      </c>
      <c r="I51" s="47"/>
      <c r="J51" s="48"/>
    </row>
    <row r="52" spans="1:10" ht="39.950000000000003" customHeight="1" x14ac:dyDescent="0.2">
      <c r="A52" s="10"/>
      <c r="B52" s="39" t="s">
        <v>220</v>
      </c>
      <c r="C52" s="40"/>
      <c r="D52" s="40"/>
      <c r="E52" s="9">
        <v>5</v>
      </c>
      <c r="F52" s="26">
        <v>3.5</v>
      </c>
      <c r="G52" s="31">
        <f t="shared" si="0"/>
        <v>0.7</v>
      </c>
      <c r="H52" s="32" t="str">
        <f t="shared" si="1"/>
        <v>جيد</v>
      </c>
      <c r="I52" s="47"/>
      <c r="J52" s="48"/>
    </row>
    <row r="53" spans="1:10" ht="39.950000000000003" customHeight="1" x14ac:dyDescent="0.2">
      <c r="A53" s="10"/>
      <c r="B53" s="39" t="s">
        <v>221</v>
      </c>
      <c r="C53" s="40"/>
      <c r="D53" s="40"/>
      <c r="E53" s="9">
        <v>5</v>
      </c>
      <c r="F53" s="26">
        <v>3.5</v>
      </c>
      <c r="G53" s="31">
        <f t="shared" si="0"/>
        <v>0.7</v>
      </c>
      <c r="H53" s="32" t="str">
        <f t="shared" si="1"/>
        <v>جيد</v>
      </c>
      <c r="I53" s="47"/>
      <c r="J53" s="48"/>
    </row>
    <row r="54" spans="1:10" ht="39.950000000000003" customHeight="1" x14ac:dyDescent="0.2">
      <c r="A54" s="10"/>
      <c r="B54" s="39" t="s">
        <v>222</v>
      </c>
      <c r="C54" s="40"/>
      <c r="D54" s="40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7"/>
      <c r="J54" s="48"/>
    </row>
    <row r="55" spans="1:10" ht="39.950000000000003" customHeight="1" thickBot="1" x14ac:dyDescent="0.25">
      <c r="A55" s="10"/>
      <c r="B55" s="49" t="s">
        <v>223</v>
      </c>
      <c r="C55" s="50"/>
      <c r="D55" s="50"/>
      <c r="E55" s="33">
        <v>5</v>
      </c>
      <c r="F55" s="27">
        <v>4</v>
      </c>
      <c r="G55" s="34">
        <f t="shared" si="0"/>
        <v>0.8</v>
      </c>
      <c r="H55" s="35" t="str">
        <f t="shared" si="1"/>
        <v>جيد جداً</v>
      </c>
      <c r="I55" s="61"/>
      <c r="J55" s="62"/>
    </row>
    <row r="56" spans="1:10" ht="30" customHeight="1" thickBot="1" x14ac:dyDescent="0.25">
      <c r="A56" s="4"/>
      <c r="B56" s="51" t="s">
        <v>5</v>
      </c>
      <c r="C56" s="52"/>
      <c r="D56" s="52"/>
      <c r="E56" s="29">
        <f>SUM(E8:E55)</f>
        <v>190</v>
      </c>
      <c r="F56" s="29">
        <f>SUM(F8:F55)</f>
        <v>143.75</v>
      </c>
      <c r="G56" s="65"/>
      <c r="H56" s="66"/>
      <c r="I56" s="66"/>
      <c r="J56" s="67"/>
    </row>
    <row r="57" spans="1:10" ht="30" customHeight="1" thickBot="1" x14ac:dyDescent="0.25">
      <c r="A57" s="4"/>
      <c r="B57" s="53" t="s">
        <v>54</v>
      </c>
      <c r="C57" s="54"/>
      <c r="D57" s="54"/>
      <c r="E57" s="75">
        <f>F56/E56/100*100</f>
        <v>0.75657894736842102</v>
      </c>
      <c r="F57" s="75"/>
      <c r="G57" s="75"/>
      <c r="H57" s="75"/>
      <c r="I57" s="75"/>
      <c r="J57" s="76"/>
    </row>
    <row r="58" spans="1:10" ht="30" customHeight="1" thickBot="1" x14ac:dyDescent="0.25">
      <c r="A58" s="4"/>
      <c r="B58" s="53" t="s">
        <v>55</v>
      </c>
      <c r="C58" s="54"/>
      <c r="D58" s="54"/>
      <c r="E58" s="59" t="str">
        <f>_xlfn.IFS(E57&gt;=90%,"ممتاز",E57&gt;=80%,"جيد جداً",E57&gt;=70%,"جيد",E57&gt;=60%,"مقبول",E57&lt;60%,"راسب")</f>
        <v>جيد</v>
      </c>
      <c r="F58" s="59"/>
      <c r="G58" s="59"/>
      <c r="H58" s="59"/>
      <c r="I58" s="59"/>
      <c r="J58" s="60"/>
    </row>
    <row r="59" spans="1:10" ht="42" customHeight="1" x14ac:dyDescent="0.2">
      <c r="B59" s="55" t="s">
        <v>175</v>
      </c>
      <c r="C59" s="55"/>
      <c r="D59" s="55"/>
      <c r="E59" s="63" t="s">
        <v>52</v>
      </c>
      <c r="F59" s="63"/>
      <c r="G59" s="57" t="s">
        <v>92</v>
      </c>
      <c r="H59" s="57"/>
      <c r="I59" s="57"/>
      <c r="J59" s="57"/>
    </row>
    <row r="60" spans="1:10" ht="51" customHeight="1" x14ac:dyDescent="0.2">
      <c r="A60" s="5"/>
      <c r="B60" s="56"/>
      <c r="C60" s="56"/>
      <c r="D60" s="56"/>
      <c r="E60" s="64" t="s">
        <v>53</v>
      </c>
      <c r="F60" s="64"/>
      <c r="G60" s="58"/>
      <c r="H60" s="58"/>
      <c r="I60" s="58"/>
      <c r="J60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2025-10-22T04:12:27Z</dcterms:modified>
</cp:coreProperties>
</file>