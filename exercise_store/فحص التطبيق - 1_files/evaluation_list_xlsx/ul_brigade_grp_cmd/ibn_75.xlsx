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E3F1622B-F646-B345-901C-5BF66735CCC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Sheet1" sheetId="5" r:id="rId2"/>
    <sheet name="بيانات التقييم" sheetId="4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<sst xmlns="http://schemas.openxmlformats.org/spreadsheetml/2006/main" count="322" uniqueCount="266">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</sst>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208658</xdr:colOff>
      <xdr:row>95</xdr:row>
      <xdr:rowOff>506019</xdr:rowOff>
    </xdr:from>
    <xdr:to>
      <xdr:col>8</xdr:col>
      <xdr:colOff>585630</xdr:colOff>
      <xdr:row>96</xdr:row>
      <xdr:rowOff>520673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2DC613F-9DF5-8BE6-A357-DA00F45E6830}"/>
                </a:ext>
              </a:extLst>
            </xdr14:cNvPr>
            <xdr14:cNvContentPartPr/>
          </xdr14:nvContentPartPr>
          <xdr14:nvPr macro=""/>
          <xdr14:xfrm>
            <a:off x="10467793755" y="39280320"/>
            <a:ext cx="1686600" cy="5486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2DC613F-9DF5-8BE6-A357-DA00F45E68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7787635" y="39274200"/>
              <a:ext cx="1698840" cy="56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371765</xdr:colOff>
      <xdr:row>96</xdr:row>
      <xdr:rowOff>338513</xdr:rowOff>
    </xdr:from>
    <xdr:to>
      <xdr:col>7</xdr:col>
      <xdr:colOff>400565</xdr:colOff>
      <xdr:row>96</xdr:row>
      <xdr:rowOff>343553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A7A25CA-B1FC-7F7C-B09C-996B27726805}"/>
                </a:ext>
              </a:extLst>
            </xdr14:cNvPr>
            <xdr14:cNvContentPartPr/>
          </xdr14:nvContentPartPr>
          <xdr14:nvPr macro=""/>
          <xdr14:xfrm>
            <a:off x="10468633635" y="39646800"/>
            <a:ext cx="28800" cy="504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A7A25CA-B1FC-7F7C-B09C-996B2772680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8627515" y="39640680"/>
              <a:ext cx="41040" cy="17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29:38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3678 1378 9233,'0'0'0,"-1"-1"3193,1 1-3193,-1-2 2025,0-1-1241,0 0-552,1-1-200,0 2-32,0-1 48,0 3-48,0-3 112,0 1 64,0-1 24,2 1 56,-2-1-24,0-1-32,0 4-200,2-3 216,0 0-48,0-1 24,-2-4-64,2 6-24,0-3-32,-2 5-72,3-9 16,-1 6 40,0-6 24,1 4-32,0-4 24,0 6-24,-3 3-48,9-10 24,-9 6 32,3-5-16,0 6 16,0-7 8,0 7 8,-3 3-72,2-8 80,1 5-16,0-6 32,-1 5-24,1-6 8,-1 7-8,-2 3-72,2-11 73,0 8-1,0-6 0,0 5-16,1-7 0,-1 7-8,-2 4-48,3-10 40,0 1 16,0 5 8,7-6 0,-8 6 8,1-7-24,-3 11-48,3-8 64,7 4-16,-8-8-96,1 4 112,7 0-80,-8-1 56,-2 9-40,10-4 88,-8-7-104,6 6 16,-5-5 16,7 2-56,-7 4 24,-3 4 16,10-11 64,-8 7-48,7-6 56,-7 5-48,1-4-24,5 5 40,-8 4-40,2-9 24,0 6 40,0-1 24,1 0 72,-1 0 40,0 0 120,-2 4-320,0-3 304,0-1 32,0 1-16,0 0-16,0 0-16,-1 0-40,1 3-248,-1-3 256,-3 0-72,1 0 32,-1-1-56,-4 1-39,5 1-9,3 2-112,-10-3 56,2 0 40,0 0-48,-2 1-16,-2 1-8,0 0-64,12 1 40,-15 0 24,-1 0-24,-2 3 16,-2 0-32,-2 6 8,-3-6-8,25-3 16,-26 10-16,-1-7-32,0 9 48,-2-3-32,-2 1 16,-2 1 48,33-11-32,-36 11-40,1 1 96,-1 0-8,-2 1 24,0 0-8,0 1-32,38-14-32,-40 13 40,0 2-16,1-2-24,0 3 48,0-3-48,-2 2-16,41-15 16,-40 14 64,2 0-16,2 0-8,1 0-16,2 0-48,-1-2-32,34-12 56,-33 13-16,1-2-24,1 1 80,2-2-40,0 1 16,2 0 40,27-11-56,-29 11-16,3 0 72,-1-1-40,1 1-16,2-2 40,0 0-40,24-9 0,-22 3 0,0 7 24,2-7-40,2 8 8,0-8 8,1 5 8,17-8-8,-17 2 72,1 7-88,1-7 56,0 0-40,2 1-24,1 0 48,12-3-24,-10 2 16,2 0 40,5-2-16,-7 2-8,8-2 24,-1 0 8,3 0-64,-3 0 56,1 0 56,1 0-56,0 0 0,1-1-16,0 0-64,0 1 24,0 0-88,0-1 48,0 0-56,2 0 16,0-1 8,0-1-24,-2 3 96,3-2-32,6-1-24,-5-1 16,7-4 32,-2 5-88,2-1 80,-11 4 16,13-8-40,3 3 8,2-4 24,1 1-8,1-1 32,2 0-32,-22 9 16,22-9-32,1-2 24,2 1-24,1-1 24,2 0 32,0 0-24,-28 11 0,31-11-24,0 0-32,0 1-16,1-1 32,0-2 0,0 1 8,-32 12 32,33-14-40,2 2-40,0-2 24,1 1 8,1 0 56,0-1-16,-37 14 8,38-14-56,2-1 0,-2 1 15,1-1-15,-1 0 56,0 1-8,-38 14 8,38-14-48,1 0 64,-1-1-32,-1 1-48,0-1 8,-1 0-8,-36 15 64,35-14-80,2-1 64,-2 1 16,0-1 16,-2 0 8,-1 1-24,-32 14 0,34-14 0,-1 1-8,-2 0 16,2 1 24,-5 0-48,0 3 40,-28 9-24,27-11-64,-2 2 64,1 1 24,-1-1-64,-2 1 80,0 4-40,-23 4 0,20-9 32,-2 5-8,-1-4 16,-2 6-120,-2-1 24,-2 0 56,-11 3 0,9-2-40,0 0 136,-8 1-40,9-1-72,-8 1 40,0 1-64,-2 0 40,2 0-48,-2 0 96,0 0 8,0 0 8,0 0 32,0 0-40,0 0-56,-1 0 40,-2 3 17,0-3-1,-6 0-32,8 2 16,-8 0-24,9-2-16,-9 0-16,-1 2-40,-1 1 56,-2 0 0,0 0 32,-2 5-32,15-8 0,-16 0-56,-1 4 56,-1-1 40,-1 5-24,1-6 24,-2 0-56,20-2 16,-20 9-16,-2-7 48,-1 1-8,-1 7-8,-1-8-32,-1 8 32,26-10-16,-28 3 0,-2 9 0,-2-2 8,-3-1 24,3 3-16,-2-2 24,34-10-40,-36 11 24,0 2-24,-2-1-40,3 1 104,-3 0-16,2 1-24,36-14-24,-38 14 96,0 0-96,0 0-24,1-1 24,-2 1-32,1-1 8,38-13 24,-39 15 24,-1-2-8,-1 0-32,0 1 32,0-1-32,-1 2-24,42-15 40,-41 13 16,0 2-32,3-3 32,0 2 24,1-2-40,0 1 24,37-13-24,-37 12 0,2-1 32,2 0-24,1-1 24,3-1-16,0-1 8,29-8-24,-27 9 56,1-6-40,0 7 8,1-8-24,1 8 0,4-8 24,1 1-8,19-3-16,-19 9 32,0-7-24,1 2-32,2 4 24,1-6 16,1 1 24,14-3-40,-12 3 56,3 0-16,0-1-32,6 0 8,-5 1 0,7-3 0,1 0-16,-1 0 24,0 2-8,1-2-128,0 0 32,0 0-72,0 0 152,0 0-176,2 0 64,0 0-64,0-1 104,1 0 24,6 0-24,-9 1 72,4-3 16,9 1-48,-1-1 32,1-1 32,3-4-32,2 5-32,-18 3 32,17-11-8,4 7-25,1-9 9,3 4 8,4-2 8,0-1-24,-29 12 32,32-12-24,1-3 24,-1 2 0,3-3-16,2-1 32,3 1-16,-40 16 0,41-18-40,2 0 24,1-1 0,2 1-24,2-1 40,0 0 0,-48 19 0,49-19-24,1-2 8,2 2-8,0-1-72,0-1 80,0 0 8,-52 21 8,50-21-32,1 2 88,0-1-80,0 1-16,0 1 0,-2 0-40,-49 18 80,49-17-56,0-1 32,-2 0-8,1 2 8,-1-2 48,0 1-24,-47 17 0,47-16 16,-1-1 0,-2 0-16,1 2-80,0-2 88,-1 1 24,-44 16-32,45-15 0,-3 0 120,0 1-72,0-1-16,-3 1 8,-2 2-32,-37 12-8,35-12-40,0 2 56,-3 1-56,0-1 40,-2 2 24,-3 4-32,-27 4 8,23-10 8,-1 6 8,0-4 0,-2 5-48,-2-1 24,-1-1-8,-17 5 16,16-4-24,-2 1 48,-1 0 32,-1 1-48,-2 0 48,-1 1-56,-9 1 0,4-1-24,6 0 24,-7 0-32,5 0 32,-8 1 16,4 0 8,-4 0-24,2 0 16,0 0 24,-2 0 0,2 0 0,-2 0 16,0 0-16,0 0-40,0 0 64,0 0 24,0 0-23,-1 0 15,0 0 0,0 0-8,1 0-72,-1 2 80,-1-2-8,0 0-24,-1 2 40,0 0-32,0-2 40,3 0-96,-8 2 40,6 0 16,-7 0-8,6 0 24,-7 0 24,2 0 32,8-2-128,-10 4 112,1-1-16,-2 0 40,0-1-96,-2 1 64,1 0-40,12-3-64,-17 3 0,1 7 56,-3-8-8,-2 7-24,0-6 48,-3 8-16,24-11-56,-26 3 40,-3 9 72,-1-3-56,-5 0-8,1 1 64,-2 1-16,36-11-96,-39 11 128,-2 2 48,-2-1-80,-4 2-24,-1 0 40,-5 2-40,53-16-72,-54 16 72,-1 0 32,-3 2-48,-4 0 32,0 2-16,-5-1 32,67-19-104,-68 21 96,-3 0 40,-1 1 80,-5 1-64,0 0 8,-3 1-56,80-24-104,-81 25 56,1 2 96,-3 0 81,1 0-25,-2-1 80,0 0-32,84-26-256,-83 25 160,-2 1 72,1 1-80,-1 0-32,0 1-56,0 0-48,85-28-16,-85 27 56,1 1-8,0-2 24,3-1 8,2-2 8,2-1-72,77-22-16,-76 22 144,2-4 8,3 2 0,1-3 48,2-1-72,4-3-64,64-13-64,-62 13 32,4-4 24,-1-1 24,3-5 0,1 1 0,0 4-40,55-8-40,-52 0 32,1 2-16,2 0 0,1-2-16,1 0-32,2-1 80,45 1-48,-45-2 32,2-2 80,4-5-16,0 5 40,4-8-8,0 1-32,35 11-96,-34-11 128,0-3-112,3 1 128,3-3-80,3 1 16,1-3 32,24 18-112,-23-18-16,1-2 0,2 1 16,0-2 16,1-1-32,2-1 96,17 23-80,-16-25 96,0 0-48,3-1-31,0-1-17,4-1 0,-1-1 0,10 29 0,-4-29 0,-5 0 0,7-2 0,0 0 0,1-3 0,1 1 0,0 33 0,2-32 0,6-1 0,-5 2 0,10 0 0,-3-2 0,2 1 0,-12 32 0,14-32-65,2 1 1,3-1-80,0 1 128,3 1-32,1-2 0,-23 32 48,26-31-32,1 2-16,1-1 32,4 2 48,1 0-64,5-2-16,-38 30 48,38-28 0,2 0-80,1 0 64,0 2 64,2 2-80,0 2-16,-43 22 48,44-20-48,1 2-48,1 1 80,0 1-32,1 2 32,0 0 16,-47 14 0,49-11-64,2 0 96,0 3-64,2 4 32,0-5 32,1 8-64,-54 1 32,54-2 48,1 2-64,1 0 64,-2 3 0,1 9-48,-1-3 80,-54-9-80,55 12 32,-2 1-32,1 2 0,-1 1 0,-1 3-48,1 0 32,-53-19 16,51 21 0,2 1-48,-2 2 48,1 4 16,-1 0 0,0 2 32,-51-30-48,50 31 0,-2 0 64,-1 0-32,-2 1-32,-2 2 48,0 0-64,-43-34 16,41 36 32,-3 1-32,-1-1 16,-4 2-16,1-2 32,0 1 0,-34-37-32,32 37 64,1-1-16,-2-1-16,-1 1 48,-2 0-48,1 0 16,-29-36-48,27 35 0,0-1 32,-1-1-32,0-3 0,-1 1 32,0-2-16,-25-29-16,24 30-16,1-2 48,0 1-32,0-2-16,-1-1 48,-2-1-16,-22-25-16,21 23-16,2-1 0,-3 0-16,0-1-32,0-1 16,-3-1 16,-17-19 32,18 19-112,0-2-48,-1-3-176,-6-4 336,3 3-3568,0 1-601,-14-14 4169,11 12-5009,5 5-969,-7-7 1441,-5 0 833,-1-7-649,-3-3 4353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4:29:39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13 21156,'0'0'0,"-2"0"3257,-1-1-1913,0-2-744,3 3-600,-2-2 288,1 1-112,1 0-48,0-1-16,0 1-96,0 1 32,0 0-48,0-1-48,0 1-24,0 0-16,2 0-40,0 0-48,0-1-8,-2 1 184,2 0-288,1 0-248,7 0-224,-7 0-697,11 2-1183,-1 1-1649,-13-3 4289,14 2-5137,0 0-3273,-14-2 8410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D88" zoomScale="130" zoomScaleNormal="100" zoomScaleSheetLayoutView="130" workbookViewId="0">
      <selection activeCell="G96" sqref="G96:J9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8" t="s">
        <v>265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2">
      <c r="B2" s="13" t="s">
        <v>8</v>
      </c>
      <c r="C2" s="74" t="s">
        <v>35</v>
      </c>
      <c r="D2" s="74"/>
      <c r="E2" s="13" t="s">
        <v>7</v>
      </c>
      <c r="F2" s="69">
        <v>45929</v>
      </c>
      <c r="G2" s="69"/>
      <c r="H2" s="69"/>
      <c r="I2" s="69"/>
      <c r="J2" s="69"/>
    </row>
    <row r="3" spans="1:10" ht="30" customHeight="1" x14ac:dyDescent="0.2">
      <c r="B3" s="13" t="s">
        <v>9</v>
      </c>
      <c r="C3" s="74" t="s">
        <v>62</v>
      </c>
      <c r="D3" s="74"/>
      <c r="E3" s="13" t="s">
        <v>6</v>
      </c>
      <c r="F3" s="74" t="s">
        <v>93</v>
      </c>
      <c r="G3" s="74"/>
      <c r="H3" s="74"/>
      <c r="I3" s="74"/>
      <c r="J3" s="7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0" t="s">
        <v>0</v>
      </c>
      <c r="C5" s="71"/>
      <c r="D5" s="71"/>
      <c r="E5" s="79" t="s">
        <v>1</v>
      </c>
      <c r="F5" s="79"/>
      <c r="G5" s="79"/>
      <c r="H5" s="79"/>
      <c r="I5" s="79" t="s">
        <v>2</v>
      </c>
      <c r="J5" s="80"/>
    </row>
    <row r="6" spans="1:10" ht="24.95" customHeight="1" thickBot="1" x14ac:dyDescent="0.25">
      <c r="A6" s="10"/>
      <c r="B6" s="72"/>
      <c r="C6" s="73"/>
      <c r="D6" s="73"/>
      <c r="E6" s="11" t="s">
        <v>3</v>
      </c>
      <c r="F6" s="11" t="s">
        <v>4</v>
      </c>
      <c r="G6" s="11" t="s">
        <v>23</v>
      </c>
      <c r="H6" s="11" t="s">
        <v>24</v>
      </c>
      <c r="I6" s="81"/>
      <c r="J6" s="82"/>
    </row>
    <row r="7" spans="1:10" ht="24.95" customHeight="1" thickBot="1" x14ac:dyDescent="0.25">
      <c r="A7" s="10"/>
      <c r="B7" s="77" t="s">
        <v>21</v>
      </c>
      <c r="C7" s="78"/>
      <c r="D7" s="78"/>
      <c r="E7" s="12" t="s">
        <v>18</v>
      </c>
      <c r="F7" s="12" t="s">
        <v>19</v>
      </c>
      <c r="G7" s="12" t="s">
        <v>22</v>
      </c>
      <c r="H7" s="12" t="s">
        <v>20</v>
      </c>
      <c r="I7" s="83" t="s">
        <v>25</v>
      </c>
      <c r="J7" s="84"/>
    </row>
    <row r="8" spans="1:10" ht="39.950000000000003" customHeight="1" thickBot="1" x14ac:dyDescent="0.25">
      <c r="A8" s="10"/>
      <c r="B8" s="49" t="s">
        <v>177</v>
      </c>
      <c r="C8" s="50"/>
      <c r="D8" s="51"/>
      <c r="E8" s="9">
        <v>10</v>
      </c>
      <c r="F8" s="28">
        <v>7.5</v>
      </c>
      <c r="G8" s="29">
        <f>IFERROR(F8/E8,"")</f>
        <v>0.75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7"/>
      <c r="J8" s="58"/>
    </row>
    <row r="9" spans="1:10" ht="30" customHeight="1" x14ac:dyDescent="0.2">
      <c r="A9" s="10"/>
      <c r="B9" s="52" t="s">
        <v>178</v>
      </c>
      <c r="C9" s="53"/>
      <c r="D9" s="54"/>
      <c r="E9" s="30"/>
      <c r="F9" s="31"/>
      <c r="G9" s="32"/>
      <c r="H9" s="33"/>
      <c r="I9" s="59"/>
      <c r="J9" s="60"/>
    </row>
    <row r="10" spans="1:10" ht="30" customHeight="1" x14ac:dyDescent="0.2">
      <c r="A10" s="10"/>
      <c r="B10" s="43" t="s">
        <v>179</v>
      </c>
      <c r="C10" s="44"/>
      <c r="D10" s="45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5"/>
      <c r="J10" s="56"/>
    </row>
    <row r="11" spans="1:10" ht="30" customHeight="1" x14ac:dyDescent="0.2">
      <c r="A11" s="10"/>
      <c r="B11" s="43" t="s">
        <v>180</v>
      </c>
      <c r="C11" s="44"/>
      <c r="D11" s="45"/>
      <c r="E11" s="34">
        <v>8</v>
      </c>
      <c r="F11" s="35">
        <v>6.5</v>
      </c>
      <c r="G11" s="36">
        <f t="shared" si="0"/>
        <v>0.8125</v>
      </c>
      <c r="H11" s="37" t="str">
        <f t="shared" si="1"/>
        <v>جيد جداً</v>
      </c>
      <c r="I11" s="55"/>
      <c r="J11" s="56"/>
    </row>
    <row r="12" spans="1:10" ht="30" customHeight="1" x14ac:dyDescent="0.2">
      <c r="A12" s="10"/>
      <c r="B12" s="43" t="s">
        <v>181</v>
      </c>
      <c r="C12" s="44"/>
      <c r="D12" s="45"/>
      <c r="E12" s="34">
        <v>10</v>
      </c>
      <c r="F12" s="35">
        <v>8</v>
      </c>
      <c r="G12" s="36">
        <f t="shared" si="0"/>
        <v>0.8</v>
      </c>
      <c r="H12" s="37" t="str">
        <f t="shared" si="1"/>
        <v>جيد جداً</v>
      </c>
      <c r="I12" s="55"/>
      <c r="J12" s="56"/>
    </row>
    <row r="13" spans="1:10" ht="30" customHeight="1" x14ac:dyDescent="0.2">
      <c r="A13" s="10"/>
      <c r="B13" s="43" t="s">
        <v>182</v>
      </c>
      <c r="C13" s="44"/>
      <c r="D13" s="45"/>
      <c r="E13" s="34">
        <v>5</v>
      </c>
      <c r="F13" s="35">
        <v>4</v>
      </c>
      <c r="G13" s="36">
        <f t="shared" si="0"/>
        <v>0.8</v>
      </c>
      <c r="H13" s="37" t="str">
        <f t="shared" si="1"/>
        <v>جيد جداً</v>
      </c>
      <c r="I13" s="55"/>
      <c r="J13" s="56"/>
    </row>
    <row r="14" spans="1:10" ht="39.950000000000003" customHeight="1" x14ac:dyDescent="0.2">
      <c r="A14" s="10"/>
      <c r="B14" s="43" t="s">
        <v>183</v>
      </c>
      <c r="C14" s="44"/>
      <c r="D14" s="45"/>
      <c r="E14" s="34">
        <v>10</v>
      </c>
      <c r="F14" s="35">
        <v>8</v>
      </c>
      <c r="G14" s="36">
        <f t="shared" si="0"/>
        <v>0.8</v>
      </c>
      <c r="H14" s="37" t="str">
        <f t="shared" si="1"/>
        <v>جيد جداً</v>
      </c>
      <c r="I14" s="55"/>
      <c r="J14" s="56"/>
    </row>
    <row r="15" spans="1:10" ht="30" customHeight="1" x14ac:dyDescent="0.2">
      <c r="A15" s="10"/>
      <c r="B15" s="43" t="s">
        <v>184</v>
      </c>
      <c r="C15" s="44"/>
      <c r="D15" s="45"/>
      <c r="E15" s="34">
        <v>5</v>
      </c>
      <c r="F15" s="35">
        <v>3.75</v>
      </c>
      <c r="G15" s="36">
        <f t="shared" si="0"/>
        <v>0.75</v>
      </c>
      <c r="H15" s="37" t="str">
        <f t="shared" si="1"/>
        <v>جيد</v>
      </c>
      <c r="I15" s="55"/>
      <c r="J15" s="56"/>
    </row>
    <row r="16" spans="1:10" ht="39.950000000000003" customHeight="1" x14ac:dyDescent="0.2">
      <c r="A16" s="10"/>
      <c r="B16" s="43" t="s">
        <v>185</v>
      </c>
      <c r="C16" s="44"/>
      <c r="D16" s="45"/>
      <c r="E16" s="34">
        <v>5</v>
      </c>
      <c r="F16" s="35">
        <v>4</v>
      </c>
      <c r="G16" s="36">
        <f t="shared" si="0"/>
        <v>0.8</v>
      </c>
      <c r="H16" s="37" t="str">
        <f t="shared" si="1"/>
        <v>جيد جداً</v>
      </c>
      <c r="I16" s="55"/>
      <c r="J16" s="56"/>
    </row>
    <row r="17" spans="1:10" ht="30" customHeight="1" x14ac:dyDescent="0.2">
      <c r="A17" s="10"/>
      <c r="B17" s="43" t="s">
        <v>186</v>
      </c>
      <c r="C17" s="44"/>
      <c r="D17" s="45"/>
      <c r="E17" s="34">
        <v>5</v>
      </c>
      <c r="F17" s="35">
        <v>4</v>
      </c>
      <c r="G17" s="36">
        <f t="shared" si="0"/>
        <v>0.8</v>
      </c>
      <c r="H17" s="37" t="str">
        <f t="shared" si="1"/>
        <v>جيد جداً</v>
      </c>
      <c r="I17" s="55"/>
      <c r="J17" s="56"/>
    </row>
    <row r="18" spans="1:10" ht="30" customHeight="1" x14ac:dyDescent="0.2">
      <c r="A18" s="10"/>
      <c r="B18" s="43" t="s">
        <v>187</v>
      </c>
      <c r="C18" s="44"/>
      <c r="D18" s="45"/>
      <c r="E18" s="34">
        <v>6</v>
      </c>
      <c r="F18" s="35">
        <v>5</v>
      </c>
      <c r="G18" s="36">
        <f t="shared" si="0"/>
        <v>0.83333333333333337</v>
      </c>
      <c r="H18" s="37" t="str">
        <f t="shared" si="1"/>
        <v>جيد جداً</v>
      </c>
      <c r="I18" s="55"/>
      <c r="J18" s="56"/>
    </row>
    <row r="19" spans="1:10" ht="30" customHeight="1" x14ac:dyDescent="0.2">
      <c r="A19" s="10"/>
      <c r="B19" s="43" t="s">
        <v>188</v>
      </c>
      <c r="C19" s="44"/>
      <c r="D19" s="45"/>
      <c r="E19" s="34">
        <v>8</v>
      </c>
      <c r="F19" s="35">
        <v>6</v>
      </c>
      <c r="G19" s="36">
        <f t="shared" si="0"/>
        <v>0.75</v>
      </c>
      <c r="H19" s="37" t="str">
        <f t="shared" si="1"/>
        <v>جيد</v>
      </c>
      <c r="I19" s="55"/>
      <c r="J19" s="56"/>
    </row>
    <row r="20" spans="1:10" ht="30" customHeight="1" x14ac:dyDescent="0.2">
      <c r="A20" s="10"/>
      <c r="B20" s="43" t="s">
        <v>189</v>
      </c>
      <c r="C20" s="44"/>
      <c r="D20" s="45"/>
      <c r="E20" s="34">
        <v>6</v>
      </c>
      <c r="F20" s="35">
        <v>4.75</v>
      </c>
      <c r="G20" s="36">
        <f t="shared" si="0"/>
        <v>0.79166666666666663</v>
      </c>
      <c r="H20" s="37" t="str">
        <f t="shared" si="1"/>
        <v>جيد</v>
      </c>
      <c r="I20" s="55"/>
      <c r="J20" s="56"/>
    </row>
    <row r="21" spans="1:10" ht="30" customHeight="1" thickBot="1" x14ac:dyDescent="0.25">
      <c r="A21" s="10"/>
      <c r="B21" s="46" t="s">
        <v>190</v>
      </c>
      <c r="C21" s="47"/>
      <c r="D21" s="48"/>
      <c r="E21" s="38">
        <v>5</v>
      </c>
      <c r="F21" s="42">
        <v>4</v>
      </c>
      <c r="G21" s="40">
        <f t="shared" si="0"/>
        <v>0.8</v>
      </c>
      <c r="H21" s="41" t="str">
        <f t="shared" si="1"/>
        <v>جيد جداً</v>
      </c>
      <c r="I21" s="66"/>
      <c r="J21" s="67"/>
    </row>
    <row r="22" spans="1:10" ht="39.950000000000003" customHeight="1" x14ac:dyDescent="0.2">
      <c r="A22" s="10"/>
      <c r="B22" s="52" t="s">
        <v>191</v>
      </c>
      <c r="C22" s="53"/>
      <c r="D22" s="54"/>
      <c r="E22" s="30"/>
      <c r="F22" s="31"/>
      <c r="G22" s="32"/>
      <c r="H22" s="33"/>
      <c r="I22" s="59"/>
      <c r="J22" s="60"/>
    </row>
    <row r="23" spans="1:10" ht="30" customHeight="1" x14ac:dyDescent="0.2">
      <c r="A23" s="10"/>
      <c r="B23" s="43" t="s">
        <v>192</v>
      </c>
      <c r="C23" s="44"/>
      <c r="D23" s="45"/>
      <c r="E23" s="34">
        <v>5</v>
      </c>
      <c r="F23" s="35">
        <v>4</v>
      </c>
      <c r="G23" s="36">
        <f t="shared" si="0"/>
        <v>0.8</v>
      </c>
      <c r="H23" s="37" t="str">
        <f t="shared" si="1"/>
        <v>جيد جداً</v>
      </c>
      <c r="I23" s="55"/>
      <c r="J23" s="56"/>
    </row>
    <row r="24" spans="1:10" ht="30" customHeight="1" x14ac:dyDescent="0.2">
      <c r="A24" s="10"/>
      <c r="B24" s="43" t="s">
        <v>193</v>
      </c>
      <c r="C24" s="44"/>
      <c r="D24" s="45"/>
      <c r="E24" s="34">
        <v>5</v>
      </c>
      <c r="F24" s="35">
        <v>4</v>
      </c>
      <c r="G24" s="36">
        <f t="shared" si="0"/>
        <v>0.8</v>
      </c>
      <c r="H24" s="37" t="str">
        <f t="shared" si="1"/>
        <v>جيد جداً</v>
      </c>
      <c r="I24" s="55"/>
      <c r="J24" s="56"/>
    </row>
    <row r="25" spans="1:10" ht="30" customHeight="1" x14ac:dyDescent="0.2">
      <c r="A25" s="10"/>
      <c r="B25" s="43" t="s">
        <v>194</v>
      </c>
      <c r="C25" s="44"/>
      <c r="D25" s="45"/>
      <c r="E25" s="34">
        <v>5</v>
      </c>
      <c r="F25" s="35">
        <v>4</v>
      </c>
      <c r="G25" s="36">
        <f t="shared" si="0"/>
        <v>0.8</v>
      </c>
      <c r="H25" s="37" t="str">
        <f t="shared" si="1"/>
        <v>جيد جداً</v>
      </c>
      <c r="I25" s="55"/>
      <c r="J25" s="56"/>
    </row>
    <row r="26" spans="1:10" ht="30" customHeight="1" x14ac:dyDescent="0.2">
      <c r="A26" s="10"/>
      <c r="B26" s="43" t="s">
        <v>195</v>
      </c>
      <c r="C26" s="44"/>
      <c r="D26" s="45"/>
      <c r="E26" s="34">
        <v>5</v>
      </c>
      <c r="F26" s="35">
        <v>4</v>
      </c>
      <c r="G26" s="36">
        <f t="shared" si="0"/>
        <v>0.8</v>
      </c>
      <c r="H26" s="37" t="str">
        <f t="shared" si="1"/>
        <v>جيد جداً</v>
      </c>
      <c r="I26" s="55"/>
      <c r="J26" s="56"/>
    </row>
    <row r="27" spans="1:10" ht="30" customHeight="1" x14ac:dyDescent="0.2">
      <c r="A27" s="10"/>
      <c r="B27" s="43" t="s">
        <v>196</v>
      </c>
      <c r="C27" s="44"/>
      <c r="D27" s="45"/>
      <c r="E27" s="34">
        <v>5</v>
      </c>
      <c r="F27" s="35">
        <v>4</v>
      </c>
      <c r="G27" s="36">
        <f t="shared" si="0"/>
        <v>0.8</v>
      </c>
      <c r="H27" s="37" t="str">
        <f t="shared" si="1"/>
        <v>جيد جداً</v>
      </c>
      <c r="I27" s="55"/>
      <c r="J27" s="56"/>
    </row>
    <row r="28" spans="1:10" ht="30" customHeight="1" x14ac:dyDescent="0.2">
      <c r="A28" s="10"/>
      <c r="B28" s="43" t="s">
        <v>197</v>
      </c>
      <c r="C28" s="44"/>
      <c r="D28" s="45"/>
      <c r="E28" s="34">
        <v>5</v>
      </c>
      <c r="F28" s="35">
        <v>3.75</v>
      </c>
      <c r="G28" s="36">
        <f t="shared" si="0"/>
        <v>0.75</v>
      </c>
      <c r="H28" s="37" t="str">
        <f t="shared" si="1"/>
        <v>جيد</v>
      </c>
      <c r="I28" s="55"/>
      <c r="J28" s="56"/>
    </row>
    <row r="29" spans="1:10" ht="30" customHeight="1" thickBot="1" x14ac:dyDescent="0.25">
      <c r="A29" s="10"/>
      <c r="B29" s="46" t="s">
        <v>198</v>
      </c>
      <c r="C29" s="47"/>
      <c r="D29" s="48"/>
      <c r="E29" s="38">
        <v>5</v>
      </c>
      <c r="F29" s="39">
        <v>3.5</v>
      </c>
      <c r="G29" s="40">
        <f t="shared" si="0"/>
        <v>0.7</v>
      </c>
      <c r="H29" s="41" t="str">
        <f t="shared" si="1"/>
        <v>جيد</v>
      </c>
      <c r="I29" s="66"/>
      <c r="J29" s="67"/>
    </row>
    <row r="30" spans="1:10" ht="39.950000000000003" customHeight="1" thickBot="1" x14ac:dyDescent="0.25">
      <c r="A30" s="10"/>
      <c r="B30" s="49" t="s">
        <v>199</v>
      </c>
      <c r="C30" s="50"/>
      <c r="D30" s="51"/>
      <c r="E30" s="9">
        <v>6</v>
      </c>
      <c r="F30" s="28">
        <v>5</v>
      </c>
      <c r="G30" s="29">
        <f t="shared" si="0"/>
        <v>0.83333333333333337</v>
      </c>
      <c r="H30" s="27" t="str">
        <f t="shared" si="1"/>
        <v>جيد جداً</v>
      </c>
      <c r="I30" s="57"/>
      <c r="J30" s="58"/>
    </row>
    <row r="31" spans="1:10" ht="39.950000000000003" customHeight="1" thickBot="1" x14ac:dyDescent="0.25">
      <c r="A31" s="10"/>
      <c r="B31" s="49" t="s">
        <v>200</v>
      </c>
      <c r="C31" s="50"/>
      <c r="D31" s="51"/>
      <c r="E31" s="9">
        <v>6</v>
      </c>
      <c r="F31" s="28">
        <v>5</v>
      </c>
      <c r="G31" s="29">
        <f t="shared" si="0"/>
        <v>0.83333333333333337</v>
      </c>
      <c r="H31" s="27" t="str">
        <f t="shared" si="1"/>
        <v>جيد جداً</v>
      </c>
      <c r="I31" s="57"/>
      <c r="J31" s="58"/>
    </row>
    <row r="32" spans="1:10" ht="39.950000000000003" customHeight="1" thickBot="1" x14ac:dyDescent="0.25">
      <c r="A32" s="10"/>
      <c r="B32" s="49" t="s">
        <v>201</v>
      </c>
      <c r="C32" s="50"/>
      <c r="D32" s="51"/>
      <c r="E32" s="9">
        <v>5</v>
      </c>
      <c r="F32" s="28">
        <v>4</v>
      </c>
      <c r="G32" s="29">
        <f t="shared" si="0"/>
        <v>0.8</v>
      </c>
      <c r="H32" s="27" t="str">
        <f t="shared" si="1"/>
        <v>جيد جداً</v>
      </c>
      <c r="I32" s="57"/>
      <c r="J32" s="58"/>
    </row>
    <row r="33" spans="1:10" ht="30" customHeight="1" x14ac:dyDescent="0.2">
      <c r="A33" s="10"/>
      <c r="B33" s="52" t="s">
        <v>202</v>
      </c>
      <c r="C33" s="53"/>
      <c r="D33" s="54"/>
      <c r="E33" s="30"/>
      <c r="F33" s="31"/>
      <c r="G33" s="32"/>
      <c r="H33" s="33"/>
      <c r="I33" s="59"/>
      <c r="J33" s="60"/>
    </row>
    <row r="34" spans="1:10" ht="39.950000000000003" customHeight="1" x14ac:dyDescent="0.2">
      <c r="A34" s="10"/>
      <c r="B34" s="43" t="s">
        <v>203</v>
      </c>
      <c r="C34" s="44"/>
      <c r="D34" s="45"/>
      <c r="E34" s="34">
        <v>6</v>
      </c>
      <c r="F34" s="35">
        <v>4.5</v>
      </c>
      <c r="G34" s="36">
        <f t="shared" si="0"/>
        <v>0.75</v>
      </c>
      <c r="H34" s="37" t="str">
        <f t="shared" si="1"/>
        <v>جيد</v>
      </c>
      <c r="I34" s="55"/>
      <c r="J34" s="56"/>
    </row>
    <row r="35" spans="1:10" ht="30" customHeight="1" x14ac:dyDescent="0.2">
      <c r="A35" s="10"/>
      <c r="B35" s="43" t="s">
        <v>204</v>
      </c>
      <c r="C35" s="44"/>
      <c r="D35" s="45"/>
      <c r="E35" s="34">
        <v>6</v>
      </c>
      <c r="F35" s="35">
        <v>4.25</v>
      </c>
      <c r="G35" s="36">
        <f t="shared" si="0"/>
        <v>0.70833333333333337</v>
      </c>
      <c r="H35" s="37" t="str">
        <f t="shared" si="1"/>
        <v>جيد</v>
      </c>
      <c r="I35" s="55"/>
      <c r="J35" s="56"/>
    </row>
    <row r="36" spans="1:10" ht="39.950000000000003" customHeight="1" x14ac:dyDescent="0.2">
      <c r="A36" s="10"/>
      <c r="B36" s="43" t="s">
        <v>205</v>
      </c>
      <c r="C36" s="44"/>
      <c r="D36" s="45"/>
      <c r="E36" s="34">
        <v>6</v>
      </c>
      <c r="F36" s="35">
        <v>4.5</v>
      </c>
      <c r="G36" s="36">
        <f t="shared" si="0"/>
        <v>0.75</v>
      </c>
      <c r="H36" s="37" t="str">
        <f t="shared" si="1"/>
        <v>جيد</v>
      </c>
      <c r="I36" s="55"/>
      <c r="J36" s="56"/>
    </row>
    <row r="37" spans="1:10" ht="30" customHeight="1" x14ac:dyDescent="0.2">
      <c r="A37" s="10"/>
      <c r="B37" s="43" t="s">
        <v>206</v>
      </c>
      <c r="C37" s="44"/>
      <c r="D37" s="45"/>
      <c r="E37" s="34">
        <v>6</v>
      </c>
      <c r="F37" s="35">
        <v>4.25</v>
      </c>
      <c r="G37" s="36">
        <f t="shared" si="0"/>
        <v>0.70833333333333337</v>
      </c>
      <c r="H37" s="37" t="str">
        <f t="shared" si="1"/>
        <v>جيد</v>
      </c>
      <c r="I37" s="55"/>
      <c r="J37" s="56"/>
    </row>
    <row r="38" spans="1:10" ht="30" customHeight="1" x14ac:dyDescent="0.2">
      <c r="A38" s="10"/>
      <c r="B38" s="43" t="s">
        <v>207</v>
      </c>
      <c r="C38" s="44"/>
      <c r="D38" s="45"/>
      <c r="E38" s="34">
        <v>6</v>
      </c>
      <c r="F38" s="35">
        <v>4.25</v>
      </c>
      <c r="G38" s="36">
        <f t="shared" si="0"/>
        <v>0.70833333333333337</v>
      </c>
      <c r="H38" s="37" t="str">
        <f t="shared" si="1"/>
        <v>جيد</v>
      </c>
      <c r="I38" s="55"/>
      <c r="J38" s="56"/>
    </row>
    <row r="39" spans="1:10" ht="39.950000000000003" customHeight="1" x14ac:dyDescent="0.2">
      <c r="A39" s="10"/>
      <c r="B39" s="43" t="s">
        <v>208</v>
      </c>
      <c r="C39" s="44"/>
      <c r="D39" s="45"/>
      <c r="E39" s="34">
        <v>6</v>
      </c>
      <c r="F39" s="35">
        <v>4.25</v>
      </c>
      <c r="G39" s="36">
        <f t="shared" si="0"/>
        <v>0.70833333333333337</v>
      </c>
      <c r="H39" s="37" t="str">
        <f t="shared" si="1"/>
        <v>جيد</v>
      </c>
      <c r="I39" s="55"/>
      <c r="J39" s="56"/>
    </row>
    <row r="40" spans="1:10" ht="39.950000000000003" customHeight="1" x14ac:dyDescent="0.2">
      <c r="A40" s="10"/>
      <c r="B40" s="43" t="s">
        <v>209</v>
      </c>
      <c r="C40" s="44"/>
      <c r="D40" s="45"/>
      <c r="E40" s="34">
        <v>6</v>
      </c>
      <c r="F40" s="35">
        <v>4.25</v>
      </c>
      <c r="G40" s="36">
        <f t="shared" si="0"/>
        <v>0.70833333333333337</v>
      </c>
      <c r="H40" s="37" t="str">
        <f t="shared" si="1"/>
        <v>جيد</v>
      </c>
      <c r="I40" s="55"/>
      <c r="J40" s="56"/>
    </row>
    <row r="41" spans="1:10" ht="30" customHeight="1" x14ac:dyDescent="0.2">
      <c r="A41" s="10"/>
      <c r="B41" s="43" t="s">
        <v>210</v>
      </c>
      <c r="C41" s="44"/>
      <c r="D41" s="45"/>
      <c r="E41" s="34">
        <v>6</v>
      </c>
      <c r="F41" s="35">
        <v>4.25</v>
      </c>
      <c r="G41" s="36">
        <f t="shared" si="0"/>
        <v>0.70833333333333337</v>
      </c>
      <c r="H41" s="37" t="str">
        <f t="shared" si="1"/>
        <v>جيد</v>
      </c>
      <c r="I41" s="55"/>
      <c r="J41" s="56"/>
    </row>
    <row r="42" spans="1:10" ht="30" customHeight="1" x14ac:dyDescent="0.2">
      <c r="A42" s="10"/>
      <c r="B42" s="43" t="s">
        <v>211</v>
      </c>
      <c r="C42" s="44"/>
      <c r="D42" s="45"/>
      <c r="E42" s="34">
        <v>6</v>
      </c>
      <c r="F42" s="35">
        <v>4.5</v>
      </c>
      <c r="G42" s="36">
        <f t="shared" si="0"/>
        <v>0.75</v>
      </c>
      <c r="H42" s="37" t="str">
        <f t="shared" si="1"/>
        <v>جيد</v>
      </c>
      <c r="I42" s="55"/>
      <c r="J42" s="56"/>
    </row>
    <row r="43" spans="1:10" ht="30" customHeight="1" x14ac:dyDescent="0.2">
      <c r="A43" s="10"/>
      <c r="B43" s="43" t="s">
        <v>212</v>
      </c>
      <c r="C43" s="44"/>
      <c r="D43" s="45"/>
      <c r="E43" s="34">
        <v>6</v>
      </c>
      <c r="F43" s="35">
        <v>4.5</v>
      </c>
      <c r="G43" s="36">
        <f t="shared" si="0"/>
        <v>0.75</v>
      </c>
      <c r="H43" s="37" t="str">
        <f t="shared" si="1"/>
        <v>جيد</v>
      </c>
      <c r="I43" s="55"/>
      <c r="J43" s="56"/>
    </row>
    <row r="44" spans="1:10" ht="30" customHeight="1" x14ac:dyDescent="0.2">
      <c r="A44" s="10"/>
      <c r="B44" s="43" t="s">
        <v>213</v>
      </c>
      <c r="C44" s="44"/>
      <c r="D44" s="45"/>
      <c r="E44" s="34">
        <v>6</v>
      </c>
      <c r="F44" s="35">
        <v>4.25</v>
      </c>
      <c r="G44" s="36">
        <f t="shared" si="0"/>
        <v>0.70833333333333337</v>
      </c>
      <c r="H44" s="37" t="str">
        <f t="shared" si="1"/>
        <v>جيد</v>
      </c>
      <c r="I44" s="55"/>
      <c r="J44" s="56"/>
    </row>
    <row r="45" spans="1:10" ht="30" customHeight="1" x14ac:dyDescent="0.2">
      <c r="A45" s="10"/>
      <c r="B45" s="43" t="s">
        <v>214</v>
      </c>
      <c r="C45" s="44"/>
      <c r="D45" s="45"/>
      <c r="E45" s="34">
        <v>6</v>
      </c>
      <c r="F45" s="35">
        <v>4.25</v>
      </c>
      <c r="G45" s="36">
        <f t="shared" si="0"/>
        <v>0.70833333333333337</v>
      </c>
      <c r="H45" s="37" t="str">
        <f t="shared" si="1"/>
        <v>جيد</v>
      </c>
      <c r="I45" s="55"/>
      <c r="J45" s="56"/>
    </row>
    <row r="46" spans="1:10" ht="39.950000000000003" customHeight="1" thickBot="1" x14ac:dyDescent="0.25">
      <c r="A46" s="10"/>
      <c r="B46" s="46" t="s">
        <v>215</v>
      </c>
      <c r="C46" s="47"/>
      <c r="D46" s="48"/>
      <c r="E46" s="38">
        <v>10</v>
      </c>
      <c r="F46" s="39">
        <v>7.75</v>
      </c>
      <c r="G46" s="40">
        <f t="shared" si="0"/>
        <v>0.77500000000000002</v>
      </c>
      <c r="H46" s="41" t="str">
        <f t="shared" si="1"/>
        <v>جيد</v>
      </c>
      <c r="I46" s="66"/>
      <c r="J46" s="67"/>
    </row>
    <row r="47" spans="1:10" ht="30" customHeight="1" x14ac:dyDescent="0.2">
      <c r="A47" s="10"/>
      <c r="B47" s="52" t="s">
        <v>216</v>
      </c>
      <c r="C47" s="53"/>
      <c r="D47" s="54"/>
      <c r="E47" s="30"/>
      <c r="F47" s="31"/>
      <c r="G47" s="32"/>
      <c r="H47" s="33"/>
      <c r="I47" s="59"/>
      <c r="J47" s="60"/>
    </row>
    <row r="48" spans="1:10" ht="39.950000000000003" customHeight="1" x14ac:dyDescent="0.2">
      <c r="A48" s="10"/>
      <c r="B48" s="43" t="s">
        <v>217</v>
      </c>
      <c r="C48" s="44"/>
      <c r="D48" s="45"/>
      <c r="E48" s="34">
        <v>10</v>
      </c>
      <c r="F48" s="35">
        <v>7</v>
      </c>
      <c r="G48" s="36">
        <f t="shared" si="0"/>
        <v>0.7</v>
      </c>
      <c r="H48" s="37" t="str">
        <f t="shared" si="1"/>
        <v>جيد</v>
      </c>
      <c r="I48" s="55"/>
      <c r="J48" s="56"/>
    </row>
    <row r="49" spans="1:10" ht="39.950000000000003" customHeight="1" x14ac:dyDescent="0.2">
      <c r="A49" s="10"/>
      <c r="B49" s="43" t="s">
        <v>218</v>
      </c>
      <c r="C49" s="44"/>
      <c r="D49" s="45"/>
      <c r="E49" s="34">
        <v>10</v>
      </c>
      <c r="F49" s="35">
        <v>7.75</v>
      </c>
      <c r="G49" s="36">
        <f t="shared" si="0"/>
        <v>0.77500000000000002</v>
      </c>
      <c r="H49" s="37" t="str">
        <f t="shared" si="1"/>
        <v>جيد</v>
      </c>
      <c r="I49" s="55"/>
      <c r="J49" s="56"/>
    </row>
    <row r="50" spans="1:10" ht="39.950000000000003" customHeight="1" x14ac:dyDescent="0.2">
      <c r="A50" s="10"/>
      <c r="B50" s="43" t="s">
        <v>219</v>
      </c>
      <c r="C50" s="44"/>
      <c r="D50" s="45"/>
      <c r="E50" s="34">
        <v>8</v>
      </c>
      <c r="F50" s="35">
        <v>6.25</v>
      </c>
      <c r="G50" s="36">
        <f t="shared" si="0"/>
        <v>0.78125</v>
      </c>
      <c r="H50" s="37" t="str">
        <f t="shared" si="1"/>
        <v>جيد</v>
      </c>
      <c r="I50" s="55"/>
      <c r="J50" s="56"/>
    </row>
    <row r="51" spans="1:10" ht="39.950000000000003" customHeight="1" x14ac:dyDescent="0.2">
      <c r="A51" s="10"/>
      <c r="B51" s="43" t="s">
        <v>220</v>
      </c>
      <c r="C51" s="44"/>
      <c r="D51" s="45"/>
      <c r="E51" s="34">
        <v>8</v>
      </c>
      <c r="F51" s="35">
        <v>6</v>
      </c>
      <c r="G51" s="36">
        <f t="shared" si="0"/>
        <v>0.75</v>
      </c>
      <c r="H51" s="37" t="str">
        <f t="shared" si="1"/>
        <v>جيد</v>
      </c>
      <c r="I51" s="55"/>
      <c r="J51" s="56"/>
    </row>
    <row r="52" spans="1:10" ht="30" customHeight="1" x14ac:dyDescent="0.2">
      <c r="A52" s="10"/>
      <c r="B52" s="43" t="s">
        <v>221</v>
      </c>
      <c r="C52" s="44"/>
      <c r="D52" s="45"/>
      <c r="E52" s="34">
        <v>8</v>
      </c>
      <c r="F52" s="35">
        <v>6</v>
      </c>
      <c r="G52" s="36">
        <f t="shared" si="0"/>
        <v>0.75</v>
      </c>
      <c r="H52" s="37" t="str">
        <f t="shared" si="1"/>
        <v>جيد</v>
      </c>
      <c r="I52" s="55"/>
      <c r="J52" s="56"/>
    </row>
    <row r="53" spans="1:10" ht="30" customHeight="1" thickBot="1" x14ac:dyDescent="0.25">
      <c r="A53" s="10"/>
      <c r="B53" s="46" t="s">
        <v>222</v>
      </c>
      <c r="C53" s="47"/>
      <c r="D53" s="48"/>
      <c r="E53" s="38">
        <v>8</v>
      </c>
      <c r="F53" s="39">
        <v>6</v>
      </c>
      <c r="G53" s="40">
        <f t="shared" si="0"/>
        <v>0.75</v>
      </c>
      <c r="H53" s="41" t="str">
        <f t="shared" si="1"/>
        <v>جيد</v>
      </c>
      <c r="I53" s="66"/>
      <c r="J53" s="67"/>
    </row>
    <row r="54" spans="1:10" ht="30" customHeight="1" x14ac:dyDescent="0.2">
      <c r="A54" s="10"/>
      <c r="B54" s="52" t="s">
        <v>223</v>
      </c>
      <c r="C54" s="53"/>
      <c r="D54" s="54"/>
      <c r="E54" s="30"/>
      <c r="F54" s="31"/>
      <c r="G54" s="32"/>
      <c r="H54" s="33"/>
      <c r="I54" s="59"/>
      <c r="J54" s="60"/>
    </row>
    <row r="55" spans="1:10" ht="39.950000000000003" customHeight="1" x14ac:dyDescent="0.2">
      <c r="A55" s="10"/>
      <c r="B55" s="43" t="s">
        <v>224</v>
      </c>
      <c r="C55" s="44"/>
      <c r="D55" s="45"/>
      <c r="E55" s="34">
        <v>10</v>
      </c>
      <c r="F55" s="35">
        <v>7</v>
      </c>
      <c r="G55" s="36">
        <f t="shared" si="0"/>
        <v>0.7</v>
      </c>
      <c r="H55" s="37" t="str">
        <f t="shared" si="1"/>
        <v>جيد</v>
      </c>
      <c r="I55" s="55"/>
      <c r="J55" s="56"/>
    </row>
    <row r="56" spans="1:10" ht="30" customHeight="1" x14ac:dyDescent="0.2">
      <c r="A56" s="10"/>
      <c r="B56" s="43" t="s">
        <v>225</v>
      </c>
      <c r="C56" s="44"/>
      <c r="D56" s="45"/>
      <c r="E56" s="34">
        <v>8</v>
      </c>
      <c r="F56" s="35">
        <v>6.25</v>
      </c>
      <c r="G56" s="36">
        <f t="shared" si="0"/>
        <v>0.78125</v>
      </c>
      <c r="H56" s="37" t="str">
        <f t="shared" si="1"/>
        <v>جيد</v>
      </c>
      <c r="I56" s="55"/>
      <c r="J56" s="56"/>
    </row>
    <row r="57" spans="1:10" ht="30" customHeight="1" x14ac:dyDescent="0.2">
      <c r="A57" s="10"/>
      <c r="B57" s="43" t="s">
        <v>226</v>
      </c>
      <c r="C57" s="44"/>
      <c r="D57" s="45"/>
      <c r="E57" s="34">
        <v>8</v>
      </c>
      <c r="F57" s="35">
        <v>6</v>
      </c>
      <c r="G57" s="36">
        <f t="shared" si="0"/>
        <v>0.75</v>
      </c>
      <c r="H57" s="37" t="str">
        <f t="shared" si="1"/>
        <v>جيد</v>
      </c>
      <c r="I57" s="55"/>
      <c r="J57" s="56"/>
    </row>
    <row r="58" spans="1:10" ht="30" customHeight="1" thickBot="1" x14ac:dyDescent="0.25">
      <c r="A58" s="10"/>
      <c r="B58" s="46" t="s">
        <v>227</v>
      </c>
      <c r="C58" s="47"/>
      <c r="D58" s="48"/>
      <c r="E58" s="38">
        <v>8</v>
      </c>
      <c r="F58" s="39">
        <v>6</v>
      </c>
      <c r="G58" s="40">
        <f t="shared" si="0"/>
        <v>0.75</v>
      </c>
      <c r="H58" s="41" t="str">
        <f t="shared" si="1"/>
        <v>جيد</v>
      </c>
      <c r="I58" s="66"/>
      <c r="J58" s="67"/>
    </row>
    <row r="59" spans="1:10" ht="30" customHeight="1" x14ac:dyDescent="0.2">
      <c r="A59" s="10"/>
      <c r="B59" s="52" t="s">
        <v>228</v>
      </c>
      <c r="C59" s="53"/>
      <c r="D59" s="54"/>
      <c r="E59" s="30"/>
      <c r="F59" s="31"/>
      <c r="G59" s="32"/>
      <c r="H59" s="33"/>
      <c r="I59" s="59"/>
      <c r="J59" s="60"/>
    </row>
    <row r="60" spans="1:10" ht="30" customHeight="1" x14ac:dyDescent="0.2">
      <c r="A60" s="10"/>
      <c r="B60" s="43" t="s">
        <v>229</v>
      </c>
      <c r="C60" s="44"/>
      <c r="D60" s="45"/>
      <c r="E60" s="34">
        <v>5</v>
      </c>
      <c r="F60" s="35">
        <v>3.75</v>
      </c>
      <c r="G60" s="36">
        <f t="shared" si="0"/>
        <v>0.75</v>
      </c>
      <c r="H60" s="37" t="str">
        <f t="shared" si="1"/>
        <v>جيد</v>
      </c>
      <c r="I60" s="55"/>
      <c r="J60" s="56"/>
    </row>
    <row r="61" spans="1:10" ht="30" customHeight="1" x14ac:dyDescent="0.2">
      <c r="A61" s="10"/>
      <c r="B61" s="43" t="s">
        <v>230</v>
      </c>
      <c r="C61" s="44"/>
      <c r="D61" s="45"/>
      <c r="E61" s="34">
        <v>5</v>
      </c>
      <c r="F61" s="35">
        <v>3.5</v>
      </c>
      <c r="G61" s="36">
        <f t="shared" si="0"/>
        <v>0.7</v>
      </c>
      <c r="H61" s="37" t="str">
        <f t="shared" si="1"/>
        <v>جيد</v>
      </c>
      <c r="I61" s="55"/>
      <c r="J61" s="56"/>
    </row>
    <row r="62" spans="1:10" ht="30" customHeight="1" x14ac:dyDescent="0.2">
      <c r="A62" s="10"/>
      <c r="B62" s="43" t="s">
        <v>231</v>
      </c>
      <c r="C62" s="44"/>
      <c r="D62" s="45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55"/>
      <c r="J62" s="56"/>
    </row>
    <row r="63" spans="1:10" ht="30" customHeight="1" x14ac:dyDescent="0.2">
      <c r="A63" s="10"/>
      <c r="B63" s="43" t="s">
        <v>232</v>
      </c>
      <c r="C63" s="44"/>
      <c r="D63" s="45"/>
      <c r="E63" s="34">
        <v>5</v>
      </c>
      <c r="F63" s="35">
        <v>4</v>
      </c>
      <c r="G63" s="36">
        <f t="shared" si="0"/>
        <v>0.8</v>
      </c>
      <c r="H63" s="37" t="str">
        <f t="shared" si="1"/>
        <v>جيد جداً</v>
      </c>
      <c r="I63" s="55"/>
      <c r="J63" s="56"/>
    </row>
    <row r="64" spans="1:10" ht="30" customHeight="1" x14ac:dyDescent="0.2">
      <c r="A64" s="10"/>
      <c r="B64" s="43" t="s">
        <v>233</v>
      </c>
      <c r="C64" s="44"/>
      <c r="D64" s="45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55"/>
      <c r="J64" s="56"/>
    </row>
    <row r="65" spans="1:10" ht="30" customHeight="1" x14ac:dyDescent="0.2">
      <c r="A65" s="10"/>
      <c r="B65" s="43" t="s">
        <v>234</v>
      </c>
      <c r="C65" s="44"/>
      <c r="D65" s="45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55"/>
      <c r="J65" s="56"/>
    </row>
    <row r="66" spans="1:10" ht="30" customHeight="1" x14ac:dyDescent="0.2">
      <c r="A66" s="10"/>
      <c r="B66" s="43" t="s">
        <v>235</v>
      </c>
      <c r="C66" s="44"/>
      <c r="D66" s="45"/>
      <c r="E66" s="34">
        <v>5</v>
      </c>
      <c r="F66" s="35">
        <v>3.75</v>
      </c>
      <c r="G66" s="36">
        <f t="shared" si="0"/>
        <v>0.75</v>
      </c>
      <c r="H66" s="37" t="str">
        <f t="shared" si="1"/>
        <v>جيد</v>
      </c>
      <c r="I66" s="55"/>
      <c r="J66" s="56"/>
    </row>
    <row r="67" spans="1:10" ht="30" customHeight="1" x14ac:dyDescent="0.2">
      <c r="A67" s="10"/>
      <c r="B67" s="43" t="s">
        <v>236</v>
      </c>
      <c r="C67" s="44"/>
      <c r="D67" s="45"/>
      <c r="E67" s="34">
        <v>5</v>
      </c>
      <c r="F67" s="35">
        <v>3.75</v>
      </c>
      <c r="G67" s="36">
        <f t="shared" si="0"/>
        <v>0.75</v>
      </c>
      <c r="H67" s="37" t="str">
        <f t="shared" si="1"/>
        <v>جيد</v>
      </c>
      <c r="I67" s="55"/>
      <c r="J67" s="56"/>
    </row>
    <row r="68" spans="1:10" ht="30" customHeight="1" x14ac:dyDescent="0.2">
      <c r="A68" s="10"/>
      <c r="B68" s="43" t="s">
        <v>237</v>
      </c>
      <c r="C68" s="44"/>
      <c r="D68" s="45"/>
      <c r="E68" s="34">
        <v>5</v>
      </c>
      <c r="F68" s="35">
        <v>3.75</v>
      </c>
      <c r="G68" s="36">
        <f t="shared" si="0"/>
        <v>0.75</v>
      </c>
      <c r="H68" s="37" t="str">
        <f t="shared" si="1"/>
        <v>جيد</v>
      </c>
      <c r="I68" s="55"/>
      <c r="J68" s="56"/>
    </row>
    <row r="69" spans="1:10" ht="30" customHeight="1" x14ac:dyDescent="0.2">
      <c r="A69" s="10"/>
      <c r="B69" s="43" t="s">
        <v>238</v>
      </c>
      <c r="C69" s="44"/>
      <c r="D69" s="45"/>
      <c r="E69" s="34">
        <v>5</v>
      </c>
      <c r="F69" s="35">
        <v>3.5</v>
      </c>
      <c r="G69" s="36">
        <f t="shared" si="0"/>
        <v>0.7</v>
      </c>
      <c r="H69" s="37" t="str">
        <f t="shared" si="1"/>
        <v>جيد</v>
      </c>
      <c r="I69" s="55"/>
      <c r="J69" s="56"/>
    </row>
    <row r="70" spans="1:10" ht="30" customHeight="1" x14ac:dyDescent="0.2">
      <c r="A70" s="10"/>
      <c r="B70" s="43" t="s">
        <v>239</v>
      </c>
      <c r="C70" s="44"/>
      <c r="D70" s="45"/>
      <c r="E70" s="34">
        <v>5</v>
      </c>
      <c r="F70" s="35">
        <v>4</v>
      </c>
      <c r="G70" s="36">
        <f t="shared" si="0"/>
        <v>0.8</v>
      </c>
      <c r="H70" s="37" t="str">
        <f t="shared" si="1"/>
        <v>جيد جداً</v>
      </c>
      <c r="I70" s="55"/>
      <c r="J70" s="56"/>
    </row>
    <row r="71" spans="1:10" ht="30" customHeight="1" x14ac:dyDescent="0.2">
      <c r="A71" s="10"/>
      <c r="B71" s="43" t="s">
        <v>240</v>
      </c>
      <c r="C71" s="44"/>
      <c r="D71" s="45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55"/>
      <c r="J71" s="56"/>
    </row>
    <row r="72" spans="1:10" ht="30" customHeight="1" x14ac:dyDescent="0.2">
      <c r="A72" s="10"/>
      <c r="B72" s="43" t="s">
        <v>241</v>
      </c>
      <c r="C72" s="44"/>
      <c r="D72" s="45"/>
      <c r="E72" s="34">
        <v>5</v>
      </c>
      <c r="F72" s="35">
        <v>4</v>
      </c>
      <c r="G72" s="36">
        <f t="shared" si="0"/>
        <v>0.8</v>
      </c>
      <c r="H72" s="37" t="str">
        <f t="shared" si="1"/>
        <v>جيد جداً</v>
      </c>
      <c r="I72" s="55"/>
      <c r="J72" s="56"/>
    </row>
    <row r="73" spans="1:10" ht="30" customHeight="1" thickBot="1" x14ac:dyDescent="0.25">
      <c r="A73" s="10"/>
      <c r="B73" s="46" t="s">
        <v>242</v>
      </c>
      <c r="C73" s="47"/>
      <c r="D73" s="48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66"/>
      <c r="J73" s="67"/>
    </row>
    <row r="74" spans="1:10" ht="30" customHeight="1" x14ac:dyDescent="0.2">
      <c r="A74" s="10"/>
      <c r="B74" s="52" t="s">
        <v>243</v>
      </c>
      <c r="C74" s="53"/>
      <c r="D74" s="54"/>
      <c r="E74" s="30"/>
      <c r="F74" s="31"/>
      <c r="G74" s="32"/>
      <c r="H74" s="33"/>
      <c r="I74" s="59"/>
      <c r="J74" s="60"/>
    </row>
    <row r="75" spans="1:10" ht="30" customHeight="1" x14ac:dyDescent="0.2">
      <c r="A75" s="10"/>
      <c r="B75" s="43" t="s">
        <v>244</v>
      </c>
      <c r="C75" s="44"/>
      <c r="D75" s="45"/>
      <c r="E75" s="34">
        <v>5</v>
      </c>
      <c r="F75" s="35">
        <v>4</v>
      </c>
      <c r="G75" s="36">
        <f t="shared" ref="G75:G92" si="2">IFERROR(F75/E75,"")</f>
        <v>0.8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55"/>
      <c r="J75" s="56"/>
    </row>
    <row r="76" spans="1:10" ht="30" customHeight="1" x14ac:dyDescent="0.2">
      <c r="A76" s="10"/>
      <c r="B76" s="43" t="s">
        <v>245</v>
      </c>
      <c r="C76" s="44"/>
      <c r="D76" s="45"/>
      <c r="E76" s="34">
        <v>5</v>
      </c>
      <c r="F76" s="35">
        <v>4</v>
      </c>
      <c r="G76" s="36">
        <f t="shared" si="2"/>
        <v>0.8</v>
      </c>
      <c r="H76" s="37" t="str">
        <f t="shared" si="3"/>
        <v>جيد جداً</v>
      </c>
      <c r="I76" s="55"/>
      <c r="J76" s="56"/>
    </row>
    <row r="77" spans="1:10" ht="30" customHeight="1" x14ac:dyDescent="0.2">
      <c r="A77" s="10"/>
      <c r="B77" s="43" t="s">
        <v>246</v>
      </c>
      <c r="C77" s="44"/>
      <c r="D77" s="45"/>
      <c r="E77" s="34">
        <v>5</v>
      </c>
      <c r="F77" s="35">
        <v>4</v>
      </c>
      <c r="G77" s="36">
        <f t="shared" si="2"/>
        <v>0.8</v>
      </c>
      <c r="H77" s="37" t="str">
        <f t="shared" si="3"/>
        <v>جيد جداً</v>
      </c>
      <c r="I77" s="55"/>
      <c r="J77" s="56"/>
    </row>
    <row r="78" spans="1:10" ht="30" customHeight="1" x14ac:dyDescent="0.2">
      <c r="A78" s="10"/>
      <c r="B78" s="43" t="s">
        <v>247</v>
      </c>
      <c r="C78" s="44"/>
      <c r="D78" s="45"/>
      <c r="E78" s="34">
        <v>5</v>
      </c>
      <c r="F78" s="35">
        <v>4</v>
      </c>
      <c r="G78" s="36">
        <f t="shared" si="2"/>
        <v>0.8</v>
      </c>
      <c r="H78" s="37" t="str">
        <f t="shared" si="3"/>
        <v>جيد جداً</v>
      </c>
      <c r="I78" s="55"/>
      <c r="J78" s="56"/>
    </row>
    <row r="79" spans="1:10" ht="30" customHeight="1" x14ac:dyDescent="0.2">
      <c r="A79" s="10"/>
      <c r="B79" s="43" t="s">
        <v>248</v>
      </c>
      <c r="C79" s="44"/>
      <c r="D79" s="45"/>
      <c r="E79" s="34">
        <v>5</v>
      </c>
      <c r="F79" s="35">
        <v>4</v>
      </c>
      <c r="G79" s="36">
        <f t="shared" si="2"/>
        <v>0.8</v>
      </c>
      <c r="H79" s="37" t="str">
        <f t="shared" si="3"/>
        <v>جيد جداً</v>
      </c>
      <c r="I79" s="55"/>
      <c r="J79" s="56"/>
    </row>
    <row r="80" spans="1:10" ht="30" customHeight="1" x14ac:dyDescent="0.2">
      <c r="A80" s="10"/>
      <c r="B80" s="43" t="s">
        <v>249</v>
      </c>
      <c r="C80" s="44"/>
      <c r="D80" s="45"/>
      <c r="E80" s="34">
        <v>5</v>
      </c>
      <c r="F80" s="35">
        <v>4</v>
      </c>
      <c r="G80" s="36">
        <f t="shared" si="2"/>
        <v>0.8</v>
      </c>
      <c r="H80" s="37" t="str">
        <f t="shared" si="3"/>
        <v>جيد جداً</v>
      </c>
      <c r="I80" s="55"/>
      <c r="J80" s="56"/>
    </row>
    <row r="81" spans="1:10" ht="30" customHeight="1" x14ac:dyDescent="0.2">
      <c r="A81" s="10"/>
      <c r="B81" s="43" t="s">
        <v>250</v>
      </c>
      <c r="C81" s="44"/>
      <c r="D81" s="45"/>
      <c r="E81" s="34">
        <v>5</v>
      </c>
      <c r="F81" s="35">
        <v>3.5</v>
      </c>
      <c r="G81" s="36">
        <f t="shared" si="2"/>
        <v>0.7</v>
      </c>
      <c r="H81" s="37" t="str">
        <f t="shared" si="3"/>
        <v>جيد</v>
      </c>
      <c r="I81" s="55"/>
      <c r="J81" s="56"/>
    </row>
    <row r="82" spans="1:10" ht="30" customHeight="1" x14ac:dyDescent="0.2">
      <c r="A82" s="10"/>
      <c r="B82" s="43" t="s">
        <v>251</v>
      </c>
      <c r="C82" s="44"/>
      <c r="D82" s="45"/>
      <c r="E82" s="34">
        <v>5</v>
      </c>
      <c r="F82" s="35">
        <v>3.75</v>
      </c>
      <c r="G82" s="36">
        <f t="shared" si="2"/>
        <v>0.75</v>
      </c>
      <c r="H82" s="37" t="str">
        <f t="shared" si="3"/>
        <v>جيد</v>
      </c>
      <c r="I82" s="55"/>
      <c r="J82" s="56"/>
    </row>
    <row r="83" spans="1:10" ht="30" customHeight="1" x14ac:dyDescent="0.2">
      <c r="A83" s="10"/>
      <c r="B83" s="43" t="s">
        <v>252</v>
      </c>
      <c r="C83" s="44"/>
      <c r="D83" s="45"/>
      <c r="E83" s="34">
        <v>5</v>
      </c>
      <c r="F83" s="35">
        <v>3.75</v>
      </c>
      <c r="G83" s="36">
        <f t="shared" si="2"/>
        <v>0.75</v>
      </c>
      <c r="H83" s="37" t="str">
        <f t="shared" si="3"/>
        <v>جيد</v>
      </c>
      <c r="I83" s="55"/>
      <c r="J83" s="56"/>
    </row>
    <row r="84" spans="1:10" ht="30" customHeight="1" x14ac:dyDescent="0.2">
      <c r="A84" s="10"/>
      <c r="B84" s="43" t="s">
        <v>253</v>
      </c>
      <c r="C84" s="44"/>
      <c r="D84" s="45"/>
      <c r="E84" s="34">
        <v>5</v>
      </c>
      <c r="F84" s="35">
        <v>3.5</v>
      </c>
      <c r="G84" s="36">
        <f t="shared" si="2"/>
        <v>0.7</v>
      </c>
      <c r="H84" s="37" t="str">
        <f t="shared" si="3"/>
        <v>جيد</v>
      </c>
      <c r="I84" s="55"/>
      <c r="J84" s="56"/>
    </row>
    <row r="85" spans="1:10" ht="30" customHeight="1" thickBot="1" x14ac:dyDescent="0.25">
      <c r="A85" s="10"/>
      <c r="B85" s="46" t="s">
        <v>254</v>
      </c>
      <c r="C85" s="47"/>
      <c r="D85" s="48"/>
      <c r="E85" s="38">
        <v>5</v>
      </c>
      <c r="F85" s="39">
        <v>3.75</v>
      </c>
      <c r="G85" s="40">
        <f t="shared" si="2"/>
        <v>0.75</v>
      </c>
      <c r="H85" s="41" t="str">
        <f t="shared" si="3"/>
        <v>جيد</v>
      </c>
      <c r="I85" s="66"/>
      <c r="J85" s="67"/>
    </row>
    <row r="86" spans="1:10" ht="30" customHeight="1" x14ac:dyDescent="0.2">
      <c r="A86" s="10"/>
      <c r="B86" s="52" t="s">
        <v>255</v>
      </c>
      <c r="C86" s="53"/>
      <c r="D86" s="54"/>
      <c r="E86" s="30"/>
      <c r="F86" s="31"/>
      <c r="G86" s="32"/>
      <c r="H86" s="33"/>
      <c r="I86" s="59"/>
      <c r="J86" s="60"/>
    </row>
    <row r="87" spans="1:10" ht="39.950000000000003" customHeight="1" x14ac:dyDescent="0.2">
      <c r="A87" s="10"/>
      <c r="B87" s="43" t="s">
        <v>256</v>
      </c>
      <c r="C87" s="44"/>
      <c r="D87" s="45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55"/>
      <c r="J87" s="56"/>
    </row>
    <row r="88" spans="1:10" ht="30" customHeight="1" x14ac:dyDescent="0.2">
      <c r="A88" s="10"/>
      <c r="B88" s="43" t="s">
        <v>257</v>
      </c>
      <c r="C88" s="44"/>
      <c r="D88" s="45"/>
      <c r="E88" s="34">
        <v>5</v>
      </c>
      <c r="F88" s="35">
        <v>4</v>
      </c>
      <c r="G88" s="36">
        <f t="shared" si="2"/>
        <v>0.8</v>
      </c>
      <c r="H88" s="37" t="str">
        <f t="shared" si="3"/>
        <v>جيد جداً</v>
      </c>
      <c r="I88" s="55"/>
      <c r="J88" s="56"/>
    </row>
    <row r="89" spans="1:10" ht="30" customHeight="1" x14ac:dyDescent="0.2">
      <c r="A89" s="10"/>
      <c r="B89" s="43" t="s">
        <v>258</v>
      </c>
      <c r="C89" s="44"/>
      <c r="D89" s="45"/>
      <c r="E89" s="34">
        <v>5</v>
      </c>
      <c r="F89" s="35">
        <v>3.75</v>
      </c>
      <c r="G89" s="36">
        <f t="shared" si="2"/>
        <v>0.75</v>
      </c>
      <c r="H89" s="37" t="str">
        <f t="shared" si="3"/>
        <v>جيد</v>
      </c>
      <c r="I89" s="55"/>
      <c r="J89" s="56"/>
    </row>
    <row r="90" spans="1:10" ht="39.950000000000003" customHeight="1" thickBot="1" x14ac:dyDescent="0.25">
      <c r="A90" s="10"/>
      <c r="B90" s="46" t="s">
        <v>259</v>
      </c>
      <c r="C90" s="47"/>
      <c r="D90" s="48"/>
      <c r="E90" s="38">
        <v>6</v>
      </c>
      <c r="F90" s="39">
        <v>4.75</v>
      </c>
      <c r="G90" s="40">
        <f t="shared" si="2"/>
        <v>0.79166666666666663</v>
      </c>
      <c r="H90" s="41" t="str">
        <f t="shared" si="3"/>
        <v>جيد</v>
      </c>
      <c r="I90" s="66"/>
      <c r="J90" s="67"/>
    </row>
    <row r="91" spans="1:10" ht="39.950000000000003" customHeight="1" thickBot="1" x14ac:dyDescent="0.25">
      <c r="A91" s="10"/>
      <c r="B91" s="49" t="s">
        <v>260</v>
      </c>
      <c r="C91" s="50"/>
      <c r="D91" s="51"/>
      <c r="E91" s="9">
        <v>8</v>
      </c>
      <c r="F91" s="28">
        <v>6</v>
      </c>
      <c r="G91" s="29">
        <f t="shared" si="2"/>
        <v>0.75</v>
      </c>
      <c r="H91" s="27" t="str">
        <f t="shared" si="3"/>
        <v>جيد</v>
      </c>
      <c r="I91" s="57"/>
      <c r="J91" s="58"/>
    </row>
    <row r="92" spans="1:10" ht="30" customHeight="1" thickBot="1" x14ac:dyDescent="0.25">
      <c r="A92" s="10"/>
      <c r="B92" s="49" t="s">
        <v>261</v>
      </c>
      <c r="C92" s="50"/>
      <c r="D92" s="51"/>
      <c r="E92" s="9">
        <v>8</v>
      </c>
      <c r="F92" s="28">
        <v>6</v>
      </c>
      <c r="G92" s="29">
        <f t="shared" si="2"/>
        <v>0.75</v>
      </c>
      <c r="H92" s="27" t="str">
        <f t="shared" si="3"/>
        <v>جيد</v>
      </c>
      <c r="I92" s="57"/>
      <c r="J92" s="58"/>
    </row>
    <row r="93" spans="1:10" ht="30" customHeight="1" thickBot="1" x14ac:dyDescent="0.25">
      <c r="A93" s="4"/>
      <c r="B93" s="91" t="s">
        <v>5</v>
      </c>
      <c r="C93" s="83"/>
      <c r="D93" s="83"/>
      <c r="E93" s="9">
        <f>SUM(E8:E92)</f>
        <v>470</v>
      </c>
      <c r="F93" s="9">
        <f>SUM(F8:F92)</f>
        <v>359.5</v>
      </c>
      <c r="G93" s="63"/>
      <c r="H93" s="64"/>
      <c r="I93" s="64"/>
      <c r="J93" s="65"/>
    </row>
    <row r="94" spans="1:10" ht="30" customHeight="1" thickBot="1" x14ac:dyDescent="0.25">
      <c r="A94" s="4"/>
      <c r="B94" s="91" t="s">
        <v>54</v>
      </c>
      <c r="C94" s="83"/>
      <c r="D94" s="83"/>
      <c r="E94" s="75">
        <f>F93/E93/100*100</f>
        <v>0.76489361702127656</v>
      </c>
      <c r="F94" s="75"/>
      <c r="G94" s="75"/>
      <c r="H94" s="75"/>
      <c r="I94" s="75"/>
      <c r="J94" s="76"/>
    </row>
    <row r="95" spans="1:10" ht="30" customHeight="1" thickBot="1" x14ac:dyDescent="0.25">
      <c r="A95" s="4"/>
      <c r="B95" s="91" t="s">
        <v>55</v>
      </c>
      <c r="C95" s="83"/>
      <c r="D95" s="83"/>
      <c r="E95" s="89" t="str">
        <f>_xlfn.IFS(E94&gt;=90%,"ممتاز",E94&gt;=80%,"جيد جداً",E94&gt;=70%,"جيد",E94&gt;=60%,"مقبول",E94&lt;60%,"راسب")</f>
        <v>جيد</v>
      </c>
      <c r="F95" s="89"/>
      <c r="G95" s="89"/>
      <c r="H95" s="89"/>
      <c r="I95" s="89"/>
      <c r="J95" s="90"/>
    </row>
    <row r="96" spans="1:10" ht="42" customHeight="1" x14ac:dyDescent="0.2">
      <c r="B96" s="85" t="s">
        <v>174</v>
      </c>
      <c r="C96" s="85"/>
      <c r="D96" s="85"/>
      <c r="E96" s="61" t="s">
        <v>52</v>
      </c>
      <c r="F96" s="61"/>
      <c r="G96" s="87" t="s">
        <v>93</v>
      </c>
      <c r="H96" s="87"/>
      <c r="I96" s="87"/>
      <c r="J96" s="87"/>
    </row>
    <row r="97" spans="1:10" ht="51" customHeight="1" x14ac:dyDescent="0.2">
      <c r="A97" s="5"/>
      <c r="B97" s="86"/>
      <c r="C97" s="86"/>
      <c r="D97" s="86"/>
      <c r="E97" s="62" t="s">
        <v>53</v>
      </c>
      <c r="F97" s="62"/>
      <c r="G97" s="88"/>
      <c r="H97" s="88"/>
      <c r="I97" s="88"/>
      <c r="J97" s="8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E6BA-2459-DF4F-ADCA-156315A1E1D7}">
  <dimension ref="A1"/>
  <sheetViews>
    <sheetView zoomScaleNormal="8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workbookViewId="0">
      <selection activeCell="C34" sqref="C3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262</v>
      </c>
    </row>
    <row r="30" spans="1:3" ht="20.100000000000001" customHeight="1" thickBot="1" x14ac:dyDescent="0.3">
      <c r="A30" s="2" t="s">
        <v>32</v>
      </c>
      <c r="C30" s="20" t="s">
        <v>263</v>
      </c>
    </row>
    <row r="31" spans="1:3" ht="20.100000000000001" customHeight="1" thickBot="1" x14ac:dyDescent="0.3">
      <c r="A31" s="2" t="s">
        <v>33</v>
      </c>
      <c r="C31" s="20" t="s">
        <v>264</v>
      </c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Sheet1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2025-09-22T05:33:44Z</dcterms:modified>
</cp:coreProperties>
</file>