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codeName="ThisWorkbook"/>
  <xr:revisionPtr revIDLastSave="0" documentId="13_ncr:1_{9206516D-8D63-4364-835E-08D90FF24EAA}" xr6:coauthVersionLast="36" xr6:coauthVersionMax="47" xr10:uidLastSave="{00000000-0000-0000-0000-000000000000}"/>
  <bookViews>
    <workbookView xWindow="-16320" yWindow="-10212" windowWidth="16440" windowHeight="29040" xr2:uid="{00000000-000D-0000-FFFF-FFFF00000000}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التقييم'!$A$1:$J$97</definedName>
    <definedName name="_xlnm.Print_Titles" localSheetId="0">'قائمة التقييم'!$7:$7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0" i="2" l="1"/>
  <c r="H11" i="2"/>
  <c r="H12" i="2"/>
  <c r="H13" i="2"/>
  <c r="H14" i="2"/>
  <c r="H15" i="2"/>
  <c r="H16" i="2"/>
  <c r="H17" i="2"/>
  <c r="H18" i="2"/>
  <c r="H19" i="2"/>
  <c r="H20" i="2"/>
  <c r="H21" i="2"/>
  <c r="H23" i="2"/>
  <c r="H24" i="2"/>
  <c r="H25" i="2"/>
  <c r="H26" i="2"/>
  <c r="H27" i="2"/>
  <c r="H28" i="2"/>
  <c r="H29" i="2"/>
  <c r="H30" i="2"/>
  <c r="H31" i="2"/>
  <c r="H32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8" i="2"/>
  <c r="H49" i="2"/>
  <c r="H50" i="2"/>
  <c r="H51" i="2"/>
  <c r="H52" i="2"/>
  <c r="H53" i="2"/>
  <c r="H55" i="2"/>
  <c r="H56" i="2"/>
  <c r="H57" i="2"/>
  <c r="H58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5" i="2"/>
  <c r="H76" i="2"/>
  <c r="H77" i="2"/>
  <c r="H78" i="2"/>
  <c r="H79" i="2"/>
  <c r="H80" i="2"/>
  <c r="H81" i="2"/>
  <c r="H82" i="2"/>
  <c r="H83" i="2"/>
  <c r="H84" i="2"/>
  <c r="H85" i="2"/>
  <c r="H87" i="2"/>
  <c r="H88" i="2"/>
  <c r="H89" i="2"/>
  <c r="H90" i="2"/>
  <c r="H91" i="2"/>
  <c r="H92" i="2"/>
  <c r="H8" i="2" l="1"/>
  <c r="F93" i="2" l="1"/>
  <c r="E93" i="2" l="1"/>
  <c r="E94" i="2" l="1"/>
  <c r="E95" i="2" s="1"/>
</calcChain>
</file>

<file path=xl/sharedStrings.xml><?xml version="1.0" encoding="utf-8"?>
<sst xmlns="http://schemas.openxmlformats.org/spreadsheetml/2006/main" count="114" uniqueCount="113">
  <si>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</si>
  <si>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</si>
  <si>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</si>
  <si>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</si>
  <si>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</si>
  <si>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</si>
  <si>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</si>
  <si>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</si>
  <si>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</si>
  <si>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</si>
  <si>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</si>
  <si>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</si>
  <si>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</si>
  <si>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</si>
  <si>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</si>
  <si>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</si>
  <si>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</si>
  <si>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</si>
  <si>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</si>
  <si>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</si>
  <si>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</si>
  <si>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</si>
  <si>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</si>
  <si>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</si>
  <si>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</si>
  <si>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</si>
  <si>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</si>
  <si>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t>1.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استلام برقية رفع الحالة وتفهم القائد لمضمون البرقية في الوقت المحدد.</t>
    </r>
  </si>
  <si>
    <r>
      <t>2.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إجراءات قائد الوحدة</t>
    </r>
    <r>
      <rPr>
        <b/>
        <sz val="12"/>
        <color rgb="FF000000"/>
        <rFont val="Arial"/>
        <family val="2"/>
      </rPr>
      <t>.</t>
    </r>
  </si>
  <si>
    <t>أ.    استلام المهمة وتفهم المطلوب في الوقت المحدد.</t>
  </si>
  <si>
    <t>ب.   الرد بالاعتراف على البرقية حسب الوقت المحدد.</t>
  </si>
  <si>
    <t>جـ.   تحرير برقية رفع الحالة وإرسالها إلى مستوى الأعلى والأدنى.</t>
  </si>
  <si>
    <t>د.    الكشف من الخارطة.</t>
  </si>
  <si>
    <t>هـ.   إصدار أمر إنذاري والحصول على الاعتراف من المستوى الأدنى.</t>
  </si>
  <si>
    <t>و.    تسجيل برقية رفع الحالة في سجل الحوادث.</t>
  </si>
  <si>
    <t>ز.   عمل تقدير موقف للوقت من قبل القائد مع مراعاة ثلثي الوقت لعمل وإجراءات المرؤوسين وتشمل الإجراءات منذ استلام المهمة وحتى ساعة الصفر.</t>
  </si>
  <si>
    <t>ح.   عمل تقدير موقف ذهني سريع من قبل القائد.</t>
  </si>
  <si>
    <t>ط.   إنذار الوحدة بالمهمة ووسائل الإنذار المتوفرة.</t>
  </si>
  <si>
    <t>ي.   توضيح المطلوب للقادة المرؤوسين والإجابة على استفساراتهم.</t>
  </si>
  <si>
    <t>ك.   التقيد بأصول المخابرة في عملية إرسال البرقية.</t>
  </si>
  <si>
    <t>ل.   التقيد بواجبات الأركان الصغرى في كتابة الأمر الإنذاري.</t>
  </si>
  <si>
    <r>
      <t>3.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التقييد بمشتملات الأمر الإنذاري.</t>
    </r>
    <r>
      <rPr>
        <b/>
        <sz val="12"/>
        <color rgb="FF000000"/>
        <rFont val="Arial"/>
        <family val="2"/>
      </rPr>
      <t xml:space="preserve"> </t>
    </r>
    <r>
      <rPr>
        <sz val="12"/>
        <color rgb="FF000000"/>
        <rFont val="Arial"/>
        <family val="2"/>
      </rPr>
      <t>يسلم مكتوب لنائب قائد الوحدة ونسخة للمحكم ويشمل:</t>
    </r>
  </si>
  <si>
    <t>أ.    ملخص عن العمليات المقبلة.</t>
  </si>
  <si>
    <t>ب.   موقع ووقت اجتماع قسم الأمر.</t>
  </si>
  <si>
    <t>جـ.   تفاصيل عن منطقة التجمع.</t>
  </si>
  <si>
    <t>د.    تحديدات الحركة (حسب المهمة).</t>
  </si>
  <si>
    <t>هـ.   منطقة التجمع.</t>
  </si>
  <si>
    <t>و.    حدود الكشف.</t>
  </si>
  <si>
    <t>ز.   التعليمات الإدارية.</t>
  </si>
  <si>
    <r>
      <t>4.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وسائل الإنذار</t>
    </r>
    <r>
      <rPr>
        <b/>
        <sz val="12"/>
        <color rgb="FF000000"/>
        <rFont val="Arial"/>
        <family val="2"/>
      </rPr>
      <t xml:space="preserve">. </t>
    </r>
    <r>
      <rPr>
        <sz val="12"/>
        <color rgb="FF000000"/>
        <rFont val="Times New Roman"/>
        <family val="1"/>
      </rPr>
      <t>التأكد من استخدام وسائل الإنذار المتوفرة (المسموعة، المرئية، الضوئية) حسب ما جاء في تعليمات التحول.</t>
    </r>
  </si>
  <si>
    <r>
      <t>5.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التأكد من وصول البرقية إلى المرؤوسين وتفهمها من قبلهم.</t>
    </r>
  </si>
  <si>
    <r>
      <t>6.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التأكد من إصدار الأوامر إلى المرؤوسين (شفهية، مكتوبة، بواسطة اللاسلكي).</t>
    </r>
  </si>
  <si>
    <r>
      <t>7.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إجراءات التحـول</t>
    </r>
    <r>
      <rPr>
        <b/>
        <sz val="12"/>
        <color rgb="FF000000"/>
        <rFont val="Arial"/>
        <family val="2"/>
      </rPr>
      <t>.</t>
    </r>
  </si>
  <si>
    <t>أ.    تحرك الوحدات المرؤوسة لتنفيذ التحول حسب تعليمات والخطة الزمنية لرفع الحالة.</t>
  </si>
  <si>
    <t>ب.   توفر خطة مفصلة توضح الإجراءات وتوقيتاتها المحددة.</t>
  </si>
  <si>
    <t>جـ.   التزام وتفهم مرتب الوحدة (الكتائب / السرايا / الفصائل) بتعليمات رفع الحالة وتنفيذهـا بطريقـة سليمـة وحسب الحالة المطلوبة.</t>
  </si>
  <si>
    <t>د.    مدى التقيد بالتوقيتات المحددة في الخطة الزمنية.</t>
  </si>
  <si>
    <t>هـ.   أسلوب وإجراءات تنفيذ الخطة الزمنية.</t>
  </si>
  <si>
    <t>و.    التأكد من حماس وجديـة الضبـاط والرتـب الأخرى في تنفيـذ الواجبات ومـــدى تفهمهم لإجراءات رفع الحالة.</t>
  </si>
  <si>
    <t>ز.   التأكد من إجراءات تحميل / تعبئة الذخيرة (التقيد باحتياطات الأمان ومخطط التحميل).</t>
  </si>
  <si>
    <t>ح.   استلام المهمات الكيميائية.</t>
  </si>
  <si>
    <t>ط.   تعبئة وتحميل الوقود والمياه.</t>
  </si>
  <si>
    <t>ي.   تحميل الأرزاق لـ (48) ساعة.</t>
  </si>
  <si>
    <t>ك.   تحميل المهمات الإدارية والهندسية.</t>
  </si>
  <si>
    <t>ل.   تركيب الأسلحة والأجهزة واختبارها.</t>
  </si>
  <si>
    <t>م.   وضع خطة للتحميل والتقيد بها أثناء عملية التحميل ومدى فعاليتها.</t>
  </si>
  <si>
    <r>
      <t>8.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جاهزية القوة</t>
    </r>
    <r>
      <rPr>
        <b/>
        <sz val="12"/>
        <color rgb="FF000000"/>
        <rFont val="Arial"/>
        <family val="2"/>
      </rPr>
      <t>.</t>
    </r>
  </si>
  <si>
    <t>أ.    اصطفاف القوة بالميدان في الوقت المحدد في تعليمات رفع حالات الاستعداد القتالي.</t>
  </si>
  <si>
    <t>ب.   التأكد من نسبة استكمال وجاهزية الضباط والأفراد من حيث (السلاح وملحقاته، حقائب الكتف، القلادة المعدنية، البطاقة، رخصة السواقة، حقيبة الميدان، مفكرة الميدان للضباط).</t>
  </si>
  <si>
    <t>جـ.   مدى إلمام الضباط والرتب الأخرى باستخدام المعدات والآليات حسب تخصصاتهم.</t>
  </si>
  <si>
    <t>د.    تعبئة وإدامة جداول الركوب والتحميل طبقاً لحالات الاستعداد القتالي ومطابقته للواقع.</t>
  </si>
  <si>
    <t xml:space="preserve">هـ.   التأكد من عدم تحميل الآليات أكثر من حمولتها المقررة </t>
  </si>
  <si>
    <t>و.    تعبئة وإدامة سجلات استلام الذخائر.</t>
  </si>
  <si>
    <r>
      <t>9.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الآليات</t>
    </r>
    <r>
      <rPr>
        <b/>
        <sz val="12"/>
        <color rgb="FF000000"/>
        <rFont val="Arial"/>
        <family val="2"/>
      </rPr>
      <t>.</t>
    </r>
  </si>
  <si>
    <t>أ.    التأكد من جاهزية الآليات من حيث (الوقود، المياه، العدة، سجل الآلية، شباك التمويه مع العصي، إلخ).</t>
  </si>
  <si>
    <t>ب.   التأكد من نسبة استكمال الأسلحة والمعدات.</t>
  </si>
  <si>
    <t>جـ.   التأكد من نسبة استكمال الآليات المقاتلة ( أ ).</t>
  </si>
  <si>
    <t>د.    توفير نقليات (ب) لحمل (ذخائر الخط الثاني).</t>
  </si>
  <si>
    <r>
      <t>10.</t>
    </r>
    <r>
      <rPr>
        <b/>
        <sz val="12"/>
        <color rgb="FF000000"/>
        <rFont val="Times New Roman"/>
        <family val="1"/>
      </rPr>
      <t xml:space="preserve">     </t>
    </r>
    <r>
      <rPr>
        <b/>
        <u/>
        <sz val="12"/>
        <color rgb="FF000000"/>
        <rFont val="Arial"/>
        <family val="2"/>
      </rPr>
      <t>فـرش المتاع</t>
    </r>
    <r>
      <rPr>
        <b/>
        <sz val="12"/>
        <color rgb="FF000000"/>
        <rFont val="Arial"/>
        <family val="2"/>
      </rPr>
      <t xml:space="preserve">. </t>
    </r>
    <r>
      <rPr>
        <sz val="12"/>
        <color rgb="FF000000"/>
        <rFont val="Arial"/>
        <family val="2"/>
      </rPr>
      <t>حقيبة الميدان وتشمل:</t>
    </r>
  </si>
  <si>
    <t>أ.    عدد (1) بدلة مموهه.</t>
  </si>
  <si>
    <t>ب.   خـوذه.</t>
  </si>
  <si>
    <t>جـ.   فوطه.</t>
  </si>
  <si>
    <t>د.    جراب.</t>
  </si>
  <si>
    <t>هـ.   ملابس داخلية.</t>
  </si>
  <si>
    <t>و.    ملابس رياضة (شورت، حذاء، فانله).</t>
  </si>
  <si>
    <t>ز.   أدوات الطعام.</t>
  </si>
  <si>
    <t>ح.   أدوات الخياطة.</t>
  </si>
  <si>
    <t>ط.   أدوات حلاقة + معجون وفرشاة أسنان.</t>
  </si>
  <si>
    <t>ي.   كيس النوم.</t>
  </si>
  <si>
    <t>ك.   لباس مدني.</t>
  </si>
  <si>
    <t>ل.   شماغ (عسكري / مدني).</t>
  </si>
  <si>
    <t>م.   مشمع أرضي.</t>
  </si>
  <si>
    <t>ن.   ترتيب ونظافة محتويات الحقيبة.</t>
  </si>
  <si>
    <r>
      <t>11.</t>
    </r>
    <r>
      <rPr>
        <b/>
        <sz val="12"/>
        <color rgb="FF000000"/>
        <rFont val="Times New Roman"/>
        <family val="1"/>
      </rPr>
      <t xml:space="preserve">     </t>
    </r>
    <r>
      <rPr>
        <b/>
        <u/>
        <sz val="12"/>
        <color rgb="FF000000"/>
        <rFont val="Arial"/>
        <family val="2"/>
      </rPr>
      <t>صندوق / آلية الوثائق</t>
    </r>
    <r>
      <rPr>
        <b/>
        <sz val="12"/>
        <color rgb="FF000000"/>
        <rFont val="Arial"/>
        <family val="2"/>
      </rPr>
      <t>.</t>
    </r>
  </si>
  <si>
    <t>أ.    توفر صندوق لحفظ الوثائق والسجلات والقرطاسية اللازمة.</t>
  </si>
  <si>
    <t>ب.   وجود فهرس بمحتويات الصندوق ومطابقته مع الموجود.</t>
  </si>
  <si>
    <t>جـ.   توفر الخرائط والخطط الضرورية.</t>
  </si>
  <si>
    <t>د.    وجود الأوامر الثابتة لقيادته.</t>
  </si>
  <si>
    <t>هـ.   وجود قوائم التوزيع الشهرية.</t>
  </si>
  <si>
    <t>و.    وجود نموذج برقيــات.</t>
  </si>
  <si>
    <t>ز.   توفر كشف بأرقام الهواتف الهامة (عسكرية، مدنية).</t>
  </si>
  <si>
    <t>ح.   وجود وإدامة سجل الوارد والصادر.</t>
  </si>
  <si>
    <t>ط.   التأكد من إعداد وتجهيز آلية الوثائق.</t>
  </si>
  <si>
    <t>ي.   توفر وصلاحية وسائل الاتصالات الإشارية بآلية الوثائق.</t>
  </si>
  <si>
    <t>ك.   توفر وصلاحية الإضاءة الرئيسة والبديلة بآلية الوثائق.</t>
  </si>
  <si>
    <r>
      <t>12.</t>
    </r>
    <r>
      <rPr>
        <b/>
        <sz val="12"/>
        <color rgb="FF000000"/>
        <rFont val="Times New Roman"/>
        <family val="1"/>
      </rPr>
      <t xml:space="preserve">     </t>
    </r>
    <r>
      <rPr>
        <b/>
        <u/>
        <sz val="12"/>
        <color rgb="FF000000"/>
        <rFont val="Arial"/>
        <family val="2"/>
      </rPr>
      <t>نظام المجموعات في السرية</t>
    </r>
    <r>
      <rPr>
        <b/>
        <sz val="12"/>
        <color rgb="FF000000"/>
        <rFont val="Arial"/>
        <family val="2"/>
      </rPr>
      <t>.</t>
    </r>
  </si>
  <si>
    <t>أ.    التأكد من جماعة الكشف (قائد السرية مأمور إشارة، ممثلون عن الأسلحة والخدمات المساندة إن وجدوا، فردين حماية، ضابط الرصد).</t>
  </si>
  <si>
    <t>ب.   التأكد من جماعة الأمـر (جماعـة كشف السرية، قـادة الفصائل).</t>
  </si>
  <si>
    <t>جـ.   مدى فعالية الكشف وإصدار الأوامر.</t>
  </si>
  <si>
    <t>د.    التأكد من عمل جميع المجموعات في آنٍ واحد (التزامن في العمل) من خلال الخطة الزمنية.</t>
  </si>
  <si>
    <r>
      <t>13.</t>
    </r>
    <r>
      <rPr>
        <b/>
        <sz val="12"/>
        <color rgb="FF000000"/>
        <rFont val="Times New Roman"/>
        <family val="1"/>
      </rPr>
      <t xml:space="preserve">     </t>
    </r>
    <r>
      <rPr>
        <b/>
        <sz val="12"/>
        <color rgb="FF000000"/>
        <rFont val="Arial"/>
        <family val="2"/>
      </rPr>
      <t>التأكد من الإشراف والمتابعة من المستوى الأعلى وقيادة المستوى نفسه.</t>
    </r>
  </si>
  <si>
    <r>
      <t>14.</t>
    </r>
    <r>
      <rPr>
        <b/>
        <sz val="12"/>
        <color rgb="FF000000"/>
        <rFont val="Times New Roman"/>
        <family val="1"/>
      </rPr>
      <t xml:space="preserve">     </t>
    </r>
    <r>
      <rPr>
        <b/>
        <sz val="12"/>
        <color rgb="FF000000"/>
        <rFont val="Arial"/>
        <family val="2"/>
      </rPr>
      <t>مدى كفاءة القائد القيادية والذهنية.</t>
    </r>
  </si>
  <si>
    <t>تقييم رفع الحالة لمجموعة لواء في تمرين جاهزية المهمة /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</si>
</sst>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0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7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0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2" fillId="0" borderId="7" xfId="0" applyFont="1" applyBorder="1" applyAlignment="1">
      <alignment horizontal="center" vertical="center" wrapText="1" readingOrder="1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9" fontId="3" fillId="0" borderId="7" xfId="0" applyNumberFormat="1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0" fontId="3" fillId="0" borderId="24" xfId="0" applyFont="1" applyBorder="1" applyAlignment="1" applyProtection="1">
      <alignment horizontal="center" vertical="center" wrapText="1" readingOrder="2"/>
      <protection locked="0"/>
    </xf>
    <xf numFmtId="9" fontId="3" fillId="0" borderId="24" xfId="0" applyNumberFormat="1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1"/>
    </xf>
    <xf numFmtId="0" fontId="2" fillId="0" borderId="26" xfId="0" applyFont="1" applyBorder="1" applyAlignment="1">
      <alignment horizontal="center" vertical="center" wrapText="1" readingOrder="2"/>
    </xf>
    <xf numFmtId="0" fontId="3" fillId="0" borderId="26" xfId="0" applyFont="1" applyBorder="1" applyAlignment="1" applyProtection="1">
      <alignment horizontal="center" vertical="center" wrapText="1" readingOrder="2"/>
      <protection locked="0"/>
    </xf>
    <xf numFmtId="9" fontId="3" fillId="0" borderId="26" xfId="0" applyNumberFormat="1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1"/>
    </xf>
    <xf numFmtId="0" fontId="2" fillId="0" borderId="28" xfId="0" applyFont="1" applyBorder="1" applyAlignment="1">
      <alignment horizontal="center" vertical="center" wrapText="1" readingOrder="2"/>
    </xf>
    <xf numFmtId="0" fontId="3" fillId="0" borderId="28" xfId="0" applyFont="1" applyBorder="1" applyAlignment="1" applyProtection="1">
      <alignment horizontal="center" vertical="center" wrapText="1" readingOrder="2"/>
      <protection locked="0"/>
    </xf>
    <xf numFmtId="9" fontId="3" fillId="0" borderId="28" xfId="0" applyNumberFormat="1" applyFont="1" applyBorder="1" applyAlignment="1">
      <alignment horizontal="center" vertical="center" wrapText="1" readingOrder="2"/>
    </xf>
    <xf numFmtId="0" fontId="2" fillId="0" borderId="28" xfId="0" applyFont="1" applyBorder="1" applyAlignment="1">
      <alignment horizontal="center" vertical="center" wrapText="1" readingOrder="1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0" fontId="5" fillId="3" borderId="6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3" fillId="0" borderId="26" xfId="0" applyFont="1" applyBorder="1" applyAlignment="1" applyProtection="1">
      <alignment horizontal="center" vertical="center" wrapText="1" readingOrder="2"/>
      <protection locked="0"/>
    </xf>
    <xf numFmtId="0" fontId="3" fillId="0" borderId="27" xfId="0" applyFont="1" applyBorder="1" applyAlignment="1" applyProtection="1">
      <alignment horizontal="center" vertical="center" wrapText="1" readingOrder="2"/>
      <protection locked="0"/>
    </xf>
    <xf numFmtId="0" fontId="3" fillId="0" borderId="28" xfId="0" applyFont="1" applyBorder="1" applyAlignment="1" applyProtection="1">
      <alignment horizontal="center" vertical="center" wrapText="1" readingOrder="2"/>
      <protection locked="0"/>
    </xf>
    <xf numFmtId="0" fontId="3" fillId="0" borderId="29" xfId="0" applyFont="1" applyBorder="1" applyAlignment="1" applyProtection="1">
      <alignment horizontal="center" vertical="center" wrapText="1" readingOrder="2"/>
      <protection locked="0"/>
    </xf>
    <xf numFmtId="0" fontId="3" fillId="0" borderId="24" xfId="0" applyFont="1" applyBorder="1" applyAlignment="1" applyProtection="1">
      <alignment horizontal="center" vertical="center" wrapText="1" readingOrder="2"/>
      <protection locked="0"/>
    </xf>
    <xf numFmtId="0" fontId="3" fillId="0" borderId="25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7" xfId="0" applyFont="1" applyBorder="1" applyAlignment="1">
      <alignment horizontal="center" vertical="center" wrapText="1" readingOrder="1"/>
    </xf>
    <xf numFmtId="0" fontId="2" fillId="0" borderId="8" xfId="0" applyFont="1" applyBorder="1" applyAlignment="1">
      <alignment horizontal="center" vertical="center" wrapText="1" readingOrder="1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9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10" fontId="2" fillId="0" borderId="7" xfId="0" applyNumberFormat="1" applyFont="1" applyBorder="1" applyAlignment="1">
      <alignment horizontal="center" vertical="center" wrapText="1" readingOrder="2"/>
    </xf>
    <xf numFmtId="10" fontId="2" fillId="0" borderId="8" xfId="0" applyNumberFormat="1" applyFont="1" applyBorder="1" applyAlignment="1">
      <alignment horizontal="center" vertical="center" wrapText="1" readingOrder="2"/>
    </xf>
    <xf numFmtId="0" fontId="6" fillId="3" borderId="6" xfId="0" applyFont="1" applyFill="1" applyBorder="1" applyAlignment="1" applyProtection="1">
      <alignment horizontal="center" vertical="center" wrapText="1" readingOrder="2"/>
      <protection locked="0"/>
    </xf>
    <xf numFmtId="0" fontId="6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0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2" xfId="0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right" vertical="center" wrapText="1" readingOrder="2"/>
    </xf>
    <xf numFmtId="0" fontId="2" fillId="0" borderId="13" xfId="0" applyFont="1" applyBorder="1" applyAlignment="1">
      <alignment horizontal="right" vertical="center" wrapText="1" readingOrder="2"/>
    </xf>
    <xf numFmtId="0" fontId="2" fillId="0" borderId="23" xfId="0" applyFont="1" applyBorder="1" applyAlignment="1">
      <alignment horizontal="right" vertical="center" wrapText="1" readingOrder="2"/>
    </xf>
    <xf numFmtId="0" fontId="2" fillId="0" borderId="15" xfId="0" applyFont="1" applyBorder="1" applyAlignment="1">
      <alignment horizontal="right" vertical="center" wrapText="1" readingOrder="2"/>
    </xf>
    <xf numFmtId="0" fontId="2" fillId="0" borderId="1" xfId="0" applyFont="1" applyBorder="1" applyAlignment="1">
      <alignment horizontal="right" vertical="center" wrapText="1" readingOrder="2"/>
    </xf>
    <xf numFmtId="0" fontId="2" fillId="0" borderId="16" xfId="0" applyFont="1" applyBorder="1" applyAlignment="1">
      <alignment horizontal="right" vertical="center" wrapText="1" readingOrder="2"/>
    </xf>
    <xf numFmtId="0" fontId="7" fillId="0" borderId="17" xfId="0" applyFont="1" applyBorder="1" applyAlignment="1">
      <alignment horizontal="right" vertical="center" wrapText="1" indent="3" readingOrder="2"/>
    </xf>
    <xf numFmtId="0" fontId="7" fillId="0" borderId="0" xfId="0" applyFont="1" applyBorder="1" applyAlignment="1">
      <alignment horizontal="right" vertical="center" wrapText="1" indent="3" readingOrder="2"/>
    </xf>
    <xf numFmtId="0" fontId="7" fillId="0" borderId="18" xfId="0" applyFont="1" applyBorder="1" applyAlignment="1">
      <alignment horizontal="right" vertical="center" wrapText="1" indent="3" readingOrder="2"/>
    </xf>
    <xf numFmtId="0" fontId="7" fillId="0" borderId="19" xfId="0" applyFont="1" applyBorder="1" applyAlignment="1">
      <alignment horizontal="right" vertical="center" wrapText="1" indent="3" readingOrder="2"/>
    </xf>
    <xf numFmtId="0" fontId="7" fillId="0" borderId="20" xfId="0" applyFont="1" applyBorder="1" applyAlignment="1">
      <alignment horizontal="right" vertical="center" wrapText="1" indent="3" readingOrder="2"/>
    </xf>
    <xf numFmtId="0" fontId="7" fillId="0" borderId="21" xfId="0" applyFont="1" applyBorder="1" applyAlignment="1">
      <alignment horizontal="right" vertical="center" wrapText="1" indent="3" readingOrder="2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97"/>
  <sheetViews>
    <sheetView rightToLeft="1" tabSelected="1" view="pageBreakPreview" zoomScale="130" zoomScaleNormal="100" zoomScaleSheetLayoutView="130" workbookViewId="0">
      <selection activeCell="E8" sqref="E8:E9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2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4" t="s">
        <v>112</v>
      </c>
      <c r="C1" s="44"/>
      <c r="D1" s="44"/>
      <c r="E1" s="44"/>
      <c r="F1" s="44"/>
      <c r="G1" s="44"/>
      <c r="H1" s="44"/>
      <c r="I1" s="44"/>
      <c r="J1" s="44"/>
    </row>
    <row r="2" spans="1:10" ht="30" customHeight="1" x14ac:dyDescent="0.3">
      <c r="B2" s="12" t="s">
        <v>8</v>
      </c>
      <c r="C2" s="50" t="s">
        <v>23</v>
      </c>
      <c r="D2" s="50"/>
      <c r="E2" s="12" t="s">
        <v>7</v>
      </c>
      <c r="F2" s="45" t="s">
        <v>22</v>
      </c>
      <c r="G2" s="45"/>
      <c r="H2" s="45"/>
      <c r="I2" s="45"/>
      <c r="J2" s="45"/>
    </row>
    <row r="3" spans="1:10" ht="30" customHeight="1" x14ac:dyDescent="0.3">
      <c r="B3" s="12" t="s">
        <v>9</v>
      </c>
      <c r="C3" s="50" t="s">
        <v>25</v>
      </c>
      <c r="D3" s="50"/>
      <c r="E3" s="12" t="s">
        <v>6</v>
      </c>
      <c r="F3" s="50" t="s">
        <v>24</v>
      </c>
      <c r="G3" s="50"/>
      <c r="H3" s="50"/>
      <c r="I3" s="50"/>
      <c r="J3" s="50"/>
    </row>
    <row r="4" spans="1:10" ht="30" customHeight="1" thickBot="1" x14ac:dyDescent="0.35">
      <c r="B4" s="5"/>
      <c r="C4" s="6"/>
      <c r="D4" s="6"/>
      <c r="E4" s="5"/>
      <c r="F4" s="6"/>
      <c r="G4" s="6"/>
      <c r="H4" s="7"/>
      <c r="I4" s="6"/>
      <c r="J4" s="6"/>
    </row>
    <row r="5" spans="1:10" ht="24.9" customHeight="1" x14ac:dyDescent="0.3">
      <c r="A5" s="9"/>
      <c r="B5" s="46" t="s">
        <v>0</v>
      </c>
      <c r="C5" s="47"/>
      <c r="D5" s="47"/>
      <c r="E5" s="55" t="s">
        <v>1</v>
      </c>
      <c r="F5" s="55"/>
      <c r="G5" s="55"/>
      <c r="H5" s="55"/>
      <c r="I5" s="55" t="s">
        <v>2</v>
      </c>
      <c r="J5" s="56"/>
    </row>
    <row r="6" spans="1:10" ht="24.9" customHeight="1" thickBot="1" x14ac:dyDescent="0.35">
      <c r="A6" s="9"/>
      <c r="B6" s="48"/>
      <c r="C6" s="49"/>
      <c r="D6" s="49"/>
      <c r="E6" s="10" t="s">
        <v>3</v>
      </c>
      <c r="F6" s="10" t="s">
        <v>4</v>
      </c>
      <c r="G6" s="10" t="s">
        <v>15</v>
      </c>
      <c r="H6" s="10" t="s">
        <v>16</v>
      </c>
      <c r="I6" s="57"/>
      <c r="J6" s="58"/>
    </row>
    <row r="7" spans="1:10" ht="24.9" customHeight="1" thickBot="1" x14ac:dyDescent="0.35">
      <c r="A7" s="9"/>
      <c r="B7" s="53" t="s">
        <v>13</v>
      </c>
      <c r="C7" s="54"/>
      <c r="D7" s="54"/>
      <c r="E7" s="11" t="s">
        <v>10</v>
      </c>
      <c r="F7" s="11" t="s">
        <v>11</v>
      </c>
      <c r="G7" s="11" t="s">
        <v>14</v>
      </c>
      <c r="H7" s="11" t="s">
        <v>12</v>
      </c>
      <c r="I7" s="31" t="s">
        <v>17</v>
      </c>
      <c r="J7" s="59"/>
    </row>
    <row r="8" spans="1:10" ht="39.9" customHeight="1" thickBot="1" x14ac:dyDescent="0.35">
      <c r="A8" s="9"/>
      <c r="B8" s="65" t="s">
        <v>27</v>
      </c>
      <c r="C8" s="66"/>
      <c r="D8" s="67"/>
      <c r="E8" s="8">
        <v>10</v>
      </c>
      <c r="F8" s="14"/>
      <c r="G8" s="15"/>
      <c r="H8" s="13" t="str">
        <f>_xlfn.IFS(F8="أدخل العلامة","",F8="لا ينطبق","تم الإلغاء",G8&gt;=90%,"ممتاز",G8&gt;=80%,"جيد جداً",G8&gt;=70%,"جيد",G8&gt;=60%,"مقبول",G8&lt;60%,"راسب")</f>
        <v>راسب</v>
      </c>
      <c r="I8" s="28"/>
      <c r="J8" s="29"/>
    </row>
    <row r="9" spans="1:10" ht="30" customHeight="1" x14ac:dyDescent="0.3">
      <c r="A9" s="9"/>
      <c r="B9" s="68" t="s">
        <v>28</v>
      </c>
      <c r="C9" s="69"/>
      <c r="D9" s="70"/>
      <c r="E9" s="16"/>
      <c r="F9" s="17"/>
      <c r="G9" s="18"/>
      <c r="H9" s="19"/>
      <c r="I9" s="36"/>
      <c r="J9" s="37"/>
    </row>
    <row r="10" spans="1:10" ht="30" customHeight="1" x14ac:dyDescent="0.3">
      <c r="A10" s="9"/>
      <c r="B10" s="71" t="s">
        <v>29</v>
      </c>
      <c r="C10" s="72"/>
      <c r="D10" s="73"/>
      <c r="E10" s="20">
        <v>5</v>
      </c>
      <c r="F10" s="21"/>
      <c r="G10" s="22"/>
      <c r="H10" s="23" t="str">
        <f t="shared" ref="H10:H73" si="0">_xlfn.IFS(F10="أدخل العلامة","",F10="لا ينطبق","تم الإلغاء",G10&gt;=90%,"ممتاز",G10&gt;=80%,"جيد جداً",G10&gt;=70%,"جيد",G10&gt;=60%,"مقبول",G10&lt;60%,"راسب")</f>
        <v>راسب</v>
      </c>
      <c r="I10" s="32"/>
      <c r="J10" s="33"/>
    </row>
    <row r="11" spans="1:10" ht="30" customHeight="1" x14ac:dyDescent="0.3">
      <c r="A11" s="9"/>
      <c r="B11" s="71" t="s">
        <v>30</v>
      </c>
      <c r="C11" s="72"/>
      <c r="D11" s="73"/>
      <c r="E11" s="20">
        <v>8</v>
      </c>
      <c r="F11" s="21"/>
      <c r="G11" s="22"/>
      <c r="H11" s="23" t="str">
        <f t="shared" si="0"/>
        <v>راسب</v>
      </c>
      <c r="I11" s="32"/>
      <c r="J11" s="33"/>
    </row>
    <row r="12" spans="1:10" ht="30" customHeight="1" x14ac:dyDescent="0.3">
      <c r="A12" s="9"/>
      <c r="B12" s="71" t="s">
        <v>31</v>
      </c>
      <c r="C12" s="72"/>
      <c r="D12" s="73"/>
      <c r="E12" s="20">
        <v>10</v>
      </c>
      <c r="F12" s="21"/>
      <c r="G12" s="22"/>
      <c r="H12" s="23" t="str">
        <f t="shared" si="0"/>
        <v>راسب</v>
      </c>
      <c r="I12" s="32"/>
      <c r="J12" s="33"/>
    </row>
    <row r="13" spans="1:10" ht="30" customHeight="1" x14ac:dyDescent="0.3">
      <c r="A13" s="9"/>
      <c r="B13" s="71" t="s">
        <v>32</v>
      </c>
      <c r="C13" s="72"/>
      <c r="D13" s="73"/>
      <c r="E13" s="20">
        <v>5</v>
      </c>
      <c r="F13" s="21"/>
      <c r="G13" s="22"/>
      <c r="H13" s="23" t="str">
        <f t="shared" si="0"/>
        <v>راسب</v>
      </c>
      <c r="I13" s="32"/>
      <c r="J13" s="33"/>
    </row>
    <row r="14" spans="1:10" ht="39.9" customHeight="1" x14ac:dyDescent="0.3">
      <c r="A14" s="9"/>
      <c r="B14" s="71" t="s">
        <v>33</v>
      </c>
      <c r="C14" s="72"/>
      <c r="D14" s="73"/>
      <c r="E14" s="20">
        <v>10</v>
      </c>
      <c r="F14" s="21"/>
      <c r="G14" s="22"/>
      <c r="H14" s="23" t="str">
        <f t="shared" si="0"/>
        <v>راسب</v>
      </c>
      <c r="I14" s="32"/>
      <c r="J14" s="33"/>
    </row>
    <row r="15" spans="1:10" ht="30" customHeight="1" x14ac:dyDescent="0.3">
      <c r="A15" s="9"/>
      <c r="B15" s="71" t="s">
        <v>34</v>
      </c>
      <c r="C15" s="72"/>
      <c r="D15" s="73"/>
      <c r="E15" s="20">
        <v>5</v>
      </c>
      <c r="F15" s="21"/>
      <c r="G15" s="22"/>
      <c r="H15" s="23" t="str">
        <f t="shared" si="0"/>
        <v>راسب</v>
      </c>
      <c r="I15" s="32"/>
      <c r="J15" s="33"/>
    </row>
    <row r="16" spans="1:10" ht="39.9" customHeight="1" x14ac:dyDescent="0.3">
      <c r="A16" s="9"/>
      <c r="B16" s="71" t="s">
        <v>35</v>
      </c>
      <c r="C16" s="72"/>
      <c r="D16" s="73"/>
      <c r="E16" s="20">
        <v>5</v>
      </c>
      <c r="F16" s="21"/>
      <c r="G16" s="22"/>
      <c r="H16" s="23" t="str">
        <f t="shared" si="0"/>
        <v>راسب</v>
      </c>
      <c r="I16" s="32"/>
      <c r="J16" s="33"/>
    </row>
    <row r="17" spans="1:10" ht="30" customHeight="1" x14ac:dyDescent="0.3">
      <c r="A17" s="9"/>
      <c r="B17" s="71" t="s">
        <v>36</v>
      </c>
      <c r="C17" s="72"/>
      <c r="D17" s="73"/>
      <c r="E17" s="20">
        <v>5</v>
      </c>
      <c r="F17" s="21"/>
      <c r="G17" s="22"/>
      <c r="H17" s="23" t="str">
        <f t="shared" si="0"/>
        <v>راسب</v>
      </c>
      <c r="I17" s="32"/>
      <c r="J17" s="33"/>
    </row>
    <row r="18" spans="1:10" ht="30" customHeight="1" x14ac:dyDescent="0.3">
      <c r="A18" s="9"/>
      <c r="B18" s="71" t="s">
        <v>37</v>
      </c>
      <c r="C18" s="72"/>
      <c r="D18" s="73"/>
      <c r="E18" s="20">
        <v>6</v>
      </c>
      <c r="F18" s="21"/>
      <c r="G18" s="22"/>
      <c r="H18" s="23" t="str">
        <f t="shared" si="0"/>
        <v>راسب</v>
      </c>
      <c r="I18" s="32"/>
      <c r="J18" s="33"/>
    </row>
    <row r="19" spans="1:10" ht="30" customHeight="1" x14ac:dyDescent="0.3">
      <c r="A19" s="9"/>
      <c r="B19" s="71" t="s">
        <v>38</v>
      </c>
      <c r="C19" s="72"/>
      <c r="D19" s="73"/>
      <c r="E19" s="20">
        <v>8</v>
      </c>
      <c r="F19" s="21"/>
      <c r="G19" s="22"/>
      <c r="H19" s="23" t="str">
        <f t="shared" si="0"/>
        <v>راسب</v>
      </c>
      <c r="I19" s="32"/>
      <c r="J19" s="33"/>
    </row>
    <row r="20" spans="1:10" ht="30" customHeight="1" x14ac:dyDescent="0.3">
      <c r="A20" s="9"/>
      <c r="B20" s="71" t="s">
        <v>39</v>
      </c>
      <c r="C20" s="72"/>
      <c r="D20" s="73"/>
      <c r="E20" s="20">
        <v>6</v>
      </c>
      <c r="F20" s="21"/>
      <c r="G20" s="22"/>
      <c r="H20" s="23" t="str">
        <f t="shared" si="0"/>
        <v>راسب</v>
      </c>
      <c r="I20" s="32"/>
      <c r="J20" s="33"/>
    </row>
    <row r="21" spans="1:10" ht="30" customHeight="1" thickBot="1" x14ac:dyDescent="0.35">
      <c r="A21" s="9"/>
      <c r="B21" s="74" t="s">
        <v>40</v>
      </c>
      <c r="C21" s="75"/>
      <c r="D21" s="76"/>
      <c r="E21" s="24">
        <v>5</v>
      </c>
      <c r="F21" s="25"/>
      <c r="G21" s="26"/>
      <c r="H21" s="27" t="str">
        <f t="shared" si="0"/>
        <v>راسب</v>
      </c>
      <c r="I21" s="34"/>
      <c r="J21" s="35"/>
    </row>
    <row r="22" spans="1:10" ht="39.9" customHeight="1" x14ac:dyDescent="0.3">
      <c r="A22" s="9"/>
      <c r="B22" s="68" t="s">
        <v>41</v>
      </c>
      <c r="C22" s="69"/>
      <c r="D22" s="70"/>
      <c r="E22" s="16"/>
      <c r="F22" s="17"/>
      <c r="G22" s="18"/>
      <c r="H22" s="19"/>
      <c r="I22" s="36"/>
      <c r="J22" s="37"/>
    </row>
    <row r="23" spans="1:10" ht="30" customHeight="1" x14ac:dyDescent="0.3">
      <c r="A23" s="9"/>
      <c r="B23" s="71" t="s">
        <v>42</v>
      </c>
      <c r="C23" s="72"/>
      <c r="D23" s="73"/>
      <c r="E23" s="20">
        <v>5</v>
      </c>
      <c r="F23" s="21"/>
      <c r="G23" s="22"/>
      <c r="H23" s="23" t="str">
        <f t="shared" si="0"/>
        <v>راسب</v>
      </c>
      <c r="I23" s="32"/>
      <c r="J23" s="33"/>
    </row>
    <row r="24" spans="1:10" ht="30" customHeight="1" x14ac:dyDescent="0.3">
      <c r="A24" s="9"/>
      <c r="B24" s="71" t="s">
        <v>43</v>
      </c>
      <c r="C24" s="72"/>
      <c r="D24" s="73"/>
      <c r="E24" s="20">
        <v>5</v>
      </c>
      <c r="F24" s="21"/>
      <c r="G24" s="22"/>
      <c r="H24" s="23" t="str">
        <f t="shared" si="0"/>
        <v>راسب</v>
      </c>
      <c r="I24" s="32"/>
      <c r="J24" s="33"/>
    </row>
    <row r="25" spans="1:10" ht="30" customHeight="1" x14ac:dyDescent="0.3">
      <c r="A25" s="9"/>
      <c r="B25" s="71" t="s">
        <v>44</v>
      </c>
      <c r="C25" s="72"/>
      <c r="D25" s="73"/>
      <c r="E25" s="20">
        <v>5</v>
      </c>
      <c r="F25" s="21"/>
      <c r="G25" s="22"/>
      <c r="H25" s="23" t="str">
        <f t="shared" si="0"/>
        <v>راسب</v>
      </c>
      <c r="I25" s="32"/>
      <c r="J25" s="33"/>
    </row>
    <row r="26" spans="1:10" ht="30" customHeight="1" x14ac:dyDescent="0.3">
      <c r="A26" s="9"/>
      <c r="B26" s="71" t="s">
        <v>45</v>
      </c>
      <c r="C26" s="72"/>
      <c r="D26" s="73"/>
      <c r="E26" s="20">
        <v>5</v>
      </c>
      <c r="F26" s="21"/>
      <c r="G26" s="22"/>
      <c r="H26" s="23" t="str">
        <f t="shared" si="0"/>
        <v>راسب</v>
      </c>
      <c r="I26" s="32"/>
      <c r="J26" s="33"/>
    </row>
    <row r="27" spans="1:10" ht="30" customHeight="1" x14ac:dyDescent="0.3">
      <c r="A27" s="9"/>
      <c r="B27" s="71" t="s">
        <v>46</v>
      </c>
      <c r="C27" s="72"/>
      <c r="D27" s="73"/>
      <c r="E27" s="20">
        <v>5</v>
      </c>
      <c r="F27" s="21"/>
      <c r="G27" s="22"/>
      <c r="H27" s="23" t="str">
        <f t="shared" si="0"/>
        <v>راسب</v>
      </c>
      <c r="I27" s="32"/>
      <c r="J27" s="33"/>
    </row>
    <row r="28" spans="1:10" ht="30" customHeight="1" x14ac:dyDescent="0.3">
      <c r="A28" s="9"/>
      <c r="B28" s="71" t="s">
        <v>47</v>
      </c>
      <c r="C28" s="72"/>
      <c r="D28" s="73"/>
      <c r="E28" s="20">
        <v>5</v>
      </c>
      <c r="F28" s="21"/>
      <c r="G28" s="22"/>
      <c r="H28" s="23" t="str">
        <f t="shared" si="0"/>
        <v>راسب</v>
      </c>
      <c r="I28" s="32"/>
      <c r="J28" s="33"/>
    </row>
    <row r="29" spans="1:10" ht="30" customHeight="1" thickBot="1" x14ac:dyDescent="0.35">
      <c r="A29" s="9"/>
      <c r="B29" s="74" t="s">
        <v>48</v>
      </c>
      <c r="C29" s="75"/>
      <c r="D29" s="76"/>
      <c r="E29" s="24">
        <v>5</v>
      </c>
      <c r="F29" s="25"/>
      <c r="G29" s="26"/>
      <c r="H29" s="27" t="str">
        <f t="shared" si="0"/>
        <v>راسب</v>
      </c>
      <c r="I29" s="34"/>
      <c r="J29" s="35"/>
    </row>
    <row r="30" spans="1:10" ht="39.9" customHeight="1" thickBot="1" x14ac:dyDescent="0.35">
      <c r="A30" s="9"/>
      <c r="B30" s="65" t="s">
        <v>49</v>
      </c>
      <c r="C30" s="66"/>
      <c r="D30" s="67"/>
      <c r="E30" s="8">
        <v>6</v>
      </c>
      <c r="F30" s="14"/>
      <c r="G30" s="15"/>
      <c r="H30" s="13" t="str">
        <f t="shared" si="0"/>
        <v>راسب</v>
      </c>
      <c r="I30" s="28"/>
      <c r="J30" s="29"/>
    </row>
    <row r="31" spans="1:10" ht="39.9" customHeight="1" thickBot="1" x14ac:dyDescent="0.35">
      <c r="A31" s="9"/>
      <c r="B31" s="65" t="s">
        <v>50</v>
      </c>
      <c r="C31" s="66"/>
      <c r="D31" s="67"/>
      <c r="E31" s="8">
        <v>6</v>
      </c>
      <c r="F31" s="14"/>
      <c r="G31" s="15"/>
      <c r="H31" s="13" t="str">
        <f t="shared" si="0"/>
        <v>راسب</v>
      </c>
      <c r="I31" s="28"/>
      <c r="J31" s="29"/>
    </row>
    <row r="32" spans="1:10" ht="39.9" customHeight="1" thickBot="1" x14ac:dyDescent="0.35">
      <c r="A32" s="9"/>
      <c r="B32" s="65" t="s">
        <v>51</v>
      </c>
      <c r="C32" s="66"/>
      <c r="D32" s="67"/>
      <c r="E32" s="8">
        <v>5</v>
      </c>
      <c r="F32" s="14"/>
      <c r="G32" s="15"/>
      <c r="H32" s="13" t="str">
        <f t="shared" si="0"/>
        <v>راسب</v>
      </c>
      <c r="I32" s="28"/>
      <c r="J32" s="29"/>
    </row>
    <row r="33" spans="1:10" ht="30" customHeight="1" x14ac:dyDescent="0.3">
      <c r="A33" s="9"/>
      <c r="B33" s="68" t="s">
        <v>52</v>
      </c>
      <c r="C33" s="69"/>
      <c r="D33" s="70"/>
      <c r="E33" s="16"/>
      <c r="F33" s="17"/>
      <c r="G33" s="18"/>
      <c r="H33" s="19"/>
      <c r="I33" s="36"/>
      <c r="J33" s="37"/>
    </row>
    <row r="34" spans="1:10" ht="39.9" customHeight="1" x14ac:dyDescent="0.3">
      <c r="A34" s="9"/>
      <c r="B34" s="71" t="s">
        <v>53</v>
      </c>
      <c r="C34" s="72"/>
      <c r="D34" s="73"/>
      <c r="E34" s="20">
        <v>6</v>
      </c>
      <c r="F34" s="21"/>
      <c r="G34" s="22"/>
      <c r="H34" s="23" t="str">
        <f t="shared" si="0"/>
        <v>راسب</v>
      </c>
      <c r="I34" s="32"/>
      <c r="J34" s="33"/>
    </row>
    <row r="35" spans="1:10" ht="30" customHeight="1" x14ac:dyDescent="0.3">
      <c r="A35" s="9"/>
      <c r="B35" s="71" t="s">
        <v>54</v>
      </c>
      <c r="C35" s="72"/>
      <c r="D35" s="73"/>
      <c r="E35" s="20">
        <v>6</v>
      </c>
      <c r="F35" s="21"/>
      <c r="G35" s="22"/>
      <c r="H35" s="23" t="str">
        <f t="shared" si="0"/>
        <v>راسب</v>
      </c>
      <c r="I35" s="32"/>
      <c r="J35" s="33"/>
    </row>
    <row r="36" spans="1:10" ht="39.9" customHeight="1" x14ac:dyDescent="0.3">
      <c r="A36" s="9"/>
      <c r="B36" s="71" t="s">
        <v>55</v>
      </c>
      <c r="C36" s="72"/>
      <c r="D36" s="73"/>
      <c r="E36" s="20">
        <v>6</v>
      </c>
      <c r="F36" s="21"/>
      <c r="G36" s="22"/>
      <c r="H36" s="23" t="str">
        <f t="shared" si="0"/>
        <v>راسب</v>
      </c>
      <c r="I36" s="32"/>
      <c r="J36" s="33"/>
    </row>
    <row r="37" spans="1:10" ht="30" customHeight="1" x14ac:dyDescent="0.3">
      <c r="A37" s="9"/>
      <c r="B37" s="71" t="s">
        <v>56</v>
      </c>
      <c r="C37" s="72"/>
      <c r="D37" s="73"/>
      <c r="E37" s="20">
        <v>6</v>
      </c>
      <c r="F37" s="21"/>
      <c r="G37" s="22"/>
      <c r="H37" s="23" t="str">
        <f t="shared" si="0"/>
        <v>راسب</v>
      </c>
      <c r="I37" s="32"/>
      <c r="J37" s="33"/>
    </row>
    <row r="38" spans="1:10" ht="30" customHeight="1" x14ac:dyDescent="0.3">
      <c r="A38" s="9"/>
      <c r="B38" s="71" t="s">
        <v>57</v>
      </c>
      <c r="C38" s="72"/>
      <c r="D38" s="73"/>
      <c r="E38" s="20">
        <v>6</v>
      </c>
      <c r="F38" s="21"/>
      <c r="G38" s="22"/>
      <c r="H38" s="23" t="str">
        <f t="shared" si="0"/>
        <v>راسب</v>
      </c>
      <c r="I38" s="32"/>
      <c r="J38" s="33"/>
    </row>
    <row r="39" spans="1:10" ht="39.9" customHeight="1" x14ac:dyDescent="0.3">
      <c r="A39" s="9"/>
      <c r="B39" s="71" t="s">
        <v>58</v>
      </c>
      <c r="C39" s="72"/>
      <c r="D39" s="73"/>
      <c r="E39" s="20">
        <v>6</v>
      </c>
      <c r="F39" s="21"/>
      <c r="G39" s="22"/>
      <c r="H39" s="23" t="str">
        <f t="shared" si="0"/>
        <v>راسب</v>
      </c>
      <c r="I39" s="32"/>
      <c r="J39" s="33"/>
    </row>
    <row r="40" spans="1:10" ht="39.9" customHeight="1" x14ac:dyDescent="0.3">
      <c r="A40" s="9"/>
      <c r="B40" s="71" t="s">
        <v>59</v>
      </c>
      <c r="C40" s="72"/>
      <c r="D40" s="73"/>
      <c r="E40" s="20">
        <v>6</v>
      </c>
      <c r="F40" s="21"/>
      <c r="G40" s="22"/>
      <c r="H40" s="23" t="str">
        <f t="shared" si="0"/>
        <v>راسب</v>
      </c>
      <c r="I40" s="32"/>
      <c r="J40" s="33"/>
    </row>
    <row r="41" spans="1:10" ht="30" customHeight="1" x14ac:dyDescent="0.3">
      <c r="A41" s="9"/>
      <c r="B41" s="71" t="s">
        <v>60</v>
      </c>
      <c r="C41" s="72"/>
      <c r="D41" s="73"/>
      <c r="E41" s="20">
        <v>6</v>
      </c>
      <c r="F41" s="21"/>
      <c r="G41" s="22"/>
      <c r="H41" s="23" t="str">
        <f t="shared" si="0"/>
        <v>راسب</v>
      </c>
      <c r="I41" s="32"/>
      <c r="J41" s="33"/>
    </row>
    <row r="42" spans="1:10" ht="30" customHeight="1" x14ac:dyDescent="0.3">
      <c r="A42" s="9"/>
      <c r="B42" s="71" t="s">
        <v>61</v>
      </c>
      <c r="C42" s="72"/>
      <c r="D42" s="73"/>
      <c r="E42" s="20">
        <v>6</v>
      </c>
      <c r="F42" s="21"/>
      <c r="G42" s="22"/>
      <c r="H42" s="23" t="str">
        <f t="shared" si="0"/>
        <v>راسب</v>
      </c>
      <c r="I42" s="32"/>
      <c r="J42" s="33"/>
    </row>
    <row r="43" spans="1:10" ht="30" customHeight="1" x14ac:dyDescent="0.3">
      <c r="A43" s="9"/>
      <c r="B43" s="71" t="s">
        <v>62</v>
      </c>
      <c r="C43" s="72"/>
      <c r="D43" s="73"/>
      <c r="E43" s="20">
        <v>6</v>
      </c>
      <c r="F43" s="21"/>
      <c r="G43" s="22"/>
      <c r="H43" s="23" t="str">
        <f t="shared" si="0"/>
        <v>راسب</v>
      </c>
      <c r="I43" s="32"/>
      <c r="J43" s="33"/>
    </row>
    <row r="44" spans="1:10" ht="30" customHeight="1" x14ac:dyDescent="0.3">
      <c r="A44" s="9"/>
      <c r="B44" s="71" t="s">
        <v>63</v>
      </c>
      <c r="C44" s="72"/>
      <c r="D44" s="73"/>
      <c r="E44" s="20">
        <v>6</v>
      </c>
      <c r="F44" s="21"/>
      <c r="G44" s="22"/>
      <c r="H44" s="23" t="str">
        <f t="shared" si="0"/>
        <v>راسب</v>
      </c>
      <c r="I44" s="32"/>
      <c r="J44" s="33"/>
    </row>
    <row r="45" spans="1:10" ht="30" customHeight="1" x14ac:dyDescent="0.3">
      <c r="A45" s="9"/>
      <c r="B45" s="71" t="s">
        <v>64</v>
      </c>
      <c r="C45" s="72"/>
      <c r="D45" s="73"/>
      <c r="E45" s="20">
        <v>6</v>
      </c>
      <c r="F45" s="21"/>
      <c r="G45" s="22"/>
      <c r="H45" s="23" t="str">
        <f t="shared" si="0"/>
        <v>راسب</v>
      </c>
      <c r="I45" s="32"/>
      <c r="J45" s="33"/>
    </row>
    <row r="46" spans="1:10" ht="39.9" customHeight="1" thickBot="1" x14ac:dyDescent="0.35">
      <c r="A46" s="9"/>
      <c r="B46" s="74" t="s">
        <v>65</v>
      </c>
      <c r="C46" s="75"/>
      <c r="D46" s="76"/>
      <c r="E46" s="24">
        <v>10</v>
      </c>
      <c r="F46" s="25"/>
      <c r="G46" s="26"/>
      <c r="H46" s="27" t="str">
        <f t="shared" si="0"/>
        <v>راسب</v>
      </c>
      <c r="I46" s="34"/>
      <c r="J46" s="35"/>
    </row>
    <row r="47" spans="1:10" ht="30" customHeight="1" x14ac:dyDescent="0.3">
      <c r="A47" s="9"/>
      <c r="B47" s="68" t="s">
        <v>66</v>
      </c>
      <c r="C47" s="69"/>
      <c r="D47" s="70"/>
      <c r="E47" s="16"/>
      <c r="F47" s="17"/>
      <c r="G47" s="18"/>
      <c r="H47" s="19"/>
      <c r="I47" s="36"/>
      <c r="J47" s="37"/>
    </row>
    <row r="48" spans="1:10" ht="39.9" customHeight="1" x14ac:dyDescent="0.3">
      <c r="A48" s="9"/>
      <c r="B48" s="71" t="s">
        <v>67</v>
      </c>
      <c r="C48" s="72"/>
      <c r="D48" s="73"/>
      <c r="E48" s="20">
        <v>10</v>
      </c>
      <c r="F48" s="21"/>
      <c r="G48" s="22"/>
      <c r="H48" s="23" t="str">
        <f t="shared" si="0"/>
        <v>راسب</v>
      </c>
      <c r="I48" s="32"/>
      <c r="J48" s="33"/>
    </row>
    <row r="49" spans="1:10" ht="39.9" customHeight="1" x14ac:dyDescent="0.3">
      <c r="A49" s="9"/>
      <c r="B49" s="71" t="s">
        <v>68</v>
      </c>
      <c r="C49" s="72"/>
      <c r="D49" s="73"/>
      <c r="E49" s="20">
        <v>10</v>
      </c>
      <c r="F49" s="21"/>
      <c r="G49" s="22"/>
      <c r="H49" s="23" t="str">
        <f t="shared" si="0"/>
        <v>راسب</v>
      </c>
      <c r="I49" s="32"/>
      <c r="J49" s="33"/>
    </row>
    <row r="50" spans="1:10" ht="39.9" customHeight="1" x14ac:dyDescent="0.3">
      <c r="A50" s="9"/>
      <c r="B50" s="71" t="s">
        <v>69</v>
      </c>
      <c r="C50" s="72"/>
      <c r="D50" s="73"/>
      <c r="E50" s="20">
        <v>8</v>
      </c>
      <c r="F50" s="21"/>
      <c r="G50" s="22"/>
      <c r="H50" s="23" t="str">
        <f t="shared" si="0"/>
        <v>راسب</v>
      </c>
      <c r="I50" s="32"/>
      <c r="J50" s="33"/>
    </row>
    <row r="51" spans="1:10" ht="39.9" customHeight="1" x14ac:dyDescent="0.3">
      <c r="A51" s="9"/>
      <c r="B51" s="71" t="s">
        <v>70</v>
      </c>
      <c r="C51" s="72"/>
      <c r="D51" s="73"/>
      <c r="E51" s="20">
        <v>8</v>
      </c>
      <c r="F51" s="21"/>
      <c r="G51" s="22"/>
      <c r="H51" s="23" t="str">
        <f t="shared" si="0"/>
        <v>راسب</v>
      </c>
      <c r="I51" s="32"/>
      <c r="J51" s="33"/>
    </row>
    <row r="52" spans="1:10" ht="30" customHeight="1" x14ac:dyDescent="0.3">
      <c r="A52" s="9"/>
      <c r="B52" s="71" t="s">
        <v>71</v>
      </c>
      <c r="C52" s="72"/>
      <c r="D52" s="73"/>
      <c r="E52" s="20">
        <v>8</v>
      </c>
      <c r="F52" s="21"/>
      <c r="G52" s="22"/>
      <c r="H52" s="23" t="str">
        <f t="shared" si="0"/>
        <v>راسب</v>
      </c>
      <c r="I52" s="32"/>
      <c r="J52" s="33"/>
    </row>
    <row r="53" spans="1:10" ht="30" customHeight="1" thickBot="1" x14ac:dyDescent="0.35">
      <c r="A53" s="9"/>
      <c r="B53" s="74" t="s">
        <v>72</v>
      </c>
      <c r="C53" s="75"/>
      <c r="D53" s="76"/>
      <c r="E53" s="24">
        <v>8</v>
      </c>
      <c r="F53" s="25"/>
      <c r="G53" s="26"/>
      <c r="H53" s="27" t="str">
        <f t="shared" si="0"/>
        <v>راسب</v>
      </c>
      <c r="I53" s="34"/>
      <c r="J53" s="35"/>
    </row>
    <row r="54" spans="1:10" ht="30" customHeight="1" x14ac:dyDescent="0.3">
      <c r="A54" s="9"/>
      <c r="B54" s="68" t="s">
        <v>73</v>
      </c>
      <c r="C54" s="69"/>
      <c r="D54" s="70"/>
      <c r="E54" s="16"/>
      <c r="F54" s="17"/>
      <c r="G54" s="18"/>
      <c r="H54" s="19"/>
      <c r="I54" s="36"/>
      <c r="J54" s="37"/>
    </row>
    <row r="55" spans="1:10" ht="39.9" customHeight="1" x14ac:dyDescent="0.3">
      <c r="A55" s="9"/>
      <c r="B55" s="71" t="s">
        <v>74</v>
      </c>
      <c r="C55" s="72"/>
      <c r="D55" s="73"/>
      <c r="E55" s="20">
        <v>10</v>
      </c>
      <c r="F55" s="21"/>
      <c r="G55" s="22"/>
      <c r="H55" s="23" t="str">
        <f t="shared" si="0"/>
        <v>راسب</v>
      </c>
      <c r="I55" s="32"/>
      <c r="J55" s="33"/>
    </row>
    <row r="56" spans="1:10" ht="30" customHeight="1" x14ac:dyDescent="0.3">
      <c r="A56" s="9"/>
      <c r="B56" s="71" t="s">
        <v>75</v>
      </c>
      <c r="C56" s="72"/>
      <c r="D56" s="73"/>
      <c r="E56" s="20">
        <v>8</v>
      </c>
      <c r="F56" s="21"/>
      <c r="G56" s="22"/>
      <c r="H56" s="23" t="str">
        <f t="shared" si="0"/>
        <v>راسب</v>
      </c>
      <c r="I56" s="32"/>
      <c r="J56" s="33"/>
    </row>
    <row r="57" spans="1:10" ht="30" customHeight="1" x14ac:dyDescent="0.3">
      <c r="A57" s="9"/>
      <c r="B57" s="71" t="s">
        <v>76</v>
      </c>
      <c r="C57" s="72"/>
      <c r="D57" s="73"/>
      <c r="E57" s="20">
        <v>8</v>
      </c>
      <c r="F57" s="21"/>
      <c r="G57" s="22"/>
      <c r="H57" s="23" t="str">
        <f t="shared" si="0"/>
        <v>راسب</v>
      </c>
      <c r="I57" s="32"/>
      <c r="J57" s="33"/>
    </row>
    <row r="58" spans="1:10" ht="30" customHeight="1" thickBot="1" x14ac:dyDescent="0.35">
      <c r="A58" s="9"/>
      <c r="B58" s="74" t="s">
        <v>77</v>
      </c>
      <c r="C58" s="75"/>
      <c r="D58" s="76"/>
      <c r="E58" s="24">
        <v>8</v>
      </c>
      <c r="F58" s="25"/>
      <c r="G58" s="26"/>
      <c r="H58" s="27" t="str">
        <f t="shared" si="0"/>
        <v>راسب</v>
      </c>
      <c r="I58" s="34"/>
      <c r="J58" s="35"/>
    </row>
    <row r="59" spans="1:10" ht="30" customHeight="1" x14ac:dyDescent="0.3">
      <c r="A59" s="9"/>
      <c r="B59" s="68" t="s">
        <v>78</v>
      </c>
      <c r="C59" s="69"/>
      <c r="D59" s="70"/>
      <c r="E59" s="16"/>
      <c r="F59" s="17"/>
      <c r="G59" s="18"/>
      <c r="H59" s="19"/>
      <c r="I59" s="36"/>
      <c r="J59" s="37"/>
    </row>
    <row r="60" spans="1:10" ht="30" customHeight="1" x14ac:dyDescent="0.3">
      <c r="A60" s="9"/>
      <c r="B60" s="71" t="s">
        <v>79</v>
      </c>
      <c r="C60" s="72"/>
      <c r="D60" s="73"/>
      <c r="E60" s="20">
        <v>5</v>
      </c>
      <c r="F60" s="21"/>
      <c r="G60" s="22"/>
      <c r="H60" s="23" t="str">
        <f t="shared" si="0"/>
        <v>راسب</v>
      </c>
      <c r="I60" s="32"/>
      <c r="J60" s="33"/>
    </row>
    <row r="61" spans="1:10" ht="30" customHeight="1" x14ac:dyDescent="0.3">
      <c r="A61" s="9"/>
      <c r="B61" s="71" t="s">
        <v>80</v>
      </c>
      <c r="C61" s="72"/>
      <c r="D61" s="73"/>
      <c r="E61" s="20">
        <v>5</v>
      </c>
      <c r="F61" s="21"/>
      <c r="G61" s="22"/>
      <c r="H61" s="23" t="str">
        <f t="shared" si="0"/>
        <v>راسب</v>
      </c>
      <c r="I61" s="32"/>
      <c r="J61" s="33"/>
    </row>
    <row r="62" spans="1:10" ht="30" customHeight="1" x14ac:dyDescent="0.3">
      <c r="A62" s="9"/>
      <c r="B62" s="71" t="s">
        <v>81</v>
      </c>
      <c r="C62" s="72"/>
      <c r="D62" s="73"/>
      <c r="E62" s="20">
        <v>5</v>
      </c>
      <c r="F62" s="21"/>
      <c r="G62" s="22"/>
      <c r="H62" s="23" t="str">
        <f t="shared" si="0"/>
        <v>راسب</v>
      </c>
      <c r="I62" s="32"/>
      <c r="J62" s="33"/>
    </row>
    <row r="63" spans="1:10" ht="30" customHeight="1" x14ac:dyDescent="0.3">
      <c r="A63" s="9"/>
      <c r="B63" s="71" t="s">
        <v>82</v>
      </c>
      <c r="C63" s="72"/>
      <c r="D63" s="73"/>
      <c r="E63" s="20">
        <v>5</v>
      </c>
      <c r="F63" s="21"/>
      <c r="G63" s="22"/>
      <c r="H63" s="23" t="str">
        <f t="shared" si="0"/>
        <v>راسب</v>
      </c>
      <c r="I63" s="32"/>
      <c r="J63" s="33"/>
    </row>
    <row r="64" spans="1:10" ht="30" customHeight="1" x14ac:dyDescent="0.3">
      <c r="A64" s="9"/>
      <c r="B64" s="71" t="s">
        <v>83</v>
      </c>
      <c r="C64" s="72"/>
      <c r="D64" s="73"/>
      <c r="E64" s="20">
        <v>5</v>
      </c>
      <c r="F64" s="21"/>
      <c r="G64" s="22"/>
      <c r="H64" s="23" t="str">
        <f t="shared" si="0"/>
        <v>راسب</v>
      </c>
      <c r="I64" s="32"/>
      <c r="J64" s="33"/>
    </row>
    <row r="65" spans="1:10" ht="30" customHeight="1" x14ac:dyDescent="0.3">
      <c r="A65" s="9"/>
      <c r="B65" s="71" t="s">
        <v>84</v>
      </c>
      <c r="C65" s="72"/>
      <c r="D65" s="73"/>
      <c r="E65" s="20">
        <v>5</v>
      </c>
      <c r="F65" s="21"/>
      <c r="G65" s="22"/>
      <c r="H65" s="23" t="str">
        <f t="shared" si="0"/>
        <v>راسب</v>
      </c>
      <c r="I65" s="32"/>
      <c r="J65" s="33"/>
    </row>
    <row r="66" spans="1:10" ht="30" customHeight="1" x14ac:dyDescent="0.3">
      <c r="A66" s="9"/>
      <c r="B66" s="71" t="s">
        <v>85</v>
      </c>
      <c r="C66" s="72"/>
      <c r="D66" s="73"/>
      <c r="E66" s="20">
        <v>5</v>
      </c>
      <c r="F66" s="21"/>
      <c r="G66" s="22"/>
      <c r="H66" s="23" t="str">
        <f t="shared" si="0"/>
        <v>راسب</v>
      </c>
      <c r="I66" s="32"/>
      <c r="J66" s="33"/>
    </row>
    <row r="67" spans="1:10" ht="30" customHeight="1" x14ac:dyDescent="0.3">
      <c r="A67" s="9"/>
      <c r="B67" s="71" t="s">
        <v>86</v>
      </c>
      <c r="C67" s="72"/>
      <c r="D67" s="73"/>
      <c r="E67" s="20">
        <v>5</v>
      </c>
      <c r="F67" s="21"/>
      <c r="G67" s="22"/>
      <c r="H67" s="23" t="str">
        <f t="shared" si="0"/>
        <v>راسب</v>
      </c>
      <c r="I67" s="32"/>
      <c r="J67" s="33"/>
    </row>
    <row r="68" spans="1:10" ht="30" customHeight="1" x14ac:dyDescent="0.3">
      <c r="A68" s="9"/>
      <c r="B68" s="71" t="s">
        <v>87</v>
      </c>
      <c r="C68" s="72"/>
      <c r="D68" s="73"/>
      <c r="E68" s="20">
        <v>5</v>
      </c>
      <c r="F68" s="21"/>
      <c r="G68" s="22"/>
      <c r="H68" s="23" t="str">
        <f t="shared" si="0"/>
        <v>راسب</v>
      </c>
      <c r="I68" s="32"/>
      <c r="J68" s="33"/>
    </row>
    <row r="69" spans="1:10" ht="30" customHeight="1" x14ac:dyDescent="0.3">
      <c r="A69" s="9"/>
      <c r="B69" s="71" t="s">
        <v>88</v>
      </c>
      <c r="C69" s="72"/>
      <c r="D69" s="73"/>
      <c r="E69" s="20">
        <v>5</v>
      </c>
      <c r="F69" s="21"/>
      <c r="G69" s="22"/>
      <c r="H69" s="23" t="str">
        <f t="shared" si="0"/>
        <v>راسب</v>
      </c>
      <c r="I69" s="32"/>
      <c r="J69" s="33"/>
    </row>
    <row r="70" spans="1:10" ht="30" customHeight="1" x14ac:dyDescent="0.3">
      <c r="A70" s="9"/>
      <c r="B70" s="71" t="s">
        <v>89</v>
      </c>
      <c r="C70" s="72"/>
      <c r="D70" s="73"/>
      <c r="E70" s="20">
        <v>5</v>
      </c>
      <c r="F70" s="21"/>
      <c r="G70" s="22"/>
      <c r="H70" s="23" t="str">
        <f t="shared" si="0"/>
        <v>راسب</v>
      </c>
      <c r="I70" s="32"/>
      <c r="J70" s="33"/>
    </row>
    <row r="71" spans="1:10" ht="30" customHeight="1" x14ac:dyDescent="0.3">
      <c r="A71" s="9"/>
      <c r="B71" s="71" t="s">
        <v>90</v>
      </c>
      <c r="C71" s="72"/>
      <c r="D71" s="73"/>
      <c r="E71" s="20">
        <v>5</v>
      </c>
      <c r="F71" s="21"/>
      <c r="G71" s="22"/>
      <c r="H71" s="23" t="str">
        <f t="shared" si="0"/>
        <v>راسب</v>
      </c>
      <c r="I71" s="32"/>
      <c r="J71" s="33"/>
    </row>
    <row r="72" spans="1:10" ht="30" customHeight="1" x14ac:dyDescent="0.3">
      <c r="A72" s="9"/>
      <c r="B72" s="71" t="s">
        <v>91</v>
      </c>
      <c r="C72" s="72"/>
      <c r="D72" s="73"/>
      <c r="E72" s="20">
        <v>5</v>
      </c>
      <c r="F72" s="21"/>
      <c r="G72" s="22"/>
      <c r="H72" s="23" t="str">
        <f t="shared" si="0"/>
        <v>راسب</v>
      </c>
      <c r="I72" s="32"/>
      <c r="J72" s="33"/>
    </row>
    <row r="73" spans="1:10" ht="30" customHeight="1" thickBot="1" x14ac:dyDescent="0.35">
      <c r="A73" s="9"/>
      <c r="B73" s="74" t="s">
        <v>92</v>
      </c>
      <c r="C73" s="75"/>
      <c r="D73" s="76"/>
      <c r="E73" s="24">
        <v>5</v>
      </c>
      <c r="F73" s="25"/>
      <c r="G73" s="26"/>
      <c r="H73" s="27" t="str">
        <f t="shared" si="0"/>
        <v>راسب</v>
      </c>
      <c r="I73" s="34"/>
      <c r="J73" s="35"/>
    </row>
    <row r="74" spans="1:10" ht="30" customHeight="1" x14ac:dyDescent="0.3">
      <c r="A74" s="9"/>
      <c r="B74" s="68" t="s">
        <v>93</v>
      </c>
      <c r="C74" s="69"/>
      <c r="D74" s="70"/>
      <c r="E74" s="16"/>
      <c r="F74" s="17"/>
      <c r="G74" s="18"/>
      <c r="H74" s="19"/>
      <c r="I74" s="36"/>
      <c r="J74" s="37"/>
    </row>
    <row r="75" spans="1:10" ht="30" customHeight="1" x14ac:dyDescent="0.3">
      <c r="A75" s="9"/>
      <c r="B75" s="71" t="s">
        <v>94</v>
      </c>
      <c r="C75" s="72"/>
      <c r="D75" s="73"/>
      <c r="E75" s="20">
        <v>5</v>
      </c>
      <c r="F75" s="21"/>
      <c r="G75" s="22"/>
      <c r="H75" s="23" t="str">
        <f t="shared" ref="H75:H92" si="1">_xlfn.IFS(F75="أدخل العلامة","",F75="لا ينطبق","تم الإلغاء",G75&gt;=90%,"ممتاز",G75&gt;=80%,"جيد جداً",G75&gt;=70%,"جيد",G75&gt;=60%,"مقبول",G75&lt;60%,"راسب")</f>
        <v>راسب</v>
      </c>
      <c r="I75" s="32"/>
      <c r="J75" s="33"/>
    </row>
    <row r="76" spans="1:10" ht="30" customHeight="1" x14ac:dyDescent="0.3">
      <c r="A76" s="9"/>
      <c r="B76" s="71" t="s">
        <v>95</v>
      </c>
      <c r="C76" s="72"/>
      <c r="D76" s="73"/>
      <c r="E76" s="20">
        <v>5</v>
      </c>
      <c r="F76" s="21"/>
      <c r="G76" s="22"/>
      <c r="H76" s="23" t="str">
        <f t="shared" si="1"/>
        <v>راسب</v>
      </c>
      <c r="I76" s="32"/>
      <c r="J76" s="33"/>
    </row>
    <row r="77" spans="1:10" ht="30" customHeight="1" x14ac:dyDescent="0.3">
      <c r="A77" s="9"/>
      <c r="B77" s="71" t="s">
        <v>96</v>
      </c>
      <c r="C77" s="72"/>
      <c r="D77" s="73"/>
      <c r="E77" s="20">
        <v>5</v>
      </c>
      <c r="F77" s="21"/>
      <c r="G77" s="22"/>
      <c r="H77" s="23" t="str">
        <f t="shared" si="1"/>
        <v>راسب</v>
      </c>
      <c r="I77" s="32"/>
      <c r="J77" s="33"/>
    </row>
    <row r="78" spans="1:10" ht="30" customHeight="1" x14ac:dyDescent="0.3">
      <c r="A78" s="9"/>
      <c r="B78" s="71" t="s">
        <v>97</v>
      </c>
      <c r="C78" s="72"/>
      <c r="D78" s="73"/>
      <c r="E78" s="20">
        <v>5</v>
      </c>
      <c r="F78" s="21"/>
      <c r="G78" s="22"/>
      <c r="H78" s="23" t="str">
        <f t="shared" si="1"/>
        <v>راسب</v>
      </c>
      <c r="I78" s="32"/>
      <c r="J78" s="33"/>
    </row>
    <row r="79" spans="1:10" ht="30" customHeight="1" x14ac:dyDescent="0.3">
      <c r="A79" s="9"/>
      <c r="B79" s="71" t="s">
        <v>98</v>
      </c>
      <c r="C79" s="72"/>
      <c r="D79" s="73"/>
      <c r="E79" s="20">
        <v>5</v>
      </c>
      <c r="F79" s="21"/>
      <c r="G79" s="22"/>
      <c r="H79" s="23" t="str">
        <f t="shared" si="1"/>
        <v>راسب</v>
      </c>
      <c r="I79" s="32"/>
      <c r="J79" s="33"/>
    </row>
    <row r="80" spans="1:10" ht="30" customHeight="1" x14ac:dyDescent="0.3">
      <c r="A80" s="9"/>
      <c r="B80" s="71" t="s">
        <v>99</v>
      </c>
      <c r="C80" s="72"/>
      <c r="D80" s="73"/>
      <c r="E80" s="20">
        <v>5</v>
      </c>
      <c r="F80" s="21"/>
      <c r="G80" s="22"/>
      <c r="H80" s="23" t="str">
        <f t="shared" si="1"/>
        <v>راسب</v>
      </c>
      <c r="I80" s="32"/>
      <c r="J80" s="33"/>
    </row>
    <row r="81" spans="1:10" ht="30" customHeight="1" x14ac:dyDescent="0.3">
      <c r="A81" s="9"/>
      <c r="B81" s="71" t="s">
        <v>100</v>
      </c>
      <c r="C81" s="72"/>
      <c r="D81" s="73"/>
      <c r="E81" s="20">
        <v>5</v>
      </c>
      <c r="F81" s="21"/>
      <c r="G81" s="22"/>
      <c r="H81" s="23" t="str">
        <f t="shared" si="1"/>
        <v>راسب</v>
      </c>
      <c r="I81" s="32"/>
      <c r="J81" s="33"/>
    </row>
    <row r="82" spans="1:10" ht="30" customHeight="1" x14ac:dyDescent="0.3">
      <c r="A82" s="9"/>
      <c r="B82" s="71" t="s">
        <v>101</v>
      </c>
      <c r="C82" s="72"/>
      <c r="D82" s="73"/>
      <c r="E82" s="20">
        <v>5</v>
      </c>
      <c r="F82" s="21"/>
      <c r="G82" s="22"/>
      <c r="H82" s="23" t="str">
        <f t="shared" si="1"/>
        <v>راسب</v>
      </c>
      <c r="I82" s="32"/>
      <c r="J82" s="33"/>
    </row>
    <row r="83" spans="1:10" ht="30" customHeight="1" x14ac:dyDescent="0.3">
      <c r="A83" s="9"/>
      <c r="B83" s="71" t="s">
        <v>102</v>
      </c>
      <c r="C83" s="72"/>
      <c r="D83" s="73"/>
      <c r="E83" s="20">
        <v>5</v>
      </c>
      <c r="F83" s="21"/>
      <c r="G83" s="22"/>
      <c r="H83" s="23" t="str">
        <f t="shared" si="1"/>
        <v>راسب</v>
      </c>
      <c r="I83" s="32"/>
      <c r="J83" s="33"/>
    </row>
    <row r="84" spans="1:10" ht="30" customHeight="1" x14ac:dyDescent="0.3">
      <c r="A84" s="9"/>
      <c r="B84" s="71" t="s">
        <v>103</v>
      </c>
      <c r="C84" s="72"/>
      <c r="D84" s="73"/>
      <c r="E84" s="20">
        <v>5</v>
      </c>
      <c r="F84" s="21"/>
      <c r="G84" s="22"/>
      <c r="H84" s="23" t="str">
        <f t="shared" si="1"/>
        <v>راسب</v>
      </c>
      <c r="I84" s="32"/>
      <c r="J84" s="33"/>
    </row>
    <row r="85" spans="1:10" ht="30" customHeight="1" thickBot="1" x14ac:dyDescent="0.35">
      <c r="A85" s="9"/>
      <c r="B85" s="74" t="s">
        <v>104</v>
      </c>
      <c r="C85" s="75"/>
      <c r="D85" s="76"/>
      <c r="E85" s="24">
        <v>5</v>
      </c>
      <c r="F85" s="25"/>
      <c r="G85" s="26"/>
      <c r="H85" s="27" t="str">
        <f t="shared" si="1"/>
        <v>راسب</v>
      </c>
      <c r="I85" s="34"/>
      <c r="J85" s="35"/>
    </row>
    <row r="86" spans="1:10" ht="30" customHeight="1" x14ac:dyDescent="0.3">
      <c r="A86" s="9"/>
      <c r="B86" s="68" t="s">
        <v>105</v>
      </c>
      <c r="C86" s="69"/>
      <c r="D86" s="70"/>
      <c r="E86" s="16"/>
      <c r="F86" s="17"/>
      <c r="G86" s="18"/>
      <c r="H86" s="19"/>
      <c r="I86" s="36"/>
      <c r="J86" s="37"/>
    </row>
    <row r="87" spans="1:10" ht="39.9" customHeight="1" x14ac:dyDescent="0.3">
      <c r="A87" s="9"/>
      <c r="B87" s="71" t="s">
        <v>106</v>
      </c>
      <c r="C87" s="72"/>
      <c r="D87" s="73"/>
      <c r="E87" s="20">
        <v>5</v>
      </c>
      <c r="F87" s="21"/>
      <c r="G87" s="22"/>
      <c r="H87" s="23" t="str">
        <f t="shared" si="1"/>
        <v>راسب</v>
      </c>
      <c r="I87" s="32"/>
      <c r="J87" s="33"/>
    </row>
    <row r="88" spans="1:10" ht="30" customHeight="1" x14ac:dyDescent="0.3">
      <c r="A88" s="9"/>
      <c r="B88" s="71" t="s">
        <v>107</v>
      </c>
      <c r="C88" s="72"/>
      <c r="D88" s="73"/>
      <c r="E88" s="20">
        <v>5</v>
      </c>
      <c r="F88" s="21"/>
      <c r="G88" s="22"/>
      <c r="H88" s="23" t="str">
        <f t="shared" si="1"/>
        <v>راسب</v>
      </c>
      <c r="I88" s="32"/>
      <c r="J88" s="33"/>
    </row>
    <row r="89" spans="1:10" ht="30" customHeight="1" x14ac:dyDescent="0.3">
      <c r="A89" s="9"/>
      <c r="B89" s="71" t="s">
        <v>108</v>
      </c>
      <c r="C89" s="72"/>
      <c r="D89" s="73"/>
      <c r="E89" s="20">
        <v>5</v>
      </c>
      <c r="F89" s="21"/>
      <c r="G89" s="22"/>
      <c r="H89" s="23" t="str">
        <f t="shared" si="1"/>
        <v>راسب</v>
      </c>
      <c r="I89" s="32"/>
      <c r="J89" s="33"/>
    </row>
    <row r="90" spans="1:10" ht="39.9" customHeight="1" thickBot="1" x14ac:dyDescent="0.35">
      <c r="A90" s="9"/>
      <c r="B90" s="74" t="s">
        <v>109</v>
      </c>
      <c r="C90" s="75"/>
      <c r="D90" s="76"/>
      <c r="E90" s="24">
        <v>6</v>
      </c>
      <c r="F90" s="25"/>
      <c r="G90" s="26"/>
      <c r="H90" s="27" t="str">
        <f t="shared" si="1"/>
        <v>راسب</v>
      </c>
      <c r="I90" s="34"/>
      <c r="J90" s="35"/>
    </row>
    <row r="91" spans="1:10" ht="39.9" customHeight="1" thickBot="1" x14ac:dyDescent="0.35">
      <c r="A91" s="9"/>
      <c r="B91" s="65" t="s">
        <v>110</v>
      </c>
      <c r="C91" s="66"/>
      <c r="D91" s="67"/>
      <c r="E91" s="8">
        <v>8</v>
      </c>
      <c r="F91" s="14"/>
      <c r="G91" s="15"/>
      <c r="H91" s="13" t="str">
        <f t="shared" si="1"/>
        <v>راسب</v>
      </c>
      <c r="I91" s="28"/>
      <c r="J91" s="29"/>
    </row>
    <row r="92" spans="1:10" ht="30" customHeight="1" thickBot="1" x14ac:dyDescent="0.35">
      <c r="A92" s="9"/>
      <c r="B92" s="65" t="s">
        <v>111</v>
      </c>
      <c r="C92" s="66"/>
      <c r="D92" s="67"/>
      <c r="E92" s="8">
        <v>8</v>
      </c>
      <c r="F92" s="14"/>
      <c r="G92" s="15"/>
      <c r="H92" s="13" t="str">
        <f t="shared" si="1"/>
        <v>راسب</v>
      </c>
      <c r="I92" s="28"/>
      <c r="J92" s="29"/>
    </row>
    <row r="93" spans="1:10" ht="30" customHeight="1" thickBot="1" x14ac:dyDescent="0.35">
      <c r="A93" s="3"/>
      <c r="B93" s="30" t="s">
        <v>5</v>
      </c>
      <c r="C93" s="31"/>
      <c r="D93" s="31"/>
      <c r="E93" s="8">
        <f>SUM(E8:E92)</f>
        <v>470</v>
      </c>
      <c r="F93" s="8">
        <f>SUM(F8:F92)</f>
        <v>0</v>
      </c>
      <c r="G93" s="62"/>
      <c r="H93" s="63"/>
      <c r="I93" s="63"/>
      <c r="J93" s="64"/>
    </row>
    <row r="94" spans="1:10" ht="30" customHeight="1" thickBot="1" x14ac:dyDescent="0.35">
      <c r="A94" s="3"/>
      <c r="B94" s="30" t="s">
        <v>20</v>
      </c>
      <c r="C94" s="31"/>
      <c r="D94" s="31"/>
      <c r="E94" s="51">
        <f>F93/E93/100*100</f>
        <v>0</v>
      </c>
      <c r="F94" s="51"/>
      <c r="G94" s="51"/>
      <c r="H94" s="51"/>
      <c r="I94" s="51"/>
      <c r="J94" s="52"/>
    </row>
    <row r="95" spans="1:10" ht="30" customHeight="1" thickBot="1" x14ac:dyDescent="0.35">
      <c r="A95" s="3"/>
      <c r="B95" s="30" t="s">
        <v>21</v>
      </c>
      <c r="C95" s="31"/>
      <c r="D95" s="31"/>
      <c r="E95" s="42" t="str">
        <f>_xlfn.IFS(E94&gt;=90%,"ممتاز",E94&gt;=80%,"جيد جداً",E94&gt;=70%,"جيد",E94&gt;=60%,"مقبول",E94&lt;60%,"راسب")</f>
        <v>راسب</v>
      </c>
      <c r="F95" s="42"/>
      <c r="G95" s="42"/>
      <c r="H95" s="42"/>
      <c r="I95" s="42"/>
      <c r="J95" s="43"/>
    </row>
    <row r="96" spans="1:10" ht="42" customHeight="1" x14ac:dyDescent="0.3">
      <c r="B96" s="38" t="s">
        <v>26</v>
      </c>
      <c r="C96" s="38"/>
      <c r="D96" s="38"/>
      <c r="E96" s="60" t="s">
        <v>18</v>
      </c>
      <c r="F96" s="60"/>
      <c r="G96" s="40" t="s">
        <v>24</v>
      </c>
      <c r="H96" s="40"/>
      <c r="I96" s="40"/>
      <c r="J96" s="40"/>
    </row>
    <row r="97" spans="1:10" ht="51" customHeight="1" x14ac:dyDescent="0.3">
      <c r="A97" s="4"/>
      <c r="B97" s="39"/>
      <c r="C97" s="39"/>
      <c r="D97" s="39"/>
      <c r="E97" s="61" t="s">
        <v>19</v>
      </c>
      <c r="F97" s="61"/>
      <c r="G97" s="41"/>
      <c r="H97" s="41"/>
      <c r="I97" s="41"/>
      <c r="J97" s="41"/>
    </row>
  </sheetData>
  <sheetProtection formatCells="0" formatColumns="0" formatRows="0" insertColumns="0" insertRows="0" insertHyperlinks="0" deleteColumns="0" deleteRows="0" selectLockedCells="1" sort="0" autoFilter="0" pivotTables="0"/>
  <mergeCells count="191">
    <mergeCell ref="B76:D76"/>
    <mergeCell ref="B77:D77"/>
    <mergeCell ref="B78:D78"/>
    <mergeCell ref="B79:D79"/>
    <mergeCell ref="B89:D89"/>
    <mergeCell ref="B90:D90"/>
    <mergeCell ref="B91:D91"/>
    <mergeCell ref="B92:D92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I36:J36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I23:J23"/>
    <mergeCell ref="I24:J24"/>
    <mergeCell ref="I25:J25"/>
    <mergeCell ref="I26:J26"/>
    <mergeCell ref="I27:J27"/>
    <mergeCell ref="I32:J32"/>
    <mergeCell ref="I33:J33"/>
    <mergeCell ref="I34:J34"/>
    <mergeCell ref="I35:J35"/>
    <mergeCell ref="E96:F96"/>
    <mergeCell ref="E97:F97"/>
    <mergeCell ref="G93:J93"/>
    <mergeCell ref="I45:J45"/>
    <mergeCell ref="I46:J46"/>
    <mergeCell ref="I47:J47"/>
    <mergeCell ref="I48:J48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76:J76"/>
    <mergeCell ref="I77:J77"/>
    <mergeCell ref="I78:J78"/>
    <mergeCell ref="B1:J1"/>
    <mergeCell ref="F2:J2"/>
    <mergeCell ref="B5:D6"/>
    <mergeCell ref="C2:D2"/>
    <mergeCell ref="C3:D3"/>
    <mergeCell ref="F3:J3"/>
    <mergeCell ref="E94:J94"/>
    <mergeCell ref="B7:D7"/>
    <mergeCell ref="I38:J38"/>
    <mergeCell ref="I39:J39"/>
    <mergeCell ref="I84:J84"/>
    <mergeCell ref="I85:J85"/>
    <mergeCell ref="I86:J86"/>
    <mergeCell ref="I87:J87"/>
    <mergeCell ref="I88:J88"/>
    <mergeCell ref="I90:J90"/>
    <mergeCell ref="I91:J91"/>
    <mergeCell ref="I30:J30"/>
    <mergeCell ref="I31:J31"/>
    <mergeCell ref="E5:H5"/>
    <mergeCell ref="I37:J37"/>
    <mergeCell ref="I5:J6"/>
    <mergeCell ref="I7:J7"/>
    <mergeCell ref="I10:J10"/>
    <mergeCell ref="B96:D97"/>
    <mergeCell ref="G96:J96"/>
    <mergeCell ref="G97:J97"/>
    <mergeCell ref="E95:J95"/>
    <mergeCell ref="I40:J40"/>
    <mergeCell ref="I41:J41"/>
    <mergeCell ref="I42:J42"/>
    <mergeCell ref="I43:J43"/>
    <mergeCell ref="I44:J44"/>
    <mergeCell ref="I80:J80"/>
    <mergeCell ref="I81:J81"/>
    <mergeCell ref="I82:J82"/>
    <mergeCell ref="I83:J83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92:J92"/>
    <mergeCell ref="I8:J8"/>
    <mergeCell ref="B93:D93"/>
    <mergeCell ref="B94:D94"/>
    <mergeCell ref="B95:D95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89:J89"/>
    <mergeCell ref="I9:J9"/>
    <mergeCell ref="I79:J79"/>
    <mergeCell ref="I19:J19"/>
    <mergeCell ref="I20:J20"/>
    <mergeCell ref="I21:J21"/>
    <mergeCell ref="I22:J22"/>
  </mergeCells>
  <conditionalFormatting sqref="E95">
    <cfRule type="expression" dxfId="23" priority="57">
      <formula>$E95="راسب"</formula>
    </cfRule>
  </conditionalFormatting>
  <conditionalFormatting sqref="E95:J95">
    <cfRule type="expression" dxfId="22" priority="58">
      <formula>$E95="مقبول"</formula>
    </cfRule>
    <cfRule type="expression" dxfId="21" priority="59">
      <formula>$E95="جيد"</formula>
    </cfRule>
    <cfRule type="expression" dxfId="20" priority="60">
      <formula>$E95="جيد جداً"</formula>
    </cfRule>
    <cfRule type="expression" dxfId="19" priority="61">
      <formula>$E95="ممتاز"</formula>
    </cfRule>
  </conditionalFormatting>
  <conditionalFormatting sqref="H8 H10:H92">
    <cfRule type="containsText" dxfId="18" priority="39" operator="containsText" text="ممتاز">
      <formula>NOT(ISERROR(SEARCH("ممتاز",H8)))</formula>
    </cfRule>
    <cfRule type="containsText" dxfId="17" priority="40" operator="containsText" text="جيد جداً">
      <formula>NOT(ISERROR(SEARCH("جيد جداً",H8)))</formula>
    </cfRule>
    <cfRule type="containsText" dxfId="16" priority="41" operator="containsText" text="جيد">
      <formula>NOT(ISERROR(SEARCH("جيد",H8)))</formula>
    </cfRule>
    <cfRule type="containsText" dxfId="15" priority="42" operator="containsText" text="مقبول">
      <formula>NOT(ISERROR(SEARCH("مقبول",H8)))</formula>
    </cfRule>
    <cfRule type="containsText" dxfId="14" priority="43" operator="containsText" text="راسب">
      <formula>NOT(ISERROR(SEARCH("راسب",H8)))</formula>
    </cfRule>
  </conditionalFormatting>
  <conditionalFormatting sqref="H8 H10:H92">
    <cfRule type="containsText" dxfId="13" priority="38" operator="containsText" text="أدخل العلامة">
      <formula>NOT(ISERROR(SEARCH("أدخل العلامة",H8)))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96:J96">
    <cfRule type="containsText" dxfId="8" priority="15" operator="containsText" text="أدخل اسم المحكم">
      <formula>NOT(ISERROR(SEARCH("أدخل اسم المحكم",G96)))</formula>
    </cfRule>
  </conditionalFormatting>
  <conditionalFormatting sqref="F8 F10:F92">
    <cfRule type="containsText" dxfId="7" priority="14" operator="containsText" text="أدخل العلامة">
      <formula>NOT(ISERROR(SEARCH("أدخل العلامة",F8)))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dataValidations count="2">
    <dataValidation type="list" allowBlank="1" showInputMessage="1" showErrorMessage="1" sqref="F2:J2" xr:uid="{F27846E5-4775-4613-AD3F-6A647663FDD7}">
      <formula1>#REF!</formula1>
    </dataValidation>
    <dataValidation type="list" allowBlank="1" showInputMessage="1" showErrorMessage="1" sqref="F8 F34:F46 F48:F53 F55:F58 C2:D3 G96:J96 F3:J3 F75:F85 F60:F73 F87:F92 F23:F32 F10:F21" xr:uid="{29F5EBBB-8CF0-4EBC-9568-49582573F3A1}">
      <formula1>#REF!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rowBreaks count="1" manualBreakCount="1">
    <brk id="32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2026-08-28T14:28:35Z</dcterms:modified>
</cp:coreProperties>
</file>