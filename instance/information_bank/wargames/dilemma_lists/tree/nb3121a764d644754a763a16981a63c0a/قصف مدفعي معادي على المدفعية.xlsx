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A4F67B4-988A-49DB-9D76-3F8C3516C80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التقييم'!$A$1:$J$54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2" l="1"/>
  <c r="G46" i="2"/>
  <c r="H46" i="2" s="1"/>
  <c r="G45" i="2"/>
  <c r="H45" i="2" s="1"/>
  <c r="G44" i="2"/>
  <c r="H44" i="2" s="1"/>
  <c r="G43" i="2"/>
  <c r="H43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4" i="2" l="1"/>
  <c r="H34" i="2" s="1"/>
  <c r="G33" i="2"/>
  <c r="H33" i="2" s="1"/>
  <c r="G32" i="2"/>
  <c r="H32" i="2" s="1"/>
  <c r="G30" i="2" l="1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19" i="2"/>
  <c r="H19" i="2" s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F47" i="2" l="1"/>
  <c r="E48" i="2" l="1"/>
  <c r="E49" i="2" s="1"/>
</calcChain>
</file>

<file path=xl/sharedStrings.xml><?xml version="1.0" encoding="utf-8"?>
<sst xmlns="http://schemas.openxmlformats.org/spreadsheetml/2006/main" count="318" uniqueCount="228">
  <si>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</si>
  <si>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</si>
  <si>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</si>
  <si>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</si>
  <si>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</si>
  <si>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</si>
  <si>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</si>
  <si>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</si>
  <si>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</si>
  <si>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</si>
  <si>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</si>
  <si>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</si>
  <si>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</si>
  <si>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</si>
  <si>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</si>
  <si>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</si>
  <si>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</si>
  <si>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</si>
  <si>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</si>
  <si>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</si>
  <si>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</si>
  <si>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</si>
  <si>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</si>
  <si>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</si>
  <si>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</si>
  <si>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</si>
  <si>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</si>
  <si>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</si>
  <si>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</si>
  <si>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</si>
  <si>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</si>
  <si>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</si>
  <si>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</si>
  <si>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</si>
  <si>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</si>
  <si>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</si>
  <si>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</si>
  <si>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</si>
  <si>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</si>
  <si>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</si>
  <si>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</si>
  <si>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</si>
  <si>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</si>
  <si>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</si>
  <si>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</si>
  <si>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</si>
  <si>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</si>
  <si>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</si>
  <si>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</si>
  <si>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</si>
  <si>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</si>
  <si>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</si>
  <si>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</si>
  <si>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</si>
  <si>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</si>
  <si>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</si>
  <si>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</si>
  <si>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</si>
  <si>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</si>
  <si>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</si>
  <si>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</si>
  <si>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</si>
  <si>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</si>
  <si>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</si>
  <si>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</si>
  <si>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</si>
  <si>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</si>
  <si>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</si>
  <si>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</si>
  <si>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</si>
  <si>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</si>
  <si>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</si>
  <si>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</si>
  <si>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</si>
  <si>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</si>
  <si>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</si>
  <si>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</si>
  <si>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</si>
  <si>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</si>
  <si>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</si>
  <si>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</si>
  <si>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</si>
  <si>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</si>
  <si>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</si>
  <si>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</si>
  <si>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</si>
  <si>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</si>
  <si>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</si>
  <si>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</si>
  <si>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</si>
  <si>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</si>
  <si>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</si>
  <si>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</si>
  <si>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</si>
  <si>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</si>
  <si>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</si>
  <si>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</si>
  <si>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</si>
  <si>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</si>
  <si>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</si>
  <si>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</si>
  <si>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</si>
  <si>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</si>
  <si>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</si>
  <si>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</si>
  <si>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</si>
  <si>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</si>
  <si>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</si>
  <si>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</si>
  <si>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</si>
  <si>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</si>
  <si>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</si>
  <si>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</si>
  <si>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</si>
  <si>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</si>
  <si>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</si>
  <si>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</si>
  <si>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</si>
  <si>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</si>
  <si>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</si>
  <si>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</si>
  <si>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</si>
  <si>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</si>
  <si>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</si>
  <si>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</si>
  <si>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</si>
  <si>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</si>
  <si>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</si>
  <si>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</si>
  <si>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</si>
  <si>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</si>
  <si>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</si>
  <si>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</si>
  <si>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</si>
  <si>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</si>
  <si>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</si>
  <si>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</si>
  <si>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</si>
  <si>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</si>
  <si>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</si>
  <si>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</si>
  <si>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</si>
  <si>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</si>
  <si>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</si>
  <si>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</si>
  <si>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</si>
  <si>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</si>
  <si>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</si>
  <si>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</si>
  <si>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</si>
  <si>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</si>
  <si>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</si>
  <si>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</si>
  <si>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</si>
  <si>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</si>
  <si>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</si>
  <si>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</si>
  <si>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</si>
  <si>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</si>
  <si>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</si>
  <si>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</si>
  <si>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</si>
  <si>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</si>
  <si>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</si>
  <si>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</si>
  <si>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</si>
  <si>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</si>
  <si>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</si>
  <si>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</si>
  <si>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</si>
  <si>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</si>
  <si>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</si>
  <si>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</si>
  <si>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</si>
  <si>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</si>
  <si>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</si>
  <si>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</si>
  <si>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</si>
  <si>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</si>
  <si>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</si>
  <si>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</si>
  <si>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</si>
  <si>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</si>
  <si>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</si>
  <si>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</si>
  <si>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</si>
  <si>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</si>
  <si>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</si>
  <si>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</si>
  <si>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t>ب. الاستمكان المبكر لمواقع مدفعية العدو بواسطة رادار الكوبرا.</t>
  </si>
  <si>
    <t>جـ. مهاجمة أنظمة الإسناد الناري المعادية باستخدام أنظمة المدفعية الصاروخية ذات قابلية الحركة العالية وراجمات الصواريخ الميدانية وكتائب المدافع.</t>
  </si>
  <si>
    <t>هـ. استخدام مبدأ ارم واهرب حتى تصعب من مهمة العدو لاستمكان الموقع ورمايته.</t>
  </si>
  <si>
    <t>ب. تقوم رادارات الاستمكان الكوبرا باستمكان وتحديد مواقع المدفعية المعادية.</t>
  </si>
  <si>
    <t>جـ. بقاء الجنود في مدافعهم المحمولة لحين انتهاء القصف.</t>
  </si>
  <si>
    <t>هـ. حركة الاليات يجب ان تكون سريعة ومنظمة وبانتشار واسع للوصول الامن للموقع البديل ومتابعة تقديم الاسناد المدفعي.</t>
  </si>
  <si>
    <t>ز. اخلاء الاصابات حسب التدريب القياسي واحصاء الخسائر.</t>
  </si>
  <si>
    <t>ح. اعادة التنظيم للموقع الجديد بعد انتهاء القصف المعادي.</t>
  </si>
  <si>
    <t>ط. رفع تقرير مفصل عن تعرض الوحدة للقصف وجميع الاجراءات المتخذة لمعالجة الموقف.</t>
  </si>
  <si>
    <t>ي. الاستعداد لمتابعة تقديم الاسناد المدفعي لوحدات المناورة.</t>
  </si>
  <si>
    <t>ب. رفع تقرير مفصل عن تعرض الوحدة للقصف وجميع الاجراءات المتخذة لمعالجة الموقف.</t>
  </si>
  <si>
    <t>جـ. الاستعداد لمتابعة تقديم الاسناد المدفعي لوحدات المناورة.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</si>
  <si>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وسائل الحماية قبل بدء القصف المدفعي المعادي:</t>
    </r>
  </si>
  <si>
    <r>
      <rPr>
        <b/>
        <sz val="12"/>
        <color theme="1"/>
        <rFont val="Arial"/>
        <family val="2"/>
      </rPr>
      <t xml:space="preserve">2.   </t>
    </r>
    <r>
      <rPr>
        <b/>
        <u/>
        <sz val="12"/>
        <color theme="1"/>
        <rFont val="Arial"/>
        <family val="2"/>
      </rPr>
      <t>وسائل الحماية عند التعرض للقصف المدفعي المعادي:</t>
    </r>
  </si>
  <si>
    <r>
      <rPr>
        <b/>
        <sz val="12"/>
        <color theme="1"/>
        <rFont val="Arial"/>
        <family val="2"/>
      </rPr>
      <t xml:space="preserve">3.   </t>
    </r>
    <r>
      <rPr>
        <b/>
        <u/>
        <sz val="12"/>
        <color theme="1"/>
        <rFont val="Arial"/>
        <family val="2"/>
      </rPr>
      <t>الاجراءات عند التعرض للقصف المعادي:</t>
    </r>
  </si>
  <si>
    <r>
      <rPr>
        <b/>
        <sz val="12"/>
        <color theme="1"/>
        <rFont val="Arial"/>
        <family val="2"/>
      </rPr>
      <t xml:space="preserve">4.   </t>
    </r>
    <r>
      <rPr>
        <b/>
        <u/>
        <sz val="12"/>
        <color theme="1"/>
        <rFont val="Arial"/>
        <family val="2"/>
      </rPr>
      <t>الاجراءات بعد انتهاء القصف المعادي:</t>
    </r>
  </si>
  <si>
    <t>أ.    مدى استخدام طرق تجنب الكشف من قبل معدات استمكان العدو.</t>
  </si>
  <si>
    <t xml:space="preserve">د.   كشف وتحضير المواقع البديلة. </t>
  </si>
  <si>
    <t>أ.   الانتشار الواسع في مواقع المدافع لتقليل الخسائر وقابلية الحركة العالية في هذه المواقف.</t>
  </si>
  <si>
    <t>ب.  توفر ملاجئ (حماية) للأفراد وللمدافع ضد تأثير القصف المدفعي المضاد.</t>
  </si>
  <si>
    <t>أ.   ابلاغ القيادة الاعلى عن المنطقة المقصوفة.</t>
  </si>
  <si>
    <t>د.   الرحيل الى الموقع البديل اذا كان القصف شديد ومستمر بعد موافقة قائد المناورة لتوقف الاسناد فترة الرحيل.</t>
  </si>
  <si>
    <t>و.  قيام الوحدات المخصصة للقصف المعاكس بالرد على مدفعية العدو.</t>
  </si>
  <si>
    <t>أ.  اعادة التنظيم للموقع الجديد بعد انتهاء القصف المعادي.</t>
  </si>
  <si>
    <r>
      <rPr>
        <b/>
        <sz val="14"/>
        <color rgb="FF000000"/>
        <rFont val="Arial"/>
        <family val="2"/>
      </rPr>
      <t>تقييم معضلة تعرض كتيبة المدفعية لقصف مدفعي معادي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</si>
  <si>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تعامل كتيبة المدفعية مع معضلة التعرض لقصف مدفعي معادي.</t>
    </r>
  </si>
  <si>
    <t>اجراءات التعامل مع الإصابات:</t>
  </si>
  <si>
    <t>اجراءات التعامل مع الآليات المدمرة:</t>
  </si>
  <si>
    <r>
      <t>1.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الاتصال مع القيادة الاعلى وابلاغهم ان الوحدة تعرضت للهجوم مع تحديد عدد الاصابات وانه سيتم الرحيل للموقع البديل.</t>
    </r>
  </si>
  <si>
    <r>
      <t>2.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قيام افراد الخدمات الطبية والمسعفين الميدانيين بإجراء الاسعافات الاولية للإصابات.</t>
    </r>
  </si>
  <si>
    <r>
      <t>3.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مدى توفر معلومات كافية لدى قيادة موقع المدفعية عن مواقع الوحدات الطبية ونقطة تبادل الاصابات من قبل سيارات الاسعاف.</t>
    </r>
  </si>
  <si>
    <r>
      <t>4.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اجراء الاخلاء الارضي للإصابات من قبل الوحدة الى نقطة اسعاف الكتيبة او نقطة اسعاف الوحدة المجاورة من قبل المسعف الميداني باستخدام اليات الوحدة المتوفرة.</t>
    </r>
  </si>
  <si>
    <r>
      <t>5.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استخدام نموذج الإخلاء الطبي المكون من (9) أسطر لطلب الاخلاء الطبي الجوي (المرفق) عند احتمالية الموت نتيجة الاصابة او بتر أحد الاعضاء او فقدان البصر.</t>
    </r>
  </si>
  <si>
    <r>
      <t>6.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تعبئة نموذج الاصابة مع المصاب والتأكد من حماية معدات الفرد المصاب.</t>
    </r>
  </si>
  <si>
    <r>
      <t>1.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وفرت آلية الإنقاذ الموجودة في السرية الإسناد اللازم.</t>
    </r>
  </si>
  <si>
    <r>
      <t>2.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إخلاء العربة حتى مستوى نقطة جمع وتصنيف الآليات المعطلة.</t>
    </r>
  </si>
  <si>
    <r>
      <t>3.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إخلاء العربة حسب أهميتها التعبوية وبأسبقية إخلاء الأعطال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</si>
  <si>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آليات الإنقاذ "ب" بتجميع أعطال السرية والتي تحتاج لوقت إصلاح يزيد عن ساعتين إلى نقطة جمع الآليات المعطلة لإصلاحها.</t>
    </r>
  </si>
  <si>
    <t>جـ. جاهزية الجنود وتدريبهم على مواجهة القصف المدفعي المعادي.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</si>
</sst>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7" fillId="0" borderId="20" xfId="0" applyFont="1" applyBorder="1" applyAlignment="1">
      <alignment horizontal="right" vertical="center" wrapText="1" indent="2"/>
    </xf>
    <xf numFmtId="0" fontId="17" fillId="0" borderId="3" xfId="0" applyFont="1" applyBorder="1" applyAlignment="1">
      <alignment horizontal="right" vertical="center" wrapText="1" indent="2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indent="2"/>
    </xf>
    <xf numFmtId="0" fontId="17" fillId="0" borderId="12" xfId="0" applyFont="1" applyBorder="1" applyAlignment="1">
      <alignment horizontal="right" vertical="center" wrapText="1" indent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7" fillId="0" borderId="20" xfId="0" applyFont="1" applyBorder="1" applyAlignment="1">
      <alignment horizontal="right" vertical="center" wrapText="1" indent="2" readingOrder="2"/>
    </xf>
    <xf numFmtId="0" fontId="17" fillId="0" borderId="3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17" fillId="0" borderId="27" xfId="0" applyFont="1" applyBorder="1" applyAlignment="1">
      <alignment horizontal="right" vertical="center" wrapText="1" indent="2" readingOrder="2"/>
    </xf>
    <xf numFmtId="0" fontId="17" fillId="0" borderId="14" xfId="0" applyFont="1" applyBorder="1" applyAlignment="1">
      <alignment horizontal="right" vertical="center" wrapText="1" indent="2" readingOrder="2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20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75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4"/>
  <sheetViews>
    <sheetView rightToLeft="1" tabSelected="1" view="pageBreakPreview" topLeftCell="A12" zoomScale="136" zoomScaleNormal="100" zoomScaleSheetLayoutView="136" workbookViewId="0">
      <selection activeCell="F21" sqref="F2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8" t="s">
        <v>213</v>
      </c>
      <c r="C1" s="78"/>
      <c r="D1" s="78"/>
      <c r="E1" s="78"/>
      <c r="F1" s="78"/>
      <c r="G1" s="78"/>
      <c r="H1" s="78"/>
      <c r="I1" s="78"/>
      <c r="J1" s="78"/>
    </row>
    <row r="2" spans="1:10" ht="45" customHeight="1" x14ac:dyDescent="0.2">
      <c r="B2" s="89" t="s">
        <v>214</v>
      </c>
      <c r="C2" s="89"/>
      <c r="D2" s="89"/>
      <c r="E2" s="89"/>
      <c r="F2" s="89"/>
      <c r="G2" s="89"/>
      <c r="H2" s="89"/>
      <c r="I2" s="89"/>
      <c r="J2" s="89"/>
    </row>
    <row r="3" spans="1:10" ht="30" customHeight="1" x14ac:dyDescent="0.2">
      <c r="B3" s="11" t="s">
        <v>8</v>
      </c>
      <c r="C3" s="84" t="s">
        <v>57</v>
      </c>
      <c r="D3" s="84"/>
      <c r="E3" s="11" t="s">
        <v>7</v>
      </c>
      <c r="F3" s="79" t="s">
        <v>56</v>
      </c>
      <c r="G3" s="79"/>
      <c r="H3" s="79"/>
      <c r="I3" s="79"/>
      <c r="J3" s="79"/>
    </row>
    <row r="4" spans="1:10" ht="30" customHeight="1" x14ac:dyDescent="0.2">
      <c r="B4" s="11" t="s">
        <v>9</v>
      </c>
      <c r="C4" s="84" t="s">
        <v>60</v>
      </c>
      <c r="D4" s="84"/>
      <c r="E4" s="11" t="s">
        <v>6</v>
      </c>
      <c r="F4" s="84" t="s">
        <v>59</v>
      </c>
      <c r="G4" s="84"/>
      <c r="H4" s="84"/>
      <c r="I4" s="84"/>
      <c r="J4" s="84"/>
    </row>
    <row r="5" spans="1:10" ht="30" customHeight="1" x14ac:dyDescent="0.2">
      <c r="B5" s="61" t="s">
        <v>186</v>
      </c>
      <c r="C5" s="61"/>
      <c r="D5" s="39" t="s">
        <v>188</v>
      </c>
      <c r="E5" s="61" t="s">
        <v>187</v>
      </c>
      <c r="F5" s="61"/>
      <c r="G5" s="61"/>
      <c r="H5" s="61"/>
      <c r="I5" s="62" t="s">
        <v>185</v>
      </c>
      <c r="J5" s="62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80" t="s">
        <v>0</v>
      </c>
      <c r="C7" s="81"/>
      <c r="D7" s="81"/>
      <c r="E7" s="85" t="s">
        <v>1</v>
      </c>
      <c r="F7" s="85"/>
      <c r="G7" s="85"/>
      <c r="H7" s="85"/>
      <c r="I7" s="85" t="s">
        <v>2</v>
      </c>
      <c r="J7" s="86"/>
    </row>
    <row r="8" spans="1:10" ht="24.95" customHeight="1" thickBot="1" x14ac:dyDescent="0.25">
      <c r="A8" s="9"/>
      <c r="B8" s="82"/>
      <c r="C8" s="83"/>
      <c r="D8" s="83"/>
      <c r="E8" s="10" t="s">
        <v>3</v>
      </c>
      <c r="F8" s="10" t="s">
        <v>4</v>
      </c>
      <c r="G8" s="10" t="s">
        <v>23</v>
      </c>
      <c r="H8" s="10" t="s">
        <v>24</v>
      </c>
      <c r="I8" s="87"/>
      <c r="J8" s="88"/>
    </row>
    <row r="9" spans="1:10" ht="24.95" customHeight="1" thickBot="1" x14ac:dyDescent="0.25">
      <c r="A9" s="9"/>
      <c r="B9" s="97" t="s">
        <v>21</v>
      </c>
      <c r="C9" s="98"/>
      <c r="D9" s="98"/>
      <c r="E9" s="27" t="s">
        <v>18</v>
      </c>
      <c r="F9" s="27" t="s">
        <v>19</v>
      </c>
      <c r="G9" s="27" t="s">
        <v>22</v>
      </c>
      <c r="H9" s="27" t="s">
        <v>20</v>
      </c>
      <c r="I9" s="99" t="s">
        <v>25</v>
      </c>
      <c r="J9" s="100"/>
    </row>
    <row r="10" spans="1:10" ht="30" customHeight="1" x14ac:dyDescent="0.2">
      <c r="A10" s="9"/>
      <c r="B10" s="49" t="s">
        <v>201</v>
      </c>
      <c r="C10" s="50"/>
      <c r="D10" s="50"/>
      <c r="E10" s="31"/>
      <c r="F10" s="43"/>
      <c r="G10" s="32"/>
      <c r="H10" s="33"/>
      <c r="I10" s="53"/>
      <c r="J10" s="54"/>
    </row>
    <row r="11" spans="1:10" ht="30" customHeight="1" x14ac:dyDescent="0.2">
      <c r="A11" s="9"/>
      <c r="B11" s="47" t="s">
        <v>205</v>
      </c>
      <c r="C11" s="48"/>
      <c r="D11" s="48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55"/>
      <c r="J11" s="56"/>
    </row>
    <row r="12" spans="1:10" ht="30" customHeight="1" x14ac:dyDescent="0.2">
      <c r="A12" s="9"/>
      <c r="B12" s="47" t="s">
        <v>189</v>
      </c>
      <c r="C12" s="48"/>
      <c r="D12" s="48"/>
      <c r="E12" s="28">
        <v>3</v>
      </c>
      <c r="F12" s="41" t="s">
        <v>61</v>
      </c>
      <c r="G12" s="29" t="str">
        <f t="shared" ref="G12:G15" si="0">IFERROR(F12/E12,"")</f>
        <v/>
      </c>
      <c r="H12" s="30" t="str">
        <f t="shared" ref="H12:H15" si="1">_xlfn.IFS(F12="أدخل العلامة","",F12="لا ينطبق","تم الإلغاء",G12&gt;=90%,"ممتاز",G12&gt;=80%,"جيد جداً",G12&gt;=70%,"جيد",G12&gt;=60%,"مقبول",G12&lt;60%,"راسب")</f>
        <v/>
      </c>
      <c r="I12" s="55"/>
      <c r="J12" s="56"/>
    </row>
    <row r="13" spans="1:10" ht="53.25" customHeight="1" x14ac:dyDescent="0.2">
      <c r="A13" s="9"/>
      <c r="B13" s="47" t="s">
        <v>190</v>
      </c>
      <c r="C13" s="48"/>
      <c r="D13" s="48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55"/>
      <c r="J13" s="56"/>
    </row>
    <row r="14" spans="1:10" ht="30" customHeight="1" x14ac:dyDescent="0.2">
      <c r="A14" s="9"/>
      <c r="B14" s="47" t="s">
        <v>206</v>
      </c>
      <c r="C14" s="48"/>
      <c r="D14" s="48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55"/>
      <c r="J14" s="56"/>
    </row>
    <row r="15" spans="1:10" ht="39.950000000000003" customHeight="1" thickBot="1" x14ac:dyDescent="0.25">
      <c r="A15" s="9"/>
      <c r="B15" s="51" t="s">
        <v>191</v>
      </c>
      <c r="C15" s="52"/>
      <c r="D15" s="52"/>
      <c r="E15" s="34">
        <v>3</v>
      </c>
      <c r="F15" s="42" t="s">
        <v>61</v>
      </c>
      <c r="G15" s="35" t="str">
        <f t="shared" si="0"/>
        <v/>
      </c>
      <c r="H15" s="36" t="str">
        <f t="shared" si="1"/>
        <v/>
      </c>
      <c r="I15" s="59"/>
      <c r="J15" s="60"/>
    </row>
    <row r="16" spans="1:10" ht="30" customHeight="1" x14ac:dyDescent="0.2">
      <c r="A16" s="9"/>
      <c r="B16" s="49" t="s">
        <v>202</v>
      </c>
      <c r="C16" s="50"/>
      <c r="D16" s="50"/>
      <c r="E16" s="31"/>
      <c r="F16" s="43"/>
      <c r="G16" s="32"/>
      <c r="H16" s="33"/>
      <c r="I16" s="53"/>
      <c r="J16" s="54"/>
    </row>
    <row r="17" spans="1:10" ht="39.950000000000003" customHeight="1" x14ac:dyDescent="0.2">
      <c r="A17" s="9"/>
      <c r="B17" s="47" t="s">
        <v>207</v>
      </c>
      <c r="C17" s="48"/>
      <c r="D17" s="48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55"/>
      <c r="J17" s="56"/>
    </row>
    <row r="18" spans="1:10" ht="39.950000000000003" customHeight="1" x14ac:dyDescent="0.2">
      <c r="A18" s="9"/>
      <c r="B18" s="47" t="s">
        <v>208</v>
      </c>
      <c r="C18" s="48"/>
      <c r="D18" s="48"/>
      <c r="E18" s="28">
        <v>3</v>
      </c>
      <c r="F18" s="41" t="s">
        <v>61</v>
      </c>
      <c r="G18" s="29" t="str">
        <f t="shared" ref="G18:G21" si="2">IFERROR(F18/E18,"")</f>
        <v/>
      </c>
      <c r="H18" s="30" t="str">
        <f t="shared" ref="H18:H21" si="3">_xlfn.IFS(F18="أدخل العلامة","",F18="لا ينطبق","تم الإلغاء",G18&gt;=90%,"ممتاز",G18&gt;=80%,"جيد جداً",G18&gt;=70%,"جيد",G18&gt;=60%,"مقبول",G18&lt;60%,"راسب")</f>
        <v/>
      </c>
      <c r="I18" s="55"/>
      <c r="J18" s="56"/>
    </row>
    <row r="19" spans="1:10" ht="30" customHeight="1" thickBot="1" x14ac:dyDescent="0.25">
      <c r="A19" s="9"/>
      <c r="B19" s="51" t="s">
        <v>227</v>
      </c>
      <c r="C19" s="52"/>
      <c r="D19" s="52"/>
      <c r="E19" s="34">
        <v>3</v>
      </c>
      <c r="F19" s="42" t="s">
        <v>61</v>
      </c>
      <c r="G19" s="35" t="str">
        <f t="shared" si="2"/>
        <v/>
      </c>
      <c r="H19" s="36" t="str">
        <f t="shared" si="3"/>
        <v/>
      </c>
      <c r="I19" s="59"/>
      <c r="J19" s="60"/>
    </row>
    <row r="20" spans="1:10" ht="30" customHeight="1" x14ac:dyDescent="0.2">
      <c r="A20" s="9"/>
      <c r="B20" s="49" t="s">
        <v>203</v>
      </c>
      <c r="C20" s="50"/>
      <c r="D20" s="50"/>
      <c r="E20" s="31"/>
      <c r="F20" s="43"/>
      <c r="G20" s="32"/>
      <c r="H20" s="33"/>
      <c r="I20" s="53"/>
      <c r="J20" s="54"/>
    </row>
    <row r="21" spans="1:10" ht="30" customHeight="1" x14ac:dyDescent="0.2">
      <c r="A21" s="9"/>
      <c r="B21" s="47" t="s">
        <v>209</v>
      </c>
      <c r="C21" s="48"/>
      <c r="D21" s="48"/>
      <c r="E21" s="28">
        <v>3</v>
      </c>
      <c r="F21" s="41" t="s">
        <v>61</v>
      </c>
      <c r="G21" s="29" t="str">
        <f t="shared" si="2"/>
        <v/>
      </c>
      <c r="H21" s="30" t="str">
        <f t="shared" si="3"/>
        <v/>
      </c>
      <c r="I21" s="55"/>
      <c r="J21" s="56"/>
    </row>
    <row r="22" spans="1:10" ht="39.950000000000003" customHeight="1" x14ac:dyDescent="0.2">
      <c r="A22" s="9"/>
      <c r="B22" s="47" t="s">
        <v>192</v>
      </c>
      <c r="C22" s="48"/>
      <c r="D22" s="48"/>
      <c r="E22" s="28">
        <v>3</v>
      </c>
      <c r="F22" s="41" t="s">
        <v>61</v>
      </c>
      <c r="G22" s="29" t="str">
        <f>IFERROR(F22/E22,"")</f>
        <v/>
      </c>
      <c r="H22" s="30" t="str">
        <f>_xlfn.IFS(F22="أدخل العلامة","",F22="لا ينطبق","تم الإلغاء",G22&gt;=90%,"ممتاز",G22&gt;=80%,"جيد جداً",G22&gt;=70%,"جيد",G22&gt;=60%,"مقبول",G22&lt;60%,"راسب")</f>
        <v/>
      </c>
      <c r="I22" s="55"/>
      <c r="J22" s="56"/>
    </row>
    <row r="23" spans="1:10" ht="30" customHeight="1" x14ac:dyDescent="0.2">
      <c r="A23" s="9"/>
      <c r="B23" s="47" t="s">
        <v>193</v>
      </c>
      <c r="C23" s="48"/>
      <c r="D23" s="48"/>
      <c r="E23" s="28">
        <v>3</v>
      </c>
      <c r="F23" s="41" t="s">
        <v>61</v>
      </c>
      <c r="G23" s="29" t="str">
        <f t="shared" ref="G23:G27" si="4">IFERROR(F23/E23,"")</f>
        <v/>
      </c>
      <c r="H23" s="30" t="str">
        <f t="shared" ref="H23:H27" si="5">_xlfn.IFS(F23="أدخل العلامة","",F23="لا ينطبق","تم الإلغاء",G23&gt;=90%,"ممتاز",G23&gt;=80%,"جيد جداً",G23&gt;=70%,"جيد",G23&gt;=60%,"مقبول",G23&lt;60%,"راسب")</f>
        <v/>
      </c>
      <c r="I23" s="55"/>
      <c r="J23" s="56"/>
    </row>
    <row r="24" spans="1:10" ht="39.950000000000003" customHeight="1" x14ac:dyDescent="0.2">
      <c r="A24" s="9"/>
      <c r="B24" s="47" t="s">
        <v>210</v>
      </c>
      <c r="C24" s="48"/>
      <c r="D24" s="48"/>
      <c r="E24" s="28">
        <v>3</v>
      </c>
      <c r="F24" s="41" t="s">
        <v>61</v>
      </c>
      <c r="G24" s="29" t="str">
        <f t="shared" si="4"/>
        <v/>
      </c>
      <c r="H24" s="30" t="str">
        <f t="shared" si="5"/>
        <v/>
      </c>
      <c r="I24" s="55"/>
      <c r="J24" s="56"/>
    </row>
    <row r="25" spans="1:10" ht="39.950000000000003" customHeight="1" x14ac:dyDescent="0.2">
      <c r="A25" s="9"/>
      <c r="B25" s="47" t="s">
        <v>194</v>
      </c>
      <c r="C25" s="48"/>
      <c r="D25" s="48"/>
      <c r="E25" s="28">
        <v>3</v>
      </c>
      <c r="F25" s="41" t="s">
        <v>61</v>
      </c>
      <c r="G25" s="29" t="str">
        <f t="shared" si="4"/>
        <v/>
      </c>
      <c r="H25" s="30" t="str">
        <f t="shared" si="5"/>
        <v/>
      </c>
      <c r="I25" s="55"/>
      <c r="J25" s="56"/>
    </row>
    <row r="26" spans="1:10" ht="30" customHeight="1" x14ac:dyDescent="0.2">
      <c r="A26" s="9"/>
      <c r="B26" s="47" t="s">
        <v>211</v>
      </c>
      <c r="C26" s="48"/>
      <c r="D26" s="48"/>
      <c r="E26" s="28">
        <v>3</v>
      </c>
      <c r="F26" s="41" t="s">
        <v>61</v>
      </c>
      <c r="G26" s="29" t="str">
        <f t="shared" si="4"/>
        <v/>
      </c>
      <c r="H26" s="30" t="str">
        <f t="shared" si="5"/>
        <v/>
      </c>
      <c r="I26" s="55"/>
      <c r="J26" s="56"/>
    </row>
    <row r="27" spans="1:10" ht="30" customHeight="1" x14ac:dyDescent="0.2">
      <c r="A27" s="9"/>
      <c r="B27" s="47" t="s">
        <v>195</v>
      </c>
      <c r="C27" s="48"/>
      <c r="D27" s="48"/>
      <c r="E27" s="28">
        <v>3</v>
      </c>
      <c r="F27" s="41" t="s">
        <v>61</v>
      </c>
      <c r="G27" s="29" t="str">
        <f t="shared" si="4"/>
        <v/>
      </c>
      <c r="H27" s="30" t="str">
        <f t="shared" si="5"/>
        <v/>
      </c>
      <c r="I27" s="55"/>
      <c r="J27" s="56"/>
    </row>
    <row r="28" spans="1:10" ht="30" customHeight="1" x14ac:dyDescent="0.2">
      <c r="A28" s="9"/>
      <c r="B28" s="47" t="s">
        <v>196</v>
      </c>
      <c r="C28" s="48"/>
      <c r="D28" s="48"/>
      <c r="E28" s="28">
        <v>3</v>
      </c>
      <c r="F28" s="41" t="s">
        <v>61</v>
      </c>
      <c r="G28" s="29" t="str">
        <f>IFERROR(F28/E28,"")</f>
        <v/>
      </c>
      <c r="H28" s="30" t="str">
        <f>_xlfn.IFS(F28="أدخل العلامة","",F28="لا ينطبق","تم الإلغاء",G28&gt;=90%,"ممتاز",G28&gt;=80%,"جيد جداً",G28&gt;=70%,"جيد",G28&gt;=60%,"مقبول",G28&lt;60%,"راسب")</f>
        <v/>
      </c>
      <c r="I28" s="55"/>
      <c r="J28" s="56"/>
    </row>
    <row r="29" spans="1:10" ht="39.950000000000003" customHeight="1" x14ac:dyDescent="0.2">
      <c r="A29" s="9"/>
      <c r="B29" s="47" t="s">
        <v>197</v>
      </c>
      <c r="C29" s="48"/>
      <c r="D29" s="48"/>
      <c r="E29" s="28">
        <v>3</v>
      </c>
      <c r="F29" s="41" t="s">
        <v>61</v>
      </c>
      <c r="G29" s="29" t="str">
        <f t="shared" ref="G29:G30" si="6">IFERROR(F29/E29,"")</f>
        <v/>
      </c>
      <c r="H29" s="30" t="str">
        <f t="shared" ref="H29:H30" si="7">_xlfn.IFS(F29="أدخل العلامة","",F29="لا ينطبق","تم الإلغاء",G29&gt;=90%,"ممتاز",G29&gt;=80%,"جيد جداً",G29&gt;=70%,"جيد",G29&gt;=60%,"مقبول",G29&lt;60%,"راسب")</f>
        <v/>
      </c>
      <c r="I29" s="55"/>
      <c r="J29" s="56"/>
    </row>
    <row r="30" spans="1:10" ht="30" customHeight="1" thickBot="1" x14ac:dyDescent="0.25">
      <c r="A30" s="9"/>
      <c r="B30" s="51" t="s">
        <v>198</v>
      </c>
      <c r="C30" s="52"/>
      <c r="D30" s="52"/>
      <c r="E30" s="34">
        <v>3</v>
      </c>
      <c r="F30" s="42" t="s">
        <v>61</v>
      </c>
      <c r="G30" s="35" t="str">
        <f t="shared" si="6"/>
        <v/>
      </c>
      <c r="H30" s="36" t="str">
        <f t="shared" si="7"/>
        <v/>
      </c>
      <c r="I30" s="59"/>
      <c r="J30" s="60"/>
    </row>
    <row r="31" spans="1:10" ht="30" customHeight="1" x14ac:dyDescent="0.2">
      <c r="A31" s="9"/>
      <c r="B31" s="49" t="s">
        <v>204</v>
      </c>
      <c r="C31" s="50"/>
      <c r="D31" s="50"/>
      <c r="E31" s="31"/>
      <c r="F31" s="43"/>
      <c r="G31" s="32"/>
      <c r="H31" s="33"/>
      <c r="I31" s="53"/>
      <c r="J31" s="54"/>
    </row>
    <row r="32" spans="1:10" ht="30" customHeight="1" x14ac:dyDescent="0.2">
      <c r="A32" s="9"/>
      <c r="B32" s="47" t="s">
        <v>212</v>
      </c>
      <c r="C32" s="48"/>
      <c r="D32" s="48"/>
      <c r="E32" s="28">
        <v>3</v>
      </c>
      <c r="F32" s="41" t="s">
        <v>61</v>
      </c>
      <c r="G32" s="29" t="str">
        <f>IFERROR(F32/E32,"")</f>
        <v/>
      </c>
      <c r="H32" s="30" t="str">
        <f>_xlfn.IFS(F32="أدخل العلامة","",F32="لا ينطبق","تم الإلغاء",G32&gt;=90%,"ممتاز",G32&gt;=80%,"جيد جداً",G32&gt;=70%,"جيد",G32&gt;=60%,"مقبول",G32&lt;60%,"راسب")</f>
        <v/>
      </c>
      <c r="I32" s="55"/>
      <c r="J32" s="56"/>
    </row>
    <row r="33" spans="1:10" ht="39.950000000000003" customHeight="1" x14ac:dyDescent="0.2">
      <c r="A33" s="9"/>
      <c r="B33" s="57" t="s">
        <v>199</v>
      </c>
      <c r="C33" s="58"/>
      <c r="D33" s="58"/>
      <c r="E33" s="28">
        <v>3</v>
      </c>
      <c r="F33" s="41" t="s">
        <v>61</v>
      </c>
      <c r="G33" s="29" t="str">
        <f t="shared" ref="G33:G34" si="8">IFERROR(F33/E33,"")</f>
        <v/>
      </c>
      <c r="H33" s="30" t="str">
        <f t="shared" ref="H33:H34" si="9">_xlfn.IFS(F33="أدخل العلامة","",F33="لا ينطبق","تم الإلغاء",G33&gt;=90%,"ممتاز",G33&gt;=80%,"جيد جداً",G33&gt;=70%,"جيد",G33&gt;=60%,"مقبول",G33&lt;60%,"راسب")</f>
        <v/>
      </c>
      <c r="I33" s="55"/>
      <c r="J33" s="56"/>
    </row>
    <row r="34" spans="1:10" ht="30" customHeight="1" thickBot="1" x14ac:dyDescent="0.25">
      <c r="A34" s="9"/>
      <c r="B34" s="102" t="s">
        <v>200</v>
      </c>
      <c r="C34" s="103"/>
      <c r="D34" s="103"/>
      <c r="E34" s="104">
        <v>3</v>
      </c>
      <c r="F34" s="105" t="s">
        <v>61</v>
      </c>
      <c r="G34" s="106" t="str">
        <f t="shared" si="8"/>
        <v/>
      </c>
      <c r="H34" s="107" t="str">
        <f t="shared" si="9"/>
        <v/>
      </c>
      <c r="I34" s="108"/>
      <c r="J34" s="109"/>
    </row>
    <row r="35" spans="1:10" ht="30" customHeight="1" x14ac:dyDescent="0.2">
      <c r="A35" s="9"/>
      <c r="B35" s="49" t="s">
        <v>215</v>
      </c>
      <c r="C35" s="50"/>
      <c r="D35" s="50"/>
      <c r="E35" s="31"/>
      <c r="F35" s="45"/>
      <c r="G35" s="32"/>
      <c r="H35" s="33"/>
      <c r="I35" s="53"/>
      <c r="J35" s="54"/>
    </row>
    <row r="36" spans="1:10" ht="39.950000000000003" customHeight="1" x14ac:dyDescent="0.2">
      <c r="A36" s="9"/>
      <c r="B36" s="111" t="s">
        <v>217</v>
      </c>
      <c r="C36" s="110"/>
      <c r="D36" s="110"/>
      <c r="E36" s="28">
        <v>3</v>
      </c>
      <c r="F36" s="44" t="s">
        <v>61</v>
      </c>
      <c r="G36" s="29" t="str">
        <f>IFERROR(F36/E36,"")</f>
        <v/>
      </c>
      <c r="H36" s="30" t="str">
        <f>_xlfn.IFS(F36="أدخل العلامة","",F36="لا ينطبق","تم الإلغاء",G36&gt;=90%,"ممتاز",G36&gt;=80%,"جيد جداً",G36&gt;=70%,"جيد",G36&gt;=60%,"مقبول",G36&lt;60%,"راسب")</f>
        <v/>
      </c>
      <c r="I36" s="55"/>
      <c r="J36" s="56"/>
    </row>
    <row r="37" spans="1:10" ht="39.950000000000003" customHeight="1" x14ac:dyDescent="0.2">
      <c r="A37" s="9"/>
      <c r="B37" s="111" t="s">
        <v>218</v>
      </c>
      <c r="C37" s="110"/>
      <c r="D37" s="110"/>
      <c r="E37" s="28">
        <v>3</v>
      </c>
      <c r="F37" s="44" t="s">
        <v>61</v>
      </c>
      <c r="G37" s="29" t="str">
        <f t="shared" ref="G37:G38" si="10">IFERROR(F37/E37,"")</f>
        <v/>
      </c>
      <c r="H37" s="30" t="str">
        <f t="shared" ref="H37:H38" si="11">_xlfn.IFS(F37="أدخل العلامة","",F37="لا ينطبق","تم الإلغاء",G37&gt;=90%,"ممتاز",G37&gt;=80%,"جيد جداً",G37&gt;=70%,"جيد",G37&gt;=60%,"مقبول",G37&lt;60%,"راسب")</f>
        <v/>
      </c>
      <c r="I37" s="55"/>
      <c r="J37" s="56"/>
    </row>
    <row r="38" spans="1:10" ht="39.950000000000003" customHeight="1" x14ac:dyDescent="0.2">
      <c r="A38" s="9"/>
      <c r="B38" s="111" t="s">
        <v>219</v>
      </c>
      <c r="C38" s="110"/>
      <c r="D38" s="110"/>
      <c r="E38" s="28">
        <v>3</v>
      </c>
      <c r="F38" s="44" t="s">
        <v>61</v>
      </c>
      <c r="G38" s="29" t="str">
        <f t="shared" si="10"/>
        <v/>
      </c>
      <c r="H38" s="30" t="str">
        <f t="shared" si="11"/>
        <v/>
      </c>
      <c r="I38" s="55"/>
      <c r="J38" s="56"/>
    </row>
    <row r="39" spans="1:10" ht="49.5" customHeight="1" x14ac:dyDescent="0.2">
      <c r="A39" s="9"/>
      <c r="B39" s="111" t="s">
        <v>220</v>
      </c>
      <c r="C39" s="110"/>
      <c r="D39" s="110"/>
      <c r="E39" s="28">
        <v>3</v>
      </c>
      <c r="F39" s="44" t="s">
        <v>61</v>
      </c>
      <c r="G39" s="29" t="str">
        <f>IFERROR(F39/E39,"")</f>
        <v/>
      </c>
      <c r="H39" s="30" t="str">
        <f>_xlfn.IFS(F39="أدخل العلامة","",F39="لا ينطبق","تم الإلغاء",G39&gt;=90%,"ممتاز",G39&gt;=80%,"جيد جداً",G39&gt;=70%,"جيد",G39&gt;=60%,"مقبول",G39&lt;60%,"راسب")</f>
        <v/>
      </c>
      <c r="I39" s="55"/>
      <c r="J39" s="56"/>
    </row>
    <row r="40" spans="1:10" ht="49.5" customHeight="1" x14ac:dyDescent="0.2">
      <c r="A40" s="9"/>
      <c r="B40" s="111" t="s">
        <v>221</v>
      </c>
      <c r="C40" s="110"/>
      <c r="D40" s="110"/>
      <c r="E40" s="28">
        <v>3</v>
      </c>
      <c r="F40" s="44" t="s">
        <v>61</v>
      </c>
      <c r="G40" s="29" t="str">
        <f t="shared" ref="G40:G41" si="12">IFERROR(F40/E40,"")</f>
        <v/>
      </c>
      <c r="H40" s="30" t="str">
        <f t="shared" ref="H40:H41" si="13">_xlfn.IFS(F40="أدخل العلامة","",F40="لا ينطبق","تم الإلغاء",G40&gt;=90%,"ممتاز",G40&gt;=80%,"جيد جداً",G40&gt;=70%,"جيد",G40&gt;=60%,"مقبول",G40&lt;60%,"راسب")</f>
        <v/>
      </c>
      <c r="I40" s="55"/>
      <c r="J40" s="56"/>
    </row>
    <row r="41" spans="1:10" ht="39.950000000000003" customHeight="1" thickBot="1" x14ac:dyDescent="0.25">
      <c r="A41" s="9"/>
      <c r="B41" s="112" t="s">
        <v>222</v>
      </c>
      <c r="C41" s="113"/>
      <c r="D41" s="113"/>
      <c r="E41" s="34">
        <v>3</v>
      </c>
      <c r="F41" s="46" t="s">
        <v>61</v>
      </c>
      <c r="G41" s="35" t="str">
        <f t="shared" si="12"/>
        <v/>
      </c>
      <c r="H41" s="36" t="str">
        <f t="shared" si="13"/>
        <v/>
      </c>
      <c r="I41" s="59"/>
      <c r="J41" s="60"/>
    </row>
    <row r="42" spans="1:10" ht="30" customHeight="1" x14ac:dyDescent="0.2">
      <c r="A42" s="9"/>
      <c r="B42" s="49" t="s">
        <v>216</v>
      </c>
      <c r="C42" s="50"/>
      <c r="D42" s="50"/>
      <c r="E42" s="31"/>
      <c r="F42" s="45"/>
      <c r="G42" s="32"/>
      <c r="H42" s="33"/>
      <c r="I42" s="53"/>
      <c r="J42" s="54"/>
    </row>
    <row r="43" spans="1:10" ht="30" customHeight="1" x14ac:dyDescent="0.2">
      <c r="A43" s="9"/>
      <c r="B43" s="111" t="s">
        <v>223</v>
      </c>
      <c r="C43" s="110"/>
      <c r="D43" s="110"/>
      <c r="E43" s="28">
        <v>3</v>
      </c>
      <c r="F43" s="44" t="s">
        <v>61</v>
      </c>
      <c r="G43" s="29" t="str">
        <f t="shared" ref="G43:G44" si="14">IFERROR(F43/E43,"")</f>
        <v/>
      </c>
      <c r="H43" s="30" t="str">
        <f t="shared" ref="H43:H44" si="15">_xlfn.IFS(F43="أدخل العلامة","",F43="لا ينطبق","تم الإلغاء",G43&gt;=90%,"ممتاز",G43&gt;=80%,"جيد جداً",G43&gt;=70%,"جيد",G43&gt;=60%,"مقبول",G43&lt;60%,"راسب")</f>
        <v/>
      </c>
      <c r="I43" s="55"/>
      <c r="J43" s="56"/>
    </row>
    <row r="44" spans="1:10" ht="30" customHeight="1" x14ac:dyDescent="0.2">
      <c r="A44" s="9"/>
      <c r="B44" s="111" t="s">
        <v>224</v>
      </c>
      <c r="C44" s="110"/>
      <c r="D44" s="110"/>
      <c r="E44" s="28">
        <v>3</v>
      </c>
      <c r="F44" s="44" t="s">
        <v>61</v>
      </c>
      <c r="G44" s="29" t="str">
        <f t="shared" si="14"/>
        <v/>
      </c>
      <c r="H44" s="30" t="str">
        <f t="shared" si="15"/>
        <v/>
      </c>
      <c r="I44" s="55"/>
      <c r="J44" s="56"/>
    </row>
    <row r="45" spans="1:10" ht="39.950000000000003" customHeight="1" x14ac:dyDescent="0.2">
      <c r="A45" s="9"/>
      <c r="B45" s="111" t="s">
        <v>225</v>
      </c>
      <c r="C45" s="110"/>
      <c r="D45" s="110"/>
      <c r="E45" s="28">
        <v>3</v>
      </c>
      <c r="F45" s="44" t="s">
        <v>61</v>
      </c>
      <c r="G45" s="29" t="str">
        <f>IFERROR(F45/E45,"")</f>
        <v/>
      </c>
      <c r="H45" s="30" t="str">
        <f>_xlfn.IFS(F45="أدخل العلامة","",F45="لا ينطبق","تم الإلغاء",G45&gt;=90%,"ممتاز",G45&gt;=80%,"جيد جداً",G45&gt;=70%,"جيد",G45&gt;=60%,"مقبول",G45&lt;60%,"راسب")</f>
        <v/>
      </c>
      <c r="I45" s="55"/>
      <c r="J45" s="56"/>
    </row>
    <row r="46" spans="1:10" ht="39.950000000000003" customHeight="1" thickBot="1" x14ac:dyDescent="0.25">
      <c r="A46" s="9"/>
      <c r="B46" s="112" t="s">
        <v>226</v>
      </c>
      <c r="C46" s="113"/>
      <c r="D46" s="113"/>
      <c r="E46" s="34">
        <v>3</v>
      </c>
      <c r="F46" s="46" t="s">
        <v>61</v>
      </c>
      <c r="G46" s="35" t="str">
        <f t="shared" ref="G46" si="16">IFERROR(F46/E46,"")</f>
        <v/>
      </c>
      <c r="H46" s="36" t="str">
        <f t="shared" ref="H46" si="17">_xlfn.IFS(F46="أدخل العلامة","",F46="لا ينطبق","تم الإلغاء",G46&gt;=90%,"ممتاز",G46&gt;=80%,"جيد جداً",G46&gt;=70%,"جيد",G46&gt;=60%,"مقبول",G46&lt;60%,"راسب")</f>
        <v/>
      </c>
      <c r="I46" s="59"/>
      <c r="J46" s="60"/>
    </row>
    <row r="47" spans="1:10" ht="30" customHeight="1" thickBot="1" x14ac:dyDescent="0.25">
      <c r="A47" s="4"/>
      <c r="B47" s="65" t="s">
        <v>5</v>
      </c>
      <c r="C47" s="66"/>
      <c r="D47" s="66"/>
      <c r="E47" s="40">
        <f>SUM(E10:E46)</f>
        <v>93</v>
      </c>
      <c r="F47" s="40">
        <f>SUM(F10:F16)</f>
        <v>0</v>
      </c>
      <c r="G47" s="92"/>
      <c r="H47" s="93"/>
      <c r="I47" s="93"/>
      <c r="J47" s="94"/>
    </row>
    <row r="48" spans="1:10" ht="30" customHeight="1" thickBot="1" x14ac:dyDescent="0.25">
      <c r="A48" s="4"/>
      <c r="B48" s="67" t="s">
        <v>54</v>
      </c>
      <c r="C48" s="68"/>
      <c r="D48" s="68"/>
      <c r="E48" s="95">
        <f>F47/E47/100*100</f>
        <v>0</v>
      </c>
      <c r="F48" s="95"/>
      <c r="G48" s="95"/>
      <c r="H48" s="95"/>
      <c r="I48" s="95"/>
      <c r="J48" s="96"/>
    </row>
    <row r="49" spans="1:10" ht="30" customHeight="1" thickBot="1" x14ac:dyDescent="0.25">
      <c r="A49" s="4"/>
      <c r="B49" s="67" t="s">
        <v>55</v>
      </c>
      <c r="C49" s="68"/>
      <c r="D49" s="68"/>
      <c r="E49" s="76" t="str">
        <f>_xlfn.IFS(E48&gt;=90%,"ممتاز",E48&gt;=80%,"جيد جداً",E48&gt;=70%,"جيد",E48&gt;=60%,"مقبول",E48&lt;60%,"راسب")</f>
        <v>راسب</v>
      </c>
      <c r="F49" s="76"/>
      <c r="G49" s="76"/>
      <c r="H49" s="76"/>
      <c r="I49" s="76"/>
      <c r="J49" s="77"/>
    </row>
    <row r="50" spans="1:10" ht="42" customHeight="1" x14ac:dyDescent="0.2">
      <c r="B50" s="69" t="s">
        <v>178</v>
      </c>
      <c r="C50" s="69"/>
      <c r="D50" s="69"/>
      <c r="E50" s="90" t="s">
        <v>52</v>
      </c>
      <c r="F50" s="90"/>
      <c r="G50" s="101" t="s">
        <v>59</v>
      </c>
      <c r="H50" s="101"/>
      <c r="I50" s="101"/>
      <c r="J50" s="101"/>
    </row>
    <row r="51" spans="1:10" ht="51" customHeight="1" x14ac:dyDescent="0.2">
      <c r="A51" s="5"/>
      <c r="B51" s="70"/>
      <c r="C51" s="70"/>
      <c r="D51" s="70"/>
      <c r="E51" s="91" t="s">
        <v>53</v>
      </c>
      <c r="F51" s="91"/>
      <c r="G51" s="75"/>
      <c r="H51" s="75"/>
      <c r="I51" s="75"/>
      <c r="J51" s="75"/>
    </row>
    <row r="52" spans="1:10" ht="15.75" x14ac:dyDescent="0.2">
      <c r="A52" s="24">
        <v>3</v>
      </c>
      <c r="B52" s="71" t="s">
        <v>175</v>
      </c>
      <c r="C52" s="72"/>
    </row>
    <row r="53" spans="1:10" ht="15.75" x14ac:dyDescent="0.2">
      <c r="A53" s="25">
        <v>2</v>
      </c>
      <c r="B53" s="73" t="s">
        <v>176</v>
      </c>
      <c r="C53" s="74"/>
    </row>
    <row r="54" spans="1:10" ht="15.75" x14ac:dyDescent="0.2">
      <c r="A54" s="26">
        <v>1</v>
      </c>
      <c r="B54" s="63" t="s">
        <v>177</v>
      </c>
      <c r="C54" s="6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2">
    <mergeCell ref="B44:D44"/>
    <mergeCell ref="I44:J44"/>
    <mergeCell ref="B45:D45"/>
    <mergeCell ref="I45:J45"/>
    <mergeCell ref="B46:D46"/>
    <mergeCell ref="I46:J46"/>
    <mergeCell ref="B41:D41"/>
    <mergeCell ref="I41:J41"/>
    <mergeCell ref="B42:D42"/>
    <mergeCell ref="I42:J42"/>
    <mergeCell ref="B43:D43"/>
    <mergeCell ref="I43:J43"/>
    <mergeCell ref="B38:D38"/>
    <mergeCell ref="I38:J38"/>
    <mergeCell ref="B39:D39"/>
    <mergeCell ref="I39:J39"/>
    <mergeCell ref="B40:D40"/>
    <mergeCell ref="I40:J40"/>
    <mergeCell ref="B35:D35"/>
    <mergeCell ref="I35:J35"/>
    <mergeCell ref="B36:D36"/>
    <mergeCell ref="I36:J36"/>
    <mergeCell ref="B37:D37"/>
    <mergeCell ref="I37:J37"/>
    <mergeCell ref="I21:J21"/>
    <mergeCell ref="E50:F50"/>
    <mergeCell ref="E51:F51"/>
    <mergeCell ref="G47:J47"/>
    <mergeCell ref="E48:J48"/>
    <mergeCell ref="G50:J50"/>
    <mergeCell ref="I15:J15"/>
    <mergeCell ref="I16:J16"/>
    <mergeCell ref="B19:D19"/>
    <mergeCell ref="B2:J2"/>
    <mergeCell ref="I20:J20"/>
    <mergeCell ref="I17:J17"/>
    <mergeCell ref="I18:J18"/>
    <mergeCell ref="I19:J19"/>
    <mergeCell ref="B9:D9"/>
    <mergeCell ref="I11:J11"/>
    <mergeCell ref="I9:J9"/>
    <mergeCell ref="I12:J12"/>
    <mergeCell ref="B1:J1"/>
    <mergeCell ref="F3:J3"/>
    <mergeCell ref="B7:D8"/>
    <mergeCell ref="C3:D3"/>
    <mergeCell ref="C4:D4"/>
    <mergeCell ref="F4:J4"/>
    <mergeCell ref="E7:H7"/>
    <mergeCell ref="I7:J8"/>
    <mergeCell ref="B5:C5"/>
    <mergeCell ref="E5:H5"/>
    <mergeCell ref="I5:J5"/>
    <mergeCell ref="B12:D12"/>
    <mergeCell ref="B54:C54"/>
    <mergeCell ref="B47:D47"/>
    <mergeCell ref="B48:D48"/>
    <mergeCell ref="B49:D49"/>
    <mergeCell ref="B50:D51"/>
    <mergeCell ref="B52:C52"/>
    <mergeCell ref="B53:C53"/>
    <mergeCell ref="G51:J51"/>
    <mergeCell ref="E49:J49"/>
    <mergeCell ref="I10:J10"/>
    <mergeCell ref="I13:J13"/>
    <mergeCell ref="I14:J14"/>
    <mergeCell ref="B22:D22"/>
    <mergeCell ref="I22:J22"/>
    <mergeCell ref="B23:D23"/>
    <mergeCell ref="I23:J23"/>
    <mergeCell ref="B24:D24"/>
    <mergeCell ref="I24:J24"/>
    <mergeCell ref="B25:D25"/>
    <mergeCell ref="I25:J25"/>
    <mergeCell ref="B26:D26"/>
    <mergeCell ref="I26:J26"/>
    <mergeCell ref="B27:D27"/>
    <mergeCell ref="I27:J27"/>
    <mergeCell ref="B34:D34"/>
    <mergeCell ref="I34:J34"/>
    <mergeCell ref="B28:D28"/>
    <mergeCell ref="I28:J28"/>
    <mergeCell ref="B29:D29"/>
    <mergeCell ref="I29:J29"/>
    <mergeCell ref="B30:D30"/>
    <mergeCell ref="I30:J30"/>
    <mergeCell ref="B31:D31"/>
    <mergeCell ref="I31:J31"/>
    <mergeCell ref="B32:D32"/>
    <mergeCell ref="I32:J32"/>
    <mergeCell ref="B33:D33"/>
    <mergeCell ref="I33:J33"/>
    <mergeCell ref="B21:D21"/>
    <mergeCell ref="B20:D20"/>
    <mergeCell ref="B18:D18"/>
    <mergeCell ref="B10:D10"/>
    <mergeCell ref="B16:D16"/>
    <mergeCell ref="B15:D15"/>
    <mergeCell ref="B14:D14"/>
    <mergeCell ref="B13:D13"/>
    <mergeCell ref="B11:D11"/>
    <mergeCell ref="B17:D17"/>
  </mergeCells>
  <conditionalFormatting sqref="C3:D3">
    <cfRule type="containsText" dxfId="74" priority="167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73" priority="166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49">
    <cfRule type="expression" dxfId="72" priority="206">
      <formula>$E49="راسب"</formula>
    </cfRule>
  </conditionalFormatting>
  <conditionalFormatting sqref="E49:J49">
    <cfRule type="expression" dxfId="71" priority="207">
      <formula>$E49="مقبول"</formula>
    </cfRule>
    <cfRule type="expression" dxfId="70" priority="208">
      <formula>$E49="جيد"</formula>
    </cfRule>
    <cfRule type="expression" dxfId="69" priority="209">
      <formula>$E49="جيد جداً"</formula>
    </cfRule>
    <cfRule type="expression" dxfId="68" priority="210">
      <formula>$E49="ممتاز"</formula>
    </cfRule>
  </conditionalFormatting>
  <conditionalFormatting sqref="F10:F21">
    <cfRule type="containsText" dxfId="67" priority="163" operator="containsText" text="أدخل العلامة">
      <formula>NOT(ISERROR(SEARCH("أدخل العلامة",F10)))</formula>
    </cfRule>
  </conditionalFormatting>
  <conditionalFormatting sqref="F3:J3">
    <cfRule type="containsText" dxfId="66" priority="168" operator="containsText" text="أدخل التاريخ">
      <formula>NOT(ISERROR(SEARCH("أدخل التاريخ",F3)))</formula>
    </cfRule>
  </conditionalFormatting>
  <conditionalFormatting sqref="F4:J4 I5">
    <cfRule type="containsText" dxfId="65" priority="165" operator="containsText" text="أدخل أسم المحكم">
      <formula>NOT(ISERROR(SEARCH("أدخل أسم المحكم",F4)))</formula>
    </cfRule>
  </conditionalFormatting>
  <conditionalFormatting sqref="G50:J50">
    <cfRule type="containsText" dxfId="64" priority="164" operator="containsText" text="أدخل اسم المحكم">
      <formula>NOT(ISERROR(SEARCH("أدخل اسم المحكم",G50)))</formula>
    </cfRule>
  </conditionalFormatting>
  <conditionalFormatting sqref="H10:H21">
    <cfRule type="containsText" dxfId="63" priority="154" operator="containsText" text="أدخل العلامة">
      <formula>NOT(ISERROR(SEARCH("أدخل العلامة",H10)))</formula>
    </cfRule>
    <cfRule type="containsText" dxfId="62" priority="155" operator="containsText" text="ممتاز">
      <formula>NOT(ISERROR(SEARCH("ممتاز",H10)))</formula>
    </cfRule>
    <cfRule type="containsText" dxfId="61" priority="156" operator="containsText" text="جيد جداً">
      <formula>NOT(ISERROR(SEARCH("جيد جداً",H10)))</formula>
    </cfRule>
    <cfRule type="containsText" dxfId="60" priority="157" operator="containsText" text="جيد">
      <formula>NOT(ISERROR(SEARCH("جيد",H10)))</formula>
    </cfRule>
    <cfRule type="containsText" dxfId="59" priority="158" operator="containsText" text="مقبول">
      <formula>NOT(ISERROR(SEARCH("مقبول",H10)))</formula>
    </cfRule>
    <cfRule type="containsText" dxfId="58" priority="159" operator="containsText" text="راسب">
      <formula>NOT(ISERROR(SEARCH("راسب",H10)))</formula>
    </cfRule>
  </conditionalFormatting>
  <conditionalFormatting sqref="D5">
    <cfRule type="containsText" dxfId="57" priority="149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56" priority="148" operator="containsText" text="أدخل رقم المعضلة">
      <formula>NOT(ISERROR(SEARCH("أدخل رقم المعضلة",I5)))</formula>
    </cfRule>
  </conditionalFormatting>
  <conditionalFormatting sqref="F22:F27">
    <cfRule type="containsText" dxfId="55" priority="140" operator="containsText" text="أدخل العلامة">
      <formula>NOT(ISERROR(SEARCH("أدخل العلامة",F22)))</formula>
    </cfRule>
  </conditionalFormatting>
  <conditionalFormatting sqref="H22:H27">
    <cfRule type="containsText" dxfId="54" priority="134" operator="containsText" text="أدخل العلامة">
      <formula>NOT(ISERROR(SEARCH("أدخل العلامة",H22)))</formula>
    </cfRule>
    <cfRule type="containsText" dxfId="53" priority="135" operator="containsText" text="ممتاز">
      <formula>NOT(ISERROR(SEARCH("ممتاز",H22)))</formula>
    </cfRule>
    <cfRule type="containsText" dxfId="52" priority="136" operator="containsText" text="جيد جداً">
      <formula>NOT(ISERROR(SEARCH("جيد جداً",H22)))</formula>
    </cfRule>
    <cfRule type="containsText" dxfId="51" priority="137" operator="containsText" text="جيد">
      <formula>NOT(ISERROR(SEARCH("جيد",H22)))</formula>
    </cfRule>
    <cfRule type="containsText" dxfId="50" priority="138" operator="containsText" text="مقبول">
      <formula>NOT(ISERROR(SEARCH("مقبول",H22)))</formula>
    </cfRule>
    <cfRule type="containsText" dxfId="49" priority="139" operator="containsText" text="راسب">
      <formula>NOT(ISERROR(SEARCH("راسب",H22)))</formula>
    </cfRule>
  </conditionalFormatting>
  <conditionalFormatting sqref="F28:F31">
    <cfRule type="containsText" dxfId="48" priority="133" operator="containsText" text="أدخل العلامة">
      <formula>NOT(ISERROR(SEARCH("أدخل العلامة",F28)))</formula>
    </cfRule>
  </conditionalFormatting>
  <conditionalFormatting sqref="H28:H31">
    <cfRule type="containsText" dxfId="47" priority="127" operator="containsText" text="أدخل العلامة">
      <formula>NOT(ISERROR(SEARCH("أدخل العلامة",H28)))</formula>
    </cfRule>
    <cfRule type="containsText" dxfId="46" priority="128" operator="containsText" text="ممتاز">
      <formula>NOT(ISERROR(SEARCH("ممتاز",H28)))</formula>
    </cfRule>
    <cfRule type="containsText" dxfId="45" priority="129" operator="containsText" text="جيد جداً">
      <formula>NOT(ISERROR(SEARCH("جيد جداً",H28)))</formula>
    </cfRule>
    <cfRule type="containsText" dxfId="44" priority="130" operator="containsText" text="جيد">
      <formula>NOT(ISERROR(SEARCH("جيد",H28)))</formula>
    </cfRule>
    <cfRule type="containsText" dxfId="43" priority="131" operator="containsText" text="مقبول">
      <formula>NOT(ISERROR(SEARCH("مقبول",H28)))</formula>
    </cfRule>
    <cfRule type="containsText" dxfId="42" priority="132" operator="containsText" text="راسب">
      <formula>NOT(ISERROR(SEARCH("راسب",H28)))</formula>
    </cfRule>
  </conditionalFormatting>
  <conditionalFormatting sqref="F32:F34">
    <cfRule type="containsText" dxfId="41" priority="126" operator="containsText" text="أدخل العلامة">
      <formula>NOT(ISERROR(SEARCH("أدخل العلامة",F32)))</formula>
    </cfRule>
  </conditionalFormatting>
  <conditionalFormatting sqref="H32:H34">
    <cfRule type="containsText" dxfId="40" priority="120" operator="containsText" text="أدخل العلامة">
      <formula>NOT(ISERROR(SEARCH("أدخل العلامة",H32)))</formula>
    </cfRule>
    <cfRule type="containsText" dxfId="39" priority="121" operator="containsText" text="ممتاز">
      <formula>NOT(ISERROR(SEARCH("ممتاز",H32)))</formula>
    </cfRule>
    <cfRule type="containsText" dxfId="38" priority="122" operator="containsText" text="جيد جداً">
      <formula>NOT(ISERROR(SEARCH("جيد جداً",H32)))</formula>
    </cfRule>
    <cfRule type="containsText" dxfId="37" priority="123" operator="containsText" text="جيد">
      <formula>NOT(ISERROR(SEARCH("جيد",H32)))</formula>
    </cfRule>
    <cfRule type="containsText" dxfId="36" priority="124" operator="containsText" text="مقبول">
      <formula>NOT(ISERROR(SEARCH("مقبول",H32)))</formula>
    </cfRule>
    <cfRule type="containsText" dxfId="35" priority="125" operator="containsText" text="راسب">
      <formula>NOT(ISERROR(SEARCH("راسب",H32)))</formula>
    </cfRule>
  </conditionalFormatting>
  <conditionalFormatting sqref="F35">
    <cfRule type="containsText" dxfId="34" priority="63" operator="containsText" text="أدخل العلامة">
      <formula>NOT(ISERROR(SEARCH("أدخل العلامة",F35)))</formula>
    </cfRule>
  </conditionalFormatting>
  <conditionalFormatting sqref="H35">
    <cfRule type="containsText" dxfId="33" priority="57" operator="containsText" text="أدخل العلامة">
      <formula>NOT(ISERROR(SEARCH("أدخل العلامة",H35)))</formula>
    </cfRule>
    <cfRule type="containsText" dxfId="32" priority="58" operator="containsText" text="ممتاز">
      <formula>NOT(ISERROR(SEARCH("ممتاز",H35)))</formula>
    </cfRule>
    <cfRule type="containsText" dxfId="31" priority="59" operator="containsText" text="جيد جداً">
      <formula>NOT(ISERROR(SEARCH("جيد جداً",H35)))</formula>
    </cfRule>
    <cfRule type="containsText" dxfId="30" priority="60" operator="containsText" text="جيد">
      <formula>NOT(ISERROR(SEARCH("جيد",H35)))</formula>
    </cfRule>
    <cfRule type="containsText" dxfId="29" priority="61" operator="containsText" text="مقبول">
      <formula>NOT(ISERROR(SEARCH("مقبول",H35)))</formula>
    </cfRule>
    <cfRule type="containsText" dxfId="28" priority="62" operator="containsText" text="راسب">
      <formula>NOT(ISERROR(SEARCH("راسب",H35)))</formula>
    </cfRule>
  </conditionalFormatting>
  <conditionalFormatting sqref="F36:F38">
    <cfRule type="containsText" dxfId="27" priority="56" operator="containsText" text="أدخل العلامة">
      <formula>NOT(ISERROR(SEARCH("أدخل العلامة",F36)))</formula>
    </cfRule>
  </conditionalFormatting>
  <conditionalFormatting sqref="H36:H38">
    <cfRule type="containsText" dxfId="26" priority="50" operator="containsText" text="أدخل العلامة">
      <formula>NOT(ISERROR(SEARCH("أدخل العلامة",H36)))</formula>
    </cfRule>
    <cfRule type="containsText" dxfId="25" priority="51" operator="containsText" text="ممتاز">
      <formula>NOT(ISERROR(SEARCH("ممتاز",H36)))</formula>
    </cfRule>
    <cfRule type="containsText" dxfId="24" priority="52" operator="containsText" text="جيد جداً">
      <formula>NOT(ISERROR(SEARCH("جيد جداً",H36)))</formula>
    </cfRule>
    <cfRule type="containsText" dxfId="23" priority="53" operator="containsText" text="جيد">
      <formula>NOT(ISERROR(SEARCH("جيد",H36)))</formula>
    </cfRule>
    <cfRule type="containsText" dxfId="22" priority="54" operator="containsText" text="مقبول">
      <formula>NOT(ISERROR(SEARCH("مقبول",H36)))</formula>
    </cfRule>
    <cfRule type="containsText" dxfId="21" priority="55" operator="containsText" text="راسب">
      <formula>NOT(ISERROR(SEARCH("راسب",H36)))</formula>
    </cfRule>
  </conditionalFormatting>
  <conditionalFormatting sqref="F39:F41">
    <cfRule type="containsText" dxfId="20" priority="49" operator="containsText" text="أدخل العلامة">
      <formula>NOT(ISERROR(SEARCH("أدخل العلامة",F39)))</formula>
    </cfRule>
  </conditionalFormatting>
  <conditionalFormatting sqref="H39:H41">
    <cfRule type="containsText" dxfId="19" priority="43" operator="containsText" text="أدخل العلامة">
      <formula>NOT(ISERROR(SEARCH("أدخل العلامة",H39)))</formula>
    </cfRule>
    <cfRule type="containsText" dxfId="18" priority="44" operator="containsText" text="ممتاز">
      <formula>NOT(ISERROR(SEARCH("ممتاز",H39)))</formula>
    </cfRule>
    <cfRule type="containsText" dxfId="17" priority="45" operator="containsText" text="جيد جداً">
      <formula>NOT(ISERROR(SEARCH("جيد جداً",H39)))</formula>
    </cfRule>
    <cfRule type="containsText" dxfId="16" priority="46" operator="containsText" text="جيد">
      <formula>NOT(ISERROR(SEARCH("جيد",H39)))</formula>
    </cfRule>
    <cfRule type="containsText" dxfId="15" priority="47" operator="containsText" text="مقبول">
      <formula>NOT(ISERROR(SEARCH("مقبول",H39)))</formula>
    </cfRule>
    <cfRule type="containsText" dxfId="14" priority="48" operator="containsText" text="راسب">
      <formula>NOT(ISERROR(SEARCH("راسب",H39)))</formula>
    </cfRule>
  </conditionalFormatting>
  <conditionalFormatting sqref="F42:F44">
    <cfRule type="containsText" dxfId="13" priority="42" operator="containsText" text="أدخل العلامة">
      <formula>NOT(ISERROR(SEARCH("أدخل العلامة",F42)))</formula>
    </cfRule>
  </conditionalFormatting>
  <conditionalFormatting sqref="H42:H44">
    <cfRule type="containsText" dxfId="12" priority="36" operator="containsText" text="أدخل العلامة">
      <formula>NOT(ISERROR(SEARCH("أدخل العلامة",H42)))</formula>
    </cfRule>
    <cfRule type="containsText" dxfId="11" priority="37" operator="containsText" text="ممتاز">
      <formula>NOT(ISERROR(SEARCH("ممتاز",H42)))</formula>
    </cfRule>
    <cfRule type="containsText" dxfId="10" priority="38" operator="containsText" text="جيد جداً">
      <formula>NOT(ISERROR(SEARCH("جيد جداً",H42)))</formula>
    </cfRule>
    <cfRule type="containsText" dxfId="9" priority="39" operator="containsText" text="جيد">
      <formula>NOT(ISERROR(SEARCH("جيد",H42)))</formula>
    </cfRule>
    <cfRule type="containsText" dxfId="8" priority="40" operator="containsText" text="مقبول">
      <formula>NOT(ISERROR(SEARCH("مقبول",H42)))</formula>
    </cfRule>
    <cfRule type="containsText" dxfId="7" priority="41" operator="containsText" text="راسب">
      <formula>NOT(ISERROR(SEARCH("راسب",H42)))</formula>
    </cfRule>
  </conditionalFormatting>
  <conditionalFormatting sqref="F45:F46">
    <cfRule type="containsText" dxfId="6" priority="35" operator="containsText" text="أدخل العلامة">
      <formula>NOT(ISERROR(SEARCH("أدخل العلامة",F45)))</formula>
    </cfRule>
  </conditionalFormatting>
  <conditionalFormatting sqref="H45:H46">
    <cfRule type="containsText" dxfId="5" priority="29" operator="containsText" text="أدخل العلامة">
      <formula>NOT(ISERROR(SEARCH("أدخل العلامة",H45)))</formula>
    </cfRule>
    <cfRule type="containsText" dxfId="4" priority="30" operator="containsText" text="ممتاز">
      <formula>NOT(ISERROR(SEARCH("ممتاز",H45)))</formula>
    </cfRule>
    <cfRule type="containsText" dxfId="3" priority="31" operator="containsText" text="جيد جداً">
      <formula>NOT(ISERROR(SEARCH("جيد جداً",H45)))</formula>
    </cfRule>
    <cfRule type="containsText" dxfId="2" priority="32" operator="containsText" text="جيد">
      <formula>NOT(ISERROR(SEARCH("جيد",H45)))</formula>
    </cfRule>
    <cfRule type="containsText" dxfId="1" priority="33" operator="containsText" text="مقبول">
      <formula>NOT(ISERROR(SEARCH("مقبول",H45)))</formula>
    </cfRule>
    <cfRule type="containsText" dxfId="0" priority="34" operator="containsText" text="راسب">
      <formula>NOT(ISERROR(SEARCH("راسب",H45)))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G50:J50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F21:F30 F11:F15 F32:F34 F36:F41 F43:F46 F17:F19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2025-10-23T07:47:59Z</dcterms:modified>
</cp:coreProperties>
</file>