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6D28961F-0636-4C2B-A527-98AEEE650EF8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التقييم'!$A$1:$J$40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2" l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1" i="2"/>
  <c r="H21" i="2" s="1"/>
  <c r="G20" i="2"/>
  <c r="H20" i="2" s="1"/>
  <c r="G19" i="2"/>
  <c r="H19" i="2" s="1"/>
  <c r="G18" i="2"/>
  <c r="H18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33" i="2" l="1"/>
  <c r="E34" i="2" l="1"/>
  <c r="E35" i="2" s="1"/>
</calcChain>
</file>

<file path=xl/sharedStrings.xml><?xml version="1.0" encoding="utf-8"?>
<sst xmlns="http://schemas.openxmlformats.org/spreadsheetml/2006/main" count="293" uniqueCount="214">
  <si>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</si>
  <si>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</si>
  <si>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</si>
  <si>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</si>
  <si>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</si>
  <si>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</si>
  <si>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</si>
  <si>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</si>
  <si>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</si>
  <si>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</si>
  <si>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</si>
  <si>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</si>
  <si>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</si>
  <si>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</si>
  <si>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</si>
  <si>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</si>
  <si>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</si>
  <si>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</si>
  <si>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</si>
  <si>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</si>
  <si>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</si>
  <si>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</si>
  <si>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</si>
  <si>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</si>
  <si>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</si>
  <si>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</si>
  <si>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</si>
  <si>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</si>
  <si>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</si>
  <si>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</si>
  <si>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</si>
  <si>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</si>
  <si>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</si>
  <si>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</si>
  <si>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</si>
  <si>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</si>
  <si>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</si>
  <si>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</si>
  <si>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</si>
  <si>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</si>
  <si>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</si>
  <si>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</si>
  <si>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</si>
  <si>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</si>
  <si>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</si>
  <si>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</si>
  <si>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</si>
  <si>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</si>
  <si>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</si>
  <si>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</si>
  <si>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</si>
  <si>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</si>
  <si>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</si>
  <si>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</si>
  <si>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</si>
  <si>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</si>
  <si>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</si>
  <si>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</si>
  <si>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</si>
  <si>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</si>
  <si>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</si>
  <si>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</si>
  <si>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</si>
  <si>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</si>
  <si>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</si>
  <si>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</si>
  <si>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</si>
  <si>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</si>
  <si>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</si>
  <si>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</si>
  <si>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</si>
  <si>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</si>
  <si>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</si>
  <si>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</si>
  <si>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</si>
  <si>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</si>
  <si>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</si>
  <si>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</si>
  <si>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</si>
  <si>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</si>
  <si>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</si>
  <si>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</si>
  <si>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</si>
  <si>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</si>
  <si>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</si>
  <si>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</si>
  <si>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</si>
  <si>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</si>
  <si>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</si>
  <si>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</si>
  <si>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</si>
  <si>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</si>
  <si>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</si>
  <si>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</si>
  <si>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</si>
  <si>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</si>
  <si>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</si>
  <si>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</si>
  <si>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</si>
  <si>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</si>
  <si>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</si>
  <si>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</si>
  <si>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</si>
  <si>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</si>
  <si>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</si>
  <si>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</si>
  <si>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</si>
  <si>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</si>
  <si>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</si>
  <si>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</si>
  <si>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</si>
  <si>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</si>
  <si>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</si>
  <si>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</si>
  <si>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</si>
  <si>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</si>
  <si>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</si>
  <si>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</si>
  <si>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</si>
  <si>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</si>
  <si>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</si>
  <si>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</si>
  <si>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</si>
  <si>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</si>
  <si>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</si>
  <si>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</si>
  <si>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</si>
  <si>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</si>
  <si>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</si>
  <si>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</si>
  <si>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</si>
  <si>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</si>
  <si>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</si>
  <si>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</si>
  <si>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</si>
  <si>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</si>
  <si>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</si>
  <si>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</si>
  <si>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</si>
  <si>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</si>
  <si>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</si>
  <si>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</si>
  <si>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</si>
  <si>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</si>
  <si>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</si>
  <si>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</si>
  <si>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</si>
  <si>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</si>
  <si>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</si>
  <si>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</si>
  <si>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</si>
  <si>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</si>
  <si>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</si>
  <si>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</si>
  <si>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</si>
  <si>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</si>
  <si>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</si>
  <si>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</si>
  <si>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</si>
  <si>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</si>
  <si>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</si>
  <si>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</si>
  <si>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</si>
  <si>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</si>
  <si>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</si>
  <si>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</si>
  <si>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</si>
  <si>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</si>
  <si>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</si>
  <si>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</si>
  <si>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</si>
  <si>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</si>
  <si>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</si>
  <si>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</si>
  <si>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</si>
  <si>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</si>
  <si>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</si>
  <si>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</si>
  <si>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</si>
  <si>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</si>
  <si>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</si>
  <si>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</si>
  <si>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</si>
  <si>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</si>
  <si>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</si>
  <si>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</si>
  <si>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</si>
  <si>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</si>
  <si>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</si>
  <si>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الإخلاء الطبي للمصابين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</si>
  <si>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الإخلاء الطبي للمصابين.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</si>
  <si>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</si>
  <si>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توفير الحماية</t>
    </r>
  </si>
  <si>
    <r>
      <t>3.</t>
    </r>
    <r>
      <rPr>
        <sz val="12"/>
        <color rgb="FF000000"/>
        <rFont val="Times New Roman"/>
        <family val="1"/>
      </rPr>
      <t xml:space="preserve">      توفير </t>
    </r>
    <r>
      <rPr>
        <sz val="12"/>
        <color rgb="FF000000"/>
        <rFont val="Arial"/>
        <family val="2"/>
      </rPr>
      <t xml:space="preserve">الإسعاف الذاتي والإسعاف التبادلي 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</si>
  <si>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اخراج ونقل المصابين من الآلية/موقع الإصابة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</si>
  <si>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التعامل مع الشهداء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</si>
  <si>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نقل المصابين إلى نقطة جمع المصابين</t>
    </r>
  </si>
  <si>
    <t>اجراءات رد فعل العناصر الطبية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</si>
  <si>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سرعة الوصول إلى موقع الحدث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</si>
  <si>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التوزيع السليم للأدوار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</si>
  <si>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تصنيف الإصابات حسب الأوامر المستديمة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</si>
  <si>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</si>
  <si>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t>طلب إخلاء جوي/أرضي حسب الأوامر المستديمة والنسق التالي:</t>
  </si>
  <si>
    <t>1.   مكان موقع التحميل.</t>
  </si>
  <si>
    <t>2.  ترددات الأجهزة اللاسلكية، النداء، الكلمات الرمزية.</t>
  </si>
  <si>
    <t>3.  عدد المرضى بالأسبقية.</t>
  </si>
  <si>
    <t>4.   المعدات الخاصة المطلوبة.</t>
  </si>
  <si>
    <t>5.  عدد المرضى حسب النوع.</t>
  </si>
  <si>
    <t>6.  حماية موقع التحميل.</t>
  </si>
  <si>
    <t>7.  طريقة تأشير موقع التحميل.</t>
  </si>
  <si>
    <t>8.  جنسية وحالة المصاب.</t>
  </si>
  <si>
    <t>9. مستوى التلوث الكيميائي والبيولوجي والإشعاعي والنووي.</t>
  </si>
  <si>
    <t>تنفيذ الإخلاء الطبي/الأرضي</t>
  </si>
  <si>
    <t>اجراءات رد فعل الوحدة المتأثرة بالإصابة: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</si>
</sst>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9" fontId="3" fillId="0" borderId="23" xfId="0" applyNumberFormat="1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12" fillId="0" borderId="20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0"/>
  <sheetViews>
    <sheetView rightToLeft="1" tabSelected="1" view="pageBreakPreview" topLeftCell="A35" zoomScale="136" zoomScaleNormal="100" zoomScaleSheetLayoutView="136" workbookViewId="0">
      <selection activeCell="F18" sqref="F18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8" t="s">
        <v>189</v>
      </c>
      <c r="C1" s="78"/>
      <c r="D1" s="78"/>
      <c r="E1" s="78"/>
      <c r="F1" s="78"/>
      <c r="G1" s="78"/>
      <c r="H1" s="78"/>
      <c r="I1" s="78"/>
      <c r="J1" s="78"/>
    </row>
    <row r="2" spans="1:10" ht="45" customHeight="1" x14ac:dyDescent="0.2">
      <c r="B2" s="91" t="s">
        <v>190</v>
      </c>
      <c r="C2" s="91"/>
      <c r="D2" s="91"/>
      <c r="E2" s="91"/>
      <c r="F2" s="91"/>
      <c r="G2" s="91"/>
      <c r="H2" s="91"/>
      <c r="I2" s="91"/>
      <c r="J2" s="91"/>
    </row>
    <row r="3" spans="1:10" ht="30" customHeight="1" x14ac:dyDescent="0.2">
      <c r="B3" s="11" t="s">
        <v>8</v>
      </c>
      <c r="C3" s="84" t="s">
        <v>57</v>
      </c>
      <c r="D3" s="84"/>
      <c r="E3" s="11" t="s">
        <v>7</v>
      </c>
      <c r="F3" s="79" t="s">
        <v>56</v>
      </c>
      <c r="G3" s="79"/>
      <c r="H3" s="79"/>
      <c r="I3" s="79"/>
      <c r="J3" s="79"/>
    </row>
    <row r="4" spans="1:10" ht="30" customHeight="1" x14ac:dyDescent="0.2">
      <c r="B4" s="11" t="s">
        <v>9</v>
      </c>
      <c r="C4" s="84" t="s">
        <v>60</v>
      </c>
      <c r="D4" s="84"/>
      <c r="E4" s="11" t="s">
        <v>6</v>
      </c>
      <c r="F4" s="84" t="s">
        <v>59</v>
      </c>
      <c r="G4" s="84"/>
      <c r="H4" s="84"/>
      <c r="I4" s="84"/>
      <c r="J4" s="84"/>
    </row>
    <row r="5" spans="1:10" ht="30" customHeight="1" x14ac:dyDescent="0.2">
      <c r="B5" s="61" t="s">
        <v>186</v>
      </c>
      <c r="C5" s="61"/>
      <c r="D5" s="39" t="s">
        <v>188</v>
      </c>
      <c r="E5" s="61" t="s">
        <v>187</v>
      </c>
      <c r="F5" s="61"/>
      <c r="G5" s="61"/>
      <c r="H5" s="61"/>
      <c r="I5" s="62" t="s">
        <v>185</v>
      </c>
      <c r="J5" s="62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80" t="s">
        <v>0</v>
      </c>
      <c r="C7" s="81"/>
      <c r="D7" s="81"/>
      <c r="E7" s="85" t="s">
        <v>1</v>
      </c>
      <c r="F7" s="85"/>
      <c r="G7" s="85"/>
      <c r="H7" s="85"/>
      <c r="I7" s="85" t="s">
        <v>2</v>
      </c>
      <c r="J7" s="86"/>
    </row>
    <row r="8" spans="1:10" ht="24.95" customHeight="1" thickBot="1" x14ac:dyDescent="0.25">
      <c r="A8" s="9"/>
      <c r="B8" s="82"/>
      <c r="C8" s="83"/>
      <c r="D8" s="83"/>
      <c r="E8" s="10" t="s">
        <v>3</v>
      </c>
      <c r="F8" s="10" t="s">
        <v>4</v>
      </c>
      <c r="G8" s="10" t="s">
        <v>23</v>
      </c>
      <c r="H8" s="10" t="s">
        <v>24</v>
      </c>
      <c r="I8" s="87"/>
      <c r="J8" s="88"/>
    </row>
    <row r="9" spans="1:10" ht="24.95" customHeight="1" thickBot="1" x14ac:dyDescent="0.25">
      <c r="A9" s="9"/>
      <c r="B9" s="99" t="s">
        <v>21</v>
      </c>
      <c r="C9" s="100"/>
      <c r="D9" s="100"/>
      <c r="E9" s="27" t="s">
        <v>18</v>
      </c>
      <c r="F9" s="27" t="s">
        <v>19</v>
      </c>
      <c r="G9" s="27" t="s">
        <v>22</v>
      </c>
      <c r="H9" s="27" t="s">
        <v>20</v>
      </c>
      <c r="I9" s="101" t="s">
        <v>25</v>
      </c>
      <c r="J9" s="102"/>
    </row>
    <row r="10" spans="1:10" ht="39.950000000000003" customHeight="1" x14ac:dyDescent="0.2">
      <c r="A10" s="9"/>
      <c r="B10" s="59" t="s">
        <v>213</v>
      </c>
      <c r="C10" s="60"/>
      <c r="D10" s="60"/>
      <c r="E10" s="31"/>
      <c r="F10" s="43"/>
      <c r="G10" s="32"/>
      <c r="H10" s="33"/>
      <c r="I10" s="89"/>
      <c r="J10" s="90"/>
    </row>
    <row r="11" spans="1:10" ht="39.950000000000003" customHeight="1" x14ac:dyDescent="0.2">
      <c r="A11" s="9"/>
      <c r="B11" s="51" t="s">
        <v>191</v>
      </c>
      <c r="C11" s="52"/>
      <c r="D11" s="52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53"/>
      <c r="J11" s="54"/>
    </row>
    <row r="12" spans="1:10" ht="39.950000000000003" customHeight="1" x14ac:dyDescent="0.2">
      <c r="A12" s="9"/>
      <c r="B12" s="51" t="s">
        <v>192</v>
      </c>
      <c r="C12" s="52"/>
      <c r="D12" s="52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53"/>
      <c r="J12" s="54"/>
    </row>
    <row r="13" spans="1:10" ht="39.950000000000003" customHeight="1" x14ac:dyDescent="0.2">
      <c r="A13" s="9"/>
      <c r="B13" s="51" t="s">
        <v>193</v>
      </c>
      <c r="C13" s="52"/>
      <c r="D13" s="52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53"/>
      <c r="J13" s="54"/>
    </row>
    <row r="14" spans="1:10" ht="39.950000000000003" customHeight="1" x14ac:dyDescent="0.2">
      <c r="A14" s="9"/>
      <c r="B14" s="51" t="s">
        <v>194</v>
      </c>
      <c r="C14" s="52"/>
      <c r="D14" s="52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53"/>
      <c r="J14" s="54"/>
    </row>
    <row r="15" spans="1:10" ht="39.950000000000003" customHeight="1" x14ac:dyDescent="0.2">
      <c r="A15" s="9"/>
      <c r="B15" s="51" t="s">
        <v>195</v>
      </c>
      <c r="C15" s="52"/>
      <c r="D15" s="52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53"/>
      <c r="J15" s="54"/>
    </row>
    <row r="16" spans="1:10" ht="39.950000000000003" customHeight="1" thickBot="1" x14ac:dyDescent="0.25">
      <c r="A16" s="9"/>
      <c r="B16" s="55" t="s">
        <v>196</v>
      </c>
      <c r="C16" s="56"/>
      <c r="D16" s="56"/>
      <c r="E16" s="34">
        <v>3</v>
      </c>
      <c r="F16" s="42" t="s">
        <v>61</v>
      </c>
      <c r="G16" s="35" t="str">
        <f t="shared" si="0"/>
        <v/>
      </c>
      <c r="H16" s="36" t="str">
        <f t="shared" si="1"/>
        <v/>
      </c>
      <c r="I16" s="57"/>
      <c r="J16" s="58"/>
    </row>
    <row r="17" spans="1:10" ht="39.950000000000003" customHeight="1" x14ac:dyDescent="0.2">
      <c r="A17" s="9"/>
      <c r="B17" s="59" t="s">
        <v>197</v>
      </c>
      <c r="C17" s="60"/>
      <c r="D17" s="60"/>
      <c r="E17" s="31"/>
      <c r="F17" s="43"/>
      <c r="G17" s="32"/>
      <c r="H17" s="33"/>
      <c r="I17" s="89"/>
      <c r="J17" s="90"/>
    </row>
    <row r="18" spans="1:10" ht="39.950000000000003" customHeight="1" x14ac:dyDescent="0.2">
      <c r="A18" s="9"/>
      <c r="B18" s="51" t="s">
        <v>198</v>
      </c>
      <c r="C18" s="52"/>
      <c r="D18" s="52"/>
      <c r="E18" s="28">
        <v>3</v>
      </c>
      <c r="F18" s="41" t="s">
        <v>61</v>
      </c>
      <c r="G18" s="29" t="str">
        <f t="shared" ref="G18:G21" si="2">IFERROR(F18/E18,"")</f>
        <v/>
      </c>
      <c r="H18" s="30" t="str">
        <f t="shared" ref="H18:H21" si="3">_xlfn.IFS(F18="أدخل العلامة","",F18="لا ينطبق","تم الإلغاء",G18&gt;=90%,"ممتاز",G18&gt;=80%,"جيد جداً",G18&gt;=70%,"جيد",G18&gt;=60%,"مقبول",G18&lt;60%,"راسب")</f>
        <v/>
      </c>
      <c r="I18" s="53"/>
      <c r="J18" s="54"/>
    </row>
    <row r="19" spans="1:10" ht="39.950000000000003" customHeight="1" x14ac:dyDescent="0.2">
      <c r="A19" s="9"/>
      <c r="B19" s="51" t="s">
        <v>199</v>
      </c>
      <c r="C19" s="52"/>
      <c r="D19" s="52"/>
      <c r="E19" s="28">
        <v>3</v>
      </c>
      <c r="F19" s="41" t="s">
        <v>61</v>
      </c>
      <c r="G19" s="29" t="str">
        <f t="shared" si="2"/>
        <v/>
      </c>
      <c r="H19" s="30" t="str">
        <f t="shared" si="3"/>
        <v/>
      </c>
      <c r="I19" s="53"/>
      <c r="J19" s="54"/>
    </row>
    <row r="20" spans="1:10" ht="39.950000000000003" customHeight="1" x14ac:dyDescent="0.2">
      <c r="A20" s="9"/>
      <c r="B20" s="51" t="s">
        <v>200</v>
      </c>
      <c r="C20" s="52"/>
      <c r="D20" s="52"/>
      <c r="E20" s="28">
        <v>3</v>
      </c>
      <c r="F20" s="41" t="s">
        <v>61</v>
      </c>
      <c r="G20" s="29" t="str">
        <f t="shared" si="2"/>
        <v/>
      </c>
      <c r="H20" s="30" t="str">
        <f t="shared" si="3"/>
        <v/>
      </c>
      <c r="I20" s="53"/>
      <c r="J20" s="54"/>
    </row>
    <row r="21" spans="1:10" ht="39.950000000000003" customHeight="1" thickBot="1" x14ac:dyDescent="0.25">
      <c r="A21" s="9"/>
      <c r="B21" s="55" t="s">
        <v>201</v>
      </c>
      <c r="C21" s="56"/>
      <c r="D21" s="56"/>
      <c r="E21" s="34">
        <v>3</v>
      </c>
      <c r="F21" s="42" t="s">
        <v>61</v>
      </c>
      <c r="G21" s="35" t="str">
        <f t="shared" si="2"/>
        <v/>
      </c>
      <c r="H21" s="36" t="str">
        <f t="shared" si="3"/>
        <v/>
      </c>
      <c r="I21" s="57"/>
      <c r="J21" s="58"/>
    </row>
    <row r="22" spans="1:10" ht="39.950000000000003" customHeight="1" x14ac:dyDescent="0.2">
      <c r="A22" s="9"/>
      <c r="B22" s="59" t="s">
        <v>202</v>
      </c>
      <c r="C22" s="60"/>
      <c r="D22" s="60"/>
      <c r="E22" s="31"/>
      <c r="F22" s="43"/>
      <c r="G22" s="32"/>
      <c r="H22" s="33"/>
      <c r="I22" s="89"/>
      <c r="J22" s="90"/>
    </row>
    <row r="23" spans="1:10" ht="39.950000000000003" customHeight="1" x14ac:dyDescent="0.2">
      <c r="A23" s="9"/>
      <c r="B23" s="51" t="s">
        <v>203</v>
      </c>
      <c r="C23" s="52"/>
      <c r="D23" s="52"/>
      <c r="E23" s="28">
        <v>3</v>
      </c>
      <c r="F23" s="41" t="s">
        <v>61</v>
      </c>
      <c r="G23" s="29" t="str">
        <f>IFERROR(F23/E23,"")</f>
        <v/>
      </c>
      <c r="H23" s="30" t="str">
        <f>_xlfn.IFS(F23="أدخل العلامة","",F23="لا ينطبق","تم الإلغاء",G23&gt;=90%,"ممتاز",G23&gt;=80%,"جيد جداً",G23&gt;=70%,"جيد",G23&gt;=60%,"مقبول",G23&lt;60%,"راسب")</f>
        <v/>
      </c>
      <c r="I23" s="53"/>
      <c r="J23" s="54"/>
    </row>
    <row r="24" spans="1:10" ht="39.950000000000003" customHeight="1" x14ac:dyDescent="0.2">
      <c r="A24" s="9"/>
      <c r="B24" s="51" t="s">
        <v>204</v>
      </c>
      <c r="C24" s="52"/>
      <c r="D24" s="52"/>
      <c r="E24" s="28">
        <v>3</v>
      </c>
      <c r="F24" s="41" t="s">
        <v>61</v>
      </c>
      <c r="G24" s="29" t="str">
        <f t="shared" ref="G24:G28" si="4">IFERROR(F24/E24,"")</f>
        <v/>
      </c>
      <c r="H24" s="30" t="str">
        <f t="shared" ref="H24:H28" si="5">_xlfn.IFS(F24="أدخل العلامة","",F24="لا ينطبق","تم الإلغاء",G24&gt;=90%,"ممتاز",G24&gt;=80%,"جيد جداً",G24&gt;=70%,"جيد",G24&gt;=60%,"مقبول",G24&lt;60%,"راسب")</f>
        <v/>
      </c>
      <c r="I24" s="53"/>
      <c r="J24" s="54"/>
    </row>
    <row r="25" spans="1:10" ht="39.950000000000003" customHeight="1" x14ac:dyDescent="0.2">
      <c r="A25" s="9"/>
      <c r="B25" s="51" t="s">
        <v>205</v>
      </c>
      <c r="C25" s="52"/>
      <c r="D25" s="52"/>
      <c r="E25" s="28">
        <v>3</v>
      </c>
      <c r="F25" s="41" t="s">
        <v>61</v>
      </c>
      <c r="G25" s="29" t="str">
        <f t="shared" si="4"/>
        <v/>
      </c>
      <c r="H25" s="30" t="str">
        <f t="shared" si="5"/>
        <v/>
      </c>
      <c r="I25" s="53"/>
      <c r="J25" s="54"/>
    </row>
    <row r="26" spans="1:10" ht="39.950000000000003" customHeight="1" x14ac:dyDescent="0.2">
      <c r="A26" s="9"/>
      <c r="B26" s="51" t="s">
        <v>206</v>
      </c>
      <c r="C26" s="52"/>
      <c r="D26" s="52"/>
      <c r="E26" s="28">
        <v>3</v>
      </c>
      <c r="F26" s="41" t="s">
        <v>61</v>
      </c>
      <c r="G26" s="29" t="str">
        <f t="shared" si="4"/>
        <v/>
      </c>
      <c r="H26" s="30" t="str">
        <f t="shared" si="5"/>
        <v/>
      </c>
      <c r="I26" s="53"/>
      <c r="J26" s="54"/>
    </row>
    <row r="27" spans="1:10" ht="39.950000000000003" customHeight="1" x14ac:dyDescent="0.2">
      <c r="A27" s="9"/>
      <c r="B27" s="51" t="s">
        <v>207</v>
      </c>
      <c r="C27" s="52"/>
      <c r="D27" s="52"/>
      <c r="E27" s="28">
        <v>3</v>
      </c>
      <c r="F27" s="41" t="s">
        <v>61</v>
      </c>
      <c r="G27" s="29" t="str">
        <f t="shared" si="4"/>
        <v/>
      </c>
      <c r="H27" s="30" t="str">
        <f t="shared" si="5"/>
        <v/>
      </c>
      <c r="I27" s="53"/>
      <c r="J27" s="54"/>
    </row>
    <row r="28" spans="1:10" ht="39.950000000000003" customHeight="1" x14ac:dyDescent="0.2">
      <c r="A28" s="9"/>
      <c r="B28" s="51" t="s">
        <v>208</v>
      </c>
      <c r="C28" s="52"/>
      <c r="D28" s="52"/>
      <c r="E28" s="28">
        <v>3</v>
      </c>
      <c r="F28" s="41" t="s">
        <v>61</v>
      </c>
      <c r="G28" s="29" t="str">
        <f t="shared" si="4"/>
        <v/>
      </c>
      <c r="H28" s="30" t="str">
        <f t="shared" si="5"/>
        <v/>
      </c>
      <c r="I28" s="53"/>
      <c r="J28" s="54"/>
    </row>
    <row r="29" spans="1:10" ht="39.950000000000003" customHeight="1" x14ac:dyDescent="0.2">
      <c r="A29" s="9"/>
      <c r="B29" s="51" t="s">
        <v>209</v>
      </c>
      <c r="C29" s="52"/>
      <c r="D29" s="52"/>
      <c r="E29" s="28">
        <v>3</v>
      </c>
      <c r="F29" s="41" t="s">
        <v>61</v>
      </c>
      <c r="G29" s="29" t="str">
        <f>IFERROR(F29/E29,"")</f>
        <v/>
      </c>
      <c r="H29" s="30" t="str">
        <f>_xlfn.IFS(F29="أدخل العلامة","",F29="لا ينطبق","تم الإلغاء",G29&gt;=90%,"ممتاز",G29&gt;=80%,"جيد جداً",G29&gt;=70%,"جيد",G29&gt;=60%,"مقبول",G29&lt;60%,"راسب")</f>
        <v/>
      </c>
      <c r="I29" s="53"/>
      <c r="J29" s="54"/>
    </row>
    <row r="30" spans="1:10" ht="39.950000000000003" customHeight="1" x14ac:dyDescent="0.2">
      <c r="A30" s="9"/>
      <c r="B30" s="51" t="s">
        <v>210</v>
      </c>
      <c r="C30" s="52"/>
      <c r="D30" s="52"/>
      <c r="E30" s="28">
        <v>3</v>
      </c>
      <c r="F30" s="41" t="s">
        <v>61</v>
      </c>
      <c r="G30" s="29" t="str">
        <f t="shared" ref="G30:G32" si="6">IFERROR(F30/E30,"")</f>
        <v/>
      </c>
      <c r="H30" s="30" t="str">
        <f t="shared" ref="H30:H32" si="7">_xlfn.IFS(F30="أدخل العلامة","",F30="لا ينطبق","تم الإلغاء",G30&gt;=90%,"ممتاز",G30&gt;=80%,"جيد جداً",G30&gt;=70%,"جيد",G30&gt;=60%,"مقبول",G30&lt;60%,"راسب")</f>
        <v/>
      </c>
      <c r="I30" s="53"/>
      <c r="J30" s="54"/>
    </row>
    <row r="31" spans="1:10" ht="39.950000000000003" customHeight="1" thickBot="1" x14ac:dyDescent="0.25">
      <c r="A31" s="9"/>
      <c r="B31" s="55" t="s">
        <v>211</v>
      </c>
      <c r="C31" s="56"/>
      <c r="D31" s="56"/>
      <c r="E31" s="34">
        <v>3</v>
      </c>
      <c r="F31" s="42" t="s">
        <v>61</v>
      </c>
      <c r="G31" s="35" t="str">
        <f t="shared" si="6"/>
        <v/>
      </c>
      <c r="H31" s="36" t="str">
        <f t="shared" si="7"/>
        <v/>
      </c>
      <c r="I31" s="57"/>
      <c r="J31" s="58"/>
    </row>
    <row r="32" spans="1:10" ht="39.950000000000003" customHeight="1" thickBot="1" x14ac:dyDescent="0.25">
      <c r="A32" s="9"/>
      <c r="B32" s="47" t="s">
        <v>212</v>
      </c>
      <c r="C32" s="48"/>
      <c r="D32" s="48"/>
      <c r="E32" s="40">
        <v>3</v>
      </c>
      <c r="F32" s="44" t="s">
        <v>61</v>
      </c>
      <c r="G32" s="45" t="str">
        <f t="shared" si="6"/>
        <v/>
      </c>
      <c r="H32" s="46" t="str">
        <f t="shared" si="7"/>
        <v/>
      </c>
      <c r="I32" s="49"/>
      <c r="J32" s="50"/>
    </row>
    <row r="33" spans="1:10" ht="30" customHeight="1" thickBot="1" x14ac:dyDescent="0.25">
      <c r="A33" s="4"/>
      <c r="B33" s="65" t="s">
        <v>5</v>
      </c>
      <c r="C33" s="66"/>
      <c r="D33" s="66"/>
      <c r="E33" s="40">
        <f>SUM(E10:E32)</f>
        <v>60</v>
      </c>
      <c r="F33" s="40">
        <f>SUM(F10:F16)</f>
        <v>0</v>
      </c>
      <c r="G33" s="94"/>
      <c r="H33" s="95"/>
      <c r="I33" s="95"/>
      <c r="J33" s="96"/>
    </row>
    <row r="34" spans="1:10" ht="30" customHeight="1" thickBot="1" x14ac:dyDescent="0.25">
      <c r="A34" s="4"/>
      <c r="B34" s="67" t="s">
        <v>54</v>
      </c>
      <c r="C34" s="68"/>
      <c r="D34" s="68"/>
      <c r="E34" s="97">
        <f>F33/E33/100*100</f>
        <v>0</v>
      </c>
      <c r="F34" s="97"/>
      <c r="G34" s="97"/>
      <c r="H34" s="97"/>
      <c r="I34" s="97"/>
      <c r="J34" s="98"/>
    </row>
    <row r="35" spans="1:10" ht="30" customHeight="1" thickBot="1" x14ac:dyDescent="0.25">
      <c r="A35" s="4"/>
      <c r="B35" s="67" t="s">
        <v>55</v>
      </c>
      <c r="C35" s="68"/>
      <c r="D35" s="68"/>
      <c r="E35" s="76" t="str">
        <f>_xlfn.IFS(E34&gt;=90%,"ممتاز",E34&gt;=80%,"جيد جداً",E34&gt;=70%,"جيد",E34&gt;=60%,"مقبول",E34&lt;60%,"راسب")</f>
        <v>راسب</v>
      </c>
      <c r="F35" s="76"/>
      <c r="G35" s="76"/>
      <c r="H35" s="76"/>
      <c r="I35" s="76"/>
      <c r="J35" s="77"/>
    </row>
    <row r="36" spans="1:10" ht="42" customHeight="1" x14ac:dyDescent="0.2">
      <c r="B36" s="69" t="s">
        <v>178</v>
      </c>
      <c r="C36" s="69"/>
      <c r="D36" s="69"/>
      <c r="E36" s="92" t="s">
        <v>52</v>
      </c>
      <c r="F36" s="92"/>
      <c r="G36" s="103" t="s">
        <v>59</v>
      </c>
      <c r="H36" s="103"/>
      <c r="I36" s="103"/>
      <c r="J36" s="103"/>
    </row>
    <row r="37" spans="1:10" ht="51" customHeight="1" x14ac:dyDescent="0.2">
      <c r="A37" s="5"/>
      <c r="B37" s="70"/>
      <c r="C37" s="70"/>
      <c r="D37" s="70"/>
      <c r="E37" s="93" t="s">
        <v>53</v>
      </c>
      <c r="F37" s="93"/>
      <c r="G37" s="75"/>
      <c r="H37" s="75"/>
      <c r="I37" s="75"/>
      <c r="J37" s="75"/>
    </row>
    <row r="38" spans="1:10" ht="15.75" x14ac:dyDescent="0.2">
      <c r="A38" s="24">
        <v>3</v>
      </c>
      <c r="B38" s="71" t="s">
        <v>175</v>
      </c>
      <c r="C38" s="72"/>
    </row>
    <row r="39" spans="1:10" ht="15.75" x14ac:dyDescent="0.2">
      <c r="A39" s="25">
        <v>2</v>
      </c>
      <c r="B39" s="73" t="s">
        <v>176</v>
      </c>
      <c r="C39" s="74"/>
    </row>
    <row r="40" spans="1:10" ht="15.75" x14ac:dyDescent="0.2">
      <c r="A40" s="26">
        <v>1</v>
      </c>
      <c r="B40" s="63" t="s">
        <v>177</v>
      </c>
      <c r="C40" s="6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4">
    <mergeCell ref="B2:J2"/>
    <mergeCell ref="I21:J21"/>
    <mergeCell ref="I22:J22"/>
    <mergeCell ref="E36:F36"/>
    <mergeCell ref="E37:F37"/>
    <mergeCell ref="G33:J33"/>
    <mergeCell ref="E34:J34"/>
    <mergeCell ref="I17:J17"/>
    <mergeCell ref="I18:J18"/>
    <mergeCell ref="I19:J19"/>
    <mergeCell ref="I20:J20"/>
    <mergeCell ref="B9:D9"/>
    <mergeCell ref="I11:J11"/>
    <mergeCell ref="I9:J9"/>
    <mergeCell ref="I12:J12"/>
    <mergeCell ref="G36:J36"/>
    <mergeCell ref="G37:J37"/>
    <mergeCell ref="E35:J35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40:C40"/>
    <mergeCell ref="B33:D33"/>
    <mergeCell ref="B34:D34"/>
    <mergeCell ref="B35:D35"/>
    <mergeCell ref="B36:D37"/>
    <mergeCell ref="B38:C38"/>
    <mergeCell ref="B39:C39"/>
    <mergeCell ref="B12:D12"/>
    <mergeCell ref="B13:D13"/>
    <mergeCell ref="B14:D14"/>
    <mergeCell ref="B15:D15"/>
    <mergeCell ref="B16:D16"/>
    <mergeCell ref="B5:C5"/>
    <mergeCell ref="E5:H5"/>
    <mergeCell ref="I5:J5"/>
    <mergeCell ref="B10:D10"/>
    <mergeCell ref="B11:D11"/>
    <mergeCell ref="B17:D17"/>
    <mergeCell ref="B18:D18"/>
    <mergeCell ref="B19:D19"/>
    <mergeCell ref="B21:D21"/>
    <mergeCell ref="B22:D22"/>
    <mergeCell ref="B23:D23"/>
    <mergeCell ref="I23:J23"/>
    <mergeCell ref="B24:D24"/>
    <mergeCell ref="I24:J24"/>
    <mergeCell ref="B25:D25"/>
    <mergeCell ref="I25:J25"/>
    <mergeCell ref="B26:D26"/>
    <mergeCell ref="I26:J26"/>
    <mergeCell ref="B27:D27"/>
    <mergeCell ref="I27:J27"/>
    <mergeCell ref="B28:D28"/>
    <mergeCell ref="I28:J28"/>
    <mergeCell ref="B32:D32"/>
    <mergeCell ref="I32:J32"/>
    <mergeCell ref="B29:D29"/>
    <mergeCell ref="I29:J29"/>
    <mergeCell ref="B30:D30"/>
    <mergeCell ref="I30:J30"/>
    <mergeCell ref="B31:D31"/>
    <mergeCell ref="I31:J31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35">
    <cfRule type="expression" dxfId="37" priority="80">
      <formula>$E35="راسب"</formula>
    </cfRule>
  </conditionalFormatting>
  <conditionalFormatting sqref="E35:J35">
    <cfRule type="expression" dxfId="36" priority="81">
      <formula>$E35="مقبول"</formula>
    </cfRule>
    <cfRule type="expression" dxfId="35" priority="82">
      <formula>$E35="جيد"</formula>
    </cfRule>
    <cfRule type="expression" dxfId="34" priority="83">
      <formula>$E35="جيد جداً"</formula>
    </cfRule>
    <cfRule type="expression" dxfId="33" priority="84">
      <formula>$E35="ممتاز"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36:J36">
    <cfRule type="containsText" dxfId="29" priority="38" operator="containsText" text="أدخل اسم المحكم">
      <formula>NOT(ISERROR(SEARCH("أدخل اسم المحكم",G36)))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:F22">
    <cfRule type="containsText" dxfId="20" priority="21" operator="containsText" text="أدخل العلامة">
      <formula>NOT(ISERROR(SEARCH("أدخل العلامة",F17)))</formula>
    </cfRule>
  </conditionalFormatting>
  <conditionalFormatting sqref="H17:H22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conditionalFormatting sqref="F23:F28">
    <cfRule type="containsText" dxfId="13" priority="14" operator="containsText" text="أدخل العلامة">
      <formula>NOT(ISERROR(SEARCH("أدخل العلامة",F23)))</formula>
    </cfRule>
  </conditionalFormatting>
  <conditionalFormatting sqref="H23:H28">
    <cfRule type="containsText" dxfId="12" priority="8" operator="containsText" text="أدخل العلامة">
      <formula>NOT(ISERROR(SEARCH("أدخل العلامة",H23)))</formula>
    </cfRule>
    <cfRule type="containsText" dxfId="11" priority="9" operator="containsText" text="ممتاز">
      <formula>NOT(ISERROR(SEARCH("ممتاز",H23)))</formula>
    </cfRule>
    <cfRule type="containsText" dxfId="10" priority="10" operator="containsText" text="جيد جداً">
      <formula>NOT(ISERROR(SEARCH("جيد جداً",H23)))</formula>
    </cfRule>
    <cfRule type="containsText" dxfId="9" priority="11" operator="containsText" text="جيد">
      <formula>NOT(ISERROR(SEARCH("جيد",H23)))</formula>
    </cfRule>
    <cfRule type="containsText" dxfId="8" priority="12" operator="containsText" text="مقبول">
      <formula>NOT(ISERROR(SEARCH("مقبول",H23)))</formula>
    </cfRule>
    <cfRule type="containsText" dxfId="7" priority="13" operator="containsText" text="راسب">
      <formula>NOT(ISERROR(SEARCH("راسب",H23)))</formula>
    </cfRule>
  </conditionalFormatting>
  <conditionalFormatting sqref="F29:F32">
    <cfRule type="containsText" dxfId="6" priority="7" operator="containsText" text="أدخل العلامة">
      <formula>NOT(ISERROR(SEARCH("أدخل العلامة",F29)))</formula>
    </cfRule>
  </conditionalFormatting>
  <conditionalFormatting sqref="H29:H32">
    <cfRule type="containsText" dxfId="5" priority="1" operator="containsText" text="أدخل العلامة">
      <formula>NOT(ISERROR(SEARCH("أدخل العلامة",H29)))</formula>
    </cfRule>
    <cfRule type="containsText" dxfId="4" priority="2" operator="containsText" text="ممتاز">
      <formula>NOT(ISERROR(SEARCH("ممتاز",H29)))</formula>
    </cfRule>
    <cfRule type="containsText" dxfId="3" priority="3" operator="containsText" text="جيد جداً">
      <formula>NOT(ISERROR(SEARCH("جيد جداً",H29)))</formula>
    </cfRule>
    <cfRule type="containsText" dxfId="2" priority="4" operator="containsText" text="جيد">
      <formula>NOT(ISERROR(SEARCH("جيد",H29)))</formula>
    </cfRule>
    <cfRule type="containsText" dxfId="1" priority="5" operator="containsText" text="مقبول">
      <formula>NOT(ISERROR(SEARCH("مقبول",H29)))</formula>
    </cfRule>
    <cfRule type="containsText" dxfId="0" priority="6" operator="containsText" text="راسب">
      <formula>NOT(ISERROR(SEARCH("راسب",H29)))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G36:J36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F23:F32 F11:F16 F18:F21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2025-10-23T04:42:46Z</dcterms:modified>
</cp:coreProperties>
</file>