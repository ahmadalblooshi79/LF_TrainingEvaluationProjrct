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87AA27C8-97A0-49B7-A7D1-6460B8BFF3BF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التقييم'!$A$1:$J$33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2" l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26" i="2" l="1"/>
  <c r="E27" i="2" l="1"/>
  <c r="E28" i="2" s="1"/>
</calcChain>
</file>

<file path=xl/sharedStrings.xml><?xml version="1.0" encoding="utf-8"?>
<sst xmlns="http://schemas.openxmlformats.org/spreadsheetml/2006/main" count="281" uniqueCount="207">
  <si>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</si>
  <si>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</si>
  <si>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</si>
  <si>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</si>
  <si>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</si>
  <si>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</si>
  <si>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</si>
  <si>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</si>
  <si>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</si>
  <si>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</si>
  <si>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</si>
  <si>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</si>
  <si>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</si>
  <si>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</si>
  <si>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</si>
  <si>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</si>
  <si>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</si>
  <si>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</si>
  <si>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</si>
  <si>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</si>
  <si>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</si>
  <si>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</si>
  <si>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</si>
  <si>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</si>
  <si>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</si>
  <si>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</si>
  <si>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</si>
  <si>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</si>
  <si>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</si>
  <si>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</si>
  <si>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</si>
  <si>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</si>
  <si>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</si>
  <si>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</si>
  <si>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</si>
  <si>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</si>
  <si>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</si>
  <si>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</si>
  <si>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</si>
  <si>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</si>
  <si>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</si>
  <si>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</si>
  <si>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</si>
  <si>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</si>
  <si>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</si>
  <si>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</si>
  <si>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</si>
  <si>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</si>
  <si>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</si>
  <si>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</si>
  <si>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</si>
  <si>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</si>
  <si>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</si>
  <si>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</si>
  <si>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</si>
  <si>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</si>
  <si>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</si>
  <si>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</si>
  <si>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</si>
  <si>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</si>
  <si>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</si>
  <si>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</si>
  <si>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</si>
  <si>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</si>
  <si>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</si>
  <si>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</si>
  <si>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</si>
  <si>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</si>
  <si>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</si>
  <si>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</si>
  <si>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</si>
  <si>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</si>
  <si>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</si>
  <si>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</si>
  <si>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</si>
  <si>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</si>
  <si>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</si>
  <si>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</si>
  <si>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</si>
  <si>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</si>
  <si>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</si>
  <si>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</si>
  <si>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</si>
  <si>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</si>
  <si>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</si>
  <si>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</si>
  <si>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</si>
  <si>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</si>
  <si>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</si>
  <si>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</si>
  <si>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</si>
  <si>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</si>
  <si>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</si>
  <si>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</si>
  <si>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</si>
  <si>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</si>
  <si>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</si>
  <si>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</si>
  <si>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</si>
  <si>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</si>
  <si>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</si>
  <si>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</si>
  <si>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</si>
  <si>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</si>
  <si>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</si>
  <si>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</si>
  <si>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</si>
  <si>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</si>
  <si>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</si>
  <si>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</si>
  <si>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</si>
  <si>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</si>
  <si>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</si>
  <si>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</si>
  <si>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</si>
  <si>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</si>
  <si>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</si>
  <si>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</si>
  <si>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</si>
  <si>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</si>
  <si>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</si>
  <si>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</si>
  <si>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</si>
  <si>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</si>
  <si>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</si>
  <si>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</si>
  <si>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</si>
  <si>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</si>
  <si>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</si>
  <si>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</si>
  <si>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</si>
  <si>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</si>
  <si>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</si>
  <si>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</si>
  <si>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</si>
  <si>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</si>
  <si>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</si>
  <si>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</si>
  <si>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</si>
  <si>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</si>
  <si>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</si>
  <si>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</si>
  <si>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</si>
  <si>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</si>
  <si>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</si>
  <si>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</si>
  <si>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</si>
  <si>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</si>
  <si>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</si>
  <si>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</si>
  <si>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</si>
  <si>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</si>
  <si>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</si>
  <si>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</si>
  <si>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</si>
  <si>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</si>
  <si>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</si>
  <si>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</si>
  <si>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</si>
  <si>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</si>
  <si>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</si>
  <si>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</si>
  <si>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</si>
  <si>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</si>
  <si>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</si>
  <si>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</si>
  <si>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</si>
  <si>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</si>
  <si>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</si>
  <si>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</si>
  <si>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</si>
  <si>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</si>
  <si>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</si>
  <si>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</si>
  <si>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</si>
  <si>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</si>
  <si>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</si>
  <si>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</si>
  <si>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</si>
  <si>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</si>
  <si>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</si>
  <si>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</si>
  <si>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</si>
  <si>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</si>
  <si>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</si>
  <si>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</si>
  <si>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</si>
  <si>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</si>
  <si>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</si>
  <si>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معضلة التعامل مع إصابات متعددة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</si>
  <si>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تعامل السرية الطبية مع عدد كبير من الإصابات الشديدة والمتوسطة.</t>
    </r>
  </si>
  <si>
    <t>اجراءات رد الفعل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</si>
  <si>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تنظيم وقوف آليات الإسعاف.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</si>
  <si>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تحديد مواقع الفرز.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</si>
  <si>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تصنيف الحالات بصورة صحيحة.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</si>
  <si>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تقديم الإسعافات القتالية المناسبة للمصابين.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</si>
  <si>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إخلاء الإصابات حسب الأولوية.</t>
    </r>
  </si>
  <si>
    <r>
      <t>7.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استخدام وسائل المواصلات المناسبة لنقل المصابين الأقل خطورة.</t>
    </r>
  </si>
  <si>
    <r>
      <t>8.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استخدام نماذج التصنيف القتالي.</t>
    </r>
  </si>
  <si>
    <r>
      <t>9.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وجود مناطق مخصصة لاستقبال الحالات البسيطة والشديدة (حمراء، صفراء، خضراء)</t>
    </r>
  </si>
  <si>
    <r>
      <t>10.</t>
    </r>
    <r>
      <rPr>
        <sz val="14"/>
        <color rgb="FF000000"/>
        <rFont val="Times New Roman"/>
        <family val="1"/>
      </rPr>
      <t xml:space="preserve">  </t>
    </r>
    <r>
      <rPr>
        <sz val="14"/>
        <color rgb="FF000000"/>
        <rFont val="Arial"/>
        <family val="2"/>
      </rPr>
      <t>الإلمام بالإجراءات الطبية الصحيحة للتعامل مع الإصابات المختلفة.</t>
    </r>
  </si>
  <si>
    <r>
      <t>11.</t>
    </r>
    <r>
      <rPr>
        <sz val="14"/>
        <color rgb="FF000000"/>
        <rFont val="Times New Roman"/>
        <family val="1"/>
      </rPr>
      <t xml:space="preserve">  </t>
    </r>
    <r>
      <rPr>
        <sz val="14"/>
        <color rgb="FF000000"/>
        <rFont val="Arial"/>
        <family val="2"/>
      </rPr>
      <t>السيطرة على منطقة العلاج بعدم إدخال الغير معنيين لمنطقة العلاج.</t>
    </r>
  </si>
  <si>
    <r>
      <t>12.</t>
    </r>
    <r>
      <rPr>
        <sz val="14"/>
        <color rgb="FF000000"/>
        <rFont val="Times New Roman"/>
        <family val="1"/>
      </rPr>
      <t xml:space="preserve">  </t>
    </r>
    <r>
      <rPr>
        <sz val="14"/>
        <color rgb="FF000000"/>
        <rFont val="Arial"/>
        <family val="2"/>
      </rPr>
      <t>توزيع الأدوار بين الطاقم الطبي ووجود تنظيم في العمل.</t>
    </r>
  </si>
  <si>
    <r>
      <t>13.</t>
    </r>
    <r>
      <rPr>
        <sz val="14"/>
        <color rgb="FF000000"/>
        <rFont val="Times New Roman"/>
        <family val="1"/>
      </rPr>
      <t xml:space="preserve">  </t>
    </r>
    <r>
      <rPr>
        <sz val="14"/>
        <color rgb="FF000000"/>
        <rFont val="Arial"/>
        <family val="2"/>
      </rPr>
      <t>إعادة تصنيف الإصابات لتحديد أولوية الإخلاء.</t>
    </r>
  </si>
  <si>
    <r>
      <t>14.</t>
    </r>
    <r>
      <rPr>
        <sz val="14"/>
        <color rgb="FF000000"/>
        <rFont val="Times New Roman"/>
        <family val="1"/>
      </rPr>
      <t xml:space="preserve">  </t>
    </r>
    <r>
      <rPr>
        <sz val="14"/>
        <color rgb="FF000000"/>
        <rFont val="Arial"/>
        <family val="2"/>
      </rPr>
      <t>حساب طاقات الإخلاء المتوفرة وتحديد النقص.</t>
    </r>
  </si>
  <si>
    <r>
      <t>15.</t>
    </r>
    <r>
      <rPr>
        <sz val="14"/>
        <color rgb="FF000000"/>
        <rFont val="Times New Roman"/>
        <family val="1"/>
      </rPr>
      <t xml:space="preserve">  </t>
    </r>
    <r>
      <rPr>
        <sz val="14"/>
        <color rgb="FF000000"/>
        <rFont val="Arial"/>
        <family val="2"/>
      </rPr>
      <t>إرسال تقرير الإصابات الى المستوى الأعلى.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</si>
  <si>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الاستجابة للحدث من قبل قائد السرية بإرسال آليات الإسعاف إلى موقع الإصابات مع قيادة مناسبة للفريق الطبي.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</si>
</sst>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3"/>
  <sheetViews>
    <sheetView rightToLeft="1" tabSelected="1" view="pageBreakPreview" zoomScale="136" zoomScaleNormal="100" zoomScaleSheetLayoutView="136" workbookViewId="0">
      <selection activeCell="D36" sqref="D36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2" t="s">
        <v>191</v>
      </c>
      <c r="C10" s="93"/>
      <c r="D10" s="93"/>
      <c r="E10" s="31"/>
      <c r="F10" s="43"/>
      <c r="G10" s="32"/>
      <c r="H10" s="33"/>
      <c r="I10" s="73"/>
      <c r="J10" s="74"/>
    </row>
    <row r="11" spans="1:10" ht="45.75" customHeight="1" x14ac:dyDescent="0.2">
      <c r="A11" s="9"/>
      <c r="B11" s="94" t="s">
        <v>206</v>
      </c>
      <c r="C11" s="91"/>
      <c r="D11" s="91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4" t="s">
        <v>192</v>
      </c>
      <c r="C12" s="91"/>
      <c r="D12" s="91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x14ac:dyDescent="0.2">
      <c r="A13" s="9"/>
      <c r="B13" s="94" t="s">
        <v>193</v>
      </c>
      <c r="C13" s="91"/>
      <c r="D13" s="91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39.950000000000003" customHeight="1" x14ac:dyDescent="0.2">
      <c r="A14" s="9"/>
      <c r="B14" s="94" t="s">
        <v>194</v>
      </c>
      <c r="C14" s="91"/>
      <c r="D14" s="91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x14ac:dyDescent="0.2">
      <c r="A15" s="9"/>
      <c r="B15" s="94" t="s">
        <v>195</v>
      </c>
      <c r="C15" s="91"/>
      <c r="D15" s="91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x14ac:dyDescent="0.2">
      <c r="A16" s="9"/>
      <c r="B16" s="94" t="s">
        <v>196</v>
      </c>
      <c r="C16" s="91"/>
      <c r="D16" s="91"/>
      <c r="E16" s="28">
        <v>3</v>
      </c>
      <c r="F16" s="41" t="s">
        <v>61</v>
      </c>
      <c r="G16" s="29" t="str">
        <f t="shared" si="0"/>
        <v/>
      </c>
      <c r="H16" s="30" t="str">
        <f t="shared" si="1"/>
        <v/>
      </c>
      <c r="I16" s="45"/>
      <c r="J16" s="46"/>
    </row>
    <row r="17" spans="1:10" ht="39.950000000000003" customHeight="1" x14ac:dyDescent="0.2">
      <c r="A17" s="9"/>
      <c r="B17" s="94" t="s">
        <v>197</v>
      </c>
      <c r="C17" s="91"/>
      <c r="D17" s="91"/>
      <c r="E17" s="28">
        <v>3</v>
      </c>
      <c r="F17" s="41" t="s">
        <v>61</v>
      </c>
      <c r="G17" s="29" t="str">
        <f>IFERROR(F17/E17,"")</f>
        <v/>
      </c>
      <c r="H17" s="30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45"/>
      <c r="J17" s="46"/>
    </row>
    <row r="18" spans="1:10" ht="39.950000000000003" customHeight="1" x14ac:dyDescent="0.2">
      <c r="A18" s="9"/>
      <c r="B18" s="94" t="s">
        <v>198</v>
      </c>
      <c r="C18" s="91"/>
      <c r="D18" s="91"/>
      <c r="E18" s="28">
        <v>3</v>
      </c>
      <c r="F18" s="41" t="s">
        <v>61</v>
      </c>
      <c r="G18" s="29" t="str">
        <f t="shared" ref="G18:G22" si="2">IFERROR(F18/E18,"")</f>
        <v/>
      </c>
      <c r="H18" s="30" t="str">
        <f t="shared" ref="H18:H22" si="3">_xlfn.IFS(F18="أدخل العلامة","",F18="لا ينطبق","تم الإلغاء",G18&gt;=90%,"ممتاز",G18&gt;=80%,"جيد جداً",G18&gt;=70%,"جيد",G18&gt;=60%,"مقبول",G18&lt;60%,"راسب")</f>
        <v/>
      </c>
      <c r="I18" s="45"/>
      <c r="J18" s="46"/>
    </row>
    <row r="19" spans="1:10" ht="43.5" customHeight="1" x14ac:dyDescent="0.2">
      <c r="A19" s="9"/>
      <c r="B19" s="94" t="s">
        <v>199</v>
      </c>
      <c r="C19" s="91"/>
      <c r="D19" s="91"/>
      <c r="E19" s="28">
        <v>3</v>
      </c>
      <c r="F19" s="41" t="s">
        <v>61</v>
      </c>
      <c r="G19" s="29" t="str">
        <f t="shared" si="2"/>
        <v/>
      </c>
      <c r="H19" s="30" t="str">
        <f t="shared" si="3"/>
        <v/>
      </c>
      <c r="I19" s="45"/>
      <c r="J19" s="46"/>
    </row>
    <row r="20" spans="1:10" ht="43.5" customHeight="1" x14ac:dyDescent="0.2">
      <c r="A20" s="9"/>
      <c r="B20" s="94" t="s">
        <v>200</v>
      </c>
      <c r="C20" s="91"/>
      <c r="D20" s="91"/>
      <c r="E20" s="28">
        <v>3</v>
      </c>
      <c r="F20" s="41" t="s">
        <v>61</v>
      </c>
      <c r="G20" s="29" t="str">
        <f t="shared" si="2"/>
        <v/>
      </c>
      <c r="H20" s="30" t="str">
        <f t="shared" si="3"/>
        <v/>
      </c>
      <c r="I20" s="45"/>
      <c r="J20" s="46"/>
    </row>
    <row r="21" spans="1:10" ht="43.5" customHeight="1" x14ac:dyDescent="0.2">
      <c r="A21" s="9"/>
      <c r="B21" s="94" t="s">
        <v>201</v>
      </c>
      <c r="C21" s="91"/>
      <c r="D21" s="91"/>
      <c r="E21" s="28">
        <v>3</v>
      </c>
      <c r="F21" s="41" t="s">
        <v>61</v>
      </c>
      <c r="G21" s="29" t="str">
        <f t="shared" si="2"/>
        <v/>
      </c>
      <c r="H21" s="30" t="str">
        <f t="shared" si="3"/>
        <v/>
      </c>
      <c r="I21" s="45"/>
      <c r="J21" s="46"/>
    </row>
    <row r="22" spans="1:10" ht="39.950000000000003" customHeight="1" x14ac:dyDescent="0.2">
      <c r="A22" s="9"/>
      <c r="B22" s="94" t="s">
        <v>202</v>
      </c>
      <c r="C22" s="91"/>
      <c r="D22" s="91"/>
      <c r="E22" s="28">
        <v>3</v>
      </c>
      <c r="F22" s="41" t="s">
        <v>61</v>
      </c>
      <c r="G22" s="29" t="str">
        <f t="shared" si="2"/>
        <v/>
      </c>
      <c r="H22" s="30" t="str">
        <f t="shared" si="3"/>
        <v/>
      </c>
      <c r="I22" s="45"/>
      <c r="J22" s="46"/>
    </row>
    <row r="23" spans="1:10" ht="39.950000000000003" customHeight="1" x14ac:dyDescent="0.2">
      <c r="A23" s="9"/>
      <c r="B23" s="94" t="s">
        <v>203</v>
      </c>
      <c r="C23" s="91"/>
      <c r="D23" s="91"/>
      <c r="E23" s="28">
        <v>3</v>
      </c>
      <c r="F23" s="41" t="s">
        <v>61</v>
      </c>
      <c r="G23" s="29" t="str">
        <f>IFERROR(F23/E23,"")</f>
        <v/>
      </c>
      <c r="H23" s="30" t="str">
        <f>_xlfn.IFS(F23="أدخل العلامة","",F23="لا ينطبق","تم الإلغاء",G23&gt;=90%,"ممتاز",G23&gt;=80%,"جيد جداً",G23&gt;=70%,"جيد",G23&gt;=60%,"مقبول",G23&lt;60%,"راسب")</f>
        <v/>
      </c>
      <c r="I23" s="45"/>
      <c r="J23" s="46"/>
    </row>
    <row r="24" spans="1:10" ht="39.950000000000003" customHeight="1" x14ac:dyDescent="0.2">
      <c r="A24" s="9"/>
      <c r="B24" s="94" t="s">
        <v>204</v>
      </c>
      <c r="C24" s="91"/>
      <c r="D24" s="91"/>
      <c r="E24" s="28">
        <v>3</v>
      </c>
      <c r="F24" s="41" t="s">
        <v>61</v>
      </c>
      <c r="G24" s="29" t="str">
        <f t="shared" ref="G24:G25" si="4">IFERROR(F24/E24,"")</f>
        <v/>
      </c>
      <c r="H24" s="30" t="str">
        <f t="shared" ref="H24:H25" si="5">_xlfn.IFS(F24="أدخل العلامة","",F24="لا ينطبق","تم الإلغاء",G24&gt;=90%,"ممتاز",G24&gt;=80%,"جيد جداً",G24&gt;=70%,"جيد",G24&gt;=60%,"مقبول",G24&lt;60%,"راسب")</f>
        <v/>
      </c>
      <c r="I24" s="45"/>
      <c r="J24" s="46"/>
    </row>
    <row r="25" spans="1:10" ht="39.950000000000003" customHeight="1" thickBot="1" x14ac:dyDescent="0.25">
      <c r="A25" s="9"/>
      <c r="B25" s="95" t="s">
        <v>205</v>
      </c>
      <c r="C25" s="96"/>
      <c r="D25" s="96"/>
      <c r="E25" s="34">
        <v>3</v>
      </c>
      <c r="F25" s="42" t="s">
        <v>61</v>
      </c>
      <c r="G25" s="35" t="str">
        <f t="shared" si="4"/>
        <v/>
      </c>
      <c r="H25" s="36" t="str">
        <f t="shared" si="5"/>
        <v/>
      </c>
      <c r="I25" s="89"/>
      <c r="J25" s="90"/>
    </row>
    <row r="26" spans="1:10" ht="30" customHeight="1" thickBot="1" x14ac:dyDescent="0.25">
      <c r="A26" s="4"/>
      <c r="B26" s="77" t="s">
        <v>5</v>
      </c>
      <c r="C26" s="78"/>
      <c r="D26" s="78"/>
      <c r="E26" s="40">
        <f>SUM(E10:E25)</f>
        <v>45</v>
      </c>
      <c r="F26" s="40">
        <f>SUM(F10:F16)</f>
        <v>0</v>
      </c>
      <c r="G26" s="49"/>
      <c r="H26" s="50"/>
      <c r="I26" s="50"/>
      <c r="J26" s="51"/>
    </row>
    <row r="27" spans="1:10" ht="30" customHeight="1" thickBot="1" x14ac:dyDescent="0.25">
      <c r="A27" s="4"/>
      <c r="B27" s="79" t="s">
        <v>54</v>
      </c>
      <c r="C27" s="80"/>
      <c r="D27" s="80"/>
      <c r="E27" s="52">
        <f>F26/E26/100*100</f>
        <v>0</v>
      </c>
      <c r="F27" s="52"/>
      <c r="G27" s="52"/>
      <c r="H27" s="52"/>
      <c r="I27" s="52"/>
      <c r="J27" s="53"/>
    </row>
    <row r="28" spans="1:10" ht="30" customHeight="1" thickBot="1" x14ac:dyDescent="0.25">
      <c r="A28" s="4"/>
      <c r="B28" s="79" t="s">
        <v>55</v>
      </c>
      <c r="C28" s="80"/>
      <c r="D28" s="80"/>
      <c r="E28" s="60" t="str">
        <f>_xlfn.IFS(E27&gt;=90%,"ممتاز",E27&gt;=80%,"جيد جداً",E27&gt;=70%,"جيد",E27&gt;=60%,"مقبول",E27&lt;60%,"راسب")</f>
        <v>راسب</v>
      </c>
      <c r="F28" s="60"/>
      <c r="G28" s="60"/>
      <c r="H28" s="60"/>
      <c r="I28" s="60"/>
      <c r="J28" s="61"/>
    </row>
    <row r="29" spans="1:10" ht="42" customHeight="1" x14ac:dyDescent="0.2">
      <c r="B29" s="81" t="s">
        <v>178</v>
      </c>
      <c r="C29" s="81"/>
      <c r="D29" s="81"/>
      <c r="E29" s="47" t="s">
        <v>52</v>
      </c>
      <c r="F29" s="47"/>
      <c r="G29" s="58" t="s">
        <v>59</v>
      </c>
      <c r="H29" s="58"/>
      <c r="I29" s="58"/>
      <c r="J29" s="58"/>
    </row>
    <row r="30" spans="1:10" ht="51" customHeight="1" x14ac:dyDescent="0.2">
      <c r="A30" s="5"/>
      <c r="B30" s="82"/>
      <c r="C30" s="82"/>
      <c r="D30" s="82"/>
      <c r="E30" s="48" t="s">
        <v>53</v>
      </c>
      <c r="F30" s="48"/>
      <c r="G30" s="59"/>
      <c r="H30" s="59"/>
      <c r="I30" s="59"/>
      <c r="J30" s="59"/>
    </row>
    <row r="31" spans="1:10" ht="15.75" x14ac:dyDescent="0.2">
      <c r="A31" s="24">
        <v>3</v>
      </c>
      <c r="B31" s="83" t="s">
        <v>175</v>
      </c>
      <c r="C31" s="84"/>
    </row>
    <row r="32" spans="1:10" ht="15.75" x14ac:dyDescent="0.2">
      <c r="A32" s="25">
        <v>2</v>
      </c>
      <c r="B32" s="85" t="s">
        <v>176</v>
      </c>
      <c r="C32" s="86"/>
    </row>
    <row r="33" spans="1:3" ht="15.75" x14ac:dyDescent="0.2">
      <c r="A33" s="26">
        <v>1</v>
      </c>
      <c r="B33" s="75" t="s">
        <v>177</v>
      </c>
      <c r="C33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0">
    <mergeCell ref="B16:D16"/>
    <mergeCell ref="B18:D18"/>
    <mergeCell ref="B19:D19"/>
    <mergeCell ref="B21:D21"/>
    <mergeCell ref="B22:D22"/>
    <mergeCell ref="B10:D10"/>
    <mergeCell ref="B11:D11"/>
    <mergeCell ref="B13:D13"/>
    <mergeCell ref="B14:D14"/>
    <mergeCell ref="B15:D15"/>
    <mergeCell ref="B23:D23"/>
    <mergeCell ref="I23:J23"/>
    <mergeCell ref="B24:D24"/>
    <mergeCell ref="I24:J24"/>
    <mergeCell ref="B25:D25"/>
    <mergeCell ref="I25:J25"/>
    <mergeCell ref="B17:D17"/>
    <mergeCell ref="B5:C5"/>
    <mergeCell ref="E5:H5"/>
    <mergeCell ref="I5:J5"/>
    <mergeCell ref="B12:D12"/>
    <mergeCell ref="B33:C33"/>
    <mergeCell ref="B26:D26"/>
    <mergeCell ref="B27:D27"/>
    <mergeCell ref="B28:D28"/>
    <mergeCell ref="B29:D30"/>
    <mergeCell ref="B31:C31"/>
    <mergeCell ref="B32:C32"/>
    <mergeCell ref="G30:J30"/>
    <mergeCell ref="E28:J28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0:D20"/>
    <mergeCell ref="B2:J2"/>
    <mergeCell ref="I21:J21"/>
    <mergeCell ref="I22:J22"/>
    <mergeCell ref="E29:F29"/>
    <mergeCell ref="E30:F30"/>
    <mergeCell ref="G26:J26"/>
    <mergeCell ref="E27:J27"/>
    <mergeCell ref="I17:J17"/>
    <mergeCell ref="I18:J18"/>
    <mergeCell ref="I19:J19"/>
    <mergeCell ref="I20:J20"/>
    <mergeCell ref="B9:D9"/>
    <mergeCell ref="I11:J11"/>
    <mergeCell ref="I9:J9"/>
    <mergeCell ref="I12:J12"/>
    <mergeCell ref="G29:J29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8">
    <cfRule type="expression" dxfId="37" priority="80">
      <formula>$E28="راسب"</formula>
    </cfRule>
  </conditionalFormatting>
  <conditionalFormatting sqref="E28:J28">
    <cfRule type="expression" dxfId="36" priority="81">
      <formula>$E28="مقبول"</formula>
    </cfRule>
    <cfRule type="expression" dxfId="35" priority="82">
      <formula>$E28="جيد"</formula>
    </cfRule>
    <cfRule type="expression" dxfId="34" priority="83">
      <formula>$E28="جيد جداً"</formula>
    </cfRule>
    <cfRule type="expression" dxfId="33" priority="84">
      <formula>$E28="ممتاز"</formula>
    </cfRule>
  </conditionalFormatting>
  <conditionalFormatting sqref="F10:F16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9:J29">
    <cfRule type="containsText" dxfId="29" priority="38" operator="containsText" text="أدخل اسم المحكم">
      <formula>NOT(ISERROR(SEARCH("أدخل اسم المحكم",G29)))</formula>
    </cfRule>
  </conditionalFormatting>
  <conditionalFormatting sqref="H10:H16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7:F22">
    <cfRule type="containsText" dxfId="20" priority="21" operator="containsText" text="أدخل العلامة">
      <formula>NOT(ISERROR(SEARCH("أدخل العلامة",F17)))</formula>
    </cfRule>
  </conditionalFormatting>
  <conditionalFormatting sqref="H17:H22">
    <cfRule type="containsText" dxfId="19" priority="15" operator="containsText" text="أدخل العلامة">
      <formula>NOT(ISERROR(SEARCH("أدخل العلامة",H17)))</formula>
    </cfRule>
    <cfRule type="containsText" dxfId="18" priority="16" operator="containsText" text="ممتاز">
      <formula>NOT(ISERROR(SEARCH("ممتاز",H17)))</formula>
    </cfRule>
    <cfRule type="containsText" dxfId="17" priority="17" operator="containsText" text="جيد جداً">
      <formula>NOT(ISERROR(SEARCH("جيد جداً",H17)))</formula>
    </cfRule>
    <cfRule type="containsText" dxfId="16" priority="18" operator="containsText" text="جيد">
      <formula>NOT(ISERROR(SEARCH("جيد",H17)))</formula>
    </cfRule>
    <cfRule type="containsText" dxfId="15" priority="19" operator="containsText" text="مقبول">
      <formula>NOT(ISERROR(SEARCH("مقبول",H17)))</formula>
    </cfRule>
    <cfRule type="containsText" dxfId="14" priority="20" operator="containsText" text="راسب">
      <formula>NOT(ISERROR(SEARCH("راسب",H17)))</formula>
    </cfRule>
  </conditionalFormatting>
  <conditionalFormatting sqref="F23:F25">
    <cfRule type="containsText" dxfId="13" priority="14" operator="containsText" text="أدخل العلامة">
      <formula>NOT(ISERROR(SEARCH("أدخل العلامة",F23)))</formula>
    </cfRule>
  </conditionalFormatting>
  <conditionalFormatting sqref="H23:H25">
    <cfRule type="containsText" dxfId="12" priority="8" operator="containsText" text="أدخل العلامة">
      <formula>NOT(ISERROR(SEARCH("أدخل العلامة",H23)))</formula>
    </cfRule>
    <cfRule type="containsText" dxfId="11" priority="9" operator="containsText" text="ممتاز">
      <formula>NOT(ISERROR(SEARCH("ممتاز",H23)))</formula>
    </cfRule>
    <cfRule type="containsText" dxfId="10" priority="10" operator="containsText" text="جيد جداً">
      <formula>NOT(ISERROR(SEARCH("جيد جداً",H23)))</formula>
    </cfRule>
    <cfRule type="containsText" dxfId="9" priority="11" operator="containsText" text="جيد">
      <formula>NOT(ISERROR(SEARCH("جيد",H23)))</formula>
    </cfRule>
    <cfRule type="containsText" dxfId="8" priority="12" operator="containsText" text="مقبول">
      <formula>NOT(ISERROR(SEARCH("مقبول",H23)))</formula>
    </cfRule>
    <cfRule type="containsText" dxfId="7" priority="13" operator="containsText" text="راسب">
      <formula>NOT(ISERROR(SEARCH("راسب",H23)))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G29:J29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F11:F25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2025-10-23T06:00:24Z</dcterms:modified>
</cp:coreProperties>
</file>