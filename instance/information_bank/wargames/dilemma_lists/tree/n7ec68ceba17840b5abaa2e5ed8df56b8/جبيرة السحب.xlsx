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38F5C316-46C1-44E8-B22D-B660B143A88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التقييم'!$A$1:$J$27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2" l="1"/>
  <c r="G19" i="2"/>
  <c r="H19" i="2" s="1"/>
  <c r="G18" i="2"/>
  <c r="H18" i="2" s="1"/>
  <c r="G17" i="2"/>
  <c r="H17" i="2" s="1"/>
  <c r="G16" i="2"/>
  <c r="H16" i="2" s="1"/>
  <c r="G11" i="2" l="1"/>
  <c r="H11" i="2" s="1"/>
  <c r="G12" i="2" l="1"/>
  <c r="H12" i="2" s="1"/>
  <c r="G13" i="2"/>
  <c r="H13" i="2" s="1"/>
  <c r="G14" i="2"/>
  <c r="H14" i="2" s="1"/>
  <c r="G15" i="2"/>
  <c r="H15" i="2" s="1"/>
  <c r="F20" i="2" l="1"/>
  <c r="E21" i="2" l="1"/>
  <c r="E22" i="2" s="1"/>
</calcChain>
</file>

<file path=xl/sharedStrings.xml><?xml version="1.0" encoding="utf-8"?>
<sst xmlns="http://schemas.openxmlformats.org/spreadsheetml/2006/main" count="269" uniqueCount="201">
  <si>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</si>
  <si>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</si>
  <si>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</si>
  <si>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</si>
  <si>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</si>
  <si>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</si>
  <si>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</si>
  <si>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</si>
  <si>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</si>
  <si>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</si>
  <si>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</si>
  <si>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</si>
  <si>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</si>
  <si>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</si>
  <si>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</si>
  <si>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</si>
  <si>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</si>
  <si>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</si>
  <si>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</si>
  <si>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</si>
  <si>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</si>
  <si>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</si>
  <si>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</si>
  <si>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</si>
  <si>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</si>
  <si>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</si>
  <si>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</si>
  <si>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</si>
  <si>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</si>
  <si>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</si>
  <si>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</si>
  <si>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</si>
  <si>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</si>
  <si>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</si>
  <si>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</si>
  <si>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</si>
  <si>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</si>
  <si>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</si>
  <si>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</si>
  <si>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</si>
  <si>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</si>
  <si>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</si>
  <si>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</si>
  <si>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</si>
  <si>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</si>
  <si>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</si>
  <si>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</si>
  <si>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</si>
  <si>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</si>
  <si>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</si>
  <si>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</si>
  <si>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</si>
  <si>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</si>
  <si>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</si>
  <si>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</si>
  <si>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</si>
  <si>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</si>
  <si>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</si>
  <si>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</si>
  <si>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</si>
  <si>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</si>
  <si>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</si>
  <si>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</si>
  <si>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</si>
  <si>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</si>
  <si>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</si>
  <si>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</si>
  <si>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</si>
  <si>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</si>
  <si>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</si>
  <si>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</si>
  <si>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</si>
  <si>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</si>
  <si>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</si>
  <si>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</si>
  <si>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</si>
  <si>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</si>
  <si>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</si>
  <si>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</si>
  <si>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</si>
  <si>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</si>
  <si>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</si>
  <si>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</si>
  <si>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</si>
  <si>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</si>
  <si>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</si>
  <si>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</si>
  <si>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</si>
  <si>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</si>
  <si>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</si>
  <si>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</si>
  <si>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</si>
  <si>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</si>
  <si>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</si>
  <si>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</si>
  <si>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</si>
  <si>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</si>
  <si>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</si>
  <si>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</si>
  <si>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</si>
  <si>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</si>
  <si>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</si>
  <si>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</si>
  <si>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</si>
  <si>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</si>
  <si>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</si>
  <si>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</si>
  <si>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</si>
  <si>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</si>
  <si>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</si>
  <si>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</si>
  <si>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</si>
  <si>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</si>
  <si>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</si>
  <si>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</si>
  <si>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</si>
  <si>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</si>
  <si>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</si>
  <si>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</si>
  <si>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</si>
  <si>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</si>
  <si>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</si>
  <si>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</si>
  <si>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</si>
  <si>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</si>
  <si>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</si>
  <si>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</si>
  <si>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</si>
  <si>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</si>
  <si>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</si>
  <si>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</si>
  <si>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</si>
  <si>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</si>
  <si>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</si>
  <si>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</si>
  <si>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</si>
  <si>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</si>
  <si>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</si>
  <si>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</si>
  <si>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</si>
  <si>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</si>
  <si>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</si>
  <si>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</si>
  <si>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</si>
  <si>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</si>
  <si>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</si>
  <si>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</si>
  <si>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</si>
  <si>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</si>
  <si>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</si>
  <si>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</si>
  <si>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</si>
  <si>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</si>
  <si>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</si>
  <si>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</si>
  <si>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</si>
  <si>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</si>
  <si>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</si>
  <si>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</si>
  <si>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</si>
  <si>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</si>
  <si>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</si>
  <si>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</si>
  <si>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</si>
  <si>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</si>
  <si>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</si>
  <si>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</si>
  <si>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</si>
  <si>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</si>
  <si>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</si>
  <si>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</si>
  <si>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</si>
  <si>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</si>
  <si>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</si>
  <si>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</si>
  <si>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</si>
  <si>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</si>
  <si>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</si>
  <si>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</si>
  <si>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</si>
  <si>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</si>
  <si>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</si>
  <si>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</si>
  <si>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</si>
  <si>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</si>
  <si>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</si>
  <si>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</si>
  <si>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</si>
  <si>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</si>
  <si>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التعامل مع كسور عظم الفخذ باستخدام جبيرة السحب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</si>
  <si>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تشخيص كسور عظم الفخذ وطريقة التثبيت باستخدام جبيرة السحب.</t>
    </r>
  </si>
  <si>
    <t>اجراءات رد الفعل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</si>
  <si>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تقييم الوضع الوعائي العصبي قبل وبعد وضع الجبيرة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</si>
  <si>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قياس طول الجبيرة المناسب على ساق المصاب السليمة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</si>
  <si>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استخدام مسكن الألم واختيار الجبيرة المناسبة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</si>
  <si>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استخدام رباط الكاحل في الساق المصاب وفتح أشرطة تأمين الفليكر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</si>
  <si>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وضع ساق المصاب بالطريقة الصحيحة على الجبيرة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</si>
  <si>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استخدام حزام العانة ورباط الكاحل بالطريقة الصحيحة</t>
    </r>
  </si>
  <si>
    <r>
      <t>7.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القيام بسحب الساق باستخدام مشبك السحب إلى الطول المطلوب</t>
    </r>
  </si>
  <si>
    <r>
      <t>8.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تأمين الساق في جبيرة السحب باستخدام أشرطة تأمين الفليكر</t>
    </r>
  </si>
  <si>
    <r>
      <t>9.</t>
    </r>
    <r>
      <rPr>
        <sz val="14"/>
        <color rgb="FF000000"/>
        <rFont val="Times New Roman"/>
        <family val="1"/>
      </rPr>
      <t xml:space="preserve">  </t>
    </r>
    <r>
      <rPr>
        <sz val="14"/>
        <color rgb="FF000000"/>
        <rFont val="Arial"/>
        <family val="2"/>
      </rPr>
      <t>إعادة تقييم الوضع الوعائي العصبي للمريض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</si>
</sst>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7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194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192</v>
      </c>
      <c r="C12" s="91"/>
      <c r="D12" s="91"/>
      <c r="E12" s="28">
        <v>3</v>
      </c>
      <c r="F12" s="41" t="s">
        <v>61</v>
      </c>
      <c r="G12" s="29" t="str">
        <f t="shared" ref="G12:G15" si="0">IFERROR(F12/E12,"")</f>
        <v/>
      </c>
      <c r="H12" s="30" t="str">
        <f t="shared" ref="H12:H15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193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50.1" customHeight="1" x14ac:dyDescent="0.2">
      <c r="A14" s="9"/>
      <c r="B14" s="94" t="s">
        <v>195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196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4" t="s">
        <v>197</v>
      </c>
      <c r="C16" s="91"/>
      <c r="D16" s="91"/>
      <c r="E16" s="28">
        <v>3</v>
      </c>
      <c r="F16" s="41" t="s">
        <v>61</v>
      </c>
      <c r="G16" s="29" t="str">
        <f>IFERROR(F16/E16,"")</f>
        <v/>
      </c>
      <c r="H16" s="30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45"/>
      <c r="J16" s="46"/>
    </row>
    <row r="17" spans="1:10" ht="50.1" customHeight="1" x14ac:dyDescent="0.2">
      <c r="A17" s="9"/>
      <c r="B17" s="94" t="s">
        <v>198</v>
      </c>
      <c r="C17" s="91"/>
      <c r="D17" s="91"/>
      <c r="E17" s="28">
        <v>3</v>
      </c>
      <c r="F17" s="41" t="s">
        <v>61</v>
      </c>
      <c r="G17" s="29" t="str">
        <f t="shared" ref="G17:G19" si="2">IFERROR(F17/E17,"")</f>
        <v/>
      </c>
      <c r="H17" s="30" t="str">
        <f t="shared" ref="H17:H19" si="3">_xlfn.IFS(F17="أدخل العلامة","",F17="لا ينطبق","تم الإلغاء",G17&gt;=90%,"ممتاز",G17&gt;=80%,"جيد جداً",G17&gt;=70%,"جيد",G17&gt;=60%,"مقبول",G17&lt;60%,"راسب")</f>
        <v/>
      </c>
      <c r="I17" s="45"/>
      <c r="J17" s="46"/>
    </row>
    <row r="18" spans="1:10" ht="50.1" customHeight="1" x14ac:dyDescent="0.2">
      <c r="A18" s="9"/>
      <c r="B18" s="94" t="s">
        <v>199</v>
      </c>
      <c r="C18" s="91"/>
      <c r="D18" s="91"/>
      <c r="E18" s="28">
        <v>3</v>
      </c>
      <c r="F18" s="41" t="s">
        <v>61</v>
      </c>
      <c r="G18" s="29" t="str">
        <f t="shared" si="2"/>
        <v/>
      </c>
      <c r="H18" s="30" t="str">
        <f t="shared" si="3"/>
        <v/>
      </c>
      <c r="I18" s="45"/>
      <c r="J18" s="46"/>
    </row>
    <row r="19" spans="1:10" ht="39.950000000000003" customHeight="1" thickBot="1" x14ac:dyDescent="0.25">
      <c r="A19" s="9"/>
      <c r="B19" s="95" t="s">
        <v>200</v>
      </c>
      <c r="C19" s="96"/>
      <c r="D19" s="96"/>
      <c r="E19" s="34">
        <v>3</v>
      </c>
      <c r="F19" s="42" t="s">
        <v>61</v>
      </c>
      <c r="G19" s="35" t="str">
        <f t="shared" si="2"/>
        <v/>
      </c>
      <c r="H19" s="36" t="str">
        <f t="shared" si="3"/>
        <v/>
      </c>
      <c r="I19" s="89"/>
      <c r="J19" s="90"/>
    </row>
    <row r="20" spans="1:10" ht="30" customHeight="1" thickBot="1" x14ac:dyDescent="0.25">
      <c r="A20" s="4"/>
      <c r="B20" s="77" t="s">
        <v>5</v>
      </c>
      <c r="C20" s="78"/>
      <c r="D20" s="78"/>
      <c r="E20" s="40">
        <f>SUM(E10:E19)</f>
        <v>27</v>
      </c>
      <c r="F20" s="40">
        <f>SUM(F10:F15)</f>
        <v>0</v>
      </c>
      <c r="G20" s="49"/>
      <c r="H20" s="50"/>
      <c r="I20" s="50"/>
      <c r="J20" s="51"/>
    </row>
    <row r="21" spans="1:10" ht="30" customHeight="1" thickBot="1" x14ac:dyDescent="0.25">
      <c r="A21" s="4"/>
      <c r="B21" s="79" t="s">
        <v>54</v>
      </c>
      <c r="C21" s="80"/>
      <c r="D21" s="80"/>
      <c r="E21" s="52">
        <f>F20/E20/100*100</f>
        <v>0</v>
      </c>
      <c r="F21" s="52"/>
      <c r="G21" s="52"/>
      <c r="H21" s="52"/>
      <c r="I21" s="52"/>
      <c r="J21" s="53"/>
    </row>
    <row r="22" spans="1:10" ht="30" customHeight="1" thickBot="1" x14ac:dyDescent="0.25">
      <c r="A22" s="4"/>
      <c r="B22" s="79" t="s">
        <v>55</v>
      </c>
      <c r="C22" s="80"/>
      <c r="D22" s="80"/>
      <c r="E22" s="60" t="str">
        <f>_xlfn.IFS(E21&gt;=90%,"ممتاز",E21&gt;=80%,"جيد جداً",E21&gt;=70%,"جيد",E21&gt;=60%,"مقبول",E21&lt;60%,"راسب")</f>
        <v>راسب</v>
      </c>
      <c r="F22" s="60"/>
      <c r="G22" s="60"/>
      <c r="H22" s="60"/>
      <c r="I22" s="60"/>
      <c r="J22" s="61"/>
    </row>
    <row r="23" spans="1:10" ht="42" customHeight="1" x14ac:dyDescent="0.2">
      <c r="B23" s="81" t="s">
        <v>178</v>
      </c>
      <c r="C23" s="81"/>
      <c r="D23" s="81"/>
      <c r="E23" s="47" t="s">
        <v>52</v>
      </c>
      <c r="F23" s="47"/>
      <c r="G23" s="58" t="s">
        <v>59</v>
      </c>
      <c r="H23" s="58"/>
      <c r="I23" s="58"/>
      <c r="J23" s="58"/>
    </row>
    <row r="24" spans="1:10" ht="51" customHeight="1" x14ac:dyDescent="0.2">
      <c r="A24" s="5"/>
      <c r="B24" s="82"/>
      <c r="C24" s="82"/>
      <c r="D24" s="82"/>
      <c r="E24" s="48" t="s">
        <v>53</v>
      </c>
      <c r="F24" s="48"/>
      <c r="G24" s="59"/>
      <c r="H24" s="59"/>
      <c r="I24" s="59"/>
      <c r="J24" s="59"/>
    </row>
    <row r="25" spans="1:10" ht="15.75" x14ac:dyDescent="0.2">
      <c r="A25" s="24">
        <v>3</v>
      </c>
      <c r="B25" s="83" t="s">
        <v>175</v>
      </c>
      <c r="C25" s="84"/>
    </row>
    <row r="26" spans="1:10" ht="15.75" x14ac:dyDescent="0.2">
      <c r="A26" s="25">
        <v>2</v>
      </c>
      <c r="B26" s="85" t="s">
        <v>176</v>
      </c>
      <c r="C26" s="86"/>
    </row>
    <row r="27" spans="1:10" ht="15.75" x14ac:dyDescent="0.2">
      <c r="A27" s="26">
        <v>1</v>
      </c>
      <c r="B27" s="75" t="s">
        <v>177</v>
      </c>
      <c r="C27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8">
    <mergeCell ref="B15:D15"/>
    <mergeCell ref="B10:D10"/>
    <mergeCell ref="B11:D11"/>
    <mergeCell ref="B13:D13"/>
    <mergeCell ref="B14:D14"/>
    <mergeCell ref="B16:D16"/>
    <mergeCell ref="B17:D17"/>
    <mergeCell ref="B18:D18"/>
    <mergeCell ref="B5:C5"/>
    <mergeCell ref="E5:H5"/>
    <mergeCell ref="I5:J5"/>
    <mergeCell ref="B12:D12"/>
    <mergeCell ref="B27:C27"/>
    <mergeCell ref="B20:D20"/>
    <mergeCell ref="B21:D21"/>
    <mergeCell ref="B22:D22"/>
    <mergeCell ref="B23:D24"/>
    <mergeCell ref="B25:C25"/>
    <mergeCell ref="B26:C26"/>
    <mergeCell ref="G24:J24"/>
    <mergeCell ref="E22:J22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B19:D19"/>
    <mergeCell ref="B2:J2"/>
    <mergeCell ref="E23:F23"/>
    <mergeCell ref="E24:F24"/>
    <mergeCell ref="G20:J20"/>
    <mergeCell ref="E21:J21"/>
    <mergeCell ref="I16:J16"/>
    <mergeCell ref="I17:J17"/>
    <mergeCell ref="I18:J18"/>
    <mergeCell ref="I19:J19"/>
    <mergeCell ref="B9:D9"/>
    <mergeCell ref="I11:J11"/>
    <mergeCell ref="I9:J9"/>
    <mergeCell ref="I12:J12"/>
    <mergeCell ref="G23:J23"/>
  </mergeCells>
  <conditionalFormatting sqref="C3:D3">
    <cfRule type="containsText" dxfId="25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24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2">
    <cfRule type="expression" dxfId="23" priority="80">
      <formula>$E22="راسب"</formula>
    </cfRule>
  </conditionalFormatting>
  <conditionalFormatting sqref="E22:J22">
    <cfRule type="expression" dxfId="22" priority="81">
      <formula>$E22="مقبول"</formula>
    </cfRule>
    <cfRule type="expression" dxfId="21" priority="82">
      <formula>$E22="جيد"</formula>
    </cfRule>
    <cfRule type="expression" dxfId="20" priority="83">
      <formula>$E22="جيد جداً"</formula>
    </cfRule>
    <cfRule type="expression" dxfId="19" priority="84">
      <formula>$E22="ممتاز"</formula>
    </cfRule>
  </conditionalFormatting>
  <conditionalFormatting sqref="F10:F15">
    <cfRule type="containsText" dxfId="18" priority="37" operator="containsText" text="أدخل العلامة">
      <formula>NOT(ISERROR(SEARCH("أدخل العلامة",F10)))</formula>
    </cfRule>
  </conditionalFormatting>
  <conditionalFormatting sqref="F3:J3">
    <cfRule type="containsText" dxfId="17" priority="42" operator="containsText" text="أدخل التاريخ">
      <formula>NOT(ISERROR(SEARCH("أدخل التاريخ",F3)))</formula>
    </cfRule>
  </conditionalFormatting>
  <conditionalFormatting sqref="F4:J4 I5">
    <cfRule type="containsText" dxfId="16" priority="39" operator="containsText" text="أدخل أسم المحكم">
      <formula>NOT(ISERROR(SEARCH("أدخل أسم المحكم",F4)))</formula>
    </cfRule>
  </conditionalFormatting>
  <conditionalFormatting sqref="G23:J23">
    <cfRule type="containsText" dxfId="15" priority="38" operator="containsText" text="أدخل اسم المحكم">
      <formula>NOT(ISERROR(SEARCH("أدخل اسم المحكم",G23)))</formula>
    </cfRule>
  </conditionalFormatting>
  <conditionalFormatting sqref="H10:H15">
    <cfRule type="containsText" dxfId="14" priority="28" operator="containsText" text="أدخل العلامة">
      <formula>NOT(ISERROR(SEARCH("أدخل العلامة",H10)))</formula>
    </cfRule>
    <cfRule type="containsText" dxfId="13" priority="29" operator="containsText" text="ممتاز">
      <formula>NOT(ISERROR(SEARCH("ممتاز",H10)))</formula>
    </cfRule>
    <cfRule type="containsText" dxfId="12" priority="30" operator="containsText" text="جيد جداً">
      <formula>NOT(ISERROR(SEARCH("جيد جداً",H10)))</formula>
    </cfRule>
    <cfRule type="containsText" dxfId="11" priority="31" operator="containsText" text="جيد">
      <formula>NOT(ISERROR(SEARCH("جيد",H10)))</formula>
    </cfRule>
    <cfRule type="containsText" dxfId="10" priority="32" operator="containsText" text="مقبول">
      <formula>NOT(ISERROR(SEARCH("مقبول",H10)))</formula>
    </cfRule>
    <cfRule type="containsText" dxfId="9" priority="33" operator="containsText" text="راسب">
      <formula>NOT(ISERROR(SEARCH("راسب",H10)))</formula>
    </cfRule>
  </conditionalFormatting>
  <conditionalFormatting sqref="D5">
    <cfRule type="containsText" dxfId="8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7" priority="22" operator="containsText" text="أدخل رقم المعضلة">
      <formula>NOT(ISERROR(SEARCH("أدخل رقم المعضلة",I5)))</formula>
    </cfRule>
  </conditionalFormatting>
  <conditionalFormatting sqref="F16:F19">
    <cfRule type="containsText" dxfId="6" priority="21" operator="containsText" text="أدخل العلامة">
      <formula>NOT(ISERROR(SEARCH("أدخل العلامة",F16)))</formula>
    </cfRule>
  </conditionalFormatting>
  <conditionalFormatting sqref="H16:H19">
    <cfRule type="containsText" dxfId="5" priority="15" operator="containsText" text="أدخل العلامة">
      <formula>NOT(ISERROR(SEARCH("أدخل العلامة",H16)))</formula>
    </cfRule>
    <cfRule type="containsText" dxfId="4" priority="16" operator="containsText" text="ممتاز">
      <formula>NOT(ISERROR(SEARCH("ممتاز",H16)))</formula>
    </cfRule>
    <cfRule type="containsText" dxfId="3" priority="17" operator="containsText" text="جيد جداً">
      <formula>NOT(ISERROR(SEARCH("جيد جداً",H16)))</formula>
    </cfRule>
    <cfRule type="containsText" dxfId="2" priority="18" operator="containsText" text="جيد">
      <formula>NOT(ISERROR(SEARCH("جيد",H16)))</formula>
    </cfRule>
    <cfRule type="containsText" dxfId="1" priority="19" operator="containsText" text="مقبول">
      <formula>NOT(ISERROR(SEARCH("مقبول",H16)))</formula>
    </cfRule>
    <cfRule type="containsText" dxfId="0" priority="20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G23:J23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2025-10-23T05:27:37Z</dcterms:modified>
</cp:coreProperties>
</file>