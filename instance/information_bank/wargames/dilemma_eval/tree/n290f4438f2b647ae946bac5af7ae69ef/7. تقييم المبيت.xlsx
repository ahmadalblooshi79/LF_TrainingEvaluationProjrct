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9C936E3-994E-EA4A-906D-9239B8C4AD6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<sst xmlns="http://schemas.openxmlformats.org/spreadsheetml/2006/main" count="244" uniqueCount="188">
  <si>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</si>
  <si>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</si>
  <si>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</si>
  <si>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</si>
  <si>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</si>
  <si>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</si>
  <si>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</si>
  <si>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</si>
  <si>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</si>
  <si>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</si>
  <si>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</si>
  <si>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</si>
  <si>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</si>
  <si>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</si>
  <si>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</si>
  <si>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</si>
  <si>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</si>
  <si>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</si>
  <si>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</si>
  <si>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</si>
  <si>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</si>
  <si>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</si>
  <si>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</si>
  <si>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</si>
  <si>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</si>
  <si>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</si>
  <si>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</si>
  <si>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</si>
  <si>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</si>
  <si>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</si>
  <si>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</si>
  <si>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</si>
  <si>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</si>
  <si>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</si>
  <si>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</si>
  <si>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</si>
  <si>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</si>
  <si>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</si>
  <si>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</si>
  <si>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</si>
  <si>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</si>
  <si>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</si>
  <si>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</si>
  <si>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</si>
  <si>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</si>
  <si>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</si>
  <si>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</si>
  <si>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</si>
  <si>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</si>
  <si>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</si>
  <si>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</si>
  <si>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</si>
  <si>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</si>
  <si>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</si>
  <si>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</si>
  <si>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</si>
  <si>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</si>
  <si>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</si>
  <si>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</si>
  <si>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</si>
  <si>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</si>
  <si>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</si>
  <si>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</si>
  <si>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</si>
  <si>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</si>
  <si>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</si>
  <si>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</si>
  <si>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</si>
  <si>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</si>
  <si>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</si>
  <si>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</si>
  <si>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</si>
  <si>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</si>
  <si>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</si>
  <si>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</si>
  <si>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</si>
  <si>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</si>
  <si>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</si>
  <si>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</si>
  <si>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</si>
  <si>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</si>
  <si>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</si>
  <si>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</si>
  <si>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</si>
  <si>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</si>
  <si>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</si>
  <si>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</si>
  <si>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</si>
  <si>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</si>
  <si>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</si>
  <si>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</si>
  <si>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</si>
  <si>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</si>
  <si>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</si>
  <si>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</si>
  <si>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</si>
  <si>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</si>
  <si>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</si>
  <si>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</si>
  <si>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</si>
  <si>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</si>
  <si>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</si>
  <si>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</si>
  <si>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</si>
  <si>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</si>
  <si>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</si>
  <si>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</si>
  <si>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</si>
  <si>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</si>
  <si>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</si>
  <si>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</si>
  <si>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</si>
  <si>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</si>
  <si>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</si>
  <si>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</si>
  <si>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</si>
  <si>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</si>
  <si>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</si>
  <si>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</si>
  <si>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</si>
  <si>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</si>
  <si>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</si>
  <si>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</si>
  <si>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</si>
  <si>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</si>
  <si>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</si>
  <si>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</si>
  <si>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</si>
  <si>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</si>
  <si>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</si>
  <si>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</si>
  <si>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</si>
  <si>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</si>
  <si>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</si>
  <si>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</si>
  <si>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</si>
  <si>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</si>
  <si>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</si>
  <si>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</si>
  <si>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</si>
  <si>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</si>
  <si>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</si>
  <si>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</si>
  <si>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</si>
  <si>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</si>
  <si>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</si>
  <si>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</si>
  <si>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</si>
  <si>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</si>
  <si>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</si>
  <si>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</si>
  <si>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</si>
  <si>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</si>
  <si>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</si>
  <si>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</si>
  <si>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</si>
  <si>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</si>
  <si>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</si>
  <si>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</si>
  <si>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</si>
  <si>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</si>
  <si>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</si>
  <si>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</si>
  <si>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</si>
  <si>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</si>
  <si>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</si>
  <si>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</si>
  <si>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</si>
  <si>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</si>
  <si>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</si>
  <si>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</si>
  <si>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</si>
  <si>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</si>
  <si>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</si>
  <si>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</si>
  <si>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</si>
  <si>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</si>
  <si>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</si>
  <si>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</si>
  <si>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</si>
  <si>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</si>
  <si>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</si>
  <si>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</si>
  <si>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</si>
  <si>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</si>
  <si>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</si>
  <si>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سرية مشاة راجلة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</si>
  <si>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السرية (في الوسط).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</si>
</sst>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264705</xdr:colOff>
      <xdr:row>17</xdr:row>
      <xdr:rowOff>449040</xdr:rowOff>
    </xdr:from>
    <xdr:to>
      <xdr:col>8</xdr:col>
      <xdr:colOff>477084</xdr:colOff>
      <xdr:row>18</xdr:row>
      <xdr:rowOff>558028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75EA3-8A13-018D-AC74-BC5D4AAF6075}"/>
                </a:ext>
              </a:extLst>
            </xdr14:cNvPr>
            <xdr14:cNvContentPartPr/>
          </xdr14:nvContentPartPr>
          <xdr14:nvPr macro=""/>
          <xdr14:xfrm>
            <a:off x="10398767825" y="6926040"/>
            <a:ext cx="1528560" cy="640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CD75EA3-8A13-018D-AC74-BC5D4AAF6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59185" y="6917400"/>
              <a:ext cx="1546200" cy="65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210705</xdr:colOff>
      <xdr:row>18</xdr:row>
      <xdr:rowOff>159868</xdr:rowOff>
    </xdr:from>
    <xdr:to>
      <xdr:col>6</xdr:col>
      <xdr:colOff>328065</xdr:colOff>
      <xdr:row>18</xdr:row>
      <xdr:rowOff>263188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76C2786-97E8-7C70-22ED-E1972B28EDED}"/>
                </a:ext>
              </a:extLst>
            </xdr14:cNvPr>
            <xdr14:cNvContentPartPr/>
          </xdr14:nvContentPartPr>
          <xdr14:nvPr macro=""/>
          <xdr14:xfrm>
            <a:off x="10400233025" y="7167960"/>
            <a:ext cx="117360" cy="103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76C2786-97E8-7C70-22ED-E1972B28ED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24385" y="7159320"/>
              <a:ext cx="1350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389985</xdr:colOff>
      <xdr:row>18</xdr:row>
      <xdr:rowOff>474148</xdr:rowOff>
    </xdr:from>
    <xdr:to>
      <xdr:col>6</xdr:col>
      <xdr:colOff>403305</xdr:colOff>
      <xdr:row>18</xdr:row>
      <xdr:rowOff>484588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915766C-77D0-1BB0-FE0B-2416D5A3D828}"/>
                </a:ext>
              </a:extLst>
            </xdr14:cNvPr>
            <xdr14:cNvContentPartPr/>
          </xdr14:nvContentPartPr>
          <xdr14:nvPr macro=""/>
          <xdr14:xfrm>
            <a:off x="10400157785" y="7482240"/>
            <a:ext cx="13320" cy="104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915766C-77D0-1BB0-FE0B-2416D5A3D8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148785" y="7473600"/>
              <a:ext cx="3096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194145</xdr:colOff>
      <xdr:row>18</xdr:row>
      <xdr:rowOff>21988</xdr:rowOff>
    </xdr:from>
    <xdr:to>
      <xdr:col>6</xdr:col>
      <xdr:colOff>232665</xdr:colOff>
      <xdr:row>18</xdr:row>
      <xdr:rowOff>201628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79F9939-BDE7-5AD3-6C64-946C73C05029}"/>
                </a:ext>
              </a:extLst>
            </xdr14:cNvPr>
            <xdr14:cNvContentPartPr/>
          </xdr14:nvContentPartPr>
          <xdr14:nvPr macro=""/>
          <xdr14:xfrm>
            <a:off x="10400328425" y="7030080"/>
            <a:ext cx="38520" cy="1796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79F9939-BDE7-5AD3-6C64-946C73C0502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319425" y="7021080"/>
              <a:ext cx="56160" cy="19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38:13.7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4246 873 3840,'0'0'0,"0"0"2017,0 0-321,0 0-1696,0 0 1512,0 0-135,0 0-265,0 3-432,0-3-680,-12 3 288,7-3-200,-12 4-80,3-1 16,14-3-24,-12 3-8,-7 1-16,-3 8-16,-2-9-8,24-3 48,-26 12-56,-6-7 8,-4 12-8,-2-6 32,38-11 24,-44 13-32,-4 0 16,-7 1 0,-5 3-56,60-17 72,-65 15-24,-5 3-24,-4-1-24,-3 0 128,77-17-56,-84 20 0,-8 1 72,-7 0 104,-9 3 136,108-24-312,-118 29 336,-9 2 8,-5 3 16,-5 2-31,137-36-329,-133 35 368,-6-2 104,2-6 40,0-4-120,137-23-392,-135 18 336,0-1-144,3 0-88,2 5-24,130-22-80,-137 22 80,2 5-24,-2 2-56,2 1 80,135-30-80,-127 31 32,7-3 48,7-1-32,9-1-128,104-26 80,-96 21 0,5-4-32,14-4 48,4-1 56,73-12-72,-57 2 32,11 3 64,10-3 40,12-2 48,24 0-184,-12 0 256,12-2-56,0-3-64,0 0-48,0 5-88,24-15 64,0 3 8,12-7 0,12-5-24,-48 24-48,58-27 32,14-4-16,7-2-32,6 0-32,-85 33 48,96-35-48,2-1 64,15-2-32,8-2 16,-121 40 0,125-41 24,12-5-56,-2-3 64,-3-5-32,-132 54 0,135-57-24,-1-2 24,3-2 40,3-1 8,-140 62-48,135-66 96,-10 1-72,-5 0-24,-12 2-16,-108 63 16,104-58-48,-13 2-8,-9 7 112,-13 2-64,-69 47 8,56-46 72,-6-2 56,-11 0-176,-13-2 216,-26 50-168,17-49 89,-15 5 79,1 3-32,-3 3-16,0 38-120,-12-34 224,-5 2-56,-9 5 240,-1 5-256,27 22-152,-31-17 160,2 2 56,-2 11-136,-1-2 176,32 6-256,-24-2 112,-4 2-72,8 2 0,3 14-40,17-16 0,-16 14 24,4 8-192,0 5 120,7 8-72,5-35 120,-7 41-152,7 6 168,0 4-120,4 5 144,-4-56-40,20 58 48,-1 0 8,0 1-48,5-1-120,-24-58 112,24 60-64,5-2 64,-2 3 16,1-3 16,-28-58-32,27 59-48,2-4-32,-3-4 72,-2 0 48,-24-51-40,24 47 32,-2-1 0,-5-3-88,2-2 32,-19-41 24,17 44-24,2 1 0,-5-2 56,1 1-120,-15-44 88,5 40-8,12-2-32,-15-1 0,15-1 104,-17-36-64,2 34 0,10-4-32,-9-2 144,-1-4-192,-2-24 80,2 20-32,1-1-112,-3-5-312,0-3-160,0-11 616,0 5-889,-5 6-359,0-8-728,5-3-1889,0 0 3865,-12-2-7458,12 2 7458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38:14.4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325 1 2928,'0'0'0,"0"3"1833,0 8-785,0-11-1048,0 4 720,-5 9-72,3-10 56,-5 1 0,7-4-704,-12 12 688,9-9-71,-9 9-153,8-7-80,4-5-384,-5 14 296,-10-10-136,13 12-8,-10-5-72,12-11-80,-7 13 80,-10 1 16,2 0-8,3 1-24,12-15-64,-19 15 80,5-1-24,-3 1 40,-2-1-8,19-14-88,-20 14-48,-4 0-256,0-1-656,0-2-1097,24-11 2057,-33 5-5881,33-5 5881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38:14.8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 29 18980,'0'0'0,"-12"-13"296,12 13-296,-4-4-320,-8-2-273,9 5-167,1 0-184,2 1 944,-3 0-1128,3-2-489,0 1-1359,5 1-4306,-5 0 7282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38:15.7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106 498 10138,'0'0'0,"0"0"0,-2-2 1048,2-2-440,-5-7-80,5 5 48,0 6-576,-3-19 616,1 2-144,0-4-7,2-3-25,0 24-440,0-27 416,-3-3-24,1-1 80,-3 0-64,5 31-408,-5-32 408,-2 2 72,-5 1-120,9-1-64,3 30-296,-2-26 232,-10 2-136,7 3-120,0 2 104,5 19-80,-12-13 24,8 2 88,-1 7-80,2-1 9,3 5-41,-2-4-41,0 0-55,2 0 160,0 2-112,0 2 48,0-1 0,0 1-64,-3 0-184,3 0-40,0 0 288,0 0-288,0 0 8,5 0 40,-3-2-264,-2 2 504,5 0-960,7 0-688,3-14-2225,-11 14-3065,-4 0 6938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2" zoomScale="130" zoomScaleNormal="100" zoomScaleSheetLayoutView="130" workbookViewId="0">
      <selection activeCell="G19" sqref="G19:J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186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37</v>
      </c>
      <c r="D2" s="54"/>
      <c r="E2" s="12" t="s">
        <v>7</v>
      </c>
      <c r="F2" s="49">
        <v>45912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78</v>
      </c>
      <c r="D3" s="54"/>
      <c r="E3" s="12" t="s">
        <v>6</v>
      </c>
      <c r="F3" s="54" t="s">
        <v>133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5" customHeight="1" x14ac:dyDescent="0.2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2">
      <c r="A8" s="10"/>
      <c r="B8" s="47" t="s">
        <v>185</v>
      </c>
      <c r="C8" s="47"/>
      <c r="D8" s="47"/>
      <c r="E8" s="9">
        <v>5</v>
      </c>
      <c r="F8" s="26">
        <v>3.5</v>
      </c>
      <c r="G8" s="29">
        <f>IFERROR(F8/E8,"")</f>
        <v>0.7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6"/>
    </row>
    <row r="9" spans="1:10" ht="30" customHeight="1" x14ac:dyDescent="0.2">
      <c r="A9" s="10"/>
      <c r="B9" s="47" t="s">
        <v>184</v>
      </c>
      <c r="C9" s="47"/>
      <c r="D9" s="47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2">
      <c r="A10" s="10"/>
      <c r="B10" s="47" t="s">
        <v>183</v>
      </c>
      <c r="C10" s="47"/>
      <c r="D10" s="47"/>
      <c r="E10" s="9">
        <v>5</v>
      </c>
      <c r="F10" s="26">
        <v>3.25</v>
      </c>
      <c r="G10" s="29">
        <f t="shared" ref="G10:G14" si="0">IFERROR(F10/E10,"")</f>
        <v>0.65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36"/>
      <c r="J10" s="36"/>
    </row>
    <row r="11" spans="1:10" ht="30" customHeight="1" x14ac:dyDescent="0.2">
      <c r="A11" s="10"/>
      <c r="B11" s="47" t="s">
        <v>182</v>
      </c>
      <c r="C11" s="47"/>
      <c r="D11" s="47"/>
      <c r="E11" s="9">
        <v>5</v>
      </c>
      <c r="F11" s="26">
        <v>3.25</v>
      </c>
      <c r="G11" s="29">
        <f t="shared" si="0"/>
        <v>0.65</v>
      </c>
      <c r="H11" s="30" t="str">
        <f t="shared" si="1"/>
        <v>مقبول</v>
      </c>
      <c r="I11" s="36"/>
      <c r="J11" s="36"/>
    </row>
    <row r="12" spans="1:10" ht="30" customHeight="1" x14ac:dyDescent="0.2">
      <c r="A12" s="10"/>
      <c r="B12" s="47" t="s">
        <v>181</v>
      </c>
      <c r="C12" s="47"/>
      <c r="D12" s="47"/>
      <c r="E12" s="9">
        <v>5</v>
      </c>
      <c r="F12" s="26">
        <v>3.25</v>
      </c>
      <c r="G12" s="29">
        <f t="shared" si="0"/>
        <v>0.65</v>
      </c>
      <c r="H12" s="30" t="str">
        <f t="shared" si="1"/>
        <v>مقبول</v>
      </c>
      <c r="I12" s="36"/>
      <c r="J12" s="36"/>
    </row>
    <row r="13" spans="1:10" ht="30" customHeight="1" x14ac:dyDescent="0.2">
      <c r="A13" s="10"/>
      <c r="B13" s="47" t="s">
        <v>187</v>
      </c>
      <c r="C13" s="47"/>
      <c r="D13" s="47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36"/>
      <c r="J13" s="36"/>
    </row>
    <row r="14" spans="1:10" ht="30" customHeight="1" x14ac:dyDescent="0.2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2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24.5</v>
      </c>
      <c r="G15" s="33"/>
      <c r="H15" s="34"/>
      <c r="I15" s="34"/>
      <c r="J15" s="35"/>
    </row>
    <row r="16" spans="1:10" ht="30" customHeight="1" thickBot="1" x14ac:dyDescent="0.25">
      <c r="A16" s="4"/>
      <c r="B16" s="45" t="s">
        <v>54</v>
      </c>
      <c r="C16" s="46"/>
      <c r="D16" s="46"/>
      <c r="E16" s="43">
        <f>F15/E15/100*100</f>
        <v>0.7</v>
      </c>
      <c r="F16" s="43"/>
      <c r="G16" s="43"/>
      <c r="H16" s="43"/>
      <c r="I16" s="43"/>
      <c r="J16" s="44"/>
    </row>
    <row r="17" spans="1:10" ht="30" customHeight="1" thickBot="1" x14ac:dyDescent="0.2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2">
      <c r="B18" s="37" t="s">
        <v>174</v>
      </c>
      <c r="C18" s="37"/>
      <c r="D18" s="37"/>
      <c r="E18" s="31" t="s">
        <v>52</v>
      </c>
      <c r="F18" s="31"/>
      <c r="G18" s="39" t="s">
        <v>133</v>
      </c>
      <c r="H18" s="39"/>
      <c r="I18" s="39"/>
      <c r="J18" s="39"/>
    </row>
    <row r="19" spans="1:10" ht="51" customHeight="1" x14ac:dyDescent="0.2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60">
      <formula>$E17="جيد جداً"</formula>
    </cfRule>
    <cfRule type="expression" dxfId="12" priority="59">
      <formula>$E17="جيد"</formula>
    </cfRule>
    <cfRule type="expression" dxfId="11" priority="58">
      <formula>$E17="مقبول"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2025-10-08T15:03:11Z</dcterms:modified>
</cp:coreProperties>
</file>