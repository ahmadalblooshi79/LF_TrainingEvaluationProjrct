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9C4B54A-A5B4-4EA1-9932-22486ED517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 s="1"/>
  <c r="G12" i="2"/>
  <c r="H12" i="2"/>
  <c r="G13" i="2"/>
  <c r="H13" i="2" s="1"/>
  <c r="G14" i="2"/>
  <c r="H14" i="2"/>
  <c r="G15" i="2"/>
  <c r="H15" i="2"/>
  <c r="G16" i="2"/>
  <c r="H16" i="2"/>
  <c r="G8" i="2"/>
  <c r="H8" i="2"/>
  <c r="F17" i="2"/>
  <c r="E18" i="2" s="1"/>
  <c r="E19" i="2" s="1"/>
  <c r="E17" i="2"/>
</calcChain>
</file>

<file path=xl/sharedStrings.xml><?xml version="1.0" encoding="utf-8"?>
<sst xmlns="http://schemas.openxmlformats.org/spreadsheetml/2006/main" count="246" uniqueCount="191">
  <si>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</si>
  <si>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</si>
  <si>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</si>
  <si>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</si>
  <si>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</si>
  <si>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</si>
  <si>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</si>
  <si>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</si>
  <si>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</si>
  <si>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</si>
  <si>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</si>
  <si>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</si>
  <si>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</si>
  <si>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</si>
  <si>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</si>
  <si>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</si>
  <si>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</si>
  <si>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</si>
  <si>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</si>
  <si>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</si>
  <si>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</si>
  <si>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</si>
  <si>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</si>
  <si>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</si>
  <si>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</si>
  <si>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</si>
  <si>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</si>
  <si>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</si>
  <si>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</si>
  <si>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</si>
  <si>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</si>
  <si>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</si>
  <si>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</si>
  <si>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</si>
  <si>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</si>
  <si>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</si>
  <si>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</si>
  <si>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</si>
  <si>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</si>
  <si>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</si>
  <si>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</si>
  <si>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</si>
  <si>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</si>
  <si>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</si>
  <si>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</si>
  <si>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</si>
  <si>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</si>
  <si>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</si>
  <si>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</si>
  <si>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</si>
  <si>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</si>
  <si>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</si>
  <si>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</si>
  <si>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</si>
  <si>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</si>
  <si>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</si>
  <si>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</si>
  <si>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</si>
  <si>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</si>
  <si>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</si>
  <si>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</si>
  <si>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</si>
  <si>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</si>
  <si>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</si>
  <si>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</si>
  <si>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</si>
  <si>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</si>
  <si>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</si>
  <si>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</si>
  <si>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</si>
  <si>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</si>
  <si>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</si>
  <si>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</si>
  <si>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</si>
  <si>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</si>
  <si>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</si>
  <si>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</si>
  <si>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</si>
  <si>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</si>
  <si>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</si>
  <si>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</si>
  <si>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</si>
  <si>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</si>
  <si>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</si>
  <si>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</si>
  <si>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</si>
  <si>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</si>
  <si>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</si>
  <si>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</si>
  <si>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</si>
  <si>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</si>
  <si>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</si>
  <si>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</si>
  <si>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</si>
  <si>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</si>
  <si>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</si>
  <si>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</si>
  <si>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</si>
  <si>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</si>
  <si>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</si>
  <si>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</si>
  <si>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</si>
  <si>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</si>
  <si>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</si>
  <si>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</si>
  <si>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</si>
  <si>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</si>
  <si>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</si>
  <si>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</si>
  <si>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</si>
  <si>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</si>
  <si>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</si>
  <si>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</si>
  <si>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</si>
  <si>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</si>
  <si>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</si>
  <si>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</si>
  <si>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</si>
  <si>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</si>
  <si>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</si>
  <si>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</si>
  <si>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</si>
  <si>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</si>
  <si>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</si>
  <si>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</si>
  <si>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</si>
  <si>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</si>
  <si>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</si>
  <si>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</si>
  <si>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</si>
  <si>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</si>
  <si>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</si>
  <si>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</si>
  <si>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</si>
  <si>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</si>
  <si>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</si>
  <si>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</si>
  <si>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</si>
  <si>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</si>
  <si>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</si>
  <si>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</si>
  <si>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</si>
  <si>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</si>
  <si>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</si>
  <si>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</si>
  <si>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</si>
  <si>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</si>
  <si>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</si>
  <si>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</si>
  <si>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</si>
  <si>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</si>
  <si>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</si>
  <si>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</si>
  <si>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</si>
  <si>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</si>
  <si>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</si>
  <si>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</si>
  <si>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</si>
  <si>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</si>
  <si>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</si>
  <si>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</si>
  <si>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</si>
  <si>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</si>
  <si>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</si>
  <si>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</si>
  <si>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</si>
  <si>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</si>
  <si>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</si>
  <si>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</si>
  <si>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</si>
  <si>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</si>
  <si>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</si>
  <si>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</si>
  <si>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</si>
  <si>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</si>
  <si>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</si>
  <si>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</si>
  <si>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</si>
  <si>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</si>
  <si>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</si>
  <si>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</si>
  <si>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</si>
  <si>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</si>
  <si>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</si>
  <si>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</si>
  <si>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</si>
  <si>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</si>
  <si>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</si>
  <si>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</si>
  <si>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r>
      <rPr>
        <b/>
        <sz val="14"/>
        <color rgb="FF000000"/>
        <rFont val="Arial"/>
        <family val="2"/>
      </rPr>
      <t>تقييم وكيل الكتيبة في تفتيشات ما قبل المعركة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</si>
  <si>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 xml:space="preserve">كبيروكلاء/ سالم سعيد سالم الشحي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</si>
</sst>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408941</xdr:colOff>
      <xdr:row>20</xdr:row>
      <xdr:rowOff>173668</xdr:rowOff>
    </xdr:from>
    <xdr:to>
      <xdr:col>7</xdr:col>
      <xdr:colOff>182489</xdr:colOff>
      <xdr:row>20</xdr:row>
      <xdr:rowOff>427468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31541CA-4AE6-905D-20B0-1C76113CC2E5}"/>
                </a:ext>
              </a:extLst>
            </xdr14:cNvPr>
            <xdr14:cNvContentPartPr/>
          </xdr14:nvContentPartPr>
          <xdr14:nvPr macro=""/>
          <xdr14:xfrm>
            <a:off x="10399720511" y="9086760"/>
            <a:ext cx="431640" cy="253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31541CA-4AE6-905D-20B0-1C76113CC2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714391" y="9080640"/>
              <a:ext cx="44388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203729</xdr:colOff>
      <xdr:row>20</xdr:row>
      <xdr:rowOff>46948</xdr:rowOff>
    </xdr:from>
    <xdr:to>
      <xdr:col>9</xdr:col>
      <xdr:colOff>411067</xdr:colOff>
      <xdr:row>20</xdr:row>
      <xdr:rowOff>553828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02C9B32-38F5-D6F4-612E-958147070FA6}"/>
                </a:ext>
              </a:extLst>
            </xdr14:cNvPr>
            <xdr14:cNvContentPartPr/>
          </xdr14:nvContentPartPr>
          <xdr14:nvPr macro=""/>
          <xdr14:xfrm>
            <a:off x="10398175751" y="8960040"/>
            <a:ext cx="1523520" cy="5068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02C9B32-38F5-D6F4-612E-958147070FA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69631" y="8953920"/>
              <a:ext cx="1535760" cy="51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6:55:58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1145 352 8,'0'0'0,"0"-5"0,-5 0 0,0 0 16,5 5-16,-11-5 24,7 3 40,-1 1 176,3 0 416,2 1-656,-4-5 1152,-1 2 456,0 1-103,0-3-329,5 5-1176,-2-3 1032,-4 2-240,1-2-192,-6 2-200,11 1-400,-5-2 273,-7-1-57,6 2 8,-11 0 0,17 1-224,-11-2 264,-1 1 96,-2-1 32,5 2 48,9 0-440,-11-1 448,0 1-56,3 0-16,-4 0 8,12 0-384,-6 0 368,-11 0-24,6 0-39,-2 0-73,13 0-232,-21 3 176,7 0 16,-4-1-40,-5 1-48,23-3-104,-23 3 96,-3 0 8,2-3-40,-9 3 16,33-3-80,-30 0 96,-2 0-8,-1 0 24,2 0-48,31 0-64,-33 0 24,1-2 40,0 1-120,2-2 80,30 3-24,-30-1 80,2-4-48,5 3 56,1-1-8,22 3-80,-14-4 24,0 2 96,2-1 88,10 0 104,2 3-312,-2-2 424,0-1 128,2-2 8,-2 1-55,2 4-505,0-4 392,0 0-160,2-2-8,0 0-64,-2 6-160,2-5 152,3-1 32,-3-5-128,10 8 32,-12 3-88,1-6 88,16 0-144,-3-5 88,-12 7-8,-2 4-24,18-6 8,-4-5 48,0 6-32,4-7-64,-18 12 40,16-5 16,5-9-56,-3 10 80,3-9 80,-21 13-120,21-6 80,2-6 0,0 6-56,2-10-64,-25 16 40,23-5-24,0-10 0,3 4 8,-1 5 0,-25 6 16,23-14 16,0 10 32,-2-9-48,-3 9 80,-18 4-80,18-4 24,-4-1-72,-2 1 72,-10 3-72,-2 1 48,14 0 8,-7 0 16,6 0-32,-8 2-8,-5-2 16,14 5-8,-10-1 16,6 9-8,-8-9 0,-2-4 0,4 16-24,1-5 72,-3 3-48,3-1 16,-5-13-16,5 16 0,-1-1-16,8 1 8,-12 2 32,0-18-24,11 22 64,-11-2-112,5 2 8,-3 1-80,-2-23 120,0 24-72,0 2 72,0-1-24,-2 1 120,2-26-96,-5 28 0,2-1 32,-12 0-88,6 0 48,9-27 8,-14 26-32,-2 2-64,0-2 72,-5-1-80,21-25 104,-23 24-104,-5-2 56,-2-4-24,-4 1-8,34-19 80,-41 13-96,-1-2-40,-1-7 56,-3 10-168,46-14 248,-49 3-168,17 1 168,-23 1-3121,-5-1 24,60-4 3097,-62 3-3248,-30 1-233,20-1 1416,-1 1-407,73-4 2472,-69 0-1512,69 0 1512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6:58:00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3719 449 8,'0'0'0,"0"0"0,-2 0 0,0 2 0,0 1 16,-3 0-8,5-3-8,-2 4 24,-1-1 8,3 1 0,0-1 8,0-3-40,-2 0 48,2 0 24,0 0 8,0 0 24,0 0-104,0 0 152,0-1 32,0-1 328,0 1 224,0 1-736,0-3 864,2 2 176,-2-3-384,3 1-95,-3 3-561,2-5 544,3 3-72,-3-1 8,0-2 88,-2 5-568,2-4 584,3 0 32,-3 0-64,3-2-55,-5 6-497,10-6 448,-10-5-88,7 8-40,4-3-96,-11 6-224,2-11 144,10 7-8,-7-2-56,10-7-24,-15 13-56,3-4 40,12-9-32,-10 9 0,11-10 8,-16 14-16,12-12 96,0 7 8,2-10 16,-10 4-24,-4 11-96,17-6 56,-5-9 32,1 9 40,-3-10 40,-10 16-168,12-12 216,-7-1 24,13 0-32,-16-1 16,-2 14-224,12-13 176,-7-3-16,11 2-8,-4-1-32,-12 15-120,12-16 112,-10 2-16,9-2 32,-8 2-47,-3 14-81,12-13 80,-7 2-24,-3-1-56,0 7 48,-2 5-48,5-13 16,-2 10 48,-1-1-8,-2-1-24,0 5-32,1-1 56,-1 0-72,0-1 16,0 1 16,0 1-16,0 0-32,0 0 16,0 0-32,0 0-48,0 0 288,0 0-448,0 0 160,0 0 40,0 0 8,0 0 504,0 0-985,0 0 513,0 0-16,0 0 56,0 0 529,3 0-1146,-3 0 601,0 0 16,0 0-40,0 0 16,0 0-8,0 0-16,0 0 16,0 0 48,0 3-16,0-3 8,0 2-24,5 1 8,-5-3-16,0 5-16,0-1-24,0 9 32,0-9 16,0-4-8,0 16 8,0-12 24,0 13 25,0-6-41,0-11-16,0 13 80,0 1-32,0 0-24,0 2-8,0-16-16,0 17 16,0 2-8,0 1-8,0 1 24,0-21-24,0 20 0,2 3 0,-2-2-48,0 2-24,0-23 72,0 22-80,0 2 15,0 1 106,5-1-9,-5-24-32,0 24 24,0 0 16,0 2-32,-3-2 32,3-24-40,-4 24 48,-7-1-32,6-2 8,0 0 16,5-21-40,-12 20 32,10 0-16,-6-1 24,4-4-16,4-15-24,-12 17 72,8-1-40,-8-2-24,7 0 16,5-14-24,-11 12-56,8-1 112,-1-8-24,1 8 0,3-11-32,-5 3 0,3 2-8,-3 6 8,3-8-24,2-3 24,-3 3 8,1 1 16,0 0-24,-1 0 8,3-4-8,-1 5 0,-4 6-8,0-8-16,0 1 8,5-4 16,-12 12-16,7-10 0,-3 3-8,1-1-8,7-4 32,-20 3-24,9 1 8,-1-1 32,-2 1-16,14-4 0,-14 4-8,2-1 32,-4 1-40,2-1 0,14-3 16,-17 3-16,1 0 0,-3 0-16,-2 0 32,21-3 0,-21 0-16,0 3 0,0-1 32,-5-2-32,26 0 16,-24 3-64,-4-3 32,3 3 8,-5-3 16,30 0 8,-32 0 80,-3 0-56,-2 0 8,-3 0 8,40 0-40,-40 3-16,-5 0 64,-1-3-48,-1 0 16,47 0-16,-49 0 16,-3 0-48,3 0 64,0 0-32,49 0 0,-45 3 48,-5-3-8,4 0-16,2 0-40,44 0 16,-45 0-8,5 0 8,2 0-40,1 0 112,37 0-72,-37-2-24,4 2 40,-1-1-40,2-1 48,32 2-24,-28 0 0,-3-1-32,7-1 72,1 2-104,23 0 64,-17 0 24,2 0-16,3 0-8,9 0-32,3 0 32,-7 0 8,3 0-16,4 0 48,0 0 144,0 0-184,0-1 160,0 1 32,2-1-48,2-1-176,-4 2 32,5-1-24,7-3 40,-7 1-32,8-2 0,-13 5 16,3-2 0,11-3 0,-14 1-48,12 0 16,-12 4 32,5-4-24,6-1 16,-6 1 40,-3 1 0,-2 3-32,12-4-24,-12 0-88,3-1 80,-1 1 8,-2 4 24,5-3 0,-3 0-48,0-1 64,-2 0-64,0 4 48,5-3 32,-5 0 80,2 0-120,-2 1 16,0 2-8,0-3-8,0 1 16,2-2-40,-2 3 32,0 1 0,3-3-24,-3-2-8,0 3 40,0-3 16,0 5-24,2-2-56,-2-3 8,5 0 56,-5 0 0,0 5-8,0-11-32,0 7 16,0-2-32,0-5 104,0 11-56,0-5 104,0-6-48,0 7 24,2-9-64,-2 13-16,0-4 0,0-1 48,0 0-40,0 0 8,0 5-16,0-4 0,-2 3 8,2-1-16,0 1-40,0 1 48,0 0-160,0 0 168,0 0-104,-5 0 32,5 0 64,-5 0 24,3 3-8,-3 1-24,-6 0 0,11-4 8,-2 13-16,-1-10-32,-9 10 16,10-9 8,2-4 24,-10 13 8,7-9-144,-12 7 112,10-8 16,5-3 8,-14 12-72,-2-10 80,-1 3-32,-3-1-16,20-4 40,-22 4 40,1 1-40,-3-3-8,1 1-88,23-3 96,-25 0-40,-2 3-8,4-3 48,2 0-32,21 0 32,-21 0-8,3 0 16,-2 0-24,4 0 112,16 0-96,-16 0-88,-1 0 64,1 0 16,-1 0 40,17 0-32,-16 0 24,-3 3-40,2-3 32,6 0-40,11 0 24,-14 0 0,7 0 32,2 0-64,1 0 32,4 0 0,-2-2 88,2 1-56,0-3 40,2 0-40,-2 4-32,11-5 24,-6 0 24,12-1-24,-4-5 40,-13 11-64,12-5-24,5 1 40,-6-7 56,-1 8-32,-10 3-40,4-5 64,-1 1-48,2 0-32,-3-2-48,-2 2 32,0 4 32,0-4-16,0 1-16,0 1 32,0 2 0,0-1-64,-5 0 8,-9-1 0,0 2-48,0 0 112,14 0-8,-17 0 16,1 3-32,2 0 64,-4 0-80,18-3 32,-17 3-80,-2 1 32,-5-1 32,6 0-24,18-3 40,-19 2 40,-2 1-80,0-3 32,9 0 144,12 0-136,-11 0 160,-1 0 56,-5 0-48,3 0-136,14 0-32,-19 0-72,3 0 48,-5 0 16,7 0-48,14 0 56,-17 0 24,3 0-48,10 0-8,-8 0 8,12 0 24,-5 0-32,0 0 48,5 0-16,-2-1 32,2 1-32,-2 0-24,2-2-16,0 2-48,0 0-48,0 0 136,0-1-120,0 1-8,0 0-25,0 0 89,0 0 64,0 0-104,0 0 72,0 0 32,-5 3-64,5-3 64,-5 3-24,-8-1 0,3 1-24,-5-3 64,15 0-16,-15 3-56,-2 0 8,-4-3-16,2 3-24,19-3 88,-23 0-64,-1 0-40,-4 0 16,-2 0 8,30 0 80,-33 0-112,-4-2 40,-3 0-8,-5-3-48,45 5 128,-50-4-80,0 0-8,-5-2-24,25 2 208,30 4-96,-35-3 104,0-1-8,-5 1-24,-2 0-144,42 3 72,-48-4-208,1 0-16,-5-1-80,-3 1-40,55 4 344,-59-4-272,5-1-32,-2 1 72,0 0 2952,56 4-2720,-59-6-64,1 2 16,3-2 104,3 2-152,52 4 96,-46-6 8,2 2 224,6-2-208,7 2-104,31 4 80,-28-6-200,10 1-232,8-1-2672,5 2 2784,5 4 320,0-6-265,5 2 153,11-2 353,8 1-9,-24 5-232,23-5 288,10 0-64,4 0 8,5 1 40,-42 4-272,48-4 240,57-1-128,6 3-48,6 2 8,-117 0-72,121 0 56,-5 4 144,-1 7-24,0-6-8,-115-5-168,110 14 104,2-10-104,111 20-728,-12-8-928,-211-16 1656,188 11-2409,-19-7-520,-12 1 865,2-2 896,-159-3 1168,166 0-536,-6 0 392,-10 0 80,-11 0 32,-139 0 32,122 0-16,-12 0 0,-10 0 8,-10 0 8,-90 0 0,89 0-8,-1 2 0,-3 3 8,-5 9 0,-80-14 0,72 4 0,-4 9 0,-6-9 0,-4 8 0,-58-12 0,45 2 0,-8-2-8,-11 3 8,-7-3 0,-19 0 0,2 0 0,-4-3 0,-19-2 0,-8-7 0,29 12 0,-40-4 0,-8-9 0,-9 9 0,-6-7 0,63 11 0,-72-5 0,-11 0 0,-6-1 0,-8 0 0,97 6 0,-102-5 16,-6-1 16,-5 0 64,1-6 224,112 12-320,-120-12 520,1-2 376,-1 1 248,-7 2-384,127 11-760,-131-5 720,-5-6-399,-1 8-249,-3-1 144,140 4-216,-70-4 296,-19-1 48,2 3-48,-16-3-144,103 5-152,-98-4 8,-17 0-40,0 0-80,-10 1 8,125 3 104,-119-3-128,62 1 128,-6 1 0,4 0-40,59 1 40,-61-2-24,0 2-200,-4-1 24,6 1 40,59 0 160,-64-2-200,6 2 72,-3 0-56,7-1 55,54 1 129,-56 0-48,9 0 0,1-1 216,3 1-31,43 0-137,-40-2 104,11 1 64,11-1-88,6 1 56,12 1-136,-2-2 224,4 0-16,20-1 48,6 0-24,-28 3-232,37-4 288,60-9-184,20 7-32,14-8 40,-131 14-112,143-6-8,10-8 176,-1 8-40,1-6-176,-153 12 48,281-15-184,-35 11-80,-32-2-16,-41 2 136,-173 4 144,139-3-40,-9 2 56,0 1-8,-13 0-96,-117 0 88,112 4-184,-7 7-368,-5-6-137,-7 8-143,-93-13 832,87 4-848,-10 10 248,-7-11 80,-11 8 160,-59-11 360,47 3-232,-7 0 64,-12 0 88,-13 0 56,-15-3 24,3 0-96,-4 2 8,-16-2-40,-6 0 16,23 0 112,-37 0-32,-10 0 16,-10-1 24,-13-3 0,70 4-8,-78-6 40,-4-7 0,-5 9 48,-6-9 16,93 13-104,-94-11 112,-9 5 168,-1-9 80,-1 2 176,105 13-536,-115-13 704,5-1-72,-3-2 80,3 2-103,110 14-609,-106-16 408,58 12 56,-16-9-176,6 9-32,58 4-256,-69-16 320,6 11-208,-7-12 8,4 2-56,66 15-64,-68-14 104,7-2-48,7 1-32,11 1 40,43 14-64,-32-15 24,6 1 24,10 1 8,9 2-72,7 11 16,-2-6-32,2-6-40,2 7-8,17 1 8,-19 4 72,16-4-104,7 1 72,5 1 24,5 2 32,-33 0-24,34 0 72,6 3-8,1 9 24,1-9 64,-42-3-152,47 12 272,0 0 120,8 2 16,31 13 88,-86-27-496,75 31 520,-11 0 57,-20-2 135,-4-1-80,-40-28-632,35 32 568,-7 2-80,-5 1-64,-1 2 8,-22-37-432,16 41 384,-2 1-120,-4 2-40,-6 0-88,-4-44-136,0 47 153,0 0-89,0 1-40,0 0-40,0-48 16,-2 47-32,-3-3-48,-7 2-17,7-2-15,5-44 112,-13 44-296,1 1 16,5-2-128,-7-2-128,14-41 536,-12 43-816,5-3-368,-10 0-737,6 4-1423,11-44 3344,-5 38-2689,1-1 1057,-8-6 952,12-11 576,0-20 104,0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A13" zoomScale="130" zoomScaleNormal="100" zoomScaleSheetLayoutView="130" workbookViewId="0">
      <selection activeCell="F16" sqref="F16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189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2" t="s">
        <v>178</v>
      </c>
      <c r="C2" s="64" t="s">
        <v>38</v>
      </c>
      <c r="D2" s="64"/>
      <c r="E2" s="12" t="s">
        <v>7</v>
      </c>
      <c r="F2" s="59">
        <v>45945</v>
      </c>
      <c r="G2" s="59"/>
      <c r="H2" s="59"/>
      <c r="I2" s="59"/>
      <c r="J2" s="59"/>
    </row>
    <row r="3" spans="1:10" ht="30" customHeight="1" x14ac:dyDescent="0.3">
      <c r="B3" s="12" t="s">
        <v>179</v>
      </c>
      <c r="C3" s="64" t="s">
        <v>190</v>
      </c>
      <c r="D3" s="64"/>
      <c r="E3" s="12" t="s">
        <v>6</v>
      </c>
      <c r="F3" s="64" t="s">
        <v>160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21</v>
      </c>
      <c r="H6" s="11" t="s">
        <v>22</v>
      </c>
      <c r="I6" s="69"/>
      <c r="J6" s="70"/>
    </row>
    <row r="7" spans="1:10" ht="24.9" customHeight="1" thickBot="1" x14ac:dyDescent="0.35">
      <c r="A7" s="10"/>
      <c r="B7" s="65" t="s">
        <v>19</v>
      </c>
      <c r="C7" s="66"/>
      <c r="D7" s="66"/>
      <c r="E7" s="28" t="s">
        <v>16</v>
      </c>
      <c r="F7" s="28" t="s">
        <v>17</v>
      </c>
      <c r="G7" s="28" t="s">
        <v>20</v>
      </c>
      <c r="H7" s="28" t="s">
        <v>18</v>
      </c>
      <c r="I7" s="71" t="s">
        <v>23</v>
      </c>
      <c r="J7" s="72"/>
    </row>
    <row r="8" spans="1:10" ht="39.9" customHeight="1" x14ac:dyDescent="0.3">
      <c r="A8" s="10"/>
      <c r="B8" s="75" t="s">
        <v>180</v>
      </c>
      <c r="C8" s="76"/>
      <c r="D8" s="76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3"/>
      <c r="J8" s="74"/>
    </row>
    <row r="9" spans="1:10" ht="39.9" customHeight="1" x14ac:dyDescent="0.3">
      <c r="A9" s="10"/>
      <c r="B9" s="77" t="s">
        <v>181</v>
      </c>
      <c r="C9" s="78"/>
      <c r="D9" s="78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0"/>
      <c r="B10" s="77" t="s">
        <v>182</v>
      </c>
      <c r="C10" s="78"/>
      <c r="D10" s="78"/>
      <c r="E10" s="9">
        <v>5</v>
      </c>
      <c r="F10" s="26">
        <v>4</v>
      </c>
      <c r="G10" s="30">
        <f t="shared" ref="G10:G16" si="0">IFERROR(F10/E10,"")</f>
        <v>0.8</v>
      </c>
      <c r="H10" s="31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9.9" customHeight="1" x14ac:dyDescent="0.3">
      <c r="A11" s="10"/>
      <c r="B11" s="77" t="s">
        <v>183</v>
      </c>
      <c r="C11" s="78"/>
      <c r="D11" s="78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4"/>
      <c r="J11" s="45"/>
    </row>
    <row r="12" spans="1:10" ht="39.9" customHeight="1" x14ac:dyDescent="0.3">
      <c r="A12" s="10"/>
      <c r="B12" s="77" t="s">
        <v>184</v>
      </c>
      <c r="C12" s="78"/>
      <c r="D12" s="78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4"/>
      <c r="J12" s="45"/>
    </row>
    <row r="13" spans="1:10" ht="39.9" customHeight="1" x14ac:dyDescent="0.3">
      <c r="A13" s="10"/>
      <c r="B13" s="77" t="s">
        <v>185</v>
      </c>
      <c r="C13" s="78"/>
      <c r="D13" s="78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4"/>
      <c r="J13" s="45"/>
    </row>
    <row r="14" spans="1:10" ht="39.9" customHeight="1" x14ac:dyDescent="0.3">
      <c r="A14" s="10"/>
      <c r="B14" s="77" t="s">
        <v>186</v>
      </c>
      <c r="C14" s="78"/>
      <c r="D14" s="78"/>
      <c r="E14" s="9">
        <v>5</v>
      </c>
      <c r="F14" s="26">
        <v>4</v>
      </c>
      <c r="G14" s="30">
        <f t="shared" si="0"/>
        <v>0.8</v>
      </c>
      <c r="H14" s="31" t="str">
        <f t="shared" si="1"/>
        <v>جيد جداً</v>
      </c>
      <c r="I14" s="44"/>
      <c r="J14" s="45"/>
    </row>
    <row r="15" spans="1:10" ht="39.9" customHeight="1" x14ac:dyDescent="0.3">
      <c r="A15" s="10"/>
      <c r="B15" s="77" t="s">
        <v>187</v>
      </c>
      <c r="C15" s="78"/>
      <c r="D15" s="78"/>
      <c r="E15" s="9">
        <v>5</v>
      </c>
      <c r="F15" s="26">
        <v>4</v>
      </c>
      <c r="G15" s="30">
        <f t="shared" si="0"/>
        <v>0.8</v>
      </c>
      <c r="H15" s="31" t="str">
        <f t="shared" si="1"/>
        <v>جيد جداً</v>
      </c>
      <c r="I15" s="44"/>
      <c r="J15" s="45"/>
    </row>
    <row r="16" spans="1:10" ht="39.9" customHeight="1" thickBot="1" x14ac:dyDescent="0.35">
      <c r="A16" s="10"/>
      <c r="B16" s="81" t="s">
        <v>188</v>
      </c>
      <c r="C16" s="82"/>
      <c r="D16" s="82"/>
      <c r="E16" s="36">
        <v>5</v>
      </c>
      <c r="F16" s="27">
        <v>3.5</v>
      </c>
      <c r="G16" s="37">
        <f t="shared" si="0"/>
        <v>0.7</v>
      </c>
      <c r="H16" s="38" t="str">
        <f t="shared" si="1"/>
        <v>جيد</v>
      </c>
      <c r="I16" s="79"/>
      <c r="J16" s="80"/>
    </row>
    <row r="17" spans="1:10" ht="30" customHeight="1" thickBot="1" x14ac:dyDescent="0.35">
      <c r="A17" s="4"/>
      <c r="B17" s="54" t="s">
        <v>5</v>
      </c>
      <c r="C17" s="55"/>
      <c r="D17" s="55"/>
      <c r="E17" s="29">
        <f>SUM(E8:E16)</f>
        <v>45</v>
      </c>
      <c r="F17" s="29">
        <f>SUM(F8:F16)</f>
        <v>34</v>
      </c>
      <c r="G17" s="41"/>
      <c r="H17" s="42"/>
      <c r="I17" s="42"/>
      <c r="J17" s="43"/>
    </row>
    <row r="18" spans="1:10" ht="30" customHeight="1" thickBot="1" x14ac:dyDescent="0.35">
      <c r="A18" s="4"/>
      <c r="B18" s="56" t="s">
        <v>52</v>
      </c>
      <c r="C18" s="57"/>
      <c r="D18" s="57"/>
      <c r="E18" s="52">
        <f>F17/E17/100*100</f>
        <v>0.75555555555555554</v>
      </c>
      <c r="F18" s="52"/>
      <c r="G18" s="52"/>
      <c r="H18" s="52"/>
      <c r="I18" s="52"/>
      <c r="J18" s="53"/>
    </row>
    <row r="19" spans="1:10" ht="30" customHeight="1" thickBot="1" x14ac:dyDescent="0.35">
      <c r="A19" s="4"/>
      <c r="B19" s="56" t="s">
        <v>53</v>
      </c>
      <c r="C19" s="57"/>
      <c r="D19" s="57"/>
      <c r="E19" s="50" t="str">
        <f>_xlfn.IFS(E18&gt;=90%,"ممتاز",E18&gt;=80%,"جيد جداً",E18&gt;=70%,"جيد",E18&gt;=60%,"مقبول",E18&lt;60%,"راسب")</f>
        <v>جيد</v>
      </c>
      <c r="F19" s="50"/>
      <c r="G19" s="50"/>
      <c r="H19" s="50"/>
      <c r="I19" s="50"/>
      <c r="J19" s="51"/>
    </row>
    <row r="20" spans="1:10" ht="42" customHeight="1" x14ac:dyDescent="0.3">
      <c r="B20" s="46" t="s">
        <v>172</v>
      </c>
      <c r="C20" s="46"/>
      <c r="D20" s="46"/>
      <c r="E20" s="39" t="s">
        <v>50</v>
      </c>
      <c r="F20" s="39"/>
      <c r="G20" s="48" t="s">
        <v>160</v>
      </c>
      <c r="H20" s="48"/>
      <c r="I20" s="48"/>
      <c r="J20" s="48"/>
    </row>
    <row r="21" spans="1:10" ht="51" customHeight="1" x14ac:dyDescent="0.3">
      <c r="A21" s="5"/>
      <c r="B21" s="47"/>
      <c r="C21" s="47"/>
      <c r="D21" s="47"/>
      <c r="E21" s="40" t="s">
        <v>51</v>
      </c>
      <c r="F21" s="40"/>
      <c r="G21" s="49"/>
      <c r="H21" s="49"/>
      <c r="I21" s="49"/>
      <c r="J21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2025-10-15T21:23:04Z</dcterms:modified>
</cp:coreProperties>
</file>