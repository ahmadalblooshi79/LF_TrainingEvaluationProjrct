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A1DC061-A9C8-F245-906D-2E0EE1BC7F5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<sst xmlns="http://schemas.openxmlformats.org/spreadsheetml/2006/main" count="246" uniqueCount="190">
  <si>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</si>
  <si>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</si>
  <si>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</si>
  <si>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</si>
  <si>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</si>
  <si>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</si>
  <si>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</si>
  <si>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</si>
  <si>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</si>
  <si>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</si>
  <si>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</si>
  <si>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</si>
  <si>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</si>
  <si>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</si>
  <si>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</si>
  <si>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</si>
  <si>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</si>
  <si>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</si>
  <si>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</si>
  <si>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</si>
  <si>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</si>
  <si>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</si>
  <si>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</si>
  <si>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</si>
  <si>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</si>
  <si>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</si>
  <si>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</si>
  <si>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</si>
  <si>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</si>
  <si>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</si>
  <si>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</si>
  <si>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</si>
  <si>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</si>
  <si>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</si>
  <si>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</si>
  <si>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</si>
  <si>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</si>
  <si>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</si>
  <si>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</si>
  <si>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</si>
  <si>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</si>
  <si>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</si>
  <si>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</si>
  <si>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</si>
  <si>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</si>
  <si>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</si>
  <si>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</si>
  <si>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</si>
  <si>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</si>
  <si>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</si>
  <si>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</si>
  <si>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</si>
  <si>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</si>
  <si>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</si>
  <si>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</si>
  <si>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</si>
  <si>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</si>
  <si>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</si>
  <si>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</si>
  <si>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</si>
  <si>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</si>
  <si>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</si>
  <si>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</si>
  <si>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</si>
  <si>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</si>
  <si>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</si>
  <si>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</si>
  <si>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</si>
  <si>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</si>
  <si>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</si>
  <si>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</si>
  <si>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</si>
  <si>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</si>
  <si>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</si>
  <si>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</si>
  <si>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</si>
  <si>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</si>
  <si>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</si>
  <si>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</si>
  <si>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</si>
  <si>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</si>
  <si>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</si>
  <si>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</si>
  <si>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</si>
  <si>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</si>
  <si>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</si>
  <si>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</si>
  <si>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</si>
  <si>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</si>
  <si>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</si>
  <si>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</si>
  <si>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</si>
  <si>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</si>
  <si>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</si>
  <si>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</si>
  <si>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</si>
  <si>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</si>
  <si>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</si>
  <si>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</si>
  <si>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</si>
  <si>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</si>
  <si>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</si>
  <si>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</si>
  <si>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</si>
  <si>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</si>
  <si>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</si>
  <si>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</si>
  <si>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</si>
  <si>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</si>
  <si>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</si>
  <si>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</si>
  <si>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</si>
  <si>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</si>
  <si>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</si>
  <si>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</si>
  <si>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</si>
  <si>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</si>
  <si>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</si>
  <si>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</si>
  <si>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</si>
  <si>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</si>
  <si>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</si>
  <si>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</si>
  <si>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</si>
  <si>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</si>
  <si>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</si>
  <si>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</si>
  <si>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</si>
  <si>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</si>
  <si>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</si>
  <si>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</si>
  <si>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</si>
  <si>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</si>
  <si>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</si>
  <si>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</si>
  <si>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</si>
  <si>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</si>
  <si>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</si>
  <si>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</si>
  <si>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</si>
  <si>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</si>
  <si>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</si>
  <si>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</si>
  <si>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</si>
  <si>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</si>
  <si>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</si>
  <si>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</si>
  <si>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</si>
  <si>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</si>
  <si>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</si>
  <si>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</si>
  <si>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</si>
  <si>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</si>
  <si>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</si>
  <si>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</si>
  <si>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</si>
  <si>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</si>
  <si>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</si>
  <si>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</si>
  <si>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</si>
  <si>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</si>
  <si>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</si>
  <si>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</si>
  <si>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</si>
  <si>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</si>
  <si>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</si>
  <si>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</si>
  <si>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</si>
  <si>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</si>
  <si>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</si>
  <si>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</si>
  <si>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</si>
  <si>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</si>
  <si>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</si>
  <si>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</si>
  <si>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</si>
  <si>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</si>
  <si>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</si>
  <si>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</si>
  <si>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</si>
  <si>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انتشار سرية الـ م/د - تمرين جاهزية مجموعة لواء الإمارات/1 (جندي الصحراء 2025/20)</t>
  </si>
  <si>
    <r>
      <t>1.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Times New Roman"/>
        <family val="1"/>
      </rPr>
      <t>الخطة</t>
    </r>
    <r>
      <rPr>
        <b/>
        <sz val="12"/>
        <color theme="1"/>
        <rFont val="Times New Roman"/>
        <family val="1"/>
      </rPr>
      <t xml:space="preserve"> (يتم التأكد من التالي): </t>
    </r>
  </si>
  <si>
    <t>أ. وجود الخطة واعتمادها.</t>
  </si>
  <si>
    <t>ب. التقيد بالإطار العام.</t>
  </si>
  <si>
    <t>جـ. التقيد بواجبات الأركان الصغرى في إعداد الخطة.</t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</si>
  <si>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مدى تنفيذ المستوى الخاضع للتقييم لجميع الإجراءات المطلوبة منهم في تطبيق الخطة حسب المعاضل التي تفرض من قبل فريق التقييم.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</si>
  <si>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التأكد من التنسيق مع المعنيين لتنفيذ الخطة.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</si>
  <si>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مدى توفر المهمات والمعدات المطلوبة لتنفيذ الخطة ( آليات، معدات، إلخ... ).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</si>
  <si>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مدى إلمام المرتب بالخطة ومتطلباتها والواجبات المحددة لكل منهم.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</si>
  <si>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التقيد بالتدريب على تنفيذ الخطة ومدى واقعيتها للتطبيق (التدريب على مهام العمليات).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</si>
</sst>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7" fillId="0" borderId="21" xfId="0" applyFont="1" applyBorder="1" applyAlignment="1">
      <alignment horizontal="right" vertical="center" wrapText="1" indent="2" readingOrder="2"/>
    </xf>
    <xf numFmtId="0" fontId="17" fillId="0" borderId="3" xfId="0" applyFont="1" applyBorder="1" applyAlignment="1">
      <alignment horizontal="right" vertical="center" wrapText="1" indent="2" readingOrder="2"/>
    </xf>
    <xf numFmtId="0" fontId="17" fillId="0" borderId="11" xfId="0" applyFont="1" applyBorder="1" applyAlignment="1">
      <alignment horizontal="right" vertical="center" wrapText="1" indent="2" readingOrder="2"/>
    </xf>
    <xf numFmtId="0" fontId="17" fillId="0" borderId="12" xfId="0" applyFont="1" applyBorder="1" applyAlignment="1">
      <alignment horizontal="right" vertical="center" wrapText="1" indent="2" readingOrder="2"/>
    </xf>
    <xf numFmtId="0" fontId="17" fillId="0" borderId="8" xfId="0" applyFont="1" applyBorder="1" applyAlignment="1">
      <alignment horizontal="right" vertical="center" wrapText="1" readingOrder="2"/>
    </xf>
    <xf numFmtId="0" fontId="17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عادي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496437</xdr:colOff>
      <xdr:row>19</xdr:row>
      <xdr:rowOff>448800</xdr:rowOff>
    </xdr:from>
    <xdr:to>
      <xdr:col>9</xdr:col>
      <xdr:colOff>488103</xdr:colOff>
      <xdr:row>22</xdr:row>
      <xdr:rowOff>144862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F9E5DCD6-0595-053A-4ACA-88008705B80D}"/>
                </a:ext>
              </a:extLst>
            </xdr14:cNvPr>
            <xdr14:cNvContentPartPr/>
          </xdr14:nvContentPartPr>
          <xdr14:nvPr macro=""/>
          <xdr14:xfrm>
            <a:off x="11437951625" y="8830800"/>
            <a:ext cx="2139120" cy="104688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F9E5DCD6-0595-053A-4ACA-88008705B8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7942625" y="8822160"/>
              <a:ext cx="2156760" cy="1064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9:21:52.2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986 1412,'0'0,"0"0,0 0,0 0,0 0,0 0,0 0,0 0,0 0,0 0,0 16,0-13,-14 10,14 3,0-13,-17 26,0 3,17-27,-14 38,14 5,0-40,-17 33,0-9,17-27,0 38,17-11,-15-27,13 6,16-11,-26 0,103-32,20-16,-109 40,123-65,50-23,-163 82,166-100,45-14,-204 109,169-107,52-18,-218 122,129-84,10-6,-151 95,105-79,-36 32,-79 54,48-28,-3 6,-52 28,14-24,-10 12,-45 48,0 0,26-27,-72 70,-2 21,67-81,-72 67,-44 30,109-96,-92 96,-16 16,107-108,-56 57,-4 3,68-69,-24 42,2-21,32-27,-10 6,26-11,-11 0,11-16,17-16,-26 27,24-6,19-5,-41 13,34-26,7-3,-40 27,33-38,7 11,-44 27,40-22,-13-6,-26 29,7 8,-5-4,-14 16,-10 1,15-15,-13 12,-16 18,26-28,-21 24,-8 4,32-28,-27 24,-3 4,28-27,-8 6,-5 5,17-14,17-4,-15 2,12-16,18 0,-27 14,21-12,8-18,-30 27,23-22,4 11,-24 13,20-10,-13-3,-11 13,11-10,-7 5,3 16,-3-8,-31 16,7 0,3 0,11-14,-11 12,14 2,0-14,-17 12,3 2,11-14,-11-4,14 18,0-14,17-20,-15 17,10-14,53-33,-58 41,82-50,24-24,-96 69,111-72,47-12,-148 82,122-100,77-31,-195 124,162-86,-1-5,-163 95,135-62,11-2,-146 69,103-56,-4 20,-107 41,54-18,7 9,-70 14,38-12,-2 14,-38 0,14 0,7 0,-23 0,1 0,22 0,-23 0,16 0,-7 16,-15-13,12-6,1 19,-13-13,-19-6,-16 35,28-27,-53 38,-38 5,79-40,-127 81,-65 7,177-81,-177 98,-80 31,246-122,-250 133,-59 53,297-176,-260 129,-53 47,313-176,-306 177,-24 31,330-206,-275 157,-6 17,290-180,-231 121,22-21,219-110,-154 60,63-14,107-54,-73 12,30 10,53-27,-28-10,4-11,32 14,-27 4,12-2,10 0,0 0,-3 0,34-16,10 0,-32 14,44-28,65-34,-95 54,97-92,63-27,-147 109,151-104,75-52,-214 148,193-137,69-43,-255 175,257-175,32-16,-282 188,210-137,40-51,-257 189,193-123,-1-18,-208 152,146-96,-20-9,-133 110,80-74,-8 29,-83 54,20-28,-20 22,-12 14,-4-12,-29 14,26 0,-38 16,-22 0,55-14,-43-4,-43 18,82-14,-102 28,-28 2,122-27,-115 22,-7 5,120-26,-113 36,-8 6,124-40,-150 65,43-9,107-54,-54 28,10-6,56-27,-30 22,-9 21,41-41,14 2,-7 7,0-13,48-6,-17 3,-26 0,72 16,51-16,-109 0,106 0,19 0,-120 0,80 0,26 0,-111 0,137 16,-11 0,-124-13,54 26,-27 3,-41-26,17 21,10 21,-32-41,-21 50,2 39,17-81,-48 98,-15 64,51-147,-89 132,-12-18,97-120,-30 65,-2-25,38-54,-28 60,4-22,29-40,-53 32,73-24,-13-13,13 10,33-13,-41 0,113-48,58-16,-151 54,187-76,58-42,-229 106,202-117,61-37,-256 146,172-101,35-29,-216 134,142-92,40-27,-184 121,100-48,-28-8,-92 67,44-22,-15-13,-41 40,0 16,-38-8,26 0,-38 32,-85 0,107-27,-150 70,-103 53,230-107,-249 119,-92 68,325-174,-296 173,-46 49,337-213,-269 171,-51 26,327-203,-254 167,-8-12,269-162,-170 101,-5-19,192-95,-59 46,-4-31,80-27,3 6,-3-11,15 0,4-16,15 0,-15 14,-4 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D4" zoomScale="130" zoomScaleNormal="100" zoomScaleSheetLayoutView="130" workbookViewId="0">
      <selection activeCell="G21" sqref="G21:J21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>
      <c r="B2" s="12" t="s">
        <v>8</v>
      </c>
      <c r="C2" s="71" t="s">
        <v>27</v>
      </c>
      <c r="D2" s="71"/>
      <c r="E2" s="12" t="s">
        <v>7</v>
      </c>
      <c r="F2" s="66">
        <v>45929</v>
      </c>
      <c r="G2" s="66"/>
      <c r="H2" s="66"/>
      <c r="I2" s="66"/>
      <c r="J2" s="66"/>
    </row>
    <row r="3" spans="1:10" ht="30" customHeight="1">
      <c r="B3" s="12" t="s">
        <v>9</v>
      </c>
      <c r="C3" s="71" t="s">
        <v>70</v>
      </c>
      <c r="D3" s="71"/>
      <c r="E3" s="12" t="s">
        <v>6</v>
      </c>
      <c r="F3" s="71" t="s">
        <v>115</v>
      </c>
      <c r="G3" s="71"/>
      <c r="H3" s="71"/>
      <c r="I3" s="71"/>
      <c r="J3" s="71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8"/>
      <c r="J6" s="79"/>
    </row>
    <row r="7" spans="1:10" ht="24.95" customHeight="1" thickBot="1">
      <c r="A7" s="10"/>
      <c r="B7" s="74" t="s">
        <v>21</v>
      </c>
      <c r="C7" s="75"/>
      <c r="D7" s="75"/>
      <c r="E7" s="29" t="s">
        <v>18</v>
      </c>
      <c r="F7" s="29" t="s">
        <v>19</v>
      </c>
      <c r="G7" s="29" t="s">
        <v>22</v>
      </c>
      <c r="H7" s="29" t="s">
        <v>20</v>
      </c>
      <c r="I7" s="80" t="s">
        <v>25</v>
      </c>
      <c r="J7" s="81"/>
    </row>
    <row r="8" spans="1:10" ht="39.950000000000003" customHeight="1">
      <c r="A8" s="10"/>
      <c r="B8" s="43" t="s">
        <v>181</v>
      </c>
      <c r="C8" s="44"/>
      <c r="D8" s="44"/>
      <c r="E8" s="33"/>
      <c r="F8" s="34"/>
      <c r="G8" s="35"/>
      <c r="H8" s="36"/>
      <c r="I8" s="51"/>
      <c r="J8" s="52"/>
    </row>
    <row r="9" spans="1:10" ht="39.950000000000003" customHeight="1">
      <c r="A9" s="10"/>
      <c r="B9" s="45" t="s">
        <v>182</v>
      </c>
      <c r="C9" s="46"/>
      <c r="D9" s="46"/>
      <c r="E9" s="30">
        <v>10</v>
      </c>
      <c r="F9" s="26">
        <v>7.25</v>
      </c>
      <c r="G9" s="31">
        <f>IFERROR(F9/E9,"")</f>
        <v>0.72499999999999998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82"/>
      <c r="J9" s="83"/>
    </row>
    <row r="10" spans="1:10" ht="39.950000000000003" customHeight="1">
      <c r="A10" s="10"/>
      <c r="B10" s="45" t="s">
        <v>183</v>
      </c>
      <c r="C10" s="46"/>
      <c r="D10" s="46"/>
      <c r="E10" s="30">
        <v>5</v>
      </c>
      <c r="F10" s="26">
        <v>3.5</v>
      </c>
      <c r="G10" s="31">
        <f t="shared" ref="G10:G16" si="0">IFERROR(F10/E10,"")</f>
        <v>0.7</v>
      </c>
      <c r="H10" s="32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82"/>
      <c r="J10" s="83"/>
    </row>
    <row r="11" spans="1:10" ht="39.950000000000003" customHeight="1" thickBot="1">
      <c r="A11" s="10"/>
      <c r="B11" s="47" t="s">
        <v>184</v>
      </c>
      <c r="C11" s="48"/>
      <c r="D11" s="48"/>
      <c r="E11" s="37">
        <v>5</v>
      </c>
      <c r="F11" s="28">
        <v>3.5</v>
      </c>
      <c r="G11" s="38">
        <f t="shared" si="0"/>
        <v>0.7</v>
      </c>
      <c r="H11" s="39" t="str">
        <f t="shared" si="1"/>
        <v>جيد</v>
      </c>
      <c r="I11" s="55"/>
      <c r="J11" s="56"/>
    </row>
    <row r="12" spans="1:10" ht="39.950000000000003" customHeight="1" thickBot="1">
      <c r="A12" s="10"/>
      <c r="B12" s="49" t="s">
        <v>189</v>
      </c>
      <c r="C12" s="50"/>
      <c r="D12" s="50"/>
      <c r="E12" s="40">
        <v>20</v>
      </c>
      <c r="F12" s="41">
        <v>15</v>
      </c>
      <c r="G12" s="42">
        <f t="shared" si="0"/>
        <v>0.75</v>
      </c>
      <c r="H12" s="27" t="str">
        <f t="shared" si="1"/>
        <v>جيد</v>
      </c>
      <c r="I12" s="57"/>
      <c r="J12" s="58"/>
    </row>
    <row r="13" spans="1:10" ht="39.950000000000003" customHeight="1" thickBot="1">
      <c r="A13" s="10"/>
      <c r="B13" s="49" t="s">
        <v>188</v>
      </c>
      <c r="C13" s="50"/>
      <c r="D13" s="50"/>
      <c r="E13" s="40">
        <v>10</v>
      </c>
      <c r="F13" s="41">
        <v>7.5</v>
      </c>
      <c r="G13" s="42">
        <f t="shared" si="0"/>
        <v>0.75</v>
      </c>
      <c r="H13" s="27" t="str">
        <f t="shared" si="1"/>
        <v>جيد</v>
      </c>
      <c r="I13" s="57"/>
      <c r="J13" s="58"/>
    </row>
    <row r="14" spans="1:10" ht="39.950000000000003" customHeight="1" thickBot="1">
      <c r="A14" s="10"/>
      <c r="B14" s="49" t="s">
        <v>187</v>
      </c>
      <c r="C14" s="50"/>
      <c r="D14" s="50"/>
      <c r="E14" s="40">
        <v>10</v>
      </c>
      <c r="F14" s="41">
        <v>7.5</v>
      </c>
      <c r="G14" s="42">
        <f t="shared" si="0"/>
        <v>0.75</v>
      </c>
      <c r="H14" s="27" t="str">
        <f t="shared" si="1"/>
        <v>جيد</v>
      </c>
      <c r="I14" s="57"/>
      <c r="J14" s="58"/>
    </row>
    <row r="15" spans="1:10" ht="39.950000000000003" customHeight="1" thickBot="1">
      <c r="A15" s="10"/>
      <c r="B15" s="49" t="s">
        <v>186</v>
      </c>
      <c r="C15" s="50"/>
      <c r="D15" s="50"/>
      <c r="E15" s="40">
        <v>5</v>
      </c>
      <c r="F15" s="41">
        <v>3.5</v>
      </c>
      <c r="G15" s="42">
        <f t="shared" si="0"/>
        <v>0.7</v>
      </c>
      <c r="H15" s="27" t="str">
        <f t="shared" si="1"/>
        <v>جيد</v>
      </c>
      <c r="I15" s="57"/>
      <c r="J15" s="58"/>
    </row>
    <row r="16" spans="1:10" ht="39.950000000000003" customHeight="1" thickBot="1">
      <c r="A16" s="10"/>
      <c r="B16" s="49" t="s">
        <v>185</v>
      </c>
      <c r="C16" s="50"/>
      <c r="D16" s="50"/>
      <c r="E16" s="40">
        <v>5</v>
      </c>
      <c r="F16" s="41">
        <v>3.5</v>
      </c>
      <c r="G16" s="42">
        <f t="shared" si="0"/>
        <v>0.7</v>
      </c>
      <c r="H16" s="27" t="str">
        <f t="shared" si="1"/>
        <v>جيد</v>
      </c>
      <c r="I16" s="57"/>
      <c r="J16" s="58"/>
    </row>
    <row r="17" spans="1:10" ht="30" customHeight="1" thickBot="1">
      <c r="A17" s="4"/>
      <c r="B17" s="53" t="s">
        <v>5</v>
      </c>
      <c r="C17" s="54"/>
      <c r="D17" s="54"/>
      <c r="E17" s="9">
        <f>SUM(E8:E16)</f>
        <v>70</v>
      </c>
      <c r="F17" s="9">
        <f>SUM(F8:F16)</f>
        <v>51.25</v>
      </c>
      <c r="G17" s="86"/>
      <c r="H17" s="87"/>
      <c r="I17" s="87"/>
      <c r="J17" s="88"/>
    </row>
    <row r="18" spans="1:10" ht="30" customHeight="1" thickBot="1">
      <c r="A18" s="4"/>
      <c r="B18" s="53" t="s">
        <v>54</v>
      </c>
      <c r="C18" s="54"/>
      <c r="D18" s="54"/>
      <c r="E18" s="72">
        <f>F17/E17/100*100</f>
        <v>0.7321428571428571</v>
      </c>
      <c r="F18" s="72"/>
      <c r="G18" s="72"/>
      <c r="H18" s="72"/>
      <c r="I18" s="72"/>
      <c r="J18" s="73"/>
    </row>
    <row r="19" spans="1:10" ht="30" customHeight="1" thickBot="1">
      <c r="A19" s="4"/>
      <c r="B19" s="53" t="s">
        <v>55</v>
      </c>
      <c r="C19" s="54"/>
      <c r="D19" s="54"/>
      <c r="E19" s="63" t="str">
        <f>_xlfn.IFS(E18&gt;=90%,"ممتاز",E18&gt;=80%,"جيد جداً",E18&gt;=70%,"جيد",E18&gt;=60%,"مقبول",E18&lt;60%,"راسب")</f>
        <v>جيد</v>
      </c>
      <c r="F19" s="63"/>
      <c r="G19" s="63"/>
      <c r="H19" s="63"/>
      <c r="I19" s="63"/>
      <c r="J19" s="64"/>
    </row>
    <row r="20" spans="1:10" ht="42" customHeight="1">
      <c r="B20" s="59" t="s">
        <v>174</v>
      </c>
      <c r="C20" s="59"/>
      <c r="D20" s="59"/>
      <c r="E20" s="84" t="s">
        <v>52</v>
      </c>
      <c r="F20" s="84"/>
      <c r="G20" s="61" t="s">
        <v>115</v>
      </c>
      <c r="H20" s="61"/>
      <c r="I20" s="61"/>
      <c r="J20" s="61"/>
    </row>
    <row r="21" spans="1:10" ht="51" customHeight="1">
      <c r="A21" s="5"/>
      <c r="B21" s="60"/>
      <c r="C21" s="60"/>
      <c r="D21" s="60"/>
      <c r="E21" s="85" t="s">
        <v>53</v>
      </c>
      <c r="F21" s="85"/>
      <c r="G21" s="62"/>
      <c r="H21" s="62"/>
      <c r="I21" s="62"/>
      <c r="J21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B1:J1"/>
    <mergeCell ref="F2:J2"/>
    <mergeCell ref="B5:D6"/>
    <mergeCell ref="C2:D2"/>
    <mergeCell ref="C3:D3"/>
    <mergeCell ref="F3:J3"/>
    <mergeCell ref="E18:J18"/>
    <mergeCell ref="B7:D7"/>
    <mergeCell ref="E5:H5"/>
    <mergeCell ref="I5:J6"/>
    <mergeCell ref="I7:J7"/>
    <mergeCell ref="I10:J10"/>
    <mergeCell ref="B17:D17"/>
    <mergeCell ref="B18:D18"/>
    <mergeCell ref="B19:D19"/>
    <mergeCell ref="I11:J11"/>
    <mergeCell ref="I12:J12"/>
    <mergeCell ref="I13:J13"/>
    <mergeCell ref="I14:J14"/>
    <mergeCell ref="I15:J15"/>
    <mergeCell ref="I16:J16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60">
      <formula>$E19="جيد جداً"</formula>
    </cfRule>
    <cfRule type="expression" dxfId="12" priority="59">
      <formula>$E19="جيد"</formula>
    </cfRule>
    <cfRule type="expression" dxfId="11" priority="58">
      <formula>$E19="مقبول"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D703790-795C-445C-A0EA-54C8EDB39B6B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536AB589-7927-4D83-A019-8AFD06AEE4A0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7" workbookViewId="0">
      <selection activeCell="C33" sqref="C33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2025-09-23T07:04:13Z</dcterms:modified>
</cp:coreProperties>
</file>