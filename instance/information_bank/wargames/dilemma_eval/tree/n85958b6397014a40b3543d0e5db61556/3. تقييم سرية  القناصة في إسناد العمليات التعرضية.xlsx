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03"/>
  <workbookPr filterPrivacy="1" codeName="ThisWorkbook"/>
  <xr:revisionPtr revIDLastSave="0" documentId="13_ncr:1_{F75C54A2-E211-4824-B88C-ABFDE3B6E40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التقييم'!$A$1:$J$36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G11" i="2"/>
  <c r="G12" i="2"/>
  <c r="G14" i="2"/>
  <c r="H14" i="2"/>
  <c r="G15" i="2"/>
  <c r="G16" i="2"/>
  <c r="H16" i="2"/>
  <c r="G18" i="2"/>
  <c r="G19" i="2"/>
  <c r="G20" i="2"/>
  <c r="G23" i="2"/>
  <c r="G24" i="2"/>
  <c r="H24" i="2"/>
  <c r="G25" i="2"/>
  <c r="H25" i="2"/>
  <c r="G26" i="2"/>
  <c r="G27" i="2"/>
  <c r="G28" i="2"/>
  <c r="G29" i="2"/>
  <c r="G30" i="2"/>
  <c r="H30" i="2"/>
  <c r="G31" i="2"/>
  <c r="H10" i="2"/>
  <c r="H12" i="2"/>
  <c r="H18" i="2"/>
  <c r="H20" i="2"/>
  <c r="H26" i="2"/>
  <c r="H28" i="2"/>
  <c r="H11" i="2"/>
  <c r="H15" i="2"/>
  <c r="H19" i="2"/>
  <c r="H23" i="2"/>
  <c r="H27" i="2"/>
  <c r="H29" i="2"/>
  <c r="H31" i="2"/>
  <c r="F32" i="2"/>
  <c r="E32" i="2"/>
  <c r="E33" i="2"/>
  <c r="E34" i="2"/>
</calcChain>
</file>

<file path=xl/sharedStrings.xml><?xml version="1.0" encoding="utf-8"?>
<sst xmlns="http://schemas.openxmlformats.org/spreadsheetml/2006/main" count="262" uniqueCount="206">
  <si>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</si>
  <si>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</si>
  <si>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</si>
  <si>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</si>
  <si>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</si>
  <si>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</si>
  <si>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</si>
  <si>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</si>
  <si>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</si>
  <si>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</si>
  <si>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</si>
  <si>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</si>
  <si>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</si>
  <si>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</si>
  <si>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</si>
  <si>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</si>
  <si>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</si>
  <si>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</si>
  <si>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</si>
  <si>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</si>
  <si>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</si>
  <si>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</si>
  <si>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</si>
  <si>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</si>
  <si>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</si>
  <si>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</si>
  <si>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</si>
  <si>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</si>
  <si>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</si>
  <si>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</si>
  <si>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</si>
  <si>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</si>
  <si>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</si>
  <si>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</si>
  <si>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</si>
  <si>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</si>
  <si>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</si>
  <si>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</si>
  <si>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</si>
  <si>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</si>
  <si>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</si>
  <si>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</si>
  <si>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</si>
  <si>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</si>
  <si>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</si>
  <si>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</si>
  <si>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</si>
  <si>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</si>
  <si>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</si>
  <si>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</si>
  <si>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</si>
  <si>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</si>
  <si>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</si>
  <si>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</si>
  <si>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</si>
  <si>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</si>
  <si>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</si>
  <si>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</si>
  <si>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</si>
  <si>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</si>
  <si>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</si>
  <si>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</si>
  <si>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</si>
  <si>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</si>
  <si>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</si>
  <si>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</si>
  <si>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</si>
  <si>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</si>
  <si>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</si>
  <si>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</si>
  <si>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</si>
  <si>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</si>
  <si>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</si>
  <si>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</si>
  <si>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</si>
  <si>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</si>
  <si>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</si>
  <si>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</si>
  <si>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</si>
  <si>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</si>
  <si>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</si>
  <si>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</si>
  <si>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</si>
  <si>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</si>
  <si>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</si>
  <si>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</si>
  <si>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</si>
  <si>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</si>
  <si>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</si>
  <si>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</si>
  <si>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</si>
  <si>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</si>
  <si>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</si>
  <si>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</si>
  <si>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</si>
  <si>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</si>
  <si>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</si>
  <si>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</si>
  <si>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</si>
  <si>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</si>
  <si>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</si>
  <si>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</si>
  <si>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</si>
  <si>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</si>
  <si>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</si>
  <si>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</si>
  <si>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</si>
  <si>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</si>
  <si>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</si>
  <si>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</si>
  <si>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</si>
  <si>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</si>
  <si>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</si>
  <si>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</si>
  <si>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</si>
  <si>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</si>
  <si>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</si>
  <si>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</si>
  <si>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</si>
  <si>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</si>
  <si>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</si>
  <si>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</si>
  <si>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</si>
  <si>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</si>
  <si>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</si>
  <si>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</si>
  <si>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</si>
  <si>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</si>
  <si>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</si>
  <si>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</si>
  <si>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</si>
  <si>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</si>
  <si>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</si>
  <si>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</si>
  <si>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</si>
  <si>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</si>
  <si>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</si>
  <si>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</si>
  <si>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</si>
  <si>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</si>
  <si>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</si>
  <si>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</si>
  <si>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</si>
  <si>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</si>
  <si>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</si>
  <si>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</si>
  <si>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</si>
  <si>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</si>
  <si>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</si>
  <si>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</si>
  <si>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</si>
  <si>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</si>
  <si>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</si>
  <si>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</si>
  <si>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</si>
  <si>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</si>
  <si>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</si>
  <si>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</si>
  <si>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</si>
  <si>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</si>
  <si>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</si>
  <si>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</si>
  <si>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</si>
  <si>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</si>
  <si>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</si>
  <si>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</si>
  <si>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</si>
  <si>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</si>
  <si>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</si>
  <si>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</si>
  <si>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</si>
  <si>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</si>
  <si>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</si>
  <si>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</si>
  <si>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</si>
  <si>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</si>
  <si>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</si>
  <si>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</si>
  <si>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</si>
  <si>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</si>
  <si>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إجراءات التحضير.</t>
  </si>
  <si>
    <t>1.  تقوم سرية القناصة بالتحضير والاستعداد للمهمة من خلال تنفيذ الاستطلاع الواسع (عند الحاق فرق القناصة مع وحدات الاستطلاع).</t>
  </si>
  <si>
    <t>2.  تنفيذ تفتيشات وتفقدات ما قبل القتال.</t>
  </si>
  <si>
    <t>3.  الإشراف على إجراءات المعركة للوحدات المرؤوسة لضمان أن التخطيط والتحضير يجري بطريقة صحيحة وتتفق مع قصد القائد.</t>
  </si>
  <si>
    <t>4.  تنفيذ التجارب أثناء النهار وفي فترات الرؤية المحدودة إذا أمكن.</t>
  </si>
  <si>
    <t>إجراءات التخطيط.</t>
  </si>
  <si>
    <t>1.  يعمل قائد سرية القناصة على فهم الموقف بكافة الوسائل المتوفرة.</t>
  </si>
  <si>
    <t>2.  تستلم سرية القناصة أمر العمليات أوالأمر المجزأ للعمليات التعرضية.</t>
  </si>
  <si>
    <t>أ‌. البدء بإجراءات التخطيط من خلال إجراءات المعركة الثمانية.</t>
  </si>
  <si>
    <t>ب‌. تنفيذ الاستطلاع من الخارطة وتحديد ما يلي بشكل أولي:</t>
  </si>
  <si>
    <t>(1)  تحديد مناطق التجمع لفصائل القناصة.</t>
  </si>
  <si>
    <t>(2)  تحديد طرق الحركة.</t>
  </si>
  <si>
    <t>(3)  تحديد مناطق العمليات للفصائل.</t>
  </si>
  <si>
    <t>إجراءات التنفيذ.</t>
  </si>
  <si>
    <t>1.  تُساند سرية القناصة الهجوم وتقوم بالإجراءات التالية:</t>
  </si>
  <si>
    <t>أ.  الحركة من منطقة التجمع إلى منطقة التشكيل وخط البدء، بأسلوب الحركة والتشكيلة المناسبين (إذا لم يتم توزيع الفرق).</t>
  </si>
  <si>
    <t>ب.  توضيعهم بالقرب من قاعدة الإسناد الناري، حيث تسمح لهم المناظير ودقة التسديد التي يتمتعوا بها بالتعامل مع أهداف العدومن مسافة.</t>
  </si>
  <si>
    <t>جـ.  بعد اجتياز خط البدء من قبل قوات الإقتحام يمكن تكليف القناصة بواجبات لتشتيت محاولاته لشن الهجوم المعاكس أوقطع خطوط انسحابه أوإزعاج تعزيزات العدو</t>
  </si>
  <si>
    <r>
      <rPr>
        <b/>
        <sz val="14"/>
        <color rgb="FF000000"/>
        <rFont val="Arial"/>
        <family val="2"/>
      </rPr>
      <t>تقييـــــم سريــــة القناصــــة في إســــناد العمليـــــــات التعرضيــــــــة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</si>
  <si>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د.  استخدام القناصة مع قوات الاحتياط (على حسب تعليمات قائد مجموعة اللواء بشرط توفر وسائل نقل مناسبة لهم للحركة واسناد قوات الاحتياط).</t>
  </si>
  <si>
    <t>هـ.  تحديد أماكن ترجل عناصر المشاة وحسب متغيرات المهمة.</t>
  </si>
  <si>
    <t>و.  توفير الحماية بعيدة المدى للدبابات ضد أسلحة م/د المعادية المخفية.</t>
  </si>
  <si>
    <t>ز.  رماية الأهداف.</t>
  </si>
  <si>
    <t>ح.  استدعاء مصادر الإدامة للأمام عند الحاجة.</t>
  </si>
  <si>
    <t xml:space="preserve">ط. تنفيذ التحول حسب الخطة.   </t>
  </si>
  <si>
    <t>النقيب/ سعيد المحرزي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</si>
</sst>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2" fillId="0" borderId="16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2" fillId="0" borderId="23" xfId="0" applyFont="1" applyBorder="1" applyAlignment="1">
      <alignment horizontal="right" vertical="center" wrapText="1" indent="2" readingOrder="2"/>
    </xf>
    <xf numFmtId="0" fontId="12" fillId="0" borderId="3" xfId="0" applyFont="1" applyBorder="1" applyAlignment="1">
      <alignment horizontal="right" vertical="center" wrapText="1" indent="2" readingOrder="2"/>
    </xf>
    <xf numFmtId="0" fontId="12" fillId="0" borderId="11" xfId="0" applyFont="1" applyBorder="1" applyAlignment="1">
      <alignment horizontal="right" vertical="center" wrapText="1" indent="2" readingOrder="2"/>
    </xf>
    <xf numFmtId="0" fontId="12" fillId="0" borderId="12" xfId="0" applyFont="1" applyBorder="1" applyAlignment="1">
      <alignment horizontal="right" vertical="center" wrapText="1" indent="2" readingOrder="2"/>
    </xf>
    <xf numFmtId="0" fontId="13" fillId="0" borderId="11" xfId="0" applyFont="1" applyBorder="1" applyAlignment="1">
      <alignment horizontal="right" vertical="center" wrapText="1" indent="4" readingOrder="2"/>
    </xf>
    <xf numFmtId="0" fontId="13" fillId="0" borderId="12" xfId="0" applyFont="1" applyBorder="1" applyAlignment="1">
      <alignment horizontal="right" vertical="center" wrapText="1" indent="4" readingOrder="2"/>
    </xf>
    <xf numFmtId="0" fontId="1" fillId="0" borderId="5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13" fillId="0" borderId="23" xfId="0" applyFont="1" applyBorder="1" applyAlignment="1">
      <alignment horizontal="right" vertical="center" wrapText="1" indent="2" readingOrder="2"/>
    </xf>
    <xf numFmtId="0" fontId="13" fillId="0" borderId="3" xfId="0" applyFont="1" applyBorder="1" applyAlignment="1">
      <alignment horizontal="right" vertical="center" wrapText="1" indent="2" readingOrder="2"/>
    </xf>
    <xf numFmtId="0" fontId="13" fillId="0" borderId="23" xfId="0" applyFont="1" applyBorder="1" applyAlignment="1">
      <alignment horizontal="right" vertical="center" wrapText="1" indent="2"/>
    </xf>
    <xf numFmtId="0" fontId="13" fillId="0" borderId="3" xfId="0" applyFont="1" applyBorder="1" applyAlignment="1">
      <alignment horizontal="right" vertical="center" wrapText="1" indent="2"/>
    </xf>
    <xf numFmtId="0" fontId="13" fillId="0" borderId="23" xfId="0" applyFont="1" applyBorder="1" applyAlignment="1">
      <alignment horizontal="right" vertical="center" wrapText="1" indent="4" readingOrder="2"/>
    </xf>
    <xf numFmtId="0" fontId="13" fillId="0" borderId="3" xfId="0" applyFont="1" applyBorder="1" applyAlignment="1">
      <alignment horizontal="right" vertical="center" wrapText="1" indent="4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17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7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514141</xdr:colOff>
      <xdr:row>35</xdr:row>
      <xdr:rowOff>151220</xdr:rowOff>
    </xdr:from>
    <xdr:to>
      <xdr:col>7</xdr:col>
      <xdr:colOff>352238</xdr:colOff>
      <xdr:row>35</xdr:row>
      <xdr:rowOff>367580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534A8D9A-6C02-F6BD-1009-01B98A235E75}"/>
                </a:ext>
              </a:extLst>
            </xdr14:cNvPr>
            <xdr14:cNvContentPartPr/>
          </xdr14:nvContentPartPr>
          <xdr14:nvPr macro=""/>
          <xdr14:xfrm>
            <a:off x="10472252047" y="17136360"/>
            <a:ext cx="497520" cy="216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534A8D9A-6C02-F6BD-1009-01B98A235E7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72245927" y="17130240"/>
              <a:ext cx="509760" cy="228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332438</xdr:colOff>
      <xdr:row>35</xdr:row>
      <xdr:rowOff>88580</xdr:rowOff>
    </xdr:from>
    <xdr:to>
      <xdr:col>9</xdr:col>
      <xdr:colOff>228232</xdr:colOff>
      <xdr:row>35</xdr:row>
      <xdr:rowOff>599060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4EBDF47C-893E-6FDC-9C83-4921E8367CA1}"/>
                </a:ext>
              </a:extLst>
            </xdr14:cNvPr>
            <xdr14:cNvContentPartPr/>
          </xdr14:nvContentPartPr>
          <xdr14:nvPr macro=""/>
          <xdr14:xfrm>
            <a:off x="10471057207" y="17073720"/>
            <a:ext cx="1214640" cy="51048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4EBDF47C-893E-6FDC-9C83-4921E8367CA1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71051087" y="17067600"/>
              <a:ext cx="1226880" cy="5227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6T17:36:27.5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825 601 4985,'0'0'0,"2"-3"1872,-2 3-1872,2-5 1456,2-8-143,-1 9-177,-3 4-208,0 0-928,2-3 632,-2 3-136,3 0-200,-3 0 72,0 0-368,0 0 296,0 2 17,0-2 79,2 0-40,-2 0-352,0 0 424,2 1 8,-2-1 16,0 0 56,0 0-504,3 0 464,-2 0 24,2 2-40,-3-2-56,0 0-392,2 0 305,0 2-65,-2-2 8,0 0-80,0 0-168,0 0 296,0 0-80,0 0-32,0 0-24,0 0-1016,0 0 1792,0 0-848,0 0 0,0 0 24,0 0-1336,0 0 2616,0 0-1160,0 0 24,-2 0 40,2 0-296,0 0 312,0 0-8,0 1 24,0-1 16,0 0-344,0 0 288,0 2-64,0-2 105,0 0-169,0 0-160,0 0 128,0 0 144,-2 0-312,2 0 120,0 0-80,0 0 40,-4 0-40,1-3 56,1 3 0,2 0-56,-2-4 112,-3 0-248,5-1 360,-5 0-176,5 5-48,-2-5 144,0 0 40,-3 0-88,3 0-40,2 5-56,-5-5-32,0-10 176,0 12-200,-8-12 136,13 15-80,-2-5 16,-1-13 80,-1 5-104,-10 0 16,14 13-8,0-15 16,-13 1-72,13-3 16,-5-1 80,5 18-40,-5-16 160,0 1-152,1 2-136,-1 0 88,5 13 40,-2-5-24,0-12 120,-3 14-40,2-10 72,3 13-128,-2-3 96,2-10-8,0 9 40,-4-9-168,4 13 40,-2-3-128,2-2 8,-5-8 336,3 10-160,2 3-56,0-5-24,0-8 104,-5 9-232,2-1 192,3 5-40,-2-5 160,2 1-80,0-1-104,0 1 40,0 4-16,0-3 56,0 0 0,0 3-144,0 0 104,0 0-16,0 0 40,2 0-136,3 0 280,0 0-200,-5 0 16,7 0-96,7 0-8,-12 1 160,12 1-40,-14-2-16,4 2 32,15-1 120,-5 1-104,-3 0-80,-11-2 32,13 0 32,2 0-64,1 0 120,0 0-88,-16 0 0,16 0-40,5 0 48,-3-5-80,3 0 136,-21 5-64,21-13 0,-6 9 0,2-9 40,1 10-24,-18 3-16,19-5 112,-1-8-152,3 10-80,-3-2 8,-18 5 112,14-5 56,2-8-72,0 13 80,-4-5-64,-12 5 0,11-5 0,5 0 40,1-10 104,-4 12-104,-13 3-40,11-5-224,6 0 160,-11-8 24,11 10 8,-17 3 32,6-4 0,4-1-56,-5 0-152,11 1 88,-16 4 120,2-5 48,5 0-120,7 1 16,-12 1-16,-2 3 72,2-3-104,1 0 96,-1 3-24,-2-4 104,0 4-72,2 0 40,-2 0 16,2-3-40,-2 3-16,0 0 0,2 0-96,1 0 24,-1-3 56,-2 3-80,0 0 96,0 0-32,0 0-80,0 0 0,0 0-56,0 0 592,0 0-1016,0 0 440,0 0-136,-5 0 176,5 0 112,0 0-136,-2 1 80,-2 1 96,-1 0-24,5-2-16,-4 3-32,-8 0-32,12 2 144,-4-2-112,4-3 32,-18 5 16,13 0-16,-10 2-24,4-1-48,11-6 72,-12 7-16,-4 6 64,-2-8-144,0 10 80,18-15 16,-21 5 0,3 11-40,-3-9 48,-2 9 104,23-16-112,-19 13-24,-2 0 24,-3 0 96,2 1-168,22-14 72,-20 14 32,-1-1-24,-2 1-32,2-1 88,21-13-64,-18 6-40,-3 12 56,-2-11-40,8 8 24,15-15 0,-19 6 64,5 9-48,-2-10 8,3 10-64,13-15 40,-15 6-64,-1 11 32,5-11 8,-1 9 48,12-15-24,-16 5 168,12 10-112,-12-12-32,11 3 0,5-6-24,-13 5-80,8 0 64,-10 0 8,15 0 8,0-5 0,-4 3 0,0-1 80,-1 0-64,0-1 48,5-1-64,0 2 96,-2 0-144,2-2 96,0 0-16,0 0-32,-4 0-136,4 0 216,-3 0-120,3 0 40,-4 0 168,-1-4-168,-6 4 64,11-3-64,0 3 0,-15-3 40,13-2-48,-2 2 48,-10-2-96,14 5 56,-3-5 0,-8-10 80,6 12-104,-10-10 152,15 13-128,-5-5-48,-13-13 80,3 13-72,-1-17-32,16 22 72,-16-13-72,-2 0-48,4-2 104,0 1-40,14 14 56,-18-15 0,2-2 24,2 1-8,-4 0 56,18 16-72,-14-15 24,0 0-32,9 2-24,-13 0 88,18 13-56,-3-5-24,-10-10 104,8 10-40,0-8-40,5 13 0,-11-3 72,11-2-112,-2 0 96,-1 0-56,3 5 0,-4-5 56,2 0 40,-3 0 0,5 2 48,0 3-144,-2-3 136,2 3 16,0 0-80,0 0 40,0 0-112,0 0-8,0 0-24,2 0 8,1 1 24,-3-1 0,6 5-16,6 2 88,-6 6-48,13-8-64,-19-5 40,14 6 72,2 9-88,2-8 16,-1 9 0,-17-16 0,16 13-40,-5-6 24,-4 13 56,14-7 8,-21-13-48,4 13 64,10 0-48,-9-7 0,9 11 152,-14-17-168,6 6 0,10 11 88,-9-11-72,8 11 8,-15-17-24,4 5 88,10 9 96,-8-9-224,9 12-120,-15-17 160,4 6-96,3 11 24,-3-11 72,4 12 72,-8-18-72,0 7 72,2 9-120,-2-11 48,0 10 0,0-15 0,2 5 16,-2 2-32,0-1 88,-2 1 32,2-7-104,-2 6 40,-10-1-8,5 2 8,-9-2-64,16-5 24,-5 6 24,-13-1-24,7 0-16,-4-3-40,15-2 56,-16 1-40,0 1 24,4-2 16,-8 0 16,20 0-16,-16 0 16,0 0-80,-7 0 168,7-3-136,16 3 32,-17-5-144,1-8 32,1 9-224,10-10 64,5 14 272,-14-5-208,12-10 48,0 12-120,-3-11 160,5 14 120,-3-3-72,3-2 48,0 0 48,0 2 32,0 3-56,0-3 72,0 3 8,0 0-40,0 0-40,0 0 88,-4 0-48,4 0 144,0 0-160,0 0-24,-4 0-8,1 0 16,-4 0-88,-6 0 120,13 0-40,-15 0 56,13 0-24,-9 0-8,11 0-24,-5 0 88,-18-3-64,5 3-96,4-4 72,14 4 0,-17-3-56,6 0-96,-4-1-304,-2-1-696,17 5 1152,-21-4-1785,3-1-855,0-9-2225,-5 11-4393,23 3 9258,0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6T17:36:28.2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1686 609 8265,'0'0'0,"0"0"0,13 7 1961,8 8-209,1-9-392,6 7-95,-28-13-1265,27 5 1184,3 0-304,2 0-32,3 0-128,-35-5-720,35 5 721,4 0 39,7 0-80,-1 0 48,-45-5-728,49 3 720,2 0-48,-3 1-32,1-3-31,-49-1-609,53 2 512,0-2-88,1 0-72,-1 0-152,-53 0-200,51 0 176,2-3 208,-3-2-72,-2-8-8,-48 13-304,46-4 256,-4-10-192,-5 0 48,1 1 16,-38 13-128,34-13 136,-4-3-64,5-1 32,-5 1-96,-30 16-8,31-18 0,-1 0 88,-1 0-24,-3 1 112,-26 17-176,26-14 264,-8-3-55,3 3-17,2-3 104,-23 17-296,14-18 168,2 2 8,-4-2 8,-6 0-96,-6 18-88,20-18 80,-16-2-24,-2 2 64,3 1-88,-5 17-32,2-16 32,1-4 16,-3 2-8,-5 0-8,5 18-32,-5-19 48,-11 1-16,0-1-168,-3 0 144,19 19-8,-16-20-24,-7 2-24,-2-3 64,-6 1-16,31 20 0,-30-16-48,-3-1 48,-1 3 0,-1 9-72,35 5 72,-37-17 16,-5 14-32,-2 3 16,-5 0-32,49 0 32,-48 0-120,-8 2-80,-5 2-8,2 13 24,59-17 184,-61 13-128,-2 3 128,4 2 8,-2 2 8,61-20-16,-60 21 64,7 2-96,-6 2 0,4 0-8,55-25 40,-60 26-16,7 0 56,2 0-24,1 2 32,50-28-48,-43 26 48,-6 1-64,1-1 56,-1 2-144,49-28 104,-45 28-40,-1 3-24,-5-2-160,1 4 32,50-33 192,-59 36-297,4 0 313,-6 2 144,-1 1 113,62-39-273,-63 43 176,-6 1-208,-8 1 80,-2 4-64,79-49 16,-85 51 136,1 5-136,40-29 24,-10 8 72,54-35-96,-55 34 40,-15 6-24,4-1-224,-9 7-281,75-46 489,-81 44-808,-7 7-888,-5-2-809,3 0-1271,90-49 3776,-91 48-11939,91-48 11939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36"/>
  <sheetViews>
    <sheetView rightToLeft="1" tabSelected="1" view="pageBreakPreview" zoomScale="110" zoomScaleNormal="100" zoomScaleSheetLayoutView="110" workbookViewId="0">
      <selection activeCell="F4" sqref="F4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33203125" style="1" customWidth="1"/>
    <col min="11" max="16384" width="9" style="1"/>
  </cols>
  <sheetData>
    <row r="1" spans="1:10" ht="45" customHeight="1" x14ac:dyDescent="0.3">
      <c r="B1" s="72" t="s">
        <v>198</v>
      </c>
      <c r="C1" s="72"/>
      <c r="D1" s="72"/>
      <c r="E1" s="72"/>
      <c r="F1" s="72"/>
      <c r="G1" s="72"/>
      <c r="H1" s="72"/>
      <c r="I1" s="72"/>
      <c r="J1" s="72"/>
    </row>
    <row r="2" spans="1:10" ht="30" customHeight="1" x14ac:dyDescent="0.3">
      <c r="B2" s="11" t="s">
        <v>8</v>
      </c>
      <c r="C2" s="78" t="s">
        <v>57</v>
      </c>
      <c r="D2" s="78"/>
      <c r="E2" s="11" t="s">
        <v>7</v>
      </c>
      <c r="F2" s="73">
        <v>45955</v>
      </c>
      <c r="G2" s="73"/>
      <c r="H2" s="73"/>
      <c r="I2" s="73"/>
      <c r="J2" s="73"/>
    </row>
    <row r="3" spans="1:10" ht="30" customHeight="1" x14ac:dyDescent="0.3">
      <c r="B3" s="11" t="s">
        <v>9</v>
      </c>
      <c r="C3" s="78" t="s">
        <v>60</v>
      </c>
      <c r="D3" s="78"/>
      <c r="E3" s="11" t="s">
        <v>6</v>
      </c>
      <c r="F3" s="78" t="s">
        <v>104</v>
      </c>
      <c r="G3" s="78"/>
      <c r="H3" s="78"/>
      <c r="I3" s="78"/>
      <c r="J3" s="78"/>
    </row>
    <row r="4" spans="1:10" ht="30" customHeight="1" thickBot="1" x14ac:dyDescent="0.35">
      <c r="B4" s="6"/>
      <c r="C4" s="7"/>
      <c r="D4" s="7" t="s">
        <v>205</v>
      </c>
      <c r="E4" s="6"/>
      <c r="F4" s="7"/>
      <c r="G4" s="7"/>
      <c r="H4" s="8"/>
      <c r="I4" s="7"/>
      <c r="J4" s="7"/>
    </row>
    <row r="5" spans="1:10" ht="24.9" customHeight="1" x14ac:dyDescent="0.3">
      <c r="A5" s="9"/>
      <c r="B5" s="74" t="s">
        <v>0</v>
      </c>
      <c r="C5" s="75"/>
      <c r="D5" s="75"/>
      <c r="E5" s="81" t="s">
        <v>1</v>
      </c>
      <c r="F5" s="81"/>
      <c r="G5" s="81"/>
      <c r="H5" s="81"/>
      <c r="I5" s="81" t="s">
        <v>2</v>
      </c>
      <c r="J5" s="82"/>
    </row>
    <row r="6" spans="1:10" ht="24.9" customHeight="1" thickBot="1" x14ac:dyDescent="0.35">
      <c r="A6" s="9"/>
      <c r="B6" s="76"/>
      <c r="C6" s="77"/>
      <c r="D6" s="77"/>
      <c r="E6" s="10" t="s">
        <v>3</v>
      </c>
      <c r="F6" s="10" t="s">
        <v>4</v>
      </c>
      <c r="G6" s="10" t="s">
        <v>23</v>
      </c>
      <c r="H6" s="10" t="s">
        <v>24</v>
      </c>
      <c r="I6" s="83"/>
      <c r="J6" s="84"/>
    </row>
    <row r="7" spans="1:10" ht="24.9" customHeight="1" thickBot="1" x14ac:dyDescent="0.35">
      <c r="A7" s="9"/>
      <c r="B7" s="79" t="s">
        <v>21</v>
      </c>
      <c r="C7" s="80"/>
      <c r="D7" s="80"/>
      <c r="E7" s="30" t="s">
        <v>18</v>
      </c>
      <c r="F7" s="30" t="s">
        <v>19</v>
      </c>
      <c r="G7" s="30" t="s">
        <v>22</v>
      </c>
      <c r="H7" s="30" t="s">
        <v>20</v>
      </c>
      <c r="I7" s="85" t="s">
        <v>25</v>
      </c>
      <c r="J7" s="86"/>
    </row>
    <row r="8" spans="1:10" ht="39.9" customHeight="1" x14ac:dyDescent="0.3">
      <c r="A8" s="9"/>
      <c r="B8" s="57" t="s">
        <v>180</v>
      </c>
      <c r="C8" s="58"/>
      <c r="D8" s="58"/>
      <c r="E8" s="35"/>
      <c r="F8" s="29"/>
      <c r="G8" s="27"/>
      <c r="H8" s="28"/>
      <c r="I8" s="68"/>
      <c r="J8" s="69"/>
    </row>
    <row r="9" spans="1:10" ht="39.9" customHeight="1" x14ac:dyDescent="0.3">
      <c r="A9" s="9"/>
      <c r="B9" s="47" t="s">
        <v>181</v>
      </c>
      <c r="C9" s="48"/>
      <c r="D9" s="48"/>
      <c r="E9" s="32">
        <v>5</v>
      </c>
      <c r="F9" s="25">
        <v>3.5</v>
      </c>
      <c r="G9" s="33">
        <f>IFERROR(F9/E9,"")</f>
        <v>0.7</v>
      </c>
      <c r="H9" s="34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64"/>
      <c r="J9" s="65"/>
    </row>
    <row r="10" spans="1:10" ht="39.9" customHeight="1" x14ac:dyDescent="0.3">
      <c r="A10" s="9"/>
      <c r="B10" s="47" t="s">
        <v>182</v>
      </c>
      <c r="C10" s="48"/>
      <c r="D10" s="48"/>
      <c r="E10" s="32">
        <v>5</v>
      </c>
      <c r="F10" s="25">
        <v>3.75</v>
      </c>
      <c r="G10" s="33">
        <f t="shared" ref="G10:G31" si="0">IFERROR(F10/E10,"")</f>
        <v>0.75</v>
      </c>
      <c r="H10" s="34" t="str">
        <f t="shared" ref="H10:H31" si="1">_xlfn.IFS(F10="أدخل العلامة","",F10="لا ينطبق","تم الإلغاء",G10&gt;=90%,"ممتاز",G10&gt;=80%,"جيد جداً",G10&gt;=70%,"جيد",G10&gt;=60%,"مقبول",G10&lt;60%,"راسب")</f>
        <v>جيد</v>
      </c>
      <c r="I10" s="64"/>
      <c r="J10" s="65"/>
    </row>
    <row r="11" spans="1:10" ht="39.9" customHeight="1" x14ac:dyDescent="0.3">
      <c r="A11" s="9"/>
      <c r="B11" s="47" t="s">
        <v>183</v>
      </c>
      <c r="C11" s="48"/>
      <c r="D11" s="48"/>
      <c r="E11" s="32">
        <v>5</v>
      </c>
      <c r="F11" s="25">
        <v>3.5</v>
      </c>
      <c r="G11" s="33">
        <f t="shared" si="0"/>
        <v>0.7</v>
      </c>
      <c r="H11" s="34" t="str">
        <f t="shared" si="1"/>
        <v>جيد</v>
      </c>
      <c r="I11" s="64"/>
      <c r="J11" s="65"/>
    </row>
    <row r="12" spans="1:10" ht="39.9" customHeight="1" thickBot="1" x14ac:dyDescent="0.35">
      <c r="A12" s="9"/>
      <c r="B12" s="55" t="s">
        <v>184</v>
      </c>
      <c r="C12" s="56"/>
      <c r="D12" s="56"/>
      <c r="E12" s="36">
        <v>5</v>
      </c>
      <c r="F12" s="26">
        <v>3.75</v>
      </c>
      <c r="G12" s="37">
        <f t="shared" si="0"/>
        <v>0.75</v>
      </c>
      <c r="H12" s="38" t="str">
        <f t="shared" si="1"/>
        <v>جيد</v>
      </c>
      <c r="I12" s="66"/>
      <c r="J12" s="67"/>
    </row>
    <row r="13" spans="1:10" ht="39.9" customHeight="1" x14ac:dyDescent="0.3">
      <c r="A13" s="9"/>
      <c r="B13" s="57" t="s">
        <v>185</v>
      </c>
      <c r="C13" s="58"/>
      <c r="D13" s="58"/>
      <c r="E13" s="35"/>
      <c r="F13" s="29"/>
      <c r="G13" s="27"/>
      <c r="H13" s="28"/>
      <c r="I13" s="68"/>
      <c r="J13" s="69"/>
    </row>
    <row r="14" spans="1:10" ht="39.9" customHeight="1" x14ac:dyDescent="0.3">
      <c r="A14" s="9"/>
      <c r="B14" s="47" t="s">
        <v>186</v>
      </c>
      <c r="C14" s="48"/>
      <c r="D14" s="48"/>
      <c r="E14" s="32">
        <v>5</v>
      </c>
      <c r="F14" s="25">
        <v>3.5</v>
      </c>
      <c r="G14" s="33">
        <f t="shared" si="0"/>
        <v>0.7</v>
      </c>
      <c r="H14" s="34" t="str">
        <f t="shared" si="1"/>
        <v>جيد</v>
      </c>
      <c r="I14" s="64"/>
      <c r="J14" s="65"/>
    </row>
    <row r="15" spans="1:10" ht="39.9" customHeight="1" x14ac:dyDescent="0.3">
      <c r="A15" s="9"/>
      <c r="B15" s="47" t="s">
        <v>187</v>
      </c>
      <c r="C15" s="48"/>
      <c r="D15" s="48"/>
      <c r="E15" s="32">
        <v>5</v>
      </c>
      <c r="F15" s="25">
        <v>3.5</v>
      </c>
      <c r="G15" s="33">
        <f t="shared" si="0"/>
        <v>0.7</v>
      </c>
      <c r="H15" s="34" t="str">
        <f t="shared" si="1"/>
        <v>جيد</v>
      </c>
      <c r="I15" s="64"/>
      <c r="J15" s="65"/>
    </row>
    <row r="16" spans="1:10" ht="39.9" customHeight="1" x14ac:dyDescent="0.3">
      <c r="A16" s="9"/>
      <c r="B16" s="49" t="s">
        <v>188</v>
      </c>
      <c r="C16" s="50"/>
      <c r="D16" s="50"/>
      <c r="E16" s="32">
        <v>5</v>
      </c>
      <c r="F16" s="25">
        <v>3.5</v>
      </c>
      <c r="G16" s="33">
        <f t="shared" si="0"/>
        <v>0.7</v>
      </c>
      <c r="H16" s="34" t="str">
        <f t="shared" si="1"/>
        <v>جيد</v>
      </c>
      <c r="I16" s="64"/>
      <c r="J16" s="65"/>
    </row>
    <row r="17" spans="1:10" ht="39.9" customHeight="1" x14ac:dyDescent="0.3">
      <c r="A17" s="9"/>
      <c r="B17" s="51" t="s">
        <v>189</v>
      </c>
      <c r="C17" s="52"/>
      <c r="D17" s="52"/>
      <c r="E17" s="32"/>
      <c r="F17" s="25"/>
      <c r="G17" s="33"/>
      <c r="H17" s="34"/>
      <c r="I17" s="64"/>
      <c r="J17" s="65"/>
    </row>
    <row r="18" spans="1:10" ht="39.9" customHeight="1" x14ac:dyDescent="0.3">
      <c r="A18" s="9"/>
      <c r="B18" s="53" t="s">
        <v>190</v>
      </c>
      <c r="C18" s="54"/>
      <c r="D18" s="54"/>
      <c r="E18" s="32">
        <v>5</v>
      </c>
      <c r="F18" s="25">
        <v>3.75</v>
      </c>
      <c r="G18" s="33">
        <f t="shared" si="0"/>
        <v>0.75</v>
      </c>
      <c r="H18" s="34" t="str">
        <f t="shared" si="1"/>
        <v>جيد</v>
      </c>
      <c r="I18" s="64"/>
      <c r="J18" s="65"/>
    </row>
    <row r="19" spans="1:10" ht="39.9" customHeight="1" x14ac:dyDescent="0.3">
      <c r="A19" s="9"/>
      <c r="B19" s="53" t="s">
        <v>191</v>
      </c>
      <c r="C19" s="54"/>
      <c r="D19" s="54"/>
      <c r="E19" s="32">
        <v>5</v>
      </c>
      <c r="F19" s="25">
        <v>3.5</v>
      </c>
      <c r="G19" s="33">
        <f t="shared" si="0"/>
        <v>0.7</v>
      </c>
      <c r="H19" s="34" t="str">
        <f t="shared" si="1"/>
        <v>جيد</v>
      </c>
      <c r="I19" s="64"/>
      <c r="J19" s="65"/>
    </row>
    <row r="20" spans="1:10" ht="39.9" customHeight="1" thickBot="1" x14ac:dyDescent="0.35">
      <c r="A20" s="9"/>
      <c r="B20" s="43" t="s">
        <v>192</v>
      </c>
      <c r="C20" s="44"/>
      <c r="D20" s="44"/>
      <c r="E20" s="36">
        <v>5</v>
      </c>
      <c r="F20" s="26">
        <v>3.75</v>
      </c>
      <c r="G20" s="37">
        <f t="shared" si="0"/>
        <v>0.75</v>
      </c>
      <c r="H20" s="38" t="str">
        <f t="shared" si="1"/>
        <v>جيد</v>
      </c>
      <c r="I20" s="66"/>
      <c r="J20" s="67"/>
    </row>
    <row r="21" spans="1:10" ht="39.9" customHeight="1" x14ac:dyDescent="0.3">
      <c r="A21" s="9"/>
      <c r="B21" s="45" t="s">
        <v>193</v>
      </c>
      <c r="C21" s="46"/>
      <c r="D21" s="46"/>
      <c r="E21" s="35"/>
      <c r="F21" s="29"/>
      <c r="G21" s="27"/>
      <c r="H21" s="28"/>
      <c r="I21" s="68"/>
      <c r="J21" s="69"/>
    </row>
    <row r="22" spans="1:10" ht="39.9" customHeight="1" x14ac:dyDescent="0.3">
      <c r="A22" s="9"/>
      <c r="B22" s="47" t="s">
        <v>194</v>
      </c>
      <c r="C22" s="48"/>
      <c r="D22" s="48"/>
      <c r="E22" s="32"/>
      <c r="F22" s="25"/>
      <c r="G22" s="33"/>
      <c r="H22" s="34"/>
      <c r="I22" s="64"/>
      <c r="J22" s="65"/>
    </row>
    <row r="23" spans="1:10" ht="39.9" customHeight="1" x14ac:dyDescent="0.3">
      <c r="A23" s="9"/>
      <c r="B23" s="39" t="s">
        <v>195</v>
      </c>
      <c r="C23" s="40"/>
      <c r="D23" s="40"/>
      <c r="E23" s="32">
        <v>5</v>
      </c>
      <c r="F23" s="25">
        <v>3.5</v>
      </c>
      <c r="G23" s="33">
        <f t="shared" si="0"/>
        <v>0.7</v>
      </c>
      <c r="H23" s="34" t="str">
        <f t="shared" si="1"/>
        <v>جيد</v>
      </c>
      <c r="I23" s="64"/>
      <c r="J23" s="65"/>
    </row>
    <row r="24" spans="1:10" ht="54" customHeight="1" x14ac:dyDescent="0.3">
      <c r="A24" s="9"/>
      <c r="B24" s="39" t="s">
        <v>196</v>
      </c>
      <c r="C24" s="40"/>
      <c r="D24" s="40"/>
      <c r="E24" s="32">
        <v>5</v>
      </c>
      <c r="F24" s="25">
        <v>3.75</v>
      </c>
      <c r="G24" s="33">
        <f t="shared" si="0"/>
        <v>0.75</v>
      </c>
      <c r="H24" s="34" t="str">
        <f t="shared" si="1"/>
        <v>جيد</v>
      </c>
      <c r="I24" s="64"/>
      <c r="J24" s="65"/>
    </row>
    <row r="25" spans="1:10" ht="55.5" customHeight="1" x14ac:dyDescent="0.3">
      <c r="A25" s="9"/>
      <c r="B25" s="39" t="s">
        <v>197</v>
      </c>
      <c r="C25" s="40"/>
      <c r="D25" s="40"/>
      <c r="E25" s="32">
        <v>5</v>
      </c>
      <c r="F25" s="25">
        <v>3.75</v>
      </c>
      <c r="G25" s="33">
        <f t="shared" si="0"/>
        <v>0.75</v>
      </c>
      <c r="H25" s="34" t="str">
        <f t="shared" si="1"/>
        <v>جيد</v>
      </c>
      <c r="I25" s="64"/>
      <c r="J25" s="65"/>
    </row>
    <row r="26" spans="1:10" ht="50.25" customHeight="1" x14ac:dyDescent="0.3">
      <c r="A26" s="9"/>
      <c r="B26" s="49" t="s">
        <v>199</v>
      </c>
      <c r="C26" s="50"/>
      <c r="D26" s="50"/>
      <c r="E26" s="32">
        <v>5</v>
      </c>
      <c r="F26" s="25">
        <v>3.5</v>
      </c>
      <c r="G26" s="33">
        <f t="shared" si="0"/>
        <v>0.7</v>
      </c>
      <c r="H26" s="34" t="str">
        <f t="shared" si="1"/>
        <v>جيد</v>
      </c>
      <c r="I26" s="64"/>
      <c r="J26" s="65"/>
    </row>
    <row r="27" spans="1:10" ht="39.9" customHeight="1" x14ac:dyDescent="0.3">
      <c r="A27" s="9"/>
      <c r="B27" s="49" t="s">
        <v>200</v>
      </c>
      <c r="C27" s="50"/>
      <c r="D27" s="50"/>
      <c r="E27" s="32">
        <v>5</v>
      </c>
      <c r="F27" s="25">
        <v>3.5</v>
      </c>
      <c r="G27" s="33">
        <f t="shared" si="0"/>
        <v>0.7</v>
      </c>
      <c r="H27" s="34" t="str">
        <f t="shared" si="1"/>
        <v>جيد</v>
      </c>
      <c r="I27" s="64"/>
      <c r="J27" s="65"/>
    </row>
    <row r="28" spans="1:10" ht="39.9" customHeight="1" x14ac:dyDescent="0.3">
      <c r="A28" s="9"/>
      <c r="B28" s="49" t="s">
        <v>201</v>
      </c>
      <c r="C28" s="50"/>
      <c r="D28" s="50"/>
      <c r="E28" s="32">
        <v>5</v>
      </c>
      <c r="F28" s="25">
        <v>3.75</v>
      </c>
      <c r="G28" s="33">
        <f t="shared" si="0"/>
        <v>0.75</v>
      </c>
      <c r="H28" s="34" t="str">
        <f t="shared" si="1"/>
        <v>جيد</v>
      </c>
      <c r="I28" s="64"/>
      <c r="J28" s="65"/>
    </row>
    <row r="29" spans="1:10" ht="39.9" customHeight="1" x14ac:dyDescent="0.3">
      <c r="A29" s="9"/>
      <c r="B29" s="39" t="s">
        <v>202</v>
      </c>
      <c r="C29" s="40"/>
      <c r="D29" s="40"/>
      <c r="E29" s="32">
        <v>5</v>
      </c>
      <c r="F29" s="25">
        <v>3.75</v>
      </c>
      <c r="G29" s="33">
        <f t="shared" si="0"/>
        <v>0.75</v>
      </c>
      <c r="H29" s="34" t="str">
        <f t="shared" si="1"/>
        <v>جيد</v>
      </c>
      <c r="I29" s="64"/>
      <c r="J29" s="65"/>
    </row>
    <row r="30" spans="1:10" ht="39.9" customHeight="1" x14ac:dyDescent="0.3">
      <c r="A30" s="9"/>
      <c r="B30" s="39" t="s">
        <v>203</v>
      </c>
      <c r="C30" s="40"/>
      <c r="D30" s="40"/>
      <c r="E30" s="32">
        <v>5</v>
      </c>
      <c r="F30" s="25">
        <v>3.5</v>
      </c>
      <c r="G30" s="33">
        <f t="shared" si="0"/>
        <v>0.7</v>
      </c>
      <c r="H30" s="34" t="str">
        <f t="shared" si="1"/>
        <v>جيد</v>
      </c>
      <c r="I30" s="64"/>
      <c r="J30" s="65"/>
    </row>
    <row r="31" spans="1:10" ht="39.9" customHeight="1" thickBot="1" x14ac:dyDescent="0.35">
      <c r="A31" s="9"/>
      <c r="B31" s="41" t="s">
        <v>204</v>
      </c>
      <c r="C31" s="42"/>
      <c r="D31" s="42"/>
      <c r="E31" s="36">
        <v>5</v>
      </c>
      <c r="F31" s="26">
        <v>3.75</v>
      </c>
      <c r="G31" s="37">
        <f t="shared" si="0"/>
        <v>0.75</v>
      </c>
      <c r="H31" s="38" t="str">
        <f t="shared" si="1"/>
        <v>جيد</v>
      </c>
      <c r="I31" s="66"/>
      <c r="J31" s="67"/>
    </row>
    <row r="32" spans="1:10" ht="30" customHeight="1" thickBot="1" x14ac:dyDescent="0.35">
      <c r="A32" s="4"/>
      <c r="B32" s="93" t="s">
        <v>5</v>
      </c>
      <c r="C32" s="94"/>
      <c r="D32" s="94"/>
      <c r="E32" s="31">
        <f>SUM(E8:E31)</f>
        <v>95</v>
      </c>
      <c r="F32" s="31">
        <f>SUM(F8:F31)</f>
        <v>68.75</v>
      </c>
      <c r="G32" s="61"/>
      <c r="H32" s="62"/>
      <c r="I32" s="62"/>
      <c r="J32" s="63"/>
    </row>
    <row r="33" spans="1:10" ht="30" customHeight="1" thickBot="1" x14ac:dyDescent="0.35">
      <c r="A33" s="4"/>
      <c r="B33" s="95" t="s">
        <v>54</v>
      </c>
      <c r="C33" s="96"/>
      <c r="D33" s="96"/>
      <c r="E33" s="70">
        <f>F32/E32/100*100</f>
        <v>0.72368421052631582</v>
      </c>
      <c r="F33" s="70"/>
      <c r="G33" s="70"/>
      <c r="H33" s="70"/>
      <c r="I33" s="70"/>
      <c r="J33" s="71"/>
    </row>
    <row r="34" spans="1:10" ht="30" customHeight="1" thickBot="1" x14ac:dyDescent="0.35">
      <c r="A34" s="4"/>
      <c r="B34" s="95" t="s">
        <v>55</v>
      </c>
      <c r="C34" s="96"/>
      <c r="D34" s="96"/>
      <c r="E34" s="91" t="str">
        <f>_xlfn.IFS(E33&gt;=90%,"ممتاز",E33&gt;=80%,"جيد جداً",E33&gt;=70%,"جيد",E33&gt;=60%,"مقبول",E33&lt;60%,"راسب")</f>
        <v>جيد</v>
      </c>
      <c r="F34" s="91"/>
      <c r="G34" s="91"/>
      <c r="H34" s="91"/>
      <c r="I34" s="91"/>
      <c r="J34" s="92"/>
    </row>
    <row r="35" spans="1:10" ht="42" customHeight="1" x14ac:dyDescent="0.3">
      <c r="B35" s="87" t="s">
        <v>174</v>
      </c>
      <c r="C35" s="87"/>
      <c r="D35" s="87"/>
      <c r="E35" s="59" t="s">
        <v>52</v>
      </c>
      <c r="F35" s="59"/>
      <c r="G35" s="89" t="s">
        <v>104</v>
      </c>
      <c r="H35" s="89"/>
      <c r="I35" s="89"/>
      <c r="J35" s="89"/>
    </row>
    <row r="36" spans="1:10" ht="51" customHeight="1" x14ac:dyDescent="0.3">
      <c r="A36" s="5"/>
      <c r="B36" s="88"/>
      <c r="C36" s="88"/>
      <c r="D36" s="88"/>
      <c r="E36" s="60" t="s">
        <v>53</v>
      </c>
      <c r="F36" s="60"/>
      <c r="G36" s="90"/>
      <c r="H36" s="90"/>
      <c r="I36" s="90"/>
      <c r="J36" s="90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69">
    <mergeCell ref="B35:D36"/>
    <mergeCell ref="G35:J35"/>
    <mergeCell ref="G36:J36"/>
    <mergeCell ref="E34:J34"/>
    <mergeCell ref="I8:J8"/>
    <mergeCell ref="B32:D32"/>
    <mergeCell ref="B33:D33"/>
    <mergeCell ref="B34:D34"/>
    <mergeCell ref="I11:J11"/>
    <mergeCell ref="I12:J12"/>
    <mergeCell ref="I13:J13"/>
    <mergeCell ref="I14:J14"/>
    <mergeCell ref="I15:J15"/>
    <mergeCell ref="I16:J16"/>
    <mergeCell ref="I17:J17"/>
    <mergeCell ref="I18:J18"/>
    <mergeCell ref="B7:D7"/>
    <mergeCell ref="I30:J30"/>
    <mergeCell ref="I31:J31"/>
    <mergeCell ref="E5:H5"/>
    <mergeCell ref="I5:J6"/>
    <mergeCell ref="I7:J7"/>
    <mergeCell ref="I10:J10"/>
    <mergeCell ref="I28:J28"/>
    <mergeCell ref="I29:J29"/>
    <mergeCell ref="I9:J9"/>
    <mergeCell ref="B23:D23"/>
    <mergeCell ref="B24:D24"/>
    <mergeCell ref="B25:D25"/>
    <mergeCell ref="B26:D26"/>
    <mergeCell ref="B8:D8"/>
    <mergeCell ref="B9:D9"/>
    <mergeCell ref="B1:J1"/>
    <mergeCell ref="F2:J2"/>
    <mergeCell ref="B5:D6"/>
    <mergeCell ref="C2:D2"/>
    <mergeCell ref="C3:D3"/>
    <mergeCell ref="F3:J3"/>
    <mergeCell ref="E35:F35"/>
    <mergeCell ref="E36:F36"/>
    <mergeCell ref="G32:J32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E33:J33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9:D29"/>
    <mergeCell ref="B30:D30"/>
    <mergeCell ref="B31:D31"/>
    <mergeCell ref="B20:D20"/>
    <mergeCell ref="B21:D21"/>
    <mergeCell ref="B22:D22"/>
    <mergeCell ref="B27:D27"/>
    <mergeCell ref="B28:D28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34">
    <cfRule type="expression" dxfId="14" priority="57">
      <formula>$E34="راسب"</formula>
    </cfRule>
  </conditionalFormatting>
  <conditionalFormatting sqref="E34:J34">
    <cfRule type="expression" dxfId="13" priority="58">
      <formula>$E34="مقبول"</formula>
    </cfRule>
    <cfRule type="expression" dxfId="12" priority="59">
      <formula>$E34="جيد"</formula>
    </cfRule>
    <cfRule type="expression" dxfId="11" priority="60">
      <formula>$E34="جيد جداً"</formula>
    </cfRule>
    <cfRule type="expression" dxfId="10" priority="61">
      <formula>$E34="ممتاز"</formula>
    </cfRule>
  </conditionalFormatting>
  <conditionalFormatting sqref="F8:F31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35:J35">
    <cfRule type="containsText" dxfId="6" priority="15" operator="containsText" text="أدخل اسم المحكم">
      <formula>NOT(ISERROR(SEARCH("أدخل اسم المحكم",G35)))</formula>
    </cfRule>
  </conditionalFormatting>
  <conditionalFormatting sqref="H8:H31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0000000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00000000-0002-0000-0000-000001000000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00000000-0002-0000-0000-000002000000}">
          <x14:formula1>
            <xm:f>'بيانات التقييم'!$A$198:$A$286</xm:f>
          </x14:formula1>
          <xm:sqref>G35:J35 F3:J3</xm:sqref>
        </x14:dataValidation>
        <x14:dataValidation type="list" allowBlank="1" showInputMessage="1" showErrorMessage="1" xr:uid="{00000000-0002-0000-0000-000003000000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00000000-0002-0000-0000-000004000000}">
          <x14:formula1>
            <xm:f>'بيانات التقييم'!$A$111:$A$133</xm:f>
          </x14:formula1>
          <xm:sqref>F23:F31 F18:F20 F14:F16 F9:F12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 x14ac:dyDescent="0.3"/>
  <cols>
    <col min="1" max="1" width="42.3320312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8" t="s">
        <v>62</v>
      </c>
    </row>
    <row r="3" spans="1:3" ht="20.100000000000001" customHeight="1" thickBot="1" x14ac:dyDescent="0.35">
      <c r="A3" s="2" t="s">
        <v>26</v>
      </c>
      <c r="C3" s="18" t="s">
        <v>63</v>
      </c>
    </row>
    <row r="4" spans="1:3" ht="20.100000000000001" customHeight="1" thickBot="1" x14ac:dyDescent="0.35">
      <c r="A4" s="2" t="s">
        <v>36</v>
      </c>
      <c r="C4" s="18" t="s">
        <v>64</v>
      </c>
    </row>
    <row r="5" spans="1:3" ht="20.100000000000001" customHeight="1" thickBot="1" x14ac:dyDescent="0.35">
      <c r="A5" s="2" t="s">
        <v>37</v>
      </c>
      <c r="C5" s="18" t="s">
        <v>65</v>
      </c>
    </row>
    <row r="6" spans="1:3" ht="20.100000000000001" customHeight="1" thickBot="1" x14ac:dyDescent="0.35">
      <c r="A6" s="2" t="s">
        <v>38</v>
      </c>
      <c r="C6" s="18" t="s">
        <v>66</v>
      </c>
    </row>
    <row r="7" spans="1:3" ht="20.100000000000001" customHeight="1" thickBot="1" x14ac:dyDescent="0.35">
      <c r="A7" s="2" t="s">
        <v>39</v>
      </c>
      <c r="C7" s="18" t="s">
        <v>67</v>
      </c>
    </row>
    <row r="8" spans="1:3" ht="20.100000000000001" customHeight="1" thickBot="1" x14ac:dyDescent="0.35">
      <c r="A8" s="2" t="s">
        <v>40</v>
      </c>
      <c r="C8" s="18" t="s">
        <v>68</v>
      </c>
    </row>
    <row r="9" spans="1:3" ht="20.100000000000001" customHeight="1" thickBot="1" x14ac:dyDescent="0.35">
      <c r="A9" s="2" t="s">
        <v>41</v>
      </c>
      <c r="C9" s="18" t="s">
        <v>69</v>
      </c>
    </row>
    <row r="10" spans="1:3" ht="20.100000000000001" customHeight="1" thickBot="1" x14ac:dyDescent="0.35">
      <c r="A10" s="2" t="s">
        <v>42</v>
      </c>
      <c r="C10" s="18" t="s">
        <v>70</v>
      </c>
    </row>
    <row r="11" spans="1:3" ht="20.100000000000001" customHeight="1" thickBot="1" x14ac:dyDescent="0.35">
      <c r="A11" s="2" t="s">
        <v>43</v>
      </c>
      <c r="C11" s="18" t="s">
        <v>71</v>
      </c>
    </row>
    <row r="12" spans="1:3" ht="20.100000000000001" customHeight="1" thickBot="1" x14ac:dyDescent="0.35">
      <c r="A12" s="2" t="s">
        <v>44</v>
      </c>
      <c r="C12" s="18" t="s">
        <v>72</v>
      </c>
    </row>
    <row r="13" spans="1:3" ht="20.100000000000001" customHeight="1" thickBot="1" x14ac:dyDescent="0.35">
      <c r="A13" s="2" t="s">
        <v>45</v>
      </c>
      <c r="C13" s="18" t="s">
        <v>73</v>
      </c>
    </row>
    <row r="14" spans="1:3" ht="20.100000000000001" customHeight="1" thickBot="1" x14ac:dyDescent="0.35">
      <c r="A14" s="2" t="s">
        <v>46</v>
      </c>
      <c r="C14" s="18" t="s">
        <v>74</v>
      </c>
    </row>
    <row r="15" spans="1:3" ht="20.100000000000001" customHeight="1" thickBot="1" x14ac:dyDescent="0.35">
      <c r="A15" s="2" t="s">
        <v>47</v>
      </c>
      <c r="C15" s="18" t="s">
        <v>75</v>
      </c>
    </row>
    <row r="16" spans="1:3" ht="20.100000000000001" customHeight="1" thickBot="1" x14ac:dyDescent="0.35">
      <c r="A16" s="2" t="s">
        <v>10</v>
      </c>
      <c r="C16" s="18" t="s">
        <v>76</v>
      </c>
    </row>
    <row r="17" spans="1:3" ht="20.100000000000001" customHeight="1" thickBot="1" x14ac:dyDescent="0.35">
      <c r="A17" s="2" t="s">
        <v>27</v>
      </c>
      <c r="C17" s="18" t="s">
        <v>77</v>
      </c>
    </row>
    <row r="18" spans="1:3" ht="20.100000000000001" customHeight="1" thickBot="1" x14ac:dyDescent="0.35">
      <c r="A18" s="2" t="s">
        <v>48</v>
      </c>
      <c r="C18" s="18" t="s">
        <v>78</v>
      </c>
    </row>
    <row r="19" spans="1:3" ht="20.100000000000001" customHeight="1" thickBot="1" x14ac:dyDescent="0.35">
      <c r="A19" s="2" t="s">
        <v>49</v>
      </c>
      <c r="C19" s="18" t="s">
        <v>79</v>
      </c>
    </row>
    <row r="20" spans="1:3" ht="20.100000000000001" customHeight="1" thickBot="1" x14ac:dyDescent="0.35">
      <c r="A20" s="2" t="s">
        <v>50</v>
      </c>
      <c r="C20" s="18" t="s">
        <v>80</v>
      </c>
    </row>
    <row r="21" spans="1:3" ht="20.100000000000001" customHeight="1" thickBot="1" x14ac:dyDescent="0.35">
      <c r="A21" s="2" t="s">
        <v>51</v>
      </c>
      <c r="C21" s="18" t="s">
        <v>81</v>
      </c>
    </row>
    <row r="22" spans="1:3" ht="20.100000000000001" customHeight="1" thickBot="1" x14ac:dyDescent="0.35">
      <c r="A22" s="2" t="s">
        <v>11</v>
      </c>
      <c r="C22" s="18" t="s">
        <v>82</v>
      </c>
    </row>
    <row r="23" spans="1:3" ht="20.100000000000001" customHeight="1" thickBot="1" x14ac:dyDescent="0.35">
      <c r="A23" s="2" t="s">
        <v>12</v>
      </c>
      <c r="C23" s="18" t="s">
        <v>83</v>
      </c>
    </row>
    <row r="24" spans="1:3" ht="20.100000000000001" customHeight="1" thickBot="1" x14ac:dyDescent="0.35">
      <c r="A24" s="2" t="s">
        <v>15</v>
      </c>
      <c r="C24" s="18" t="s">
        <v>84</v>
      </c>
    </row>
    <row r="25" spans="1:3" ht="20.100000000000001" customHeight="1" thickBot="1" x14ac:dyDescent="0.35">
      <c r="A25" s="2" t="s">
        <v>28</v>
      </c>
      <c r="C25" s="18" t="s">
        <v>85</v>
      </c>
    </row>
    <row r="26" spans="1:3" ht="20.100000000000001" customHeight="1" thickBot="1" x14ac:dyDescent="0.35">
      <c r="A26" s="2" t="s">
        <v>29</v>
      </c>
      <c r="C26" s="18" t="s">
        <v>86</v>
      </c>
    </row>
    <row r="27" spans="1:3" ht="20.100000000000001" customHeight="1" thickBot="1" x14ac:dyDescent="0.35">
      <c r="A27" s="2" t="s">
        <v>13</v>
      </c>
      <c r="C27" s="18" t="s">
        <v>87</v>
      </c>
    </row>
    <row r="28" spans="1:3" ht="20.100000000000001" customHeight="1" thickBot="1" x14ac:dyDescent="0.35">
      <c r="A28" s="2" t="s">
        <v>30</v>
      </c>
      <c r="C28" s="18" t="s">
        <v>88</v>
      </c>
    </row>
    <row r="29" spans="1:3" ht="20.100000000000001" customHeight="1" thickBot="1" x14ac:dyDescent="0.35">
      <c r="A29" s="2" t="s">
        <v>31</v>
      </c>
      <c r="C29" s="18" t="s">
        <v>177</v>
      </c>
    </row>
    <row r="30" spans="1:3" ht="20.100000000000001" customHeight="1" thickBot="1" x14ac:dyDescent="0.35">
      <c r="A30" s="2" t="s">
        <v>32</v>
      </c>
      <c r="C30" s="18" t="s">
        <v>178</v>
      </c>
    </row>
    <row r="31" spans="1:3" ht="20.100000000000001" customHeight="1" thickBot="1" x14ac:dyDescent="0.35">
      <c r="A31" s="2" t="s">
        <v>33</v>
      </c>
      <c r="C31" s="18" t="s">
        <v>179</v>
      </c>
    </row>
    <row r="32" spans="1:3" ht="20.100000000000001" customHeight="1" thickBot="1" x14ac:dyDescent="0.35">
      <c r="A32" s="2" t="s">
        <v>16</v>
      </c>
      <c r="C32" s="18"/>
    </row>
    <row r="33" spans="1:9" ht="20.100000000000001" customHeight="1" thickBot="1" x14ac:dyDescent="0.35">
      <c r="A33" s="2" t="s">
        <v>14</v>
      </c>
      <c r="C33" s="18"/>
    </row>
    <row r="34" spans="1:9" ht="20.100000000000001" customHeight="1" thickBot="1" x14ac:dyDescent="0.35">
      <c r="A34" s="2" t="s">
        <v>34</v>
      </c>
      <c r="C34" s="18"/>
    </row>
    <row r="35" spans="1:9" ht="20.100000000000001" customHeight="1" x14ac:dyDescent="0.3">
      <c r="A35" s="17"/>
    </row>
    <row r="36" spans="1:9" s="16" customFormat="1" ht="20.100000000000001" customHeight="1" x14ac:dyDescent="0.3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2">
        <v>45931</v>
      </c>
    </row>
    <row r="40" spans="1:9" ht="20.100000000000001" customHeight="1" thickBot="1" x14ac:dyDescent="0.35">
      <c r="A40" s="12">
        <v>45932</v>
      </c>
    </row>
    <row r="41" spans="1:9" ht="20.100000000000001" customHeight="1" thickBot="1" x14ac:dyDescent="0.35">
      <c r="A41" s="12">
        <v>45933</v>
      </c>
    </row>
    <row r="42" spans="1:9" ht="20.100000000000001" customHeight="1" thickBot="1" x14ac:dyDescent="0.35">
      <c r="A42" s="12">
        <v>45934</v>
      </c>
    </row>
    <row r="43" spans="1:9" ht="20.100000000000001" customHeight="1" thickBot="1" x14ac:dyDescent="0.35">
      <c r="A43" s="12">
        <v>45935</v>
      </c>
    </row>
    <row r="44" spans="1:9" ht="20.100000000000001" customHeight="1" thickBot="1" x14ac:dyDescent="0.35">
      <c r="A44" s="12">
        <v>45936</v>
      </c>
    </row>
    <row r="45" spans="1:9" ht="20.100000000000001" customHeight="1" thickBot="1" x14ac:dyDescent="0.35">
      <c r="A45" s="12">
        <v>45937</v>
      </c>
    </row>
    <row r="46" spans="1:9" ht="20.100000000000001" customHeight="1" thickBot="1" x14ac:dyDescent="0.35">
      <c r="A46" s="12">
        <v>45938</v>
      </c>
    </row>
    <row r="47" spans="1:9" ht="20.100000000000001" customHeight="1" thickBot="1" x14ac:dyDescent="0.35">
      <c r="A47" s="12">
        <v>45939</v>
      </c>
    </row>
    <row r="48" spans="1:9" ht="20.100000000000001" customHeight="1" thickBot="1" x14ac:dyDescent="0.35">
      <c r="A48" s="12">
        <v>45940</v>
      </c>
    </row>
    <row r="49" spans="1:1" ht="20.100000000000001" customHeight="1" thickBot="1" x14ac:dyDescent="0.35">
      <c r="A49" s="12">
        <v>45941</v>
      </c>
    </row>
    <row r="50" spans="1:1" ht="20.100000000000001" customHeight="1" thickBot="1" x14ac:dyDescent="0.35">
      <c r="A50" s="12">
        <v>45942</v>
      </c>
    </row>
    <row r="51" spans="1:1" ht="20.100000000000001" customHeight="1" thickBot="1" x14ac:dyDescent="0.35">
      <c r="A51" s="12">
        <v>45943</v>
      </c>
    </row>
    <row r="52" spans="1:1" ht="20.100000000000001" customHeight="1" thickBot="1" x14ac:dyDescent="0.35">
      <c r="A52" s="12">
        <v>45944</v>
      </c>
    </row>
    <row r="53" spans="1:1" ht="20.100000000000001" customHeight="1" thickBot="1" x14ac:dyDescent="0.35">
      <c r="A53" s="12">
        <v>45945</v>
      </c>
    </row>
    <row r="54" spans="1:1" ht="20.100000000000001" customHeight="1" thickBot="1" x14ac:dyDescent="0.35">
      <c r="A54" s="12">
        <v>45946</v>
      </c>
    </row>
    <row r="55" spans="1:1" ht="20.100000000000001" customHeight="1" thickBot="1" x14ac:dyDescent="0.35">
      <c r="A55" s="12">
        <v>45947</v>
      </c>
    </row>
    <row r="56" spans="1:1" ht="20.100000000000001" customHeight="1" thickBot="1" x14ac:dyDescent="0.35">
      <c r="A56" s="12">
        <v>45948</v>
      </c>
    </row>
    <row r="57" spans="1:1" ht="20.100000000000001" customHeight="1" thickBot="1" x14ac:dyDescent="0.35">
      <c r="A57" s="12">
        <v>45949</v>
      </c>
    </row>
    <row r="58" spans="1:1" ht="20.100000000000001" customHeight="1" thickBot="1" x14ac:dyDescent="0.35">
      <c r="A58" s="12">
        <v>45950</v>
      </c>
    </row>
    <row r="59" spans="1:1" ht="20.100000000000001" customHeight="1" thickBot="1" x14ac:dyDescent="0.35">
      <c r="A59" s="12">
        <v>45951</v>
      </c>
    </row>
    <row r="60" spans="1:1" ht="20.100000000000001" customHeight="1" thickBot="1" x14ac:dyDescent="0.35">
      <c r="A60" s="12">
        <v>45952</v>
      </c>
    </row>
    <row r="61" spans="1:1" ht="20.100000000000001" customHeight="1" thickBot="1" x14ac:dyDescent="0.35">
      <c r="A61" s="12">
        <v>45953</v>
      </c>
    </row>
    <row r="62" spans="1:1" ht="20.100000000000001" customHeight="1" thickBot="1" x14ac:dyDescent="0.35">
      <c r="A62" s="12">
        <v>45954</v>
      </c>
    </row>
    <row r="63" spans="1:1" ht="20.100000000000001" customHeight="1" thickBot="1" x14ac:dyDescent="0.35">
      <c r="A63" s="12">
        <v>45955</v>
      </c>
    </row>
    <row r="64" spans="1:1" ht="20.100000000000001" customHeight="1" thickBot="1" x14ac:dyDescent="0.35">
      <c r="A64" s="12">
        <v>45956</v>
      </c>
    </row>
    <row r="65" spans="1:1" ht="20.100000000000001" customHeight="1" thickBot="1" x14ac:dyDescent="0.35">
      <c r="A65" s="12">
        <v>45957</v>
      </c>
    </row>
    <row r="66" spans="1:1" ht="20.100000000000001" customHeight="1" thickBot="1" x14ac:dyDescent="0.35">
      <c r="A66" s="12">
        <v>45958</v>
      </c>
    </row>
    <row r="67" spans="1:1" ht="20.100000000000001" customHeight="1" thickBot="1" x14ac:dyDescent="0.35">
      <c r="A67" s="12">
        <v>45959</v>
      </c>
    </row>
    <row r="68" spans="1:1" ht="20.100000000000001" customHeight="1" thickBot="1" x14ac:dyDescent="0.35">
      <c r="A68" s="12">
        <v>45960</v>
      </c>
    </row>
    <row r="69" spans="1:1" ht="20.100000000000001" customHeight="1" thickBot="1" x14ac:dyDescent="0.35">
      <c r="A69" s="12">
        <v>45961</v>
      </c>
    </row>
    <row r="70" spans="1:1" ht="20.100000000000001" customHeight="1" thickBot="1" x14ac:dyDescent="0.35">
      <c r="A70" s="12"/>
    </row>
    <row r="71" spans="1:1" ht="20.100000000000001" customHeight="1" thickBot="1" x14ac:dyDescent="0.35">
      <c r="A71" s="12"/>
    </row>
    <row r="72" spans="1:1" ht="20.100000000000001" customHeight="1" thickBot="1" x14ac:dyDescent="0.35">
      <c r="A72" s="12"/>
    </row>
    <row r="73" spans="1:1" ht="20.100000000000001" customHeight="1" thickBot="1" x14ac:dyDescent="0.35">
      <c r="A73" s="12"/>
    </row>
    <row r="74" spans="1:1" ht="20.100000000000001" customHeight="1" thickBot="1" x14ac:dyDescent="0.35">
      <c r="A74" s="12"/>
    </row>
    <row r="75" spans="1:1" ht="20.100000000000001" customHeight="1" thickBot="1" x14ac:dyDescent="0.35">
      <c r="A75" s="12"/>
    </row>
    <row r="76" spans="1:1" ht="20.100000000000001" customHeight="1" thickBot="1" x14ac:dyDescent="0.35">
      <c r="A76" s="12"/>
    </row>
    <row r="77" spans="1:1" ht="20.100000000000001" customHeight="1" thickBot="1" x14ac:dyDescent="0.35">
      <c r="A77" s="12"/>
    </row>
    <row r="78" spans="1:1" ht="20.100000000000001" customHeight="1" thickBot="1" x14ac:dyDescent="0.35">
      <c r="A78" s="12"/>
    </row>
    <row r="79" spans="1:1" ht="20.100000000000001" customHeight="1" thickBot="1" x14ac:dyDescent="0.35">
      <c r="A79" s="12"/>
    </row>
    <row r="80" spans="1:1" ht="20.100000000000001" customHeight="1" thickBot="1" x14ac:dyDescent="0.35">
      <c r="A80" s="12"/>
    </row>
    <row r="81" spans="1:1" ht="20.100000000000001" customHeight="1" thickBot="1" x14ac:dyDescent="0.35">
      <c r="A81" s="12"/>
    </row>
    <row r="82" spans="1:1" ht="20.100000000000001" customHeight="1" thickBot="1" x14ac:dyDescent="0.35">
      <c r="A82" s="12"/>
    </row>
    <row r="83" spans="1:1" ht="20.100000000000001" customHeight="1" thickBot="1" x14ac:dyDescent="0.35">
      <c r="A83" s="12"/>
    </row>
    <row r="84" spans="1:1" ht="20.100000000000001" customHeight="1" thickBot="1" x14ac:dyDescent="0.35">
      <c r="A84" s="12"/>
    </row>
    <row r="85" spans="1:1" ht="20.100000000000001" customHeight="1" thickBot="1" x14ac:dyDescent="0.35">
      <c r="A85" s="12"/>
    </row>
    <row r="86" spans="1:1" ht="20.100000000000001" customHeight="1" thickBot="1" x14ac:dyDescent="0.35">
      <c r="A86" s="12"/>
    </row>
    <row r="87" spans="1:1" ht="20.100000000000001" customHeight="1" thickBot="1" x14ac:dyDescent="0.35">
      <c r="A87" s="12"/>
    </row>
    <row r="88" spans="1:1" ht="20.100000000000001" customHeight="1" thickBot="1" x14ac:dyDescent="0.35">
      <c r="A88" s="12"/>
    </row>
    <row r="89" spans="1:1" ht="20.100000000000001" customHeight="1" thickBot="1" x14ac:dyDescent="0.35">
      <c r="A89" s="12"/>
    </row>
    <row r="90" spans="1:1" ht="20.100000000000001" customHeight="1" thickBot="1" x14ac:dyDescent="0.35">
      <c r="A90" s="12"/>
    </row>
    <row r="91" spans="1:1" ht="20.100000000000001" customHeight="1" thickBot="1" x14ac:dyDescent="0.35">
      <c r="A91" s="12"/>
    </row>
    <row r="92" spans="1:1" ht="20.100000000000001" customHeight="1" thickBot="1" x14ac:dyDescent="0.35">
      <c r="A92" s="12"/>
    </row>
    <row r="93" spans="1:1" ht="20.100000000000001" customHeight="1" thickBot="1" x14ac:dyDescent="0.35">
      <c r="A93" s="12"/>
    </row>
    <row r="94" spans="1:1" ht="20.100000000000001" customHeight="1" thickBot="1" x14ac:dyDescent="0.35">
      <c r="A94" s="12"/>
    </row>
    <row r="95" spans="1:1" ht="20.100000000000001" customHeight="1" thickBot="1" x14ac:dyDescent="0.35">
      <c r="A95" s="12"/>
    </row>
    <row r="96" spans="1:1" ht="20.100000000000001" customHeight="1" thickBot="1" x14ac:dyDescent="0.35">
      <c r="A96" s="12"/>
    </row>
    <row r="97" spans="1:9" ht="20.100000000000001" customHeight="1" thickBot="1" x14ac:dyDescent="0.35">
      <c r="A97" s="12"/>
    </row>
    <row r="98" spans="1:9" ht="20.100000000000001" customHeight="1" thickBot="1" x14ac:dyDescent="0.35">
      <c r="A98" s="12"/>
    </row>
    <row r="99" spans="1:9" ht="20.100000000000001" customHeight="1" thickBot="1" x14ac:dyDescent="0.35">
      <c r="A99" s="12"/>
    </row>
    <row r="100" spans="1:9" ht="20.100000000000001" customHeight="1" thickBot="1" x14ac:dyDescent="0.35">
      <c r="A100" s="12"/>
    </row>
    <row r="101" spans="1:9" ht="20.100000000000001" customHeight="1" thickBot="1" x14ac:dyDescent="0.35">
      <c r="A101" s="12"/>
    </row>
    <row r="102" spans="1:9" ht="20.100000000000001" customHeight="1" thickBot="1" x14ac:dyDescent="0.35">
      <c r="A102" s="12"/>
    </row>
    <row r="103" spans="1:9" ht="20.100000000000001" customHeight="1" thickBot="1" x14ac:dyDescent="0.35">
      <c r="A103" s="12"/>
    </row>
    <row r="104" spans="1:9" ht="20.100000000000001" customHeight="1" thickBot="1" x14ac:dyDescent="0.35">
      <c r="A104" s="12"/>
    </row>
    <row r="105" spans="1:9" ht="20.100000000000001" customHeight="1" thickBot="1" x14ac:dyDescent="0.35">
      <c r="A105" s="12"/>
    </row>
    <row r="106" spans="1:9" ht="20.100000000000001" customHeight="1" thickBot="1" x14ac:dyDescent="0.35">
      <c r="A106" s="12"/>
    </row>
    <row r="107" spans="1:9" ht="20.100000000000001" customHeight="1" x14ac:dyDescent="0.3">
      <c r="A107" s="13"/>
    </row>
    <row r="108" spans="1:9" ht="20.100000000000001" customHeight="1" x14ac:dyDescent="0.3">
      <c r="A108" s="13"/>
    </row>
    <row r="109" spans="1:9" s="16" customFormat="1" ht="20.100000000000001" customHeight="1" x14ac:dyDescent="0.3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19" t="s">
        <v>89</v>
      </c>
    </row>
    <row r="200" spans="1:1" ht="20.100000000000001" customHeight="1" x14ac:dyDescent="0.3">
      <c r="A200" s="19" t="s">
        <v>90</v>
      </c>
    </row>
    <row r="201" spans="1:1" ht="20.100000000000001" customHeight="1" x14ac:dyDescent="0.3">
      <c r="A201" s="19" t="s">
        <v>91</v>
      </c>
    </row>
    <row r="202" spans="1:1" ht="20.100000000000001" customHeight="1" x14ac:dyDescent="0.3">
      <c r="A202" s="19" t="s">
        <v>92</v>
      </c>
    </row>
    <row r="203" spans="1:1" ht="20.100000000000001" customHeight="1" x14ac:dyDescent="0.3">
      <c r="A203" s="19" t="s">
        <v>93</v>
      </c>
    </row>
    <row r="204" spans="1:1" ht="20.100000000000001" customHeight="1" x14ac:dyDescent="0.3">
      <c r="A204" s="19" t="s">
        <v>94</v>
      </c>
    </row>
    <row r="205" spans="1:1" ht="20.100000000000001" customHeight="1" x14ac:dyDescent="0.3">
      <c r="A205" s="19" t="s">
        <v>95</v>
      </c>
    </row>
    <row r="206" spans="1:1" ht="20.100000000000001" customHeight="1" x14ac:dyDescent="0.3">
      <c r="A206" s="19" t="s">
        <v>96</v>
      </c>
    </row>
    <row r="207" spans="1:1" ht="20.100000000000001" customHeight="1" x14ac:dyDescent="0.3">
      <c r="A207" s="19" t="s">
        <v>97</v>
      </c>
    </row>
    <row r="208" spans="1:1" ht="20.100000000000001" customHeight="1" x14ac:dyDescent="0.3">
      <c r="A208" s="20" t="s">
        <v>98</v>
      </c>
    </row>
    <row r="209" spans="1:1" ht="20.100000000000001" customHeight="1" x14ac:dyDescent="0.3">
      <c r="A209" s="20" t="s">
        <v>99</v>
      </c>
    </row>
    <row r="210" spans="1:1" ht="20.100000000000001" customHeight="1" x14ac:dyDescent="0.3">
      <c r="A210" s="19" t="s">
        <v>100</v>
      </c>
    </row>
    <row r="211" spans="1:1" ht="20.100000000000001" customHeight="1" x14ac:dyDescent="0.3">
      <c r="A211" s="19" t="s">
        <v>101</v>
      </c>
    </row>
    <row r="212" spans="1:1" ht="20.100000000000001" customHeight="1" x14ac:dyDescent="0.3">
      <c r="A212" s="19" t="s">
        <v>175</v>
      </c>
    </row>
    <row r="213" spans="1:1" ht="20.100000000000001" customHeight="1" x14ac:dyDescent="0.3">
      <c r="A213" s="19" t="s">
        <v>102</v>
      </c>
    </row>
    <row r="214" spans="1:1" ht="20.100000000000001" customHeight="1" x14ac:dyDescent="0.3">
      <c r="A214" s="19" t="s">
        <v>103</v>
      </c>
    </row>
    <row r="215" spans="1:1" ht="20.100000000000001" customHeight="1" x14ac:dyDescent="0.3">
      <c r="A215" s="19" t="s">
        <v>104</v>
      </c>
    </row>
    <row r="216" spans="1:1" ht="20.100000000000001" customHeight="1" x14ac:dyDescent="0.3">
      <c r="A216" s="19" t="s">
        <v>105</v>
      </c>
    </row>
    <row r="217" spans="1:1" ht="20.100000000000001" customHeight="1" x14ac:dyDescent="0.3">
      <c r="A217" s="19" t="s">
        <v>106</v>
      </c>
    </row>
    <row r="218" spans="1:1" ht="20.100000000000001" customHeight="1" x14ac:dyDescent="0.3">
      <c r="A218" s="19" t="s">
        <v>107</v>
      </c>
    </row>
    <row r="219" spans="1:1" ht="20.100000000000001" customHeight="1" x14ac:dyDescent="0.3">
      <c r="A219" s="19" t="s">
        <v>108</v>
      </c>
    </row>
    <row r="220" spans="1:1" ht="20.100000000000001" customHeight="1" x14ac:dyDescent="0.3">
      <c r="A220" s="19" t="s">
        <v>109</v>
      </c>
    </row>
    <row r="221" spans="1:1" ht="20.100000000000001" customHeight="1" x14ac:dyDescent="0.3">
      <c r="A221" s="19" t="s">
        <v>110</v>
      </c>
    </row>
    <row r="222" spans="1:1" ht="20.100000000000001" customHeight="1" x14ac:dyDescent="0.3">
      <c r="A222" s="19" t="s">
        <v>111</v>
      </c>
    </row>
    <row r="223" spans="1:1" ht="20.100000000000001" customHeight="1" x14ac:dyDescent="0.3">
      <c r="A223" s="19" t="s">
        <v>112</v>
      </c>
    </row>
    <row r="224" spans="1:1" ht="20.100000000000001" customHeight="1" x14ac:dyDescent="0.3">
      <c r="A224" s="19" t="s">
        <v>176</v>
      </c>
    </row>
    <row r="225" spans="1:1" ht="20.100000000000001" customHeight="1" x14ac:dyDescent="0.3">
      <c r="A225" s="19" t="s">
        <v>113</v>
      </c>
    </row>
    <row r="226" spans="1:1" ht="20.100000000000001" customHeight="1" x14ac:dyDescent="0.3">
      <c r="A226" s="19" t="s">
        <v>114</v>
      </c>
    </row>
    <row r="227" spans="1:1" ht="20.100000000000001" customHeight="1" x14ac:dyDescent="0.3">
      <c r="A227" s="19" t="s">
        <v>115</v>
      </c>
    </row>
    <row r="228" spans="1:1" ht="20.100000000000001" customHeight="1" x14ac:dyDescent="0.3">
      <c r="A228" s="19" t="s">
        <v>116</v>
      </c>
    </row>
    <row r="229" spans="1:1" ht="20.100000000000001" customHeight="1" x14ac:dyDescent="0.3">
      <c r="A229" s="19" t="s">
        <v>117</v>
      </c>
    </row>
    <row r="230" spans="1:1" ht="20.100000000000001" customHeight="1" x14ac:dyDescent="0.3">
      <c r="A230" s="19" t="s">
        <v>118</v>
      </c>
    </row>
    <row r="231" spans="1:1" ht="20.100000000000001" customHeight="1" x14ac:dyDescent="0.3">
      <c r="A231" s="19" t="s">
        <v>119</v>
      </c>
    </row>
    <row r="232" spans="1:1" ht="20.100000000000001" customHeight="1" x14ac:dyDescent="0.3">
      <c r="A232" s="19" t="s">
        <v>120</v>
      </c>
    </row>
    <row r="233" spans="1:1" ht="20.100000000000001" customHeight="1" x14ac:dyDescent="0.3">
      <c r="A233" s="19" t="s">
        <v>121</v>
      </c>
    </row>
    <row r="234" spans="1:1" ht="20.100000000000001" customHeight="1" x14ac:dyDescent="0.3">
      <c r="A234" s="19" t="s">
        <v>122</v>
      </c>
    </row>
    <row r="235" spans="1:1" ht="20.100000000000001" customHeight="1" x14ac:dyDescent="0.3">
      <c r="A235" s="19" t="s">
        <v>123</v>
      </c>
    </row>
    <row r="236" spans="1:1" ht="20.100000000000001" customHeight="1" x14ac:dyDescent="0.3">
      <c r="A236" s="21" t="s">
        <v>124</v>
      </c>
    </row>
    <row r="237" spans="1:1" ht="20.100000000000001" customHeight="1" x14ac:dyDescent="0.3">
      <c r="A237" s="19" t="s">
        <v>125</v>
      </c>
    </row>
    <row r="238" spans="1:1" ht="20.100000000000001" customHeight="1" x14ac:dyDescent="0.3">
      <c r="A238" s="19" t="s">
        <v>126</v>
      </c>
    </row>
    <row r="239" spans="1:1" ht="20.100000000000001" customHeight="1" x14ac:dyDescent="0.3">
      <c r="A239" s="19" t="s">
        <v>127</v>
      </c>
    </row>
    <row r="240" spans="1:1" ht="20.100000000000001" customHeight="1" x14ac:dyDescent="0.3">
      <c r="A240" s="19" t="s">
        <v>128</v>
      </c>
    </row>
    <row r="241" spans="1:1" ht="20.100000000000001" customHeight="1" x14ac:dyDescent="0.3">
      <c r="A241" s="19" t="s">
        <v>129</v>
      </c>
    </row>
    <row r="242" spans="1:1" ht="20.100000000000001" customHeight="1" x14ac:dyDescent="0.3">
      <c r="A242" s="19" t="s">
        <v>130</v>
      </c>
    </row>
    <row r="243" spans="1:1" ht="20.100000000000001" customHeight="1" x14ac:dyDescent="0.3">
      <c r="A243" s="19" t="s">
        <v>131</v>
      </c>
    </row>
    <row r="244" spans="1:1" ht="20.100000000000001" customHeight="1" x14ac:dyDescent="0.3">
      <c r="A244" s="19" t="s">
        <v>132</v>
      </c>
    </row>
    <row r="245" spans="1:1" ht="20.100000000000001" customHeight="1" x14ac:dyDescent="0.3">
      <c r="A245" s="19" t="s">
        <v>133</v>
      </c>
    </row>
    <row r="246" spans="1:1" ht="20.100000000000001" customHeight="1" x14ac:dyDescent="0.3">
      <c r="A246" s="19" t="s">
        <v>134</v>
      </c>
    </row>
    <row r="247" spans="1:1" ht="20.100000000000001" customHeight="1" x14ac:dyDescent="0.3">
      <c r="A247" s="19" t="s">
        <v>135</v>
      </c>
    </row>
    <row r="248" spans="1:1" ht="20.100000000000001" customHeight="1" x14ac:dyDescent="0.3">
      <c r="A248" s="19" t="s">
        <v>126</v>
      </c>
    </row>
    <row r="249" spans="1:1" ht="20.100000000000001" customHeight="1" x14ac:dyDescent="0.3">
      <c r="A249" s="19" t="s">
        <v>136</v>
      </c>
    </row>
    <row r="250" spans="1:1" ht="20.100000000000001" customHeight="1" x14ac:dyDescent="0.3">
      <c r="A250" s="19" t="s">
        <v>137</v>
      </c>
    </row>
    <row r="251" spans="1:1" ht="20.100000000000001" customHeight="1" x14ac:dyDescent="0.3">
      <c r="A251" s="21" t="s">
        <v>138</v>
      </c>
    </row>
    <row r="252" spans="1:1" ht="20.100000000000001" customHeight="1" x14ac:dyDescent="0.3">
      <c r="A252" s="22" t="s">
        <v>139</v>
      </c>
    </row>
    <row r="253" spans="1:1" ht="20.100000000000001" customHeight="1" x14ac:dyDescent="0.3">
      <c r="A253" s="19" t="s">
        <v>140</v>
      </c>
    </row>
    <row r="254" spans="1:1" ht="20.100000000000001" customHeight="1" x14ac:dyDescent="0.3">
      <c r="A254" s="19" t="s">
        <v>141</v>
      </c>
    </row>
    <row r="255" spans="1:1" ht="20.100000000000001" customHeight="1" x14ac:dyDescent="0.3">
      <c r="A255" s="23" t="s">
        <v>142</v>
      </c>
    </row>
    <row r="256" spans="1:1" ht="20.100000000000001" customHeight="1" x14ac:dyDescent="0.3">
      <c r="A256" s="23" t="s">
        <v>143</v>
      </c>
    </row>
    <row r="257" spans="1:1" ht="20.100000000000001" customHeight="1" x14ac:dyDescent="0.3">
      <c r="A257" s="24" t="s">
        <v>144</v>
      </c>
    </row>
    <row r="258" spans="1:1" ht="20.100000000000001" customHeight="1" x14ac:dyDescent="0.3">
      <c r="A258" s="19" t="s">
        <v>145</v>
      </c>
    </row>
    <row r="259" spans="1:1" ht="20.100000000000001" customHeight="1" x14ac:dyDescent="0.3">
      <c r="A259" s="24" t="s">
        <v>146</v>
      </c>
    </row>
    <row r="260" spans="1:1" ht="20.100000000000001" customHeight="1" x14ac:dyDescent="0.3">
      <c r="A260" s="19" t="s">
        <v>147</v>
      </c>
    </row>
    <row r="261" spans="1:1" ht="20.100000000000001" customHeight="1" x14ac:dyDescent="0.3">
      <c r="A261" s="24" t="s">
        <v>148</v>
      </c>
    </row>
    <row r="262" spans="1:1" ht="20.100000000000001" customHeight="1" x14ac:dyDescent="0.3">
      <c r="A262" s="19" t="s">
        <v>149</v>
      </c>
    </row>
    <row r="263" spans="1:1" ht="20.100000000000001" customHeight="1" x14ac:dyDescent="0.3">
      <c r="A263" s="19" t="s">
        <v>150</v>
      </c>
    </row>
    <row r="264" spans="1:1" ht="20.100000000000001" customHeight="1" x14ac:dyDescent="0.3">
      <c r="A264" s="24" t="s">
        <v>151</v>
      </c>
    </row>
    <row r="265" spans="1:1" ht="20.100000000000001" customHeight="1" x14ac:dyDescent="0.3">
      <c r="A265" s="24" t="s">
        <v>152</v>
      </c>
    </row>
    <row r="266" spans="1:1" ht="20.100000000000001" customHeight="1" x14ac:dyDescent="0.3">
      <c r="A266" s="24" t="s">
        <v>153</v>
      </c>
    </row>
    <row r="267" spans="1:1" ht="20.100000000000001" customHeight="1" x14ac:dyDescent="0.3">
      <c r="A267" s="19" t="s">
        <v>154</v>
      </c>
    </row>
    <row r="268" spans="1:1" ht="20.100000000000001" customHeight="1" x14ac:dyDescent="0.3">
      <c r="A268" s="19" t="s">
        <v>155</v>
      </c>
    </row>
    <row r="269" spans="1:1" ht="20.100000000000001" customHeight="1" x14ac:dyDescent="0.3">
      <c r="A269" s="19" t="s">
        <v>156</v>
      </c>
    </row>
    <row r="270" spans="1:1" ht="20.100000000000001" customHeight="1" x14ac:dyDescent="0.3">
      <c r="A270" s="19" t="s">
        <v>157</v>
      </c>
    </row>
    <row r="271" spans="1:1" ht="20.100000000000001" customHeight="1" x14ac:dyDescent="0.3">
      <c r="A271" s="24" t="s">
        <v>158</v>
      </c>
    </row>
    <row r="272" spans="1:1" ht="20.100000000000001" customHeight="1" x14ac:dyDescent="0.3">
      <c r="A272" s="24" t="s">
        <v>159</v>
      </c>
    </row>
    <row r="273" spans="1:1" ht="20.100000000000001" customHeight="1" x14ac:dyDescent="0.3">
      <c r="A273" s="19" t="s">
        <v>160</v>
      </c>
    </row>
    <row r="274" spans="1:1" ht="20.100000000000001" customHeight="1" x14ac:dyDescent="0.3">
      <c r="A274" s="24" t="s">
        <v>161</v>
      </c>
    </row>
    <row r="275" spans="1:1" ht="20.100000000000001" customHeight="1" x14ac:dyDescent="0.3">
      <c r="A275" s="24" t="s">
        <v>162</v>
      </c>
    </row>
    <row r="276" spans="1:1" ht="20.100000000000001" customHeight="1" x14ac:dyDescent="0.3">
      <c r="A276" s="19" t="s">
        <v>163</v>
      </c>
    </row>
    <row r="277" spans="1:1" ht="20.100000000000001" customHeight="1" x14ac:dyDescent="0.3">
      <c r="A277" s="19" t="s">
        <v>164</v>
      </c>
    </row>
    <row r="278" spans="1:1" ht="20.100000000000001" customHeight="1" x14ac:dyDescent="0.3">
      <c r="A278" s="24" t="s">
        <v>165</v>
      </c>
    </row>
    <row r="279" spans="1:1" ht="20.100000000000001" customHeight="1" x14ac:dyDescent="0.3">
      <c r="A279" s="19" t="s">
        <v>166</v>
      </c>
    </row>
    <row r="280" spans="1:1" ht="20.100000000000001" customHeight="1" x14ac:dyDescent="0.3">
      <c r="A280" s="19" t="s">
        <v>167</v>
      </c>
    </row>
    <row r="281" spans="1:1" ht="20.100000000000001" customHeight="1" x14ac:dyDescent="0.3">
      <c r="A281" s="19" t="s">
        <v>168</v>
      </c>
    </row>
    <row r="282" spans="1:1" ht="20.100000000000001" customHeight="1" x14ac:dyDescent="0.3">
      <c r="A282" s="19" t="s">
        <v>169</v>
      </c>
    </row>
    <row r="283" spans="1:1" ht="20.100000000000001" customHeight="1" x14ac:dyDescent="0.3">
      <c r="A283" s="24" t="s">
        <v>170</v>
      </c>
    </row>
    <row r="284" spans="1:1" ht="20.100000000000001" customHeight="1" x14ac:dyDescent="0.3">
      <c r="A284" s="24" t="s">
        <v>171</v>
      </c>
    </row>
    <row r="285" spans="1:1" ht="20.100000000000001" customHeight="1" x14ac:dyDescent="0.3">
      <c r="A285" s="24" t="s">
        <v>172</v>
      </c>
    </row>
    <row r="286" spans="1:1" ht="20.100000000000001" customHeight="1" thickBot="1" x14ac:dyDescent="0.35">
      <c r="A286" s="19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2025-10-27T16:22:20Z</dcterms:modified>
</cp:coreProperties>
</file>