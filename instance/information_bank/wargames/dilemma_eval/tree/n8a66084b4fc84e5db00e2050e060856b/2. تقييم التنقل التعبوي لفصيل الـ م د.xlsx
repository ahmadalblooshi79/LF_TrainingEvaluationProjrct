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96E257CF-E3BB-084C-BBFD-9B4CDDC5EF2D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2" l="1"/>
  <c r="H34" i="2"/>
  <c r="G33" i="2"/>
  <c r="H33" i="2"/>
  <c r="G35" i="2"/>
  <c r="H35" i="2"/>
  <c r="G32" i="2"/>
  <c r="H32" i="2"/>
  <c r="G31" i="2"/>
  <c r="H31" i="2"/>
  <c r="G10" i="2"/>
  <c r="H10" i="2"/>
  <c r="G11" i="2"/>
  <c r="H11" i="2"/>
  <c r="G12" i="2"/>
  <c r="H12" i="2"/>
  <c r="G13" i="2"/>
  <c r="H13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7" i="2"/>
  <c r="H37" i="2"/>
  <c r="G38" i="2"/>
  <c r="H38" i="2"/>
  <c r="G39" i="2"/>
  <c r="H39" i="2"/>
  <c r="G41" i="2"/>
  <c r="H41" i="2"/>
  <c r="G42" i="2"/>
  <c r="H42" i="2"/>
  <c r="G43" i="2"/>
  <c r="H43" i="2"/>
  <c r="G44" i="2"/>
  <c r="H44" i="2"/>
  <c r="F45" i="2"/>
  <c r="E45" i="2"/>
  <c r="E46" i="2"/>
  <c r="E47" i="2"/>
</calcChain>
</file>

<file path=xl/sharedStrings.xml><?xml version="1.0" encoding="utf-8"?>
<sst xmlns="http://schemas.openxmlformats.org/spreadsheetml/2006/main" count="277" uniqueCount="216">
  <si>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</si>
  <si>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</si>
  <si>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</si>
  <si>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</si>
  <si>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</si>
  <si>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</si>
  <si>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</si>
  <si>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</si>
  <si>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</si>
  <si>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</si>
  <si>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</si>
  <si>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</si>
  <si>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</si>
  <si>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</si>
  <si>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</si>
  <si>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</si>
  <si>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</si>
  <si>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</si>
  <si>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</si>
  <si>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</si>
  <si>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</si>
  <si>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</si>
  <si>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</si>
  <si>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</si>
  <si>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</si>
  <si>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</si>
  <si>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</si>
  <si>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</si>
  <si>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</si>
  <si>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</si>
  <si>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</si>
  <si>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</si>
  <si>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</si>
  <si>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</si>
  <si>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</si>
  <si>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</si>
  <si>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</si>
  <si>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</si>
  <si>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</si>
  <si>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</si>
  <si>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</si>
  <si>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</si>
  <si>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</si>
  <si>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</si>
  <si>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</si>
  <si>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</si>
  <si>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</si>
  <si>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</si>
  <si>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</si>
  <si>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</si>
  <si>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</si>
  <si>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</si>
  <si>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</si>
  <si>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</si>
  <si>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</si>
  <si>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</si>
  <si>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</si>
  <si>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</si>
  <si>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</si>
  <si>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</si>
  <si>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</si>
  <si>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</si>
  <si>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</si>
  <si>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</si>
  <si>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تهيئة وتحضير القوة للحركة وإصدار امر التنقل.</t>
  </si>
  <si>
    <t>أ. ينفذ القائد إجراءات قيادة القوات.</t>
  </si>
  <si>
    <t>ب. يعين القائد قائد القافلة / ويحدد تسلسل القيادة.</t>
  </si>
  <si>
    <t>جـ. يقوم قائد القافلة بتحليل المهمة وتجهيز الأمر.</t>
  </si>
  <si>
    <t>د. يعين قائد القافلة قوة الطليعة ويحدد توقيت الحركة.</t>
  </si>
  <si>
    <t>أ. نشاطات العدو المعروفة / المشتبه بها على خط المسير.</t>
  </si>
  <si>
    <t>ب. الأخطار / المناطق الحرجة.</t>
  </si>
  <si>
    <t>جـ. خط المسير التعبوي ونقاط التفقد.</t>
  </si>
  <si>
    <t>د. خط المسير البديل.</t>
  </si>
  <si>
    <t>هـ. موقع نقطة التجمع عند الوصول.</t>
  </si>
  <si>
    <t>و. توقيتات الحركة.</t>
  </si>
  <si>
    <t>ز. تنظيم القافلة.</t>
  </si>
  <si>
    <t>ح. سرعة القافلة.</t>
  </si>
  <si>
    <t>ط. المسافات الفاصلة بين الآليات.</t>
  </si>
  <si>
    <t>ي. الإمداد / التوقف للاستراحة.</t>
  </si>
  <si>
    <t>ك. الخطط الاحتياطية في حالة (تعطل آلية - فقدان آلية - حصول حادث مع آلية - انفصال آلية عن الرتل - عمل من قبل العدو).</t>
  </si>
  <si>
    <t>تنظيم جماعة المقدمة للحركة وأسلوب الحركة والتشكيل.</t>
  </si>
  <si>
    <t>الوصول إلى نقاط التوزيع.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</si>
  <si>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التخطيط</t>
    </r>
    <r>
      <rPr>
        <sz val="12"/>
        <color rgb="FF000000"/>
        <rFont val="Arial"/>
        <family val="2"/>
      </rPr>
      <t>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</si>
  <si>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إصدار</t>
    </r>
    <r>
      <rPr>
        <u/>
        <sz val="12"/>
        <color rgb="FF000000"/>
        <rFont val="Arial"/>
        <family val="2"/>
      </rPr>
      <t xml:space="preserve"> </t>
    </r>
    <r>
      <rPr>
        <b/>
        <u/>
        <sz val="12"/>
        <color rgb="FF000000"/>
        <rFont val="Arial"/>
        <family val="2"/>
      </rPr>
      <t>أمر التنقل</t>
    </r>
    <r>
      <rPr>
        <b/>
        <sz val="12"/>
        <color rgb="FF000000"/>
        <rFont val="Arial"/>
        <family val="2"/>
      </rPr>
      <t>.</t>
    </r>
    <r>
      <rPr>
        <sz val="12"/>
        <color rgb="FF000000"/>
        <rFont val="Arial"/>
        <family val="2"/>
      </rPr>
      <t xml:space="preserve"> مشابه لأمر العمليات إلا أنه يحتوي أيضاً على ما يلي: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</si>
  <si>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أن المنطقة آمنة وجاهزة لاحتلالها من قبل الجسم الرئيسي.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</si>
  <si>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تأمين الحماية للقوات بالمصادر المتوفرة.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</si>
  <si>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تتجهز جماعة المقدمة للحركة وتتبع التعليمات المذكورة أعلاه.</t>
    </r>
  </si>
  <si>
    <r>
      <t>2.</t>
    </r>
    <r>
      <rPr>
        <sz val="12"/>
        <color rgb="FF000000"/>
        <rFont val="Times New Roman"/>
        <family val="1"/>
      </rPr>
      <t>     تنفذ جماعة المقدمة تفقدات ما قبل القتال</t>
    </r>
    <r>
      <rPr>
        <sz val="12"/>
        <color rgb="FF000000"/>
        <rFont val="Arial"/>
        <family val="2"/>
      </rPr>
      <t>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</si>
  <si>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تبدأ جماعة المقدمة الحركة على التوقيت المحدد.</t>
    </r>
  </si>
  <si>
    <t>تنظيم الجسم الرئيسي للقافلة.</t>
  </si>
  <si>
    <t>1.     تجهيز الخرائط والأوامر للحركة وتفقدات ما قبل القتال من قبل الضباط.</t>
  </si>
  <si>
    <t>2.     دمج القائد للمعلومات المقدمة من جماعة المقدمة في الخطة / وتدريب الوحدة.</t>
  </si>
  <si>
    <t>3.     إصدار الأوامر والخرائط والشفافات وتدريب الوحدة عليها.</t>
  </si>
  <si>
    <t>4.     تفقد أجهزة اللاسلكي.</t>
  </si>
  <si>
    <t>5.     الحركة لمنطقة الاستعداد.</t>
  </si>
  <si>
    <t>تنفيذ التنقل التعبوي.</t>
  </si>
  <si>
    <r>
      <t>1.</t>
    </r>
    <r>
      <rPr>
        <sz val="12"/>
        <color rgb="FF000000"/>
        <rFont val="Times New Roman"/>
        <family val="1"/>
      </rPr>
      <t>     عبور نقطة البدء على التوقيت المحدد.</t>
    </r>
  </si>
  <si>
    <r>
      <t>2.</t>
    </r>
    <r>
      <rPr>
        <sz val="12"/>
        <color rgb="FF000000"/>
        <rFont val="Times New Roman"/>
        <family val="1"/>
      </rPr>
      <t>     الحفاظ على السرعة المحددة.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</si>
  <si>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دخول جماعات المقدمة إلى منطقة التجمع التعبوية الأمامية.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</si>
  <si>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احتلال الجسم الرئيسي للمنطقة.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</si>
  <si>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</si>
  <si>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</si>
  <si>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</si>
  <si>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</si>
  <si>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</si>
  <si>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</si>
  <si>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</si>
  <si>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</si>
  <si>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</si>
  <si>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</si>
  <si>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</si>
  <si>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</si>
  <si>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</si>
  <si>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</si>
  <si>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</si>
  <si>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</si>
  <si>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</si>
  <si>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</si>
  <si>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</si>
  <si>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</si>
  <si>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</si>
  <si>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</si>
  <si>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</si>
  <si>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</si>
  <si>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</si>
  <si>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</si>
  <si>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</si>
  <si>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</si>
  <si>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</si>
  <si>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</si>
  <si>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</si>
  <si>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</si>
  <si>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</si>
  <si>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</si>
  <si>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</si>
  <si>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</si>
  <si>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</si>
  <si>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</si>
  <si>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</si>
  <si>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</si>
  <si>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</si>
  <si>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</si>
  <si>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</si>
  <si>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</si>
  <si>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</si>
  <si>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</si>
  <si>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</si>
  <si>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</si>
  <si>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</si>
  <si>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</si>
  <si>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</si>
  <si>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</si>
  <si>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</si>
  <si>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</si>
  <si>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</si>
  <si>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</si>
  <si>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</si>
  <si>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</si>
  <si>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</si>
  <si>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</si>
  <si>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</si>
  <si>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</si>
  <si>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</si>
  <si>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</si>
  <si>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</si>
  <si>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</si>
  <si>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</si>
  <si>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</si>
  <si>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</si>
  <si>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</si>
  <si>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</si>
  <si>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</si>
  <si>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</si>
  <si>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</si>
  <si>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</si>
  <si>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</si>
  <si>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</si>
  <si>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</si>
  <si>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</si>
  <si>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</si>
  <si>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</si>
  <si>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</si>
  <si>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</si>
  <si>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</si>
  <si>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</si>
  <si>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</si>
  <si>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</si>
  <si>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</si>
  <si>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</si>
  <si>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</si>
  <si>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</si>
  <si>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</si>
  <si>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</si>
  <si>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</si>
  <si>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</si>
  <si>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</si>
  <si>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</si>
  <si>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</si>
  <si>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</si>
  <si>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</si>
  <si>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</si>
  <si>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</si>
  <si>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</si>
  <si>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</si>
  <si>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</si>
  <si>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</si>
  <si>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</si>
  <si>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</si>
  <si>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</si>
  <si>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</si>
  <si>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</si>
  <si>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</si>
  <si>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</si>
  <si>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الحفاظ على المسافات الفاصلة بين الجماعات.</t>
    </r>
  </si>
  <si>
    <r>
      <rPr>
        <b/>
        <sz val="14"/>
        <color rgb="FF000000"/>
        <rFont val="Arial"/>
        <family val="2"/>
      </rPr>
      <t>تقييم فصيل الـ م/د في التنقل التعبوي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</si>
  <si>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 /١ صالح هادف المنصوري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</si>
</sst>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Times New Roman"/>
      <family val="1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22" xfId="0" applyFont="1" applyBorder="1" applyAlignment="1">
      <alignment horizontal="right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9" fillId="0" borderId="22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readingOrder="2"/>
    </xf>
    <xf numFmtId="0" fontId="9" fillId="0" borderId="12" xfId="0" applyFont="1" applyBorder="1" applyAlignment="1">
      <alignment horizontal="right" vertical="center" wrapText="1" readingOrder="2"/>
    </xf>
    <xf numFmtId="0" fontId="1" fillId="0" borderId="23" xfId="0" applyFont="1" applyBorder="1" applyAlignment="1">
      <alignment horizontal="right" vertical="center" wrapText="1" readingOrder="2"/>
    </xf>
    <xf numFmtId="0" fontId="1" fillId="0" borderId="24" xfId="0" applyFont="1" applyBorder="1" applyAlignment="1">
      <alignment horizontal="right" vertical="center" wrapText="1" readingOrder="2"/>
    </xf>
    <xf numFmtId="0" fontId="1" fillId="0" borderId="25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11" fillId="0" borderId="23" xfId="0" applyFont="1" applyBorder="1" applyAlignment="1">
      <alignment horizontal="right" vertical="center" wrapText="1" readingOrder="2"/>
    </xf>
    <xf numFmtId="0" fontId="11" fillId="0" borderId="24" xfId="0" applyFont="1" applyBorder="1" applyAlignment="1">
      <alignment horizontal="right" vertical="center" wrapText="1" readingOrder="2"/>
    </xf>
    <xf numFmtId="0" fontId="11" fillId="0" borderId="25" xfId="0" applyFont="1" applyBorder="1" applyAlignment="1">
      <alignment horizontal="right" vertical="center" wrapText="1" readingOrder="2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9" fillId="0" borderId="31" xfId="0" applyFont="1" applyBorder="1" applyAlignment="1">
      <alignment horizontal="right" vertical="center" wrapText="1" readingOrder="2"/>
    </xf>
    <xf numFmtId="0" fontId="9" fillId="0" borderId="32" xfId="0" applyFont="1" applyBorder="1" applyAlignment="1">
      <alignment horizontal="right" vertical="center" wrapText="1" readingOrder="2"/>
    </xf>
    <xf numFmtId="0" fontId="9" fillId="0" borderId="27" xfId="0" applyFont="1" applyBorder="1" applyAlignment="1">
      <alignment horizontal="right" vertical="center" wrapText="1" readingOrder="2"/>
    </xf>
  </cellXfs>
  <cellStyles count="1">
    <cellStyle name="عادي" xfId="0" builtinId="0"/>
  </cellStyles>
  <dxfs count="31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691917</xdr:colOff>
      <xdr:row>47</xdr:row>
      <xdr:rowOff>102400</xdr:rowOff>
    </xdr:from>
    <xdr:to>
      <xdr:col>9</xdr:col>
      <xdr:colOff>428343</xdr:colOff>
      <xdr:row>52</xdr:row>
      <xdr:rowOff>24498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C62CEBDE-A0FA-71CB-F829-070ACF90D064}"/>
                </a:ext>
              </a:extLst>
            </xdr14:cNvPr>
            <xdr14:cNvContentPartPr/>
          </xdr14:nvContentPartPr>
          <xdr14:nvPr macro=""/>
          <xdr14:xfrm>
            <a:off x="11438011385" y="18644400"/>
            <a:ext cx="1883880" cy="1619280"/>
          </xdr14:xfrm>
        </xdr:contentPart>
      </mc:Choice>
      <mc:Fallback xmlns=""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C62CEBDE-A0FA-71CB-F829-070ACF90D06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002385" y="18635760"/>
              <a:ext cx="1901520" cy="1636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15:19:34.0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1301 1845,'0'0,"0"0,0 0,0 0,0 0,0 0,0 0,0 0,-14 16,-3 0,17-15,-17 30,-31 49,43-70,-38 93,-19 25,52-113,-62 146,-24 32,83-168,-54 126,2-39,56-95,-13 63,5-16,17-55,0-9,82-73,-70 62,87-107,93-90,-161 175,164-159,29-32,-191 189,157-139,20-18,-179 162,130-100,-33 17,-107 96,102-62,-41 47,-70 27,7 26,-19 27,0-40,0 16,-31 24,23-40,-18 32,12-7,11-29,-11 40,-3 4,17-41,0 2,0 7,0-14,34-36,-20 18,-12 13,30-10,-18-3,-11 13,42-42,20-4,-55 42,-3-2,7 25,-11-13,-6 10,-28 36,26-42,-21 66,-39 7,55-67,-45 54,7-3,41-54,-34 44,-7 11,40-55,1-4,-2 2,33-32,9 8,-1-1,-28 15,40-28,-13 14,-24 14,20 4,-13-2,-11 0,11 32,3 1,-15-28,-4 22,-15 21,15-40,4 32,-19 8,17-41,-14 18,-3 7,14-27,-11 6,14 5,0-13,34-22,-20 3,-11 14,42-28,85-66,-111 80,121-97,52-31,-160 121,177-146,65-56,-235 192,225-174,10-34,-230 202,184-146,13-24,-203 176,133-126,-27 14,-122 123,52-52,-25-6,-42 67,17-6,-7 3,-65 64,-17 0,55-41,-108 114,-108 72,192-163,-235 196,-116 111,325-285,-313 297,-77 68,381-351,-326 285,-38 34,366-326,-268 235,-18 10,300-257,-231 147,12-2,231-163,-141 103,-11 28,162-135,-116 78,20 9,108-94,-27 29,-17 17,54-55,-30 30,5-23,32-14,21-4,-11 2,16-32,41-32,79-65,-122 109,117-136,85-85,-188 203,185-196,82-71,-255 258,226-211,-2-30,-228 244,201-169,-5-43,-199 214,128-125,-11-41,-134 176,97-113,-25 1,-79 120,48-96,14-25,-64 122,18-114,32-39,-55 147,-5-87,11-12,-13 109,-6-58,3-3,0 68,-31-24,-3 20,32 13,-27 6,-50 13,67-14,-137 44,-27 50,150-81,-140 98,-44 48,182-138,-153 130,-11 39,163-162,-53 101,0-19,70-95,-7 46,19 17,0-67,65 6,94-3,-135-13,144-6,58 19,-190-13,183-6,55-13,-230 14,201-12,-21-2,-188 14,103-12,6-2,-121 14,96 4,-24-18,-79 14,31 4,17-18,-55 14,59-12,28-2,-80 14,45-44,82-34,-120 67,82-70,39-14,-124 83,68-68,7-14,-79 81,48-50,-34 17,-26 40,22-16,-10-8,-15 27,27-6,-12-5,-15 13,-36 22,32-18,-125 94,-80 65,173-133,-221 155,-130 138,327-271,-350 271,-74 97,410-353,-320 241,-24 48,351-298,-223 194,-32-8,267-203,-135 116,-21-9,175-122,-93 98,-32 23,133-121,-61 50,8 8,67-69,-41 56,4-20,42-41,-2-14,25 7,-13 0,11-16,-14 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9"/>
  <sheetViews>
    <sheetView rightToLeft="1" tabSelected="1" view="pageBreakPreview" topLeftCell="A28" zoomScale="160" zoomScaleNormal="100" zoomScaleSheetLayoutView="160" workbookViewId="0">
      <selection activeCell="F44" sqref="F44"/>
    </sheetView>
  </sheetViews>
  <sheetFormatPr defaultColWidth="8.94921875" defaultRowHeight="13.5"/>
  <cols>
    <col min="1" max="1" width="5.1484375" style="1" customWidth="1"/>
    <col min="2" max="2" width="12.13671875" style="1" customWidth="1"/>
    <col min="3" max="3" width="8.94921875" style="1"/>
    <col min="4" max="4" width="28.07421875" style="1" customWidth="1"/>
    <col min="5" max="7" width="9.19140625" style="1" customWidth="1"/>
    <col min="8" max="8" width="9.19140625" style="3" customWidth="1"/>
    <col min="9" max="9" width="9.19140625" style="1" customWidth="1"/>
    <col min="10" max="10" width="15.4453125" style="1" customWidth="1"/>
    <col min="11" max="16384" width="8.94921875" style="1"/>
  </cols>
  <sheetData>
    <row r="1" spans="1:10" ht="45" customHeight="1">
      <c r="B1" s="72" t="s">
        <v>214</v>
      </c>
      <c r="C1" s="72"/>
      <c r="D1" s="72"/>
      <c r="E1" s="72"/>
      <c r="F1" s="72"/>
      <c r="G1" s="72"/>
      <c r="H1" s="72"/>
      <c r="I1" s="72"/>
      <c r="J1" s="72"/>
    </row>
    <row r="2" spans="1:10" ht="30" customHeight="1">
      <c r="B2" s="12" t="s">
        <v>8</v>
      </c>
      <c r="C2" s="78" t="s">
        <v>27</v>
      </c>
      <c r="D2" s="78"/>
      <c r="E2" s="12" t="s">
        <v>7</v>
      </c>
      <c r="F2" s="73">
        <v>45909</v>
      </c>
      <c r="G2" s="73"/>
      <c r="H2" s="73"/>
      <c r="I2" s="73"/>
      <c r="J2" s="73"/>
    </row>
    <row r="3" spans="1:10" ht="30" customHeight="1">
      <c r="B3" s="12" t="s">
        <v>9</v>
      </c>
      <c r="C3" s="78" t="s">
        <v>60</v>
      </c>
      <c r="D3" s="78"/>
      <c r="E3" s="12" t="s">
        <v>6</v>
      </c>
      <c r="F3" s="78" t="s">
        <v>154</v>
      </c>
      <c r="G3" s="78"/>
      <c r="H3" s="78"/>
      <c r="I3" s="78"/>
      <c r="J3" s="78"/>
    </row>
    <row r="4" spans="1:10" ht="30" customHeight="1" thickBot="1">
      <c r="B4" s="6"/>
      <c r="C4" s="7"/>
      <c r="D4" s="7" t="s">
        <v>215</v>
      </c>
      <c r="E4" s="6"/>
      <c r="F4" s="7"/>
      <c r="G4" s="7"/>
      <c r="H4" s="8"/>
      <c r="I4" s="7"/>
      <c r="J4" s="7"/>
    </row>
    <row r="5" spans="1:10" ht="24.95" customHeight="1">
      <c r="A5" s="10"/>
      <c r="B5" s="74" t="s">
        <v>0</v>
      </c>
      <c r="C5" s="75"/>
      <c r="D5" s="75"/>
      <c r="E5" s="79" t="s">
        <v>1</v>
      </c>
      <c r="F5" s="79"/>
      <c r="G5" s="79"/>
      <c r="H5" s="79"/>
      <c r="I5" s="79" t="s">
        <v>2</v>
      </c>
      <c r="J5" s="80"/>
    </row>
    <row r="6" spans="1:10" ht="24.95" customHeight="1" thickBot="1">
      <c r="A6" s="10"/>
      <c r="B6" s="76"/>
      <c r="C6" s="77"/>
      <c r="D6" s="77"/>
      <c r="E6" s="11" t="s">
        <v>3</v>
      </c>
      <c r="F6" s="11" t="s">
        <v>4</v>
      </c>
      <c r="G6" s="11" t="s">
        <v>23</v>
      </c>
      <c r="H6" s="11" t="s">
        <v>24</v>
      </c>
      <c r="I6" s="81"/>
      <c r="J6" s="82"/>
    </row>
    <row r="7" spans="1:10" ht="24.95" customHeight="1" thickBot="1">
      <c r="A7" s="10"/>
      <c r="B7" s="83" t="s">
        <v>21</v>
      </c>
      <c r="C7" s="84"/>
      <c r="D7" s="84"/>
      <c r="E7" s="21" t="s">
        <v>18</v>
      </c>
      <c r="F7" s="21" t="s">
        <v>19</v>
      </c>
      <c r="G7" s="21" t="s">
        <v>22</v>
      </c>
      <c r="H7" s="21" t="s">
        <v>20</v>
      </c>
      <c r="I7" s="88" t="s">
        <v>25</v>
      </c>
      <c r="J7" s="89"/>
    </row>
    <row r="8" spans="1:10" ht="30" customHeight="1">
      <c r="A8" s="10"/>
      <c r="B8" s="85" t="s">
        <v>64</v>
      </c>
      <c r="C8" s="86"/>
      <c r="D8" s="86"/>
      <c r="E8" s="86"/>
      <c r="F8" s="86"/>
      <c r="G8" s="86"/>
      <c r="H8" s="86"/>
      <c r="I8" s="86"/>
      <c r="J8" s="87"/>
    </row>
    <row r="9" spans="1:10" ht="30" customHeight="1">
      <c r="A9" s="10"/>
      <c r="B9" s="36" t="s">
        <v>82</v>
      </c>
      <c r="C9" s="37"/>
      <c r="D9" s="37"/>
      <c r="E9" s="9"/>
      <c r="F9" s="19"/>
      <c r="G9" s="23"/>
      <c r="H9" s="24"/>
      <c r="I9" s="45"/>
      <c r="J9" s="46"/>
    </row>
    <row r="10" spans="1:10" ht="30" customHeight="1">
      <c r="A10" s="10"/>
      <c r="B10" s="38" t="s">
        <v>65</v>
      </c>
      <c r="C10" s="39"/>
      <c r="D10" s="39"/>
      <c r="E10" s="9">
        <v>5</v>
      </c>
      <c r="F10" s="19">
        <v>3.75</v>
      </c>
      <c r="G10" s="23">
        <f t="shared" ref="G10:G44" si="0">IFERROR(F10/E10,"")</f>
        <v>0.75</v>
      </c>
      <c r="H10" s="24" t="str">
        <f t="shared" ref="H10:H44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0" customHeight="1">
      <c r="A11" s="10"/>
      <c r="B11" s="38" t="s">
        <v>66</v>
      </c>
      <c r="C11" s="39"/>
      <c r="D11" s="39"/>
      <c r="E11" s="9">
        <v>5</v>
      </c>
      <c r="F11" s="19">
        <v>4</v>
      </c>
      <c r="G11" s="23">
        <f t="shared" si="0"/>
        <v>0.8</v>
      </c>
      <c r="H11" s="24" t="str">
        <f t="shared" si="1"/>
        <v>جيد جداً</v>
      </c>
      <c r="I11" s="45"/>
      <c r="J11" s="46"/>
    </row>
    <row r="12" spans="1:10" ht="30" customHeight="1">
      <c r="A12" s="10"/>
      <c r="B12" s="38" t="s">
        <v>67</v>
      </c>
      <c r="C12" s="39"/>
      <c r="D12" s="39"/>
      <c r="E12" s="9">
        <v>5</v>
      </c>
      <c r="F12" s="19">
        <v>3.75</v>
      </c>
      <c r="G12" s="23">
        <f t="shared" si="0"/>
        <v>0.75</v>
      </c>
      <c r="H12" s="24" t="str">
        <f t="shared" si="1"/>
        <v>جيد</v>
      </c>
      <c r="I12" s="45"/>
      <c r="J12" s="46"/>
    </row>
    <row r="13" spans="1:10" ht="30" customHeight="1">
      <c r="A13" s="10"/>
      <c r="B13" s="38" t="s">
        <v>68</v>
      </c>
      <c r="C13" s="39"/>
      <c r="D13" s="39"/>
      <c r="E13" s="9">
        <v>5</v>
      </c>
      <c r="F13" s="19">
        <v>3.5</v>
      </c>
      <c r="G13" s="23">
        <f t="shared" si="0"/>
        <v>0.7</v>
      </c>
      <c r="H13" s="24" t="str">
        <f t="shared" si="1"/>
        <v>جيد</v>
      </c>
      <c r="I13" s="45"/>
      <c r="J13" s="46"/>
    </row>
    <row r="14" spans="1:10" ht="39.950000000000003" customHeight="1">
      <c r="A14" s="10"/>
      <c r="B14" s="90" t="s">
        <v>83</v>
      </c>
      <c r="C14" s="91"/>
      <c r="D14" s="91"/>
      <c r="E14" s="91"/>
      <c r="F14" s="91"/>
      <c r="G14" s="91"/>
      <c r="H14" s="91"/>
      <c r="I14" s="91"/>
      <c r="J14" s="92"/>
    </row>
    <row r="15" spans="1:10" ht="30" customHeight="1">
      <c r="A15" s="10"/>
      <c r="B15" s="38" t="s">
        <v>69</v>
      </c>
      <c r="C15" s="39"/>
      <c r="D15" s="39"/>
      <c r="E15" s="9">
        <v>5</v>
      </c>
      <c r="F15" s="19">
        <v>4</v>
      </c>
      <c r="G15" s="23">
        <f t="shared" si="0"/>
        <v>0.8</v>
      </c>
      <c r="H15" s="24" t="str">
        <f t="shared" si="1"/>
        <v>جيد جداً</v>
      </c>
      <c r="I15" s="45"/>
      <c r="J15" s="46"/>
    </row>
    <row r="16" spans="1:10" ht="30" customHeight="1">
      <c r="A16" s="10"/>
      <c r="B16" s="38" t="s">
        <v>70</v>
      </c>
      <c r="C16" s="39"/>
      <c r="D16" s="39"/>
      <c r="E16" s="9">
        <v>5</v>
      </c>
      <c r="F16" s="19">
        <v>3.25</v>
      </c>
      <c r="G16" s="23">
        <f t="shared" si="0"/>
        <v>0.65</v>
      </c>
      <c r="H16" s="24" t="str">
        <f t="shared" si="1"/>
        <v>مقبول</v>
      </c>
      <c r="I16" s="45"/>
      <c r="J16" s="46"/>
    </row>
    <row r="17" spans="1:10" ht="30" customHeight="1">
      <c r="A17" s="10"/>
      <c r="B17" s="38" t="s">
        <v>71</v>
      </c>
      <c r="C17" s="39"/>
      <c r="D17" s="39"/>
      <c r="E17" s="9">
        <v>5</v>
      </c>
      <c r="F17" s="19">
        <v>3.5</v>
      </c>
      <c r="G17" s="23">
        <f t="shared" si="0"/>
        <v>0.7</v>
      </c>
      <c r="H17" s="24" t="str">
        <f t="shared" si="1"/>
        <v>جيد</v>
      </c>
      <c r="I17" s="45"/>
      <c r="J17" s="46"/>
    </row>
    <row r="18" spans="1:10" ht="30" customHeight="1">
      <c r="A18" s="10"/>
      <c r="B18" s="38" t="s">
        <v>72</v>
      </c>
      <c r="C18" s="39"/>
      <c r="D18" s="39"/>
      <c r="E18" s="9">
        <v>5</v>
      </c>
      <c r="F18" s="19">
        <v>3.25</v>
      </c>
      <c r="G18" s="23">
        <f t="shared" si="0"/>
        <v>0.65</v>
      </c>
      <c r="H18" s="24" t="str">
        <f t="shared" si="1"/>
        <v>مقبول</v>
      </c>
      <c r="I18" s="45"/>
      <c r="J18" s="46"/>
    </row>
    <row r="19" spans="1:10" ht="30" customHeight="1">
      <c r="A19" s="10"/>
      <c r="B19" s="38" t="s">
        <v>73</v>
      </c>
      <c r="C19" s="39"/>
      <c r="D19" s="39"/>
      <c r="E19" s="9">
        <v>5</v>
      </c>
      <c r="F19" s="19">
        <v>3.75</v>
      </c>
      <c r="G19" s="23">
        <f t="shared" si="0"/>
        <v>0.75</v>
      </c>
      <c r="H19" s="24" t="str">
        <f t="shared" si="1"/>
        <v>جيد</v>
      </c>
      <c r="I19" s="45"/>
      <c r="J19" s="46"/>
    </row>
    <row r="20" spans="1:10" ht="30" customHeight="1">
      <c r="A20" s="10"/>
      <c r="B20" s="38" t="s">
        <v>74</v>
      </c>
      <c r="C20" s="39"/>
      <c r="D20" s="39"/>
      <c r="E20" s="9">
        <v>5</v>
      </c>
      <c r="F20" s="19">
        <v>3.75</v>
      </c>
      <c r="G20" s="23">
        <f t="shared" si="0"/>
        <v>0.75</v>
      </c>
      <c r="H20" s="24" t="str">
        <f t="shared" si="1"/>
        <v>جيد</v>
      </c>
      <c r="I20" s="45"/>
      <c r="J20" s="46"/>
    </row>
    <row r="21" spans="1:10" ht="30" customHeight="1">
      <c r="A21" s="10"/>
      <c r="B21" s="38" t="s">
        <v>75</v>
      </c>
      <c r="C21" s="39"/>
      <c r="D21" s="39"/>
      <c r="E21" s="9">
        <v>5</v>
      </c>
      <c r="F21" s="19">
        <v>3.75</v>
      </c>
      <c r="G21" s="23">
        <f t="shared" si="0"/>
        <v>0.75</v>
      </c>
      <c r="H21" s="24" t="str">
        <f t="shared" si="1"/>
        <v>جيد</v>
      </c>
      <c r="I21" s="45"/>
      <c r="J21" s="46"/>
    </row>
    <row r="22" spans="1:10" ht="30" customHeight="1">
      <c r="A22" s="10"/>
      <c r="B22" s="38" t="s">
        <v>76</v>
      </c>
      <c r="C22" s="39"/>
      <c r="D22" s="39"/>
      <c r="E22" s="9">
        <v>5</v>
      </c>
      <c r="F22" s="19">
        <v>3.75</v>
      </c>
      <c r="G22" s="23">
        <f t="shared" si="0"/>
        <v>0.75</v>
      </c>
      <c r="H22" s="24" t="str">
        <f t="shared" si="1"/>
        <v>جيد</v>
      </c>
      <c r="I22" s="45"/>
      <c r="J22" s="46"/>
    </row>
    <row r="23" spans="1:10" ht="30" customHeight="1">
      <c r="A23" s="10"/>
      <c r="B23" s="38" t="s">
        <v>77</v>
      </c>
      <c r="C23" s="39"/>
      <c r="D23" s="39"/>
      <c r="E23" s="9">
        <v>5</v>
      </c>
      <c r="F23" s="19">
        <v>3.75</v>
      </c>
      <c r="G23" s="23">
        <f t="shared" si="0"/>
        <v>0.75</v>
      </c>
      <c r="H23" s="24" t="str">
        <f t="shared" si="1"/>
        <v>جيد</v>
      </c>
      <c r="I23" s="45"/>
      <c r="J23" s="46"/>
    </row>
    <row r="24" spans="1:10" ht="30" customHeight="1">
      <c r="A24" s="10"/>
      <c r="B24" s="38" t="s">
        <v>78</v>
      </c>
      <c r="C24" s="39"/>
      <c r="D24" s="39"/>
      <c r="E24" s="9">
        <v>5</v>
      </c>
      <c r="F24" s="19">
        <v>3.75</v>
      </c>
      <c r="G24" s="23">
        <f t="shared" si="0"/>
        <v>0.75</v>
      </c>
      <c r="H24" s="24" t="str">
        <f t="shared" si="1"/>
        <v>جيد</v>
      </c>
      <c r="I24" s="45"/>
      <c r="J24" s="46"/>
    </row>
    <row r="25" spans="1:10" ht="39.950000000000003" customHeight="1" thickBot="1">
      <c r="A25" s="10"/>
      <c r="B25" s="49" t="s">
        <v>79</v>
      </c>
      <c r="C25" s="50"/>
      <c r="D25" s="50"/>
      <c r="E25" s="25">
        <v>10</v>
      </c>
      <c r="F25" s="20">
        <v>8.75</v>
      </c>
      <c r="G25" s="26">
        <f t="shared" si="0"/>
        <v>0.875</v>
      </c>
      <c r="H25" s="27" t="str">
        <f t="shared" si="1"/>
        <v>جيد جداً</v>
      </c>
      <c r="I25" s="47"/>
      <c r="J25" s="48"/>
    </row>
    <row r="26" spans="1:10" ht="30" customHeight="1">
      <c r="A26" s="10"/>
      <c r="B26" s="42" t="s">
        <v>80</v>
      </c>
      <c r="C26" s="43"/>
      <c r="D26" s="43"/>
      <c r="E26" s="43"/>
      <c r="F26" s="43"/>
      <c r="G26" s="43"/>
      <c r="H26" s="43"/>
      <c r="I26" s="43"/>
      <c r="J26" s="44"/>
    </row>
    <row r="27" spans="1:10" ht="39.950000000000003" customHeight="1">
      <c r="A27" s="10"/>
      <c r="B27" s="36" t="s">
        <v>86</v>
      </c>
      <c r="C27" s="37"/>
      <c r="D27" s="37"/>
      <c r="E27" s="9">
        <v>5</v>
      </c>
      <c r="F27" s="19">
        <v>3.75</v>
      </c>
      <c r="G27" s="23">
        <f t="shared" si="0"/>
        <v>0.75</v>
      </c>
      <c r="H27" s="24" t="str">
        <f t="shared" si="1"/>
        <v>جيد</v>
      </c>
      <c r="I27" s="45"/>
      <c r="J27" s="46"/>
    </row>
    <row r="28" spans="1:10" ht="30" customHeight="1">
      <c r="A28" s="10"/>
      <c r="B28" s="36" t="s">
        <v>87</v>
      </c>
      <c r="C28" s="37"/>
      <c r="D28" s="37"/>
      <c r="E28" s="9">
        <v>5</v>
      </c>
      <c r="F28" s="19">
        <v>3.5</v>
      </c>
      <c r="G28" s="23">
        <f t="shared" si="0"/>
        <v>0.7</v>
      </c>
      <c r="H28" s="24" t="str">
        <f t="shared" si="1"/>
        <v>جيد</v>
      </c>
      <c r="I28" s="45"/>
      <c r="J28" s="46"/>
    </row>
    <row r="29" spans="1:10" ht="30" customHeight="1" thickBot="1">
      <c r="A29" s="10"/>
      <c r="B29" s="36" t="s">
        <v>88</v>
      </c>
      <c r="C29" s="37"/>
      <c r="D29" s="37"/>
      <c r="E29" s="9">
        <v>5</v>
      </c>
      <c r="F29" s="19">
        <v>3.75</v>
      </c>
      <c r="G29" s="23">
        <f t="shared" si="0"/>
        <v>0.75</v>
      </c>
      <c r="H29" s="24" t="str">
        <f t="shared" si="1"/>
        <v>جيد</v>
      </c>
      <c r="I29" s="45"/>
      <c r="J29" s="46"/>
    </row>
    <row r="30" spans="1:10" ht="30" customHeight="1">
      <c r="A30" s="10"/>
      <c r="B30" s="42" t="s">
        <v>89</v>
      </c>
      <c r="C30" s="43"/>
      <c r="D30" s="43"/>
      <c r="E30" s="43"/>
      <c r="F30" s="43"/>
      <c r="G30" s="43"/>
      <c r="H30" s="43"/>
      <c r="I30" s="43"/>
      <c r="J30" s="44"/>
    </row>
    <row r="31" spans="1:10" ht="39.950000000000003" customHeight="1">
      <c r="A31" s="10"/>
      <c r="B31" s="36" t="s">
        <v>90</v>
      </c>
      <c r="C31" s="37"/>
      <c r="D31" s="37"/>
      <c r="E31" s="9">
        <v>5</v>
      </c>
      <c r="F31" s="28">
        <v>4</v>
      </c>
      <c r="G31" s="23">
        <f t="shared" ref="G31:G35" si="2">IFERROR(F31/E31,"")</f>
        <v>0.8</v>
      </c>
      <c r="H31" s="24" t="str">
        <f t="shared" ref="H31:H35" si="3">_xlfn.IFS(F31="أدخل العلامة","",F31="لا ينطبق","تم الإلغاء",G31&gt;=90%,"ممتاز",G31&gt;=80%,"جيد جداً",G31&gt;=70%,"جيد",G31&gt;=60%,"مقبول",G31&lt;60%,"راسب")</f>
        <v>جيد جداً</v>
      </c>
      <c r="I31" s="51"/>
      <c r="J31" s="52"/>
    </row>
    <row r="32" spans="1:10" ht="30" customHeight="1">
      <c r="A32" s="10"/>
      <c r="B32" s="36" t="s">
        <v>91</v>
      </c>
      <c r="C32" s="37"/>
      <c r="D32" s="37"/>
      <c r="E32" s="9">
        <v>5</v>
      </c>
      <c r="F32" s="28">
        <v>3.75</v>
      </c>
      <c r="G32" s="23">
        <f t="shared" si="2"/>
        <v>0.75</v>
      </c>
      <c r="H32" s="24" t="str">
        <f t="shared" si="3"/>
        <v>جيد</v>
      </c>
      <c r="I32" s="51"/>
      <c r="J32" s="52"/>
    </row>
    <row r="33" spans="1:10" ht="39.950000000000003" customHeight="1">
      <c r="A33" s="10"/>
      <c r="B33" s="36" t="s">
        <v>92</v>
      </c>
      <c r="C33" s="37"/>
      <c r="D33" s="37"/>
      <c r="E33" s="9">
        <v>5</v>
      </c>
      <c r="F33" s="28">
        <v>3.75</v>
      </c>
      <c r="G33" s="23">
        <f t="shared" ref="G33:G34" si="4">IFERROR(F33/E33,"")</f>
        <v>0.75</v>
      </c>
      <c r="H33" s="24" t="str">
        <f t="shared" ref="H33:H34" si="5">_xlfn.IFS(F33="أدخل العلامة","",F33="لا ينطبق","تم الإلغاء",G33&gt;=90%,"ممتاز",G33&gt;=80%,"جيد جداً",G33&gt;=70%,"جيد",G33&gt;=60%,"مقبول",G33&lt;60%,"راسب")</f>
        <v>جيد</v>
      </c>
      <c r="I33" s="51"/>
      <c r="J33" s="52"/>
    </row>
    <row r="34" spans="1:10" ht="30" customHeight="1">
      <c r="A34" s="10"/>
      <c r="B34" s="36" t="s">
        <v>93</v>
      </c>
      <c r="C34" s="37"/>
      <c r="D34" s="37"/>
      <c r="E34" s="9">
        <v>5</v>
      </c>
      <c r="F34" s="28">
        <v>3.75</v>
      </c>
      <c r="G34" s="23">
        <f t="shared" si="4"/>
        <v>0.75</v>
      </c>
      <c r="H34" s="24" t="str">
        <f t="shared" si="5"/>
        <v>جيد</v>
      </c>
      <c r="I34" s="51"/>
      <c r="J34" s="52"/>
    </row>
    <row r="35" spans="1:10" ht="30" customHeight="1" thickBot="1">
      <c r="A35" s="10"/>
      <c r="B35" s="36" t="s">
        <v>94</v>
      </c>
      <c r="C35" s="37"/>
      <c r="D35" s="37"/>
      <c r="E35" s="9">
        <v>5</v>
      </c>
      <c r="F35" s="28">
        <v>3.75</v>
      </c>
      <c r="G35" s="23">
        <f t="shared" si="2"/>
        <v>0.75</v>
      </c>
      <c r="H35" s="24" t="str">
        <f t="shared" si="3"/>
        <v>جيد</v>
      </c>
      <c r="I35" s="53"/>
      <c r="J35" s="54"/>
    </row>
    <row r="36" spans="1:10" ht="30" customHeight="1">
      <c r="A36" s="10"/>
      <c r="B36" s="42" t="s">
        <v>95</v>
      </c>
      <c r="C36" s="43"/>
      <c r="D36" s="43"/>
      <c r="E36" s="43"/>
      <c r="F36" s="43"/>
      <c r="G36" s="43"/>
      <c r="H36" s="43"/>
      <c r="I36" s="43"/>
      <c r="J36" s="44"/>
    </row>
    <row r="37" spans="1:10" ht="30" customHeight="1">
      <c r="A37" s="10"/>
      <c r="B37" s="36" t="s">
        <v>96</v>
      </c>
      <c r="C37" s="37"/>
      <c r="D37" s="37"/>
      <c r="E37" s="9">
        <v>5</v>
      </c>
      <c r="F37" s="19">
        <v>3.5</v>
      </c>
      <c r="G37" s="23">
        <f t="shared" si="0"/>
        <v>0.7</v>
      </c>
      <c r="H37" s="24" t="str">
        <f t="shared" si="1"/>
        <v>جيد</v>
      </c>
      <c r="I37" s="45"/>
      <c r="J37" s="46"/>
    </row>
    <row r="38" spans="1:10" ht="30" customHeight="1">
      <c r="A38" s="10"/>
      <c r="B38" s="36" t="s">
        <v>97</v>
      </c>
      <c r="C38" s="37"/>
      <c r="D38" s="37"/>
      <c r="E38" s="9">
        <v>5</v>
      </c>
      <c r="F38" s="19">
        <v>3.75</v>
      </c>
      <c r="G38" s="23">
        <f t="shared" si="0"/>
        <v>0.75</v>
      </c>
      <c r="H38" s="24" t="str">
        <f t="shared" si="1"/>
        <v>جيد</v>
      </c>
      <c r="I38" s="45"/>
      <c r="J38" s="46"/>
    </row>
    <row r="39" spans="1:10" ht="30" customHeight="1" thickBot="1">
      <c r="A39" s="10"/>
      <c r="B39" s="36" t="s">
        <v>213</v>
      </c>
      <c r="C39" s="37"/>
      <c r="D39" s="37"/>
      <c r="E39" s="9">
        <v>5</v>
      </c>
      <c r="F39" s="19">
        <v>3.75</v>
      </c>
      <c r="G39" s="23">
        <f t="shared" si="0"/>
        <v>0.75</v>
      </c>
      <c r="H39" s="24" t="str">
        <f t="shared" si="1"/>
        <v>جيد</v>
      </c>
      <c r="I39" s="45"/>
      <c r="J39" s="46"/>
    </row>
    <row r="40" spans="1:10" ht="30" customHeight="1">
      <c r="A40" s="10"/>
      <c r="B40" s="42" t="s">
        <v>81</v>
      </c>
      <c r="C40" s="43"/>
      <c r="D40" s="43"/>
      <c r="E40" s="43"/>
      <c r="F40" s="43"/>
      <c r="G40" s="43"/>
      <c r="H40" s="43"/>
      <c r="I40" s="43"/>
      <c r="J40" s="44"/>
    </row>
    <row r="41" spans="1:10" ht="30" customHeight="1">
      <c r="A41" s="10"/>
      <c r="B41" s="36" t="s">
        <v>98</v>
      </c>
      <c r="C41" s="37"/>
      <c r="D41" s="37"/>
      <c r="E41" s="9">
        <v>5</v>
      </c>
      <c r="F41" s="19">
        <v>3.5</v>
      </c>
      <c r="G41" s="23">
        <f t="shared" si="0"/>
        <v>0.7</v>
      </c>
      <c r="H41" s="24" t="str">
        <f t="shared" si="1"/>
        <v>جيد</v>
      </c>
      <c r="I41" s="45"/>
      <c r="J41" s="46"/>
    </row>
    <row r="42" spans="1:10" ht="30" customHeight="1">
      <c r="A42" s="10"/>
      <c r="B42" s="36" t="s">
        <v>84</v>
      </c>
      <c r="C42" s="37"/>
      <c r="D42" s="37"/>
      <c r="E42" s="9">
        <v>5</v>
      </c>
      <c r="F42" s="19">
        <v>3.5</v>
      </c>
      <c r="G42" s="23">
        <f t="shared" si="0"/>
        <v>0.7</v>
      </c>
      <c r="H42" s="24" t="str">
        <f t="shared" si="1"/>
        <v>جيد</v>
      </c>
      <c r="I42" s="45"/>
      <c r="J42" s="46"/>
    </row>
    <row r="43" spans="1:10" ht="30" customHeight="1">
      <c r="A43" s="10"/>
      <c r="B43" s="36" t="s">
        <v>85</v>
      </c>
      <c r="C43" s="37"/>
      <c r="D43" s="37"/>
      <c r="E43" s="9">
        <v>5</v>
      </c>
      <c r="F43" s="19">
        <v>3.75</v>
      </c>
      <c r="G43" s="23">
        <f t="shared" si="0"/>
        <v>0.75</v>
      </c>
      <c r="H43" s="24" t="str">
        <f t="shared" si="1"/>
        <v>جيد</v>
      </c>
      <c r="I43" s="45"/>
      <c r="J43" s="46"/>
    </row>
    <row r="44" spans="1:10" ht="30" customHeight="1" thickBot="1">
      <c r="A44" s="10"/>
      <c r="B44" s="40" t="s">
        <v>99</v>
      </c>
      <c r="C44" s="41"/>
      <c r="D44" s="41"/>
      <c r="E44" s="25">
        <v>5</v>
      </c>
      <c r="F44" s="20">
        <v>3.75</v>
      </c>
      <c r="G44" s="26">
        <f t="shared" si="0"/>
        <v>0.75</v>
      </c>
      <c r="H44" s="27" t="str">
        <f t="shared" si="1"/>
        <v>جيد</v>
      </c>
      <c r="I44" s="47"/>
      <c r="J44" s="48"/>
    </row>
    <row r="45" spans="1:10" ht="30" customHeight="1" thickBot="1">
      <c r="A45" s="4"/>
      <c r="B45" s="70" t="s">
        <v>5</v>
      </c>
      <c r="C45" s="71"/>
      <c r="D45" s="71"/>
      <c r="E45" s="22">
        <f>SUM(E8:E44)</f>
        <v>155</v>
      </c>
      <c r="F45" s="22">
        <f>SUM(F8:F44)</f>
        <v>115.75</v>
      </c>
      <c r="G45" s="56"/>
      <c r="H45" s="57"/>
      <c r="I45" s="57"/>
      <c r="J45" s="58"/>
    </row>
    <row r="46" spans="1:10" ht="30" customHeight="1" thickBot="1">
      <c r="A46" s="4"/>
      <c r="B46" s="68" t="s">
        <v>54</v>
      </c>
      <c r="C46" s="69"/>
      <c r="D46" s="69"/>
      <c r="E46" s="65">
        <f>F45/E45/100*100</f>
        <v>0.74677419354838714</v>
      </c>
      <c r="F46" s="65"/>
      <c r="G46" s="65"/>
      <c r="H46" s="65"/>
      <c r="I46" s="65"/>
      <c r="J46" s="66"/>
    </row>
    <row r="47" spans="1:10" ht="30" customHeight="1" thickBot="1">
      <c r="A47" s="4"/>
      <c r="B47" s="68" t="s">
        <v>55</v>
      </c>
      <c r="C47" s="69"/>
      <c r="D47" s="69"/>
      <c r="E47" s="63" t="str">
        <f>_xlfn.IFS(E46&gt;=90%,"ممتاز",E46&gt;=80%,"جيد جداً",E46&gt;=70%,"جيد",E46&gt;=60%,"مقبول",E46&lt;60%,"راسب")</f>
        <v>جيد</v>
      </c>
      <c r="F47" s="63"/>
      <c r="G47" s="63"/>
      <c r="H47" s="63"/>
      <c r="I47" s="63"/>
      <c r="J47" s="64"/>
    </row>
    <row r="48" spans="1:10" ht="42" customHeight="1">
      <c r="B48" s="59" t="s">
        <v>63</v>
      </c>
      <c r="C48" s="59"/>
      <c r="D48" s="59"/>
      <c r="E48" s="55" t="s">
        <v>52</v>
      </c>
      <c r="F48" s="55"/>
      <c r="G48" s="61" t="s">
        <v>154</v>
      </c>
      <c r="H48" s="61"/>
      <c r="I48" s="61"/>
      <c r="J48" s="61"/>
    </row>
    <row r="49" spans="1:10" ht="51" customHeight="1">
      <c r="A49" s="5"/>
      <c r="B49" s="60"/>
      <c r="C49" s="60"/>
      <c r="D49" s="60"/>
      <c r="E49" s="67" t="s">
        <v>53</v>
      </c>
      <c r="F49" s="67"/>
      <c r="G49" s="62"/>
      <c r="H49" s="62"/>
      <c r="I49" s="62"/>
      <c r="J49" s="6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9">
    <mergeCell ref="B16:D16"/>
    <mergeCell ref="I37:J37"/>
    <mergeCell ref="I22:J22"/>
    <mergeCell ref="I16:J16"/>
    <mergeCell ref="I17:J17"/>
    <mergeCell ref="I18:J18"/>
    <mergeCell ref="I29:J29"/>
    <mergeCell ref="I27:J27"/>
    <mergeCell ref="I38:J38"/>
    <mergeCell ref="I31:J31"/>
    <mergeCell ref="B32:D32"/>
    <mergeCell ref="I32:J32"/>
    <mergeCell ref="I20:J20"/>
    <mergeCell ref="I21:J21"/>
    <mergeCell ref="B7:D7"/>
    <mergeCell ref="I39:J39"/>
    <mergeCell ref="B11:D11"/>
    <mergeCell ref="B12:D12"/>
    <mergeCell ref="B13:D13"/>
    <mergeCell ref="B15:D15"/>
    <mergeCell ref="B26:J26"/>
    <mergeCell ref="B8:J8"/>
    <mergeCell ref="B17:D17"/>
    <mergeCell ref="B18:D18"/>
    <mergeCell ref="B19:D19"/>
    <mergeCell ref="I23:J23"/>
    <mergeCell ref="I24:J24"/>
    <mergeCell ref="I7:J7"/>
    <mergeCell ref="I10:J10"/>
    <mergeCell ref="I19:J19"/>
    <mergeCell ref="I9:J9"/>
    <mergeCell ref="I11:J11"/>
    <mergeCell ref="I12:J12"/>
    <mergeCell ref="I13:J13"/>
    <mergeCell ref="I15:J15"/>
    <mergeCell ref="B14:J14"/>
    <mergeCell ref="B1:J1"/>
    <mergeCell ref="F2:J2"/>
    <mergeCell ref="B5:D6"/>
    <mergeCell ref="C2:D2"/>
    <mergeCell ref="C3:D3"/>
    <mergeCell ref="F3:J3"/>
    <mergeCell ref="E5:H5"/>
    <mergeCell ref="I5:J6"/>
    <mergeCell ref="E48:F48"/>
    <mergeCell ref="G45:J45"/>
    <mergeCell ref="B48:D49"/>
    <mergeCell ref="G48:J48"/>
    <mergeCell ref="G49:J49"/>
    <mergeCell ref="E47:J47"/>
    <mergeCell ref="E46:J46"/>
    <mergeCell ref="E49:F49"/>
    <mergeCell ref="B47:D47"/>
    <mergeCell ref="B45:D45"/>
    <mergeCell ref="B46:D46"/>
    <mergeCell ref="B36:J36"/>
    <mergeCell ref="B25:D25"/>
    <mergeCell ref="I34:J34"/>
    <mergeCell ref="I28:J28"/>
    <mergeCell ref="B35:D35"/>
    <mergeCell ref="I35:J35"/>
    <mergeCell ref="B33:D33"/>
    <mergeCell ref="I33:J33"/>
    <mergeCell ref="B34:D34"/>
    <mergeCell ref="B30:J30"/>
    <mergeCell ref="I25:J25"/>
    <mergeCell ref="B43:D43"/>
    <mergeCell ref="B44:D44"/>
    <mergeCell ref="B40:J40"/>
    <mergeCell ref="I41:J41"/>
    <mergeCell ref="I42:J42"/>
    <mergeCell ref="I43:J43"/>
    <mergeCell ref="I44:J44"/>
    <mergeCell ref="B9:D9"/>
    <mergeCell ref="B10:D10"/>
    <mergeCell ref="B41:D41"/>
    <mergeCell ref="B42:D42"/>
    <mergeCell ref="B20:D20"/>
    <mergeCell ref="B21:D21"/>
    <mergeCell ref="B22:D22"/>
    <mergeCell ref="B23:D23"/>
    <mergeCell ref="B24:D24"/>
    <mergeCell ref="B27:D27"/>
    <mergeCell ref="B28:D28"/>
    <mergeCell ref="B29:D29"/>
    <mergeCell ref="B39:D39"/>
    <mergeCell ref="B38:D38"/>
    <mergeCell ref="B31:D31"/>
    <mergeCell ref="B37:D37"/>
  </mergeCells>
  <conditionalFormatting sqref="C2:D2">
    <cfRule type="containsText" dxfId="30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9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7">
    <cfRule type="expression" dxfId="28" priority="71">
      <formula>$E47="راسب"</formula>
    </cfRule>
  </conditionalFormatting>
  <conditionalFormatting sqref="E47:J47">
    <cfRule type="expression" dxfId="27" priority="74">
      <formula>$E47="جيد جداً"</formula>
    </cfRule>
    <cfRule type="expression" dxfId="26" priority="73">
      <formula>$E47="جيد"</formula>
    </cfRule>
    <cfRule type="expression" dxfId="25" priority="72">
      <formula>$E47="مقبول"</formula>
    </cfRule>
    <cfRule type="expression" dxfId="24" priority="75">
      <formula>$E47="ممتاز"</formula>
    </cfRule>
  </conditionalFormatting>
  <conditionalFormatting sqref="F9:F13">
    <cfRule type="containsText" dxfId="23" priority="18" operator="containsText" text="أدخل العلامة">
      <formula>NOT(ISERROR(SEARCH("أدخل العلامة",F9)))</formula>
    </cfRule>
  </conditionalFormatting>
  <conditionalFormatting sqref="F15:F25 F27:F29 F41:F44">
    <cfRule type="containsText" dxfId="22" priority="28" operator="containsText" text="أدخل العلامة">
      <formula>NOT(ISERROR(SEARCH("أدخل العلامة",F15)))</formula>
    </cfRule>
  </conditionalFormatting>
  <conditionalFormatting sqref="F31:F35">
    <cfRule type="containsText" dxfId="21" priority="1" operator="containsText" text="أدخل العلامة">
      <formula>NOT(ISERROR(SEARCH("أدخل العلامة",F31)))</formula>
    </cfRule>
  </conditionalFormatting>
  <conditionalFormatting sqref="F2:J2">
    <cfRule type="containsText" dxfId="20" priority="33" operator="containsText" text="أدخل التاريخ">
      <formula>NOT(ISERROR(SEARCH("أدخل التاريخ",F2)))</formula>
    </cfRule>
  </conditionalFormatting>
  <conditionalFormatting sqref="F3:J3">
    <cfRule type="containsText" dxfId="19" priority="30" operator="containsText" text="أدخل أسم المحكم">
      <formula>NOT(ISERROR(SEARCH("أدخل أسم المحكم",F3)))</formula>
    </cfRule>
  </conditionalFormatting>
  <conditionalFormatting sqref="G48:J48">
    <cfRule type="containsText" dxfId="18" priority="29" operator="containsText" text="أدخل اسم المحكم">
      <formula>NOT(ISERROR(SEARCH("أدخل اسم المحكم",G48)))</formula>
    </cfRule>
  </conditionalFormatting>
  <conditionalFormatting sqref="H9:H13">
    <cfRule type="containsText" dxfId="17" priority="21" operator="containsText" text="جيد جداً">
      <formula>NOT(ISERROR(SEARCH("جيد جداً",H9)))</formula>
    </cfRule>
    <cfRule type="containsText" dxfId="16" priority="22" operator="containsText" text="جيد">
      <formula>NOT(ISERROR(SEARCH("جيد",H9)))</formula>
    </cfRule>
    <cfRule type="containsText" dxfId="15" priority="23" operator="containsText" text="مقبول">
      <formula>NOT(ISERROR(SEARCH("مقبول",H9)))</formula>
    </cfRule>
    <cfRule type="containsText" dxfId="14" priority="24" operator="containsText" text="راسب">
      <formula>NOT(ISERROR(SEARCH("راسب",H9)))</formula>
    </cfRule>
    <cfRule type="containsText" dxfId="13" priority="20" operator="containsText" text="ممتاز">
      <formula>NOT(ISERROR(SEARCH("ممتاز",H9)))</formula>
    </cfRule>
    <cfRule type="containsText" dxfId="12" priority="19" operator="containsText" text="أدخل العلامة">
      <formula>NOT(ISERROR(SEARCH("أدخل العلامة",H9)))</formula>
    </cfRule>
  </conditionalFormatting>
  <conditionalFormatting sqref="H15:H25 H27:H29 F37:F39 H37:H39 H41:H44">
    <cfRule type="containsText" dxfId="11" priority="52" operator="containsText" text="أدخل العلامة">
      <formula>NOT(ISERROR(SEARCH("أدخل العلامة",F15)))</formula>
    </cfRule>
  </conditionalFormatting>
  <conditionalFormatting sqref="H15:H25 H27:H29 H37:H39 H41:H44">
    <cfRule type="containsText" dxfId="10" priority="53" operator="containsText" text="ممتاز">
      <formula>NOT(ISERROR(SEARCH("ممتاز",H15)))</formula>
    </cfRule>
    <cfRule type="containsText" dxfId="9" priority="54" operator="containsText" text="جيد جداً">
      <formula>NOT(ISERROR(SEARCH("جيد جداً",H15)))</formula>
    </cfRule>
    <cfRule type="containsText" dxfId="8" priority="55" operator="containsText" text="جيد">
      <formula>NOT(ISERROR(SEARCH("جيد",H15)))</formula>
    </cfRule>
    <cfRule type="containsText" dxfId="7" priority="56" operator="containsText" text="مقبول">
      <formula>NOT(ISERROR(SEARCH("مقبول",H15)))</formula>
    </cfRule>
    <cfRule type="containsText" dxfId="6" priority="57" operator="containsText" text="راسب">
      <formula>NOT(ISERROR(SEARCH("راسب",H15)))</formula>
    </cfRule>
  </conditionalFormatting>
  <conditionalFormatting sqref="H31:H35">
    <cfRule type="containsText" dxfId="5" priority="7" operator="containsText" text="راسب">
      <formula>NOT(ISERROR(SEARCH("راسب",H31)))</formula>
    </cfRule>
    <cfRule type="containsText" dxfId="4" priority="6" operator="containsText" text="مقبول">
      <formula>NOT(ISERROR(SEARCH("مقبول",H31)))</formula>
    </cfRule>
    <cfRule type="containsText" dxfId="3" priority="5" operator="containsText" text="جيد">
      <formula>NOT(ISERROR(SEARCH("جيد",H31)))</formula>
    </cfRule>
    <cfRule type="containsText" dxfId="2" priority="4" operator="containsText" text="جيد جداً">
      <formula>NOT(ISERROR(SEARCH("جيد جداً",H31)))</formula>
    </cfRule>
    <cfRule type="containsText" dxfId="1" priority="3" operator="containsText" text="ممتاز">
      <formula>NOT(ISERROR(SEARCH("ممتاز",H31)))</formula>
    </cfRule>
    <cfRule type="containsText" dxfId="0" priority="2" operator="containsText" text="أدخل العلامة">
      <formula>NOT(ISERROR(SEARCH("أدخل العلامة",H31)))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F15:F24 F41:F44 F10:F13 F37:F39 F27:F29 F31:F35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G48:J48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8DDECF36-2459-4895-B585-8FAEFEA4BC26}">
          <x14:formula1>
            <xm:f>'بيانات التقييم'!$A$111:$A$153</xm:f>
          </x14:formula1>
          <xm:sqref>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6" workbookViewId="0">
      <selection activeCell="A199" sqref="A199:A286"/>
    </sheetView>
  </sheetViews>
  <sheetFormatPr defaultRowHeight="20.100000000000001" customHeight="1"/>
  <cols>
    <col min="1" max="1" width="42.5390625" style="1" customWidth="1"/>
    <col min="2" max="2" width="24.88671875" style="1" customWidth="1"/>
    <col min="3" max="3" width="59.82421875" style="1" customWidth="1"/>
    <col min="4" max="9" width="8.9492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9" t="s">
        <v>100</v>
      </c>
    </row>
    <row r="3" spans="1:3" ht="20.100000000000001" customHeight="1" thickBot="1">
      <c r="A3" s="2" t="s">
        <v>26</v>
      </c>
      <c r="C3" s="29" t="s">
        <v>101</v>
      </c>
    </row>
    <row r="4" spans="1:3" ht="20.100000000000001" customHeight="1" thickBot="1">
      <c r="A4" s="2" t="s">
        <v>36</v>
      </c>
      <c r="C4" s="29" t="s">
        <v>102</v>
      </c>
    </row>
    <row r="5" spans="1:3" ht="20.100000000000001" customHeight="1" thickBot="1">
      <c r="A5" s="2" t="s">
        <v>37</v>
      </c>
      <c r="C5" s="29" t="s">
        <v>103</v>
      </c>
    </row>
    <row r="6" spans="1:3" ht="20.100000000000001" customHeight="1" thickBot="1">
      <c r="A6" s="2" t="s">
        <v>38</v>
      </c>
      <c r="C6" s="29" t="s">
        <v>104</v>
      </c>
    </row>
    <row r="7" spans="1:3" ht="20.100000000000001" customHeight="1" thickBot="1">
      <c r="A7" s="2" t="s">
        <v>39</v>
      </c>
      <c r="C7" s="29" t="s">
        <v>105</v>
      </c>
    </row>
    <row r="8" spans="1:3" ht="20.100000000000001" customHeight="1" thickBot="1">
      <c r="A8" s="2" t="s">
        <v>40</v>
      </c>
      <c r="C8" s="29" t="s">
        <v>106</v>
      </c>
    </row>
    <row r="9" spans="1:3" ht="20.100000000000001" customHeight="1" thickBot="1">
      <c r="A9" s="2" t="s">
        <v>41</v>
      </c>
      <c r="C9" s="29" t="s">
        <v>107</v>
      </c>
    </row>
    <row r="10" spans="1:3" ht="20.100000000000001" customHeight="1" thickBot="1">
      <c r="A10" s="2" t="s">
        <v>42</v>
      </c>
      <c r="C10" s="29" t="s">
        <v>108</v>
      </c>
    </row>
    <row r="11" spans="1:3" ht="20.100000000000001" customHeight="1" thickBot="1">
      <c r="A11" s="2" t="s">
        <v>43</v>
      </c>
      <c r="C11" s="29" t="s">
        <v>109</v>
      </c>
    </row>
    <row r="12" spans="1:3" ht="20.100000000000001" customHeight="1" thickBot="1">
      <c r="A12" s="2" t="s">
        <v>44</v>
      </c>
      <c r="C12" s="29" t="s">
        <v>110</v>
      </c>
    </row>
    <row r="13" spans="1:3" ht="20.100000000000001" customHeight="1" thickBot="1">
      <c r="A13" s="2" t="s">
        <v>45</v>
      </c>
      <c r="C13" s="29" t="s">
        <v>111</v>
      </c>
    </row>
    <row r="14" spans="1:3" ht="20.100000000000001" customHeight="1" thickBot="1">
      <c r="A14" s="2" t="s">
        <v>46</v>
      </c>
      <c r="C14" s="29" t="s">
        <v>112</v>
      </c>
    </row>
    <row r="15" spans="1:3" ht="20.100000000000001" customHeight="1" thickBot="1">
      <c r="A15" s="2" t="s">
        <v>47</v>
      </c>
      <c r="C15" s="29" t="s">
        <v>113</v>
      </c>
    </row>
    <row r="16" spans="1:3" ht="20.100000000000001" customHeight="1" thickBot="1">
      <c r="A16" s="2" t="s">
        <v>10</v>
      </c>
      <c r="C16" s="29" t="s">
        <v>114</v>
      </c>
    </row>
    <row r="17" spans="1:3" ht="20.100000000000001" customHeight="1" thickBot="1">
      <c r="A17" s="2" t="s">
        <v>27</v>
      </c>
      <c r="C17" s="29" t="s">
        <v>115</v>
      </c>
    </row>
    <row r="18" spans="1:3" ht="20.100000000000001" customHeight="1" thickBot="1">
      <c r="A18" s="2" t="s">
        <v>48</v>
      </c>
      <c r="C18" s="29" t="s">
        <v>116</v>
      </c>
    </row>
    <row r="19" spans="1:3" ht="20.100000000000001" customHeight="1" thickBot="1">
      <c r="A19" s="2" t="s">
        <v>49</v>
      </c>
      <c r="C19" s="29" t="s">
        <v>117</v>
      </c>
    </row>
    <row r="20" spans="1:3" ht="20.100000000000001" customHeight="1" thickBot="1">
      <c r="A20" s="2" t="s">
        <v>50</v>
      </c>
      <c r="C20" s="29" t="s">
        <v>118</v>
      </c>
    </row>
    <row r="21" spans="1:3" ht="20.100000000000001" customHeight="1" thickBot="1">
      <c r="A21" s="2" t="s">
        <v>51</v>
      </c>
      <c r="C21" s="29" t="s">
        <v>119</v>
      </c>
    </row>
    <row r="22" spans="1:3" ht="20.100000000000001" customHeight="1" thickBot="1">
      <c r="A22" s="2" t="s">
        <v>11</v>
      </c>
      <c r="C22" s="29" t="s">
        <v>120</v>
      </c>
    </row>
    <row r="23" spans="1:3" ht="20.100000000000001" customHeight="1" thickBot="1">
      <c r="A23" s="2" t="s">
        <v>12</v>
      </c>
      <c r="C23" s="29" t="s">
        <v>121</v>
      </c>
    </row>
    <row r="24" spans="1:3" ht="20.100000000000001" customHeight="1" thickBot="1">
      <c r="A24" s="2" t="s">
        <v>15</v>
      </c>
      <c r="C24" s="29" t="s">
        <v>122</v>
      </c>
    </row>
    <row r="25" spans="1:3" ht="20.100000000000001" customHeight="1" thickBot="1">
      <c r="A25" s="2" t="s">
        <v>28</v>
      </c>
      <c r="C25" s="29" t="s">
        <v>123</v>
      </c>
    </row>
    <row r="26" spans="1:3" ht="20.100000000000001" customHeight="1" thickBot="1">
      <c r="A26" s="2" t="s">
        <v>29</v>
      </c>
      <c r="C26" s="29" t="s">
        <v>124</v>
      </c>
    </row>
    <row r="27" spans="1:3" ht="20.100000000000001" customHeight="1" thickBot="1">
      <c r="A27" s="2" t="s">
        <v>13</v>
      </c>
      <c r="C27" s="29" t="s">
        <v>125</v>
      </c>
    </row>
    <row r="28" spans="1:3" ht="20.100000000000001" customHeight="1" thickBot="1">
      <c r="A28" s="2" t="s">
        <v>30</v>
      </c>
      <c r="C28" s="29" t="s">
        <v>126</v>
      </c>
    </row>
    <row r="29" spans="1:3" ht="20.100000000000001" customHeight="1" thickBot="1">
      <c r="A29" s="2" t="s">
        <v>31</v>
      </c>
      <c r="C29" s="2" t="s">
        <v>61</v>
      </c>
    </row>
    <row r="30" spans="1:3" ht="20.100000000000001" customHeight="1" thickBot="1">
      <c r="A30" s="2" t="s">
        <v>32</v>
      </c>
      <c r="C30" s="2" t="s">
        <v>61</v>
      </c>
    </row>
    <row r="31" spans="1:3" ht="20.100000000000001" customHeight="1" thickBot="1">
      <c r="A31" s="2" t="s">
        <v>33</v>
      </c>
      <c r="C31" s="2" t="s">
        <v>61</v>
      </c>
    </row>
    <row r="32" spans="1:3" ht="20.100000000000001" customHeight="1" thickBot="1">
      <c r="A32" s="2" t="s">
        <v>16</v>
      </c>
      <c r="C32" s="2" t="s">
        <v>61</v>
      </c>
    </row>
    <row r="33" spans="1:9" ht="20.100000000000001" customHeight="1" thickBot="1">
      <c r="A33" s="2" t="s">
        <v>14</v>
      </c>
      <c r="C33" s="2" t="s">
        <v>61</v>
      </c>
    </row>
    <row r="34" spans="1:9" ht="20.100000000000001" customHeight="1" thickBot="1">
      <c r="A34" s="2" t="s">
        <v>34</v>
      </c>
      <c r="C34" s="2" t="s">
        <v>61</v>
      </c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45901</v>
      </c>
    </row>
    <row r="40" spans="1:9" ht="20.100000000000001" customHeight="1" thickBot="1">
      <c r="A40" s="13">
        <v>45902</v>
      </c>
    </row>
    <row r="41" spans="1:9" ht="20.100000000000001" customHeight="1" thickBot="1">
      <c r="A41" s="13">
        <v>45903</v>
      </c>
    </row>
    <row r="42" spans="1:9" ht="20.100000000000001" customHeight="1" thickBot="1">
      <c r="A42" s="13">
        <v>45904</v>
      </c>
    </row>
    <row r="43" spans="1:9" ht="20.100000000000001" customHeight="1" thickBot="1">
      <c r="A43" s="13">
        <v>45905</v>
      </c>
    </row>
    <row r="44" spans="1:9" ht="20.100000000000001" customHeight="1" thickBot="1">
      <c r="A44" s="13">
        <v>45906</v>
      </c>
    </row>
    <row r="45" spans="1:9" ht="20.100000000000001" customHeight="1" thickBot="1">
      <c r="A45" s="13">
        <v>45907</v>
      </c>
    </row>
    <row r="46" spans="1:9" ht="20.100000000000001" customHeight="1" thickBot="1">
      <c r="A46" s="13">
        <v>45908</v>
      </c>
    </row>
    <row r="47" spans="1:9" ht="20.100000000000001" customHeight="1" thickBot="1">
      <c r="A47" s="13">
        <v>45909</v>
      </c>
    </row>
    <row r="48" spans="1:9" ht="20.100000000000001" customHeight="1" thickBot="1">
      <c r="A48" s="13">
        <v>45910</v>
      </c>
    </row>
    <row r="49" spans="1:1" ht="20.100000000000001" customHeight="1" thickBot="1">
      <c r="A49" s="13">
        <v>45911</v>
      </c>
    </row>
    <row r="50" spans="1:1" ht="20.100000000000001" customHeight="1" thickBot="1">
      <c r="A50" s="13">
        <v>45912</v>
      </c>
    </row>
    <row r="51" spans="1:1" ht="20.100000000000001" customHeight="1" thickBot="1">
      <c r="A51" s="13">
        <v>45913</v>
      </c>
    </row>
    <row r="52" spans="1:1" ht="20.100000000000001" customHeight="1" thickBot="1">
      <c r="A52" s="13">
        <v>45914</v>
      </c>
    </row>
    <row r="53" spans="1:1" ht="20.100000000000001" customHeight="1" thickBot="1">
      <c r="A53" s="13">
        <v>45915</v>
      </c>
    </row>
    <row r="54" spans="1:1" ht="20.100000000000001" customHeight="1" thickBot="1">
      <c r="A54" s="13">
        <v>45916</v>
      </c>
    </row>
    <row r="55" spans="1:1" ht="20.100000000000001" customHeight="1" thickBot="1">
      <c r="A55" s="13">
        <v>45917</v>
      </c>
    </row>
    <row r="56" spans="1:1" ht="20.100000000000001" customHeight="1" thickBot="1">
      <c r="A56" s="13">
        <v>45918</v>
      </c>
    </row>
    <row r="57" spans="1:1" ht="20.100000000000001" customHeight="1" thickBot="1">
      <c r="A57" s="13">
        <v>45919</v>
      </c>
    </row>
    <row r="58" spans="1:1" ht="20.100000000000001" customHeight="1" thickBot="1">
      <c r="A58" s="13">
        <v>45920</v>
      </c>
    </row>
    <row r="59" spans="1:1" ht="20.100000000000001" customHeight="1" thickBot="1">
      <c r="A59" s="13">
        <v>45921</v>
      </c>
    </row>
    <row r="60" spans="1:1" ht="20.100000000000001" customHeight="1" thickBot="1">
      <c r="A60" s="13">
        <v>45922</v>
      </c>
    </row>
    <row r="61" spans="1:1" ht="20.100000000000001" customHeight="1" thickBot="1">
      <c r="A61" s="13">
        <v>45923</v>
      </c>
    </row>
    <row r="62" spans="1:1" ht="20.100000000000001" customHeight="1" thickBot="1">
      <c r="A62" s="13">
        <v>45924</v>
      </c>
    </row>
    <row r="63" spans="1:1" ht="20.100000000000001" customHeight="1" thickBot="1">
      <c r="A63" s="13">
        <v>45925</v>
      </c>
    </row>
    <row r="64" spans="1:1" ht="20.100000000000001" customHeight="1" thickBot="1">
      <c r="A64" s="13">
        <v>45926</v>
      </c>
    </row>
    <row r="65" spans="1:1" ht="20.100000000000001" customHeight="1" thickBot="1">
      <c r="A65" s="13">
        <v>45927</v>
      </c>
    </row>
    <row r="66" spans="1:1" ht="20.100000000000001" customHeight="1" thickBot="1">
      <c r="A66" s="13">
        <v>45928</v>
      </c>
    </row>
    <row r="67" spans="1:1" ht="20.100000000000001" customHeight="1" thickBot="1">
      <c r="A67" s="13">
        <v>45929</v>
      </c>
    </row>
    <row r="68" spans="1:1" ht="20.100000000000001" customHeight="1" thickBot="1">
      <c r="A68" s="13">
        <v>45930</v>
      </c>
    </row>
    <row r="69" spans="1:1" ht="20.100000000000001" customHeight="1" thickBot="1">
      <c r="A69" s="13">
        <v>45931</v>
      </c>
    </row>
    <row r="70" spans="1:1" ht="20.100000000000001" customHeight="1" thickBot="1">
      <c r="A70" s="13">
        <v>45932</v>
      </c>
    </row>
    <row r="71" spans="1:1" ht="20.100000000000001" customHeight="1" thickBot="1">
      <c r="A71" s="13">
        <v>45933</v>
      </c>
    </row>
    <row r="72" spans="1:1" ht="20.100000000000001" customHeight="1" thickBot="1">
      <c r="A72" s="13">
        <v>45934</v>
      </c>
    </row>
    <row r="73" spans="1:1" ht="20.100000000000001" customHeight="1" thickBot="1">
      <c r="A73" s="13">
        <v>45935</v>
      </c>
    </row>
    <row r="74" spans="1:1" ht="20.100000000000001" customHeight="1" thickBot="1">
      <c r="A74" s="13">
        <v>45936</v>
      </c>
    </row>
    <row r="75" spans="1:1" ht="20.100000000000001" customHeight="1" thickBot="1">
      <c r="A75" s="13">
        <v>45937</v>
      </c>
    </row>
    <row r="76" spans="1:1" ht="20.100000000000001" customHeight="1" thickBot="1">
      <c r="A76" s="13">
        <v>45938</v>
      </c>
    </row>
    <row r="77" spans="1:1" ht="20.100000000000001" customHeight="1" thickBot="1">
      <c r="A77" s="13">
        <v>45939</v>
      </c>
    </row>
    <row r="78" spans="1:1" ht="20.100000000000001" customHeight="1" thickBot="1">
      <c r="A78" s="13">
        <v>45940</v>
      </c>
    </row>
    <row r="79" spans="1:1" ht="20.100000000000001" customHeight="1" thickBot="1">
      <c r="A79" s="13">
        <v>45941</v>
      </c>
    </row>
    <row r="80" spans="1:1" ht="20.100000000000001" customHeight="1" thickBot="1">
      <c r="A80" s="13">
        <v>45942</v>
      </c>
    </row>
    <row r="81" spans="1:1" ht="20.100000000000001" customHeight="1" thickBot="1">
      <c r="A81" s="13">
        <v>45943</v>
      </c>
    </row>
    <row r="82" spans="1:1" ht="20.100000000000001" customHeight="1" thickBot="1">
      <c r="A82" s="13">
        <v>45944</v>
      </c>
    </row>
    <row r="83" spans="1:1" ht="20.100000000000001" customHeight="1" thickBot="1">
      <c r="A83" s="13">
        <v>45945</v>
      </c>
    </row>
    <row r="84" spans="1:1" ht="20.100000000000001" customHeight="1" thickBot="1">
      <c r="A84" s="13">
        <v>45946</v>
      </c>
    </row>
    <row r="85" spans="1:1" ht="20.100000000000001" customHeight="1" thickBot="1">
      <c r="A85" s="13">
        <v>45947</v>
      </c>
    </row>
    <row r="86" spans="1:1" ht="20.100000000000001" customHeight="1" thickBot="1">
      <c r="A86" s="13">
        <v>45948</v>
      </c>
    </row>
    <row r="87" spans="1:1" ht="20.100000000000001" customHeight="1" thickBot="1">
      <c r="A87" s="13">
        <v>45949</v>
      </c>
    </row>
    <row r="88" spans="1:1" ht="20.100000000000001" customHeight="1" thickBot="1">
      <c r="A88" s="13">
        <v>45950</v>
      </c>
    </row>
    <row r="89" spans="1:1" ht="20.100000000000001" customHeight="1" thickBot="1">
      <c r="A89" s="13">
        <v>45951</v>
      </c>
    </row>
    <row r="90" spans="1:1" ht="20.100000000000001" customHeight="1" thickBot="1">
      <c r="A90" s="13">
        <v>45952</v>
      </c>
    </row>
    <row r="91" spans="1:1" ht="20.100000000000001" customHeight="1" thickBot="1">
      <c r="A91" s="13">
        <v>45953</v>
      </c>
    </row>
    <row r="92" spans="1:1" ht="20.100000000000001" customHeight="1" thickBot="1">
      <c r="A92" s="13">
        <v>45954</v>
      </c>
    </row>
    <row r="93" spans="1:1" ht="20.100000000000001" customHeight="1" thickBot="1">
      <c r="A93" s="13">
        <v>45955</v>
      </c>
    </row>
    <row r="94" spans="1:1" ht="20.100000000000001" customHeight="1" thickBot="1">
      <c r="A94" s="13">
        <v>45956</v>
      </c>
    </row>
    <row r="95" spans="1:1" ht="20.100000000000001" customHeight="1" thickBot="1">
      <c r="A95" s="13">
        <v>45957</v>
      </c>
    </row>
    <row r="96" spans="1:1" ht="20.100000000000001" customHeight="1" thickBot="1">
      <c r="A96" s="13">
        <v>45958</v>
      </c>
    </row>
    <row r="97" spans="1:9" ht="20.100000000000001" customHeight="1" thickBot="1">
      <c r="A97" s="13">
        <v>45959</v>
      </c>
    </row>
    <row r="98" spans="1:9" ht="20.100000000000001" customHeight="1" thickBot="1">
      <c r="A98" s="13">
        <v>45960</v>
      </c>
    </row>
    <row r="99" spans="1:9" ht="20.100000000000001" customHeight="1" thickBot="1">
      <c r="A99" s="13">
        <v>45961</v>
      </c>
    </row>
    <row r="100" spans="1:9" ht="20.100000000000001" customHeight="1" thickBot="1">
      <c r="A100" s="13">
        <v>45962</v>
      </c>
    </row>
    <row r="101" spans="1:9" ht="20.100000000000001" customHeight="1" thickBot="1">
      <c r="A101" s="13">
        <v>45963</v>
      </c>
    </row>
    <row r="102" spans="1:9" ht="20.100000000000001" customHeight="1" thickBot="1">
      <c r="A102" s="13">
        <v>45964</v>
      </c>
    </row>
    <row r="103" spans="1:9" ht="20.100000000000001" customHeight="1" thickBot="1">
      <c r="A103" s="13">
        <v>45965</v>
      </c>
    </row>
    <row r="104" spans="1:9" ht="20.100000000000001" customHeight="1" thickBot="1">
      <c r="A104" s="13">
        <v>45966</v>
      </c>
    </row>
    <row r="105" spans="1:9" ht="20.100000000000001" customHeight="1" thickBot="1">
      <c r="A105" s="13">
        <v>45967</v>
      </c>
    </row>
    <row r="106" spans="1:9" ht="20.100000000000001" customHeight="1" thickBot="1">
      <c r="A106" s="13">
        <v>45968</v>
      </c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62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30" t="s">
        <v>127</v>
      </c>
    </row>
    <row r="200" spans="1:1" ht="20.100000000000001" customHeight="1">
      <c r="A200" s="30" t="s">
        <v>128</v>
      </c>
    </row>
    <row r="201" spans="1:1" ht="20.100000000000001" customHeight="1">
      <c r="A201" s="30" t="s">
        <v>129</v>
      </c>
    </row>
    <row r="202" spans="1:1" ht="20.100000000000001" customHeight="1">
      <c r="A202" s="30" t="s">
        <v>130</v>
      </c>
    </row>
    <row r="203" spans="1:1" ht="20.100000000000001" customHeight="1">
      <c r="A203" s="30" t="s">
        <v>131</v>
      </c>
    </row>
    <row r="204" spans="1:1" ht="20.100000000000001" customHeight="1">
      <c r="A204" s="30" t="s">
        <v>132</v>
      </c>
    </row>
    <row r="205" spans="1:1" ht="20.100000000000001" customHeight="1">
      <c r="A205" s="30" t="s">
        <v>133</v>
      </c>
    </row>
    <row r="206" spans="1:1" ht="20.100000000000001" customHeight="1">
      <c r="A206" s="30" t="s">
        <v>134</v>
      </c>
    </row>
    <row r="207" spans="1:1" ht="20.100000000000001" customHeight="1">
      <c r="A207" s="30" t="s">
        <v>135</v>
      </c>
    </row>
    <row r="208" spans="1:1" ht="20.100000000000001" customHeight="1">
      <c r="A208" s="31" t="s">
        <v>136</v>
      </c>
    </row>
    <row r="209" spans="1:1" ht="20.100000000000001" customHeight="1">
      <c r="A209" s="31" t="s">
        <v>137</v>
      </c>
    </row>
    <row r="210" spans="1:1" ht="20.100000000000001" customHeight="1">
      <c r="A210" s="30" t="s">
        <v>138</v>
      </c>
    </row>
    <row r="211" spans="1:1" ht="20.100000000000001" customHeight="1">
      <c r="A211" s="30" t="s">
        <v>139</v>
      </c>
    </row>
    <row r="212" spans="1:1" ht="20.100000000000001" customHeight="1">
      <c r="A212" s="30" t="s">
        <v>140</v>
      </c>
    </row>
    <row r="213" spans="1:1" ht="20.100000000000001" customHeight="1">
      <c r="A213" s="30" t="s">
        <v>141</v>
      </c>
    </row>
    <row r="214" spans="1:1" ht="20.100000000000001" customHeight="1">
      <c r="A214" s="30" t="s">
        <v>142</v>
      </c>
    </row>
    <row r="215" spans="1:1" ht="20.100000000000001" customHeight="1">
      <c r="A215" s="30" t="s">
        <v>143</v>
      </c>
    </row>
    <row r="216" spans="1:1" ht="20.100000000000001" customHeight="1">
      <c r="A216" s="30" t="s">
        <v>144</v>
      </c>
    </row>
    <row r="217" spans="1:1" ht="20.100000000000001" customHeight="1">
      <c r="A217" s="30" t="s">
        <v>145</v>
      </c>
    </row>
    <row r="218" spans="1:1" ht="20.100000000000001" customHeight="1">
      <c r="A218" s="30" t="s">
        <v>146</v>
      </c>
    </row>
    <row r="219" spans="1:1" ht="20.100000000000001" customHeight="1">
      <c r="A219" s="30" t="s">
        <v>147</v>
      </c>
    </row>
    <row r="220" spans="1:1" ht="20.100000000000001" customHeight="1">
      <c r="A220" s="30" t="s">
        <v>148</v>
      </c>
    </row>
    <row r="221" spans="1:1" ht="20.100000000000001" customHeight="1">
      <c r="A221" s="30" t="s">
        <v>149</v>
      </c>
    </row>
    <row r="222" spans="1:1" ht="20.100000000000001" customHeight="1">
      <c r="A222" s="30" t="s">
        <v>150</v>
      </c>
    </row>
    <row r="223" spans="1:1" ht="20.100000000000001" customHeight="1">
      <c r="A223" s="30" t="s">
        <v>151</v>
      </c>
    </row>
    <row r="224" spans="1:1" ht="20.100000000000001" customHeight="1">
      <c r="A224" s="30" t="s">
        <v>152</v>
      </c>
    </row>
    <row r="225" spans="1:1" ht="20.100000000000001" customHeight="1">
      <c r="A225" s="30" t="s">
        <v>153</v>
      </c>
    </row>
    <row r="226" spans="1:1" ht="20.100000000000001" customHeight="1">
      <c r="A226" s="30" t="s">
        <v>154</v>
      </c>
    </row>
    <row r="227" spans="1:1" ht="20.100000000000001" customHeight="1">
      <c r="A227" s="30" t="s">
        <v>155</v>
      </c>
    </row>
    <row r="228" spans="1:1" ht="20.100000000000001" customHeight="1">
      <c r="A228" s="30" t="s">
        <v>156</v>
      </c>
    </row>
    <row r="229" spans="1:1" ht="20.100000000000001" customHeight="1">
      <c r="A229" s="30" t="s">
        <v>157</v>
      </c>
    </row>
    <row r="230" spans="1:1" ht="20.100000000000001" customHeight="1">
      <c r="A230" s="30" t="s">
        <v>158</v>
      </c>
    </row>
    <row r="231" spans="1:1" ht="20.100000000000001" customHeight="1">
      <c r="A231" s="30" t="s">
        <v>159</v>
      </c>
    </row>
    <row r="232" spans="1:1" ht="20.100000000000001" customHeight="1">
      <c r="A232" s="30" t="s">
        <v>160</v>
      </c>
    </row>
    <row r="233" spans="1:1" ht="20.100000000000001" customHeight="1">
      <c r="A233" s="30" t="s">
        <v>161</v>
      </c>
    </row>
    <row r="234" spans="1:1" ht="20.100000000000001" customHeight="1">
      <c r="A234" s="30" t="s">
        <v>162</v>
      </c>
    </row>
    <row r="235" spans="1:1" ht="20.100000000000001" customHeight="1">
      <c r="A235" s="32" t="s">
        <v>163</v>
      </c>
    </row>
    <row r="236" spans="1:1" ht="20.100000000000001" customHeight="1">
      <c r="A236" s="30" t="s">
        <v>164</v>
      </c>
    </row>
    <row r="237" spans="1:1" ht="20.100000000000001" customHeight="1">
      <c r="A237" s="30" t="s">
        <v>165</v>
      </c>
    </row>
    <row r="238" spans="1:1" ht="20.100000000000001" customHeight="1">
      <c r="A238" s="30" t="s">
        <v>166</v>
      </c>
    </row>
    <row r="239" spans="1:1" ht="20.100000000000001" customHeight="1">
      <c r="A239" s="30" t="s">
        <v>167</v>
      </c>
    </row>
    <row r="240" spans="1:1" ht="20.100000000000001" customHeight="1">
      <c r="A240" s="30" t="s">
        <v>168</v>
      </c>
    </row>
    <row r="241" spans="1:1" ht="20.100000000000001" customHeight="1">
      <c r="A241" s="30" t="s">
        <v>169</v>
      </c>
    </row>
    <row r="242" spans="1:1" ht="20.100000000000001" customHeight="1">
      <c r="A242" s="30" t="s">
        <v>170</v>
      </c>
    </row>
    <row r="243" spans="1:1" ht="20.100000000000001" customHeight="1">
      <c r="A243" s="30" t="s">
        <v>171</v>
      </c>
    </row>
    <row r="244" spans="1:1" ht="20.100000000000001" customHeight="1">
      <c r="A244" s="30" t="s">
        <v>172</v>
      </c>
    </row>
    <row r="245" spans="1:1" ht="20.100000000000001" customHeight="1">
      <c r="A245" s="30" t="s">
        <v>173</v>
      </c>
    </row>
    <row r="246" spans="1:1" ht="20.100000000000001" customHeight="1">
      <c r="A246" s="30" t="s">
        <v>174</v>
      </c>
    </row>
    <row r="247" spans="1:1" ht="20.100000000000001" customHeight="1">
      <c r="A247" s="30" t="s">
        <v>165</v>
      </c>
    </row>
    <row r="248" spans="1:1" ht="20.100000000000001" customHeight="1">
      <c r="A248" s="30" t="s">
        <v>175</v>
      </c>
    </row>
    <row r="249" spans="1:1" ht="20.100000000000001" customHeight="1">
      <c r="A249" s="30" t="s">
        <v>176</v>
      </c>
    </row>
    <row r="250" spans="1:1" ht="20.100000000000001" customHeight="1">
      <c r="A250" s="32" t="s">
        <v>177</v>
      </c>
    </row>
    <row r="251" spans="1:1" ht="20.100000000000001" customHeight="1">
      <c r="A251" s="33" t="s">
        <v>178</v>
      </c>
    </row>
    <row r="252" spans="1:1" ht="20.100000000000001" customHeight="1">
      <c r="A252" s="30" t="s">
        <v>179</v>
      </c>
    </row>
    <row r="253" spans="1:1" ht="20.100000000000001" customHeight="1">
      <c r="A253" s="30" t="s">
        <v>180</v>
      </c>
    </row>
    <row r="254" spans="1:1" ht="20.100000000000001" customHeight="1">
      <c r="A254" s="34" t="s">
        <v>181</v>
      </c>
    </row>
    <row r="255" spans="1:1" ht="20.100000000000001" customHeight="1">
      <c r="A255" s="34" t="s">
        <v>182</v>
      </c>
    </row>
    <row r="256" spans="1:1" ht="20.100000000000001" customHeight="1">
      <c r="A256" s="35" t="s">
        <v>183</v>
      </c>
    </row>
    <row r="257" spans="1:1" ht="20.100000000000001" customHeight="1">
      <c r="A257" s="30" t="s">
        <v>184</v>
      </c>
    </row>
    <row r="258" spans="1:1" ht="20.100000000000001" customHeight="1">
      <c r="A258" s="35" t="s">
        <v>185</v>
      </c>
    </row>
    <row r="259" spans="1:1" ht="20.100000000000001" customHeight="1">
      <c r="A259" s="30" t="s">
        <v>186</v>
      </c>
    </row>
    <row r="260" spans="1:1" ht="20.100000000000001" customHeight="1">
      <c r="A260" s="35" t="s">
        <v>187</v>
      </c>
    </row>
    <row r="261" spans="1:1" ht="20.100000000000001" customHeight="1">
      <c r="A261" s="30" t="s">
        <v>188</v>
      </c>
    </row>
    <row r="262" spans="1:1" ht="20.100000000000001" customHeight="1">
      <c r="A262" s="30" t="s">
        <v>189</v>
      </c>
    </row>
    <row r="263" spans="1:1" ht="20.100000000000001" customHeight="1">
      <c r="A263" s="35" t="s">
        <v>190</v>
      </c>
    </row>
    <row r="264" spans="1:1" ht="20.100000000000001" customHeight="1">
      <c r="A264" s="35" t="s">
        <v>191</v>
      </c>
    </row>
    <row r="265" spans="1:1" ht="20.100000000000001" customHeight="1">
      <c r="A265" s="35" t="s">
        <v>192</v>
      </c>
    </row>
    <row r="266" spans="1:1" ht="20.100000000000001" customHeight="1">
      <c r="A266" s="30" t="s">
        <v>193</v>
      </c>
    </row>
    <row r="267" spans="1:1" ht="20.100000000000001" customHeight="1">
      <c r="A267" s="30" t="s">
        <v>194</v>
      </c>
    </row>
    <row r="268" spans="1:1" ht="20.100000000000001" customHeight="1">
      <c r="A268" s="30" t="s">
        <v>195</v>
      </c>
    </row>
    <row r="269" spans="1:1" ht="20.100000000000001" customHeight="1">
      <c r="A269" s="30" t="s">
        <v>196</v>
      </c>
    </row>
    <row r="270" spans="1:1" ht="20.100000000000001" customHeight="1">
      <c r="A270" s="35" t="s">
        <v>197</v>
      </c>
    </row>
    <row r="271" spans="1:1" ht="20.100000000000001" customHeight="1">
      <c r="A271" s="35" t="s">
        <v>198</v>
      </c>
    </row>
    <row r="272" spans="1:1" ht="20.100000000000001" customHeight="1">
      <c r="A272" s="30" t="s">
        <v>199</v>
      </c>
    </row>
    <row r="273" spans="1:1" ht="20.100000000000001" customHeight="1">
      <c r="A273" s="35" t="s">
        <v>200</v>
      </c>
    </row>
    <row r="274" spans="1:1" ht="20.100000000000001" customHeight="1">
      <c r="A274" s="35" t="s">
        <v>201</v>
      </c>
    </row>
    <row r="275" spans="1:1" ht="20.100000000000001" customHeight="1">
      <c r="A275" s="30" t="s">
        <v>202</v>
      </c>
    </row>
    <row r="276" spans="1:1" ht="20.100000000000001" customHeight="1">
      <c r="A276" s="30" t="s">
        <v>203</v>
      </c>
    </row>
    <row r="277" spans="1:1" ht="20.100000000000001" customHeight="1">
      <c r="A277" s="35" t="s">
        <v>204</v>
      </c>
    </row>
    <row r="278" spans="1:1" ht="20.100000000000001" customHeight="1">
      <c r="A278" s="30" t="s">
        <v>205</v>
      </c>
    </row>
    <row r="279" spans="1:1" ht="20.100000000000001" customHeight="1">
      <c r="A279" s="30" t="s">
        <v>206</v>
      </c>
    </row>
    <row r="280" spans="1:1" ht="20.100000000000001" customHeight="1">
      <c r="A280" s="30" t="s">
        <v>207</v>
      </c>
    </row>
    <row r="281" spans="1:1" ht="20.100000000000001" customHeight="1">
      <c r="A281" s="30" t="s">
        <v>208</v>
      </c>
    </row>
    <row r="282" spans="1:1" ht="20.100000000000001" customHeight="1">
      <c r="A282" s="35" t="s">
        <v>209</v>
      </c>
    </row>
    <row r="283" spans="1:1" ht="20.100000000000001" customHeight="1">
      <c r="A283" s="35" t="s">
        <v>210</v>
      </c>
    </row>
    <row r="284" spans="1:1" ht="20.100000000000001" customHeight="1">
      <c r="A284" s="35" t="s">
        <v>211</v>
      </c>
    </row>
    <row r="285" spans="1:1" ht="20.100000000000001" customHeight="1" thickBot="1">
      <c r="A285" s="30" t="s">
        <v>212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قائمة التقييم!_Hlk189049123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2025-10-06T08:27:30Z</dcterms:modified>
</cp:coreProperties>
</file>