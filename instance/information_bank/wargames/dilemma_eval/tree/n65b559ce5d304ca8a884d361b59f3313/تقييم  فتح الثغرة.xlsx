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440AB8B3-21DB-4A32-B269-3E786AED9811}"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التقييم'!$A$1:$J$59</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11" i="2" l="1"/>
  <c r="H11" i="2"/>
  <c r="G12" i="2"/>
  <c r="H12" i="2"/>
  <c r="G13" i="2"/>
  <c r="H13" i="2"/>
  <c r="G14" i="2"/>
  <c r="H14" i="2"/>
  <c r="G15" i="2"/>
  <c r="H15" i="2"/>
  <c r="G16" i="2"/>
  <c r="H16" i="2"/>
  <c r="G17" i="2"/>
  <c r="H17" i="2"/>
  <c r="G18" i="2"/>
  <c r="H18" i="2"/>
  <c r="G19" i="2"/>
  <c r="H19" i="2"/>
  <c r="G20" i="2"/>
  <c r="H20" i="2"/>
  <c r="G23" i="2"/>
  <c r="H23" i="2"/>
  <c r="G24" i="2"/>
  <c r="H24" i="2"/>
  <c r="G26" i="2"/>
  <c r="H26" i="2"/>
  <c r="G27" i="2"/>
  <c r="H27" i="2"/>
  <c r="G28" i="2"/>
  <c r="H28" i="2"/>
  <c r="G29" i="2"/>
  <c r="H29" i="2"/>
  <c r="G30" i="2"/>
  <c r="H30" i="2"/>
  <c r="G31" i="2"/>
  <c r="H31" i="2"/>
  <c r="G32" i="2"/>
  <c r="H32" i="2"/>
  <c r="G33" i="2"/>
  <c r="H33" i="2"/>
  <c r="G34" i="2"/>
  <c r="H34" i="2"/>
  <c r="G36" i="2"/>
  <c r="H36" i="2"/>
  <c r="G37" i="2"/>
  <c r="H37" i="2"/>
  <c r="G38" i="2"/>
  <c r="H38" i="2"/>
  <c r="G39" i="2"/>
  <c r="H39" i="2"/>
  <c r="G40" i="2"/>
  <c r="H40" i="2"/>
  <c r="G41" i="2"/>
  <c r="H41" i="2"/>
  <c r="G42" i="2"/>
  <c r="H42" i="2"/>
  <c r="G43" i="2"/>
  <c r="H43" i="2"/>
  <c r="G44" i="2"/>
  <c r="H44" i="2"/>
  <c r="G45" i="2"/>
  <c r="H45" i="2"/>
  <c r="G46" i="2"/>
  <c r="H46" i="2"/>
  <c r="G47" i="2"/>
  <c r="H47" i="2"/>
  <c r="G49" i="2"/>
  <c r="H49" i="2"/>
  <c r="G50" i="2"/>
  <c r="H50" i="2"/>
  <c r="G51" i="2"/>
  <c r="H51" i="2"/>
  <c r="G52" i="2"/>
  <c r="H52" i="2"/>
  <c r="G53" i="2"/>
  <c r="H53" i="2"/>
  <c r="G54" i="2"/>
  <c r="H54" i="2"/>
  <c r="F55" i="2"/>
  <c r="E55" i="2"/>
  <c r="E56" i="2"/>
  <c r="E57" i="2"/>
</calcChain>
</file>

<file path=xl/sharedStrings.xml><?xml version="1.0" encoding="utf-8"?>
<sst xmlns="http://schemas.openxmlformats.org/spreadsheetml/2006/main" count="281" uniqueCount="225">
  <si>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</si>
  <si>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</si>
  <si>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</si>
  <si>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</si>
  <si>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</si>
  <si>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</si>
  <si>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</si>
  <si>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</si>
  <si>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</si>
  <si>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</si>
  <si>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</si>
  <si>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</si>
  <si>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</si>
  <si>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</si>
  <si>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</si>
  <si>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</si>
  <si>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</si>
  <si>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</si>
  <si>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</si>
  <si>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</si>
  <si>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</si>
  <si>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</si>
  <si>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</si>
  <si>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</si>
  <si>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</si>
  <si>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</si>
  <si>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</si>
  <si>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</si>
  <si>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</si>
  <si>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</si>
  <si>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</si>
  <si>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</si>
  <si>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</si>
  <si>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</si>
  <si>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</si>
  <si>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</si>
  <si>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</si>
  <si>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</si>
  <si>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</si>
  <si>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</si>
  <si>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</si>
  <si>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</si>
  <si>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</si>
  <si>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</si>
  <si>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</si>
  <si>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</si>
  <si>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</si>
  <si>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</si>
  <si>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</si>
  <si>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</si>
  <si>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</si>
  <si>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</si>
  <si>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</si>
  <si>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</si>
  <si>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</si>
  <si>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</si>
  <si>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</si>
  <si>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</si>
  <si>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</si>
  <si>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</si>
  <si>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</si>
  <si>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</si>
  <si>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</si>
  <si>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</si>
  <si>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</si>
  <si>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</si>
  <si>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</si>
  <si>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</si>
  <si>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</si>
  <si>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</si>
  <si>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</si>
  <si>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</si>
  <si>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</si>
  <si>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</si>
  <si>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</si>
  <si>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</si>
  <si>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</si>
  <si>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</si>
  <si>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</si>
  <si>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</si>
  <si>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</si>
  <si>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</si>
  <si>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</si>
  <si>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</si>
  <si>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</si>
  <si>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</si>
  <si>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</si>
  <si>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</si>
  <si>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</si>
  <si>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</si>
  <si>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</si>
  <si>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</si>
  <si>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</si>
  <si>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</si>
  <si>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</si>
  <si>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</si>
  <si>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</si>
  <si>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</si>
  <si>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</si>
  <si>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</si>
  <si>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</si>
  <si>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</si>
  <si>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</si>
  <si>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</si>
  <si>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</si>
  <si>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</si>
  <si>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</si>
  <si>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</si>
  <si>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</si>
  <si>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</si>
  <si>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</si>
  <si>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</si>
  <si>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</si>
  <si>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</si>
  <si>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</si>
  <si>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</si>
  <si>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</si>
  <si>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</si>
  <si>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</si>
  <si>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</si>
  <si>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</si>
  <si>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</si>
  <si>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</si>
  <si>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</si>
  <si>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</si>
  <si>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</si>
  <si>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</si>
  <si>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</si>
  <si>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</si>
  <si>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</si>
  <si>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</si>
  <si>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</si>
  <si>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</si>
  <si>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</si>
  <si>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</si>
  <si>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</si>
  <si>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</si>
  <si>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</si>
  <si>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</si>
  <si>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</si>
  <si>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</si>
  <si>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</si>
  <si>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</si>
  <si>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</si>
  <si>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</si>
  <si>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</si>
  <si>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</si>
  <si>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</si>
  <si>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</si>
  <si>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</si>
  <si>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</si>
  <si>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</si>
  <si>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</si>
  <si>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</si>
  <si>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</si>
  <si>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</si>
  <si>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</si>
  <si>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</si>
  <si>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</si>
  <si>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</si>
  <si>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</si>
  <si>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</si>
  <si>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</si>
  <si>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</si>
  <si>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</si>
  <si>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</si>
  <si>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</si>
  <si>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</si>
  <si>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</si>
  <si>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</si>
  <si>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</si>
  <si>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</si>
  <si>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</si>
  <si>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</si>
  <si>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</si>
  <si>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</si>
  <si>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إجراءات التخطيط.</t>
  </si>
  <si>
    <t>(3)   ممرات الحركة من منطقة التجمع وحتى الأهداف.</t>
  </si>
  <si>
    <t>(4)   تأشير خط البدء وخط الانفتاح المحتمل.</t>
  </si>
  <si>
    <t>(5)   تحديد / تأشير الأماكن المحتملة أو المؤكدة لموانع العدو (حسب المعلومات الاستخبارية من المستوى الأعلى).</t>
  </si>
  <si>
    <t>(6)   تأشير الأماكن المحتملة لكمائن العدو على طول طرق الحركة.</t>
  </si>
  <si>
    <t>جـ.   الحصول على المعلومات الاستخبارية من المستوى الأعلى.</t>
  </si>
  <si>
    <t>إجراءات التحضير.</t>
  </si>
  <si>
    <t>أ.    أسلوب الحركة والتشكيلة حتى منطقة التشكيل.</t>
  </si>
  <si>
    <t>ب.  الحركة من منطقة التشكيل وحتى موقع فتح الثغرة.</t>
  </si>
  <si>
    <t>جـ.  العمل عند التماس مع العدو أثناء الحركة مثل (الكمائن، الهجمات التخريبية، القصف المدفعي، الهجوم الجوي، ... إلخ)..</t>
  </si>
  <si>
    <r>
      <t>د.   إجراءات فتح الثغرة</t>
    </r>
    <r>
      <rPr>
        <b/>
        <sz val="12"/>
        <color rgb="FF000000"/>
        <rFont val="Arial"/>
        <family val="2"/>
      </rPr>
      <t>.</t>
    </r>
  </si>
  <si>
    <t>هـ.   إجراءات السيطرة لتقديم نيران الإسناد لعناصر الهندسة.</t>
  </si>
  <si>
    <t>و.   إجراءات التنسيق مع باقي الوحدات(عناصر الهندسة، قاعدة الإسناد بالنيران، الإسناد الناري وقوات الاقتحام).</t>
  </si>
  <si>
    <t>ز.  الخطط الطارئة والتي تشمل (الهجمات المعاكسة المحتملة من قبل العدو، والهجمات من قبل أنظمة النيران غير المباشرة للعدو مثل المدفعية، الصواريخ، الطائرات العمودية الهجومية، والقدرات الجوية الأُخرى).</t>
  </si>
  <si>
    <t>إجراءات التنفيذ.</t>
  </si>
  <si>
    <t>أ.    يتحرك أحد فصائل السرية ويجتاز الثغرة بتشكيلة خط منفرد تحت إسناد بقية الفصائل ورماية الهاون ويحتل مواقع رمي على الطرف البعيد.</t>
  </si>
  <si>
    <t>ب.    تتحرك باقي فصائل السرية وتستكمل عملية الحماية على الجانب البعيد من المانع.</t>
  </si>
  <si>
    <r>
      <t>1.</t>
    </r>
    <r>
      <rPr>
        <sz val="7"/>
        <color theme="1"/>
        <rFont val="Arial"/>
        <family val="2"/>
      </rPr>
      <t xml:space="preserve"> </t>
    </r>
    <r>
      <rPr>
        <sz val="12"/>
        <color rgb="FF000000"/>
        <rFont val="Arial"/>
        <family val="2"/>
      </rPr>
      <t xml:space="preserve">   تستلم السرية أمر العمليات من المستوى الأعلى ويتم القيام بما يلي:</t>
    </r>
  </si>
  <si>
    <r>
      <t>أ‌.</t>
    </r>
    <r>
      <rPr>
        <sz val="7"/>
        <color rgb="FF000000"/>
        <rFont val="Arial"/>
        <family val="2"/>
      </rPr>
      <t xml:space="preserve">      </t>
    </r>
    <r>
      <rPr>
        <sz val="12"/>
        <color rgb="FF000000"/>
        <rFont val="Arial"/>
        <family val="2"/>
      </rPr>
      <t xml:space="preserve">   البدء بإجراءات التخطيط من خلال إجراءات المعركة الثمانية </t>
    </r>
    <r>
      <rPr>
        <sz val="12"/>
        <color theme="1"/>
        <rFont val="Arial"/>
        <family val="2"/>
      </rPr>
      <t>(استلام المهمة - إصدار الأمر الإنذاري - عمل خطة أولية - بدء الحركة – الاستطلاع - إكمال الخطة - إصدار الأمر – الإشراف والمراقبة)</t>
    </r>
    <r>
      <rPr>
        <sz val="12"/>
        <color rgb="FF000000"/>
        <rFont val="Arial"/>
        <family val="2"/>
      </rPr>
      <t>.</t>
    </r>
  </si>
  <si>
    <r>
      <t>ب‌.</t>
    </r>
    <r>
      <rPr>
        <sz val="7"/>
        <color rgb="FF000000"/>
        <rFont val="Arial"/>
        <family val="2"/>
      </rPr>
      <t xml:space="preserve">    </t>
    </r>
    <r>
      <rPr>
        <sz val="12"/>
        <color rgb="FF000000"/>
        <rFont val="Arial"/>
        <family val="2"/>
      </rPr>
      <t xml:space="preserve"> تنفيذ الاستطلاع من الخارطة وتحديد ما يلي بشكل أولي:</t>
    </r>
  </si>
  <si>
    <r>
      <t>(1)</t>
    </r>
    <r>
      <rPr>
        <sz val="7"/>
        <color rgb="FF000000"/>
        <rFont val="Arial"/>
        <family val="2"/>
      </rPr>
      <t xml:space="preserve">  </t>
    </r>
    <r>
      <rPr>
        <sz val="12"/>
        <color rgb="FF000000"/>
        <rFont val="Arial"/>
        <family val="2"/>
      </rPr>
      <t xml:space="preserve"> مناطق التجمع للفصائل والوحدات المساندة للسرايا.</t>
    </r>
  </si>
  <si>
    <r>
      <t>(2)</t>
    </r>
    <r>
      <rPr>
        <sz val="7"/>
        <color rgb="FF000000"/>
        <rFont val="Arial"/>
        <family val="2"/>
      </rPr>
      <t xml:space="preserve">  </t>
    </r>
    <r>
      <rPr>
        <sz val="12"/>
        <color rgb="FF000000"/>
        <rFont val="Arial"/>
        <family val="2"/>
      </rPr>
      <t xml:space="preserve"> طرق الحركة لمنطقة التجمع.</t>
    </r>
  </si>
  <si>
    <r>
      <t>2.</t>
    </r>
    <r>
      <rPr>
        <sz val="7"/>
        <color theme="1"/>
        <rFont val="Arial"/>
        <family val="2"/>
      </rPr>
      <t xml:space="preserve"> </t>
    </r>
    <r>
      <rPr>
        <sz val="12"/>
        <color rgb="FF000000"/>
        <rFont val="Arial"/>
        <family val="2"/>
      </rPr>
      <t xml:space="preserve">  إصدار أمر العمليات للوحدات المرؤوسة، وتقديم ايجازات تأكيدية من قبل القادة المرؤوسين للتأكد من أنهم يفهمون قصد قائد السرية ومفهوم عملياته.</t>
    </r>
  </si>
  <si>
    <r>
      <t>1.</t>
    </r>
    <r>
      <rPr>
        <sz val="7"/>
        <color rgb="FF000000"/>
        <rFont val="Arial"/>
        <family val="2"/>
      </rPr>
      <t xml:space="preserve">   </t>
    </r>
    <r>
      <rPr>
        <sz val="12"/>
        <color rgb="FF000000"/>
        <rFont val="Arial"/>
        <family val="2"/>
      </rPr>
      <t xml:space="preserve">  تنقيح الخطة بناءً على الاستخبارات المحدثة باستمرار. </t>
    </r>
  </si>
  <si>
    <r>
      <t>2.</t>
    </r>
    <r>
      <rPr>
        <sz val="7"/>
        <color rgb="FF000000"/>
        <rFont val="Arial"/>
        <family val="2"/>
      </rPr>
      <t xml:space="preserve">   </t>
    </r>
    <r>
      <rPr>
        <sz val="12"/>
        <color rgb="FF000000"/>
        <rFont val="Arial"/>
        <family val="2"/>
      </rPr>
      <t xml:space="preserve">  الإشراف على إجراءات المعركة للفصائل لضمان أن إجراءات التخطيط والتحضير تتم بطريقة صحيحة وتتفق مع قصد القائد.</t>
    </r>
  </si>
  <si>
    <r>
      <t>3.</t>
    </r>
    <r>
      <rPr>
        <sz val="7"/>
        <color theme="1"/>
        <rFont val="Arial"/>
        <family val="2"/>
      </rPr>
      <t xml:space="preserve">  </t>
    </r>
    <r>
      <rPr>
        <sz val="12"/>
        <color rgb="FF000000"/>
        <rFont val="Arial"/>
        <family val="2"/>
      </rPr>
      <t xml:space="preserve">  تنفيذ التجارب على إجراءات فتح الثغرة بمشاركة جميع العناصر المعنية بفتح الثغرة (الهندسة، وحدات المناورة، النيران) وذلك لضمان توحيد وتنسيق الإجراءات بين جميع العناصر، ويتم التركيز خلال التجارب على ما يلي:</t>
    </r>
    <r>
      <rPr>
        <sz val="14"/>
        <color theme="1"/>
        <rFont val="Arial"/>
        <family val="2"/>
      </rPr>
      <t xml:space="preserve">  </t>
    </r>
  </si>
  <si>
    <r>
      <t>4.</t>
    </r>
    <r>
      <rPr>
        <sz val="7"/>
        <color theme="1"/>
        <rFont val="Arial"/>
        <family val="2"/>
      </rPr>
      <t xml:space="preserve">  </t>
    </r>
    <r>
      <rPr>
        <sz val="12"/>
        <color rgb="FF000000"/>
        <rFont val="Arial"/>
        <family val="2"/>
      </rPr>
      <t xml:space="preserve">  إجراء التعديلات على الخطة بناءً على التجارب وحسب الحاجة.</t>
    </r>
  </si>
  <si>
    <r>
      <t>5.</t>
    </r>
    <r>
      <rPr>
        <sz val="7"/>
        <color theme="1"/>
        <rFont val="Arial"/>
        <family val="2"/>
      </rPr>
      <t xml:space="preserve">  </t>
    </r>
    <r>
      <rPr>
        <sz val="12"/>
        <color rgb="FF000000"/>
        <rFont val="Arial"/>
        <family val="2"/>
      </rPr>
      <t>توضيع القوات للحركة إلى منطقة التجمع.</t>
    </r>
  </si>
  <si>
    <r>
      <t>1.</t>
    </r>
    <r>
      <rPr>
        <sz val="7"/>
        <color rgb="FF000000"/>
        <rFont val="Arial"/>
        <family val="2"/>
      </rPr>
      <t xml:space="preserve">   </t>
    </r>
    <r>
      <rPr>
        <sz val="12"/>
        <color rgb="FF000000"/>
        <rFont val="Arial"/>
        <family val="2"/>
      </rPr>
      <t xml:space="preserve">    بالأمر أو حسب التوقيتات الموضوعة في أمر العمليات، تتحرك السرية من منطقة التجمع إلى منطقة التشكيل بأسلوب حركة وتشكيلة مناسبين.</t>
    </r>
  </si>
  <si>
    <r>
      <t>2.</t>
    </r>
    <r>
      <rPr>
        <sz val="7"/>
        <color rgb="FF000000"/>
        <rFont val="Arial"/>
        <family val="2"/>
      </rPr>
      <t xml:space="preserve">   </t>
    </r>
    <r>
      <rPr>
        <sz val="12"/>
        <color rgb="FF000000"/>
        <rFont val="Arial"/>
        <family val="2"/>
      </rPr>
      <t xml:space="preserve">   يسيطر قائد السرية على الحركة على طول الطريق ويعدل التشكيلة وأسلوب الحركة والسرعة والمسافة بين الوحدات حسب طبيعة الأرض والموقف.</t>
    </r>
  </si>
  <si>
    <r>
      <t>3.</t>
    </r>
    <r>
      <rPr>
        <sz val="7"/>
        <color rgb="FF000000"/>
        <rFont val="Arial"/>
        <family val="2"/>
      </rPr>
      <t xml:space="preserve">   </t>
    </r>
    <r>
      <rPr>
        <sz val="12"/>
        <color rgb="FF000000"/>
        <rFont val="Arial"/>
        <family val="2"/>
      </rPr>
      <t xml:space="preserve">  تطبيق إجراءات التماس مع العدو إذا حصل أثناء الحركة.</t>
    </r>
  </si>
  <si>
    <r>
      <t>4.</t>
    </r>
    <r>
      <rPr>
        <sz val="7"/>
        <color rgb="FF000000"/>
        <rFont val="Arial"/>
        <family val="2"/>
      </rPr>
      <t xml:space="preserve">   </t>
    </r>
    <r>
      <rPr>
        <sz val="12"/>
        <color rgb="FF000000"/>
        <rFont val="Arial"/>
        <family val="2"/>
      </rPr>
      <t xml:space="preserve">  على مسافة (6 – 8) كم من الحد الأمامي لمنطقة معركة العدو، تبدأ السرية بالتحول من تشكيل المسير إلى تشكيل ما قبل المعركة (خط الفتح التعبوي) (التحول من تشكيل ارتال كتائب الى ارتال سرايا).</t>
    </r>
  </si>
  <si>
    <r>
      <t>5.</t>
    </r>
    <r>
      <rPr>
        <sz val="7"/>
        <color rgb="FF000000"/>
        <rFont val="Arial"/>
        <family val="2"/>
      </rPr>
      <t xml:space="preserve">   </t>
    </r>
    <r>
      <rPr>
        <sz val="12"/>
        <color rgb="FF000000"/>
        <rFont val="Arial"/>
        <family val="2"/>
      </rPr>
      <t xml:space="preserve">   قبل الوصول إلى منطقة التشكيل تنفصل قوة الإسناد وتحتل مواقعها (قاعدة الإسناد بالنيران).</t>
    </r>
  </si>
  <si>
    <r>
      <t>6.</t>
    </r>
    <r>
      <rPr>
        <sz val="7"/>
        <color rgb="FF000000"/>
        <rFont val="Arial"/>
        <family val="2"/>
      </rPr>
      <t xml:space="preserve">   </t>
    </r>
    <r>
      <rPr>
        <sz val="12"/>
        <color rgb="FF000000"/>
        <rFont val="Arial"/>
        <family val="2"/>
      </rPr>
      <t xml:space="preserve">  عندما تبدأ قاعدة الإسناد والنيران غير المباشرة بتقديم الإسناد وإسكات قوات العدو، يتحرك قائد قوة فتح الثغرة (قائد السرية) مع عنصر الأمن والحماية، لتأسيس الحماية على الجانب القريب من المانع.</t>
    </r>
  </si>
  <si>
    <r>
      <t>7.</t>
    </r>
    <r>
      <rPr>
        <sz val="7"/>
        <color rgb="FF000000"/>
        <rFont val="Arial"/>
        <family val="2"/>
      </rPr>
      <t xml:space="preserve">   </t>
    </r>
    <r>
      <rPr>
        <sz val="12"/>
        <color rgb="FF000000"/>
        <rFont val="Arial"/>
        <family val="2"/>
      </rPr>
      <t xml:space="preserve">  عندما ينفتح عنصر الأمن والحماية في موقعه، يقوم قائد عنصر فتح الثغرة (ضابط الهندسة) بإجراء استطلاع للحصول على معلومات المانع ويؤكد/ يدقق خطته لفتح الثغرة في المانع.</t>
    </r>
  </si>
  <si>
    <r>
      <t>8.</t>
    </r>
    <r>
      <rPr>
        <sz val="7"/>
        <color rgb="FF000000"/>
        <rFont val="Arial"/>
        <family val="2"/>
      </rPr>
      <t xml:space="preserve">   </t>
    </r>
    <r>
      <rPr>
        <sz val="12"/>
        <color rgb="FF000000"/>
        <rFont val="Arial"/>
        <family val="2"/>
      </rPr>
      <t xml:space="preserve">  يقوم قائد عنصر فتح الثغرة بالإبلاغ بدقة عن مكان فتح الثغرة، والوقت المقدر لفتح الثغرة، والتأكد من تطهيره وتأشيره.</t>
    </r>
  </si>
  <si>
    <r>
      <t>9.</t>
    </r>
    <r>
      <rPr>
        <sz val="7"/>
        <color rgb="FF000000"/>
        <rFont val="Arial"/>
        <family val="2"/>
      </rPr>
      <t xml:space="preserve">   </t>
    </r>
    <r>
      <rPr>
        <sz val="12"/>
        <color rgb="FF000000"/>
        <rFont val="Arial"/>
        <family val="2"/>
      </rPr>
      <t xml:space="preserve">  تتحرك وحدات الحماية لاحتلال مواقع لها في الجانب القريب من المانع وتبدأ بمشاغلة قوات العدو في المنطقة البعيدة للمانع للتقليل من تدخل العدو في عملية فتح الثغرة وتوفير الحماية لعناصر فتح الثغرة.</t>
    </r>
  </si>
  <si>
    <r>
      <t>10.</t>
    </r>
    <r>
      <rPr>
        <sz val="7"/>
        <color rgb="FF000000"/>
        <rFont val="Arial"/>
        <family val="2"/>
      </rPr>
      <t xml:space="preserve">    </t>
    </r>
    <r>
      <rPr>
        <sz val="12"/>
        <color rgb="FF000000"/>
        <rFont val="Arial"/>
        <family val="2"/>
      </rPr>
      <t xml:space="preserve">  تتحرك قوة فتح الثغرة (تتكون من قدرات ومعدات هندسية لفتح الثغرة وجماعة هندسة ميدان لأغراض التأشير وخدمات الإسناد الفني والطبي والشرطة العسكرية) باتجاه حقل الألغام تحت إسناد عناصر الحماية.</t>
    </r>
  </si>
  <si>
    <r>
      <t>11.</t>
    </r>
    <r>
      <rPr>
        <sz val="7"/>
        <color rgb="FF000000"/>
        <rFont val="Arial"/>
        <family val="2"/>
      </rPr>
      <t xml:space="preserve">    </t>
    </r>
    <r>
      <rPr>
        <sz val="12"/>
        <color rgb="FF000000"/>
        <rFont val="Arial"/>
        <family val="2"/>
      </rPr>
      <t xml:space="preserve">  تقوم عناصر الهندسة بفتح الثغرات في حقل الألغام. </t>
    </r>
  </si>
  <si>
    <r>
      <t>12.</t>
    </r>
    <r>
      <rPr>
        <sz val="7"/>
        <color rgb="FF000000"/>
        <rFont val="Arial"/>
        <family val="2"/>
      </rPr>
      <t xml:space="preserve">    </t>
    </r>
    <r>
      <rPr>
        <sz val="12"/>
        <color rgb="FF000000"/>
        <rFont val="Arial"/>
        <family val="2"/>
      </rPr>
      <t xml:space="preserve">  تستمر فصائل السرية بتأمين الحماية القريبة لقوة فتح الثغرة أثناء تنفيذها.</t>
    </r>
  </si>
  <si>
    <r>
      <t>13.</t>
    </r>
    <r>
      <rPr>
        <sz val="7"/>
        <color rgb="FF000000"/>
        <rFont val="Arial"/>
        <family val="2"/>
      </rPr>
      <t xml:space="preserve">    </t>
    </r>
    <r>
      <rPr>
        <sz val="12"/>
        <color rgb="FF000000"/>
        <rFont val="Arial"/>
        <family val="2"/>
      </rPr>
      <t xml:space="preserve"> عند اكتمال فتح الثغرة يؤسس قائد قوة فتح الثغرة الأمن والحماية المحلية على الجانب البعيد من المانع كما يلي: </t>
    </r>
  </si>
  <si>
    <r>
      <t>14.</t>
    </r>
    <r>
      <rPr>
        <sz val="7"/>
        <color rgb="FF000000"/>
        <rFont val="Arial"/>
        <family val="2"/>
      </rPr>
      <t xml:space="preserve">    </t>
    </r>
    <r>
      <rPr>
        <sz val="12"/>
        <color rgb="FF000000"/>
        <rFont val="Arial"/>
        <family val="2"/>
      </rPr>
      <t xml:space="preserve">  يبلغ قائد السرية قيادة الكتيبة/ مجموعة القتال عن الانتهاء من عملية فتح الثغرة باستخدام اجهزة الاتصالات والوسائل الاخرى.</t>
    </r>
  </si>
  <si>
    <r>
      <t>15.</t>
    </r>
    <r>
      <rPr>
        <sz val="7"/>
        <color rgb="FF000000"/>
        <rFont val="Arial"/>
        <family val="2"/>
      </rPr>
      <t xml:space="preserve">    </t>
    </r>
    <r>
      <rPr>
        <sz val="12"/>
        <color rgb="FF000000"/>
        <rFont val="Arial"/>
        <family val="2"/>
      </rPr>
      <t xml:space="preserve">  تقوم قوة الاقتحام بالتحرك من خلال الثغرات وبإسناد من قوة فتح الثغرة وتقتحم أهداف العدو وحسب الخطة الموضوعة.</t>
    </r>
  </si>
  <si>
    <r>
      <t>16.</t>
    </r>
    <r>
      <rPr>
        <sz val="7"/>
        <color rgb="FF000000"/>
        <rFont val="Arial"/>
        <family val="2"/>
      </rPr>
      <t xml:space="preserve">    </t>
    </r>
    <r>
      <rPr>
        <sz val="12"/>
        <color rgb="FF000000"/>
        <rFont val="Arial"/>
        <family val="2"/>
      </rPr>
      <t xml:space="preserve">  بعد انتهاء مرحلة الاقتحام والتوسع على الهدف، تستعد قوة فتح الثغرة للتحرك للأمام للالتحاق بالكتيبة/ مجموعة القتال. </t>
    </r>
  </si>
  <si>
    <r>
      <t>17.</t>
    </r>
    <r>
      <rPr>
        <sz val="7"/>
        <color rgb="FF000000"/>
        <rFont val="Arial"/>
        <family val="2"/>
      </rPr>
      <t xml:space="preserve">    </t>
    </r>
    <r>
      <rPr>
        <sz val="12"/>
        <color rgb="FF000000"/>
        <rFont val="Arial"/>
        <family val="2"/>
      </rPr>
      <t xml:space="preserve"> التثبت وإعادة التنظيم والاستعداد للعمليات المستقبلية.</t>
    </r>
  </si>
  <si>
    <t>ملاحظة: يتم التخطيط لهذا الواجب بنفس الأسلوب وبنفس الإجراءات للهجوم المدبر.</t>
  </si>
  <si>
    <t>ملاحظة: يتم التحضير للهجوم في منطقة الحشد قبل الحركة إلى منطقة التجمع ويشمل التحضير الأفراد والمعدات والأسلحة والآليات ويتم تنفيذ الإجراءات التالية:</t>
  </si>
  <si>
    <r>
      <rPr>
        <b/>
        <sz val="14"/>
        <color rgb="FF000000"/>
        <rFont val="Arial"/>
        <family val="2"/>
      </rPr>
      <t>تقييم سرية فريق القتال المشاة الآلي/الدروع في تنفيذ الهجوم المدبر (فتح الثغرة)</t>
    </r>
    <r>
      <rPr>
        <b/>
        <u/>
        <sz val="14"/>
        <color rgb="FF000000"/>
        <rFont val="Arial"/>
        <family val="2"/>
      </rPr>
      <t xml:space="preserve">
تمرين جاهزية مجموعة لواء الإمارات/1 (جندي الصحراء 2025/20)</t>
    </r>
  </si>
  <si>
    <t>نقيب / حميد سعيد مسير الظاهري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</si>
</sst>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9"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4"/>
      <color theme="1"/>
      <name val="Arial"/>
      <family val="2"/>
    </font>
    <font>
      <sz val="12"/>
      <color theme="1"/>
      <name val="Arial"/>
      <family val="2"/>
    </font>
    <font>
      <sz val="10"/>
      <color theme="1"/>
      <name val="Arial"/>
      <family val="2"/>
    </font>
    <font>
      <sz val="7"/>
      <color theme="1"/>
      <name val="Arial"/>
      <family val="2"/>
    </font>
    <font>
      <sz val="7"/>
      <color rgb="FF000000"/>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s>
  <borders count="28">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89">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16" fillId="0" borderId="3" xfId="0" applyFont="1" applyBorder="1" applyAlignment="1">
      <alignment vertical="center" wrapText="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2" fillId="0" borderId="12" xfId="0" applyFont="1" applyBorder="1" applyAlignment="1">
      <alignment horizontal="center" vertical="center" wrapText="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4" fillId="0" borderId="23" xfId="0" applyFont="1" applyBorder="1" applyAlignment="1">
      <alignment horizontal="right" vertical="center" wrapText="1" readingOrder="2"/>
    </xf>
    <xf numFmtId="0" fontId="14" fillId="0" borderId="3" xfId="0" applyFont="1" applyBorder="1" applyAlignment="1">
      <alignment horizontal="right" vertical="center" wrapText="1" readingOrder="2"/>
    </xf>
    <xf numFmtId="0" fontId="14" fillId="0" borderId="11" xfId="0" applyFont="1" applyBorder="1" applyAlignment="1">
      <alignment horizontal="right" vertical="center" wrapText="1" readingOrder="2"/>
    </xf>
    <xf numFmtId="0" fontId="14" fillId="0" borderId="12" xfId="0" applyFont="1" applyBorder="1" applyAlignment="1">
      <alignment horizontal="right" vertical="center" wrapText="1" readingOrder="2"/>
    </xf>
    <xf numFmtId="0" fontId="13" fillId="0" borderId="23" xfId="0" applyFont="1" applyBorder="1" applyAlignment="1">
      <alignment horizontal="right" vertical="center" wrapText="1" readingOrder="2"/>
    </xf>
    <xf numFmtId="0" fontId="13" fillId="0" borderId="3" xfId="0" applyFont="1" applyBorder="1" applyAlignment="1">
      <alignment horizontal="right" vertical="center" wrapText="1" readingOrder="2"/>
    </xf>
    <xf numFmtId="0" fontId="13" fillId="0" borderId="11" xfId="0" applyFont="1" applyBorder="1" applyAlignment="1">
      <alignment horizontal="right" vertical="center" wrapText="1" readingOrder="2"/>
    </xf>
    <xf numFmtId="0" fontId="13" fillId="0" borderId="12" xfId="0" applyFont="1" applyBorder="1" applyAlignment="1">
      <alignment horizontal="right" vertical="center" wrapText="1" readingOrder="2"/>
    </xf>
    <xf numFmtId="0" fontId="1" fillId="5" borderId="24" xfId="0" applyFont="1" applyFill="1" applyBorder="1" applyAlignment="1">
      <alignment horizontal="right" vertical="center" wrapText="1" readingOrder="2"/>
    </xf>
    <xf numFmtId="0" fontId="1" fillId="5" borderId="25" xfId="0" applyFont="1" applyFill="1" applyBorder="1" applyAlignment="1">
      <alignment horizontal="right" vertical="center" wrapText="1" readingOrder="2"/>
    </xf>
    <xf numFmtId="0" fontId="1" fillId="5" borderId="26" xfId="0" applyFont="1" applyFill="1" applyBorder="1" applyAlignment="1">
      <alignment horizontal="right" vertical="center" wrapText="1" readingOrder="2"/>
    </xf>
    <xf numFmtId="0" fontId="13" fillId="0" borderId="23" xfId="0" applyFont="1" applyBorder="1" applyAlignment="1">
      <alignment horizontal="right" vertical="center" wrapText="1" indent="4" readingOrder="2"/>
    </xf>
    <xf numFmtId="0" fontId="13" fillId="0" borderId="3" xfId="0" applyFont="1" applyBorder="1" applyAlignment="1">
      <alignment horizontal="right" vertical="center" wrapText="1" indent="4" readingOrder="2"/>
    </xf>
    <xf numFmtId="0" fontId="13" fillId="0" borderId="23"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xf numFmtId="0" fontId="6" fillId="0" borderId="27" xfId="0" applyFont="1" applyBorder="1" applyAlignment="1" applyProtection="1">
      <alignment horizontal="center" vertical="center" wrapText="1" readingOrder="2"/>
      <protection locked="0"/>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368385</xdr:colOff>
      <xdr:row>57</xdr:row>
      <xdr:rowOff>521415</xdr:rowOff>
    </xdr:from>
    <xdr:to>
      <xdr:col>8</xdr:col>
      <xdr:colOff>130764</xdr:colOff>
      <xdr:row>58</xdr:row>
      <xdr:rowOff>567763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CCAF4879-C075-C84C-E2D6-84E738BC8994}"/>
                </a:ext>
              </a:extLst>
            </xdr14:cNvPr>
            <xdr14:cNvContentPartPr/>
          </xdr14:nvContentPartPr>
          <xdr14:nvPr macro=""/>
          <xdr14:xfrm>
            <a:off x="10399114145" y="30504960"/>
            <a:ext cx="1078560" cy="577440"/>
          </xdr14:xfrm>
        </xdr:contentPart>
      </mc:Choice>
      <mc:Fallback xmlns="">
        <xdr:pic>
          <xdr:nvPicPr>
            <xdr:cNvPr id="2" name="Ink 1">
              <a:extLst>
                <a:ext uri="{FF2B5EF4-FFF2-40B4-BE49-F238E27FC236}">
                  <a16:creationId xmlns:a16="http://schemas.microsoft.com/office/drawing/2014/main" id="{CCAF4879-C075-C84C-E2D6-84E738BC8994}"/>
                </a:ext>
              </a:extLst>
            </xdr:cNvPr>
            <xdr:cNvPicPr/>
          </xdr:nvPicPr>
          <xdr:blipFill>
            <a:blip xmlns:r="http://schemas.openxmlformats.org/officeDocument/2006/relationships" r:embed="rId2"/>
            <a:stretch>
              <a:fillRect/>
            </a:stretch>
          </xdr:blipFill>
          <xdr:spPr>
            <a:xfrm>
              <a:off x="10399108025" y="30498840"/>
              <a:ext cx="1090800" cy="5896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8:26:21.309"/>
    </inkml:context>
    <inkml:brush xml:id="br0">
      <inkml:brushProperty name="width" value="0.035" units="cm"/>
      <inkml:brushProperty name="height" value="0.035" units="cm"/>
    </inkml:brush>
  </inkml:definitions>
  <inkml:trace contextRef="#ctx0" brushRef="#br0">2890 780 5409,'0'0'0,"-5"-4"4449,-6-8-3025,6 1-312,5 11-1112,-12-4 1016,12-8-151,0 8-185,0-2-120,0 6-560,0-11 472,0 7-8,0 0-64,0-1-40,0 5-360,0-4 264,0 1-16,0 2 72,0-1 24,0 2-344,0 0 449,0 0 15,-3 0-48,1 0-64,2 0-352,-4 5 200,-8 6-64,7-7-80,-10 18-72,15-22 16,-15 22-128,-3 10 120,-3 7 16,-2 5 8,23-44-16,-28 48 0,3 1 24,-5-1 24,-1-2 56,31-46-104,-30 45 216,-3-1 24,1-5-16,1 3-112,31-42-112,-31 38 208,-2-4-64,3-4 40,4-8-32,26-22-152,-23 19 200,4-5-96,6-11 40,10 1 96,3-4-240,-5 0 64,3 0-144,2-3-248,0-8-64,0 11 392,5-14-392,8-9 184,-10-8 80,13-5 48,-16 36 80,14-36-64,-2 1-40,1 4 16,2 1 168,-15 30-80,11-28-80,1 5-24,-7 5 56,6 3-152,-11 15 200,5-4-40,-5-1 16,2 2 72,-2 1-32,0 2-16,0 0-80,0 0 8,0 3-144,-2 1 56,2-4 160,-3 5-88,-3 7 0,-9 0 96,4 3-40,11-15 32,-14 19-40,-4 2 88,1-2-8,-4-2 8,21-17-48,-13 15 48,-2-3-32,0 1-8,10-9-32,5-4 24,-15 4 40,12 7-88,0-11 72,-2 0 48,5 0-72,-2 0-24,2 0-72,0-1-128,0 1 224,0-1-320,0-1-24,0 1 40,0-1 111,0 2 193,0-1-48,0 1 32,0 0 8,0 0-8,0 0 16,0 0 40,0 3-16,-5 1 24,3 0-72,2-4 24,-11 12 48,-4-8 48,3 15-39,-6-3 167,18-16-224,-16 16 80,-3-1 64,5 0 80,-1-3-88,15-12-136,-20 13 160,2-9 0,4 9-48,0-10 168,14-3-280,-14 0 264,5 3 32,-3-3 24,7 0-16,5 0-304,-11-3 264,9-8 88,0-2-192,-3-8-152,5 21-8,-3-30 120,3-10-184,0-7 104,5-8 64,-5 55-104,15-64-24,0-12 32,6-8-48,4-6 56,-25 90-16,26-93 16,-1 0-48,1 7 32,2 2-8,-28 84 8,30-74 8,-5 9-32,1 9 24,-4 11-24,-22 45 24,18-32-56,-5 9 72,-10 10-32,1 9-24,-4 4 40,5-3-24,-5 2-40,0 1 72,0 0-32,0 0 24,0 3 16,0-1-32,-5 3-88,-2 6-16,7-11 120,-16 16-144,1 8 40,-2 9 16,-6 11 48,23-44 40,-28 50-80,-2 9 8,-3 6 56,-1 6 32,34-71-16,-38 76 88,1 3 56,-4 0 24,-6 3 56,0-4 48,47-78-272,-46 77 256,0-5-48,4-6 8,5-7-96,37-59-120,-35 55 56,7-11-32,1-5-64,8-11 56,19-28-16,-14 23 8,3-6-8,6-13 16,5-4-16,-2 12 136,-3-12-80,2 0-8,3 0-15,0 0-186,0 0 153,0 0-104,0-2-128,0-2 8,3-7-40,-3 11 264,0-13-240,5-4 96,-3-6 80,9-3 24,-11 26 40,5-27-56,12 0 40,-6 3-120,3 1 56,-14 23 80,9-20-104,-4 3-16,11 2 72,-14 10 48,-2 5 0,5-6-96,-3 2-32,-2 4 32,0 0 0,0 0 96,0 0-8,0 3 96,-5-1-72,1 3-96,4-5 80,-14 14-40,1-3 0,-4 3 40,1 2 0,16-16 0,-19 17 56,0 0-56,4-2 8,-5 0 48,20-15-56,-13 11 24,1-7-48,7 8 32,-8-12 72,13 0-80,0 0 0,-3 3 16,1-3-72,2 0 16,0 0 40,0 0-88,0 0 0,0 0-216,0 0-112,0 0 1312,0-2-2184,0 2 848,0 0 216,0 0 40,0 0 184,0 0-168,0 3 143,0 1-71,0 9 0,0-13 96,-3 13-32,-3 4-40,-6 1 104,7 5 8,5-23-40,-16 23 80,7-2 40,-5 3-31,-5-4 7,19-20-96,-11 18 160,-6-2 32,6-2 8,-3-3 8,14-11-208,-11 5 208,-1-1-56,0-1 112,8-3 0,4 0-264,-17 0 216,12-6-24,-11-12 80,4-4-96,12 22-176,-6-31 128,-8-10 16,11-7-168,-3-7 0,6 55 24,-2-62 104,2-10-16,4-6-72,15-9-8,-19 87-8,18-97-24,5-3-24,5-5 48,0 3-136,-28 102 136,33-98 16,-1 6 24,3 11 24,-1 9 144,-34 72-208,26-61 0,-1 8-16,-1 8-32,-3 6 56,-21 39-8,18-33 32,-3 4 8,-14 7-80,11 4 80,-12 18-40,0-14 88,0 10 32,0 0 200,-2 1 8,2 3-328,0 0 280,-8 0-8,-5 4-119,1 10-105,12-14-48,-13 19 16,-8 5-56,-5 10-40,-1 11 7,27-45 73,-31 50-8,-6 10 16,-1 6-8,-3 9-80,41-75 80,-46 83-24,-1 5 32,-2 5-32,-2 3 185,51-96-161,-53 96 152,-3-7 24,3-2 96,2-5-88,51-82-184,-46 73 144,4-8-96,7-9-48,7-11-16,28-45 16,-21 35-72,8-9 104,8-6 8,0-5-72,5-15 32,-2 4-40,2 1-40,0-1-208,0-4 112,0 0 176,0 0-232,2 0 31,10-3-7,-8-1 168,-4 4 40,17-13-40,-6-1-40,6-2 152,1-4-120,-18 20 48,21-24 0,2-1-40,1-2 40,-6 1-104,-18 26 104,18-22-40,3 5 0,-7 2-40,-2 10 40,-12 5 40,4-12-104,1 11 40,-3-1 24,-2 1 0,0 1 40,0 0-32,0 0 72,0 0-8,-5 0 48,5 0-80,-11 3 24,-1 1-80,-3 8 56,-2-8-8,17-4 8,-26 18 0,1-4 24,-3 3-8,-2-1-48,30-16 32,-28 14 16,0 2-16,-2-2-56,0 0 16,30-14 40,-30 13-64,0 0 40,-3-9 88,5 10-40,28-14-24,-28 4 112,-2 1-40,5-1 0,4-1-32,21-3-40,-23 3 24,1-3 0,4 0-32,0-3 32,18 3-24,-15-5-24,0 1 32,0-1-32,2-7 24,13 12 0,-15-1 16,2-4-32,-3 1 56,2 0-80,14 4 40,-10-4 16,6 2-8,-10 1-32,14 1 48,0 0-24,-5 0 16,0 0-72,5 3 16,-4 0-48,4-3 88,0 4-120,0 11 64,0 0-48,0 3 88,0-18 16,3 21-40,1 4 40,10 3-24,-1-1-40,-13-27 64,20 24-24,5-1-16,8-6 40,8-3 24,-41-14-24,51 4 80,7 0 0,16-4 40,10-4 0,-84 4-120,95-23-112,12-5 208,9-9-16,9-14-16,-125 51-64,132-62 216,10-12-112,6-13-80,6-6 128,-154 93-152,155-100 104,-4-6-64,-12-4 8,-9-3-24,-130 113-24,116-109 40,-11 3 25,-13 7 23,-16 9-40,-76 90-48,58-78 56,-13 12-16,-15 15 88,-16 13-8,-14 38-120,0-25 168,-5 6 120,-20 5-72,-11 3-16,36 11-200,-50-3 136,-12 3-24,-17 14-96,-7 13-16,86-27 0,-107 38-16,-9 14-56,-19 11 184,-14 11-64,149-74-48,-160 85-32,-9 4-24,-7 8-208,-9 2 56,185-99 208,-187 98-152,9-2 0,1-6 80,20-10 32,157-80 40,-137 72-64,14-13 16,21-9 0,20-7-160,82-43 208,-67 33-569,21-11-575,21-8-1048,13-14-1193,12 0 3385,0 0-4249,16-3-2232,19-18 1736,-35 21 4745</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9"/>
  <sheetViews>
    <sheetView rightToLeft="1" tabSelected="1" view="pageBreakPreview" zoomScale="130" zoomScaleNormal="100" zoomScaleSheetLayoutView="130" workbookViewId="0">
      <selection activeCell="C3" sqref="C3:D3"/>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37" t="s">
        <v>223</v>
      </c>
      <c r="C1" s="37"/>
      <c r="D1" s="37"/>
      <c r="E1" s="37"/>
      <c r="F1" s="37"/>
      <c r="G1" s="37"/>
      <c r="H1" s="37"/>
      <c r="I1" s="37"/>
      <c r="J1" s="37"/>
    </row>
    <row r="2" spans="1:10" ht="30" customHeight="1" x14ac:dyDescent="0.3">
      <c r="B2" s="12" t="s">
        <v>8</v>
      </c>
      <c r="C2" s="43" t="s">
        <v>38</v>
      </c>
      <c r="D2" s="43"/>
      <c r="E2" s="12" t="s">
        <v>7</v>
      </c>
      <c r="F2" s="38">
        <v>45957</v>
      </c>
      <c r="G2" s="38"/>
      <c r="H2" s="38"/>
      <c r="I2" s="38"/>
      <c r="J2" s="38"/>
    </row>
    <row r="3" spans="1:10" ht="30" customHeight="1" x14ac:dyDescent="0.3">
      <c r="B3" s="12" t="s">
        <v>9</v>
      </c>
      <c r="C3" s="43" t="s">
        <v>60</v>
      </c>
      <c r="D3" s="43"/>
      <c r="E3" s="12" t="s">
        <v>6</v>
      </c>
      <c r="F3" s="43" t="s">
        <v>142</v>
      </c>
      <c r="G3" s="43"/>
      <c r="H3" s="43"/>
      <c r="I3" s="43"/>
      <c r="J3" s="43"/>
    </row>
    <row r="4" spans="1:10" ht="30" customHeight="1" thickBot="1" x14ac:dyDescent="0.35">
      <c r="B4" s="6"/>
      <c r="C4" s="88" t="s">
        <v>224</v>
      </c>
      <c r="D4" s="88"/>
      <c r="E4" s="6"/>
      <c r="F4" s="7"/>
      <c r="G4" s="7"/>
      <c r="H4" s="8"/>
      <c r="I4" s="7"/>
      <c r="J4" s="7"/>
    </row>
    <row r="5" spans="1:10" ht="24.9" customHeight="1" x14ac:dyDescent="0.3">
      <c r="A5" s="10"/>
      <c r="B5" s="39" t="s">
        <v>0</v>
      </c>
      <c r="C5" s="40"/>
      <c r="D5" s="40"/>
      <c r="E5" s="50" t="s">
        <v>1</v>
      </c>
      <c r="F5" s="50"/>
      <c r="G5" s="50"/>
      <c r="H5" s="50"/>
      <c r="I5" s="50" t="s">
        <v>2</v>
      </c>
      <c r="J5" s="51"/>
    </row>
    <row r="6" spans="1:10" ht="24.9" customHeight="1" thickBot="1" x14ac:dyDescent="0.35">
      <c r="A6" s="10"/>
      <c r="B6" s="41"/>
      <c r="C6" s="42"/>
      <c r="D6" s="42"/>
      <c r="E6" s="11" t="s">
        <v>3</v>
      </c>
      <c r="F6" s="11" t="s">
        <v>4</v>
      </c>
      <c r="G6" s="11" t="s">
        <v>23</v>
      </c>
      <c r="H6" s="11" t="s">
        <v>24</v>
      </c>
      <c r="I6" s="52"/>
      <c r="J6" s="53"/>
    </row>
    <row r="7" spans="1:10" ht="24.9" customHeight="1" thickBot="1" x14ac:dyDescent="0.35">
      <c r="A7" s="10"/>
      <c r="B7" s="46" t="s">
        <v>21</v>
      </c>
      <c r="C7" s="47"/>
      <c r="D7" s="47"/>
      <c r="E7" s="28" t="s">
        <v>18</v>
      </c>
      <c r="F7" s="28" t="s">
        <v>19</v>
      </c>
      <c r="G7" s="28" t="s">
        <v>22</v>
      </c>
      <c r="H7" s="28" t="s">
        <v>20</v>
      </c>
      <c r="I7" s="54" t="s">
        <v>25</v>
      </c>
      <c r="J7" s="55"/>
    </row>
    <row r="8" spans="1:10" ht="39.9" customHeight="1" x14ac:dyDescent="0.3">
      <c r="A8" s="10"/>
      <c r="B8" s="81" t="s">
        <v>176</v>
      </c>
      <c r="C8" s="82"/>
      <c r="D8" s="82"/>
      <c r="E8" s="82"/>
      <c r="F8" s="82"/>
      <c r="G8" s="82"/>
      <c r="H8" s="82"/>
      <c r="I8" s="82"/>
      <c r="J8" s="83"/>
    </row>
    <row r="9" spans="1:10" ht="39.9" customHeight="1" x14ac:dyDescent="0.3">
      <c r="A9" s="10"/>
      <c r="B9" s="77" t="s">
        <v>221</v>
      </c>
      <c r="C9" s="78"/>
      <c r="D9" s="78"/>
      <c r="E9" s="9"/>
      <c r="F9" s="26"/>
      <c r="G9" s="30"/>
      <c r="H9" s="31"/>
      <c r="I9" s="48"/>
      <c r="J9" s="49"/>
    </row>
    <row r="10" spans="1:10" ht="39.9" customHeight="1" x14ac:dyDescent="0.3">
      <c r="A10" s="10"/>
      <c r="B10" s="73" t="s">
        <v>193</v>
      </c>
      <c r="C10" s="74"/>
      <c r="D10" s="74"/>
      <c r="E10" s="32"/>
      <c r="F10" s="26"/>
      <c r="G10" s="30"/>
      <c r="H10" s="31"/>
      <c r="I10" s="48"/>
      <c r="J10" s="49"/>
    </row>
    <row r="11" spans="1:10" ht="52.5" customHeight="1" x14ac:dyDescent="0.3">
      <c r="A11" s="10"/>
      <c r="B11" s="86" t="s">
        <v>194</v>
      </c>
      <c r="C11" s="87"/>
      <c r="D11" s="87"/>
      <c r="E11" s="9">
        <v>5</v>
      </c>
      <c r="F11" s="26">
        <v>3.75</v>
      </c>
      <c r="G11" s="30">
        <f t="shared" ref="G11:G54" si="0">IFERROR(F11/E11,"")</f>
        <v>0.75</v>
      </c>
      <c r="H11" s="31" t="str">
        <f t="shared" ref="H11:H54" si="1">_xlfn.IFS(F11="أدخل العلامة","",F11="لا ينطبق","تم الإلغاء",G11&gt;=90%,"ممتاز",G11&gt;=80%,"جيد جداً",G11&gt;=70%,"جيد",G11&gt;=60%,"مقبول",G11&lt;60%,"راسب")</f>
        <v>جيد</v>
      </c>
      <c r="I11" s="48"/>
      <c r="J11" s="49"/>
    </row>
    <row r="12" spans="1:10" ht="39.9" customHeight="1" x14ac:dyDescent="0.3">
      <c r="A12" s="10"/>
      <c r="B12" s="86" t="s">
        <v>195</v>
      </c>
      <c r="C12" s="87"/>
      <c r="D12" s="87"/>
      <c r="E12" s="9">
        <v>5</v>
      </c>
      <c r="F12" s="26">
        <v>3.5</v>
      </c>
      <c r="G12" s="30">
        <f t="shared" si="0"/>
        <v>0.7</v>
      </c>
      <c r="H12" s="31" t="str">
        <f t="shared" si="1"/>
        <v>جيد</v>
      </c>
      <c r="I12" s="48"/>
      <c r="J12" s="49"/>
    </row>
    <row r="13" spans="1:10" ht="39.9" customHeight="1" x14ac:dyDescent="0.3">
      <c r="A13" s="10"/>
      <c r="B13" s="84" t="s">
        <v>196</v>
      </c>
      <c r="C13" s="85"/>
      <c r="D13" s="85"/>
      <c r="E13" s="9">
        <v>5</v>
      </c>
      <c r="F13" s="26">
        <v>3.75</v>
      </c>
      <c r="G13" s="30">
        <f t="shared" si="0"/>
        <v>0.75</v>
      </c>
      <c r="H13" s="31" t="str">
        <f t="shared" si="1"/>
        <v>جيد</v>
      </c>
      <c r="I13" s="48"/>
      <c r="J13" s="49"/>
    </row>
    <row r="14" spans="1:10" ht="39.9" customHeight="1" x14ac:dyDescent="0.3">
      <c r="A14" s="10"/>
      <c r="B14" s="84" t="s">
        <v>197</v>
      </c>
      <c r="C14" s="85"/>
      <c r="D14" s="85"/>
      <c r="E14" s="9">
        <v>5</v>
      </c>
      <c r="F14" s="26">
        <v>3.75</v>
      </c>
      <c r="G14" s="30">
        <f t="shared" si="0"/>
        <v>0.75</v>
      </c>
      <c r="H14" s="31" t="str">
        <f t="shared" si="1"/>
        <v>جيد</v>
      </c>
      <c r="I14" s="48"/>
      <c r="J14" s="49"/>
    </row>
    <row r="15" spans="1:10" ht="39.9" customHeight="1" x14ac:dyDescent="0.3">
      <c r="A15" s="10"/>
      <c r="B15" s="84" t="s">
        <v>177</v>
      </c>
      <c r="C15" s="85"/>
      <c r="D15" s="85"/>
      <c r="E15" s="9">
        <v>5</v>
      </c>
      <c r="F15" s="26">
        <v>3.75</v>
      </c>
      <c r="G15" s="30">
        <f t="shared" si="0"/>
        <v>0.75</v>
      </c>
      <c r="H15" s="31" t="str">
        <f t="shared" si="1"/>
        <v>جيد</v>
      </c>
      <c r="I15" s="48"/>
      <c r="J15" s="49"/>
    </row>
    <row r="16" spans="1:10" ht="39.9" customHeight="1" x14ac:dyDescent="0.3">
      <c r="A16" s="10"/>
      <c r="B16" s="84" t="s">
        <v>178</v>
      </c>
      <c r="C16" s="85"/>
      <c r="D16" s="85"/>
      <c r="E16" s="9">
        <v>5</v>
      </c>
      <c r="F16" s="26">
        <v>3.75</v>
      </c>
      <c r="G16" s="30">
        <f t="shared" si="0"/>
        <v>0.75</v>
      </c>
      <c r="H16" s="31" t="str">
        <f t="shared" si="1"/>
        <v>جيد</v>
      </c>
      <c r="I16" s="48"/>
      <c r="J16" s="49"/>
    </row>
    <row r="17" spans="1:10" ht="39.9" customHeight="1" x14ac:dyDescent="0.3">
      <c r="A17" s="10"/>
      <c r="B17" s="84" t="s">
        <v>179</v>
      </c>
      <c r="C17" s="85"/>
      <c r="D17" s="85"/>
      <c r="E17" s="9">
        <v>5</v>
      </c>
      <c r="F17" s="26">
        <v>3.75</v>
      </c>
      <c r="G17" s="30">
        <f t="shared" si="0"/>
        <v>0.75</v>
      </c>
      <c r="H17" s="31" t="str">
        <f t="shared" si="1"/>
        <v>جيد</v>
      </c>
      <c r="I17" s="48"/>
      <c r="J17" s="49"/>
    </row>
    <row r="18" spans="1:10" ht="39.9" customHeight="1" x14ac:dyDescent="0.3">
      <c r="A18" s="10"/>
      <c r="B18" s="84" t="s">
        <v>180</v>
      </c>
      <c r="C18" s="85"/>
      <c r="D18" s="85"/>
      <c r="E18" s="9">
        <v>5</v>
      </c>
      <c r="F18" s="26">
        <v>3.5</v>
      </c>
      <c r="G18" s="30">
        <f t="shared" si="0"/>
        <v>0.7</v>
      </c>
      <c r="H18" s="31" t="str">
        <f t="shared" si="1"/>
        <v>جيد</v>
      </c>
      <c r="I18" s="48"/>
      <c r="J18" s="49"/>
    </row>
    <row r="19" spans="1:10" ht="39.9" customHeight="1" x14ac:dyDescent="0.3">
      <c r="A19" s="10"/>
      <c r="B19" s="86" t="s">
        <v>181</v>
      </c>
      <c r="C19" s="87"/>
      <c r="D19" s="87"/>
      <c r="E19" s="9">
        <v>5</v>
      </c>
      <c r="F19" s="26">
        <v>3.75</v>
      </c>
      <c r="G19" s="30">
        <f t="shared" si="0"/>
        <v>0.75</v>
      </c>
      <c r="H19" s="31" t="str">
        <f t="shared" si="1"/>
        <v>جيد</v>
      </c>
      <c r="I19" s="48"/>
      <c r="J19" s="49"/>
    </row>
    <row r="20" spans="1:10" ht="50.1" customHeight="1" thickBot="1" x14ac:dyDescent="0.35">
      <c r="A20" s="10"/>
      <c r="B20" s="75" t="s">
        <v>198</v>
      </c>
      <c r="C20" s="76"/>
      <c r="D20" s="76"/>
      <c r="E20" s="36">
        <v>5</v>
      </c>
      <c r="F20" s="27">
        <v>3.5</v>
      </c>
      <c r="G20" s="34">
        <f t="shared" si="0"/>
        <v>0.7</v>
      </c>
      <c r="H20" s="35" t="str">
        <f t="shared" si="1"/>
        <v>جيد</v>
      </c>
      <c r="I20" s="56"/>
      <c r="J20" s="57"/>
    </row>
    <row r="21" spans="1:10" ht="39.9" customHeight="1" x14ac:dyDescent="0.3">
      <c r="A21" s="10"/>
      <c r="B21" s="81" t="s">
        <v>182</v>
      </c>
      <c r="C21" s="82"/>
      <c r="D21" s="82"/>
      <c r="E21" s="82"/>
      <c r="F21" s="82"/>
      <c r="G21" s="82"/>
      <c r="H21" s="82"/>
      <c r="I21" s="82"/>
      <c r="J21" s="83"/>
    </row>
    <row r="22" spans="1:10" ht="50.1" customHeight="1" x14ac:dyDescent="0.3">
      <c r="A22" s="10"/>
      <c r="B22" s="77" t="s">
        <v>222</v>
      </c>
      <c r="C22" s="78"/>
      <c r="D22" s="78"/>
      <c r="E22" s="9"/>
      <c r="F22" s="26"/>
      <c r="G22" s="30"/>
      <c r="H22" s="31"/>
      <c r="I22" s="48"/>
      <c r="J22" s="49"/>
    </row>
    <row r="23" spans="1:10" ht="39.9" customHeight="1" x14ac:dyDescent="0.3">
      <c r="A23" s="10"/>
      <c r="B23" s="77" t="s">
        <v>199</v>
      </c>
      <c r="C23" s="78"/>
      <c r="D23" s="78"/>
      <c r="E23" s="9">
        <v>5</v>
      </c>
      <c r="F23" s="26">
        <v>3.75</v>
      </c>
      <c r="G23" s="30">
        <f t="shared" si="0"/>
        <v>0.75</v>
      </c>
      <c r="H23" s="31" t="str">
        <f t="shared" si="1"/>
        <v>جيد</v>
      </c>
      <c r="I23" s="48"/>
      <c r="J23" s="49"/>
    </row>
    <row r="24" spans="1:10" ht="39.9" customHeight="1" x14ac:dyDescent="0.3">
      <c r="A24" s="10"/>
      <c r="B24" s="77" t="s">
        <v>200</v>
      </c>
      <c r="C24" s="78"/>
      <c r="D24" s="78"/>
      <c r="E24" s="9">
        <v>5</v>
      </c>
      <c r="F24" s="26">
        <v>3.75</v>
      </c>
      <c r="G24" s="30">
        <f t="shared" si="0"/>
        <v>0.75</v>
      </c>
      <c r="H24" s="31" t="str">
        <f t="shared" si="1"/>
        <v>جيد</v>
      </c>
      <c r="I24" s="48"/>
      <c r="J24" s="49"/>
    </row>
    <row r="25" spans="1:10" ht="70.5" customHeight="1" x14ac:dyDescent="0.3">
      <c r="A25" s="10"/>
      <c r="B25" s="73" t="s">
        <v>201</v>
      </c>
      <c r="C25" s="74"/>
      <c r="D25" s="74"/>
      <c r="E25" s="32"/>
      <c r="F25" s="26"/>
      <c r="G25" s="30"/>
      <c r="H25" s="31"/>
      <c r="I25" s="48"/>
      <c r="J25" s="49"/>
    </row>
    <row r="26" spans="1:10" ht="39.9" customHeight="1" x14ac:dyDescent="0.3">
      <c r="A26" s="10"/>
      <c r="B26" s="86" t="s">
        <v>183</v>
      </c>
      <c r="C26" s="87"/>
      <c r="D26" s="87"/>
      <c r="E26" s="9">
        <v>5</v>
      </c>
      <c r="F26" s="26">
        <v>3.5</v>
      </c>
      <c r="G26" s="30">
        <f t="shared" si="0"/>
        <v>0.7</v>
      </c>
      <c r="H26" s="31" t="str">
        <f t="shared" si="1"/>
        <v>جيد</v>
      </c>
      <c r="I26" s="48"/>
      <c r="J26" s="49"/>
    </row>
    <row r="27" spans="1:10" ht="39.9" customHeight="1" x14ac:dyDescent="0.3">
      <c r="A27" s="10"/>
      <c r="B27" s="86" t="s">
        <v>184</v>
      </c>
      <c r="C27" s="87"/>
      <c r="D27" s="87"/>
      <c r="E27" s="9">
        <v>5</v>
      </c>
      <c r="F27" s="26">
        <v>3.75</v>
      </c>
      <c r="G27" s="30">
        <f t="shared" si="0"/>
        <v>0.75</v>
      </c>
      <c r="H27" s="31" t="str">
        <f t="shared" si="1"/>
        <v>جيد</v>
      </c>
      <c r="I27" s="48"/>
      <c r="J27" s="49"/>
    </row>
    <row r="28" spans="1:10" ht="39.9" customHeight="1" x14ac:dyDescent="0.3">
      <c r="A28" s="10"/>
      <c r="B28" s="86" t="s">
        <v>185</v>
      </c>
      <c r="C28" s="87"/>
      <c r="D28" s="87"/>
      <c r="E28" s="9">
        <v>5</v>
      </c>
      <c r="F28" s="26">
        <v>3.75</v>
      </c>
      <c r="G28" s="30">
        <f t="shared" si="0"/>
        <v>0.75</v>
      </c>
      <c r="H28" s="31" t="str">
        <f t="shared" si="1"/>
        <v>جيد</v>
      </c>
      <c r="I28" s="48"/>
      <c r="J28" s="49"/>
    </row>
    <row r="29" spans="1:10" ht="39.9" customHeight="1" x14ac:dyDescent="0.3">
      <c r="A29" s="10"/>
      <c r="B29" s="86" t="s">
        <v>186</v>
      </c>
      <c r="C29" s="87"/>
      <c r="D29" s="87"/>
      <c r="E29" s="9">
        <v>5</v>
      </c>
      <c r="F29" s="26">
        <v>3.75</v>
      </c>
      <c r="G29" s="30">
        <f t="shared" si="0"/>
        <v>0.75</v>
      </c>
      <c r="H29" s="31" t="str">
        <f t="shared" si="1"/>
        <v>جيد</v>
      </c>
      <c r="I29" s="48"/>
      <c r="J29" s="49"/>
    </row>
    <row r="30" spans="1:10" ht="39.9" customHeight="1" x14ac:dyDescent="0.3">
      <c r="A30" s="10"/>
      <c r="B30" s="86" t="s">
        <v>187</v>
      </c>
      <c r="C30" s="87"/>
      <c r="D30" s="87"/>
      <c r="E30" s="9">
        <v>5</v>
      </c>
      <c r="F30" s="26">
        <v>3.75</v>
      </c>
      <c r="G30" s="30">
        <f t="shared" si="0"/>
        <v>0.75</v>
      </c>
      <c r="H30" s="31" t="str">
        <f t="shared" si="1"/>
        <v>جيد</v>
      </c>
      <c r="I30" s="48"/>
      <c r="J30" s="49"/>
    </row>
    <row r="31" spans="1:10" ht="39.9" customHeight="1" x14ac:dyDescent="0.3">
      <c r="A31" s="10"/>
      <c r="B31" s="86" t="s">
        <v>188</v>
      </c>
      <c r="C31" s="87"/>
      <c r="D31" s="87"/>
      <c r="E31" s="9">
        <v>5</v>
      </c>
      <c r="F31" s="26">
        <v>3.75</v>
      </c>
      <c r="G31" s="30">
        <f t="shared" si="0"/>
        <v>0.75</v>
      </c>
      <c r="H31" s="31" t="str">
        <f t="shared" si="1"/>
        <v>جيد</v>
      </c>
      <c r="I31" s="48"/>
      <c r="J31" s="49"/>
    </row>
    <row r="32" spans="1:10" ht="65.099999999999994" customHeight="1" x14ac:dyDescent="0.3">
      <c r="A32" s="10"/>
      <c r="B32" s="86" t="s">
        <v>189</v>
      </c>
      <c r="C32" s="87"/>
      <c r="D32" s="87"/>
      <c r="E32" s="9">
        <v>5</v>
      </c>
      <c r="F32" s="26">
        <v>3.5</v>
      </c>
      <c r="G32" s="30">
        <f t="shared" si="0"/>
        <v>0.7</v>
      </c>
      <c r="H32" s="31" t="str">
        <f t="shared" si="1"/>
        <v>جيد</v>
      </c>
      <c r="I32" s="48"/>
      <c r="J32" s="49"/>
    </row>
    <row r="33" spans="1:10" ht="39.9" customHeight="1" x14ac:dyDescent="0.3">
      <c r="A33" s="10"/>
      <c r="B33" s="73" t="s">
        <v>202</v>
      </c>
      <c r="C33" s="74"/>
      <c r="D33" s="74"/>
      <c r="E33" s="9">
        <v>5</v>
      </c>
      <c r="F33" s="26">
        <v>3.5</v>
      </c>
      <c r="G33" s="30">
        <f t="shared" si="0"/>
        <v>0.7</v>
      </c>
      <c r="H33" s="31" t="str">
        <f t="shared" si="1"/>
        <v>جيد</v>
      </c>
      <c r="I33" s="48"/>
      <c r="J33" s="49"/>
    </row>
    <row r="34" spans="1:10" ht="39.9" customHeight="1" thickBot="1" x14ac:dyDescent="0.35">
      <c r="A34" s="10"/>
      <c r="B34" s="75" t="s">
        <v>203</v>
      </c>
      <c r="C34" s="76"/>
      <c r="D34" s="76"/>
      <c r="E34" s="33">
        <v>5</v>
      </c>
      <c r="F34" s="27">
        <v>3.75</v>
      </c>
      <c r="G34" s="34">
        <f t="shared" si="0"/>
        <v>0.75</v>
      </c>
      <c r="H34" s="35" t="str">
        <f t="shared" si="1"/>
        <v>جيد</v>
      </c>
      <c r="I34" s="56"/>
      <c r="J34" s="57"/>
    </row>
    <row r="35" spans="1:10" ht="39.9" customHeight="1" x14ac:dyDescent="0.3">
      <c r="A35" s="10"/>
      <c r="B35" s="81" t="s">
        <v>190</v>
      </c>
      <c r="C35" s="82"/>
      <c r="D35" s="82"/>
      <c r="E35" s="82"/>
      <c r="F35" s="82"/>
      <c r="G35" s="82"/>
      <c r="H35" s="82"/>
      <c r="I35" s="82"/>
      <c r="J35" s="83"/>
    </row>
    <row r="36" spans="1:10" ht="39.9" customHeight="1" x14ac:dyDescent="0.3">
      <c r="A36" s="10"/>
      <c r="B36" s="77" t="s">
        <v>204</v>
      </c>
      <c r="C36" s="78"/>
      <c r="D36" s="78"/>
      <c r="E36" s="9">
        <v>5</v>
      </c>
      <c r="F36" s="26">
        <v>3.75</v>
      </c>
      <c r="G36" s="30">
        <f t="shared" si="0"/>
        <v>0.75</v>
      </c>
      <c r="H36" s="31" t="str">
        <f t="shared" si="1"/>
        <v>جيد</v>
      </c>
      <c r="I36" s="48"/>
      <c r="J36" s="49"/>
    </row>
    <row r="37" spans="1:10" ht="50.1" customHeight="1" x14ac:dyDescent="0.3">
      <c r="A37" s="10"/>
      <c r="B37" s="77" t="s">
        <v>205</v>
      </c>
      <c r="C37" s="78"/>
      <c r="D37" s="78"/>
      <c r="E37" s="9">
        <v>5</v>
      </c>
      <c r="F37" s="26">
        <v>3.75</v>
      </c>
      <c r="G37" s="30">
        <f t="shared" si="0"/>
        <v>0.75</v>
      </c>
      <c r="H37" s="31" t="str">
        <f t="shared" si="1"/>
        <v>جيد</v>
      </c>
      <c r="I37" s="48"/>
      <c r="J37" s="49"/>
    </row>
    <row r="38" spans="1:10" ht="39.9" customHeight="1" x14ac:dyDescent="0.3">
      <c r="A38" s="10"/>
      <c r="B38" s="77" t="s">
        <v>206</v>
      </c>
      <c r="C38" s="78"/>
      <c r="D38" s="78"/>
      <c r="E38" s="9">
        <v>5</v>
      </c>
      <c r="F38" s="26">
        <v>3.75</v>
      </c>
      <c r="G38" s="30">
        <f t="shared" si="0"/>
        <v>0.75</v>
      </c>
      <c r="H38" s="31" t="str">
        <f t="shared" si="1"/>
        <v>جيد</v>
      </c>
      <c r="I38" s="48"/>
      <c r="J38" s="49"/>
    </row>
    <row r="39" spans="1:10" ht="54.9" customHeight="1" x14ac:dyDescent="0.3">
      <c r="A39" s="10"/>
      <c r="B39" s="77" t="s">
        <v>207</v>
      </c>
      <c r="C39" s="78"/>
      <c r="D39" s="78"/>
      <c r="E39" s="9">
        <v>5</v>
      </c>
      <c r="F39" s="26">
        <v>3.5</v>
      </c>
      <c r="G39" s="30">
        <f t="shared" si="0"/>
        <v>0.7</v>
      </c>
      <c r="H39" s="31" t="str">
        <f t="shared" si="1"/>
        <v>جيد</v>
      </c>
      <c r="I39" s="48"/>
      <c r="J39" s="49"/>
    </row>
    <row r="40" spans="1:10" ht="39.9" customHeight="1" x14ac:dyDescent="0.3">
      <c r="A40" s="10"/>
      <c r="B40" s="77" t="s">
        <v>208</v>
      </c>
      <c r="C40" s="78"/>
      <c r="D40" s="78"/>
      <c r="E40" s="9">
        <v>5</v>
      </c>
      <c r="F40" s="26">
        <v>3.75</v>
      </c>
      <c r="G40" s="30">
        <f t="shared" si="0"/>
        <v>0.75</v>
      </c>
      <c r="H40" s="31" t="str">
        <f t="shared" si="1"/>
        <v>جيد</v>
      </c>
      <c r="I40" s="48"/>
      <c r="J40" s="49"/>
    </row>
    <row r="41" spans="1:10" ht="54.9" customHeight="1" x14ac:dyDescent="0.3">
      <c r="A41" s="10"/>
      <c r="B41" s="77" t="s">
        <v>209</v>
      </c>
      <c r="C41" s="78"/>
      <c r="D41" s="78"/>
      <c r="E41" s="9">
        <v>5</v>
      </c>
      <c r="F41" s="26">
        <v>3.5</v>
      </c>
      <c r="G41" s="30">
        <f t="shared" si="0"/>
        <v>0.7</v>
      </c>
      <c r="H41" s="31" t="str">
        <f t="shared" si="1"/>
        <v>جيد</v>
      </c>
      <c r="I41" s="48"/>
      <c r="J41" s="49"/>
    </row>
    <row r="42" spans="1:10" ht="54.9" customHeight="1" x14ac:dyDescent="0.3">
      <c r="A42" s="10"/>
      <c r="B42" s="77" t="s">
        <v>210</v>
      </c>
      <c r="C42" s="78"/>
      <c r="D42" s="78"/>
      <c r="E42" s="9">
        <v>5</v>
      </c>
      <c r="F42" s="26">
        <v>3.75</v>
      </c>
      <c r="G42" s="30">
        <f t="shared" si="0"/>
        <v>0.75</v>
      </c>
      <c r="H42" s="31" t="str">
        <f t="shared" si="1"/>
        <v>جيد</v>
      </c>
      <c r="I42" s="48"/>
      <c r="J42" s="49"/>
    </row>
    <row r="43" spans="1:10" ht="39.9" customHeight="1" x14ac:dyDescent="0.3">
      <c r="A43" s="10"/>
      <c r="B43" s="77" t="s">
        <v>211</v>
      </c>
      <c r="C43" s="78"/>
      <c r="D43" s="78"/>
      <c r="E43" s="9">
        <v>5</v>
      </c>
      <c r="F43" s="26">
        <v>3.75</v>
      </c>
      <c r="G43" s="30">
        <f t="shared" si="0"/>
        <v>0.75</v>
      </c>
      <c r="H43" s="31" t="str">
        <f t="shared" si="1"/>
        <v>جيد</v>
      </c>
      <c r="I43" s="48"/>
      <c r="J43" s="49"/>
    </row>
    <row r="44" spans="1:10" ht="54.9" customHeight="1" x14ac:dyDescent="0.3">
      <c r="A44" s="10"/>
      <c r="B44" s="77" t="s">
        <v>212</v>
      </c>
      <c r="C44" s="78"/>
      <c r="D44" s="78"/>
      <c r="E44" s="9">
        <v>5</v>
      </c>
      <c r="F44" s="26">
        <v>3.5</v>
      </c>
      <c r="G44" s="30">
        <f t="shared" si="0"/>
        <v>0.7</v>
      </c>
      <c r="H44" s="31" t="str">
        <f t="shared" si="1"/>
        <v>جيد</v>
      </c>
      <c r="I44" s="48"/>
      <c r="J44" s="49"/>
    </row>
    <row r="45" spans="1:10" ht="54.9" customHeight="1" x14ac:dyDescent="0.3">
      <c r="A45" s="10"/>
      <c r="B45" s="77" t="s">
        <v>213</v>
      </c>
      <c r="C45" s="78"/>
      <c r="D45" s="78"/>
      <c r="E45" s="9">
        <v>5</v>
      </c>
      <c r="F45" s="26">
        <v>3.75</v>
      </c>
      <c r="G45" s="30">
        <f t="shared" si="0"/>
        <v>0.75</v>
      </c>
      <c r="H45" s="31" t="str">
        <f t="shared" si="1"/>
        <v>جيد</v>
      </c>
      <c r="I45" s="48"/>
      <c r="J45" s="49"/>
    </row>
    <row r="46" spans="1:10" ht="39.9" customHeight="1" x14ac:dyDescent="0.3">
      <c r="A46" s="10"/>
      <c r="B46" s="77" t="s">
        <v>214</v>
      </c>
      <c r="C46" s="78"/>
      <c r="D46" s="78"/>
      <c r="E46" s="9">
        <v>5</v>
      </c>
      <c r="F46" s="26">
        <v>3.5</v>
      </c>
      <c r="G46" s="30">
        <f t="shared" si="0"/>
        <v>0.7</v>
      </c>
      <c r="H46" s="31" t="str">
        <f t="shared" si="1"/>
        <v>جيد</v>
      </c>
      <c r="I46" s="48"/>
      <c r="J46" s="49"/>
    </row>
    <row r="47" spans="1:10" ht="39.9" customHeight="1" x14ac:dyDescent="0.3">
      <c r="A47" s="10"/>
      <c r="B47" s="77" t="s">
        <v>215</v>
      </c>
      <c r="C47" s="78"/>
      <c r="D47" s="78"/>
      <c r="E47" s="9">
        <v>5</v>
      </c>
      <c r="F47" s="26">
        <v>3.5</v>
      </c>
      <c r="G47" s="30">
        <f t="shared" si="0"/>
        <v>0.7</v>
      </c>
      <c r="H47" s="31" t="str">
        <f t="shared" si="1"/>
        <v>جيد</v>
      </c>
      <c r="I47" s="48"/>
      <c r="J47" s="49"/>
    </row>
    <row r="48" spans="1:10" ht="39.9" customHeight="1" x14ac:dyDescent="0.3">
      <c r="A48" s="10"/>
      <c r="B48" s="77" t="s">
        <v>216</v>
      </c>
      <c r="C48" s="78"/>
      <c r="D48" s="78"/>
      <c r="E48" s="9"/>
      <c r="F48" s="26"/>
      <c r="G48" s="30"/>
      <c r="H48" s="31"/>
      <c r="I48" s="48"/>
      <c r="J48" s="49"/>
    </row>
    <row r="49" spans="1:10" ht="50.1" customHeight="1" x14ac:dyDescent="0.3">
      <c r="A49" s="10"/>
      <c r="B49" s="86" t="s">
        <v>191</v>
      </c>
      <c r="C49" s="87"/>
      <c r="D49" s="87"/>
      <c r="E49" s="9">
        <v>5</v>
      </c>
      <c r="F49" s="26">
        <v>3.75</v>
      </c>
      <c r="G49" s="30">
        <f t="shared" si="0"/>
        <v>0.75</v>
      </c>
      <c r="H49" s="31" t="str">
        <f t="shared" si="1"/>
        <v>جيد</v>
      </c>
      <c r="I49" s="48"/>
      <c r="J49" s="49"/>
    </row>
    <row r="50" spans="1:10" ht="39.9" customHeight="1" x14ac:dyDescent="0.3">
      <c r="A50" s="10"/>
      <c r="B50" s="86" t="s">
        <v>192</v>
      </c>
      <c r="C50" s="87"/>
      <c r="D50" s="87"/>
      <c r="E50" s="9">
        <v>5</v>
      </c>
      <c r="F50" s="26">
        <v>3.75</v>
      </c>
      <c r="G50" s="30">
        <f t="shared" si="0"/>
        <v>0.75</v>
      </c>
      <c r="H50" s="31" t="str">
        <f t="shared" si="1"/>
        <v>جيد</v>
      </c>
      <c r="I50" s="48"/>
      <c r="J50" s="49"/>
    </row>
    <row r="51" spans="1:10" ht="39.9" customHeight="1" x14ac:dyDescent="0.3">
      <c r="A51" s="10"/>
      <c r="B51" s="77" t="s">
        <v>217</v>
      </c>
      <c r="C51" s="78"/>
      <c r="D51" s="78"/>
      <c r="E51" s="9">
        <v>5</v>
      </c>
      <c r="F51" s="26">
        <v>3.75</v>
      </c>
      <c r="G51" s="30">
        <f t="shared" si="0"/>
        <v>0.75</v>
      </c>
      <c r="H51" s="31" t="str">
        <f t="shared" si="1"/>
        <v>جيد</v>
      </c>
      <c r="I51" s="48"/>
      <c r="J51" s="49"/>
    </row>
    <row r="52" spans="1:10" ht="39.9" customHeight="1" x14ac:dyDescent="0.3">
      <c r="A52" s="10"/>
      <c r="B52" s="77" t="s">
        <v>218</v>
      </c>
      <c r="C52" s="78"/>
      <c r="D52" s="78"/>
      <c r="E52" s="9">
        <v>5</v>
      </c>
      <c r="F52" s="26">
        <v>3.75</v>
      </c>
      <c r="G52" s="30">
        <f t="shared" si="0"/>
        <v>0.75</v>
      </c>
      <c r="H52" s="31" t="str">
        <f t="shared" si="1"/>
        <v>جيد</v>
      </c>
      <c r="I52" s="48"/>
      <c r="J52" s="49"/>
    </row>
    <row r="53" spans="1:10" ht="39.9" customHeight="1" x14ac:dyDescent="0.3">
      <c r="A53" s="10"/>
      <c r="B53" s="77" t="s">
        <v>219</v>
      </c>
      <c r="C53" s="78"/>
      <c r="D53" s="78"/>
      <c r="E53" s="9">
        <v>5</v>
      </c>
      <c r="F53" s="26">
        <v>3.75</v>
      </c>
      <c r="G53" s="30">
        <f t="shared" si="0"/>
        <v>0.75</v>
      </c>
      <c r="H53" s="31" t="str">
        <f t="shared" si="1"/>
        <v>جيد</v>
      </c>
      <c r="I53" s="48"/>
      <c r="J53" s="49"/>
    </row>
    <row r="54" spans="1:10" ht="39.9" customHeight="1" thickBot="1" x14ac:dyDescent="0.35">
      <c r="A54" s="10"/>
      <c r="B54" s="79" t="s">
        <v>220</v>
      </c>
      <c r="C54" s="80"/>
      <c r="D54" s="80"/>
      <c r="E54" s="33">
        <v>5</v>
      </c>
      <c r="F54" s="27">
        <v>3.75</v>
      </c>
      <c r="G54" s="34">
        <f t="shared" si="0"/>
        <v>0.75</v>
      </c>
      <c r="H54" s="35" t="str">
        <f t="shared" si="1"/>
        <v>جيد</v>
      </c>
      <c r="I54" s="56"/>
      <c r="J54" s="57"/>
    </row>
    <row r="55" spans="1:10" ht="30" customHeight="1" thickBot="1" x14ac:dyDescent="0.35">
      <c r="A55" s="4"/>
      <c r="B55" s="69" t="s">
        <v>5</v>
      </c>
      <c r="C55" s="70"/>
      <c r="D55" s="70"/>
      <c r="E55" s="29">
        <f>SUM(E8:E54)</f>
        <v>195</v>
      </c>
      <c r="F55" s="29">
        <f>SUM(F8:F54)</f>
        <v>143.5</v>
      </c>
      <c r="G55" s="66"/>
      <c r="H55" s="67"/>
      <c r="I55" s="67"/>
      <c r="J55" s="68"/>
    </row>
    <row r="56" spans="1:10" ht="30" customHeight="1" thickBot="1" x14ac:dyDescent="0.35">
      <c r="A56" s="4"/>
      <c r="B56" s="71" t="s">
        <v>54</v>
      </c>
      <c r="C56" s="72"/>
      <c r="D56" s="72"/>
      <c r="E56" s="44">
        <f>F55/E55/100*100</f>
        <v>0.73589743589743595</v>
      </c>
      <c r="F56" s="44"/>
      <c r="G56" s="44"/>
      <c r="H56" s="44"/>
      <c r="I56" s="44"/>
      <c r="J56" s="45"/>
    </row>
    <row r="57" spans="1:10" ht="30" customHeight="1" thickBot="1" x14ac:dyDescent="0.35">
      <c r="A57" s="4"/>
      <c r="B57" s="71" t="s">
        <v>55</v>
      </c>
      <c r="C57" s="72"/>
      <c r="D57" s="72"/>
      <c r="E57" s="62" t="str">
        <f>_xlfn.IFS(E56&gt;=90%,"ممتاز",E56&gt;=80%,"جيد جداً",E56&gt;=70%,"جيد",E56&gt;=60%,"مقبول",E56&lt;60%,"راسب")</f>
        <v>جيد</v>
      </c>
      <c r="F57" s="62"/>
      <c r="G57" s="62"/>
      <c r="H57" s="62"/>
      <c r="I57" s="62"/>
      <c r="J57" s="63"/>
    </row>
    <row r="58" spans="1:10" ht="42" customHeight="1" x14ac:dyDescent="0.3">
      <c r="B58" s="58" t="s">
        <v>175</v>
      </c>
      <c r="C58" s="58"/>
      <c r="D58" s="58"/>
      <c r="E58" s="64" t="s">
        <v>52</v>
      </c>
      <c r="F58" s="64"/>
      <c r="G58" s="60" t="s">
        <v>142</v>
      </c>
      <c r="H58" s="60"/>
      <c r="I58" s="60"/>
      <c r="J58" s="60"/>
    </row>
    <row r="59" spans="1:10" ht="51" customHeight="1" x14ac:dyDescent="0.3">
      <c r="A59" s="5"/>
      <c r="B59" s="59"/>
      <c r="C59" s="59"/>
      <c r="D59" s="59"/>
      <c r="E59" s="65" t="s">
        <v>53</v>
      </c>
      <c r="F59" s="65"/>
      <c r="G59" s="61"/>
      <c r="H59" s="61"/>
      <c r="I59" s="61"/>
      <c r="J59" s="61"/>
    </row>
  </sheetData>
  <sheetProtection formatCells="0" formatColumns="0" formatRows="0" insertColumns="0" insertRows="0" insertHyperlinks="0" deleteColumns="0" deleteRows="0" selectLockedCells="1" sort="0" autoFilter="0" pivotTables="0"/>
  <mergeCells count="113">
    <mergeCell ref="C4:D4"/>
    <mergeCell ref="B8:J8"/>
    <mergeCell ref="B44:D44"/>
    <mergeCell ref="B45:D45"/>
    <mergeCell ref="B46:D46"/>
    <mergeCell ref="B47:D47"/>
    <mergeCell ref="B48:D48"/>
    <mergeCell ref="B49:D49"/>
    <mergeCell ref="B50:D50"/>
    <mergeCell ref="B51:D51"/>
    <mergeCell ref="B36:D36"/>
    <mergeCell ref="B37:D37"/>
    <mergeCell ref="B38:D38"/>
    <mergeCell ref="B39:D39"/>
    <mergeCell ref="B40:D40"/>
    <mergeCell ref="B41:D41"/>
    <mergeCell ref="B42:D42"/>
    <mergeCell ref="B43:D43"/>
    <mergeCell ref="B26:D26"/>
    <mergeCell ref="B27:D27"/>
    <mergeCell ref="B9:D9"/>
    <mergeCell ref="B10:D10"/>
    <mergeCell ref="B11:D11"/>
    <mergeCell ref="B12:D12"/>
    <mergeCell ref="B13:D13"/>
    <mergeCell ref="B15:D15"/>
    <mergeCell ref="B16:D16"/>
    <mergeCell ref="I32:J32"/>
    <mergeCell ref="I9:J9"/>
    <mergeCell ref="B28:D28"/>
    <mergeCell ref="B29:D29"/>
    <mergeCell ref="B30:D30"/>
    <mergeCell ref="B31:D31"/>
    <mergeCell ref="B32:D32"/>
    <mergeCell ref="B17:D17"/>
    <mergeCell ref="B18:D18"/>
    <mergeCell ref="B19:D19"/>
    <mergeCell ref="B20:D20"/>
    <mergeCell ref="B22:D22"/>
    <mergeCell ref="B23:D23"/>
    <mergeCell ref="B24:D24"/>
    <mergeCell ref="B25:D25"/>
    <mergeCell ref="B21:J21"/>
    <mergeCell ref="I33:J33"/>
    <mergeCell ref="I34:J34"/>
    <mergeCell ref="I36:J36"/>
    <mergeCell ref="B55:D55"/>
    <mergeCell ref="B56:D56"/>
    <mergeCell ref="B57:D57"/>
    <mergeCell ref="I11:J11"/>
    <mergeCell ref="I12:J12"/>
    <mergeCell ref="I13:J13"/>
    <mergeCell ref="I14:J14"/>
    <mergeCell ref="I15:J15"/>
    <mergeCell ref="I16:J16"/>
    <mergeCell ref="I17:J17"/>
    <mergeCell ref="I18:J18"/>
    <mergeCell ref="I28:J28"/>
    <mergeCell ref="I29:J29"/>
    <mergeCell ref="I27:J27"/>
    <mergeCell ref="B33:D33"/>
    <mergeCell ref="B34:D34"/>
    <mergeCell ref="B53:D53"/>
    <mergeCell ref="B54:D54"/>
    <mergeCell ref="B35:J35"/>
    <mergeCell ref="B52:D52"/>
    <mergeCell ref="B14:D14"/>
    <mergeCell ref="B58:D59"/>
    <mergeCell ref="G58:J58"/>
    <mergeCell ref="G59:J59"/>
    <mergeCell ref="E57:J57"/>
    <mergeCell ref="I40:J40"/>
    <mergeCell ref="I41:J41"/>
    <mergeCell ref="I42:J42"/>
    <mergeCell ref="I43:J43"/>
    <mergeCell ref="I44:J44"/>
    <mergeCell ref="I49:J49"/>
    <mergeCell ref="I50:J50"/>
    <mergeCell ref="I51:J51"/>
    <mergeCell ref="I52:J52"/>
    <mergeCell ref="I53:J53"/>
    <mergeCell ref="I54:J54"/>
    <mergeCell ref="I45:J45"/>
    <mergeCell ref="I46:J46"/>
    <mergeCell ref="I47:J47"/>
    <mergeCell ref="I48:J48"/>
    <mergeCell ref="E58:F58"/>
    <mergeCell ref="E59:F59"/>
    <mergeCell ref="G55:J55"/>
    <mergeCell ref="B1:J1"/>
    <mergeCell ref="F2:J2"/>
    <mergeCell ref="B5:D6"/>
    <mergeCell ref="C2:D2"/>
    <mergeCell ref="C3:D3"/>
    <mergeCell ref="F3:J3"/>
    <mergeCell ref="E56:J56"/>
    <mergeCell ref="B7:D7"/>
    <mergeCell ref="I38:J38"/>
    <mergeCell ref="I39:J39"/>
    <mergeCell ref="I30:J30"/>
    <mergeCell ref="I31:J31"/>
    <mergeCell ref="E5:H5"/>
    <mergeCell ref="I37:J37"/>
    <mergeCell ref="I5:J6"/>
    <mergeCell ref="I7:J7"/>
    <mergeCell ref="I10:J10"/>
    <mergeCell ref="I19:J19"/>
    <mergeCell ref="I20:J20"/>
    <mergeCell ref="I22:J22"/>
    <mergeCell ref="I23:J23"/>
    <mergeCell ref="I24:J24"/>
    <mergeCell ref="I25:J25"/>
    <mergeCell ref="I26:J26"/>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57">
    <cfRule type="expression" dxfId="21" priority="57">
      <formula>$E57="راسب"</formula>
    </cfRule>
  </conditionalFormatting>
  <conditionalFormatting sqref="E57:J57">
    <cfRule type="expression" dxfId="20" priority="60">
      <formula>$E57="جيد جداً"</formula>
    </cfRule>
    <cfRule type="expression" dxfId="19" priority="59">
      <formula>$E57="جيد"</formula>
    </cfRule>
    <cfRule type="expression" dxfId="18" priority="58">
      <formula>$E57="مقبول"</formula>
    </cfRule>
    <cfRule type="expression" dxfId="17" priority="61">
      <formula>$E57="ممتاز"</formula>
    </cfRule>
  </conditionalFormatting>
  <conditionalFormatting sqref="F9:F20">
    <cfRule type="containsText" dxfId="16" priority="4" operator="containsText" text="أدخل العلامة">
      <formula>NOT(ISERROR(SEARCH("أدخل العلامة",F9)))</formula>
    </cfRule>
  </conditionalFormatting>
  <conditionalFormatting sqref="F22:F34 F36:F54">
    <cfRule type="containsText" dxfId="15" priority="14" operator="containsText" text="أدخل العلامة">
      <formula>NOT(ISERROR(SEARCH("أدخل العلامة",F22)))</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58:J58">
    <cfRule type="containsText" dxfId="12" priority="15" operator="containsText" text="أدخل اسم المحكم">
      <formula>NOT(ISERROR(SEARCH("أدخل اسم المحكم",G58)))</formula>
    </cfRule>
  </conditionalFormatting>
  <conditionalFormatting sqref="H9:H20">
    <cfRule type="containsText" dxfId="11" priority="10" operator="containsText" text="راسب">
      <formula>NOT(ISERROR(SEARCH("راسب",H9)))</formula>
    </cfRule>
    <cfRule type="containsText" dxfId="10" priority="9" operator="containsText" text="مقبول">
      <formula>NOT(ISERROR(SEARCH("مقبول",H9)))</formula>
    </cfRule>
    <cfRule type="containsText" dxfId="9" priority="8" operator="containsText" text="جيد">
      <formula>NOT(ISERROR(SEARCH("جيد",H9)))</formula>
    </cfRule>
    <cfRule type="containsText" dxfId="8" priority="7" operator="containsText" text="جيد جداً">
      <formula>NOT(ISERROR(SEARCH("جيد جداً",H9)))</formula>
    </cfRule>
    <cfRule type="containsText" dxfId="7" priority="6" operator="containsText" text="ممتاز">
      <formula>NOT(ISERROR(SEARCH("ممتاز",H9)))</formula>
    </cfRule>
    <cfRule type="containsText" dxfId="6" priority="5" operator="containsText" text="أدخل العلامة">
      <formula>NOT(ISERROR(SEARCH("أدخل العلامة",H9)))</formula>
    </cfRule>
  </conditionalFormatting>
  <conditionalFormatting sqref="H22:H34 H36:H54">
    <cfRule type="containsText" dxfId="5" priority="38" operator="containsText" text="أدخل العلامة">
      <formula>NOT(ISERROR(SEARCH("أدخل العلامة",H22)))</formula>
    </cfRule>
    <cfRule type="containsText" dxfId="4" priority="39" operator="containsText" text="ممتاز">
      <formula>NOT(ISERROR(SEARCH("ممتاز",H22)))</formula>
    </cfRule>
    <cfRule type="containsText" dxfId="3" priority="40" operator="containsText" text="جيد جداً">
      <formula>NOT(ISERROR(SEARCH("جيد جداً",H22)))</formula>
    </cfRule>
    <cfRule type="containsText" dxfId="2" priority="41" operator="containsText" text="جيد">
      <formula>NOT(ISERROR(SEARCH("جيد",H22)))</formula>
    </cfRule>
    <cfRule type="containsText" dxfId="1" priority="42" operator="containsText" text="مقبول">
      <formula>NOT(ISERROR(SEARCH("مقبول",H22)))</formula>
    </cfRule>
    <cfRule type="containsText" dxfId="0" priority="43" operator="containsText" text="راسب">
      <formula>NOT(ISERROR(SEARCH("راسب",H22)))</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F49:F54 F36:F47 F26:F34 F23:F24 F11:F20</xm:sqref>
        </x14:dataValidation>
        <x14:dataValidation type="list" allowBlank="1" showInputMessage="1" showErrorMessage="1" xr:uid="{AE50457C-7424-4A4C-907B-8DC6AA09E7A3}">
          <x14:formula1>
            <xm:f>'بيانات التقييم'!$A$198:$A$285</xm:f>
          </x14:formula1>
          <xm:sqref>G58:J58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9" t="s">
        <v>62</v>
      </c>
    </row>
    <row r="3" spans="1:3" ht="20.100000000000001" customHeight="1" thickBot="1" x14ac:dyDescent="0.35">
      <c r="A3" s="2" t="s">
        <v>26</v>
      </c>
      <c r="C3" s="19" t="s">
        <v>63</v>
      </c>
    </row>
    <row r="4" spans="1:3" ht="20.100000000000001" customHeight="1" thickBot="1" x14ac:dyDescent="0.35">
      <c r="A4" s="2" t="s">
        <v>36</v>
      </c>
      <c r="C4" s="19" t="s">
        <v>64</v>
      </c>
    </row>
    <row r="5" spans="1:3" ht="20.100000000000001" customHeight="1" thickBot="1" x14ac:dyDescent="0.35">
      <c r="A5" s="2" t="s">
        <v>37</v>
      </c>
      <c r="C5" s="19" t="s">
        <v>65</v>
      </c>
    </row>
    <row r="6" spans="1:3" ht="20.100000000000001" customHeight="1" thickBot="1" x14ac:dyDescent="0.35">
      <c r="A6" s="2" t="s">
        <v>38</v>
      </c>
      <c r="C6" s="19" t="s">
        <v>66</v>
      </c>
    </row>
    <row r="7" spans="1:3" ht="20.100000000000001" customHeight="1" thickBot="1" x14ac:dyDescent="0.35">
      <c r="A7" s="2" t="s">
        <v>39</v>
      </c>
      <c r="C7" s="19" t="s">
        <v>67</v>
      </c>
    </row>
    <row r="8" spans="1:3" ht="20.100000000000001" customHeight="1" thickBot="1" x14ac:dyDescent="0.35">
      <c r="A8" s="2" t="s">
        <v>40</v>
      </c>
      <c r="C8" s="19" t="s">
        <v>68</v>
      </c>
    </row>
    <row r="9" spans="1:3" ht="20.100000000000001" customHeight="1" thickBot="1" x14ac:dyDescent="0.35">
      <c r="A9" s="2" t="s">
        <v>41</v>
      </c>
      <c r="C9" s="19" t="s">
        <v>69</v>
      </c>
    </row>
    <row r="10" spans="1:3" ht="20.100000000000001" customHeight="1" thickBot="1" x14ac:dyDescent="0.35">
      <c r="A10" s="2" t="s">
        <v>42</v>
      </c>
      <c r="C10" s="19" t="s">
        <v>70</v>
      </c>
    </row>
    <row r="11" spans="1:3" ht="20.100000000000001" customHeight="1" thickBot="1" x14ac:dyDescent="0.35">
      <c r="A11" s="2" t="s">
        <v>43</v>
      </c>
      <c r="C11" s="19" t="s">
        <v>71</v>
      </c>
    </row>
    <row r="12" spans="1:3" ht="20.100000000000001" customHeight="1" thickBot="1" x14ac:dyDescent="0.35">
      <c r="A12" s="2" t="s">
        <v>44</v>
      </c>
      <c r="C12" s="19" t="s">
        <v>72</v>
      </c>
    </row>
    <row r="13" spans="1:3" ht="20.100000000000001" customHeight="1" thickBot="1" x14ac:dyDescent="0.35">
      <c r="A13" s="2" t="s">
        <v>45</v>
      </c>
      <c r="C13" s="19" t="s">
        <v>73</v>
      </c>
    </row>
    <row r="14" spans="1:3" ht="20.100000000000001" customHeight="1" thickBot="1" x14ac:dyDescent="0.35">
      <c r="A14" s="2" t="s">
        <v>46</v>
      </c>
      <c r="C14" s="19" t="s">
        <v>74</v>
      </c>
    </row>
    <row r="15" spans="1:3" ht="20.100000000000001" customHeight="1" thickBot="1" x14ac:dyDescent="0.35">
      <c r="A15" s="2" t="s">
        <v>47</v>
      </c>
      <c r="C15" s="19" t="s">
        <v>75</v>
      </c>
    </row>
    <row r="16" spans="1:3" ht="20.100000000000001" customHeight="1" thickBot="1" x14ac:dyDescent="0.35">
      <c r="A16" s="2" t="s">
        <v>10</v>
      </c>
      <c r="C16" s="19" t="s">
        <v>76</v>
      </c>
    </row>
    <row r="17" spans="1:3" ht="20.100000000000001" customHeight="1" thickBot="1" x14ac:dyDescent="0.35">
      <c r="A17" s="2" t="s">
        <v>27</v>
      </c>
      <c r="C17" s="19" t="s">
        <v>77</v>
      </c>
    </row>
    <row r="18" spans="1:3" ht="20.100000000000001" customHeight="1" thickBot="1" x14ac:dyDescent="0.35">
      <c r="A18" s="2" t="s">
        <v>48</v>
      </c>
      <c r="C18" s="19" t="s">
        <v>78</v>
      </c>
    </row>
    <row r="19" spans="1:3" ht="20.100000000000001" customHeight="1" thickBot="1" x14ac:dyDescent="0.35">
      <c r="A19" s="2" t="s">
        <v>49</v>
      </c>
      <c r="C19" s="19" t="s">
        <v>79</v>
      </c>
    </row>
    <row r="20" spans="1:3" ht="20.100000000000001" customHeight="1" thickBot="1" x14ac:dyDescent="0.35">
      <c r="A20" s="2" t="s">
        <v>50</v>
      </c>
      <c r="C20" s="19" t="s">
        <v>80</v>
      </c>
    </row>
    <row r="21" spans="1:3" ht="20.100000000000001" customHeight="1" thickBot="1" x14ac:dyDescent="0.35">
      <c r="A21" s="2" t="s">
        <v>51</v>
      </c>
      <c r="C21" s="19" t="s">
        <v>81</v>
      </c>
    </row>
    <row r="22" spans="1:3" ht="20.100000000000001" customHeight="1" thickBot="1" x14ac:dyDescent="0.35">
      <c r="A22" s="2" t="s">
        <v>11</v>
      </c>
      <c r="C22" s="19" t="s">
        <v>82</v>
      </c>
    </row>
    <row r="23" spans="1:3" ht="20.100000000000001" customHeight="1" thickBot="1" x14ac:dyDescent="0.35">
      <c r="A23" s="2" t="s">
        <v>12</v>
      </c>
      <c r="C23" s="19" t="s">
        <v>83</v>
      </c>
    </row>
    <row r="24" spans="1:3" ht="20.100000000000001" customHeight="1" thickBot="1" x14ac:dyDescent="0.35">
      <c r="A24" s="2" t="s">
        <v>15</v>
      </c>
      <c r="C24" s="19" t="s">
        <v>84</v>
      </c>
    </row>
    <row r="25" spans="1:3" ht="20.100000000000001" customHeight="1" thickBot="1" x14ac:dyDescent="0.35">
      <c r="A25" s="2" t="s">
        <v>28</v>
      </c>
      <c r="C25" s="19" t="s">
        <v>85</v>
      </c>
    </row>
    <row r="26" spans="1:3" ht="20.100000000000001" customHeight="1" thickBot="1" x14ac:dyDescent="0.35">
      <c r="A26" s="2" t="s">
        <v>29</v>
      </c>
      <c r="C26" s="19" t="s">
        <v>86</v>
      </c>
    </row>
    <row r="27" spans="1:3" ht="20.100000000000001" customHeight="1" thickBot="1" x14ac:dyDescent="0.35">
      <c r="A27" s="2" t="s">
        <v>13</v>
      </c>
      <c r="C27" s="19" t="s">
        <v>87</v>
      </c>
    </row>
    <row r="28" spans="1:3" ht="20.100000000000001" customHeight="1" thickBot="1" x14ac:dyDescent="0.35">
      <c r="A28" s="2" t="s">
        <v>30</v>
      </c>
      <c r="C28" s="19"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56</v>
      </c>
    </row>
    <row r="39" spans="1:9" ht="20.100000000000001" customHeight="1" thickBot="1" x14ac:dyDescent="0.35">
      <c r="A39" s="13">
        <v>45901</v>
      </c>
    </row>
    <row r="40" spans="1:9" ht="20.100000000000001" customHeight="1" thickBot="1" x14ac:dyDescent="0.35">
      <c r="A40" s="13">
        <v>45902</v>
      </c>
    </row>
    <row r="41" spans="1:9" ht="20.100000000000001" customHeight="1" thickBot="1" x14ac:dyDescent="0.35">
      <c r="A41" s="13">
        <v>45903</v>
      </c>
    </row>
    <row r="42" spans="1:9" ht="20.100000000000001" customHeight="1" thickBot="1" x14ac:dyDescent="0.35">
      <c r="A42" s="13">
        <v>45904</v>
      </c>
    </row>
    <row r="43" spans="1:9" ht="20.100000000000001" customHeight="1" thickBot="1" x14ac:dyDescent="0.35">
      <c r="A43" s="13">
        <v>45905</v>
      </c>
    </row>
    <row r="44" spans="1:9" ht="20.100000000000001" customHeight="1" thickBot="1" x14ac:dyDescent="0.35">
      <c r="A44" s="13">
        <v>45906</v>
      </c>
    </row>
    <row r="45" spans="1:9" ht="20.100000000000001" customHeight="1" thickBot="1" x14ac:dyDescent="0.35">
      <c r="A45" s="13">
        <v>45907</v>
      </c>
    </row>
    <row r="46" spans="1:9" ht="20.100000000000001" customHeight="1" thickBot="1" x14ac:dyDescent="0.35">
      <c r="A46" s="13">
        <v>45908</v>
      </c>
    </row>
    <row r="47" spans="1:9" ht="20.100000000000001" customHeight="1" thickBot="1" x14ac:dyDescent="0.35">
      <c r="A47" s="13">
        <v>45909</v>
      </c>
    </row>
    <row r="48" spans="1:9" ht="20.100000000000001" customHeight="1" thickBot="1" x14ac:dyDescent="0.35">
      <c r="A48" s="13">
        <v>45910</v>
      </c>
    </row>
    <row r="49" spans="1:1" ht="20.100000000000001" customHeight="1" thickBot="1" x14ac:dyDescent="0.35">
      <c r="A49" s="13">
        <v>45911</v>
      </c>
    </row>
    <row r="50" spans="1:1" ht="20.100000000000001" customHeight="1" thickBot="1" x14ac:dyDescent="0.35">
      <c r="A50" s="13">
        <v>45912</v>
      </c>
    </row>
    <row r="51" spans="1:1" ht="20.100000000000001" customHeight="1" thickBot="1" x14ac:dyDescent="0.35">
      <c r="A51" s="13">
        <v>45913</v>
      </c>
    </row>
    <row r="52" spans="1:1" ht="20.100000000000001" customHeight="1" thickBot="1" x14ac:dyDescent="0.35">
      <c r="A52" s="13">
        <v>45914</v>
      </c>
    </row>
    <row r="53" spans="1:1" ht="20.100000000000001" customHeight="1" thickBot="1" x14ac:dyDescent="0.35">
      <c r="A53" s="13">
        <v>45915</v>
      </c>
    </row>
    <row r="54" spans="1:1" ht="20.100000000000001" customHeight="1" thickBot="1" x14ac:dyDescent="0.35">
      <c r="A54" s="13">
        <v>45916</v>
      </c>
    </row>
    <row r="55" spans="1:1" ht="20.100000000000001" customHeight="1" thickBot="1" x14ac:dyDescent="0.35">
      <c r="A55" s="13">
        <v>45917</v>
      </c>
    </row>
    <row r="56" spans="1:1" ht="20.100000000000001" customHeight="1" thickBot="1" x14ac:dyDescent="0.35">
      <c r="A56" s="13">
        <v>45918</v>
      </c>
    </row>
    <row r="57" spans="1:1" ht="20.100000000000001" customHeight="1" thickBot="1" x14ac:dyDescent="0.35">
      <c r="A57" s="13">
        <v>45919</v>
      </c>
    </row>
    <row r="58" spans="1:1" ht="20.100000000000001" customHeight="1" thickBot="1" x14ac:dyDescent="0.35">
      <c r="A58" s="13">
        <v>45920</v>
      </c>
    </row>
    <row r="59" spans="1:1" ht="20.100000000000001" customHeight="1" thickBot="1" x14ac:dyDescent="0.35">
      <c r="A59" s="13">
        <v>45921</v>
      </c>
    </row>
    <row r="60" spans="1:1" ht="20.100000000000001" customHeight="1" thickBot="1" x14ac:dyDescent="0.35">
      <c r="A60" s="13">
        <v>45922</v>
      </c>
    </row>
    <row r="61" spans="1:1" ht="20.100000000000001" customHeight="1" thickBot="1" x14ac:dyDescent="0.35">
      <c r="A61" s="13">
        <v>45923</v>
      </c>
    </row>
    <row r="62" spans="1:1" ht="20.100000000000001" customHeight="1" thickBot="1" x14ac:dyDescent="0.35">
      <c r="A62" s="13">
        <v>45924</v>
      </c>
    </row>
    <row r="63" spans="1:1" ht="20.100000000000001" customHeight="1" thickBot="1" x14ac:dyDescent="0.35">
      <c r="A63" s="13">
        <v>45925</v>
      </c>
    </row>
    <row r="64" spans="1:1" ht="20.100000000000001" customHeight="1" thickBot="1" x14ac:dyDescent="0.35">
      <c r="A64" s="13">
        <v>45926</v>
      </c>
    </row>
    <row r="65" spans="1:1" ht="20.100000000000001" customHeight="1" thickBot="1" x14ac:dyDescent="0.35">
      <c r="A65" s="13">
        <v>45927</v>
      </c>
    </row>
    <row r="66" spans="1:1" ht="20.100000000000001" customHeight="1" thickBot="1" x14ac:dyDescent="0.35">
      <c r="A66" s="13">
        <v>45928</v>
      </c>
    </row>
    <row r="67" spans="1:1" ht="20.100000000000001" customHeight="1" thickBot="1" x14ac:dyDescent="0.35">
      <c r="A67" s="13">
        <v>45929</v>
      </c>
    </row>
    <row r="68" spans="1:1" ht="20.100000000000001" customHeight="1" thickBot="1" x14ac:dyDescent="0.35">
      <c r="A68" s="13">
        <v>45930</v>
      </c>
    </row>
    <row r="69" spans="1:1" ht="20.100000000000001" customHeight="1" thickBot="1" x14ac:dyDescent="0.35">
      <c r="A69" s="13">
        <v>45931</v>
      </c>
    </row>
    <row r="70" spans="1:1" ht="20.100000000000001" customHeight="1" thickBot="1" x14ac:dyDescent="0.35">
      <c r="A70" s="13">
        <v>45932</v>
      </c>
    </row>
    <row r="71" spans="1:1" ht="20.100000000000001" customHeight="1" thickBot="1" x14ac:dyDescent="0.35">
      <c r="A71" s="13">
        <v>45933</v>
      </c>
    </row>
    <row r="72" spans="1:1" ht="20.100000000000001" customHeight="1" thickBot="1" x14ac:dyDescent="0.35">
      <c r="A72" s="13">
        <v>45934</v>
      </c>
    </row>
    <row r="73" spans="1:1" ht="20.100000000000001" customHeight="1" thickBot="1" x14ac:dyDescent="0.35">
      <c r="A73" s="13">
        <v>45935</v>
      </c>
    </row>
    <row r="74" spans="1:1" ht="20.100000000000001" customHeight="1" thickBot="1" x14ac:dyDescent="0.35">
      <c r="A74" s="13">
        <v>45936</v>
      </c>
    </row>
    <row r="75" spans="1:1" ht="20.100000000000001" customHeight="1" thickBot="1" x14ac:dyDescent="0.35">
      <c r="A75" s="13">
        <v>45937</v>
      </c>
    </row>
    <row r="76" spans="1:1" ht="20.100000000000001" customHeight="1" thickBot="1" x14ac:dyDescent="0.35">
      <c r="A76" s="13">
        <v>45938</v>
      </c>
    </row>
    <row r="77" spans="1:1" ht="20.100000000000001" customHeight="1" thickBot="1" x14ac:dyDescent="0.35">
      <c r="A77" s="13">
        <v>45939</v>
      </c>
    </row>
    <row r="78" spans="1:1" ht="20.100000000000001" customHeight="1" thickBot="1" x14ac:dyDescent="0.35">
      <c r="A78" s="13">
        <v>45940</v>
      </c>
    </row>
    <row r="79" spans="1:1" ht="20.100000000000001" customHeight="1" thickBot="1" x14ac:dyDescent="0.35">
      <c r="A79" s="13">
        <v>45941</v>
      </c>
    </row>
    <row r="80" spans="1:1" ht="20.100000000000001" customHeight="1" thickBot="1" x14ac:dyDescent="0.35">
      <c r="A80" s="13">
        <v>45942</v>
      </c>
    </row>
    <row r="81" spans="1:1" ht="20.100000000000001" customHeight="1" thickBot="1" x14ac:dyDescent="0.35">
      <c r="A81" s="13">
        <v>45943</v>
      </c>
    </row>
    <row r="82" spans="1:1" ht="20.100000000000001" customHeight="1" thickBot="1" x14ac:dyDescent="0.35">
      <c r="A82" s="13">
        <v>45944</v>
      </c>
    </row>
    <row r="83" spans="1:1" ht="20.100000000000001" customHeight="1" thickBot="1" x14ac:dyDescent="0.35">
      <c r="A83" s="13">
        <v>45945</v>
      </c>
    </row>
    <row r="84" spans="1:1" ht="20.100000000000001" customHeight="1" thickBot="1" x14ac:dyDescent="0.35">
      <c r="A84" s="13">
        <v>45946</v>
      </c>
    </row>
    <row r="85" spans="1:1" ht="20.100000000000001" customHeight="1" thickBot="1" x14ac:dyDescent="0.35">
      <c r="A85" s="13">
        <v>45947</v>
      </c>
    </row>
    <row r="86" spans="1:1" ht="20.100000000000001" customHeight="1" thickBot="1" x14ac:dyDescent="0.35">
      <c r="A86" s="13">
        <v>45948</v>
      </c>
    </row>
    <row r="87" spans="1:1" ht="20.100000000000001" customHeight="1" thickBot="1" x14ac:dyDescent="0.35">
      <c r="A87" s="13">
        <v>45949</v>
      </c>
    </row>
    <row r="88" spans="1:1" ht="20.100000000000001" customHeight="1" thickBot="1" x14ac:dyDescent="0.35">
      <c r="A88" s="13">
        <v>45950</v>
      </c>
    </row>
    <row r="89" spans="1:1" ht="20.100000000000001" customHeight="1" thickBot="1" x14ac:dyDescent="0.35">
      <c r="A89" s="13">
        <v>45951</v>
      </c>
    </row>
    <row r="90" spans="1:1" ht="20.100000000000001" customHeight="1" thickBot="1" x14ac:dyDescent="0.35">
      <c r="A90" s="13">
        <v>45952</v>
      </c>
    </row>
    <row r="91" spans="1:1" ht="20.100000000000001" customHeight="1" thickBot="1" x14ac:dyDescent="0.35">
      <c r="A91" s="13">
        <v>45953</v>
      </c>
    </row>
    <row r="92" spans="1:1" ht="20.100000000000001" customHeight="1" thickBot="1" x14ac:dyDescent="0.35">
      <c r="A92" s="13">
        <v>45954</v>
      </c>
    </row>
    <row r="93" spans="1:1" ht="20.100000000000001" customHeight="1" thickBot="1" x14ac:dyDescent="0.35">
      <c r="A93" s="13">
        <v>45955</v>
      </c>
    </row>
    <row r="94" spans="1:1" ht="20.100000000000001" customHeight="1" thickBot="1" x14ac:dyDescent="0.35">
      <c r="A94" s="13">
        <v>45956</v>
      </c>
    </row>
    <row r="95" spans="1:1" ht="20.100000000000001" customHeight="1" thickBot="1" x14ac:dyDescent="0.35">
      <c r="A95" s="13">
        <v>45957</v>
      </c>
    </row>
    <row r="96" spans="1:1" ht="20.100000000000001" customHeight="1" thickBot="1" x14ac:dyDescent="0.35">
      <c r="A96" s="13">
        <v>45958</v>
      </c>
    </row>
    <row r="97" spans="1:9" ht="20.100000000000001" customHeight="1" thickBot="1" x14ac:dyDescent="0.35">
      <c r="A97" s="13">
        <v>45959</v>
      </c>
    </row>
    <row r="98" spans="1:9" ht="20.100000000000001" customHeight="1" thickBot="1" x14ac:dyDescent="0.35">
      <c r="A98" s="13">
        <v>45960</v>
      </c>
    </row>
    <row r="99" spans="1:9" ht="20.100000000000001" customHeight="1" thickBot="1" x14ac:dyDescent="0.35">
      <c r="A99" s="13">
        <v>45961</v>
      </c>
    </row>
    <row r="100" spans="1:9" ht="20.100000000000001" customHeight="1" thickBot="1" x14ac:dyDescent="0.35">
      <c r="A100" s="13">
        <v>45962</v>
      </c>
    </row>
    <row r="101" spans="1:9" ht="20.100000000000001" customHeight="1" thickBot="1" x14ac:dyDescent="0.35">
      <c r="A101" s="13">
        <v>45963</v>
      </c>
    </row>
    <row r="102" spans="1:9" ht="20.100000000000001" customHeight="1" thickBot="1" x14ac:dyDescent="0.35">
      <c r="A102" s="13">
        <v>45964</v>
      </c>
    </row>
    <row r="103" spans="1:9" ht="20.100000000000001" customHeight="1" thickBot="1" x14ac:dyDescent="0.35">
      <c r="A103" s="13">
        <v>45965</v>
      </c>
    </row>
    <row r="104" spans="1:9" ht="20.100000000000001" customHeight="1" thickBot="1" x14ac:dyDescent="0.35">
      <c r="A104" s="13">
        <v>45966</v>
      </c>
    </row>
    <row r="105" spans="1:9" ht="20.100000000000001" customHeight="1" thickBot="1" x14ac:dyDescent="0.35">
      <c r="A105" s="13">
        <v>45967</v>
      </c>
    </row>
    <row r="106" spans="1:9" ht="20.100000000000001" customHeight="1" thickBot="1" x14ac:dyDescent="0.35">
      <c r="A106" s="13">
        <v>45968</v>
      </c>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0" t="s">
        <v>89</v>
      </c>
    </row>
    <row r="200" spans="1:1" ht="20.100000000000001" customHeight="1" x14ac:dyDescent="0.3">
      <c r="A200" s="20" t="s">
        <v>90</v>
      </c>
    </row>
    <row r="201" spans="1:1" ht="20.100000000000001" customHeight="1" x14ac:dyDescent="0.3">
      <c r="A201" s="20" t="s">
        <v>91</v>
      </c>
    </row>
    <row r="202" spans="1:1" ht="20.100000000000001" customHeight="1" x14ac:dyDescent="0.3">
      <c r="A202" s="20" t="s">
        <v>92</v>
      </c>
    </row>
    <row r="203" spans="1:1" ht="20.100000000000001" customHeight="1" x14ac:dyDescent="0.3">
      <c r="A203" s="20" t="s">
        <v>93</v>
      </c>
    </row>
    <row r="204" spans="1:1" ht="20.100000000000001" customHeight="1" x14ac:dyDescent="0.3">
      <c r="A204" s="20" t="s">
        <v>94</v>
      </c>
    </row>
    <row r="205" spans="1:1" ht="20.100000000000001" customHeight="1" x14ac:dyDescent="0.3">
      <c r="A205" s="20" t="s">
        <v>95</v>
      </c>
    </row>
    <row r="206" spans="1:1" ht="20.100000000000001" customHeight="1" x14ac:dyDescent="0.3">
      <c r="A206" s="20" t="s">
        <v>96</v>
      </c>
    </row>
    <row r="207" spans="1:1" ht="20.100000000000001" customHeight="1" x14ac:dyDescent="0.3">
      <c r="A207" s="20" t="s">
        <v>97</v>
      </c>
    </row>
    <row r="208" spans="1:1" ht="20.100000000000001" customHeight="1" x14ac:dyDescent="0.3">
      <c r="A208" s="21" t="s">
        <v>98</v>
      </c>
    </row>
    <row r="209" spans="1:1" ht="20.100000000000001" customHeight="1" x14ac:dyDescent="0.3">
      <c r="A209" s="21" t="s">
        <v>99</v>
      </c>
    </row>
    <row r="210" spans="1:1" ht="20.100000000000001" customHeight="1" x14ac:dyDescent="0.3">
      <c r="A210" s="20" t="s">
        <v>100</v>
      </c>
    </row>
    <row r="211" spans="1:1" ht="20.100000000000001" customHeight="1" x14ac:dyDescent="0.3">
      <c r="A211" s="20" t="s">
        <v>101</v>
      </c>
    </row>
    <row r="212" spans="1:1" ht="20.100000000000001" customHeight="1" x14ac:dyDescent="0.3">
      <c r="A212" s="20" t="s">
        <v>102</v>
      </c>
    </row>
    <row r="213" spans="1:1" ht="20.100000000000001" customHeight="1" x14ac:dyDescent="0.3">
      <c r="A213" s="20" t="s">
        <v>103</v>
      </c>
    </row>
    <row r="214" spans="1:1" ht="20.100000000000001" customHeight="1" x14ac:dyDescent="0.3">
      <c r="A214" s="20" t="s">
        <v>104</v>
      </c>
    </row>
    <row r="215" spans="1:1" ht="20.100000000000001" customHeight="1" x14ac:dyDescent="0.3">
      <c r="A215" s="20" t="s">
        <v>105</v>
      </c>
    </row>
    <row r="216" spans="1:1" ht="20.100000000000001" customHeight="1" x14ac:dyDescent="0.3">
      <c r="A216" s="20" t="s">
        <v>106</v>
      </c>
    </row>
    <row r="217" spans="1:1" ht="20.100000000000001" customHeight="1" x14ac:dyDescent="0.3">
      <c r="A217" s="20" t="s">
        <v>107</v>
      </c>
    </row>
    <row r="218" spans="1:1" ht="20.100000000000001" customHeight="1" x14ac:dyDescent="0.3">
      <c r="A218" s="20" t="s">
        <v>108</v>
      </c>
    </row>
    <row r="219" spans="1:1" ht="20.100000000000001" customHeight="1" x14ac:dyDescent="0.3">
      <c r="A219" s="20" t="s">
        <v>109</v>
      </c>
    </row>
    <row r="220" spans="1:1" ht="20.100000000000001" customHeight="1" x14ac:dyDescent="0.3">
      <c r="A220" s="20" t="s">
        <v>110</v>
      </c>
    </row>
    <row r="221" spans="1:1" ht="20.100000000000001" customHeight="1" x14ac:dyDescent="0.3">
      <c r="A221" s="20" t="s">
        <v>111</v>
      </c>
    </row>
    <row r="222" spans="1:1" ht="20.100000000000001" customHeight="1" x14ac:dyDescent="0.3">
      <c r="A222" s="20" t="s">
        <v>112</v>
      </c>
    </row>
    <row r="223" spans="1:1" ht="20.100000000000001" customHeight="1" x14ac:dyDescent="0.3">
      <c r="A223" s="20" t="s">
        <v>113</v>
      </c>
    </row>
    <row r="224" spans="1:1" ht="20.100000000000001" customHeight="1" x14ac:dyDescent="0.3">
      <c r="A224" s="20" t="s">
        <v>114</v>
      </c>
    </row>
    <row r="225" spans="1:1" ht="20.100000000000001" customHeight="1" x14ac:dyDescent="0.3">
      <c r="A225" s="20" t="s">
        <v>115</v>
      </c>
    </row>
    <row r="226" spans="1:1" ht="20.100000000000001" customHeight="1" x14ac:dyDescent="0.3">
      <c r="A226" s="20" t="s">
        <v>116</v>
      </c>
    </row>
    <row r="227" spans="1:1" ht="20.100000000000001" customHeight="1" x14ac:dyDescent="0.3">
      <c r="A227" s="20" t="s">
        <v>117</v>
      </c>
    </row>
    <row r="228" spans="1:1" ht="20.100000000000001" customHeight="1" x14ac:dyDescent="0.3">
      <c r="A228" s="20" t="s">
        <v>118</v>
      </c>
    </row>
    <row r="229" spans="1:1" ht="20.100000000000001" customHeight="1" x14ac:dyDescent="0.3">
      <c r="A229" s="20" t="s">
        <v>119</v>
      </c>
    </row>
    <row r="230" spans="1:1" ht="20.100000000000001" customHeight="1" x14ac:dyDescent="0.3">
      <c r="A230" s="20" t="s">
        <v>120</v>
      </c>
    </row>
    <row r="231" spans="1:1" ht="20.100000000000001" customHeight="1" x14ac:dyDescent="0.3">
      <c r="A231" s="20" t="s">
        <v>121</v>
      </c>
    </row>
    <row r="232" spans="1:1" ht="20.100000000000001" customHeight="1" x14ac:dyDescent="0.3">
      <c r="A232" s="20" t="s">
        <v>122</v>
      </c>
    </row>
    <row r="233" spans="1:1" ht="20.100000000000001" customHeight="1" x14ac:dyDescent="0.3">
      <c r="A233" s="20" t="s">
        <v>123</v>
      </c>
    </row>
    <row r="234" spans="1:1" ht="20.100000000000001" customHeight="1" x14ac:dyDescent="0.3">
      <c r="A234" s="20" t="s">
        <v>124</v>
      </c>
    </row>
    <row r="235" spans="1:1" ht="20.100000000000001" customHeight="1" x14ac:dyDescent="0.3">
      <c r="A235" s="22" t="s">
        <v>125</v>
      </c>
    </row>
    <row r="236" spans="1:1" ht="20.100000000000001" customHeight="1" x14ac:dyDescent="0.3">
      <c r="A236" s="20" t="s">
        <v>126</v>
      </c>
    </row>
    <row r="237" spans="1:1" ht="20.100000000000001" customHeight="1" x14ac:dyDescent="0.3">
      <c r="A237" s="20" t="s">
        <v>127</v>
      </c>
    </row>
    <row r="238" spans="1:1" ht="20.100000000000001" customHeight="1" x14ac:dyDescent="0.3">
      <c r="A238" s="20" t="s">
        <v>128</v>
      </c>
    </row>
    <row r="239" spans="1:1" ht="20.100000000000001" customHeight="1" x14ac:dyDescent="0.3">
      <c r="A239" s="20" t="s">
        <v>129</v>
      </c>
    </row>
    <row r="240" spans="1:1" ht="20.100000000000001" customHeight="1" x14ac:dyDescent="0.3">
      <c r="A240" s="20" t="s">
        <v>130</v>
      </c>
    </row>
    <row r="241" spans="1:1" ht="20.100000000000001" customHeight="1" x14ac:dyDescent="0.3">
      <c r="A241" s="20" t="s">
        <v>131</v>
      </c>
    </row>
    <row r="242" spans="1:1" ht="20.100000000000001" customHeight="1" x14ac:dyDescent="0.3">
      <c r="A242" s="20" t="s">
        <v>132</v>
      </c>
    </row>
    <row r="243" spans="1:1" ht="20.100000000000001" customHeight="1" x14ac:dyDescent="0.3">
      <c r="A243" s="20" t="s">
        <v>133</v>
      </c>
    </row>
    <row r="244" spans="1:1" ht="20.100000000000001" customHeight="1" x14ac:dyDescent="0.3">
      <c r="A244" s="20" t="s">
        <v>134</v>
      </c>
    </row>
    <row r="245" spans="1:1" ht="20.100000000000001" customHeight="1" x14ac:dyDescent="0.3">
      <c r="A245" s="20" t="s">
        <v>135</v>
      </c>
    </row>
    <row r="246" spans="1:1" ht="20.100000000000001" customHeight="1" x14ac:dyDescent="0.3">
      <c r="A246" s="20" t="s">
        <v>136</v>
      </c>
    </row>
    <row r="247" spans="1:1" ht="20.100000000000001" customHeight="1" x14ac:dyDescent="0.3">
      <c r="A247" s="20" t="s">
        <v>127</v>
      </c>
    </row>
    <row r="248" spans="1:1" ht="20.100000000000001" customHeight="1" x14ac:dyDescent="0.3">
      <c r="A248" s="20" t="s">
        <v>137</v>
      </c>
    </row>
    <row r="249" spans="1:1" ht="20.100000000000001" customHeight="1" x14ac:dyDescent="0.3">
      <c r="A249" s="20" t="s">
        <v>138</v>
      </c>
    </row>
    <row r="250" spans="1:1" ht="20.100000000000001" customHeight="1" x14ac:dyDescent="0.3">
      <c r="A250" s="22" t="s">
        <v>139</v>
      </c>
    </row>
    <row r="251" spans="1:1" ht="20.100000000000001" customHeight="1" x14ac:dyDescent="0.3">
      <c r="A251" s="23" t="s">
        <v>140</v>
      </c>
    </row>
    <row r="252" spans="1:1" ht="20.100000000000001" customHeight="1" x14ac:dyDescent="0.3">
      <c r="A252" s="20" t="s">
        <v>141</v>
      </c>
    </row>
    <row r="253" spans="1:1" ht="20.100000000000001" customHeight="1" x14ac:dyDescent="0.3">
      <c r="A253" s="20" t="s">
        <v>142</v>
      </c>
    </row>
    <row r="254" spans="1:1" ht="20.100000000000001" customHeight="1" x14ac:dyDescent="0.3">
      <c r="A254" s="24" t="s">
        <v>143</v>
      </c>
    </row>
    <row r="255" spans="1:1" ht="20.100000000000001" customHeight="1" x14ac:dyDescent="0.3">
      <c r="A255" s="24" t="s">
        <v>144</v>
      </c>
    </row>
    <row r="256" spans="1:1" ht="20.100000000000001" customHeight="1" x14ac:dyDescent="0.3">
      <c r="A256" s="25" t="s">
        <v>145</v>
      </c>
    </row>
    <row r="257" spans="1:1" ht="20.100000000000001" customHeight="1" x14ac:dyDescent="0.3">
      <c r="A257" s="20" t="s">
        <v>146</v>
      </c>
    </row>
    <row r="258" spans="1:1" ht="20.100000000000001" customHeight="1" x14ac:dyDescent="0.3">
      <c r="A258" s="25" t="s">
        <v>147</v>
      </c>
    </row>
    <row r="259" spans="1:1" ht="20.100000000000001" customHeight="1" x14ac:dyDescent="0.3">
      <c r="A259" s="20" t="s">
        <v>148</v>
      </c>
    </row>
    <row r="260" spans="1:1" ht="20.100000000000001" customHeight="1" x14ac:dyDescent="0.3">
      <c r="A260" s="25" t="s">
        <v>149</v>
      </c>
    </row>
    <row r="261" spans="1:1" ht="20.100000000000001" customHeight="1" x14ac:dyDescent="0.3">
      <c r="A261" s="20" t="s">
        <v>150</v>
      </c>
    </row>
    <row r="262" spans="1:1" ht="20.100000000000001" customHeight="1" x14ac:dyDescent="0.3">
      <c r="A262" s="20" t="s">
        <v>151</v>
      </c>
    </row>
    <row r="263" spans="1:1" ht="20.100000000000001" customHeight="1" x14ac:dyDescent="0.3">
      <c r="A263" s="25" t="s">
        <v>152</v>
      </c>
    </row>
    <row r="264" spans="1:1" ht="20.100000000000001" customHeight="1" x14ac:dyDescent="0.3">
      <c r="A264" s="25" t="s">
        <v>153</v>
      </c>
    </row>
    <row r="265" spans="1:1" ht="20.100000000000001" customHeight="1" x14ac:dyDescent="0.3">
      <c r="A265" s="25" t="s">
        <v>154</v>
      </c>
    </row>
    <row r="266" spans="1:1" ht="20.100000000000001" customHeight="1" x14ac:dyDescent="0.3">
      <c r="A266" s="20" t="s">
        <v>155</v>
      </c>
    </row>
    <row r="267" spans="1:1" ht="20.100000000000001" customHeight="1" x14ac:dyDescent="0.3">
      <c r="A267" s="20" t="s">
        <v>156</v>
      </c>
    </row>
    <row r="268" spans="1:1" ht="20.100000000000001" customHeight="1" x14ac:dyDescent="0.3">
      <c r="A268" s="20" t="s">
        <v>157</v>
      </c>
    </row>
    <row r="269" spans="1:1" ht="20.100000000000001" customHeight="1" x14ac:dyDescent="0.3">
      <c r="A269" s="20" t="s">
        <v>158</v>
      </c>
    </row>
    <row r="270" spans="1:1" ht="20.100000000000001" customHeight="1" x14ac:dyDescent="0.3">
      <c r="A270" s="25" t="s">
        <v>159</v>
      </c>
    </row>
    <row r="271" spans="1:1" ht="20.100000000000001" customHeight="1" x14ac:dyDescent="0.3">
      <c r="A271" s="25" t="s">
        <v>160</v>
      </c>
    </row>
    <row r="272" spans="1:1" ht="20.100000000000001" customHeight="1" x14ac:dyDescent="0.3">
      <c r="A272" s="20" t="s">
        <v>161</v>
      </c>
    </row>
    <row r="273" spans="1:1" ht="20.100000000000001" customHeight="1" x14ac:dyDescent="0.3">
      <c r="A273" s="25" t="s">
        <v>162</v>
      </c>
    </row>
    <row r="274" spans="1:1" ht="20.100000000000001" customHeight="1" x14ac:dyDescent="0.3">
      <c r="A274" s="25" t="s">
        <v>163</v>
      </c>
    </row>
    <row r="275" spans="1:1" ht="20.100000000000001" customHeight="1" x14ac:dyDescent="0.3">
      <c r="A275" s="20" t="s">
        <v>164</v>
      </c>
    </row>
    <row r="276" spans="1:1" ht="20.100000000000001" customHeight="1" x14ac:dyDescent="0.3">
      <c r="A276" s="20" t="s">
        <v>165</v>
      </c>
    </row>
    <row r="277" spans="1:1" ht="20.100000000000001" customHeight="1" x14ac:dyDescent="0.3">
      <c r="A277" s="25" t="s">
        <v>166</v>
      </c>
    </row>
    <row r="278" spans="1:1" ht="20.100000000000001" customHeight="1" x14ac:dyDescent="0.3">
      <c r="A278" s="20" t="s">
        <v>167</v>
      </c>
    </row>
    <row r="279" spans="1:1" ht="20.100000000000001" customHeight="1" x14ac:dyDescent="0.3">
      <c r="A279" s="20" t="s">
        <v>168</v>
      </c>
    </row>
    <row r="280" spans="1:1" ht="20.100000000000001" customHeight="1" x14ac:dyDescent="0.3">
      <c r="A280" s="20" t="s">
        <v>169</v>
      </c>
    </row>
    <row r="281" spans="1:1" ht="20.100000000000001" customHeight="1" x14ac:dyDescent="0.3">
      <c r="A281" s="20" t="s">
        <v>170</v>
      </c>
    </row>
    <row r="282" spans="1:1" ht="20.100000000000001" customHeight="1" x14ac:dyDescent="0.3">
      <c r="A282" s="25" t="s">
        <v>171</v>
      </c>
    </row>
    <row r="283" spans="1:1" ht="20.100000000000001" customHeight="1" x14ac:dyDescent="0.3">
      <c r="A283" s="25" t="s">
        <v>172</v>
      </c>
    </row>
    <row r="284" spans="1:1" ht="20.100000000000001" customHeight="1" x14ac:dyDescent="0.3">
      <c r="A284" s="25" t="s">
        <v>173</v>
      </c>
    </row>
    <row r="285" spans="1:1" ht="20.100000000000001" customHeight="1" thickBot="1" x14ac:dyDescent="0.35">
      <c r="A285" s="20"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2025-10-27T22:30:33Z</dcterms:modified>
</cp:coreProperties>
</file>