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4EBDCB9-7B8F-4E0B-9A30-A6BAC9597D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H16" i="2"/>
  <c r="G9" i="2"/>
  <c r="H9" i="2"/>
  <c r="G11" i="2"/>
  <c r="H11" i="2"/>
  <c r="G12" i="2"/>
  <c r="H12" i="2"/>
  <c r="G13" i="2"/>
  <c r="H13" i="2"/>
  <c r="G14" i="2"/>
  <c r="G15" i="2"/>
  <c r="H15" i="2"/>
  <c r="G17" i="2"/>
  <c r="H17" i="2"/>
  <c r="G18" i="2"/>
  <c r="H18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F43" i="2"/>
  <c r="E44" i="2" s="1"/>
  <c r="E45" i="2" s="1"/>
  <c r="E43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<sst xmlns="http://schemas.openxmlformats.org/spreadsheetml/2006/main" count="269" uniqueCount="213">
  <si>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</si>
  <si>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</si>
  <si>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</si>
  <si>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</si>
  <si>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</si>
  <si>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</si>
  <si>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</si>
  <si>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</si>
  <si>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</si>
  <si>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</si>
  <si>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</si>
  <si>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</si>
  <si>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</si>
  <si>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</si>
  <si>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</si>
  <si>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</si>
  <si>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</si>
  <si>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</si>
  <si>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</si>
  <si>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</si>
  <si>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</si>
  <si>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</si>
  <si>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</si>
  <si>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</si>
  <si>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</si>
  <si>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</si>
  <si>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</si>
  <si>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</si>
  <si>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</si>
  <si>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</si>
  <si>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</si>
  <si>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</si>
  <si>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</si>
  <si>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</si>
  <si>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</si>
  <si>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</si>
  <si>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</si>
  <si>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</si>
  <si>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</si>
  <si>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</si>
  <si>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</si>
  <si>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</si>
  <si>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</si>
  <si>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</si>
  <si>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</si>
  <si>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</si>
  <si>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</si>
  <si>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</si>
  <si>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</si>
  <si>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</si>
  <si>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</si>
  <si>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</si>
  <si>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</si>
  <si>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</si>
  <si>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</si>
  <si>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</si>
  <si>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</si>
  <si>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</si>
  <si>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</si>
  <si>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</si>
  <si>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</si>
  <si>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</si>
  <si>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</si>
  <si>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</si>
  <si>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</si>
  <si>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</si>
  <si>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</si>
  <si>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</si>
  <si>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</si>
  <si>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</si>
  <si>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</si>
  <si>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</si>
  <si>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</si>
  <si>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</si>
  <si>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</si>
  <si>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</si>
  <si>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</si>
  <si>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</si>
  <si>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</si>
  <si>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</si>
  <si>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</si>
  <si>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</si>
  <si>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</si>
  <si>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</si>
  <si>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</si>
  <si>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</si>
  <si>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</si>
  <si>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</si>
  <si>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</si>
  <si>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</si>
  <si>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</si>
  <si>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</si>
  <si>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</si>
  <si>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</si>
  <si>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</si>
  <si>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</si>
  <si>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</si>
  <si>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</si>
  <si>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</si>
  <si>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</si>
  <si>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</si>
  <si>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</si>
  <si>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</si>
  <si>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</si>
  <si>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</si>
  <si>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</si>
  <si>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</si>
  <si>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</si>
  <si>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</si>
  <si>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</si>
  <si>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</si>
  <si>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</si>
  <si>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</si>
  <si>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</si>
  <si>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</si>
  <si>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</si>
  <si>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</si>
  <si>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</si>
  <si>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</si>
  <si>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</si>
  <si>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</si>
  <si>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</si>
  <si>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</si>
  <si>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</si>
  <si>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</si>
  <si>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</si>
  <si>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</si>
  <si>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</si>
  <si>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</si>
  <si>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</si>
  <si>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</si>
  <si>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</si>
  <si>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</si>
  <si>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</si>
  <si>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</si>
  <si>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</si>
  <si>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</si>
  <si>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</si>
  <si>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</si>
  <si>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</si>
  <si>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</si>
  <si>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</si>
  <si>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</si>
  <si>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</si>
  <si>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</si>
  <si>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</si>
  <si>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</si>
  <si>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</si>
  <si>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</si>
  <si>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</si>
  <si>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</si>
  <si>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</si>
  <si>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</si>
  <si>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</si>
  <si>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</si>
  <si>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</si>
  <si>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</si>
  <si>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</si>
  <si>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</si>
  <si>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</si>
  <si>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</si>
  <si>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</si>
  <si>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</si>
  <si>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</si>
  <si>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</si>
  <si>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</si>
  <si>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</si>
  <si>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</si>
  <si>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</si>
  <si>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</si>
  <si>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</si>
  <si>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</si>
  <si>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</si>
  <si>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</si>
  <si>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</si>
  <si>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</si>
  <si>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</si>
  <si>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أ. الاستطلاع وتحديد مواقع فتح الثغرة وعبور الفجوات.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</si>
  <si>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</si>
  <si>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الأفراد</t>
    </r>
    <r>
      <rPr>
        <sz val="12"/>
        <color rgb="FF000000"/>
        <rFont val="Arial"/>
        <family val="2"/>
      </rPr>
      <t>. تحضير المعدات، الملابس، الأرزاق والمياه، الأسلحة الخفيفة والمتوسطة.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</si>
  <si>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المعدات</t>
    </r>
    <r>
      <rPr>
        <sz val="12"/>
        <color rgb="FF000000"/>
        <rFont val="Arial"/>
        <family val="2"/>
      </rPr>
      <t>. الصلاحية، توفير المعدات الخاصة (مجسات، مصابيح، أدوات حفر، أدوات قطع الأسلاك، وغير ذلك).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</si>
  <si>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الأسلحة</t>
    </r>
    <r>
      <rPr>
        <sz val="12"/>
        <color rgb="FF000000"/>
        <rFont val="Arial"/>
        <family val="2"/>
      </rPr>
      <t>. فحص الأسلحة، تعبئة الذخيرة، الصلاحية والصيانة.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</si>
  <si>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الآليات</t>
    </r>
    <r>
      <rPr>
        <sz val="12"/>
        <color rgb="FF000000"/>
        <rFont val="Arial"/>
        <family val="2"/>
      </rPr>
      <t>. تنفيذ اصلاح الأعطال، تعبئة خزانات الوقود، تحميل المعدات والإمدادات.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</si>
  <si>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</si>
  <si>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امر الواجب.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</si>
  <si>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واجبات جماعات الهندسة.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</si>
  <si>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فهم قادة الجماعات للعمل المطلوب.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</si>
  <si>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ناقلات ظبيان.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</si>
  <si>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دبابة المهندسين.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</si>
  <si>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تجهيز الناسف الأفعواني.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</si>
  <si>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التقرب الى الثغرة.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</si>
  <si>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موقع دبابة المهندسين.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</si>
  <si>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ترجل عناصر الهندسة بأسلوب صحيح.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</si>
  <si>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السيطرة على البدء في التأشير للثغرة.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</si>
  <si>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المدخل.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</si>
  <si>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وضع الإشارات للدلالة.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</si>
  <si>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المخرج.</t>
    </r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</si>
  <si>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مراعاة الافراد لاحتياطات الأمان.</t>
    </r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</si>
  <si>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وجود آليات الاخلاء الطبي.</t>
    </r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</si>
  <si>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التعامل مع الالغام والمواد الخطرة.</t>
    </r>
  </si>
  <si>
    <r>
      <t>19.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بالتعليمات الخاصة لاحتياطات الامان.</t>
    </r>
  </si>
  <si>
    <t>جـ. يقوم قائد الفصيل بتزويد قادة الجماعات بالجدول الزمني/ الوقت المتاح فيما يتعلق بعمليات فتح الثغرة وعبور الفجوات.</t>
  </si>
  <si>
    <t>ب. يتأكد قائد الفصيل ان عملية فتح الثغرة وعبور الفجوات مسندة بنيران المدفعية ومحمية من قبل الدفاع الجوي.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</si>
  <si>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الفصيل بالتحضير لتنفيذ عمليات فتح الثغرة وعبور الفجوات كما يلي:</t>
    </r>
  </si>
  <si>
    <t>ب. يقوم قائد الفصيل بإبلاغ قادة الجماعات عن الطريقة/الاسلوب الذي يجب استخدامه عند القيام بعمليات فتح الثغرة وعبور الفجوات.</t>
  </si>
  <si>
    <t>أ. يقوم قائد الفصيل بإيجاز قادة الجماعات حول القصد من القيام بعمليات فتح الثغرة وعبور الفجوات.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</si>
  <si>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يتسلم فصيل الهندسة المهمة وتصدر أمر عمليات والذي يحتوي على المعلومات الضرورية للمرؤوسين.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</si>
  <si>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التنسيق مع المستوى الأعلى لتحديد المتطلبات التالية:</t>
    </r>
  </si>
  <si>
    <t>جـ. تقدير المعدات اللازمة لعمليات فتح الثغرة وعبور الفجوات.</t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</si>
  <si>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عدة تأشير الثغرة.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</si>
  <si>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تقدم الآليات بالشكل الصحيح.</t>
    </r>
  </si>
  <si>
    <r>
      <t xml:space="preserve">تقييم فصيل الهندسة في عمليات فتح الثغرة وعبور الفجوات
</t>
    </r>
    <r>
      <rPr>
        <b/>
        <u/>
        <sz val="14"/>
        <color rgb="FF000000"/>
        <rFont val="Arial"/>
        <family val="2"/>
      </rPr>
      <t>تمرين جاهزية مجموعة لواء الإمارات/1 (جندي الصحراء 2025/20)</t>
    </r>
  </si>
  <si>
    <t>ملازم/1 عادل راشد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</si>
</sst>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u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49" fontId="6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25" xfId="0" applyFont="1" applyBorder="1" applyAlignment="1">
      <alignment horizontal="right" vertical="center" wrapText="1" indent="2" readingOrder="2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73001</xdr:colOff>
      <xdr:row>46</xdr:row>
      <xdr:rowOff>5630</xdr:rowOff>
    </xdr:from>
    <xdr:to>
      <xdr:col>9</xdr:col>
      <xdr:colOff>80264</xdr:colOff>
      <xdr:row>46</xdr:row>
      <xdr:rowOff>466070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4937183-BA11-C666-5B90-567DDC1FB06F}"/>
                </a:ext>
              </a:extLst>
            </xdr14:cNvPr>
            <xdr14:cNvContentPartPr/>
          </xdr14:nvContentPartPr>
          <xdr14:nvPr macro=""/>
          <xdr14:xfrm>
            <a:off x="10414001121" y="18788760"/>
            <a:ext cx="1983240" cy="46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4937183-BA11-C666-5B90-567DDC1FB0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13995001" y="18782640"/>
              <a:ext cx="1995480" cy="47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7:37:17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4854 680,'0'0,"0"0,0 0,0 0,0 0,0 0,0 0,0 0,0 0,0 0,0 0,0 0,0 0,0 0,0 16,0-16,0 0,-16 31,16 1,0-27,-15 5,-1 38,14-40,-26 0,11 23,15-26,-26 22,-2 4,25-26,-21 22,-4 20,23-39,-16 16,-7 7,22-26,-17 6,-5 20,25-25,-35 4,-7 6,41-13,-18-6,-22 19,38-14,-15-4,-7-14,25 14,-20 4,8-18,17 14,-30 4,15-18,14 14,-14-11,1-19,12 27,-12-6,-3-4,17 12,0-10,0-19,0 27,-13-6,13-4,0 12,0-10,-17 13,17 16,0-14,-13-4,-4 17,14-12,-8-6,-19 19,25-13,-7 10,-4 3,16-14,-14 12,-2 1,14-12,-10 10,-4 3,13-13,-9-6,-4 3,14 0,-10 0,10 0,-13-16,13 15,4-14,-2 7,-16 1,16-9,0 13,0-10,0 12,0-14,0 14,-14 2,-2-1,9 0,0 0,-9 0,14 0,-11 0,-2 0,-16 0,1 0,23 0,-16 16,-41-16,55 0,-43 16,-69-16,101 0,-113 16,-50 15,150-26,-134 6,-62 5,194-14,-175 27,-19 3,190-27,-136 21,-56 6,196-27,-142 6,-8 4,157-12,-128 10,-12-13,140 0,-82 0,-27 0,113 0,-74-16,-39 1,113 12,-45-10,-23-19,76 27,-59-5,12-22,53 27,-24-22,3-4,27 26,-22-37,10-6,13 41,6-33,27-7,-23 39,64-63,50-8,-101 67,128-71,66-12,-176 78,169-61,84-17,-246 80,201-48,59 15,-252 40,202-31,65-24,-269 53,220-12,34-9,-253 25,187-4,67-22,-259 28,181-7,48 11,-231 0,169 0,17 0,-196 0,145 15,-29 1,-127-13,76 10,-9 3,-77-14,18 11,13 3,-35-13,-3 26,6-13,-10-14,-19 27,-1 18,17-39,-30 32,-31 7,52-40,-89 49,-24 7,102-52,-83 57,-19-5,104-53,-118 44,-15 9,125-52,-56 26,19-22,54-12,-73 26,22-13,50-14,-10-4,-11 18,24-14,-16-4,-10 17,29-12,-22-6,12 3,28 16,-28 0,-2 0,13-14,-9 11,-18 3,23-13,-19 26,12-14,12-12,-26 26,-3-13,27-14,-7 12,-20 17,27-26,-22 6,9-11,15 0,-9 16,-6-16,15 0,-10 0,-4 0,13 0,-11 0,0-16,12 13,-12-10,0-3,12 14,4-11,-19-19,15 28,-9-8,-6-4,15 14,-9-27,-6 13,14 14,-10-12,-1-1,11 12,-10-10,-2-3,13 14,-12 4,12-2,-10 16,10-15,-12 29,0 2,11-27,-11 69,-16 20,23-77,-17 45,24-62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7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211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3">
      <c r="B2" s="12" t="s">
        <v>8</v>
      </c>
      <c r="C2" s="78" t="s">
        <v>12</v>
      </c>
      <c r="D2" s="78"/>
      <c r="E2" s="12" t="s">
        <v>7</v>
      </c>
      <c r="F2" s="73">
        <v>45938</v>
      </c>
      <c r="G2" s="73"/>
      <c r="H2" s="73"/>
      <c r="I2" s="73"/>
      <c r="J2" s="73"/>
    </row>
    <row r="3" spans="1:10" ht="30" customHeight="1" x14ac:dyDescent="0.3">
      <c r="B3" s="12" t="s">
        <v>9</v>
      </c>
      <c r="C3" s="78" t="s">
        <v>60</v>
      </c>
      <c r="D3" s="78"/>
      <c r="E3" s="12" t="s">
        <v>6</v>
      </c>
      <c r="F3" s="78" t="s">
        <v>120</v>
      </c>
      <c r="G3" s="78"/>
      <c r="H3" s="78"/>
      <c r="I3" s="78"/>
      <c r="J3" s="78"/>
    </row>
    <row r="4" spans="1:10" ht="30" customHeight="1" thickBot="1" x14ac:dyDescent="0.35">
      <c r="B4" s="6"/>
      <c r="C4" s="7"/>
      <c r="D4" s="7" t="s">
        <v>212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4" t="s">
        <v>0</v>
      </c>
      <c r="C5" s="75"/>
      <c r="D5" s="75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0"/>
      <c r="B6" s="76"/>
      <c r="C6" s="77"/>
      <c r="D6" s="77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" customHeight="1" thickBot="1" x14ac:dyDescent="0.35">
      <c r="A7" s="10"/>
      <c r="B7" s="61" t="s">
        <v>21</v>
      </c>
      <c r="C7" s="62"/>
      <c r="D7" s="62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30" customHeight="1" x14ac:dyDescent="0.3">
      <c r="A8" s="10"/>
      <c r="B8" s="67" t="s">
        <v>176</v>
      </c>
      <c r="C8" s="68"/>
      <c r="D8" s="68"/>
      <c r="E8" s="33"/>
      <c r="F8" s="34"/>
      <c r="G8" s="35"/>
      <c r="H8" s="36"/>
      <c r="I8" s="65"/>
      <c r="J8" s="66"/>
    </row>
    <row r="9" spans="1:10" ht="39.9" customHeight="1" x14ac:dyDescent="0.3">
      <c r="A9" s="10"/>
      <c r="B9" s="55" t="s">
        <v>206</v>
      </c>
      <c r="C9" s="56"/>
      <c r="D9" s="56"/>
      <c r="E9" s="9">
        <v>5</v>
      </c>
      <c r="F9" s="26">
        <v>3.5</v>
      </c>
      <c r="G9" s="31">
        <f>IFERROR(F9/E9,"")</f>
        <v>0.7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0" customHeight="1" x14ac:dyDescent="0.3">
      <c r="A10" s="10"/>
      <c r="B10" s="55" t="s">
        <v>207</v>
      </c>
      <c r="C10" s="56"/>
      <c r="D10" s="56"/>
      <c r="E10" s="9"/>
      <c r="F10" s="26"/>
      <c r="G10" s="31"/>
      <c r="H10" s="32"/>
      <c r="I10" s="47"/>
      <c r="J10" s="48"/>
    </row>
    <row r="11" spans="1:10" ht="30" customHeight="1" x14ac:dyDescent="0.3">
      <c r="A11" s="10"/>
      <c r="B11" s="69" t="s">
        <v>177</v>
      </c>
      <c r="C11" s="70"/>
      <c r="D11" s="70"/>
      <c r="E11" s="9">
        <v>5</v>
      </c>
      <c r="F11" s="26">
        <v>3.5</v>
      </c>
      <c r="G11" s="31">
        <f t="shared" ref="G11:G42" si="0">IFERROR(F11/E11,"")</f>
        <v>0.7</v>
      </c>
      <c r="H11" s="32" t="str">
        <f t="shared" ref="H11:H42" si="1">_xlfn.IFS(F11="أدخل العلامة","",F11="لا ينطبق","تم الإلغاء",G11&gt;=90%,"ممتاز",G11&gt;=80%,"جيد جداً",G11&gt;=70%,"جيد",G11&gt;=60%,"مقبول",G11&lt;60%,"راسب")</f>
        <v>جيد</v>
      </c>
      <c r="I11" s="47"/>
      <c r="J11" s="48"/>
    </row>
    <row r="12" spans="1:10" ht="39.9" customHeight="1" x14ac:dyDescent="0.3">
      <c r="A12" s="10"/>
      <c r="B12" s="69" t="s">
        <v>202</v>
      </c>
      <c r="C12" s="70"/>
      <c r="D12" s="70"/>
      <c r="E12" s="9">
        <v>5</v>
      </c>
      <c r="F12" s="26">
        <v>3.5</v>
      </c>
      <c r="G12" s="31">
        <f t="shared" si="0"/>
        <v>0.7</v>
      </c>
      <c r="H12" s="32" t="str">
        <f t="shared" si="1"/>
        <v>جيد</v>
      </c>
      <c r="I12" s="47"/>
      <c r="J12" s="48"/>
    </row>
    <row r="13" spans="1:10" ht="30" customHeight="1" thickBot="1" x14ac:dyDescent="0.35">
      <c r="A13" s="10"/>
      <c r="B13" s="91" t="s">
        <v>208</v>
      </c>
      <c r="C13" s="92"/>
      <c r="D13" s="92"/>
      <c r="E13" s="37">
        <v>5</v>
      </c>
      <c r="F13" s="27">
        <v>4</v>
      </c>
      <c r="G13" s="38">
        <f t="shared" si="0"/>
        <v>0.8</v>
      </c>
      <c r="H13" s="39" t="str">
        <f t="shared" si="1"/>
        <v>جيد جداً</v>
      </c>
      <c r="I13" s="49"/>
      <c r="J13" s="50"/>
    </row>
    <row r="14" spans="1:10" ht="30" customHeight="1" x14ac:dyDescent="0.3">
      <c r="A14" s="10"/>
      <c r="B14" s="67" t="s">
        <v>178</v>
      </c>
      <c r="C14" s="68"/>
      <c r="D14" s="68"/>
      <c r="E14" s="33"/>
      <c r="F14" s="34"/>
      <c r="G14" s="35" t="str">
        <f t="shared" si="0"/>
        <v/>
      </c>
      <c r="H14" s="36"/>
      <c r="I14" s="65"/>
      <c r="J14" s="66"/>
    </row>
    <row r="15" spans="1:10" ht="39.9" customHeight="1" x14ac:dyDescent="0.3">
      <c r="A15" s="10"/>
      <c r="B15" s="55" t="s">
        <v>179</v>
      </c>
      <c r="C15" s="56"/>
      <c r="D15" s="56"/>
      <c r="E15" s="9">
        <v>5</v>
      </c>
      <c r="F15" s="26">
        <v>3.5</v>
      </c>
      <c r="G15" s="31">
        <f t="shared" si="0"/>
        <v>0.7</v>
      </c>
      <c r="H15" s="32" t="str">
        <f t="shared" si="1"/>
        <v>جيد</v>
      </c>
      <c r="I15" s="47"/>
      <c r="J15" s="48"/>
    </row>
    <row r="16" spans="1:10" ht="39.9" customHeight="1" x14ac:dyDescent="0.3">
      <c r="A16" s="10"/>
      <c r="B16" s="55" t="s">
        <v>180</v>
      </c>
      <c r="C16" s="56"/>
      <c r="D16" s="56"/>
      <c r="E16" s="9">
        <v>5</v>
      </c>
      <c r="F16" s="40">
        <v>3.5</v>
      </c>
      <c r="G16" s="31">
        <f t="shared" ref="G16" si="2">IFERROR(F16/E16,"")</f>
        <v>0.7</v>
      </c>
      <c r="H16" s="32" t="str">
        <f t="shared" ref="H16" si="3">_xlfn.IFS(F16="أدخل العلامة","",F16="لا ينطبق","تم الإلغاء",G16&gt;=90%,"ممتاز",G16&gt;=80%,"جيد جداً",G16&gt;=70%,"جيد",G16&gt;=60%,"مقبول",G16&lt;60%,"راسب")</f>
        <v>جيد</v>
      </c>
      <c r="I16" s="47"/>
      <c r="J16" s="48"/>
    </row>
    <row r="17" spans="1:10" ht="30" customHeight="1" x14ac:dyDescent="0.3">
      <c r="A17" s="10"/>
      <c r="B17" s="55" t="s">
        <v>181</v>
      </c>
      <c r="C17" s="56"/>
      <c r="D17" s="56"/>
      <c r="E17" s="9">
        <v>5</v>
      </c>
      <c r="F17" s="26">
        <v>3.5</v>
      </c>
      <c r="G17" s="31">
        <f t="shared" si="0"/>
        <v>0.7</v>
      </c>
      <c r="H17" s="32" t="str">
        <f t="shared" si="1"/>
        <v>جيد</v>
      </c>
      <c r="I17" s="47"/>
      <c r="J17" s="48"/>
    </row>
    <row r="18" spans="1:10" ht="39.9" customHeight="1" x14ac:dyDescent="0.3">
      <c r="A18" s="10"/>
      <c r="B18" s="55" t="s">
        <v>182</v>
      </c>
      <c r="C18" s="56"/>
      <c r="D18" s="56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47"/>
      <c r="J18" s="48"/>
    </row>
    <row r="19" spans="1:10" ht="39.9" customHeight="1" x14ac:dyDescent="0.3">
      <c r="A19" s="10"/>
      <c r="B19" s="55" t="s">
        <v>203</v>
      </c>
      <c r="C19" s="56"/>
      <c r="D19" s="56"/>
      <c r="E19" s="30"/>
      <c r="F19" s="26"/>
      <c r="G19" s="31"/>
      <c r="H19" s="32"/>
      <c r="I19" s="47"/>
      <c r="J19" s="48"/>
    </row>
    <row r="20" spans="1:10" ht="39.9" customHeight="1" x14ac:dyDescent="0.3">
      <c r="A20" s="10"/>
      <c r="B20" s="69" t="s">
        <v>205</v>
      </c>
      <c r="C20" s="70"/>
      <c r="D20" s="70"/>
      <c r="E20" s="9">
        <v>5</v>
      </c>
      <c r="F20" s="26">
        <v>3.5</v>
      </c>
      <c r="G20" s="31">
        <f t="shared" si="0"/>
        <v>0.7</v>
      </c>
      <c r="H20" s="32" t="str">
        <f t="shared" si="1"/>
        <v>جيد</v>
      </c>
      <c r="I20" s="47"/>
      <c r="J20" s="48"/>
    </row>
    <row r="21" spans="1:10" ht="39.9" customHeight="1" x14ac:dyDescent="0.3">
      <c r="A21" s="10"/>
      <c r="B21" s="88" t="s">
        <v>204</v>
      </c>
      <c r="C21" s="89"/>
      <c r="D21" s="90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" customHeight="1" thickBot="1" x14ac:dyDescent="0.35">
      <c r="A22" s="10"/>
      <c r="B22" s="91" t="s">
        <v>201</v>
      </c>
      <c r="C22" s="92"/>
      <c r="D22" s="92"/>
      <c r="E22" s="37">
        <v>5</v>
      </c>
      <c r="F22" s="27">
        <v>3.25</v>
      </c>
      <c r="G22" s="38">
        <f t="shared" si="0"/>
        <v>0.65</v>
      </c>
      <c r="H22" s="39" t="str">
        <f t="shared" si="1"/>
        <v>مقبول</v>
      </c>
      <c r="I22" s="49"/>
      <c r="J22" s="50"/>
    </row>
    <row r="23" spans="1:10" ht="30" customHeight="1" x14ac:dyDescent="0.3">
      <c r="A23" s="10"/>
      <c r="B23" s="67" t="s">
        <v>183</v>
      </c>
      <c r="C23" s="68"/>
      <c r="D23" s="68"/>
      <c r="E23" s="33"/>
      <c r="F23" s="34"/>
      <c r="G23" s="35"/>
      <c r="H23" s="36"/>
      <c r="I23" s="65"/>
      <c r="J23" s="66"/>
    </row>
    <row r="24" spans="1:10" ht="30" customHeight="1" x14ac:dyDescent="0.3">
      <c r="A24" s="10"/>
      <c r="B24" s="55" t="s">
        <v>184</v>
      </c>
      <c r="C24" s="56"/>
      <c r="D24" s="56"/>
      <c r="E24" s="9">
        <v>5</v>
      </c>
      <c r="F24" s="26">
        <v>3.5</v>
      </c>
      <c r="G24" s="31">
        <f t="shared" si="0"/>
        <v>0.7</v>
      </c>
      <c r="H24" s="32" t="str">
        <f t="shared" si="1"/>
        <v>جيد</v>
      </c>
      <c r="I24" s="47"/>
      <c r="J24" s="48"/>
    </row>
    <row r="25" spans="1:10" ht="30" customHeight="1" x14ac:dyDescent="0.3">
      <c r="A25" s="10"/>
      <c r="B25" s="55" t="s">
        <v>185</v>
      </c>
      <c r="C25" s="56"/>
      <c r="D25" s="56"/>
      <c r="E25" s="9">
        <v>5</v>
      </c>
      <c r="F25" s="26">
        <v>3.5</v>
      </c>
      <c r="G25" s="31">
        <f t="shared" si="0"/>
        <v>0.7</v>
      </c>
      <c r="H25" s="32" t="str">
        <f t="shared" si="1"/>
        <v>جيد</v>
      </c>
      <c r="I25" s="47"/>
      <c r="J25" s="48"/>
    </row>
    <row r="26" spans="1:10" ht="30" customHeight="1" x14ac:dyDescent="0.3">
      <c r="A26" s="10"/>
      <c r="B26" s="55" t="s">
        <v>186</v>
      </c>
      <c r="C26" s="56"/>
      <c r="D26" s="56"/>
      <c r="E26" s="9">
        <v>5</v>
      </c>
      <c r="F26" s="26">
        <v>3.5</v>
      </c>
      <c r="G26" s="31">
        <f t="shared" si="0"/>
        <v>0.7</v>
      </c>
      <c r="H26" s="32" t="str">
        <f t="shared" si="1"/>
        <v>جيد</v>
      </c>
      <c r="I26" s="47"/>
      <c r="J26" s="48"/>
    </row>
    <row r="27" spans="1:10" ht="30" customHeight="1" x14ac:dyDescent="0.3">
      <c r="A27" s="10"/>
      <c r="B27" s="55" t="s">
        <v>209</v>
      </c>
      <c r="C27" s="56"/>
      <c r="D27" s="56"/>
      <c r="E27" s="9">
        <v>5</v>
      </c>
      <c r="F27" s="26">
        <v>3.75</v>
      </c>
      <c r="G27" s="31">
        <f t="shared" si="0"/>
        <v>0.75</v>
      </c>
      <c r="H27" s="32" t="str">
        <f t="shared" si="1"/>
        <v>جيد</v>
      </c>
      <c r="I27" s="47"/>
      <c r="J27" s="48"/>
    </row>
    <row r="28" spans="1:10" ht="30" customHeight="1" x14ac:dyDescent="0.3">
      <c r="A28" s="10"/>
      <c r="B28" s="55" t="s">
        <v>187</v>
      </c>
      <c r="C28" s="56"/>
      <c r="D28" s="56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0" customHeight="1" x14ac:dyDescent="0.3">
      <c r="A29" s="10"/>
      <c r="B29" s="55" t="s">
        <v>188</v>
      </c>
      <c r="C29" s="56"/>
      <c r="D29" s="56"/>
      <c r="E29" s="9">
        <v>5</v>
      </c>
      <c r="F29" s="26">
        <v>3.5</v>
      </c>
      <c r="G29" s="31">
        <f t="shared" si="0"/>
        <v>0.7</v>
      </c>
      <c r="H29" s="32" t="str">
        <f t="shared" si="1"/>
        <v>جيد</v>
      </c>
      <c r="I29" s="47"/>
      <c r="J29" s="48"/>
    </row>
    <row r="30" spans="1:10" ht="30" customHeight="1" x14ac:dyDescent="0.3">
      <c r="A30" s="10"/>
      <c r="B30" s="55" t="s">
        <v>189</v>
      </c>
      <c r="C30" s="56"/>
      <c r="D30" s="56"/>
      <c r="E30" s="9">
        <v>5</v>
      </c>
      <c r="F30" s="26">
        <v>3.5</v>
      </c>
      <c r="G30" s="31">
        <f t="shared" si="0"/>
        <v>0.7</v>
      </c>
      <c r="H30" s="32" t="str">
        <f t="shared" si="1"/>
        <v>جيد</v>
      </c>
      <c r="I30" s="47"/>
      <c r="J30" s="48"/>
    </row>
    <row r="31" spans="1:10" ht="30" customHeight="1" x14ac:dyDescent="0.3">
      <c r="A31" s="10"/>
      <c r="B31" s="55" t="s">
        <v>190</v>
      </c>
      <c r="C31" s="56"/>
      <c r="D31" s="56"/>
      <c r="E31" s="9">
        <v>5</v>
      </c>
      <c r="F31" s="26">
        <v>3.5</v>
      </c>
      <c r="G31" s="31">
        <f t="shared" si="0"/>
        <v>0.7</v>
      </c>
      <c r="H31" s="32" t="str">
        <f t="shared" si="1"/>
        <v>جيد</v>
      </c>
      <c r="I31" s="47"/>
      <c r="J31" s="48"/>
    </row>
    <row r="32" spans="1:10" ht="30" customHeight="1" x14ac:dyDescent="0.3">
      <c r="A32" s="10"/>
      <c r="B32" s="55" t="s">
        <v>191</v>
      </c>
      <c r="C32" s="56"/>
      <c r="D32" s="56"/>
      <c r="E32" s="9">
        <v>5</v>
      </c>
      <c r="F32" s="26">
        <v>3.75</v>
      </c>
      <c r="G32" s="31">
        <f t="shared" si="0"/>
        <v>0.75</v>
      </c>
      <c r="H32" s="32" t="str">
        <f t="shared" si="1"/>
        <v>جيد</v>
      </c>
      <c r="I32" s="47"/>
      <c r="J32" s="48"/>
    </row>
    <row r="33" spans="1:10" ht="30" customHeight="1" x14ac:dyDescent="0.3">
      <c r="A33" s="10"/>
      <c r="B33" s="55" t="s">
        <v>210</v>
      </c>
      <c r="C33" s="56"/>
      <c r="D33" s="56"/>
      <c r="E33" s="9">
        <v>5</v>
      </c>
      <c r="F33" s="26">
        <v>3.5</v>
      </c>
      <c r="G33" s="31">
        <f t="shared" si="0"/>
        <v>0.7</v>
      </c>
      <c r="H33" s="32" t="str">
        <f t="shared" si="1"/>
        <v>جيد</v>
      </c>
      <c r="I33" s="47"/>
      <c r="J33" s="48"/>
    </row>
    <row r="34" spans="1:10" ht="30" customHeight="1" x14ac:dyDescent="0.3">
      <c r="A34" s="10"/>
      <c r="B34" s="55" t="s">
        <v>192</v>
      </c>
      <c r="C34" s="56"/>
      <c r="D34" s="56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0" customHeight="1" x14ac:dyDescent="0.3">
      <c r="A35" s="10"/>
      <c r="B35" s="55" t="s">
        <v>193</v>
      </c>
      <c r="C35" s="56"/>
      <c r="D35" s="56"/>
      <c r="E35" s="9">
        <v>5</v>
      </c>
      <c r="F35" s="26">
        <v>3.5</v>
      </c>
      <c r="G35" s="31">
        <f t="shared" si="0"/>
        <v>0.7</v>
      </c>
      <c r="H35" s="32" t="str">
        <f t="shared" si="1"/>
        <v>جيد</v>
      </c>
      <c r="I35" s="47"/>
      <c r="J35" s="48"/>
    </row>
    <row r="36" spans="1:10" ht="30" customHeight="1" x14ac:dyDescent="0.3">
      <c r="A36" s="10"/>
      <c r="B36" s="55" t="s">
        <v>194</v>
      </c>
      <c r="C36" s="56"/>
      <c r="D36" s="56"/>
      <c r="E36" s="9">
        <v>5</v>
      </c>
      <c r="F36" s="26">
        <v>3.75</v>
      </c>
      <c r="G36" s="31">
        <f t="shared" si="0"/>
        <v>0.75</v>
      </c>
      <c r="H36" s="32" t="str">
        <f t="shared" si="1"/>
        <v>جيد</v>
      </c>
      <c r="I36" s="47"/>
      <c r="J36" s="48"/>
    </row>
    <row r="37" spans="1:10" ht="30" customHeight="1" x14ac:dyDescent="0.3">
      <c r="A37" s="10"/>
      <c r="B37" s="55" t="s">
        <v>195</v>
      </c>
      <c r="C37" s="56"/>
      <c r="D37" s="56"/>
      <c r="E37" s="9">
        <v>5</v>
      </c>
      <c r="F37" s="26">
        <v>3.75</v>
      </c>
      <c r="G37" s="31">
        <f t="shared" si="0"/>
        <v>0.75</v>
      </c>
      <c r="H37" s="32" t="str">
        <f t="shared" si="1"/>
        <v>جيد</v>
      </c>
      <c r="I37" s="47"/>
      <c r="J37" s="48"/>
    </row>
    <row r="38" spans="1:10" ht="30" customHeight="1" x14ac:dyDescent="0.3">
      <c r="A38" s="10"/>
      <c r="B38" s="55" t="s">
        <v>196</v>
      </c>
      <c r="C38" s="56"/>
      <c r="D38" s="56"/>
      <c r="E38" s="9">
        <v>5</v>
      </c>
      <c r="F38" s="26">
        <v>3.75</v>
      </c>
      <c r="G38" s="31">
        <f t="shared" si="0"/>
        <v>0.75</v>
      </c>
      <c r="H38" s="32" t="str">
        <f t="shared" si="1"/>
        <v>جيد</v>
      </c>
      <c r="I38" s="47"/>
      <c r="J38" s="48"/>
    </row>
    <row r="39" spans="1:10" ht="30" customHeight="1" x14ac:dyDescent="0.3">
      <c r="A39" s="10"/>
      <c r="B39" s="55" t="s">
        <v>197</v>
      </c>
      <c r="C39" s="56"/>
      <c r="D39" s="56"/>
      <c r="E39" s="9">
        <v>5</v>
      </c>
      <c r="F39" s="26">
        <v>3.5</v>
      </c>
      <c r="G39" s="31">
        <f t="shared" si="0"/>
        <v>0.7</v>
      </c>
      <c r="H39" s="32" t="str">
        <f t="shared" si="1"/>
        <v>جيد</v>
      </c>
      <c r="I39" s="47"/>
      <c r="J39" s="48"/>
    </row>
    <row r="40" spans="1:10" ht="30" customHeight="1" x14ac:dyDescent="0.3">
      <c r="A40" s="10"/>
      <c r="B40" s="55" t="s">
        <v>198</v>
      </c>
      <c r="C40" s="56"/>
      <c r="D40" s="56"/>
      <c r="E40" s="9">
        <v>5</v>
      </c>
      <c r="F40" s="26">
        <v>3.5</v>
      </c>
      <c r="G40" s="31">
        <f t="shared" si="0"/>
        <v>0.7</v>
      </c>
      <c r="H40" s="32" t="str">
        <f t="shared" si="1"/>
        <v>جيد</v>
      </c>
      <c r="I40" s="47"/>
      <c r="J40" s="48"/>
    </row>
    <row r="41" spans="1:10" ht="30" customHeight="1" x14ac:dyDescent="0.3">
      <c r="A41" s="10"/>
      <c r="B41" s="55" t="s">
        <v>199</v>
      </c>
      <c r="C41" s="56"/>
      <c r="D41" s="56"/>
      <c r="E41" s="9">
        <v>5</v>
      </c>
      <c r="F41" s="26">
        <v>3.5</v>
      </c>
      <c r="G41" s="31">
        <f t="shared" si="0"/>
        <v>0.7</v>
      </c>
      <c r="H41" s="32" t="str">
        <f t="shared" si="1"/>
        <v>جيد</v>
      </c>
      <c r="I41" s="47"/>
      <c r="J41" s="48"/>
    </row>
    <row r="42" spans="1:10" ht="30" customHeight="1" thickBot="1" x14ac:dyDescent="0.35">
      <c r="A42" s="10"/>
      <c r="B42" s="57" t="s">
        <v>200</v>
      </c>
      <c r="C42" s="58"/>
      <c r="D42" s="58"/>
      <c r="E42" s="37">
        <v>5</v>
      </c>
      <c r="F42" s="27">
        <v>3.5</v>
      </c>
      <c r="G42" s="38">
        <f t="shared" si="0"/>
        <v>0.7</v>
      </c>
      <c r="H42" s="39" t="str">
        <f t="shared" si="1"/>
        <v>جيد</v>
      </c>
      <c r="I42" s="49"/>
      <c r="J42" s="50"/>
    </row>
    <row r="43" spans="1:10" ht="30" customHeight="1" thickBot="1" x14ac:dyDescent="0.35">
      <c r="A43" s="4"/>
      <c r="B43" s="51" t="s">
        <v>5</v>
      </c>
      <c r="C43" s="52"/>
      <c r="D43" s="52"/>
      <c r="E43" s="29">
        <f>SUM(E8:E42)</f>
        <v>150</v>
      </c>
      <c r="F43" s="29">
        <f>SUM(F8:F42)</f>
        <v>107.5</v>
      </c>
      <c r="G43" s="83"/>
      <c r="H43" s="84"/>
      <c r="I43" s="84"/>
      <c r="J43" s="85"/>
    </row>
    <row r="44" spans="1:10" ht="30" customHeight="1" thickBot="1" x14ac:dyDescent="0.35">
      <c r="A44" s="4"/>
      <c r="B44" s="53" t="s">
        <v>54</v>
      </c>
      <c r="C44" s="54"/>
      <c r="D44" s="54"/>
      <c r="E44" s="86">
        <f>F43/E43/100*100</f>
        <v>0.71666666666666667</v>
      </c>
      <c r="F44" s="86"/>
      <c r="G44" s="86"/>
      <c r="H44" s="86"/>
      <c r="I44" s="86"/>
      <c r="J44" s="87"/>
    </row>
    <row r="45" spans="1:10" ht="30" customHeight="1" thickBot="1" x14ac:dyDescent="0.35">
      <c r="A45" s="4"/>
      <c r="B45" s="53" t="s">
        <v>55</v>
      </c>
      <c r="C45" s="54"/>
      <c r="D45" s="54"/>
      <c r="E45" s="45" t="str">
        <f>_xlfn.IFS(E44&gt;=90%,"ممتاز",E44&gt;=80%,"جيد جداً",E44&gt;=70%,"جيد",E44&gt;=60%,"مقبول",E44&lt;60%,"راسب")</f>
        <v>جيد</v>
      </c>
      <c r="F45" s="45"/>
      <c r="G45" s="45"/>
      <c r="H45" s="45"/>
      <c r="I45" s="45"/>
      <c r="J45" s="46"/>
    </row>
    <row r="46" spans="1:10" ht="42" customHeight="1" x14ac:dyDescent="0.3">
      <c r="B46" s="41" t="s">
        <v>175</v>
      </c>
      <c r="C46" s="41"/>
      <c r="D46" s="41"/>
      <c r="E46" s="59" t="s">
        <v>52</v>
      </c>
      <c r="F46" s="59"/>
      <c r="G46" s="43" t="s">
        <v>120</v>
      </c>
      <c r="H46" s="43"/>
      <c r="I46" s="43"/>
      <c r="J46" s="43"/>
    </row>
    <row r="47" spans="1:10" ht="51" customHeight="1" x14ac:dyDescent="0.3">
      <c r="A47" s="5"/>
      <c r="B47" s="42"/>
      <c r="C47" s="42"/>
      <c r="D47" s="42"/>
      <c r="E47" s="60" t="s">
        <v>53</v>
      </c>
      <c r="F47" s="60"/>
      <c r="G47" s="44"/>
      <c r="H47" s="44"/>
      <c r="I47" s="44"/>
      <c r="J47" s="44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B32:D32"/>
    <mergeCell ref="B33:D33"/>
    <mergeCell ref="B34:D34"/>
    <mergeCell ref="B35:D35"/>
    <mergeCell ref="B26:D26"/>
    <mergeCell ref="B22:D22"/>
    <mergeCell ref="B23:D23"/>
    <mergeCell ref="B24:D24"/>
    <mergeCell ref="B25:D25"/>
    <mergeCell ref="B31:D31"/>
    <mergeCell ref="B12:D12"/>
    <mergeCell ref="B13:D13"/>
    <mergeCell ref="B14:D14"/>
    <mergeCell ref="B15:D15"/>
    <mergeCell ref="B16:D16"/>
    <mergeCell ref="E44:J44"/>
    <mergeCell ref="I13:J13"/>
    <mergeCell ref="I14:J14"/>
    <mergeCell ref="B27:D27"/>
    <mergeCell ref="B28:D28"/>
    <mergeCell ref="B29:D29"/>
    <mergeCell ref="B30:D30"/>
    <mergeCell ref="B17:D17"/>
    <mergeCell ref="B18:D18"/>
    <mergeCell ref="B19:D19"/>
    <mergeCell ref="B36:D36"/>
    <mergeCell ref="B37:D37"/>
    <mergeCell ref="B38:D38"/>
    <mergeCell ref="B39:D39"/>
    <mergeCell ref="B20:D20"/>
    <mergeCell ref="B21:D21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8:J8"/>
    <mergeCell ref="I11:J11"/>
    <mergeCell ref="I9:J9"/>
    <mergeCell ref="B8:D8"/>
    <mergeCell ref="B9:D9"/>
    <mergeCell ref="B10:D10"/>
    <mergeCell ref="B11:D11"/>
    <mergeCell ref="I12:J12"/>
    <mergeCell ref="I38:J38"/>
    <mergeCell ref="I39:J39"/>
    <mergeCell ref="I30:J30"/>
    <mergeCell ref="I31:J31"/>
    <mergeCell ref="I37:J37"/>
    <mergeCell ref="I32:J32"/>
    <mergeCell ref="I33:J33"/>
    <mergeCell ref="I34:J34"/>
    <mergeCell ref="I35:J35"/>
    <mergeCell ref="I36:J36"/>
    <mergeCell ref="I29:J29"/>
    <mergeCell ref="I15:J15"/>
    <mergeCell ref="I16:J16"/>
    <mergeCell ref="I17:J17"/>
    <mergeCell ref="I18:J18"/>
    <mergeCell ref="B46:D47"/>
    <mergeCell ref="G46:J46"/>
    <mergeCell ref="G47:J47"/>
    <mergeCell ref="E45:J45"/>
    <mergeCell ref="I40:J40"/>
    <mergeCell ref="I41:J41"/>
    <mergeCell ref="I42:J42"/>
    <mergeCell ref="B43:D43"/>
    <mergeCell ref="B44:D44"/>
    <mergeCell ref="B45:D45"/>
    <mergeCell ref="B40:D40"/>
    <mergeCell ref="B41:D41"/>
    <mergeCell ref="B42:D42"/>
    <mergeCell ref="E46:F46"/>
    <mergeCell ref="E47:F47"/>
    <mergeCell ref="G43:J43"/>
  </mergeCells>
  <conditionalFormatting sqref="C2:D2">
    <cfRule type="containsText" dxfId="16" priority="26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25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5">
    <cfRule type="expression" dxfId="14" priority="65">
      <formula>$E45="راسب"</formula>
    </cfRule>
  </conditionalFormatting>
  <conditionalFormatting sqref="E45:J45">
    <cfRule type="expression" dxfId="13" priority="66">
      <formula>$E45="مقبول"</formula>
    </cfRule>
    <cfRule type="expression" dxfId="12" priority="67">
      <formula>$E45="جيد"</formula>
    </cfRule>
    <cfRule type="expression" dxfId="11" priority="68">
      <formula>$E45="جيد جداً"</formula>
    </cfRule>
    <cfRule type="expression" dxfId="10" priority="69">
      <formula>$E45="ممتاز"</formula>
    </cfRule>
  </conditionalFormatting>
  <conditionalFormatting sqref="F8:F42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27" operator="containsText" text="أدخل التاريخ">
      <formula>NOT(ISERROR(SEARCH("أدخل التاريخ",F2)))</formula>
    </cfRule>
  </conditionalFormatting>
  <conditionalFormatting sqref="F3:J3">
    <cfRule type="containsText" dxfId="7" priority="24" operator="containsText" text="أدخل أسم المحكم">
      <formula>NOT(ISERROR(SEARCH("أدخل أسم المحكم",F3)))</formula>
    </cfRule>
  </conditionalFormatting>
  <conditionalFormatting sqref="G46:J46">
    <cfRule type="containsText" dxfId="6" priority="23" operator="containsText" text="أدخل اسم المحكم">
      <formula>NOT(ISERROR(SEARCH("أدخل اسم المحكم",G46)))</formula>
    </cfRule>
  </conditionalFormatting>
  <conditionalFormatting sqref="H8:H42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F24:F42 F20:F22 F9 F11:F18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G46:J46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2025-10-08T21:25:02Z</dcterms:modified>
</cp:coreProperties>
</file>