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8DFBC479-4E53-AA4C-907B-615F3D2A0258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3" i="2"/>
  <c r="H13" i="2"/>
  <c r="G14" i="2"/>
  <c r="H14" i="2"/>
  <c r="G15" i="2"/>
  <c r="H15" i="2"/>
  <c r="G17" i="2"/>
  <c r="H17" i="2"/>
  <c r="G19" i="2"/>
  <c r="H19" i="2"/>
  <c r="G20" i="2"/>
  <c r="H20" i="2"/>
  <c r="G21" i="2"/>
  <c r="H21" i="2"/>
  <c r="G22" i="2"/>
  <c r="H22" i="2"/>
  <c r="G24" i="2"/>
  <c r="H24" i="2"/>
  <c r="G25" i="2"/>
  <c r="H25" i="2"/>
  <c r="G26" i="2"/>
  <c r="H26" i="2"/>
  <c r="G27" i="2"/>
  <c r="H27" i="2"/>
  <c r="F28" i="2"/>
  <c r="E28" i="2"/>
  <c r="E29" i="2"/>
  <c r="E30" i="2"/>
</calcChain>
</file>

<file path=xl/sharedStrings.xml><?xml version="1.0" encoding="utf-8"?>
<sst xmlns="http://schemas.openxmlformats.org/spreadsheetml/2006/main" count="257" uniqueCount="201">
  <si>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</si>
  <si>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</si>
  <si>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</si>
  <si>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</si>
  <si>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</si>
  <si>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</si>
  <si>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</si>
  <si>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</si>
  <si>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</si>
  <si>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</si>
  <si>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</si>
  <si>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</si>
  <si>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</si>
  <si>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</si>
  <si>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</si>
  <si>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</si>
  <si>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</si>
  <si>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</si>
  <si>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</si>
  <si>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</si>
  <si>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</si>
  <si>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</si>
  <si>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</si>
  <si>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</si>
  <si>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</si>
  <si>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</si>
  <si>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</si>
  <si>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</si>
  <si>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</si>
  <si>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</si>
  <si>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</si>
  <si>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</si>
  <si>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</si>
  <si>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</si>
  <si>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</si>
  <si>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</si>
  <si>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</si>
  <si>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</si>
  <si>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</si>
  <si>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</si>
  <si>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</si>
  <si>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</si>
  <si>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</si>
  <si>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</si>
  <si>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</si>
  <si>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</si>
  <si>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</si>
  <si>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</si>
  <si>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</si>
  <si>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</si>
  <si>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</si>
  <si>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</si>
  <si>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</si>
  <si>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</si>
  <si>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</si>
  <si>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</si>
  <si>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</si>
  <si>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</si>
  <si>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</si>
  <si>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</si>
  <si>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</si>
  <si>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</si>
  <si>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</si>
  <si>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</si>
  <si>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</si>
  <si>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</si>
  <si>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</si>
  <si>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</si>
  <si>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</si>
  <si>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</si>
  <si>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</si>
  <si>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</si>
  <si>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</si>
  <si>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</si>
  <si>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</si>
  <si>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</si>
  <si>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</si>
  <si>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</si>
  <si>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</si>
  <si>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</si>
  <si>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</si>
  <si>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</si>
  <si>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</si>
  <si>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</si>
  <si>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</si>
  <si>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</si>
  <si>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</si>
  <si>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</si>
  <si>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</si>
  <si>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</si>
  <si>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</si>
  <si>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</si>
  <si>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</si>
  <si>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</si>
  <si>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</si>
  <si>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</si>
  <si>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</si>
  <si>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</si>
  <si>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</si>
  <si>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</si>
  <si>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</si>
  <si>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</si>
  <si>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</si>
  <si>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</si>
  <si>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</si>
  <si>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</si>
  <si>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</si>
  <si>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</si>
  <si>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</si>
  <si>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</si>
  <si>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</si>
  <si>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</si>
  <si>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</si>
  <si>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</si>
  <si>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</si>
  <si>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</si>
  <si>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</si>
  <si>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</si>
  <si>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</si>
  <si>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</si>
  <si>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</si>
  <si>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</si>
  <si>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</si>
  <si>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</si>
  <si>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</si>
  <si>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</si>
  <si>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</si>
  <si>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</si>
  <si>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</si>
  <si>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</si>
  <si>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</si>
  <si>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</si>
  <si>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</si>
  <si>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</si>
  <si>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</si>
  <si>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</si>
  <si>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</si>
  <si>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</si>
  <si>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</si>
  <si>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</si>
  <si>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</si>
  <si>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</si>
  <si>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</si>
  <si>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</si>
  <si>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</si>
  <si>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</si>
  <si>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</si>
  <si>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</si>
  <si>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</si>
  <si>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</si>
  <si>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</si>
  <si>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</si>
  <si>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</si>
  <si>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</si>
  <si>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</si>
  <si>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</si>
  <si>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</si>
  <si>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</si>
  <si>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</si>
  <si>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</si>
  <si>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</si>
  <si>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</si>
  <si>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</si>
  <si>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</si>
  <si>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</si>
  <si>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</si>
  <si>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</si>
  <si>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</si>
  <si>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</si>
  <si>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</si>
  <si>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</si>
  <si>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</si>
  <si>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</si>
  <si>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</si>
  <si>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</si>
  <si>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</si>
  <si>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</si>
  <si>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</si>
  <si>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</si>
  <si>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</si>
  <si>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إجراءات القائد قبل بدء التحرك إلى مناطق الانتشار</t>
  </si>
  <si>
    <t>إجراءات القادة والقوات أثناء التحرك لمناطق الانتشار</t>
  </si>
  <si>
    <t>إجراءات دخول القوات في مناطق الانتشار وتأمينها</t>
  </si>
  <si>
    <t>تجهيز وإعداد مناطق الانتشار والإجراءات المتخذة فيها</t>
  </si>
  <si>
    <t>إجراءات الإسناد الإداري</t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</si>
  <si>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إبلاغ المرؤوسين بالبدء بتنفيذ خطة التحرك لمناطق الانتشار.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</si>
  <si>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إرسال مجموعات الحماية والاستطلاع والأدلاء إلى مناطق الانتشار.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</si>
  <si>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التقيد بتنفيذ إجراءات التحرك حسب أمر / جدول التنقل.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</si>
  <si>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سيطرة القادة على قواتهم أثناء التحرك.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</si>
  <si>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التأكد من توزيع المعدات بالطريقة الصحيحة مع تقسيم منطقة الانتشار إلى قطاعات.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</si>
  <si>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مدى جاهزية القوة للقيام بالدفاع عن منطقة الانتشار حسب خطة الدفاع والحراسة.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</si>
  <si>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التأكد من الإخفاء والتمويه.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</si>
  <si>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التزويد (الوقود / الأرزاق / المياه، الخ..).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</si>
  <si>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الإخـلاء.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</si>
  <si>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الإنقـاذ.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</si>
  <si>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الطرق الرئيسة والتبادلية المؤديـة إلى ومن مناطق الانتشــار.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</si>
  <si>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يبدأ الضابط المسؤول عن مجموعة المؤخرة في تنفيذ التعليمات.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</si>
  <si>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تحقيـق الاتصال بالمستـوى الأعلى والادنى.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</si>
  <si>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تسلسل الدخول لمناطق الانتشار حسب جدول التنقل.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</si>
  <si>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وجود تعليمات الإنـــذار.</t>
    </r>
  </si>
  <si>
    <r>
      <rPr>
        <b/>
        <sz val="14"/>
        <color rgb="FF000000"/>
        <rFont val="Arial"/>
        <family val="2"/>
      </rPr>
      <t>تقييم سرية الصيانة في التحرك واحتلال مناطق الانتشار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</si>
</sst>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Calibri"/>
      <family val="2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14" fillId="0" borderId="4" xfId="0" applyFont="1" applyBorder="1" applyAlignment="1">
      <alignment vertical="center" wrapText="1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268665</xdr:colOff>
      <xdr:row>30</xdr:row>
      <xdr:rowOff>510840</xdr:rowOff>
    </xdr:from>
    <xdr:to>
      <xdr:col>9</xdr:col>
      <xdr:colOff>507314</xdr:colOff>
      <xdr:row>32</xdr:row>
      <xdr:rowOff>130963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F6D6F3D-DE22-29E5-631C-B5FD9EA7CFEA}"/>
                </a:ext>
              </a:extLst>
            </xdr14:cNvPr>
            <xdr14:cNvContentPartPr/>
          </xdr14:nvContentPartPr>
          <xdr14:nvPr macro=""/>
          <xdr14:xfrm>
            <a:off x="10398079505" y="11940840"/>
            <a:ext cx="2212920" cy="79776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5F6D6F3D-DE22-29E5-631C-B5FD9EA7CFE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070865" y="11931840"/>
              <a:ext cx="2230560" cy="81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645225</xdr:colOff>
      <xdr:row>31</xdr:row>
      <xdr:rowOff>506428</xdr:rowOff>
    </xdr:from>
    <xdr:to>
      <xdr:col>9</xdr:col>
      <xdr:colOff>55154</xdr:colOff>
      <xdr:row>32</xdr:row>
      <xdr:rowOff>124123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66D1823-9B00-85F9-4422-531F6292FD61}"/>
                </a:ext>
              </a:extLst>
            </xdr14:cNvPr>
            <xdr14:cNvContentPartPr/>
          </xdr14:nvContentPartPr>
          <xdr14:nvPr macro=""/>
          <xdr14:xfrm>
            <a:off x="10398531665" y="12467520"/>
            <a:ext cx="1384200" cy="26424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66D1823-9B00-85F9-4422-531F6292FD6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522665" y="12458520"/>
              <a:ext cx="1401840" cy="281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4:20:41.08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4542 1366 7737,'0'0'0,"21"0"328,1 0-264,7 3-48,-29-3-16,26 5-48,-9 9-96,-2-10-8,-11 12-80,-4-16 232,13 11-288,-13 3-136,0 2-24,-5 1 112,5-17 336,-27 20-176,-2 0 168,-14-2 120,-12 1 56,55-19-168,-68 18 160,-16 1 48,-7-4 56,-17-2-96,108-13-168,-116 4 144,-14 8-32,-2-12-104,-10 0 48,142 0-56,-147 0 32,-7-5 32,-2-9-16,0 1 32,156 13-80,-154-14 48,2-4 80,-2-2 24,3-4-8,151 24-144,-149-27 136,7-3-32,7-3-48,5-4 8,130 37-64,-123-41 112,3-3-40,7-2-96,10-1 72,103 47-48,-97-46 56,21-1-8,8-2 56,20 1 72,48 48-176,-31-50 288,12 0 193,14 2 223,10 0-168,-5 48-536,26-49 352,17 1-240,15-2-176,21 3-16,-79 47 80,99-46-112,16-1 80,20-2-16,12 0-8,-147 49 56,156-50-40,13 0 24,6 2-32,10 2 32,-185 46 16,195-42 48,5 0-56,7 5 16,2 3-32,-209 34 24,214-30 40,0 6-24,3 6 24,-1 5-16,-216 13-24,214-4-32,3 2-8,-13 2-24,-2 13-16,-202-13 80,185 16-72,-4 2-32,-15 6 0,-20 3 96,-146-27 8,133 27 8,-20 3-16,-22 2 32,-19 2-112,-72-34 88,51 37-152,-22 1-80,-27 3-32,-19 5 80,17-46 184,-41 48-64,-21 0 88,-27 2 16,-22-2 0,111-48-40,-137 49 24,-17 3 0,-17 1-8,-21 2 32,192-55-48,-204 57-8,-18 3 8,-11 1 0,-8 2-48,241-63 48,-243 65-16,-9-1 40,2 0-8,0 1 24,250-65-40,-246 61 0,-6-4-24,6-4 0,-1-9-32,247-44 56,-241 43-16,3-2-16,5-1 8,9 1-64,224-41 88,-108 20 8,-22 5-40,10 0-56,-20 3 64,140-28 24,-125 28-177,-12 4 41,14-2-16,-7 2 48,130-32 104,-108 30-128,19-4-80,22-4-416,19-3-224,48-19 848,-24 16-816,24-12-8,16 0 384,28-1 192,-44-3 248,60 0-145,24-4 105,24-13 112,44-6-56,-152 23-16,279-46 40,7-3 25,-17-1-33,-52 10 40,-217 40-72,228-41 32,1-2-24,9 1 8,0-1 8,-238 43-24,246-41 56,-4-1-16,4 1 24,-10 3 40,-236 38-104,228-37 136,-14 1 96,-9 2 0,-15 3 24,-190 31-256,175-28 256,-16 6-80,-17 5-24,-15 6-32,-127 11-120,104-6 64,-15 0-48,-22 4-64,-26 0-8,-41 2 56,22 0-176,-22 0-88,-22 12 96,-26-8 0,48-4 168,-72 18-80,-22-1 128,-24 3-24,-19 3-16,137-23-8,-154 27 48,-14 1-16,-13 4 16,-14 0-16,195-32-32,-199 33 40,-11 1-32,4 3-16,-1 2 16,207-39-8,-202 39 0,0 3 40,7-1 88,2 0-16,193-41-112,-190 40 128,15-2-8,2 1-120,9-2 32,164-37-32,-156 38 48,7-1-48,16 1 40,13-2-32,120-36-8,-108 35-24,65-19 64,-8 4 0,13-3-32,38-17-8,-41 20-176,14-2-288,10-1-104,17-2-24,0-15 592,20 11-585,52-7-383,38-1-1784,-110-3 2752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4:20:41.53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2401 233 4560,'0'0'0,"144"-31"1081,44-9-65,35-7-400,-223 47-616,190-34 440,-43 8-112,-15 8-104,-16 4-56,-116 14-168,98-6 80,-16-7-48,-22 12-40,-19-1 64,-41 2-56,22-1-24,-25 1-72,-23 3 64,-17 1-16,43-4 48,-73 16 32,-23-5 80,-26 3-64,-28 2-48,150-16 0,-168 17 40,-24 4 16,-18 2-32,-11 4 0,221-27-24,-233 29 8,0 3-32,-3 8 40,2 1-32,234-41 16,-230 49 16,8 2-24,3 3-32,15 3 0,204-57 40,-200 58-32,13 2-392,9-5-784,14 1-3641,164-56 4849,0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2"/>
  <sheetViews>
    <sheetView rightToLeft="1" tabSelected="1" view="pageBreakPreview" topLeftCell="C18" zoomScale="130" zoomScaleNormal="100" zoomScaleSheetLayoutView="130" workbookViewId="0">
      <selection activeCell="G31" sqref="G31:J31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65" t="s">
        <v>200</v>
      </c>
      <c r="C1" s="65"/>
      <c r="D1" s="65"/>
      <c r="E1" s="65"/>
      <c r="F1" s="65"/>
      <c r="G1" s="65"/>
      <c r="H1" s="65"/>
      <c r="I1" s="65"/>
      <c r="J1" s="65"/>
    </row>
    <row r="2" spans="1:10" ht="30" customHeight="1" x14ac:dyDescent="0.2">
      <c r="B2" s="12" t="s">
        <v>8</v>
      </c>
      <c r="C2" s="71" t="s">
        <v>32</v>
      </c>
      <c r="D2" s="71"/>
      <c r="E2" s="12" t="s">
        <v>7</v>
      </c>
      <c r="F2" s="66">
        <v>45929</v>
      </c>
      <c r="G2" s="66"/>
      <c r="H2" s="66"/>
      <c r="I2" s="66"/>
      <c r="J2" s="66"/>
    </row>
    <row r="3" spans="1:10" ht="30" customHeight="1" x14ac:dyDescent="0.2">
      <c r="B3" s="12" t="s">
        <v>9</v>
      </c>
      <c r="C3" s="71" t="s">
        <v>67</v>
      </c>
      <c r="D3" s="71"/>
      <c r="E3" s="12" t="s">
        <v>6</v>
      </c>
      <c r="F3" s="71" t="s">
        <v>136</v>
      </c>
      <c r="G3" s="71"/>
      <c r="H3" s="71"/>
      <c r="I3" s="71"/>
      <c r="J3" s="71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67" t="s">
        <v>0</v>
      </c>
      <c r="C5" s="68"/>
      <c r="D5" s="68"/>
      <c r="E5" s="76" t="s">
        <v>1</v>
      </c>
      <c r="F5" s="76"/>
      <c r="G5" s="76"/>
      <c r="H5" s="76"/>
      <c r="I5" s="76" t="s">
        <v>2</v>
      </c>
      <c r="J5" s="77"/>
    </row>
    <row r="6" spans="1:10" ht="24.95" customHeight="1" thickBot="1" x14ac:dyDescent="0.25">
      <c r="A6" s="10"/>
      <c r="B6" s="69"/>
      <c r="C6" s="70"/>
      <c r="D6" s="70"/>
      <c r="E6" s="11" t="s">
        <v>3</v>
      </c>
      <c r="F6" s="11" t="s">
        <v>4</v>
      </c>
      <c r="G6" s="11" t="s">
        <v>23</v>
      </c>
      <c r="H6" s="11" t="s">
        <v>24</v>
      </c>
      <c r="I6" s="78"/>
      <c r="J6" s="79"/>
    </row>
    <row r="7" spans="1:10" ht="24.95" customHeight="1" thickBot="1" x14ac:dyDescent="0.25">
      <c r="A7" s="10"/>
      <c r="B7" s="74" t="s">
        <v>21</v>
      </c>
      <c r="C7" s="75"/>
      <c r="D7" s="75"/>
      <c r="E7" s="32" t="s">
        <v>18</v>
      </c>
      <c r="F7" s="32" t="s">
        <v>19</v>
      </c>
      <c r="G7" s="32" t="s">
        <v>22</v>
      </c>
      <c r="H7" s="32" t="s">
        <v>20</v>
      </c>
      <c r="I7" s="85" t="s">
        <v>25</v>
      </c>
      <c r="J7" s="86"/>
    </row>
    <row r="8" spans="1:10" ht="30" customHeight="1" x14ac:dyDescent="0.2">
      <c r="A8" s="10"/>
      <c r="B8" s="47" t="s">
        <v>180</v>
      </c>
      <c r="C8" s="48"/>
      <c r="D8" s="48"/>
      <c r="E8" s="31"/>
      <c r="F8" s="36"/>
      <c r="G8" s="37"/>
      <c r="H8" s="38"/>
      <c r="I8" s="55"/>
      <c r="J8" s="56"/>
    </row>
    <row r="9" spans="1:10" ht="30" customHeight="1" x14ac:dyDescent="0.2">
      <c r="A9" s="10"/>
      <c r="B9" s="43" t="s">
        <v>185</v>
      </c>
      <c r="C9" s="44"/>
      <c r="D9" s="44"/>
      <c r="E9" s="28">
        <v>5</v>
      </c>
      <c r="F9" s="26">
        <v>3.5</v>
      </c>
      <c r="G9" s="34">
        <f>IFERROR(F9/E9,"")</f>
        <v>0.7</v>
      </c>
      <c r="H9" s="35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7"/>
      <c r="J9" s="58"/>
    </row>
    <row r="10" spans="1:10" ht="30" customHeight="1" x14ac:dyDescent="0.2">
      <c r="A10" s="10"/>
      <c r="B10" s="43" t="s">
        <v>186</v>
      </c>
      <c r="C10" s="44"/>
      <c r="D10" s="44"/>
      <c r="E10" s="28">
        <v>5</v>
      </c>
      <c r="F10" s="26">
        <v>3.75</v>
      </c>
      <c r="G10" s="34">
        <f t="shared" ref="G10:G27" si="0">IFERROR(F10/E10,"")</f>
        <v>0.75</v>
      </c>
      <c r="H10" s="35" t="str">
        <f t="shared" ref="H10:H27" si="1">_xlfn.IFS(F10="أدخل العلامة","",F10="لا ينطبق","تم الإلغاء",G10&gt;=90%,"ممتاز",G10&gt;=80%,"جيد جداً",G10&gt;=70%,"جيد",G10&gt;=60%,"مقبول",G10&lt;60%,"راسب")</f>
        <v>جيد</v>
      </c>
      <c r="I10" s="57"/>
      <c r="J10" s="58"/>
    </row>
    <row r="11" spans="1:10" ht="30" customHeight="1" thickBot="1" x14ac:dyDescent="0.25">
      <c r="A11" s="10"/>
      <c r="B11" s="41" t="s">
        <v>196</v>
      </c>
      <c r="C11" s="42"/>
      <c r="D11" s="42"/>
      <c r="E11" s="29">
        <v>5</v>
      </c>
      <c r="F11" s="27">
        <v>4</v>
      </c>
      <c r="G11" s="39">
        <f t="shared" si="0"/>
        <v>0.8</v>
      </c>
      <c r="H11" s="40" t="str">
        <f t="shared" si="1"/>
        <v>جيد جداً</v>
      </c>
      <c r="I11" s="53"/>
      <c r="J11" s="54"/>
    </row>
    <row r="12" spans="1:10" ht="30" customHeight="1" x14ac:dyDescent="0.2">
      <c r="A12" s="10"/>
      <c r="B12" s="47" t="s">
        <v>181</v>
      </c>
      <c r="C12" s="48"/>
      <c r="D12" s="48"/>
      <c r="E12" s="31"/>
      <c r="F12" s="36"/>
      <c r="G12" s="37"/>
      <c r="H12" s="38"/>
      <c r="I12" s="55"/>
      <c r="J12" s="56"/>
    </row>
    <row r="13" spans="1:10" ht="30" customHeight="1" x14ac:dyDescent="0.2">
      <c r="A13" s="10"/>
      <c r="B13" s="43" t="s">
        <v>187</v>
      </c>
      <c r="C13" s="44"/>
      <c r="D13" s="44"/>
      <c r="E13" s="9">
        <v>8</v>
      </c>
      <c r="F13" s="26">
        <v>6.25</v>
      </c>
      <c r="G13" s="34">
        <f t="shared" si="0"/>
        <v>0.78125</v>
      </c>
      <c r="H13" s="35" t="str">
        <f t="shared" si="1"/>
        <v>جيد</v>
      </c>
      <c r="I13" s="57"/>
      <c r="J13" s="58"/>
    </row>
    <row r="14" spans="1:10" ht="30" customHeight="1" x14ac:dyDescent="0.2">
      <c r="A14" s="10"/>
      <c r="B14" s="43" t="s">
        <v>188</v>
      </c>
      <c r="C14" s="44"/>
      <c r="D14" s="44"/>
      <c r="E14" s="9">
        <v>8</v>
      </c>
      <c r="F14" s="26">
        <v>6.5</v>
      </c>
      <c r="G14" s="34">
        <f t="shared" si="0"/>
        <v>0.8125</v>
      </c>
      <c r="H14" s="35" t="str">
        <f t="shared" si="1"/>
        <v>جيد جداً</v>
      </c>
      <c r="I14" s="57"/>
      <c r="J14" s="58"/>
    </row>
    <row r="15" spans="1:10" ht="30" customHeight="1" thickBot="1" x14ac:dyDescent="0.25">
      <c r="A15" s="10"/>
      <c r="B15" s="41" t="s">
        <v>197</v>
      </c>
      <c r="C15" s="42"/>
      <c r="D15" s="42"/>
      <c r="E15" s="30">
        <v>8</v>
      </c>
      <c r="F15" s="27">
        <v>5.75</v>
      </c>
      <c r="G15" s="39">
        <f t="shared" si="0"/>
        <v>0.71875</v>
      </c>
      <c r="H15" s="40" t="str">
        <f t="shared" si="1"/>
        <v>جيد</v>
      </c>
      <c r="I15" s="53"/>
      <c r="J15" s="54"/>
    </row>
    <row r="16" spans="1:10" ht="30" customHeight="1" x14ac:dyDescent="0.2">
      <c r="A16" s="10"/>
      <c r="B16" s="47" t="s">
        <v>182</v>
      </c>
      <c r="C16" s="48"/>
      <c r="D16" s="48"/>
      <c r="E16" s="31"/>
      <c r="F16" s="36"/>
      <c r="G16" s="37"/>
      <c r="H16" s="38"/>
      <c r="I16" s="55"/>
      <c r="J16" s="56"/>
    </row>
    <row r="17" spans="1:10" ht="30" customHeight="1" thickBot="1" x14ac:dyDescent="0.25">
      <c r="A17" s="10"/>
      <c r="B17" s="41" t="s">
        <v>198</v>
      </c>
      <c r="C17" s="42"/>
      <c r="D17" s="42"/>
      <c r="E17" s="29">
        <v>8</v>
      </c>
      <c r="F17" s="27">
        <v>6.5</v>
      </c>
      <c r="G17" s="39">
        <f t="shared" si="0"/>
        <v>0.8125</v>
      </c>
      <c r="H17" s="40" t="str">
        <f t="shared" si="1"/>
        <v>جيد جداً</v>
      </c>
      <c r="I17" s="53"/>
      <c r="J17" s="54"/>
    </row>
    <row r="18" spans="1:10" ht="30" customHeight="1" x14ac:dyDescent="0.2">
      <c r="A18" s="10"/>
      <c r="B18" s="47" t="s">
        <v>183</v>
      </c>
      <c r="C18" s="48"/>
      <c r="D18" s="48"/>
      <c r="E18" s="31"/>
      <c r="F18" s="36"/>
      <c r="G18" s="37"/>
      <c r="H18" s="38"/>
      <c r="I18" s="55"/>
      <c r="J18" s="56"/>
    </row>
    <row r="19" spans="1:10" ht="30" customHeight="1" x14ac:dyDescent="0.2">
      <c r="A19" s="10"/>
      <c r="B19" s="43" t="s">
        <v>189</v>
      </c>
      <c r="C19" s="44"/>
      <c r="D19" s="44"/>
      <c r="E19" s="28">
        <v>8</v>
      </c>
      <c r="F19" s="26">
        <v>5.75</v>
      </c>
      <c r="G19" s="34">
        <f t="shared" si="0"/>
        <v>0.71875</v>
      </c>
      <c r="H19" s="35" t="str">
        <f t="shared" si="1"/>
        <v>جيد</v>
      </c>
      <c r="I19" s="57"/>
      <c r="J19" s="58"/>
    </row>
    <row r="20" spans="1:10" ht="30" customHeight="1" x14ac:dyDescent="0.2">
      <c r="A20" s="10"/>
      <c r="B20" s="43" t="s">
        <v>190</v>
      </c>
      <c r="C20" s="44"/>
      <c r="D20" s="44"/>
      <c r="E20" s="28">
        <v>8</v>
      </c>
      <c r="F20" s="26">
        <v>6.25</v>
      </c>
      <c r="G20" s="34">
        <f t="shared" si="0"/>
        <v>0.78125</v>
      </c>
      <c r="H20" s="35" t="str">
        <f t="shared" si="1"/>
        <v>جيد</v>
      </c>
      <c r="I20" s="57"/>
      <c r="J20" s="58"/>
    </row>
    <row r="21" spans="1:10" ht="30" customHeight="1" x14ac:dyDescent="0.2">
      <c r="A21" s="10"/>
      <c r="B21" s="43" t="s">
        <v>191</v>
      </c>
      <c r="C21" s="44"/>
      <c r="D21" s="44"/>
      <c r="E21" s="28">
        <v>8</v>
      </c>
      <c r="F21" s="26">
        <v>5.75</v>
      </c>
      <c r="G21" s="34">
        <f t="shared" si="0"/>
        <v>0.71875</v>
      </c>
      <c r="H21" s="35" t="str">
        <f t="shared" si="1"/>
        <v>جيد</v>
      </c>
      <c r="I21" s="57"/>
      <c r="J21" s="58"/>
    </row>
    <row r="22" spans="1:10" ht="30" customHeight="1" thickBot="1" x14ac:dyDescent="0.25">
      <c r="A22" s="10"/>
      <c r="B22" s="41" t="s">
        <v>199</v>
      </c>
      <c r="C22" s="42"/>
      <c r="D22" s="42"/>
      <c r="E22" s="29">
        <v>8</v>
      </c>
      <c r="F22" s="27">
        <v>7</v>
      </c>
      <c r="G22" s="39">
        <f t="shared" si="0"/>
        <v>0.875</v>
      </c>
      <c r="H22" s="40" t="str">
        <f t="shared" si="1"/>
        <v>جيد جداً</v>
      </c>
      <c r="I22" s="53"/>
      <c r="J22" s="54"/>
    </row>
    <row r="23" spans="1:10" ht="30" customHeight="1" x14ac:dyDescent="0.2">
      <c r="A23" s="10"/>
      <c r="B23" s="45" t="s">
        <v>184</v>
      </c>
      <c r="C23" s="46"/>
      <c r="D23" s="46"/>
      <c r="E23" s="31"/>
      <c r="F23" s="36"/>
      <c r="G23" s="37"/>
      <c r="H23" s="38"/>
      <c r="I23" s="55"/>
      <c r="J23" s="56"/>
    </row>
    <row r="24" spans="1:10" ht="30" customHeight="1" x14ac:dyDescent="0.2">
      <c r="A24" s="10"/>
      <c r="B24" s="43" t="s">
        <v>192</v>
      </c>
      <c r="C24" s="44"/>
      <c r="D24" s="44"/>
      <c r="E24" s="9">
        <v>6</v>
      </c>
      <c r="F24" s="26">
        <v>4.75</v>
      </c>
      <c r="G24" s="34">
        <f t="shared" si="0"/>
        <v>0.79166666666666663</v>
      </c>
      <c r="H24" s="35" t="str">
        <f t="shared" si="1"/>
        <v>جيد</v>
      </c>
      <c r="I24" s="57"/>
      <c r="J24" s="58"/>
    </row>
    <row r="25" spans="1:10" ht="30" customHeight="1" x14ac:dyDescent="0.2">
      <c r="A25" s="10"/>
      <c r="B25" s="43" t="s">
        <v>193</v>
      </c>
      <c r="C25" s="44"/>
      <c r="D25" s="44"/>
      <c r="E25" s="9">
        <v>5</v>
      </c>
      <c r="F25" s="26">
        <v>4</v>
      </c>
      <c r="G25" s="34">
        <f t="shared" si="0"/>
        <v>0.8</v>
      </c>
      <c r="H25" s="35" t="str">
        <f t="shared" si="1"/>
        <v>جيد جداً</v>
      </c>
      <c r="I25" s="57"/>
      <c r="J25" s="58"/>
    </row>
    <row r="26" spans="1:10" ht="30" customHeight="1" x14ac:dyDescent="0.2">
      <c r="A26" s="10"/>
      <c r="B26" s="43" t="s">
        <v>194</v>
      </c>
      <c r="C26" s="44"/>
      <c r="D26" s="44"/>
      <c r="E26" s="9">
        <v>5</v>
      </c>
      <c r="F26" s="26">
        <v>4.25</v>
      </c>
      <c r="G26" s="34">
        <f t="shared" si="0"/>
        <v>0.85</v>
      </c>
      <c r="H26" s="35" t="str">
        <f t="shared" si="1"/>
        <v>جيد جداً</v>
      </c>
      <c r="I26" s="57"/>
      <c r="J26" s="58"/>
    </row>
    <row r="27" spans="1:10" ht="30" customHeight="1" thickBot="1" x14ac:dyDescent="0.25">
      <c r="A27" s="10"/>
      <c r="B27" s="41" t="s">
        <v>195</v>
      </c>
      <c r="C27" s="42"/>
      <c r="D27" s="42"/>
      <c r="E27" s="30">
        <v>5</v>
      </c>
      <c r="F27" s="27">
        <v>3.75</v>
      </c>
      <c r="G27" s="39">
        <f t="shared" si="0"/>
        <v>0.75</v>
      </c>
      <c r="H27" s="40" t="str">
        <f t="shared" si="1"/>
        <v>جيد</v>
      </c>
      <c r="I27" s="53"/>
      <c r="J27" s="54"/>
    </row>
    <row r="28" spans="1:10" ht="30" customHeight="1" thickBot="1" x14ac:dyDescent="0.25">
      <c r="A28" s="4"/>
      <c r="B28" s="49" t="s">
        <v>5</v>
      </c>
      <c r="C28" s="50"/>
      <c r="D28" s="50"/>
      <c r="E28" s="33">
        <f>SUM(E8:E27)</f>
        <v>100</v>
      </c>
      <c r="F28" s="33">
        <f>SUM(F8:F27)</f>
        <v>77.75</v>
      </c>
      <c r="G28" s="82"/>
      <c r="H28" s="83"/>
      <c r="I28" s="83"/>
      <c r="J28" s="84"/>
    </row>
    <row r="29" spans="1:10" ht="30" customHeight="1" thickBot="1" x14ac:dyDescent="0.25">
      <c r="A29" s="4"/>
      <c r="B29" s="51" t="s">
        <v>54</v>
      </c>
      <c r="C29" s="52"/>
      <c r="D29" s="52"/>
      <c r="E29" s="72">
        <f>F28/E28/100*100</f>
        <v>0.77749999999999997</v>
      </c>
      <c r="F29" s="72"/>
      <c r="G29" s="72"/>
      <c r="H29" s="72"/>
      <c r="I29" s="72"/>
      <c r="J29" s="73"/>
    </row>
    <row r="30" spans="1:10" ht="30" customHeight="1" thickBot="1" x14ac:dyDescent="0.25">
      <c r="A30" s="4"/>
      <c r="B30" s="51" t="s">
        <v>55</v>
      </c>
      <c r="C30" s="52"/>
      <c r="D30" s="52"/>
      <c r="E30" s="63" t="str">
        <f>_xlfn.IFS(E29&gt;=90%,"ممتاز",E29&gt;=80%,"جيد جداً",E29&gt;=70%,"جيد",E29&gt;=60%,"مقبول",E29&lt;60%,"راسب")</f>
        <v>جيد</v>
      </c>
      <c r="F30" s="63"/>
      <c r="G30" s="63"/>
      <c r="H30" s="63"/>
      <c r="I30" s="63"/>
      <c r="J30" s="64"/>
    </row>
    <row r="31" spans="1:10" ht="42" customHeight="1" x14ac:dyDescent="0.2">
      <c r="B31" s="59" t="s">
        <v>174</v>
      </c>
      <c r="C31" s="59"/>
      <c r="D31" s="59"/>
      <c r="E31" s="80" t="s">
        <v>52</v>
      </c>
      <c r="F31" s="80"/>
      <c r="G31" s="61" t="s">
        <v>136</v>
      </c>
      <c r="H31" s="61"/>
      <c r="I31" s="61"/>
      <c r="J31" s="61"/>
    </row>
    <row r="32" spans="1:10" ht="51" customHeight="1" x14ac:dyDescent="0.2">
      <c r="A32" s="5"/>
      <c r="B32" s="60"/>
      <c r="C32" s="60"/>
      <c r="D32" s="60"/>
      <c r="E32" s="81" t="s">
        <v>53</v>
      </c>
      <c r="F32" s="81"/>
      <c r="G32" s="62"/>
      <c r="H32" s="62"/>
      <c r="I32" s="62"/>
      <c r="J32" s="62"/>
    </row>
  </sheetData>
  <sheetProtection formatCells="0" formatColumns="0" formatRows="0" insertColumns="0" insertRows="0" insertHyperlinks="0" deleteColumns="0" deleteRows="0" selectLockedCells="1" sort="0" autoFilter="0" pivotTables="0"/>
  <mergeCells count="61">
    <mergeCell ref="E31:F31"/>
    <mergeCell ref="E32:F32"/>
    <mergeCell ref="G28:J28"/>
    <mergeCell ref="I9:J9"/>
    <mergeCell ref="I7:J7"/>
    <mergeCell ref="I10:J10"/>
    <mergeCell ref="I8:J8"/>
    <mergeCell ref="I20:J20"/>
    <mergeCell ref="I21:J21"/>
    <mergeCell ref="B31:D32"/>
    <mergeCell ref="G31:J31"/>
    <mergeCell ref="G32:J32"/>
    <mergeCell ref="E30:J30"/>
    <mergeCell ref="B1:J1"/>
    <mergeCell ref="F2:J2"/>
    <mergeCell ref="B5:D6"/>
    <mergeCell ref="C2:D2"/>
    <mergeCell ref="C3:D3"/>
    <mergeCell ref="F3:J3"/>
    <mergeCell ref="E29:J29"/>
    <mergeCell ref="B7:D7"/>
    <mergeCell ref="I22:J22"/>
    <mergeCell ref="I23:J23"/>
    <mergeCell ref="E5:H5"/>
    <mergeCell ref="I5:J6"/>
    <mergeCell ref="B28:D28"/>
    <mergeCell ref="B29:D29"/>
    <mergeCell ref="B30:D30"/>
    <mergeCell ref="I11:J11"/>
    <mergeCell ref="I12:J12"/>
    <mergeCell ref="I13:J13"/>
    <mergeCell ref="I14:J14"/>
    <mergeCell ref="I15:J15"/>
    <mergeCell ref="I16:J16"/>
    <mergeCell ref="I17:J17"/>
    <mergeCell ref="I18:J18"/>
    <mergeCell ref="I24:J24"/>
    <mergeCell ref="I25:J25"/>
    <mergeCell ref="I26:J26"/>
    <mergeCell ref="I27:J27"/>
    <mergeCell ref="I19:J19"/>
    <mergeCell ref="B17:D17"/>
    <mergeCell ref="B18:D18"/>
    <mergeCell ref="B19:D19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27:D27"/>
    <mergeCell ref="B20:D20"/>
    <mergeCell ref="B21:D21"/>
    <mergeCell ref="B22:D22"/>
    <mergeCell ref="B23:D23"/>
    <mergeCell ref="B24:D24"/>
    <mergeCell ref="B25:D25"/>
    <mergeCell ref="B26:D2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0">
    <cfRule type="expression" dxfId="14" priority="57">
      <formula>$E30="راسب"</formula>
    </cfRule>
  </conditionalFormatting>
  <conditionalFormatting sqref="E30:J30">
    <cfRule type="expression" dxfId="13" priority="60">
      <formula>$E30="جيد جداً"</formula>
    </cfRule>
    <cfRule type="expression" dxfId="12" priority="59">
      <formula>$E30="جيد"</formula>
    </cfRule>
    <cfRule type="expression" dxfId="11" priority="58">
      <formula>$E30="مقبول"</formula>
    </cfRule>
    <cfRule type="expression" dxfId="10" priority="61">
      <formula>$E30="ممتاز"</formula>
    </cfRule>
  </conditionalFormatting>
  <conditionalFormatting sqref="F8:F27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1:J31">
    <cfRule type="containsText" dxfId="6" priority="15" operator="containsText" text="أدخل اسم المحكم">
      <formula>NOT(ISERROR(SEARCH("أدخل اسم المحكم",G31)))</formula>
    </cfRule>
  </conditionalFormatting>
  <conditionalFormatting sqref="H8:H27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F25:F27 F9:F11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G31:J31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2D9323B8-CE24-41E4-BE7F-1796CD23CDDD}">
          <x14:formula1>
            <xm:f>'بيانات التقييم'!$A$111:$A$145</xm:f>
          </x14:formula1>
          <xm:sqref>F13:F15 F17 F19:F22</xm:sqref>
        </x14:dataValidation>
        <x14:dataValidation type="list" allowBlank="1" showInputMessage="1" showErrorMessage="1" xr:uid="{16BBF74E-E5E5-4F64-BFD7-8BB948F78D59}">
          <x14:formula1>
            <xm:f>'بيانات التقييم'!$A$111:$A$137</xm:f>
          </x14:formula1>
          <xm:sqref>F24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8" workbookViewId="0">
      <selection activeCell="C33" sqref="C33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45901</v>
      </c>
    </row>
    <row r="40" spans="1:9" ht="20.100000000000001" customHeight="1" thickBot="1" x14ac:dyDescent="0.3">
      <c r="A40" s="13">
        <v>45902</v>
      </c>
    </row>
    <row r="41" spans="1:9" ht="20.100000000000001" customHeight="1" thickBot="1" x14ac:dyDescent="0.3">
      <c r="A41" s="13">
        <v>45903</v>
      </c>
    </row>
    <row r="42" spans="1:9" ht="20.100000000000001" customHeight="1" thickBot="1" x14ac:dyDescent="0.3">
      <c r="A42" s="13">
        <v>45904</v>
      </c>
    </row>
    <row r="43" spans="1:9" ht="20.100000000000001" customHeight="1" thickBot="1" x14ac:dyDescent="0.3">
      <c r="A43" s="13">
        <v>45905</v>
      </c>
    </row>
    <row r="44" spans="1:9" ht="20.100000000000001" customHeight="1" thickBot="1" x14ac:dyDescent="0.3">
      <c r="A44" s="13">
        <v>45906</v>
      </c>
    </row>
    <row r="45" spans="1:9" ht="20.100000000000001" customHeight="1" thickBot="1" x14ac:dyDescent="0.3">
      <c r="A45" s="13">
        <v>45907</v>
      </c>
    </row>
    <row r="46" spans="1:9" ht="20.100000000000001" customHeight="1" thickBot="1" x14ac:dyDescent="0.3">
      <c r="A46" s="13">
        <v>45908</v>
      </c>
    </row>
    <row r="47" spans="1:9" ht="20.100000000000001" customHeight="1" thickBot="1" x14ac:dyDescent="0.3">
      <c r="A47" s="13">
        <v>45909</v>
      </c>
    </row>
    <row r="48" spans="1:9" ht="20.100000000000001" customHeight="1" thickBot="1" x14ac:dyDescent="0.3">
      <c r="A48" s="13">
        <v>45910</v>
      </c>
    </row>
    <row r="49" spans="1:1" ht="20.100000000000001" customHeight="1" thickBot="1" x14ac:dyDescent="0.3">
      <c r="A49" s="13">
        <v>45911</v>
      </c>
    </row>
    <row r="50" spans="1:1" ht="20.100000000000001" customHeight="1" thickBot="1" x14ac:dyDescent="0.3">
      <c r="A50" s="13">
        <v>45912</v>
      </c>
    </row>
    <row r="51" spans="1:1" ht="20.100000000000001" customHeight="1" thickBot="1" x14ac:dyDescent="0.3">
      <c r="A51" s="13">
        <v>45913</v>
      </c>
    </row>
    <row r="52" spans="1:1" ht="20.100000000000001" customHeight="1" thickBot="1" x14ac:dyDescent="0.3">
      <c r="A52" s="13">
        <v>45914</v>
      </c>
    </row>
    <row r="53" spans="1:1" ht="20.100000000000001" customHeight="1" thickBot="1" x14ac:dyDescent="0.3">
      <c r="A53" s="13">
        <v>45915</v>
      </c>
    </row>
    <row r="54" spans="1:1" ht="20.100000000000001" customHeight="1" thickBot="1" x14ac:dyDescent="0.3">
      <c r="A54" s="13">
        <v>45916</v>
      </c>
    </row>
    <row r="55" spans="1:1" ht="20.100000000000001" customHeight="1" thickBot="1" x14ac:dyDescent="0.3">
      <c r="A55" s="13">
        <v>45917</v>
      </c>
    </row>
    <row r="56" spans="1:1" ht="20.100000000000001" customHeight="1" thickBot="1" x14ac:dyDescent="0.3">
      <c r="A56" s="13">
        <v>45918</v>
      </c>
    </row>
    <row r="57" spans="1:1" ht="20.100000000000001" customHeight="1" thickBot="1" x14ac:dyDescent="0.3">
      <c r="A57" s="13">
        <v>45919</v>
      </c>
    </row>
    <row r="58" spans="1:1" ht="20.100000000000001" customHeight="1" thickBot="1" x14ac:dyDescent="0.3">
      <c r="A58" s="13">
        <v>45920</v>
      </c>
    </row>
    <row r="59" spans="1:1" ht="20.100000000000001" customHeight="1" thickBot="1" x14ac:dyDescent="0.3">
      <c r="A59" s="13">
        <v>45921</v>
      </c>
    </row>
    <row r="60" spans="1:1" ht="20.100000000000001" customHeight="1" thickBot="1" x14ac:dyDescent="0.3">
      <c r="A60" s="13">
        <v>45922</v>
      </c>
    </row>
    <row r="61" spans="1:1" ht="20.100000000000001" customHeight="1" thickBot="1" x14ac:dyDescent="0.3">
      <c r="A61" s="13">
        <v>45923</v>
      </c>
    </row>
    <row r="62" spans="1:1" ht="20.100000000000001" customHeight="1" thickBot="1" x14ac:dyDescent="0.3">
      <c r="A62" s="13">
        <v>45924</v>
      </c>
    </row>
    <row r="63" spans="1:1" ht="20.100000000000001" customHeight="1" thickBot="1" x14ac:dyDescent="0.3">
      <c r="A63" s="13">
        <v>45925</v>
      </c>
    </row>
    <row r="64" spans="1:1" ht="20.100000000000001" customHeight="1" thickBot="1" x14ac:dyDescent="0.3">
      <c r="A64" s="13">
        <v>45926</v>
      </c>
    </row>
    <row r="65" spans="1:1" ht="20.100000000000001" customHeight="1" thickBot="1" x14ac:dyDescent="0.3">
      <c r="A65" s="13">
        <v>45927</v>
      </c>
    </row>
    <row r="66" spans="1:1" ht="20.100000000000001" customHeight="1" thickBot="1" x14ac:dyDescent="0.3">
      <c r="A66" s="13">
        <v>45928</v>
      </c>
    </row>
    <row r="67" spans="1:1" ht="20.100000000000001" customHeight="1" thickBot="1" x14ac:dyDescent="0.3">
      <c r="A67" s="13">
        <v>45929</v>
      </c>
    </row>
    <row r="68" spans="1:1" ht="20.100000000000001" customHeight="1" thickBot="1" x14ac:dyDescent="0.3">
      <c r="A68" s="13">
        <v>45930</v>
      </c>
    </row>
    <row r="69" spans="1:1" ht="20.100000000000001" customHeight="1" thickBot="1" x14ac:dyDescent="0.3">
      <c r="A69" s="13">
        <v>45931</v>
      </c>
    </row>
    <row r="70" spans="1:1" ht="20.100000000000001" customHeight="1" thickBot="1" x14ac:dyDescent="0.3">
      <c r="A70" s="13">
        <v>45932</v>
      </c>
    </row>
    <row r="71" spans="1:1" ht="20.100000000000001" customHeight="1" thickBot="1" x14ac:dyDescent="0.3">
      <c r="A71" s="13">
        <v>45933</v>
      </c>
    </row>
    <row r="72" spans="1:1" ht="20.100000000000001" customHeight="1" thickBot="1" x14ac:dyDescent="0.3">
      <c r="A72" s="13">
        <v>45934</v>
      </c>
    </row>
    <row r="73" spans="1:1" ht="20.100000000000001" customHeight="1" thickBot="1" x14ac:dyDescent="0.3">
      <c r="A73" s="13">
        <v>45935</v>
      </c>
    </row>
    <row r="74" spans="1:1" ht="20.100000000000001" customHeight="1" thickBot="1" x14ac:dyDescent="0.3">
      <c r="A74" s="13">
        <v>45936</v>
      </c>
    </row>
    <row r="75" spans="1:1" ht="20.100000000000001" customHeight="1" thickBot="1" x14ac:dyDescent="0.3">
      <c r="A75" s="13">
        <v>45937</v>
      </c>
    </row>
    <row r="76" spans="1:1" ht="20.100000000000001" customHeight="1" thickBot="1" x14ac:dyDescent="0.3">
      <c r="A76" s="13">
        <v>45938</v>
      </c>
    </row>
    <row r="77" spans="1:1" ht="20.100000000000001" customHeight="1" thickBot="1" x14ac:dyDescent="0.3">
      <c r="A77" s="13">
        <v>45939</v>
      </c>
    </row>
    <row r="78" spans="1:1" ht="20.100000000000001" customHeight="1" thickBot="1" x14ac:dyDescent="0.3">
      <c r="A78" s="13">
        <v>45940</v>
      </c>
    </row>
    <row r="79" spans="1:1" ht="20.100000000000001" customHeight="1" thickBot="1" x14ac:dyDescent="0.3">
      <c r="A79" s="13">
        <v>45941</v>
      </c>
    </row>
    <row r="80" spans="1:1" ht="20.100000000000001" customHeight="1" thickBot="1" x14ac:dyDescent="0.3">
      <c r="A80" s="13">
        <v>45942</v>
      </c>
    </row>
    <row r="81" spans="1:1" ht="20.100000000000001" customHeight="1" thickBot="1" x14ac:dyDescent="0.3">
      <c r="A81" s="13">
        <v>45943</v>
      </c>
    </row>
    <row r="82" spans="1:1" ht="20.100000000000001" customHeight="1" thickBot="1" x14ac:dyDescent="0.3">
      <c r="A82" s="13">
        <v>45944</v>
      </c>
    </row>
    <row r="83" spans="1:1" ht="20.100000000000001" customHeight="1" thickBot="1" x14ac:dyDescent="0.3">
      <c r="A83" s="13">
        <v>45945</v>
      </c>
    </row>
    <row r="84" spans="1:1" ht="20.100000000000001" customHeight="1" thickBot="1" x14ac:dyDescent="0.3">
      <c r="A84" s="13">
        <v>45946</v>
      </c>
    </row>
    <row r="85" spans="1:1" ht="20.100000000000001" customHeight="1" thickBot="1" x14ac:dyDescent="0.3">
      <c r="A85" s="13">
        <v>45947</v>
      </c>
    </row>
    <row r="86" spans="1:1" ht="20.100000000000001" customHeight="1" thickBot="1" x14ac:dyDescent="0.3">
      <c r="A86" s="13">
        <v>45948</v>
      </c>
    </row>
    <row r="87" spans="1:1" ht="20.100000000000001" customHeight="1" thickBot="1" x14ac:dyDescent="0.3">
      <c r="A87" s="13">
        <v>45949</v>
      </c>
    </row>
    <row r="88" spans="1:1" ht="20.100000000000001" customHeight="1" thickBot="1" x14ac:dyDescent="0.3">
      <c r="A88" s="13">
        <v>45950</v>
      </c>
    </row>
    <row r="89" spans="1:1" ht="20.100000000000001" customHeight="1" thickBot="1" x14ac:dyDescent="0.3">
      <c r="A89" s="13">
        <v>45951</v>
      </c>
    </row>
    <row r="90" spans="1:1" ht="20.100000000000001" customHeight="1" thickBot="1" x14ac:dyDescent="0.3">
      <c r="A90" s="13">
        <v>45952</v>
      </c>
    </row>
    <row r="91" spans="1:1" ht="20.100000000000001" customHeight="1" thickBot="1" x14ac:dyDescent="0.3">
      <c r="A91" s="13">
        <v>45953</v>
      </c>
    </row>
    <row r="92" spans="1:1" ht="20.100000000000001" customHeight="1" thickBot="1" x14ac:dyDescent="0.3">
      <c r="A92" s="13">
        <v>45954</v>
      </c>
    </row>
    <row r="93" spans="1:1" ht="20.100000000000001" customHeight="1" thickBot="1" x14ac:dyDescent="0.3">
      <c r="A93" s="13">
        <v>45955</v>
      </c>
    </row>
    <row r="94" spans="1:1" ht="20.100000000000001" customHeight="1" thickBot="1" x14ac:dyDescent="0.3">
      <c r="A94" s="13">
        <v>45956</v>
      </c>
    </row>
    <row r="95" spans="1:1" ht="20.100000000000001" customHeight="1" thickBot="1" x14ac:dyDescent="0.3">
      <c r="A95" s="13">
        <v>45957</v>
      </c>
    </row>
    <row r="96" spans="1:1" ht="20.100000000000001" customHeight="1" thickBot="1" x14ac:dyDescent="0.3">
      <c r="A96" s="13">
        <v>45958</v>
      </c>
    </row>
    <row r="97" spans="1:9" ht="20.100000000000001" customHeight="1" thickBot="1" x14ac:dyDescent="0.3">
      <c r="A97" s="13">
        <v>45959</v>
      </c>
    </row>
    <row r="98" spans="1:9" ht="20.100000000000001" customHeight="1" thickBot="1" x14ac:dyDescent="0.3">
      <c r="A98" s="13">
        <v>45960</v>
      </c>
    </row>
    <row r="99" spans="1:9" ht="20.100000000000001" customHeight="1" thickBot="1" x14ac:dyDescent="0.3">
      <c r="A99" s="13">
        <v>45961</v>
      </c>
    </row>
    <row r="100" spans="1:9" ht="20.100000000000001" customHeight="1" thickBot="1" x14ac:dyDescent="0.3">
      <c r="A100" s="13">
        <v>45962</v>
      </c>
    </row>
    <row r="101" spans="1:9" ht="20.100000000000001" customHeight="1" thickBot="1" x14ac:dyDescent="0.3">
      <c r="A101" s="13">
        <v>45963</v>
      </c>
    </row>
    <row r="102" spans="1:9" ht="20.100000000000001" customHeight="1" thickBot="1" x14ac:dyDescent="0.3">
      <c r="A102" s="13">
        <v>45964</v>
      </c>
    </row>
    <row r="103" spans="1:9" ht="20.100000000000001" customHeight="1" thickBot="1" x14ac:dyDescent="0.3">
      <c r="A103" s="13">
        <v>45965</v>
      </c>
    </row>
    <row r="104" spans="1:9" ht="20.100000000000001" customHeight="1" thickBot="1" x14ac:dyDescent="0.3">
      <c r="A104" s="13">
        <v>45966</v>
      </c>
    </row>
    <row r="105" spans="1:9" ht="20.100000000000001" customHeight="1" thickBot="1" x14ac:dyDescent="0.3">
      <c r="A105" s="13">
        <v>45967</v>
      </c>
    </row>
    <row r="106" spans="1:9" ht="20.100000000000001" customHeight="1" thickBot="1" x14ac:dyDescent="0.3">
      <c r="A106" s="13">
        <v>45968</v>
      </c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2025-09-25T11:59:50Z</dcterms:modified>
</cp:coreProperties>
</file>