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ADF4F33-8A92-C44A-80D5-23254700015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F25" i="2"/>
  <c r="E25" i="2"/>
  <c r="E26" i="2"/>
  <c r="E27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<sst xmlns="http://schemas.openxmlformats.org/spreadsheetml/2006/main" count="250" uniqueCount="194">
  <si>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</si>
  <si>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</si>
  <si>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</si>
  <si>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</si>
  <si>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</si>
  <si>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</si>
  <si>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</si>
  <si>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</si>
  <si>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</si>
  <si>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</si>
  <si>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</si>
  <si>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</si>
  <si>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</si>
  <si>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</si>
  <si>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</si>
  <si>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</si>
  <si>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</si>
  <si>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</si>
  <si>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</si>
  <si>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</si>
  <si>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</si>
  <si>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</si>
  <si>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</si>
  <si>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</si>
  <si>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</si>
  <si>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</si>
  <si>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</si>
  <si>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</si>
  <si>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</si>
  <si>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</si>
  <si>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</si>
  <si>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</si>
  <si>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</si>
  <si>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</si>
  <si>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</si>
  <si>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</si>
  <si>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</si>
  <si>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</si>
  <si>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</si>
  <si>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</si>
  <si>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</si>
  <si>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</si>
  <si>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</si>
  <si>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</si>
  <si>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</si>
  <si>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</si>
  <si>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</si>
  <si>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</si>
  <si>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</si>
  <si>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</si>
  <si>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</si>
  <si>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</si>
  <si>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</si>
  <si>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</si>
  <si>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</si>
  <si>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</si>
  <si>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</si>
  <si>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</si>
  <si>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</si>
  <si>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</si>
  <si>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</si>
  <si>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</si>
  <si>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</si>
  <si>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</si>
  <si>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</si>
  <si>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</si>
  <si>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</si>
  <si>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</si>
  <si>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</si>
  <si>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</si>
  <si>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</si>
  <si>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</si>
  <si>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</si>
  <si>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</si>
  <si>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</si>
  <si>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</si>
  <si>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</si>
  <si>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</si>
  <si>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</si>
  <si>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</si>
  <si>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</si>
  <si>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</si>
  <si>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</si>
  <si>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</si>
  <si>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</si>
  <si>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</si>
  <si>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</si>
  <si>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</si>
  <si>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</si>
  <si>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</si>
  <si>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</si>
  <si>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</si>
  <si>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</si>
  <si>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</si>
  <si>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</si>
  <si>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</si>
  <si>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</si>
  <si>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</si>
  <si>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</si>
  <si>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</si>
  <si>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</si>
  <si>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</si>
  <si>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</si>
  <si>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</si>
  <si>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</si>
  <si>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</si>
  <si>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</si>
  <si>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</si>
  <si>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</si>
  <si>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</si>
  <si>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</si>
  <si>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</si>
  <si>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</si>
  <si>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</si>
  <si>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</si>
  <si>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</si>
  <si>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</si>
  <si>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</si>
  <si>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</si>
  <si>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</si>
  <si>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</si>
  <si>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</si>
  <si>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</si>
  <si>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</si>
  <si>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</si>
  <si>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</si>
  <si>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</si>
  <si>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</si>
  <si>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</si>
  <si>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</si>
  <si>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</si>
  <si>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</si>
  <si>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</si>
  <si>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</si>
  <si>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</si>
  <si>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</si>
  <si>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</si>
  <si>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</si>
  <si>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</si>
  <si>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</si>
  <si>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</si>
  <si>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</si>
  <si>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</si>
  <si>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</si>
  <si>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</si>
  <si>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</si>
  <si>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</si>
  <si>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</si>
  <si>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</si>
  <si>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</si>
  <si>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</si>
  <si>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</si>
  <si>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</si>
  <si>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</si>
  <si>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</si>
  <si>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</si>
  <si>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</si>
  <si>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</si>
  <si>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</si>
  <si>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</si>
  <si>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</si>
  <si>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</si>
  <si>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</si>
  <si>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</si>
  <si>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</si>
  <si>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</si>
  <si>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</si>
  <si>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</si>
  <si>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</si>
  <si>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</si>
  <si>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</si>
  <si>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</si>
  <si>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</si>
  <si>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</si>
  <si>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</si>
  <si>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</si>
  <si>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</si>
  <si>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</si>
  <si>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</si>
  <si>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</si>
  <si>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</si>
  <si>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</si>
  <si>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</si>
  <si>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</si>
  <si>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</si>
  <si>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</si>
  <si>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</si>
  <si>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</si>
  <si>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</si>
  <si>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</si>
  <si>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</si>
  <si>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</si>
  <si>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مشاة راجلة في تنفيذ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</si>
  <si>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الموقع الحالي حسب أولوية الحركة والخطة الموضوعة.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</si>
</sst>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318819</xdr:colOff>
      <xdr:row>27</xdr:row>
      <xdr:rowOff>483040</xdr:rowOff>
    </xdr:from>
    <xdr:to>
      <xdr:col>9</xdr:col>
      <xdr:colOff>540188</xdr:colOff>
      <xdr:row>28</xdr:row>
      <xdr:rowOff>604628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45BD46E-0C8D-352E-88FC-02D27A1E5231}"/>
                </a:ext>
              </a:extLst>
            </xdr14:cNvPr>
            <xdr14:cNvContentPartPr/>
          </xdr14:nvContentPartPr>
          <xdr14:nvPr macro=""/>
          <xdr14:xfrm>
            <a:off x="10398046631" y="12929040"/>
            <a:ext cx="2195640" cy="652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45BD46E-0C8D-352E-88FC-02D27A1E52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37631" y="12920400"/>
              <a:ext cx="2213280" cy="67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604659</xdr:colOff>
      <xdr:row>28</xdr:row>
      <xdr:rowOff>388988</xdr:rowOff>
    </xdr:from>
    <xdr:to>
      <xdr:col>6</xdr:col>
      <xdr:colOff>615459</xdr:colOff>
      <xdr:row>28</xdr:row>
      <xdr:rowOff>429308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B201996-E722-6124-383C-3DA9B3376AE2}"/>
                </a:ext>
              </a:extLst>
            </xdr14:cNvPr>
            <xdr14:cNvContentPartPr/>
          </xdr14:nvContentPartPr>
          <xdr14:nvPr macro=""/>
          <xdr14:xfrm>
            <a:off x="10399945631" y="13366080"/>
            <a:ext cx="10800" cy="40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B201996-E722-6124-383C-3DA9B3376A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36631" y="13357440"/>
              <a:ext cx="28440" cy="57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7:44.7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5829 602 15347,'0'0'0,"0"0"0,0-27 512,0-1 24,0-6-88,0 7-104,0 27-344,0-22 288,2 0 104,5-3 56,3 4 25,-10 21-473,0-21 520,5 2-72,-3 4-96,3 0-40,-5 15-312,5-5 264,-5-7-56,0 9-16,0 2-152,0 1-40,0-1 48,4 1-88,-4 0-32,3 0 40,-3 0 32,12 11-96,-7 0 40,7 5 32,2 5 0,-14-21 24,10 25 8,4 4-8,1 3-32,1-1 0,-16-31 32,17 31 0,0-2-24,0 0 0,0-2 0,-17-27 24,12 29-64,-7-2 64,9 0-24,-9 0-40,-5-27 64,12 26-16,-10-2-8,3-2 24,-2-2-88,-3-20 88,2 17-24,-2-1 0,0-5-16,0-6-40,0-5 80,-2 11-8,-1-11 48,-4 3 48,-5 0 176,12-3-264,-12 3 88,-3-3 40,-1 0-24,-6 0-32,22 0-72,-24 0 208,-3-2-120,-6-2 16,-3 0-192,36 4 88,-46-13 24,-2 9 16,-7-9-16,-3 7-8,58 6-16,-65-13-16,0 8-8,5-11 72,0 5 136,60 11-184,-53-12 56,2 7-48,10-11 32,5 12 104,36 4-144,-24-13 64,0 9-24,7-1 24,5 0-48,12 5-16,-5-5 80,3 3-80,0 0-24,2 1 32,0 1-8,0 0-80,0 0 96,0 0-80,0 0-32,0 0 320,0 0-488,0 0 256,0 0-8,-3 0-64,3 0 80,-5 4 0,-4 0 80,-8 8-128,-5-10 88,22-2-40,-29 5 24,-7 6-208,-12-8 184,-9 1-24,57-4 24,-65 4-96,-15 1 128,-9-1-64,-12 0-104,101-4 136,-110 12 0,-15-10 104,-20 10-16,-14 1 64,159-13-152,-182 17 120,-18 4-80,-24 6 104,-16 6-40,240-33-104,-255 39 120,-17 7 64,-5 7-48,1 6 24,276-59-160,-277 67 240,8 7 136,139-36-87,-22 8-17,152-46-272,-142 45 216,-16 8-120,16-5-24,-12 9 40,154-57-112,-135 50-16,-4 4-136,76-30 168,-2 2-48,65-26 32,-53 22-96,0 1 136,10-4-80,-3 1 40,46-20 0,-33 14 192,-1 1-160,12-10 72,10 7-296,12-12 192,-17 3-136,25-3 176,28-14-136,24-13 224,-60 27-128,94-38 24,16-9-40,54-14-80,122-49 16,-286 110 80,296-106-40,-19 7-136,-58 21 200,7-1-80,-226 79 56,228-78-24,3 1 48,-2 0-8,4 2 40,-233 75-56,226-76 0,-5 5-16,-4 0-40,-13 4 56,-204 67 0,193-65 0,-11 0 0,-13 2 0,-20 3-40,-149 60 40,137-54-80,-17 5 64,-14 3 128,-17 6-56,-89 40-56,72-35 216,-24 5-64,-12 9 40,-16 5 96,-20 16-288,4-4 272,-4-1 8,0 1-104,-21 1-16,21 3-160,-22-1 72,-12 1-72,-9 4-48,-5 15-16,48-19 64,-53 22-144,0 7-56,3 6 136,-6 5-8,56-40 72,-43 44 24,0 2 80,9-1-152,8 1 40,26-46 8,-22 44-32,5-2-8,12-2 8,-2-4-24,7-36 56,-2 34-24,-1-4 40,3 0-32,0-1 16,0-29 0,12 30 0,-7 0-16,7 3-8,3-1 8,-15-32 16,12 35-32,0 0 24,2 2 48,1 1-96,-15-38 56,16 37-72,-13 3-24,11-1-16,-7 0 112,-7-39 0,3 44 56,2 1-56,0 1 16,-3 6-104,-2-52 88,5 54-56,0 2-176,-5 3-168,4 0-193,-1 1-303,-3-60 896,2 60-1088,10 1-568,-9 0-1121,-3-61 2777,21 56-3769,-6-5-4777,-15-51 8546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7:45.2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95 22556,'0'0'0,"0"0"0,0-34 1353,0 9-809,0 1-56,0 20-224,0 4-264,5-4 88,-2 2-32,-3 1-72,0 1-112,0 0 128,0 0-80,0 0-144,2 3-168,-2 11-144,0-14 536,0 17-1081,2 7-879,3 2-2329,7 1-5977,-12-27 10266,0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7" zoomScale="130" zoomScaleNormal="100" zoomScaleSheetLayoutView="130" workbookViewId="0">
      <selection activeCell="G29" sqref="G29:J2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0" t="s">
        <v>192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2">
      <c r="B2" s="11" t="s">
        <v>8</v>
      </c>
      <c r="C2" s="56" t="s">
        <v>37</v>
      </c>
      <c r="D2" s="56"/>
      <c r="E2" s="11" t="s">
        <v>7</v>
      </c>
      <c r="F2" s="51">
        <v>45912</v>
      </c>
      <c r="G2" s="51"/>
      <c r="H2" s="51"/>
      <c r="I2" s="51"/>
      <c r="J2" s="51"/>
    </row>
    <row r="3" spans="1:10" ht="30" customHeight="1" x14ac:dyDescent="0.2">
      <c r="B3" s="11" t="s">
        <v>9</v>
      </c>
      <c r="C3" s="56" t="s">
        <v>78</v>
      </c>
      <c r="D3" s="56"/>
      <c r="E3" s="11" t="s">
        <v>6</v>
      </c>
      <c r="F3" s="56" t="s">
        <v>134</v>
      </c>
      <c r="G3" s="56"/>
      <c r="H3" s="56"/>
      <c r="I3" s="56"/>
      <c r="J3" s="5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3"/>
      <c r="J6" s="64"/>
    </row>
    <row r="7" spans="1:10" ht="24.95" customHeight="1" thickBot="1" x14ac:dyDescent="0.25">
      <c r="A7" s="10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39.950000000000003" customHeight="1" x14ac:dyDescent="0.2">
      <c r="A8" s="10"/>
      <c r="B8" s="78" t="s">
        <v>175</v>
      </c>
      <c r="C8" s="79"/>
      <c r="D8" s="79"/>
      <c r="E8" s="79"/>
      <c r="F8" s="79"/>
      <c r="G8" s="79"/>
      <c r="H8" s="79"/>
      <c r="I8" s="79"/>
      <c r="J8" s="80"/>
    </row>
    <row r="9" spans="1:10" ht="39.950000000000003" customHeight="1" x14ac:dyDescent="0.2">
      <c r="A9" s="10"/>
      <c r="B9" s="72" t="s">
        <v>193</v>
      </c>
      <c r="C9" s="73"/>
      <c r="D9" s="73"/>
      <c r="E9" s="9">
        <v>5</v>
      </c>
      <c r="F9" s="18">
        <v>3.5</v>
      </c>
      <c r="G9" s="30">
        <f t="shared" ref="G9:G24" si="0">IFERROR(F9/E9,"")</f>
        <v>0.7</v>
      </c>
      <c r="H9" s="31" t="str">
        <f t="shared" ref="H9:H24" si="1">_xlfn.IFS(F9="أدخل العلامة","",F9="لا ينطبق","تم الإلغاء",G9&gt;=90%,"ممتاز",G9&gt;=80%,"جيد جداً",G9&gt;=70%,"جيد",G9&gt;=60%,"مقبول",G9&lt;60%,"راسب")</f>
        <v>جيد</v>
      </c>
      <c r="I9" s="42"/>
      <c r="J9" s="43"/>
    </row>
    <row r="10" spans="1:10" ht="39.950000000000003" customHeight="1" x14ac:dyDescent="0.2">
      <c r="A10" s="10"/>
      <c r="B10" s="74" t="s">
        <v>187</v>
      </c>
      <c r="C10" s="75"/>
      <c r="D10" s="75"/>
      <c r="E10" s="9">
        <v>5</v>
      </c>
      <c r="F10" s="18">
        <v>3.75</v>
      </c>
      <c r="G10" s="30">
        <f t="shared" si="0"/>
        <v>0.75</v>
      </c>
      <c r="H10" s="31" t="str">
        <f t="shared" si="1"/>
        <v>جيد</v>
      </c>
      <c r="I10" s="42"/>
      <c r="J10" s="43"/>
    </row>
    <row r="11" spans="1:10" ht="39.950000000000003" customHeight="1" x14ac:dyDescent="0.2">
      <c r="A11" s="10"/>
      <c r="B11" s="74" t="s">
        <v>188</v>
      </c>
      <c r="C11" s="75"/>
      <c r="D11" s="75"/>
      <c r="E11" s="35"/>
      <c r="F11" s="18"/>
      <c r="G11" s="30"/>
      <c r="H11" s="31"/>
      <c r="I11" s="42"/>
      <c r="J11" s="43"/>
    </row>
    <row r="12" spans="1:10" ht="39.950000000000003" customHeight="1" x14ac:dyDescent="0.2">
      <c r="A12" s="10"/>
      <c r="B12" s="76" t="s">
        <v>176</v>
      </c>
      <c r="C12" s="77"/>
      <c r="D12" s="77"/>
      <c r="E12" s="9">
        <v>5</v>
      </c>
      <c r="F12" s="18">
        <v>3</v>
      </c>
      <c r="G12" s="30">
        <f t="shared" si="0"/>
        <v>0.6</v>
      </c>
      <c r="H12" s="31" t="str">
        <f t="shared" si="1"/>
        <v>مقبول</v>
      </c>
      <c r="I12" s="42"/>
      <c r="J12" s="43"/>
    </row>
    <row r="13" spans="1:10" ht="39.950000000000003" customHeight="1" x14ac:dyDescent="0.2">
      <c r="A13" s="10"/>
      <c r="B13" s="76" t="s">
        <v>177</v>
      </c>
      <c r="C13" s="77"/>
      <c r="D13" s="77"/>
      <c r="E13" s="9">
        <v>5</v>
      </c>
      <c r="F13" s="18">
        <v>3.25</v>
      </c>
      <c r="G13" s="30">
        <f t="shared" si="0"/>
        <v>0.65</v>
      </c>
      <c r="H13" s="31" t="str">
        <f t="shared" si="1"/>
        <v>مقبول</v>
      </c>
      <c r="I13" s="42"/>
      <c r="J13" s="43"/>
    </row>
    <row r="14" spans="1:10" ht="39.950000000000003" customHeight="1" x14ac:dyDescent="0.2">
      <c r="A14" s="10"/>
      <c r="B14" s="76" t="s">
        <v>178</v>
      </c>
      <c r="C14" s="77"/>
      <c r="D14" s="77"/>
      <c r="E14" s="9">
        <v>5</v>
      </c>
      <c r="F14" s="18">
        <v>3.5</v>
      </c>
      <c r="G14" s="30">
        <f t="shared" si="0"/>
        <v>0.7</v>
      </c>
      <c r="H14" s="31" t="str">
        <f t="shared" si="1"/>
        <v>جيد</v>
      </c>
      <c r="I14" s="42"/>
      <c r="J14" s="43"/>
    </row>
    <row r="15" spans="1:10" ht="39.950000000000003" customHeight="1" x14ac:dyDescent="0.2">
      <c r="A15" s="10"/>
      <c r="B15" s="76" t="s">
        <v>179</v>
      </c>
      <c r="C15" s="77"/>
      <c r="D15" s="77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2"/>
      <c r="J15" s="43"/>
    </row>
    <row r="16" spans="1:10" ht="39.950000000000003" customHeight="1" x14ac:dyDescent="0.2">
      <c r="A16" s="10"/>
      <c r="B16" s="76" t="s">
        <v>180</v>
      </c>
      <c r="C16" s="77"/>
      <c r="D16" s="77"/>
      <c r="E16" s="9">
        <v>5</v>
      </c>
      <c r="F16" s="18">
        <v>3.75</v>
      </c>
      <c r="G16" s="30">
        <f t="shared" si="0"/>
        <v>0.75</v>
      </c>
      <c r="H16" s="31" t="str">
        <f t="shared" si="1"/>
        <v>جيد</v>
      </c>
      <c r="I16" s="42"/>
      <c r="J16" s="43"/>
    </row>
    <row r="17" spans="1:10" ht="39.950000000000003" customHeight="1" x14ac:dyDescent="0.2">
      <c r="A17" s="10"/>
      <c r="B17" s="72" t="s">
        <v>189</v>
      </c>
      <c r="C17" s="73"/>
      <c r="D17" s="73"/>
      <c r="E17" s="9"/>
      <c r="F17" s="18"/>
      <c r="G17" s="30"/>
      <c r="H17" s="31"/>
      <c r="I17" s="42"/>
      <c r="J17" s="43"/>
    </row>
    <row r="18" spans="1:10" ht="39.950000000000003" customHeight="1" x14ac:dyDescent="0.2">
      <c r="A18" s="10"/>
      <c r="B18" s="76" t="s">
        <v>181</v>
      </c>
      <c r="C18" s="77"/>
      <c r="D18" s="77"/>
      <c r="E18" s="9">
        <v>5</v>
      </c>
      <c r="F18" s="18">
        <v>3.75</v>
      </c>
      <c r="G18" s="30">
        <f t="shared" si="0"/>
        <v>0.75</v>
      </c>
      <c r="H18" s="31" t="str">
        <f t="shared" si="1"/>
        <v>جيد</v>
      </c>
      <c r="I18" s="42"/>
      <c r="J18" s="43"/>
    </row>
    <row r="19" spans="1:10" ht="39.950000000000003" customHeight="1" x14ac:dyDescent="0.2">
      <c r="A19" s="10"/>
      <c r="B19" s="76" t="s">
        <v>182</v>
      </c>
      <c r="C19" s="77"/>
      <c r="D19" s="77"/>
      <c r="E19" s="9">
        <v>5</v>
      </c>
      <c r="F19" s="18">
        <v>3.5</v>
      </c>
      <c r="G19" s="30">
        <f t="shared" si="0"/>
        <v>0.7</v>
      </c>
      <c r="H19" s="31" t="str">
        <f t="shared" si="1"/>
        <v>جيد</v>
      </c>
      <c r="I19" s="42"/>
      <c r="J19" s="43"/>
    </row>
    <row r="20" spans="1:10" ht="39.950000000000003" customHeight="1" x14ac:dyDescent="0.2">
      <c r="A20" s="10"/>
      <c r="B20" s="76" t="s">
        <v>183</v>
      </c>
      <c r="C20" s="77"/>
      <c r="D20" s="77"/>
      <c r="E20" s="9">
        <v>5</v>
      </c>
      <c r="F20" s="18">
        <v>3.25</v>
      </c>
      <c r="G20" s="30">
        <f t="shared" si="0"/>
        <v>0.65</v>
      </c>
      <c r="H20" s="31" t="str">
        <f t="shared" si="1"/>
        <v>مقبول</v>
      </c>
      <c r="I20" s="42"/>
      <c r="J20" s="43"/>
    </row>
    <row r="21" spans="1:10" ht="39.950000000000003" customHeight="1" x14ac:dyDescent="0.2">
      <c r="A21" s="10"/>
      <c r="B21" s="76" t="s">
        <v>184</v>
      </c>
      <c r="C21" s="77"/>
      <c r="D21" s="77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2"/>
      <c r="J21" s="43"/>
    </row>
    <row r="22" spans="1:10" ht="39.950000000000003" customHeight="1" x14ac:dyDescent="0.2">
      <c r="A22" s="10"/>
      <c r="B22" s="76" t="s">
        <v>185</v>
      </c>
      <c r="C22" s="77"/>
      <c r="D22" s="77"/>
      <c r="E22" s="9">
        <v>5</v>
      </c>
      <c r="F22" s="18">
        <v>3.25</v>
      </c>
      <c r="G22" s="30">
        <f t="shared" si="0"/>
        <v>0.65</v>
      </c>
      <c r="H22" s="31" t="str">
        <f t="shared" si="1"/>
        <v>مقبول</v>
      </c>
      <c r="I22" s="42"/>
      <c r="J22" s="43"/>
    </row>
    <row r="23" spans="1:10" ht="39.950000000000003" customHeight="1" x14ac:dyDescent="0.2">
      <c r="A23" s="10"/>
      <c r="B23" s="76" t="s">
        <v>186</v>
      </c>
      <c r="C23" s="77"/>
      <c r="D23" s="77"/>
      <c r="E23" s="9">
        <v>5</v>
      </c>
      <c r="F23" s="18">
        <v>3.75</v>
      </c>
      <c r="G23" s="30">
        <f t="shared" si="0"/>
        <v>0.75</v>
      </c>
      <c r="H23" s="31" t="str">
        <f t="shared" si="1"/>
        <v>جيد</v>
      </c>
      <c r="I23" s="42"/>
      <c r="J23" s="43"/>
    </row>
    <row r="24" spans="1:10" ht="39.950000000000003" customHeight="1" thickBot="1" x14ac:dyDescent="0.25">
      <c r="A24" s="10"/>
      <c r="B24" s="81" t="s">
        <v>190</v>
      </c>
      <c r="C24" s="82"/>
      <c r="D24" s="82"/>
      <c r="E24" s="32">
        <v>5</v>
      </c>
      <c r="F24" s="19">
        <v>3.5</v>
      </c>
      <c r="G24" s="33">
        <f t="shared" si="0"/>
        <v>0.7</v>
      </c>
      <c r="H24" s="34" t="str">
        <f t="shared" si="1"/>
        <v>جيد</v>
      </c>
      <c r="I24" s="44"/>
      <c r="J24" s="45"/>
    </row>
    <row r="25" spans="1:10" ht="30" customHeight="1" thickBot="1" x14ac:dyDescent="0.25">
      <c r="A25" s="4"/>
      <c r="B25" s="46" t="s">
        <v>5</v>
      </c>
      <c r="C25" s="47"/>
      <c r="D25" s="47"/>
      <c r="E25" s="29">
        <f>SUM(E8:E24)</f>
        <v>70</v>
      </c>
      <c r="F25" s="29">
        <f>SUM(F8:F24)</f>
        <v>49</v>
      </c>
      <c r="G25" s="69"/>
      <c r="H25" s="70"/>
      <c r="I25" s="70"/>
      <c r="J25" s="71"/>
    </row>
    <row r="26" spans="1:10" ht="30" customHeight="1" thickBot="1" x14ac:dyDescent="0.25">
      <c r="A26" s="4"/>
      <c r="B26" s="48" t="s">
        <v>54</v>
      </c>
      <c r="C26" s="49"/>
      <c r="D26" s="49"/>
      <c r="E26" s="57">
        <f>F25/E25/100*100</f>
        <v>0.7</v>
      </c>
      <c r="F26" s="57"/>
      <c r="G26" s="57"/>
      <c r="H26" s="57"/>
      <c r="I26" s="57"/>
      <c r="J26" s="58"/>
    </row>
    <row r="27" spans="1:10" ht="30" customHeight="1" thickBot="1" x14ac:dyDescent="0.25">
      <c r="A27" s="4"/>
      <c r="B27" s="48" t="s">
        <v>55</v>
      </c>
      <c r="C27" s="49"/>
      <c r="D27" s="49"/>
      <c r="E27" s="40" t="str">
        <f>_xlfn.IFS(E26&gt;=90%,"ممتاز",E26&gt;=80%,"جيد جداً",E26&gt;=70%,"جيد",E26&gt;=60%,"مقبول",E26&lt;60%,"راسب")</f>
        <v>جيد</v>
      </c>
      <c r="F27" s="40"/>
      <c r="G27" s="40"/>
      <c r="H27" s="40"/>
      <c r="I27" s="40"/>
      <c r="J27" s="41"/>
    </row>
    <row r="28" spans="1:10" ht="42" customHeight="1" x14ac:dyDescent="0.2">
      <c r="B28" s="36" t="s">
        <v>191</v>
      </c>
      <c r="C28" s="36"/>
      <c r="D28" s="36"/>
      <c r="E28" s="67" t="s">
        <v>52</v>
      </c>
      <c r="F28" s="67"/>
      <c r="G28" s="38" t="s">
        <v>134</v>
      </c>
      <c r="H28" s="38"/>
      <c r="I28" s="38"/>
      <c r="J28" s="38"/>
    </row>
    <row r="29" spans="1:10" ht="51" customHeight="1" x14ac:dyDescent="0.2">
      <c r="A29" s="5"/>
      <c r="B29" s="37"/>
      <c r="C29" s="37"/>
      <c r="D29" s="37"/>
      <c r="E29" s="68" t="s">
        <v>53</v>
      </c>
      <c r="F29" s="68"/>
      <c r="G29" s="39"/>
      <c r="H29" s="39"/>
      <c r="I29" s="39"/>
      <c r="J29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1:D21"/>
    <mergeCell ref="B22:D22"/>
    <mergeCell ref="B23:D23"/>
    <mergeCell ref="B24:D24"/>
    <mergeCell ref="B16:D16"/>
    <mergeCell ref="B17:D17"/>
    <mergeCell ref="B18:D18"/>
    <mergeCell ref="B19:D19"/>
    <mergeCell ref="B20:D20"/>
    <mergeCell ref="E28:F28"/>
    <mergeCell ref="E29:F29"/>
    <mergeCell ref="G25:J25"/>
    <mergeCell ref="I17:J17"/>
    <mergeCell ref="I18:J18"/>
    <mergeCell ref="I19:J19"/>
    <mergeCell ref="I20:J20"/>
    <mergeCell ref="E26:J26"/>
    <mergeCell ref="B7:D7"/>
    <mergeCell ref="I10:J10"/>
    <mergeCell ref="I11:J11"/>
    <mergeCell ref="E5:H5"/>
    <mergeCell ref="I9:J9"/>
    <mergeCell ref="I5:J6"/>
    <mergeCell ref="I7:J7"/>
    <mergeCell ref="B9:D9"/>
    <mergeCell ref="B10:D10"/>
    <mergeCell ref="B11:D11"/>
    <mergeCell ref="B12:D12"/>
    <mergeCell ref="B13:D13"/>
    <mergeCell ref="B14:D14"/>
    <mergeCell ref="B15:D15"/>
    <mergeCell ref="B8:J8"/>
    <mergeCell ref="B1:J1"/>
    <mergeCell ref="F2:J2"/>
    <mergeCell ref="B5:D6"/>
    <mergeCell ref="C2:D2"/>
    <mergeCell ref="C3:D3"/>
    <mergeCell ref="F3:J3"/>
    <mergeCell ref="B28:D29"/>
    <mergeCell ref="G28:J28"/>
    <mergeCell ref="G29:J29"/>
    <mergeCell ref="E27:J27"/>
    <mergeCell ref="I12:J12"/>
    <mergeCell ref="I13:J13"/>
    <mergeCell ref="I14:J14"/>
    <mergeCell ref="I15:J15"/>
    <mergeCell ref="I16:J16"/>
    <mergeCell ref="I21:J21"/>
    <mergeCell ref="I22:J22"/>
    <mergeCell ref="I23:J23"/>
    <mergeCell ref="I24:J24"/>
    <mergeCell ref="B25:D25"/>
    <mergeCell ref="B26:D26"/>
    <mergeCell ref="B27:D2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14" priority="57">
      <formula>$E27="راسب"</formula>
    </cfRule>
  </conditionalFormatting>
  <conditionalFormatting sqref="E27:J27">
    <cfRule type="expression" dxfId="13" priority="58">
      <formula>$E27="مقبول"</formula>
    </cfRule>
    <cfRule type="expression" dxfId="12" priority="59">
      <formula>$E27="جيد"</formula>
    </cfRule>
    <cfRule type="expression" dxfId="11" priority="60">
      <formula>$E27="جيد جداً"</formula>
    </cfRule>
    <cfRule type="expression" dxfId="10" priority="61">
      <formula>$E27="ممتاز"</formula>
    </cfRule>
  </conditionalFormatting>
  <conditionalFormatting sqref="F9:F24">
    <cfRule type="containsText" dxfId="9" priority="1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6" priority="15" operator="containsText" text="أدخل اسم المحكم">
      <formula>NOT(ISERROR(SEARCH("أدخل اسم المحكم",G28)))</formula>
    </cfRule>
  </conditionalFormatting>
  <conditionalFormatting sqref="H9:H24">
    <cfRule type="containsText" dxfId="5" priority="38" operator="containsText" text="أدخل العلامة">
      <formula>NOT(ISERROR(SEARCH("أدخل العلامة",H9)))</formula>
    </cfRule>
    <cfRule type="containsText" dxfId="4" priority="39" operator="containsText" text="ممتاز">
      <formula>NOT(ISERROR(SEARCH("ممتاز",H9)))</formula>
    </cfRule>
    <cfRule type="containsText" dxfId="3" priority="40" operator="containsText" text="جيد جداً">
      <formula>NOT(ISERROR(SEARCH("جيد جداً",H9)))</formula>
    </cfRule>
    <cfRule type="containsText" dxfId="2" priority="41" operator="containsText" text="جيد">
      <formula>NOT(ISERROR(SEARCH("جيد",H9)))</formula>
    </cfRule>
    <cfRule type="containsText" dxfId="1" priority="42" operator="containsText" text="مقبول">
      <formula>NOT(ISERROR(SEARCH("مقبول",H9)))</formula>
    </cfRule>
    <cfRule type="containsText" dxfId="0" priority="43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F18:F24 F12:F16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G28:J28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2025-10-08T15:19:12Z</dcterms:modified>
</cp:coreProperties>
</file>