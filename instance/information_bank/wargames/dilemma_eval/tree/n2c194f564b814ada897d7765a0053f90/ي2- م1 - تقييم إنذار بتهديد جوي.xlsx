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2261D0E2-FC27-BC4D-ABEC-7BE8F9D4B514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H17" i="2"/>
  <c r="G9" i="2"/>
  <c r="H9" i="2"/>
  <c r="G15" i="2"/>
  <c r="H15" i="2"/>
  <c r="G14" i="2"/>
  <c r="H14" i="2"/>
  <c r="G10" i="2"/>
  <c r="H10" i="2"/>
  <c r="G12" i="2"/>
  <c r="H12" i="2"/>
  <c r="G11" i="2"/>
  <c r="H11" i="2"/>
  <c r="G13" i="2"/>
  <c r="H13" i="2"/>
  <c r="G16" i="2"/>
  <c r="H16" i="2"/>
  <c r="G18" i="2"/>
  <c r="H18" i="2"/>
  <c r="G8" i="2"/>
  <c r="H8" i="2"/>
  <c r="F19" i="2"/>
  <c r="E19" i="2"/>
  <c r="E20" i="2"/>
  <c r="E21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<sst xmlns="http://schemas.openxmlformats.org/spreadsheetml/2006/main" count="247" uniqueCount="191">
  <si>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</si>
  <si>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</si>
  <si>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</si>
  <si>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</si>
  <si>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</si>
  <si>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</si>
  <si>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</si>
  <si>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</si>
  <si>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</si>
  <si>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</si>
  <si>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</si>
  <si>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</si>
  <si>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</si>
  <si>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</si>
  <si>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</si>
  <si>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</si>
  <si>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</si>
  <si>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</si>
  <si>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</si>
  <si>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</si>
  <si>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</si>
  <si>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</si>
  <si>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</si>
  <si>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</si>
  <si>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</si>
  <si>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</si>
  <si>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</si>
  <si>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</si>
  <si>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</si>
  <si>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</si>
  <si>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</si>
  <si>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</si>
  <si>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</si>
  <si>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</si>
  <si>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</si>
  <si>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</si>
  <si>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</si>
  <si>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</si>
  <si>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</si>
  <si>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</si>
  <si>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</si>
  <si>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</si>
  <si>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</si>
  <si>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</si>
  <si>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</si>
  <si>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</si>
  <si>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</si>
  <si>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</si>
  <si>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</si>
  <si>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</si>
  <si>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</si>
  <si>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</si>
  <si>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</si>
  <si>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</si>
  <si>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</si>
  <si>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</si>
  <si>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</si>
  <si>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</si>
  <si>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</si>
  <si>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</si>
  <si>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</si>
  <si>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</si>
  <si>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</si>
  <si>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</si>
  <si>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</si>
  <si>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</si>
  <si>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</si>
  <si>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</si>
  <si>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</si>
  <si>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</si>
  <si>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</si>
  <si>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</si>
  <si>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</si>
  <si>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</si>
  <si>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</si>
  <si>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</si>
  <si>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</si>
  <si>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</si>
  <si>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</si>
  <si>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</si>
  <si>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</si>
  <si>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</si>
  <si>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</si>
  <si>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</si>
  <si>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</si>
  <si>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</si>
  <si>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</si>
  <si>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</si>
  <si>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</si>
  <si>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</si>
  <si>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</si>
  <si>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</si>
  <si>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</si>
  <si>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</si>
  <si>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</si>
  <si>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</si>
  <si>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</si>
  <si>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</si>
  <si>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</si>
  <si>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</si>
  <si>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</si>
  <si>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</si>
  <si>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</si>
  <si>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</si>
  <si>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</si>
  <si>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</si>
  <si>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</si>
  <si>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</si>
  <si>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</si>
  <si>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</si>
  <si>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</si>
  <si>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</si>
  <si>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</si>
  <si>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</si>
  <si>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</si>
  <si>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</si>
  <si>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</si>
  <si>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</si>
  <si>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</si>
  <si>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</si>
  <si>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</si>
  <si>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</si>
  <si>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</si>
  <si>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</si>
  <si>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</si>
  <si>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</si>
  <si>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</si>
  <si>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</si>
  <si>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</si>
  <si>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</si>
  <si>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</si>
  <si>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</si>
  <si>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</si>
  <si>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</si>
  <si>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</si>
  <si>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</si>
  <si>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</si>
  <si>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</si>
  <si>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</si>
  <si>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</si>
  <si>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</si>
  <si>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</si>
  <si>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</si>
  <si>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</si>
  <si>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</si>
  <si>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</si>
  <si>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</si>
  <si>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</si>
  <si>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</si>
  <si>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</si>
  <si>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</si>
  <si>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</si>
  <si>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</si>
  <si>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</si>
  <si>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</si>
  <si>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</si>
  <si>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</si>
  <si>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</si>
  <si>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</si>
  <si>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</si>
  <si>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</si>
  <si>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</si>
  <si>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</si>
  <si>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</si>
  <si>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</si>
  <si>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</si>
  <si>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</si>
  <si>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</si>
  <si>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</si>
  <si>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</si>
  <si>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</si>
  <si>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</si>
  <si>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</si>
  <si>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</si>
  <si>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</si>
  <si>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</si>
  <si>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</si>
  <si>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</si>
  <si>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4.</t>
    </r>
    <r>
      <rPr>
        <sz val="14"/>
        <color rgb="FF000000"/>
        <rFont val="Times New Roman"/>
        <family val="1"/>
      </rPr>
      <t>     تنفيذ إجراءات الانتشار والدفاع الجوي السلبي</t>
    </r>
    <r>
      <rPr>
        <sz val="14"/>
        <color rgb="FF000000"/>
        <rFont val="Arial"/>
        <family val="2"/>
      </rPr>
      <t>.</t>
    </r>
  </si>
  <si>
    <r>
      <t>5.</t>
    </r>
    <r>
      <rPr>
        <sz val="14"/>
        <color rgb="FF000000"/>
        <rFont val="Times New Roman"/>
        <family val="1"/>
      </rPr>
      <t>     التحول إلى إجراءات السيطرة اللامركزية</t>
    </r>
    <r>
      <rPr>
        <sz val="14"/>
        <color rgb="FF000000"/>
        <rFont val="Arial"/>
        <family val="2"/>
      </rPr>
      <t>.</t>
    </r>
  </si>
  <si>
    <t>2.    استخدام الكلمة الرمزية للإشارة إلى التهديد الجوي المعادي (تُكرر الكلمة الرمزية ثلاث مرات).</t>
  </si>
  <si>
    <t>11.    إذا نجح التهديد الجوي في إصابة إحدى الوحدات الصديقة، تُصدر الوحدة المتأثرة بالهجوم إنذار حسب إجراءات الإنذار المحددة مسبقاً.</t>
  </si>
  <si>
    <t>3.    إصدار الإنذار على شبكات القيادة والعمليات والاستخبارات والإدارة والإمداد ويحدد الإنذار اتجاه التهديد المعادي.</t>
  </si>
  <si>
    <t>7.    تمرير الأهداف الى وحدات الدفاع الجوي المجاورة.</t>
  </si>
  <si>
    <t>8.    تمرير بيانات الأهداف إلى وحدات الدفاع الجوي الأمامية (الكتف).</t>
  </si>
  <si>
    <t>9.    تغيير وضعية أسلحة الدفاع الجوي إذا تواجدت طائرات صديقة في منطقة العمليات، ويتخذ القائد هذا القرار حسب طبيعة الموقف.</t>
  </si>
  <si>
    <t>10.    التعامل مع أخطر وأقرب هدف والذي يشكل خطورة على مجموعة اللواء.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</si>
  <si>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</si>
  <si>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1.    انذار الجميع بالتهديد الجوي المعادي وذلك على اللاسلكي وحسب إجراءات الإنذار المحددة مسبقاً.</t>
  </si>
  <si>
    <t>6.    التنسيق مع القائد لحماية الأهداف ذات الأولوية.</t>
  </si>
  <si>
    <r>
      <rPr>
        <b/>
        <sz val="14"/>
        <color rgb="FF000000"/>
        <rFont val="Arial"/>
        <family val="2"/>
      </rPr>
      <t>اليوم/2 - تقييم معضلة/1 - رد الفعل على الإنذار بتهديد جوي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</si>
</sst>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8" fillId="0" borderId="14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15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54825</xdr:colOff>
      <xdr:row>22</xdr:row>
      <xdr:rowOff>228995</xdr:rowOff>
    </xdr:from>
    <xdr:to>
      <xdr:col>8</xdr:col>
      <xdr:colOff>12402</xdr:colOff>
      <xdr:row>22</xdr:row>
      <xdr:rowOff>360035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75457DD-F88E-7F79-E2C6-3B88B38B0CD5}"/>
                </a:ext>
              </a:extLst>
            </xdr14:cNvPr>
            <xdr14:cNvContentPartPr/>
          </xdr14:nvContentPartPr>
          <xdr14:nvPr macro=""/>
          <xdr14:xfrm>
            <a:off x="10423690398" y="10524960"/>
            <a:ext cx="612000" cy="1310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75457DD-F88E-7F79-E2C6-3B88B38B0CD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681398" y="10516320"/>
              <a:ext cx="629640" cy="14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368745</xdr:colOff>
      <xdr:row>22</xdr:row>
      <xdr:rowOff>124235</xdr:rowOff>
    </xdr:from>
    <xdr:to>
      <xdr:col>9</xdr:col>
      <xdr:colOff>243218</xdr:colOff>
      <xdr:row>22</xdr:row>
      <xdr:rowOff>608075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47561E5-77E5-D7CE-9C09-C0BED7A4FDC2}"/>
                </a:ext>
              </a:extLst>
            </xdr14:cNvPr>
            <xdr14:cNvContentPartPr/>
          </xdr14:nvContentPartPr>
          <xdr14:nvPr macro=""/>
          <xdr14:xfrm>
            <a:off x="10422805158" y="10420200"/>
            <a:ext cx="1183320" cy="4838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47561E5-77E5-D7CE-9C09-C0BED7A4FDC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796158" y="10411560"/>
              <a:ext cx="1200960" cy="501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7:05:57.5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904 67 4272,'0'0'0,"0"-1"1009,0 1-1009,0-4 432,0 0-272,0 2-144,0 0-48,0 1-24,0-2-64,0 3 120,1-2-168,3 1 40,0-2 56,0 2 40,7-1 56,-7-2-48,-4 4 24,9-2-32,-5-1 8,8 1 8,-3-1 16,1 1-16,0 0 32,-10 2-16,9-3-56,3 2 56,-1 0 8,2 0-24,2-1 80,0 1-24,-15 1-40,17-1 8,0 0 40,1-2-8,0 2-40,0 0 32,2 0-16,-20 1-16,20-1 8,1-1 0,-1 1-8,-1 0 0,2 1 40,-1 0-32,-20 0-8,20 0-48,2 0 48,0 0-48,-1 0 16,1 0 104,-1 2-128,-21-2 56,19 3-16,0-1 24,1 1-64,-2 0 96,-2 0-16,1-1-80,-17-2 56,17 2-8,-1 2-24,-1 0-32,0-1 80,-1 7-88,-1-10 0,-13 0 72,12 9-32,0-6 0,-1 7 16,0-7 72,-6 8-40,5-9-40,-10-2 24,4 10 8,1-8-64,-1 8 24,0-8 48,0 8 16,-3-8-32,-1-2 0,0 10 8,0-8 0,-3 2-8,0 5 40,-8-6-80,7 6 0,4-9 40,-15 3-32,3 7-24,-3-6 80,-3 6-32,-1-7-48,-1 7 0,20-10 56,-22 2-129,1 8 9,-2-8 80,-2 2-56,-1-1 24,-2 8-24,28-11 96,-30 2-168,-1 2 8,0 0-24,-2-2-24,2 2 16,1-2 32,30-2 160,-31 2-152,1 1 40,-1-3 88,0 0-24,0 0 40,1 0 16,30 0-8,-29 0-24,1 0 64,1 0-8,-1 0 0,1 0-16,0-1-16,27 1 0,-25 0-16,-1 0-32,1 0-8,-2 0-64,2 3-8,-1 8 24,26-11 104,-28 4-96,-1 8 32,1-9 40,-4 12 0,1-12 8,0 12 16,31-15 0,-31 9-24,1-5 0,1 7 8,0-8 0,1 7-8,0-8 24,28-2 0,-30 4-32,3-1 0,-1 0 16,0-1 0,3-2 8,-1 0 16,26 0-8,-27 0 0,2-1-16,-1-3 16,2-5 0,-2 5-16,0-9 24,26 13-8,-25-10-16,0-2-432,2-3-1016,23 15 1464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7:05:59.0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2203 403 2024,'0'0'0,"-20"-13"104,-2-1-48,22 14-56,-24-17 48,3 3 8,1 1 24,4-2 8,-1 2 8,1 1-32,16 12-64,-14-13 32,-1 2-32,2 0-32,0 0-32,2 1-24,1-1 0,10 11 88,-4-11-72,-8 1 32,10 1 16,-1-2 8,3 0 0,0 1 0,0-1-8,0 11 24,1-11-16,1 1 0,2 0 0,10-2 8,-5 1-8,4 0 8,-13 11 8,15-12-16,0 1-32,4 0-1776,-19 11 1824</inkml:trace>
  <inkml:trace contextRef="#ctx0" brushRef="#br0" timeOffset="1">3099 1 1872,'0'0'0,"20"12"304,1-3-272,6 5-16,-6-1-8,-21-13-8,17 9 8,-2 2 0,0 0-8,-2 1 8,-2-1 0,-2-1-8,-9-10 0,5 11-8,0 0 16,-1 1-8,-1-1 8,-2 1 0,-1-1 0,0-11-8,-2 12 24,-2-1-8,-9 3 8,1-1-8,-2 1-16,-3 1 16,17-15-16,-19 14-16,-3 0 32,-2 2 0,-2-2 8,-4 2 8,-2-1 16,32-15-48,-35 15 24,-2-1 48,-2 2 0,0-1 16,-3 2 24,-4 0-8,46-17-104,-47 17 104,-3 1 16,-1 0 0,-3 1 24,0 0 32,-2 0 24,56-19-200,-57 19 224,-2 1 24,1-1 0,-3-2-7,1 1-9,-1-3-40,61-15-192,-59 16 192,0-1-48,2 1-56,-1-2-16,3-1-48,1 1 0,54-14-24,-53 12 64,2 0-32,2 1-16,2-2 8,-1 0-56,3 0 40,45-11-8,-45 10 0,3-7-40,3 11-8,2-11-120,-1 7-192,4-8-168,34-2 528,-34 4-809,3 5 9,1-9 200,2 3 184,3-1 272,1 1 96,24-3 48,-21 0-40,0 0 16,3-2-32,3 0-1616,15 2 1672</inkml:trace>
  <inkml:trace contextRef="#ctx0" brushRef="#br0" timeOffset="2">2601 210 9193,'0'0'0,"0"0"0,-4 0 1473,-5 0-1105,-1 3-376,-1 0-104,-2 11 16,-1-5-72,14-9 168,-17 11-112,0 2 32,-2 0 56,-1 1 24,-2 0 0,-1 2 40,23-16-40,-26 16 0,-2 0-8,-4 1 16,-3 1 0,-2-2-8,1 2 24,36-18-24,-38 17-8,-2 1-48,1 0 48,-6 1-24,3-1 16,-1 0-32,43-18 48,-44 19-72,0-1 40,-2 0-64,1-2 0,1-3-56,5-1-96,39-12 248,-40 12-289,3-2-103,1-7-160,0 9-168,5-8-144,1-1-168,30-3 1032,-28 4-1225,3 0 169,3-2 288,4-2 280,2 0 312,2-1 104,14 1 72,-14-3-48,3 0 8,-1-7 0,2 7-1688,10 3 1728</inkml:trace>
  <inkml:trace contextRef="#ctx0" brushRef="#br0" timeOffset="3">1454 455 2240,'0'0'0,"0"0"296,0 0 88,-2 0 40,2 0-424,-4 0 336,-6 0-176,8 2-144,-9 1-48,2 0-8,-3 8 16,12-11 24,-14 4-16,-1 7-16,-1-8-16,0 10-24,-2-9-8,0 8-40,18-12 120,-17 3-136,0 11 0,0-11-40,-1 10-16,-1-9 0,0 9 0,19-13 192,-19 4-136,1 9 48,0-9 40,1 6 24,-1-7-24,0 0 24,18-3 24,-18 4-16,1 6-8,0-10 8,1 2 0,-1 2 0,1-2 8,16-2 8,-14 2-8,-2 1 8,2-3 8,0 2-8,-1-2 16,2 0 8,13 0-24,-12 0 32,-1 0-16,0 0 0,-1 0 0,1 0-8,0-1 32,13 1-40,-12-1 8,-2 0 16,-1-1 8,-1 1 0,-1 0 32,-1 0 8,18 1-72,-18-1 136,-1-1 0,0 2 40,-2 0 24,0 0-48,-1 0 64,22 0-216,-22 0 208,-1 0-48,-1 0-24,-1 0-32,1 3-56,-1-3 48,25 0-96,-25 0 120,0 2-48,2-2-8,-2 0-24,1 0-56,-1 0 96,25 0-80,-24-1 56,0 0-16,1 0 24,1-2-56,0 0 8,2-1 49,20 4-65,-21-5-25,2-4 25,1 6-48,1-6-80,2 5 48,-1-8-104,16 12 184,-13-10-200,0 0 0,2-1-8,0 0 16,2 0 8,5 0 88,4 11 96,-11-11-96,9-1 64,-2 0 40,1 0-56,0-2 48,3 2-24,0 12 24,0-12-24,2 2 16,1-2-40,7 1 0,-7-1 32,9-1-40,-12 13 56,10-11-72,1-1 32,-1 1-48,2 2 64,0-1 0,1 5 16,-13 5 8,14-9-8,0 5-24,2 0 8,-2 1 8,2-1 24,-1 2-32,-15 2 24,17-1 0,0-1-48,0 2 16,-1 0 8,0 4 24,-2 8-8,-14-12 8,16 4-16,-2 10 24,1-3-48,-2 2 16,0 1 24,-2 3-32,-11-17 32,11 18-8,-7 1 8,8 0-40,-8 3 48,8 2-16,-7 1-8,-5-25 16,9 29 8,-5 1-8,7 1 0,-9 1-8,3 2 8,4-1-16,-9-33 16,3 36-16,1 0 16,-1 2 8,2-1 32,5 1 16,-7-2 72,-3-36-128,10 35 216,-5-2 24,8-2 88,-3-1 32,4-1 24,1-1 56,-15-28-440,18 26 449,1-2-9,3-2 16,1-1-8,2-2 16,3-2-16,-28-17-448,29 17 440,6-1 0,1-3-136,2-1-8,1-3-72,2-5-104,-41-4-120,41 14 184,3-10-8,2 5-80,1-5 9,1 6-33,1-8-72,-49-2 0,50 2 96,2 1 0,2-1-8,0-2-16,1 0-16,2 0-48,-57 0-8,60 0 0,0-1 0,2-3-104,-1 1-120,1-8-305,3 7-399,-65 4 928,67-9-1336,1 5-288,0-7 191,4 8 441,4-9 432,-1 7 344,-75 5 216,75-12-64,1 3-1640,-76 9 1704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A16" zoomScale="130" zoomScaleNormal="100" zoomScaleSheetLayoutView="130" workbookViewId="0">
      <selection activeCell="G23" sqref="G23:J2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9.054687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2" t="s">
        <v>190</v>
      </c>
      <c r="C1" s="52"/>
      <c r="D1" s="52"/>
      <c r="E1" s="52"/>
      <c r="F1" s="52"/>
      <c r="G1" s="52"/>
      <c r="H1" s="52"/>
      <c r="I1" s="52"/>
      <c r="J1" s="52"/>
    </row>
    <row r="2" spans="1:10" ht="30" customHeight="1" x14ac:dyDescent="0.2">
      <c r="B2" s="11" t="s">
        <v>8</v>
      </c>
      <c r="C2" s="58" t="s">
        <v>41</v>
      </c>
      <c r="D2" s="58"/>
      <c r="E2" s="11" t="s">
        <v>7</v>
      </c>
      <c r="F2" s="53">
        <v>45944</v>
      </c>
      <c r="G2" s="53"/>
      <c r="H2" s="53"/>
      <c r="I2" s="53"/>
      <c r="J2" s="53"/>
    </row>
    <row r="3" spans="1:10" ht="30" customHeight="1" x14ac:dyDescent="0.2">
      <c r="B3" s="11" t="s">
        <v>9</v>
      </c>
      <c r="C3" s="58" t="s">
        <v>82</v>
      </c>
      <c r="D3" s="58"/>
      <c r="E3" s="11" t="s">
        <v>6</v>
      </c>
      <c r="F3" s="58" t="s">
        <v>92</v>
      </c>
      <c r="G3" s="58"/>
      <c r="H3" s="58"/>
      <c r="I3" s="58"/>
      <c r="J3" s="58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54" t="s">
        <v>0</v>
      </c>
      <c r="C5" s="55"/>
      <c r="D5" s="55"/>
      <c r="E5" s="59" t="s">
        <v>1</v>
      </c>
      <c r="F5" s="59"/>
      <c r="G5" s="59"/>
      <c r="H5" s="59"/>
      <c r="I5" s="59" t="s">
        <v>2</v>
      </c>
      <c r="J5" s="60"/>
    </row>
    <row r="6" spans="1:10" ht="24.95" customHeight="1" thickBot="1" x14ac:dyDescent="0.25">
      <c r="A6" s="9"/>
      <c r="B6" s="56"/>
      <c r="C6" s="57"/>
      <c r="D6" s="57"/>
      <c r="E6" s="10" t="s">
        <v>3</v>
      </c>
      <c r="F6" s="10" t="s">
        <v>4</v>
      </c>
      <c r="G6" s="10" t="s">
        <v>23</v>
      </c>
      <c r="H6" s="10" t="s">
        <v>24</v>
      </c>
      <c r="I6" s="61"/>
      <c r="J6" s="62"/>
    </row>
    <row r="7" spans="1:10" ht="24.95" customHeight="1" x14ac:dyDescent="0.2">
      <c r="A7" s="9"/>
      <c r="B7" s="63" t="s">
        <v>21</v>
      </c>
      <c r="C7" s="64"/>
      <c r="D7" s="64"/>
      <c r="E7" s="30" t="s">
        <v>18</v>
      </c>
      <c r="F7" s="30" t="s">
        <v>19</v>
      </c>
      <c r="G7" s="30" t="s">
        <v>22</v>
      </c>
      <c r="H7" s="30" t="s">
        <v>20</v>
      </c>
      <c r="I7" s="65" t="s">
        <v>25</v>
      </c>
      <c r="J7" s="66"/>
    </row>
    <row r="8" spans="1:10" ht="60" customHeight="1" x14ac:dyDescent="0.2">
      <c r="A8" s="9"/>
      <c r="B8" s="48" t="s">
        <v>188</v>
      </c>
      <c r="C8" s="48"/>
      <c r="D8" s="48"/>
      <c r="E8" s="32">
        <v>3</v>
      </c>
      <c r="F8" s="25">
        <v>2.25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3"/>
      <c r="J8" s="43"/>
    </row>
    <row r="9" spans="1:10" ht="39.950000000000003" customHeight="1" x14ac:dyDescent="0.2">
      <c r="A9" s="9"/>
      <c r="B9" s="48" t="s">
        <v>180</v>
      </c>
      <c r="C9" s="48"/>
      <c r="D9" s="48"/>
      <c r="E9" s="32">
        <v>3</v>
      </c>
      <c r="F9" s="25">
        <v>2.25</v>
      </c>
      <c r="G9" s="33">
        <f t="shared" ref="G9" si="0">IFERROR(F9/E9,"")</f>
        <v>0.75</v>
      </c>
      <c r="H9" s="34" t="str">
        <f t="shared" ref="H9" si="1">_xlfn.IFS(F9="أدخل العلامة","",F9="لا ينطبق","تم الإلغاء",G9&gt;=90%,"ممتاز",G9&gt;=80%,"جيد جداً",G9&gt;=70%,"جيد",G9&gt;=60%,"مقبول",G9&lt;60%,"راسب")</f>
        <v>جيد</v>
      </c>
      <c r="I9" s="43"/>
      <c r="J9" s="43"/>
    </row>
    <row r="10" spans="1:10" ht="39.950000000000003" customHeight="1" x14ac:dyDescent="0.2">
      <c r="A10" s="9"/>
      <c r="B10" s="48" t="s">
        <v>182</v>
      </c>
      <c r="C10" s="49"/>
      <c r="D10" s="49"/>
      <c r="E10" s="32">
        <v>3</v>
      </c>
      <c r="F10" s="25">
        <v>2.25</v>
      </c>
      <c r="G10" s="33">
        <f t="shared" ref="G10" si="2">IFERROR(F10/E10,"")</f>
        <v>0.75</v>
      </c>
      <c r="H10" s="34" t="str">
        <f t="shared" ref="H10" si="3">_xlfn.IFS(F10="أدخل العلامة","",F10="لا ينطبق","تم الإلغاء",G10&gt;=90%,"ممتاز",G10&gt;=80%,"جيد جداً",G10&gt;=70%,"جيد",G10&gt;=60%,"مقبول",G10&lt;60%,"راسب")</f>
        <v>جيد</v>
      </c>
      <c r="I10" s="43"/>
      <c r="J10" s="43"/>
    </row>
    <row r="11" spans="1:10" ht="30" customHeight="1" x14ac:dyDescent="0.2">
      <c r="A11" s="9"/>
      <c r="B11" s="48" t="s">
        <v>178</v>
      </c>
      <c r="C11" s="48"/>
      <c r="D11" s="48"/>
      <c r="E11" s="32">
        <v>3</v>
      </c>
      <c r="F11" s="25">
        <v>2.25</v>
      </c>
      <c r="G11" s="33">
        <f>IFERROR(F11/E11,"")</f>
        <v>0.75</v>
      </c>
      <c r="H11" s="34" t="str">
        <f>_xlfn.IFS(F11="أدخل العلامة","",F11="لا ينطبق","تم الإلغاء",G11&gt;=90%,"ممتاز",G11&gt;=80%,"جيد جداً",G11&gt;=70%,"جيد",G11&gt;=60%,"مقبول",G11&lt;60%,"راسب")</f>
        <v>جيد</v>
      </c>
      <c r="I11" s="43"/>
      <c r="J11" s="43"/>
    </row>
    <row r="12" spans="1:10" ht="30" customHeight="1" x14ac:dyDescent="0.2">
      <c r="A12" s="9"/>
      <c r="B12" s="48" t="s">
        <v>179</v>
      </c>
      <c r="C12" s="48"/>
      <c r="D12" s="48"/>
      <c r="E12" s="32">
        <v>3</v>
      </c>
      <c r="F12" s="25">
        <v>2.25</v>
      </c>
      <c r="G12" s="33">
        <f>IFERROR(F12/E12,"")</f>
        <v>0.75</v>
      </c>
      <c r="H12" s="34" t="str">
        <f>_xlfn.IFS(F12="أدخل العلامة","",F12="لا ينطبق","تم الإلغاء",G12&gt;=90%,"ممتاز",G12&gt;=80%,"جيد جداً",G12&gt;=70%,"جيد",G12&gt;=60%,"مقبول",G12&lt;60%,"راسب")</f>
        <v>جيد</v>
      </c>
      <c r="I12" s="43"/>
      <c r="J12" s="43"/>
    </row>
    <row r="13" spans="1:10" ht="39.950000000000003" customHeight="1" x14ac:dyDescent="0.2">
      <c r="A13" s="9"/>
      <c r="B13" s="48" t="s">
        <v>189</v>
      </c>
      <c r="C13" s="48"/>
      <c r="D13" s="48"/>
      <c r="E13" s="32">
        <v>3</v>
      </c>
      <c r="F13" s="25">
        <v>2.25</v>
      </c>
      <c r="G13" s="33">
        <f t="shared" ref="G13:G18" si="4">IFERROR(F13/E13,"")</f>
        <v>0.75</v>
      </c>
      <c r="H13" s="34" t="str">
        <f t="shared" ref="H13:H18" si="5">_xlfn.IFS(F13="أدخل العلامة","",F13="لا ينطبق","تم الإلغاء",G13&gt;=90%,"ممتاز",G13&gt;=80%,"جيد جداً",G13&gt;=70%,"جيد",G13&gt;=60%,"مقبول",G13&lt;60%,"راسب")</f>
        <v>جيد</v>
      </c>
      <c r="I13" s="43"/>
      <c r="J13" s="43"/>
    </row>
    <row r="14" spans="1:10" ht="30" customHeight="1" x14ac:dyDescent="0.2">
      <c r="A14" s="9"/>
      <c r="B14" s="48" t="s">
        <v>183</v>
      </c>
      <c r="C14" s="48"/>
      <c r="D14" s="48"/>
      <c r="E14" s="32">
        <v>3</v>
      </c>
      <c r="F14" s="25">
        <v>2.25</v>
      </c>
      <c r="G14" s="33">
        <f t="shared" ref="G14" si="6">IFERROR(F14/E14,"")</f>
        <v>0.75</v>
      </c>
      <c r="H14" s="34" t="str">
        <f t="shared" ref="H14" si="7">_xlfn.IFS(F14="أدخل العلامة","",F14="لا ينطبق","تم الإلغاء",G14&gt;=90%,"ممتاز",G14&gt;=80%,"جيد جداً",G14&gt;=70%,"جيد",G14&gt;=60%,"مقبول",G14&lt;60%,"راسب")</f>
        <v>جيد</v>
      </c>
      <c r="I14" s="43"/>
      <c r="J14" s="43"/>
    </row>
    <row r="15" spans="1:10" ht="39.950000000000003" customHeight="1" x14ac:dyDescent="0.2">
      <c r="A15" s="9"/>
      <c r="B15" s="48" t="s">
        <v>184</v>
      </c>
      <c r="C15" s="48"/>
      <c r="D15" s="48"/>
      <c r="E15" s="32">
        <v>3</v>
      </c>
      <c r="F15" s="25">
        <v>2</v>
      </c>
      <c r="G15" s="33">
        <f t="shared" ref="G15" si="8">IFERROR(F15/E15,"")</f>
        <v>0.66666666666666663</v>
      </c>
      <c r="H15" s="34" t="str">
        <f t="shared" ref="H15" si="9">_xlfn.IFS(F15="أدخل العلامة","",F15="لا ينطبق","تم الإلغاء",G15&gt;=90%,"ممتاز",G15&gt;=80%,"جيد جداً",G15&gt;=70%,"جيد",G15&gt;=60%,"مقبول",G15&lt;60%,"راسب")</f>
        <v>مقبول</v>
      </c>
      <c r="I15" s="43"/>
      <c r="J15" s="43"/>
    </row>
    <row r="16" spans="1:10" ht="60" customHeight="1" x14ac:dyDescent="0.2">
      <c r="A16" s="9"/>
      <c r="B16" s="76" t="s">
        <v>185</v>
      </c>
      <c r="C16" s="77"/>
      <c r="D16" s="78"/>
      <c r="E16" s="32">
        <v>3</v>
      </c>
      <c r="F16" s="25">
        <v>2</v>
      </c>
      <c r="G16" s="33">
        <f t="shared" si="4"/>
        <v>0.66666666666666663</v>
      </c>
      <c r="H16" s="34" t="str">
        <f t="shared" si="5"/>
        <v>مقبول</v>
      </c>
      <c r="I16" s="43"/>
      <c r="J16" s="43"/>
    </row>
    <row r="17" spans="1:10" ht="39.950000000000003" customHeight="1" x14ac:dyDescent="0.2">
      <c r="A17" s="9"/>
      <c r="B17" s="48" t="s">
        <v>186</v>
      </c>
      <c r="C17" s="49"/>
      <c r="D17" s="49"/>
      <c r="E17" s="32">
        <v>3</v>
      </c>
      <c r="F17" s="29">
        <v>2</v>
      </c>
      <c r="G17" s="33">
        <f>IFERROR(F17/E17,"")</f>
        <v>0.66666666666666663</v>
      </c>
      <c r="H17" s="34" t="str">
        <f>_xlfn.IFS(F17="أدخل العلامة","",F17="لا ينطبق","تم الإلغاء",G17&gt;=90%,"ممتاز",G17&gt;=80%,"جيد جداً",G17&gt;=70%,"جيد",G17&gt;=60%,"مقبول",G17&lt;60%,"راسب")</f>
        <v>مقبول</v>
      </c>
      <c r="I17" s="43"/>
      <c r="J17" s="43"/>
    </row>
    <row r="18" spans="1:10" ht="60" customHeight="1" x14ac:dyDescent="0.2">
      <c r="A18" s="9"/>
      <c r="B18" s="48" t="s">
        <v>181</v>
      </c>
      <c r="C18" s="48"/>
      <c r="D18" s="48"/>
      <c r="E18" s="32">
        <v>3</v>
      </c>
      <c r="F18" s="25">
        <v>2.25</v>
      </c>
      <c r="G18" s="33">
        <f t="shared" si="4"/>
        <v>0.75</v>
      </c>
      <c r="H18" s="34" t="str">
        <f t="shared" si="5"/>
        <v>جيد</v>
      </c>
      <c r="I18" s="43"/>
      <c r="J18" s="43"/>
    </row>
    <row r="19" spans="1:10" ht="30" customHeight="1" thickBot="1" x14ac:dyDescent="0.25">
      <c r="A19" s="4"/>
      <c r="B19" s="44" t="s">
        <v>5</v>
      </c>
      <c r="C19" s="45"/>
      <c r="D19" s="45"/>
      <c r="E19" s="31">
        <f>SUM(E8:E18)</f>
        <v>33</v>
      </c>
      <c r="F19" s="31">
        <f>SUM(F8:F18)</f>
        <v>24</v>
      </c>
      <c r="G19" s="71"/>
      <c r="H19" s="72"/>
      <c r="I19" s="72"/>
      <c r="J19" s="73"/>
    </row>
    <row r="20" spans="1:10" ht="30" customHeight="1" thickBot="1" x14ac:dyDescent="0.25">
      <c r="A20" s="4"/>
      <c r="B20" s="46" t="s">
        <v>54</v>
      </c>
      <c r="C20" s="47"/>
      <c r="D20" s="47"/>
      <c r="E20" s="74">
        <f>F19/E19/100*100</f>
        <v>0.72727272727272729</v>
      </c>
      <c r="F20" s="74"/>
      <c r="G20" s="74"/>
      <c r="H20" s="74"/>
      <c r="I20" s="74"/>
      <c r="J20" s="75"/>
    </row>
    <row r="21" spans="1:10" ht="30" customHeight="1" thickBot="1" x14ac:dyDescent="0.25">
      <c r="A21" s="4"/>
      <c r="B21" s="46" t="s">
        <v>55</v>
      </c>
      <c r="C21" s="47"/>
      <c r="D21" s="47"/>
      <c r="E21" s="35" t="str">
        <f>_xlfn.IFS(E20&gt;=90%,"ممتاز",E20&gt;=80%,"جيد جداً",E20&gt;=70%,"جيد",E20&gt;=60%,"مقبول",E20&lt;60%,"راسب")</f>
        <v>جيد</v>
      </c>
      <c r="F21" s="35"/>
      <c r="G21" s="35"/>
      <c r="H21" s="35"/>
      <c r="I21" s="35"/>
      <c r="J21" s="36"/>
    </row>
    <row r="22" spans="1:10" ht="42" customHeight="1" x14ac:dyDescent="0.2">
      <c r="B22" s="67" t="s">
        <v>187</v>
      </c>
      <c r="C22" s="67"/>
      <c r="D22" s="67"/>
      <c r="E22" s="50" t="s">
        <v>52</v>
      </c>
      <c r="F22" s="50"/>
      <c r="G22" s="69" t="s">
        <v>92</v>
      </c>
      <c r="H22" s="69"/>
      <c r="I22" s="69"/>
      <c r="J22" s="69"/>
    </row>
    <row r="23" spans="1:10" ht="51" customHeight="1" x14ac:dyDescent="0.2">
      <c r="A23" s="5"/>
      <c r="B23" s="68"/>
      <c r="C23" s="68"/>
      <c r="D23" s="68"/>
      <c r="E23" s="51" t="s">
        <v>53</v>
      </c>
      <c r="F23" s="51"/>
      <c r="G23" s="70"/>
      <c r="H23" s="70"/>
      <c r="I23" s="70"/>
      <c r="J23" s="70"/>
    </row>
    <row r="24" spans="1:10" x14ac:dyDescent="0.2">
      <c r="A24" s="26">
        <v>3</v>
      </c>
      <c r="B24" s="37" t="s">
        <v>175</v>
      </c>
      <c r="C24" s="38"/>
    </row>
    <row r="25" spans="1:10" x14ac:dyDescent="0.2">
      <c r="A25" s="27">
        <v>2</v>
      </c>
      <c r="B25" s="39" t="s">
        <v>176</v>
      </c>
      <c r="C25" s="40"/>
    </row>
    <row r="26" spans="1:10" x14ac:dyDescent="0.2">
      <c r="A26" s="28">
        <v>1</v>
      </c>
      <c r="B26" s="41" t="s">
        <v>177</v>
      </c>
      <c r="C26" s="42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B22:D23"/>
    <mergeCell ref="G22:J22"/>
    <mergeCell ref="G23:J23"/>
    <mergeCell ref="B15:D15"/>
    <mergeCell ref="B9:D9"/>
    <mergeCell ref="I9:J9"/>
    <mergeCell ref="I11:J11"/>
    <mergeCell ref="B12:D12"/>
    <mergeCell ref="I12:J12"/>
    <mergeCell ref="B10:D10"/>
    <mergeCell ref="I10:J10"/>
    <mergeCell ref="B14:D14"/>
    <mergeCell ref="G19:J19"/>
    <mergeCell ref="E20:J20"/>
    <mergeCell ref="B16:D16"/>
    <mergeCell ref="B18:D18"/>
    <mergeCell ref="B7:D7"/>
    <mergeCell ref="I7:J7"/>
    <mergeCell ref="I13:J13"/>
    <mergeCell ref="B8:D8"/>
    <mergeCell ref="B13:D13"/>
    <mergeCell ref="B11:D11"/>
    <mergeCell ref="B1:J1"/>
    <mergeCell ref="F2:J2"/>
    <mergeCell ref="B5:D6"/>
    <mergeCell ref="C2:D2"/>
    <mergeCell ref="C3:D3"/>
    <mergeCell ref="F3:J3"/>
    <mergeCell ref="E5:H5"/>
    <mergeCell ref="I5:J6"/>
    <mergeCell ref="E21:J21"/>
    <mergeCell ref="B24:C24"/>
    <mergeCell ref="B25:C25"/>
    <mergeCell ref="B26:C26"/>
    <mergeCell ref="I8:J8"/>
    <mergeCell ref="B19:D19"/>
    <mergeCell ref="B20:D20"/>
    <mergeCell ref="B21:D21"/>
    <mergeCell ref="I16:J16"/>
    <mergeCell ref="I18:J18"/>
    <mergeCell ref="I14:J14"/>
    <mergeCell ref="I15:J15"/>
    <mergeCell ref="B17:D17"/>
    <mergeCell ref="I17:J17"/>
    <mergeCell ref="E22:F22"/>
    <mergeCell ref="E23:F23"/>
  </mergeCells>
  <conditionalFormatting sqref="C2:D2">
    <cfRule type="containsText" dxfId="16" priority="67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66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1">
    <cfRule type="expression" dxfId="14" priority="106">
      <formula>$E21="راسب"</formula>
    </cfRule>
  </conditionalFormatting>
  <conditionalFormatting sqref="E21:J21">
    <cfRule type="expression" dxfId="13" priority="107">
      <formula>$E21="مقبول"</formula>
    </cfRule>
    <cfRule type="expression" dxfId="12" priority="108">
      <formula>$E21="جيد"</formula>
    </cfRule>
    <cfRule type="expression" dxfId="11" priority="109">
      <formula>$E21="جيد جداً"</formula>
    </cfRule>
    <cfRule type="expression" dxfId="10" priority="110">
      <formula>$E21="ممتاز"</formula>
    </cfRule>
  </conditionalFormatting>
  <conditionalFormatting sqref="F8:F18">
    <cfRule type="containsText" dxfId="9" priority="7" operator="containsText" text="أدخل العلامة">
      <formula>NOT(ISERROR(SEARCH("أدخل العلامة",F8)))</formula>
    </cfRule>
  </conditionalFormatting>
  <conditionalFormatting sqref="F2:J2">
    <cfRule type="containsText" dxfId="8" priority="68" operator="containsText" text="أدخل التاريخ">
      <formula>NOT(ISERROR(SEARCH("أدخل التاريخ",F2)))</formula>
    </cfRule>
  </conditionalFormatting>
  <conditionalFormatting sqref="F3:J3">
    <cfRule type="containsText" dxfId="7" priority="65" operator="containsText" text="أدخل أسم المحكم">
      <formula>NOT(ISERROR(SEARCH("أدخل أسم المحكم",F3)))</formula>
    </cfRule>
  </conditionalFormatting>
  <conditionalFormatting sqref="G22:J22">
    <cfRule type="containsText" dxfId="6" priority="64" operator="containsText" text="أدخل اسم المحكم">
      <formula>NOT(ISERROR(SEARCH("أدخل اسم المحكم",G22)))</formula>
    </cfRule>
  </conditionalFormatting>
  <conditionalFormatting sqref="H8:H18">
    <cfRule type="containsText" dxfId="5" priority="1" operator="containsText" text="أدخل العلامة">
      <formula>NOT(ISERROR(SEARCH("أدخل العلامة",H8)))</formula>
    </cfRule>
    <cfRule type="containsText" dxfId="4" priority="2" operator="containsText" text="ممتاز">
      <formula>NOT(ISERROR(SEARCH("ممتاز",H8)))</formula>
    </cfRule>
    <cfRule type="containsText" dxfId="3" priority="3" operator="containsText" text="جيد جداً">
      <formula>NOT(ISERROR(SEARCH("جيد جداً",H8)))</formula>
    </cfRule>
    <cfRule type="containsText" dxfId="2" priority="4" operator="containsText" text="جيد">
      <formula>NOT(ISERROR(SEARCH("جيد",H8)))</formula>
    </cfRule>
    <cfRule type="containsText" dxfId="1" priority="5" operator="containsText" text="مقبول">
      <formula>NOT(ISERROR(SEARCH("مقبول",H8)))</formula>
    </cfRule>
    <cfRule type="containsText" dxfId="0" priority="6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G22:J22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102</v>
      </c>
    </row>
    <row r="213" spans="1:1" ht="20.100000000000001" customHeight="1" x14ac:dyDescent="0.2">
      <c r="A213" s="19" t="s">
        <v>103</v>
      </c>
    </row>
    <row r="214" spans="1:1" ht="20.100000000000001" customHeight="1" x14ac:dyDescent="0.2">
      <c r="A214" s="19" t="s">
        <v>104</v>
      </c>
    </row>
    <row r="215" spans="1:1" ht="20.100000000000001" customHeight="1" x14ac:dyDescent="0.2">
      <c r="A215" s="19" t="s">
        <v>105</v>
      </c>
    </row>
    <row r="216" spans="1:1" ht="20.100000000000001" customHeight="1" x14ac:dyDescent="0.2">
      <c r="A216" s="19" t="s">
        <v>106</v>
      </c>
    </row>
    <row r="217" spans="1:1" ht="20.100000000000001" customHeight="1" x14ac:dyDescent="0.2">
      <c r="A217" s="19" t="s">
        <v>107</v>
      </c>
    </row>
    <row r="218" spans="1:1" ht="20.100000000000001" customHeight="1" x14ac:dyDescent="0.2">
      <c r="A218" s="19" t="s">
        <v>108</v>
      </c>
    </row>
    <row r="219" spans="1:1" ht="20.100000000000001" customHeight="1" x14ac:dyDescent="0.2">
      <c r="A219" s="19" t="s">
        <v>109</v>
      </c>
    </row>
    <row r="220" spans="1:1" ht="20.100000000000001" customHeight="1" x14ac:dyDescent="0.2">
      <c r="A220" s="19" t="s">
        <v>110</v>
      </c>
    </row>
    <row r="221" spans="1:1" ht="20.100000000000001" customHeight="1" x14ac:dyDescent="0.2">
      <c r="A221" s="19" t="s">
        <v>111</v>
      </c>
    </row>
    <row r="222" spans="1:1" ht="20.100000000000001" customHeight="1" x14ac:dyDescent="0.2">
      <c r="A222" s="19" t="s">
        <v>112</v>
      </c>
    </row>
    <row r="223" spans="1:1" ht="20.100000000000001" customHeight="1" x14ac:dyDescent="0.2">
      <c r="A223" s="19" t="s">
        <v>113</v>
      </c>
    </row>
    <row r="224" spans="1:1" ht="20.100000000000001" customHeight="1" x14ac:dyDescent="0.2">
      <c r="A224" s="19" t="s">
        <v>114</v>
      </c>
    </row>
    <row r="225" spans="1:1" ht="20.100000000000001" customHeight="1" x14ac:dyDescent="0.2">
      <c r="A225" s="19" t="s">
        <v>115</v>
      </c>
    </row>
    <row r="226" spans="1:1" ht="20.100000000000001" customHeight="1" x14ac:dyDescent="0.2">
      <c r="A226" s="19" t="s">
        <v>116</v>
      </c>
    </row>
    <row r="227" spans="1:1" ht="20.100000000000001" customHeight="1" x14ac:dyDescent="0.2">
      <c r="A227" s="19" t="s">
        <v>117</v>
      </c>
    </row>
    <row r="228" spans="1:1" ht="20.100000000000001" customHeight="1" x14ac:dyDescent="0.2">
      <c r="A228" s="19" t="s">
        <v>118</v>
      </c>
    </row>
    <row r="229" spans="1:1" ht="20.100000000000001" customHeight="1" x14ac:dyDescent="0.2">
      <c r="A229" s="19" t="s">
        <v>119</v>
      </c>
    </row>
    <row r="230" spans="1:1" ht="20.100000000000001" customHeight="1" x14ac:dyDescent="0.2">
      <c r="A230" s="19" t="s">
        <v>120</v>
      </c>
    </row>
    <row r="231" spans="1:1" ht="20.100000000000001" customHeight="1" x14ac:dyDescent="0.2">
      <c r="A231" s="19" t="s">
        <v>121</v>
      </c>
    </row>
    <row r="232" spans="1:1" ht="20.100000000000001" customHeight="1" x14ac:dyDescent="0.2">
      <c r="A232" s="19" t="s">
        <v>122</v>
      </c>
    </row>
    <row r="233" spans="1:1" ht="20.100000000000001" customHeight="1" x14ac:dyDescent="0.2">
      <c r="A233" s="19" t="s">
        <v>123</v>
      </c>
    </row>
    <row r="234" spans="1:1" ht="20.100000000000001" customHeight="1" x14ac:dyDescent="0.2">
      <c r="A234" s="19" t="s">
        <v>124</v>
      </c>
    </row>
    <row r="235" spans="1:1" ht="20.100000000000001" customHeight="1" x14ac:dyDescent="0.2">
      <c r="A235" s="21" t="s">
        <v>125</v>
      </c>
    </row>
    <row r="236" spans="1:1" ht="20.100000000000001" customHeight="1" x14ac:dyDescent="0.2">
      <c r="A236" s="19" t="s">
        <v>126</v>
      </c>
    </row>
    <row r="237" spans="1:1" ht="20.100000000000001" customHeight="1" x14ac:dyDescent="0.2">
      <c r="A237" s="19" t="s">
        <v>127</v>
      </c>
    </row>
    <row r="238" spans="1:1" ht="20.100000000000001" customHeight="1" x14ac:dyDescent="0.2">
      <c r="A238" s="19" t="s">
        <v>128</v>
      </c>
    </row>
    <row r="239" spans="1:1" ht="20.100000000000001" customHeight="1" x14ac:dyDescent="0.2">
      <c r="A239" s="19" t="s">
        <v>129</v>
      </c>
    </row>
    <row r="240" spans="1:1" ht="20.100000000000001" customHeight="1" x14ac:dyDescent="0.2">
      <c r="A240" s="19" t="s">
        <v>130</v>
      </c>
    </row>
    <row r="241" spans="1:1" ht="20.100000000000001" customHeight="1" x14ac:dyDescent="0.2">
      <c r="A241" s="19" t="s">
        <v>131</v>
      </c>
    </row>
    <row r="242" spans="1:1" ht="20.100000000000001" customHeight="1" x14ac:dyDescent="0.2">
      <c r="A242" s="19" t="s">
        <v>132</v>
      </c>
    </row>
    <row r="243" spans="1:1" ht="20.100000000000001" customHeight="1" x14ac:dyDescent="0.2">
      <c r="A243" s="19" t="s">
        <v>133</v>
      </c>
    </row>
    <row r="244" spans="1:1" ht="20.100000000000001" customHeight="1" x14ac:dyDescent="0.2">
      <c r="A244" s="19" t="s">
        <v>134</v>
      </c>
    </row>
    <row r="245" spans="1:1" ht="20.100000000000001" customHeight="1" x14ac:dyDescent="0.2">
      <c r="A245" s="19" t="s">
        <v>135</v>
      </c>
    </row>
    <row r="246" spans="1:1" ht="20.100000000000001" customHeight="1" x14ac:dyDescent="0.2">
      <c r="A246" s="19" t="s">
        <v>136</v>
      </c>
    </row>
    <row r="247" spans="1:1" ht="20.100000000000001" customHeight="1" x14ac:dyDescent="0.2">
      <c r="A247" s="19" t="s">
        <v>127</v>
      </c>
    </row>
    <row r="248" spans="1:1" ht="20.100000000000001" customHeight="1" x14ac:dyDescent="0.2">
      <c r="A248" s="19" t="s">
        <v>137</v>
      </c>
    </row>
    <row r="249" spans="1:1" ht="20.100000000000001" customHeight="1" x14ac:dyDescent="0.2">
      <c r="A249" s="19" t="s">
        <v>138</v>
      </c>
    </row>
    <row r="250" spans="1:1" ht="20.100000000000001" customHeight="1" x14ac:dyDescent="0.2">
      <c r="A250" s="21" t="s">
        <v>139</v>
      </c>
    </row>
    <row r="251" spans="1:1" ht="20.100000000000001" customHeight="1" x14ac:dyDescent="0.2">
      <c r="A251" s="22" t="s">
        <v>140</v>
      </c>
    </row>
    <row r="252" spans="1:1" ht="20.100000000000001" customHeight="1" x14ac:dyDescent="0.2">
      <c r="A252" s="19" t="s">
        <v>141</v>
      </c>
    </row>
    <row r="253" spans="1:1" ht="20.100000000000001" customHeight="1" x14ac:dyDescent="0.2">
      <c r="A253" s="19" t="s">
        <v>142</v>
      </c>
    </row>
    <row r="254" spans="1:1" ht="20.100000000000001" customHeight="1" x14ac:dyDescent="0.2">
      <c r="A254" s="23" t="s">
        <v>143</v>
      </c>
    </row>
    <row r="255" spans="1:1" ht="20.100000000000001" customHeight="1" x14ac:dyDescent="0.2">
      <c r="A255" s="23" t="s">
        <v>144</v>
      </c>
    </row>
    <row r="256" spans="1:1" ht="20.100000000000001" customHeight="1" x14ac:dyDescent="0.2">
      <c r="A256" s="24" t="s">
        <v>145</v>
      </c>
    </row>
    <row r="257" spans="1:1" ht="20.100000000000001" customHeight="1" x14ac:dyDescent="0.2">
      <c r="A257" s="19" t="s">
        <v>146</v>
      </c>
    </row>
    <row r="258" spans="1:1" ht="20.100000000000001" customHeight="1" x14ac:dyDescent="0.2">
      <c r="A258" s="24" t="s">
        <v>147</v>
      </c>
    </row>
    <row r="259" spans="1:1" ht="20.100000000000001" customHeight="1" x14ac:dyDescent="0.2">
      <c r="A259" s="19" t="s">
        <v>148</v>
      </c>
    </row>
    <row r="260" spans="1:1" ht="20.100000000000001" customHeight="1" x14ac:dyDescent="0.2">
      <c r="A260" s="24" t="s">
        <v>149</v>
      </c>
    </row>
    <row r="261" spans="1:1" ht="20.100000000000001" customHeight="1" x14ac:dyDescent="0.2">
      <c r="A261" s="19" t="s">
        <v>150</v>
      </c>
    </row>
    <row r="262" spans="1:1" ht="20.100000000000001" customHeight="1" x14ac:dyDescent="0.2">
      <c r="A262" s="19" t="s">
        <v>151</v>
      </c>
    </row>
    <row r="263" spans="1:1" ht="20.100000000000001" customHeight="1" x14ac:dyDescent="0.2">
      <c r="A263" s="24" t="s">
        <v>152</v>
      </c>
    </row>
    <row r="264" spans="1:1" ht="20.100000000000001" customHeight="1" x14ac:dyDescent="0.2">
      <c r="A264" s="24" t="s">
        <v>153</v>
      </c>
    </row>
    <row r="265" spans="1:1" ht="20.100000000000001" customHeight="1" x14ac:dyDescent="0.2">
      <c r="A265" s="24" t="s">
        <v>154</v>
      </c>
    </row>
    <row r="266" spans="1:1" ht="20.100000000000001" customHeight="1" x14ac:dyDescent="0.2">
      <c r="A266" s="19" t="s">
        <v>155</v>
      </c>
    </row>
    <row r="267" spans="1:1" ht="20.100000000000001" customHeight="1" x14ac:dyDescent="0.2">
      <c r="A267" s="19" t="s">
        <v>156</v>
      </c>
    </row>
    <row r="268" spans="1:1" ht="20.100000000000001" customHeight="1" x14ac:dyDescent="0.2">
      <c r="A268" s="19" t="s">
        <v>157</v>
      </c>
    </row>
    <row r="269" spans="1:1" ht="20.100000000000001" customHeight="1" x14ac:dyDescent="0.2">
      <c r="A269" s="19" t="s">
        <v>158</v>
      </c>
    </row>
    <row r="270" spans="1:1" ht="20.100000000000001" customHeight="1" x14ac:dyDescent="0.2">
      <c r="A270" s="24" t="s">
        <v>159</v>
      </c>
    </row>
    <row r="271" spans="1:1" ht="20.100000000000001" customHeight="1" x14ac:dyDescent="0.2">
      <c r="A271" s="24" t="s">
        <v>160</v>
      </c>
    </row>
    <row r="272" spans="1:1" ht="20.100000000000001" customHeight="1" x14ac:dyDescent="0.2">
      <c r="A272" s="19" t="s">
        <v>161</v>
      </c>
    </row>
    <row r="273" spans="1:1" ht="20.100000000000001" customHeight="1" x14ac:dyDescent="0.2">
      <c r="A273" s="24" t="s">
        <v>162</v>
      </c>
    </row>
    <row r="274" spans="1:1" ht="20.100000000000001" customHeight="1" x14ac:dyDescent="0.2">
      <c r="A274" s="24" t="s">
        <v>163</v>
      </c>
    </row>
    <row r="275" spans="1:1" ht="20.100000000000001" customHeight="1" x14ac:dyDescent="0.2">
      <c r="A275" s="19" t="s">
        <v>164</v>
      </c>
    </row>
    <row r="276" spans="1:1" ht="20.100000000000001" customHeight="1" x14ac:dyDescent="0.2">
      <c r="A276" s="19" t="s">
        <v>165</v>
      </c>
    </row>
    <row r="277" spans="1:1" ht="20.100000000000001" customHeight="1" x14ac:dyDescent="0.2">
      <c r="A277" s="24" t="s">
        <v>166</v>
      </c>
    </row>
    <row r="278" spans="1:1" ht="20.100000000000001" customHeight="1" x14ac:dyDescent="0.2">
      <c r="A278" s="19" t="s">
        <v>167</v>
      </c>
    </row>
    <row r="279" spans="1:1" ht="20.100000000000001" customHeight="1" x14ac:dyDescent="0.2">
      <c r="A279" s="19" t="s">
        <v>168</v>
      </c>
    </row>
    <row r="280" spans="1:1" ht="20.100000000000001" customHeight="1" x14ac:dyDescent="0.2">
      <c r="A280" s="19" t="s">
        <v>169</v>
      </c>
    </row>
    <row r="281" spans="1:1" ht="20.100000000000001" customHeight="1" x14ac:dyDescent="0.2">
      <c r="A281" s="19" t="s">
        <v>170</v>
      </c>
    </row>
    <row r="282" spans="1:1" ht="20.100000000000001" customHeight="1" x14ac:dyDescent="0.2">
      <c r="A282" s="24" t="s">
        <v>171</v>
      </c>
    </row>
    <row r="283" spans="1:1" ht="20.100000000000001" customHeight="1" x14ac:dyDescent="0.2">
      <c r="A283" s="24" t="s">
        <v>172</v>
      </c>
    </row>
    <row r="284" spans="1:1" ht="20.100000000000001" customHeight="1" x14ac:dyDescent="0.2">
      <c r="A284" s="24" t="s">
        <v>173</v>
      </c>
    </row>
    <row r="285" spans="1:1" ht="20.100000000000001" customHeight="1" thickBot="1" x14ac:dyDescent="0.25">
      <c r="A285" s="19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2025-10-09T10:01:44Z</dcterms:modified>
</cp:coreProperties>
</file>