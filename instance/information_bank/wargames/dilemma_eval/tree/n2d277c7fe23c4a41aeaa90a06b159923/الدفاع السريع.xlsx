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DB038061-911B-6F4A-9379-DA6B680547B8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<sst xmlns="http://schemas.openxmlformats.org/spreadsheetml/2006/main" count="263" uniqueCount="207">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</sst>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11255</xdr:colOff>
      <xdr:row>37</xdr:row>
      <xdr:rowOff>69308</xdr:rowOff>
    </xdr:from>
    <xdr:to>
      <xdr:col>8</xdr:col>
      <xdr:colOff>318684</xdr:colOff>
      <xdr:row>37</xdr:row>
      <xdr:rowOff>598868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1CCE10C-5764-92A7-BEA8-5E1AD3D03FB5}"/>
                </a:ext>
              </a:extLst>
            </xdr14:cNvPr>
            <xdr14:cNvContentPartPr/>
          </xdr14:nvContentPartPr>
          <xdr14:nvPr macro=""/>
          <xdr14:xfrm>
            <a:off x="10398926225" y="17618400"/>
            <a:ext cx="965520" cy="5295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1CCE10C-5764-92A7-BEA8-5E1AD3D03F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917585" y="17609760"/>
              <a:ext cx="983160" cy="547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8:19:38.2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2264 1077,'0'0,"0"0,0 0,0 0,-16-16,13 14,-26 4,13-18,13 14,-10 4,-67-34,66 27,-84-38,-30 11,106 27,-101-38,-53-5,147 40,-151-16,-28-24,173 40,-123-16,-18 8,148 13,-88 6,-29-3,121 0,-64 0,8 0,67 0,-54 16,3-16,53 0,-26 0,-11 16,40-14,-1-4,-7 2,14 0,20 0,14 0,-26 0,69-16,85-16,-133 26,154-20,44-39,-189 55,201-44,51-26,-242 67,197-70,-3 3,-203 67,151-54,36 2,-188 55,73-28,3 6,-94 27,44-22,2 11,-54 14,-4 4,-38-2,27 0,-22 16,-53 16,67-27,-118 70,-78 54,175-108,-188 86,-67 53,243-134,-229 125,-13 25,238-146,-173 84,-17 31,200-121,-113 64,41-24,93-53,-58 26,12-5,55-26,5 4,-4-2,33-16,-16 8,17 0,39-16,-54 14,60-12,74-2,-120 14,128-12,-152 14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C27" zoomScale="130" zoomScaleNormal="100" zoomScaleSheetLayoutView="130" workbookViewId="0">
      <selection activeCell="F3" sqref="F3:J3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5" t="s">
        <v>206</v>
      </c>
      <c r="C1" s="55"/>
      <c r="D1" s="55"/>
      <c r="E1" s="55"/>
      <c r="F1" s="55"/>
      <c r="G1" s="55"/>
      <c r="H1" s="55"/>
      <c r="I1" s="55"/>
      <c r="J1" s="55"/>
    </row>
    <row r="2" spans="1:10" ht="30" customHeight="1" x14ac:dyDescent="0.2">
      <c r="B2" s="12" t="s">
        <v>8</v>
      </c>
      <c r="C2" s="61" t="s">
        <v>43</v>
      </c>
      <c r="D2" s="61"/>
      <c r="E2" s="12" t="s">
        <v>7</v>
      </c>
      <c r="F2" s="56">
        <v>45956</v>
      </c>
      <c r="G2" s="56"/>
      <c r="H2" s="56"/>
      <c r="I2" s="56"/>
      <c r="J2" s="56"/>
    </row>
    <row r="3" spans="1:10" ht="30" customHeight="1" x14ac:dyDescent="0.2">
      <c r="B3" s="12" t="s">
        <v>9</v>
      </c>
      <c r="C3" s="61" t="s">
        <v>87</v>
      </c>
      <c r="D3" s="61"/>
      <c r="E3" s="12" t="s">
        <v>6</v>
      </c>
      <c r="F3" s="61" t="s">
        <v>130</v>
      </c>
      <c r="G3" s="61"/>
      <c r="H3" s="61"/>
      <c r="I3" s="61"/>
      <c r="J3" s="6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7" t="s">
        <v>0</v>
      </c>
      <c r="C5" s="58"/>
      <c r="D5" s="58"/>
      <c r="E5" s="66" t="s">
        <v>1</v>
      </c>
      <c r="F5" s="66"/>
      <c r="G5" s="66"/>
      <c r="H5" s="66"/>
      <c r="I5" s="66" t="s">
        <v>2</v>
      </c>
      <c r="J5" s="67"/>
    </row>
    <row r="6" spans="1:10" ht="24.95" customHeight="1" thickBot="1" x14ac:dyDescent="0.25">
      <c r="A6" s="10"/>
      <c r="B6" s="59"/>
      <c r="C6" s="60"/>
      <c r="D6" s="60"/>
      <c r="E6" s="11" t="s">
        <v>3</v>
      </c>
      <c r="F6" s="11" t="s">
        <v>4</v>
      </c>
      <c r="G6" s="11" t="s">
        <v>23</v>
      </c>
      <c r="H6" s="11" t="s">
        <v>24</v>
      </c>
      <c r="I6" s="68"/>
      <c r="J6" s="69"/>
    </row>
    <row r="7" spans="1:10" ht="24.95" customHeight="1" thickBot="1" x14ac:dyDescent="0.25">
      <c r="A7" s="10"/>
      <c r="B7" s="64" t="s">
        <v>21</v>
      </c>
      <c r="C7" s="65"/>
      <c r="D7" s="65"/>
      <c r="E7" s="28" t="s">
        <v>18</v>
      </c>
      <c r="F7" s="28" t="s">
        <v>19</v>
      </c>
      <c r="G7" s="28" t="s">
        <v>22</v>
      </c>
      <c r="H7" s="28" t="s">
        <v>20</v>
      </c>
      <c r="I7" s="70" t="s">
        <v>25</v>
      </c>
      <c r="J7" s="71"/>
    </row>
    <row r="8" spans="1:10" ht="39.950000000000003" customHeight="1" thickBot="1" x14ac:dyDescent="0.25">
      <c r="A8" s="10"/>
      <c r="B8" s="46" t="s">
        <v>180</v>
      </c>
      <c r="C8" s="47"/>
      <c r="D8" s="47"/>
      <c r="E8" s="32">
        <v>5</v>
      </c>
      <c r="F8" s="33">
        <v>3.5</v>
      </c>
      <c r="G8" s="34">
        <f>IFERROR(F8/E8,"")</f>
        <v>0.7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80"/>
      <c r="J8" s="81"/>
    </row>
    <row r="9" spans="1:10" ht="39.950000000000003" customHeight="1" thickBot="1" x14ac:dyDescent="0.25">
      <c r="A9" s="10"/>
      <c r="B9" s="44" t="s">
        <v>181</v>
      </c>
      <c r="C9" s="45"/>
      <c r="D9" s="45"/>
      <c r="E9" s="9">
        <v>5</v>
      </c>
      <c r="F9" s="3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8"/>
      <c r="J9" s="49"/>
    </row>
    <row r="10" spans="1:10" ht="39.950000000000003" customHeight="1" thickBot="1" x14ac:dyDescent="0.25">
      <c r="A10" s="10"/>
      <c r="B10" s="44" t="s">
        <v>182</v>
      </c>
      <c r="C10" s="45"/>
      <c r="D10" s="45"/>
      <c r="E10" s="9">
        <v>5</v>
      </c>
      <c r="F10" s="36">
        <v>3.5</v>
      </c>
      <c r="G10" s="30">
        <f t="shared" ref="G10:G33" si="0">IFERROR(F10/E10,"")</f>
        <v>0.7</v>
      </c>
      <c r="H10" s="31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8"/>
      <c r="J10" s="49"/>
    </row>
    <row r="11" spans="1:10" ht="39.950000000000003" customHeight="1" thickBot="1" x14ac:dyDescent="0.25">
      <c r="A11" s="10"/>
      <c r="B11" s="44" t="s">
        <v>183</v>
      </c>
      <c r="C11" s="45"/>
      <c r="D11" s="45"/>
      <c r="E11" s="9">
        <v>5</v>
      </c>
      <c r="F11" s="36">
        <v>4</v>
      </c>
      <c r="G11" s="30">
        <f t="shared" si="0"/>
        <v>0.8</v>
      </c>
      <c r="H11" s="31" t="str">
        <f t="shared" si="1"/>
        <v>جيد جداً</v>
      </c>
      <c r="I11" s="48"/>
      <c r="J11" s="49"/>
    </row>
    <row r="12" spans="1:10" ht="39.950000000000003" customHeight="1" thickBot="1" x14ac:dyDescent="0.25">
      <c r="A12" s="10"/>
      <c r="B12" s="44" t="s">
        <v>184</v>
      </c>
      <c r="C12" s="45"/>
      <c r="D12" s="45"/>
      <c r="E12" s="9">
        <v>5</v>
      </c>
      <c r="F12" s="36">
        <v>4</v>
      </c>
      <c r="G12" s="30">
        <f t="shared" si="0"/>
        <v>0.8</v>
      </c>
      <c r="H12" s="31" t="str">
        <f t="shared" si="1"/>
        <v>جيد جداً</v>
      </c>
      <c r="I12" s="48"/>
      <c r="J12" s="49"/>
    </row>
    <row r="13" spans="1:10" ht="39.950000000000003" customHeight="1" thickBot="1" x14ac:dyDescent="0.25">
      <c r="A13" s="10"/>
      <c r="B13" s="44" t="s">
        <v>185</v>
      </c>
      <c r="C13" s="45"/>
      <c r="D13" s="45"/>
      <c r="E13" s="9">
        <v>5</v>
      </c>
      <c r="F13" s="36">
        <v>4</v>
      </c>
      <c r="G13" s="30">
        <f t="shared" si="0"/>
        <v>0.8</v>
      </c>
      <c r="H13" s="31" t="str">
        <f t="shared" si="1"/>
        <v>جيد جداً</v>
      </c>
      <c r="I13" s="48"/>
      <c r="J13" s="49"/>
    </row>
    <row r="14" spans="1:10" ht="39.950000000000003" customHeight="1" thickBot="1" x14ac:dyDescent="0.25">
      <c r="A14" s="10"/>
      <c r="B14" s="44" t="s">
        <v>186</v>
      </c>
      <c r="C14" s="45"/>
      <c r="D14" s="45"/>
      <c r="E14" s="9">
        <v>5</v>
      </c>
      <c r="F14" s="36">
        <v>3.5</v>
      </c>
      <c r="G14" s="30">
        <f t="shared" si="0"/>
        <v>0.7</v>
      </c>
      <c r="H14" s="31" t="str">
        <f t="shared" si="1"/>
        <v>جيد</v>
      </c>
      <c r="I14" s="48"/>
      <c r="J14" s="49"/>
    </row>
    <row r="15" spans="1:10" ht="39.950000000000003" customHeight="1" thickBot="1" x14ac:dyDescent="0.25">
      <c r="A15" s="10"/>
      <c r="B15" s="44" t="s">
        <v>187</v>
      </c>
      <c r="C15" s="45"/>
      <c r="D15" s="45"/>
      <c r="E15" s="9">
        <v>5</v>
      </c>
      <c r="F15" s="36">
        <v>3.5</v>
      </c>
      <c r="G15" s="30">
        <f t="shared" si="0"/>
        <v>0.7</v>
      </c>
      <c r="H15" s="31" t="str">
        <f t="shared" si="1"/>
        <v>جيد</v>
      </c>
      <c r="I15" s="48"/>
      <c r="J15" s="49"/>
    </row>
    <row r="16" spans="1:10" ht="39.950000000000003" customHeight="1" thickBot="1" x14ac:dyDescent="0.25">
      <c r="A16" s="10"/>
      <c r="B16" s="44" t="s">
        <v>188</v>
      </c>
      <c r="C16" s="45"/>
      <c r="D16" s="45"/>
      <c r="E16" s="9">
        <v>5</v>
      </c>
      <c r="F16" s="36">
        <v>3.5</v>
      </c>
      <c r="G16" s="30">
        <f t="shared" si="0"/>
        <v>0.7</v>
      </c>
      <c r="H16" s="31" t="str">
        <f t="shared" si="1"/>
        <v>جيد</v>
      </c>
      <c r="I16" s="48"/>
      <c r="J16" s="49"/>
    </row>
    <row r="17" spans="1:10" ht="39.950000000000003" customHeight="1" thickBot="1" x14ac:dyDescent="0.25">
      <c r="A17" s="10"/>
      <c r="B17" s="44" t="s">
        <v>189</v>
      </c>
      <c r="C17" s="45"/>
      <c r="D17" s="45"/>
      <c r="E17" s="9">
        <v>5</v>
      </c>
      <c r="F17" s="36">
        <v>3.5</v>
      </c>
      <c r="G17" s="30">
        <f t="shared" si="0"/>
        <v>0.7</v>
      </c>
      <c r="H17" s="31" t="str">
        <f t="shared" si="1"/>
        <v>جيد</v>
      </c>
      <c r="I17" s="48"/>
      <c r="J17" s="49"/>
    </row>
    <row r="18" spans="1:10" ht="39.950000000000003" customHeight="1" thickBot="1" x14ac:dyDescent="0.25">
      <c r="A18" s="10"/>
      <c r="B18" s="44" t="s">
        <v>190</v>
      </c>
      <c r="C18" s="45"/>
      <c r="D18" s="45"/>
      <c r="E18" s="9">
        <v>5</v>
      </c>
      <c r="F18" s="36">
        <v>4</v>
      </c>
      <c r="G18" s="30">
        <f t="shared" si="0"/>
        <v>0.8</v>
      </c>
      <c r="H18" s="31" t="str">
        <f t="shared" si="1"/>
        <v>جيد جداً</v>
      </c>
      <c r="I18" s="48"/>
      <c r="J18" s="49"/>
    </row>
    <row r="19" spans="1:10" ht="39.950000000000003" customHeight="1" thickBot="1" x14ac:dyDescent="0.25">
      <c r="A19" s="10"/>
      <c r="B19" s="44" t="s">
        <v>191</v>
      </c>
      <c r="C19" s="45"/>
      <c r="D19" s="45"/>
      <c r="E19" s="9">
        <v>5</v>
      </c>
      <c r="F19" s="36">
        <v>4</v>
      </c>
      <c r="G19" s="30">
        <f t="shared" si="0"/>
        <v>0.8</v>
      </c>
      <c r="H19" s="31" t="str">
        <f t="shared" si="1"/>
        <v>جيد جداً</v>
      </c>
      <c r="I19" s="48"/>
      <c r="J19" s="49"/>
    </row>
    <row r="20" spans="1:10" ht="39.950000000000003" customHeight="1" thickBot="1" x14ac:dyDescent="0.25">
      <c r="A20" s="10"/>
      <c r="B20" s="44" t="s">
        <v>192</v>
      </c>
      <c r="C20" s="45"/>
      <c r="D20" s="45"/>
      <c r="E20" s="9">
        <v>5</v>
      </c>
      <c r="F20" s="36">
        <v>4</v>
      </c>
      <c r="G20" s="30">
        <f t="shared" si="0"/>
        <v>0.8</v>
      </c>
      <c r="H20" s="31" t="str">
        <f t="shared" si="1"/>
        <v>جيد جداً</v>
      </c>
      <c r="I20" s="48"/>
      <c r="J20" s="49"/>
    </row>
    <row r="21" spans="1:10" ht="39.950000000000003" customHeight="1" thickBot="1" x14ac:dyDescent="0.25">
      <c r="A21" s="10"/>
      <c r="B21" s="40" t="s">
        <v>193</v>
      </c>
      <c r="C21" s="41"/>
      <c r="D21" s="41"/>
      <c r="E21" s="9">
        <v>5</v>
      </c>
      <c r="F21" s="36">
        <v>4</v>
      </c>
      <c r="G21" s="30">
        <f t="shared" si="0"/>
        <v>0.8</v>
      </c>
      <c r="H21" s="31" t="str">
        <f t="shared" si="1"/>
        <v>جيد جداً</v>
      </c>
      <c r="I21" s="48"/>
      <c r="J21" s="49"/>
    </row>
    <row r="22" spans="1:10" ht="39.950000000000003" customHeight="1" x14ac:dyDescent="0.2">
      <c r="A22" s="10"/>
      <c r="B22" s="40" t="s">
        <v>194</v>
      </c>
      <c r="C22" s="41"/>
      <c r="D22" s="41"/>
      <c r="E22" s="9">
        <v>5</v>
      </c>
      <c r="F22" s="36">
        <v>4</v>
      </c>
      <c r="G22" s="30">
        <f t="shared" si="0"/>
        <v>0.8</v>
      </c>
      <c r="H22" s="31" t="str">
        <f t="shared" si="1"/>
        <v>جيد جداً</v>
      </c>
      <c r="I22" s="48"/>
      <c r="J22" s="49"/>
    </row>
    <row r="23" spans="1:10" ht="39.950000000000003" customHeight="1" x14ac:dyDescent="0.2">
      <c r="A23" s="10"/>
      <c r="B23" s="40" t="s">
        <v>195</v>
      </c>
      <c r="C23" s="41"/>
      <c r="D23" s="41"/>
      <c r="E23" s="9">
        <v>5</v>
      </c>
      <c r="F23" s="26">
        <v>3.5</v>
      </c>
      <c r="G23" s="30">
        <f t="shared" si="0"/>
        <v>0.7</v>
      </c>
      <c r="H23" s="31" t="str">
        <f t="shared" si="1"/>
        <v>جيد</v>
      </c>
      <c r="I23" s="48"/>
      <c r="J23" s="49"/>
    </row>
    <row r="24" spans="1:10" ht="39.950000000000003" customHeight="1" x14ac:dyDescent="0.2">
      <c r="A24" s="10"/>
      <c r="B24" s="40" t="s">
        <v>196</v>
      </c>
      <c r="C24" s="41"/>
      <c r="D24" s="41"/>
      <c r="E24" s="9">
        <v>5</v>
      </c>
      <c r="F24" s="27">
        <v>3.5</v>
      </c>
      <c r="G24" s="30">
        <f t="shared" si="0"/>
        <v>0.7</v>
      </c>
      <c r="H24" s="31" t="str">
        <f t="shared" si="1"/>
        <v>جيد</v>
      </c>
      <c r="I24" s="48"/>
      <c r="J24" s="49"/>
    </row>
    <row r="25" spans="1:10" ht="39.950000000000003" customHeight="1" x14ac:dyDescent="0.2">
      <c r="A25" s="10"/>
      <c r="B25" s="40" t="s">
        <v>197</v>
      </c>
      <c r="C25" s="41"/>
      <c r="D25" s="41"/>
      <c r="E25" s="9">
        <v>5</v>
      </c>
      <c r="F25" s="27">
        <v>3.5</v>
      </c>
      <c r="G25" s="30">
        <f t="shared" si="0"/>
        <v>0.7</v>
      </c>
      <c r="H25" s="31" t="str">
        <f t="shared" si="1"/>
        <v>جيد</v>
      </c>
      <c r="I25" s="48"/>
      <c r="J25" s="49"/>
    </row>
    <row r="26" spans="1:10" ht="39.950000000000003" customHeight="1" x14ac:dyDescent="0.2">
      <c r="A26" s="10"/>
      <c r="B26" s="40" t="s">
        <v>198</v>
      </c>
      <c r="C26" s="41"/>
      <c r="D26" s="41"/>
      <c r="E26" s="9">
        <v>5</v>
      </c>
      <c r="F26" s="27">
        <v>3.5</v>
      </c>
      <c r="G26" s="30">
        <f t="shared" si="0"/>
        <v>0.7</v>
      </c>
      <c r="H26" s="31" t="str">
        <f t="shared" si="1"/>
        <v>جيد</v>
      </c>
      <c r="I26" s="48"/>
      <c r="J26" s="49"/>
    </row>
    <row r="27" spans="1:10" ht="39.950000000000003" customHeight="1" x14ac:dyDescent="0.2">
      <c r="A27" s="10"/>
      <c r="B27" s="40" t="s">
        <v>199</v>
      </c>
      <c r="C27" s="41"/>
      <c r="D27" s="41"/>
      <c r="E27" s="9">
        <v>5</v>
      </c>
      <c r="F27" s="27">
        <v>3.5</v>
      </c>
      <c r="G27" s="30">
        <f t="shared" si="0"/>
        <v>0.7</v>
      </c>
      <c r="H27" s="31" t="str">
        <f t="shared" si="1"/>
        <v>جيد</v>
      </c>
      <c r="I27" s="48"/>
      <c r="J27" s="49"/>
    </row>
    <row r="28" spans="1:10" ht="39.950000000000003" customHeight="1" x14ac:dyDescent="0.2">
      <c r="A28" s="10"/>
      <c r="B28" s="40" t="s">
        <v>200</v>
      </c>
      <c r="C28" s="41"/>
      <c r="D28" s="41"/>
      <c r="E28" s="9">
        <v>5</v>
      </c>
      <c r="F28" s="27">
        <v>3.5</v>
      </c>
      <c r="G28" s="30">
        <f t="shared" si="0"/>
        <v>0.7</v>
      </c>
      <c r="H28" s="31" t="str">
        <f t="shared" si="1"/>
        <v>جيد</v>
      </c>
      <c r="I28" s="48"/>
      <c r="J28" s="49"/>
    </row>
    <row r="29" spans="1:10" ht="39.950000000000003" customHeight="1" x14ac:dyDescent="0.2">
      <c r="A29" s="10"/>
      <c r="B29" s="40" t="s">
        <v>201</v>
      </c>
      <c r="C29" s="41"/>
      <c r="D29" s="41"/>
      <c r="E29" s="9">
        <v>5</v>
      </c>
      <c r="F29" s="27">
        <v>3.5</v>
      </c>
      <c r="G29" s="30">
        <f t="shared" si="0"/>
        <v>0.7</v>
      </c>
      <c r="H29" s="31" t="str">
        <f t="shared" si="1"/>
        <v>جيد</v>
      </c>
      <c r="I29" s="48"/>
      <c r="J29" s="49"/>
    </row>
    <row r="30" spans="1:10" ht="39.950000000000003" customHeight="1" x14ac:dyDescent="0.2">
      <c r="A30" s="10"/>
      <c r="B30" s="40" t="s">
        <v>202</v>
      </c>
      <c r="C30" s="41"/>
      <c r="D30" s="41"/>
      <c r="E30" s="9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48"/>
      <c r="J30" s="49"/>
    </row>
    <row r="31" spans="1:10" ht="39.950000000000003" customHeight="1" x14ac:dyDescent="0.2">
      <c r="A31" s="10"/>
      <c r="B31" s="40" t="s">
        <v>203</v>
      </c>
      <c r="C31" s="41"/>
      <c r="D31" s="41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8"/>
      <c r="J31" s="49"/>
    </row>
    <row r="32" spans="1:10" ht="39.950000000000003" customHeight="1" x14ac:dyDescent="0.2">
      <c r="A32" s="10"/>
      <c r="B32" s="40" t="s">
        <v>204</v>
      </c>
      <c r="C32" s="41"/>
      <c r="D32" s="41"/>
      <c r="E32" s="9">
        <v>5</v>
      </c>
      <c r="F32" s="27">
        <v>3.75</v>
      </c>
      <c r="G32" s="30">
        <f t="shared" si="0"/>
        <v>0.75</v>
      </c>
      <c r="H32" s="31" t="str">
        <f t="shared" si="1"/>
        <v>جيد</v>
      </c>
      <c r="I32" s="48"/>
      <c r="J32" s="49"/>
    </row>
    <row r="33" spans="1:10" ht="39.950000000000003" customHeight="1" thickBot="1" x14ac:dyDescent="0.25">
      <c r="A33" s="10"/>
      <c r="B33" s="42" t="s">
        <v>205</v>
      </c>
      <c r="C33" s="43"/>
      <c r="D33" s="43"/>
      <c r="E33" s="37">
        <v>5</v>
      </c>
      <c r="F33" s="27">
        <v>3.75</v>
      </c>
      <c r="G33" s="38">
        <f t="shared" si="0"/>
        <v>0.75</v>
      </c>
      <c r="H33" s="39" t="str">
        <f t="shared" si="1"/>
        <v>جيد</v>
      </c>
      <c r="I33" s="78"/>
      <c r="J33" s="79"/>
    </row>
    <row r="34" spans="1:10" ht="30" customHeight="1" thickBot="1" x14ac:dyDescent="0.25">
      <c r="A34" s="4"/>
      <c r="B34" s="82" t="s">
        <v>5</v>
      </c>
      <c r="C34" s="83"/>
      <c r="D34" s="83"/>
      <c r="E34" s="29">
        <f>SUM(E8:E33)</f>
        <v>130</v>
      </c>
      <c r="F34" s="29">
        <f>SUM(F8:F33)</f>
        <v>95.75</v>
      </c>
      <c r="G34" s="52"/>
      <c r="H34" s="53"/>
      <c r="I34" s="53"/>
      <c r="J34" s="54"/>
    </row>
    <row r="35" spans="1:10" ht="30" customHeight="1" thickBot="1" x14ac:dyDescent="0.25">
      <c r="A35" s="4"/>
      <c r="B35" s="84" t="s">
        <v>54</v>
      </c>
      <c r="C35" s="85"/>
      <c r="D35" s="85"/>
      <c r="E35" s="62">
        <f>F34/E34/100*100</f>
        <v>0.73653846153846159</v>
      </c>
      <c r="F35" s="62"/>
      <c r="G35" s="62"/>
      <c r="H35" s="62"/>
      <c r="I35" s="62"/>
      <c r="J35" s="63"/>
    </row>
    <row r="36" spans="1:10" ht="30" customHeight="1" thickBot="1" x14ac:dyDescent="0.25">
      <c r="A36" s="4"/>
      <c r="B36" s="84" t="s">
        <v>55</v>
      </c>
      <c r="C36" s="85"/>
      <c r="D36" s="85"/>
      <c r="E36" s="76" t="str">
        <f>_xlfn.IFS(E35&gt;=90%,"ممتاز",E35&gt;=80%,"جيد جداً",E35&gt;=70%,"جيد",E35&gt;=60%,"مقبول",E35&lt;60%,"راسب")</f>
        <v>جيد</v>
      </c>
      <c r="F36" s="76"/>
      <c r="G36" s="76"/>
      <c r="H36" s="76"/>
      <c r="I36" s="76"/>
      <c r="J36" s="77"/>
    </row>
    <row r="37" spans="1:10" ht="42" customHeight="1" x14ac:dyDescent="0.2">
      <c r="B37" s="72" t="s">
        <v>174</v>
      </c>
      <c r="C37" s="72"/>
      <c r="D37" s="72"/>
      <c r="E37" s="50" t="s">
        <v>52</v>
      </c>
      <c r="F37" s="50"/>
      <c r="G37" s="74" t="s">
        <v>130</v>
      </c>
      <c r="H37" s="74"/>
      <c r="I37" s="74"/>
      <c r="J37" s="74"/>
    </row>
    <row r="38" spans="1:10" ht="51" customHeight="1" x14ac:dyDescent="0.2">
      <c r="A38" s="5"/>
      <c r="B38" s="73"/>
      <c r="C38" s="73"/>
      <c r="D38" s="73"/>
      <c r="E38" s="51" t="s">
        <v>53</v>
      </c>
      <c r="F38" s="51"/>
      <c r="G38" s="75"/>
      <c r="H38" s="75"/>
      <c r="I38" s="75"/>
      <c r="J38" s="7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37:D38"/>
    <mergeCell ref="G37:J37"/>
    <mergeCell ref="G38:J38"/>
    <mergeCell ref="E36:J36"/>
    <mergeCell ref="I32:J32"/>
    <mergeCell ref="I33:J33"/>
    <mergeCell ref="B34:D34"/>
    <mergeCell ref="B35:D35"/>
    <mergeCell ref="B36:D36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1:J1"/>
    <mergeCell ref="F2:J2"/>
    <mergeCell ref="B5:D6"/>
    <mergeCell ref="C2:D2"/>
    <mergeCell ref="C3:D3"/>
    <mergeCell ref="F3:J3"/>
    <mergeCell ref="I9:J9"/>
    <mergeCell ref="E37:F37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B25:D25"/>
    <mergeCell ref="B27:D27"/>
    <mergeCell ref="B26:D26"/>
    <mergeCell ref="B17:D17"/>
    <mergeCell ref="B8:D8"/>
    <mergeCell ref="B33:D33"/>
    <mergeCell ref="B9:D9"/>
    <mergeCell ref="B10:D10"/>
    <mergeCell ref="B11:D11"/>
    <mergeCell ref="B12:D12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8:D28"/>
    <mergeCell ref="B29:D29"/>
    <mergeCell ref="B30:D30"/>
    <mergeCell ref="B31:D31"/>
    <mergeCell ref="B32:D3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60">
      <formula>$E36="جيد جداً"</formula>
    </cfRule>
    <cfRule type="expression" dxfId="12" priority="59">
      <formula>$E36="جيد"</formula>
    </cfRule>
    <cfRule type="expression" dxfId="11" priority="58">
      <formula>$E36="مقبول"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2025-10-22T06:06:29Z</dcterms:modified>
</cp:coreProperties>
</file>