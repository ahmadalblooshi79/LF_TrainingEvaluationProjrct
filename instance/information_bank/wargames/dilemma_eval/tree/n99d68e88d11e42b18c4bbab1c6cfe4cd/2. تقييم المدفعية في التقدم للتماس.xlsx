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C75C671D-5B97-7241-8214-A8CD054AC15A}"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التقييم'!$A$1:$J$33</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1" i="2"/>
  <c r="H11" i="2"/>
  <c r="G12" i="2"/>
  <c r="H12" i="2"/>
  <c r="G13" i="2"/>
  <c r="H13" i="2"/>
  <c r="G14" i="2"/>
  <c r="H14" i="2"/>
  <c r="G15" i="2"/>
  <c r="H15" i="2"/>
  <c r="G16" i="2"/>
  <c r="H16" i="2"/>
  <c r="G17" i="2"/>
  <c r="H17" i="2"/>
  <c r="G18" i="2"/>
  <c r="H18" i="2"/>
  <c r="G19" i="2"/>
  <c r="H19" i="2"/>
  <c r="G20" i="2"/>
  <c r="H20" i="2"/>
  <c r="G22" i="2"/>
  <c r="H22" i="2"/>
  <c r="G23" i="2"/>
  <c r="H23" i="2"/>
  <c r="G24" i="2"/>
  <c r="H24" i="2"/>
  <c r="G25" i="2"/>
  <c r="H25" i="2"/>
  <c r="G26" i="2"/>
  <c r="H26" i="2"/>
  <c r="G27" i="2"/>
  <c r="H27" i="2"/>
  <c r="G28" i="2"/>
  <c r="H28" i="2"/>
  <c r="F29" i="2"/>
  <c r="E29" i="2"/>
  <c r="E30" i="2"/>
  <c r="E31" i="2"/>
</calcChain>
</file>

<file path=xl/sharedStrings.xml><?xml version="1.0" encoding="utf-8"?>
<sst xmlns="http://schemas.openxmlformats.org/spreadsheetml/2006/main" count="254" uniqueCount="198">
  <si>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</si>
  <si>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</si>
  <si>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</si>
  <si>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</si>
  <si>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</si>
  <si>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</si>
  <si>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</si>
  <si>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</si>
  <si>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</si>
  <si>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</si>
  <si>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</si>
  <si>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</si>
  <si>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</si>
  <si>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</si>
  <si>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</si>
  <si>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</si>
  <si>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</si>
  <si>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</si>
  <si>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</si>
  <si>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</si>
  <si>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</si>
  <si>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</si>
  <si>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</si>
  <si>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</si>
  <si>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</si>
  <si>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</si>
  <si>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</si>
  <si>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</si>
  <si>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</si>
  <si>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</si>
  <si>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</si>
  <si>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</si>
  <si>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</si>
  <si>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</si>
  <si>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</si>
  <si>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</si>
  <si>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</si>
  <si>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</si>
  <si>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</si>
  <si>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</si>
  <si>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</si>
  <si>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</si>
  <si>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</si>
  <si>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</si>
  <si>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</si>
  <si>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</si>
  <si>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</si>
  <si>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</si>
  <si>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</si>
  <si>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</si>
  <si>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</si>
  <si>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</si>
  <si>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</si>
  <si>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</si>
  <si>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</si>
  <si>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</si>
  <si>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</si>
  <si>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</si>
  <si>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</si>
  <si>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</si>
  <si>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</si>
  <si>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</si>
  <si>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</si>
  <si>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</si>
  <si>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</si>
  <si>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</si>
  <si>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</si>
  <si>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</si>
  <si>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</si>
  <si>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</si>
  <si>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</si>
  <si>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</si>
  <si>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</si>
  <si>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</si>
  <si>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</si>
  <si>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</si>
  <si>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</si>
  <si>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</si>
  <si>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</si>
  <si>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</si>
  <si>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</si>
  <si>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</si>
  <si>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</si>
  <si>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</si>
  <si>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</si>
  <si>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</si>
  <si>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</si>
  <si>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</si>
  <si>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</si>
  <si>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</si>
  <si>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</si>
  <si>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</si>
  <si>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</si>
  <si>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</si>
  <si>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</si>
  <si>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</si>
  <si>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</si>
  <si>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</si>
  <si>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</si>
  <si>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</si>
  <si>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</si>
  <si>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</si>
  <si>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</si>
  <si>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</si>
  <si>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</si>
  <si>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</si>
  <si>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</si>
  <si>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</si>
  <si>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</si>
  <si>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</si>
  <si>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</si>
  <si>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</si>
  <si>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</si>
  <si>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</si>
  <si>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</si>
  <si>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</si>
  <si>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</si>
  <si>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</si>
  <si>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</si>
  <si>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</si>
  <si>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</si>
  <si>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</si>
  <si>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</si>
  <si>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</si>
  <si>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</si>
  <si>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</si>
  <si>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</si>
  <si>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</si>
  <si>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</si>
  <si>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</si>
  <si>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</si>
  <si>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</si>
  <si>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</si>
  <si>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</si>
  <si>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</si>
  <si>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</si>
  <si>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</si>
  <si>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</si>
  <si>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</si>
  <si>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</si>
  <si>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</si>
  <si>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</si>
  <si>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</si>
  <si>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</si>
  <si>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</si>
  <si>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</si>
  <si>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</si>
  <si>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</si>
  <si>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</si>
  <si>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</si>
  <si>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</si>
  <si>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</si>
  <si>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</si>
  <si>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</si>
  <si>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</si>
  <si>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</si>
  <si>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</si>
  <si>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</si>
  <si>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</si>
  <si>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</si>
  <si>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</si>
  <si>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</si>
  <si>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</si>
  <si>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</si>
  <si>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</si>
  <si>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</si>
  <si>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</si>
  <si>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</si>
  <si>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</si>
  <si>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</si>
  <si>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</si>
  <si>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</si>
  <si>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</si>
  <si>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</si>
  <si>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</si>
  <si>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1.</t>
    </r>
    <r>
      <rPr>
        <sz val="7"/>
        <color rgb="FF000000"/>
        <rFont val="Times New Roman"/>
        <family val="1"/>
      </rPr>
      <t xml:space="preserve">        </t>
    </r>
    <r>
      <rPr>
        <sz val="12"/>
        <color rgb="FF000000"/>
        <rFont val="Arial"/>
        <family val="2"/>
      </rPr>
      <t>اعتبارات قائد كتيبة المدفعية عند التقدّم للتماس هي:</t>
    </r>
  </si>
  <si>
    <t>أ. تحديد أولوية النيران للجهد الرئيسي وتخطيط أولوية الأهداف.</t>
  </si>
  <si>
    <t xml:space="preserve">ب. تخطيط النيران على النقاط الهامة على طول طريق التقدم. </t>
  </si>
  <si>
    <t>جـ. تخطيط النيران لإسناد زخم وحدة المناورة.</t>
  </si>
  <si>
    <t>د. توضيع الأجهزة الليزرية مع فرق القتال/ السرايا الأمامية.</t>
  </si>
  <si>
    <t>هـ. التأكّد من الاتصالات الخاصة بطلب الرماية السريعة الممررة من قبل فرق القتال/ السرايا الأمامية والجهد الرئيسي.</t>
  </si>
  <si>
    <t>و. التأكد من أن خلايا تنسيق الإسناد الناري في الوحدات الخلفية والمجاورة تقوم بالتنسيق مع بعضها البعض، وتمرر المعلومات باستمرار.</t>
  </si>
  <si>
    <t>ز. توضيع ضباط الرصد الأماميين أو المسيطرين الجويين الأماميين مع فرق القتال/ السرايا الأمامية.</t>
  </si>
  <si>
    <t>ح. التخطيط لهجمات سريعة وخاصة في الحالات الطارئة.</t>
  </si>
  <si>
    <t>ط. العمل على إخماد/ إسكات الدفاع الجوي المعادي والقصف المعاكس المعادي.</t>
  </si>
  <si>
    <t>ي. العمل على توضيع خطوط تنسيق النيران، أمام القوّات الصديقة بشكل كافٍ، والتخطيط لخطوط تنسيق النيران بالأمر" حتى يكون بالإمكان رفع النيران ونقلها بسرعة.</t>
  </si>
  <si>
    <t>ك. توقع حركة متكررة لكتيبة المدفعية ورماية سريعة.</t>
  </si>
  <si>
    <t>ل. إبقاء الذخيرة محمّلة.</t>
  </si>
  <si>
    <r>
      <t>2.</t>
    </r>
    <r>
      <rPr>
        <sz val="7"/>
        <color rgb="FF000000"/>
        <rFont val="Times New Roman"/>
        <family val="1"/>
      </rPr>
      <t xml:space="preserve">        </t>
    </r>
    <r>
      <rPr>
        <sz val="12"/>
        <color rgb="FF000000"/>
        <rFont val="Arial"/>
        <family val="2"/>
      </rPr>
      <t>أدوار كتيبة المدفعية في التقدم للتماس كما يلي:</t>
    </r>
  </si>
  <si>
    <t>أ. توفير نيران فورية للعناصر الأمامية أو العناصر المشتبكة مع العدو.</t>
  </si>
  <si>
    <t>ب. ادامة ارتباط وثيق مع مجموعة اللواء من خلال ضباط الرصد الاماميين المتحركين مع الكتيبة.</t>
  </si>
  <si>
    <t>جـ. خطة نار ساترة للهجمات السريعة على أن تكون سهلة.</t>
  </si>
  <si>
    <t>د. مهاجمة أهداف في العمق بنيران مجمعة لمنع التعزيزات لقوات العدو، حيث إن موقف العدو يكون غامضاً في العادة، وإن تحديد مناطق حيوية صديقة للعناصر الأمامية قد يكون أكثر فائدة من تحديد مناطق حظر رماية.</t>
  </si>
  <si>
    <r>
      <t>3.</t>
    </r>
    <r>
      <rPr>
        <sz val="7"/>
        <color rgb="FF000000"/>
        <rFont val="Times New Roman"/>
        <family val="1"/>
      </rPr>
      <t xml:space="preserve">        </t>
    </r>
    <r>
      <rPr>
        <sz val="12"/>
        <color rgb="FF000000"/>
        <rFont val="Arial"/>
        <family val="2"/>
      </rPr>
      <t>انتخاب مواقع المدافع المحتملة وعلى طول محور التقدم من قبل قائد كتيبة المدفعية من الخارطة والصور الجوية وإعطائها أسماء رمزية لتسهيل عملية احتلالها، ويفضل أن يكون انفتاح كتيبة المدفعية أقرب ما يمكن لهذه المناطق.</t>
    </r>
  </si>
  <si>
    <r>
      <t>4.</t>
    </r>
    <r>
      <rPr>
        <sz val="7"/>
        <color rgb="FF000000"/>
        <rFont val="Times New Roman"/>
        <family val="1"/>
      </rPr>
      <t xml:space="preserve">        </t>
    </r>
    <r>
      <rPr>
        <sz val="12"/>
        <color rgb="FF000000"/>
        <rFont val="Arial"/>
        <family val="2"/>
      </rPr>
      <t>يتم تأكيد صلاحية هذه المواقع من قبل ضباط الرصد الأماميين وضباط الرصد الجويين أثناء مرورهم منها أو تحليقهم فوقها.</t>
    </r>
  </si>
  <si>
    <r>
      <t>5.</t>
    </r>
    <r>
      <rPr>
        <sz val="7"/>
        <color rgb="FF000000"/>
        <rFont val="Times New Roman"/>
        <family val="1"/>
      </rPr>
      <t xml:space="preserve">        </t>
    </r>
    <r>
      <rPr>
        <sz val="12"/>
        <color rgb="FF000000"/>
        <rFont val="Arial"/>
        <family val="2"/>
      </rPr>
      <t>تخصيص ضابط رصد مع مقدمة الحرس لتقديم الإسناد المدفعي في الوقت المناسب.</t>
    </r>
  </si>
  <si>
    <r>
      <t>ملاحظـــات:</t>
    </r>
    <r>
      <rPr>
        <sz val="12"/>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</si>
  <si>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r>
      <rPr>
        <b/>
        <sz val="14"/>
        <color rgb="FF000000"/>
        <rFont val="Arial"/>
        <family val="2"/>
      </rPr>
      <t xml:space="preserve">تقييم كتيبة المدفعية في التقدم للتماس </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</si>
</sst>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4"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7"/>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0">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8" fillId="0" borderId="3" xfId="0" applyFont="1" applyBorder="1" applyAlignment="1">
      <alignment horizontal="center" vertical="center"/>
    </xf>
    <xf numFmtId="0" fontId="9" fillId="0" borderId="3" xfId="0" applyFont="1" applyBorder="1" applyAlignment="1">
      <alignment horizontal="center" vertical="center"/>
    </xf>
    <xf numFmtId="0" fontId="9" fillId="0" borderId="14" xfId="0" applyFont="1" applyBorder="1" applyAlignment="1">
      <alignment horizontal="center" vertical="center"/>
    </xf>
    <xf numFmtId="0" fontId="10"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1"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2"/>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12" fillId="0" borderId="8" xfId="0" applyFont="1" applyBorder="1" applyAlignment="1">
      <alignment horizontal="right" vertical="center" wrapText="1" readingOrder="2"/>
    </xf>
    <xf numFmtId="0" fontId="12" fillId="0" borderId="9" xfId="0" applyFont="1" applyBorder="1" applyAlignment="1">
      <alignment horizontal="right" vertical="center" wrapText="1" readingOrder="2"/>
    </xf>
    <xf numFmtId="0" fontId="12" fillId="0" borderId="23" xfId="0" applyFont="1" applyBorder="1" applyAlignment="1">
      <alignment horizontal="right" vertical="center" wrapText="1" indent="2" readingOrder="2"/>
    </xf>
    <xf numFmtId="0" fontId="12" fillId="0" borderId="3" xfId="0" applyFont="1" applyBorder="1" applyAlignment="1">
      <alignment horizontal="right" vertical="center" wrapText="1" indent="2" readingOrder="2"/>
    </xf>
    <xf numFmtId="0" fontId="12" fillId="0" borderId="11" xfId="0" applyFont="1" applyBorder="1" applyAlignment="1">
      <alignment horizontal="right" vertical="center" wrapText="1" indent="2" readingOrder="2"/>
    </xf>
    <xf numFmtId="0" fontId="12" fillId="0" borderId="12" xfId="0" applyFont="1" applyBorder="1" applyAlignment="1">
      <alignment horizontal="right" vertical="center" wrapText="1" indent="2" readingOrder="2"/>
    </xf>
    <xf numFmtId="0" fontId="12" fillId="0" borderId="5" xfId="0" applyFont="1" applyBorder="1" applyAlignment="1">
      <alignment horizontal="right" vertical="center" wrapText="1" readingOrder="2"/>
    </xf>
    <xf numFmtId="0" fontId="12" fillId="0" borderId="4" xfId="0" applyFont="1" applyBorder="1" applyAlignment="1">
      <alignment horizontal="right" vertical="center" wrapText="1" readingOrder="2"/>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154905</xdr:colOff>
      <xdr:row>32</xdr:row>
      <xdr:rowOff>161948</xdr:rowOff>
    </xdr:from>
    <xdr:to>
      <xdr:col>9</xdr:col>
      <xdr:colOff>586154</xdr:colOff>
      <xdr:row>32</xdr:row>
      <xdr:rowOff>590348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BBFE8B57-6607-3A67-FD23-4A24FE64225C}"/>
                </a:ext>
              </a:extLst>
            </xdr14:cNvPr>
            <xdr14:cNvContentPartPr/>
          </xdr14:nvContentPartPr>
          <xdr14:nvPr macro=""/>
          <xdr14:xfrm>
            <a:off x="10398000665" y="16187040"/>
            <a:ext cx="2405520" cy="428400"/>
          </xdr14:xfrm>
        </xdr:contentPart>
      </mc:Choice>
      <mc:Fallback xmlns="">
        <xdr:pic>
          <xdr:nvPicPr>
            <xdr:cNvPr id="2" name="Ink 1">
              <a:extLst>
                <a:ext uri="{FF2B5EF4-FFF2-40B4-BE49-F238E27FC236}">
                  <a16:creationId xmlns:a16="http://schemas.microsoft.com/office/drawing/2014/main" id="{BBFE8B57-6607-3A67-FD23-4A24FE64225C}"/>
                </a:ext>
              </a:extLst>
            </xdr:cNvPr>
            <xdr:cNvPicPr/>
          </xdr:nvPicPr>
          <xdr:blipFill>
            <a:blip xmlns:r="http://schemas.openxmlformats.org/officeDocument/2006/relationships" r:embed="rId2"/>
            <a:stretch>
              <a:fillRect/>
            </a:stretch>
          </xdr:blipFill>
          <xdr:spPr>
            <a:xfrm>
              <a:off x="10397992025" y="16178040"/>
              <a:ext cx="2423160" cy="4460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2T18:05:11.246"/>
    </inkml:context>
    <inkml:brush xml:id="br0">
      <inkml:brushProperty name="width" value="0.05" units="cm"/>
      <inkml:brushProperty name="height" value="0.05" units="cm"/>
    </inkml:brush>
  </inkml:definitions>
  <inkml:trace contextRef="#ctx0" brushRef="#br0">6359 564,'0'0,"0"0,0 0,0 0,0 0,0 0,0 0,0 0,0 0,0 0,0 0,0 0,-16 0,-16 0,29 0,-42 0,-36 0,76 0,-118-16,-53 16,166 0,-205 0,-58 0,250 0,-242 16,-40 0,281-15,-273 14,-39 17,303-29,-303 26,-33 35,332-58,-311 36,-4 22,316-57,-265 34,-36 23,303-57,-237 35,-17 6,258-43,-229 38,3-11,227-29,-167 26,20-13,156-14,-73 12,-3-14,85 0,-42 0,-11 0,57 0,-18 0,-7 0,28 0,-8 0,11 0,-14 0,7 0,32 0,-8 0,-14 0,44 0,82 0,-112 0,112 0,81-16,-182 14,170-28,44-2,-206 27,203-38,50 11,-246 27,285-55,26-20,-302 69,251-58,34 5,-285 54,235-44,35-10,-275 54,212-44,31-11,-246 56,267-46,11-9,-274 55,194-30,48-9,-246 41,138-34,44 9,-192 27,110-6,-14-5,-111 13,108-26,-14 29,-95 0,30 0,1 16,-40-14,16-4,-8 2,-13 0,-22 0,-77-16,83 13,-134-10,-94-3,210 13,-194 6,-32 13,219-14,-148-4,-23 18,178-14,-467 28,-15 50,437-68,-217 24,-92 44,329-68,-257 56,-39 12,301-68,-219 41,-51 27,274-68,-178 40,-16 12,203-54,-84 28,9-6,96-27,-62 22,31-11,41-13,-18-6,41 3,-13 0,10 0,-12 0,78-16,98-16,-154 28,146-24,104-20,-232 41,222-50,74-7,-285 54,217-60,52-11,-271 69,204-56,35-12,-247 68,205-56,-7 4,-204 54,153-28,-29 6,-137 27,98-22,-40 10,-70 15,42 4,-21-2,-28 0,24 0,-12 0,-14 0,12 0,-30 0,14 0,-44-16,-99 16,124 0,-150 0,-70 0,207 0,-204 0,-67 16,260-13,-231 11,52 2,191-14,-79 12,0-14,96 0,-48 0,16-16,41 13,-2 6,9-19,0 13,-16-11,0-2,14 14,20-12,-2 14,-14 0,12-16,18 0,-27 14,38 4,5-2,-40 0,32 16,24 0,-54-13,61 26,25 20,-82-42,84 66,15 7,-97-68,64 56,16 28,-82-82,52 53,-18-3,-40-54,16 28,8 10,-27-41,22 34,5-9,-26-27,21 38,-27-43</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3"/>
  <sheetViews>
    <sheetView rightToLeft="1" tabSelected="1" view="pageBreakPreview" topLeftCell="A18" zoomScale="130" zoomScaleNormal="100" zoomScaleSheetLayoutView="130" workbookViewId="0">
      <selection activeCell="F28" sqref="F28"/>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68" t="s">
        <v>197</v>
      </c>
      <c r="C1" s="68"/>
      <c r="D1" s="68"/>
      <c r="E1" s="68"/>
      <c r="F1" s="68"/>
      <c r="G1" s="68"/>
      <c r="H1" s="68"/>
      <c r="I1" s="68"/>
      <c r="J1" s="68"/>
    </row>
    <row r="2" spans="1:10" ht="30" customHeight="1" x14ac:dyDescent="0.2">
      <c r="B2" s="13" t="s">
        <v>8</v>
      </c>
      <c r="C2" s="74" t="s">
        <v>48</v>
      </c>
      <c r="D2" s="74"/>
      <c r="E2" s="13" t="s">
        <v>7</v>
      </c>
      <c r="F2" s="69">
        <v>45923</v>
      </c>
      <c r="G2" s="69"/>
      <c r="H2" s="69"/>
      <c r="I2" s="69"/>
      <c r="J2" s="69"/>
    </row>
    <row r="3" spans="1:10" ht="30" customHeight="1" x14ac:dyDescent="0.2">
      <c r="B3" s="13" t="s">
        <v>9</v>
      </c>
      <c r="C3" s="74" t="s">
        <v>68</v>
      </c>
      <c r="D3" s="74"/>
      <c r="E3" s="13" t="s">
        <v>6</v>
      </c>
      <c r="F3" s="74" t="s">
        <v>97</v>
      </c>
      <c r="G3" s="74"/>
      <c r="H3" s="74"/>
      <c r="I3" s="74"/>
      <c r="J3" s="74"/>
    </row>
    <row r="4" spans="1:10" ht="30" customHeight="1" thickBot="1" x14ac:dyDescent="0.25">
      <c r="B4" s="6"/>
      <c r="C4" s="7"/>
      <c r="D4" s="7"/>
      <c r="E4" s="6"/>
      <c r="F4" s="7"/>
      <c r="G4" s="7"/>
      <c r="H4" s="8"/>
      <c r="I4" s="7"/>
      <c r="J4" s="7"/>
    </row>
    <row r="5" spans="1:10" ht="24.95" customHeight="1" x14ac:dyDescent="0.2">
      <c r="A5" s="11"/>
      <c r="B5" s="70" t="s">
        <v>0</v>
      </c>
      <c r="C5" s="71"/>
      <c r="D5" s="71"/>
      <c r="E5" s="79" t="s">
        <v>1</v>
      </c>
      <c r="F5" s="79"/>
      <c r="G5" s="79"/>
      <c r="H5" s="79"/>
      <c r="I5" s="79" t="s">
        <v>2</v>
      </c>
      <c r="J5" s="80"/>
    </row>
    <row r="6" spans="1:10" ht="24.95" customHeight="1" thickBot="1" x14ac:dyDescent="0.25">
      <c r="A6" s="11"/>
      <c r="B6" s="72"/>
      <c r="C6" s="73"/>
      <c r="D6" s="73"/>
      <c r="E6" s="12" t="s">
        <v>3</v>
      </c>
      <c r="F6" s="12" t="s">
        <v>4</v>
      </c>
      <c r="G6" s="12" t="s">
        <v>23</v>
      </c>
      <c r="H6" s="12" t="s">
        <v>24</v>
      </c>
      <c r="I6" s="81"/>
      <c r="J6" s="82"/>
    </row>
    <row r="7" spans="1:10" ht="24.95" customHeight="1" thickBot="1" x14ac:dyDescent="0.25">
      <c r="A7" s="11"/>
      <c r="B7" s="77" t="s">
        <v>21</v>
      </c>
      <c r="C7" s="78"/>
      <c r="D7" s="78"/>
      <c r="E7" s="29" t="s">
        <v>18</v>
      </c>
      <c r="F7" s="29" t="s">
        <v>19</v>
      </c>
      <c r="G7" s="29" t="s">
        <v>22</v>
      </c>
      <c r="H7" s="29" t="s">
        <v>20</v>
      </c>
      <c r="I7" s="83" t="s">
        <v>25</v>
      </c>
      <c r="J7" s="84"/>
    </row>
    <row r="8" spans="1:10" ht="39.950000000000003" customHeight="1" x14ac:dyDescent="0.2">
      <c r="A8" s="11"/>
      <c r="B8" s="48" t="s">
        <v>175</v>
      </c>
      <c r="C8" s="49"/>
      <c r="D8" s="49"/>
      <c r="E8" s="33"/>
      <c r="F8" s="34"/>
      <c r="G8" s="35"/>
      <c r="H8" s="36"/>
      <c r="I8" s="50"/>
      <c r="J8" s="51"/>
    </row>
    <row r="9" spans="1:10" ht="39.950000000000003" customHeight="1" x14ac:dyDescent="0.2">
      <c r="A9" s="11"/>
      <c r="B9" s="44" t="s">
        <v>176</v>
      </c>
      <c r="C9" s="45"/>
      <c r="D9" s="45"/>
      <c r="E9" s="9">
        <v>5</v>
      </c>
      <c r="F9" s="27">
        <v>4</v>
      </c>
      <c r="G9" s="31">
        <f>IFERROR(F9/E9,"")</f>
        <v>0.8</v>
      </c>
      <c r="H9" s="32" t="str">
        <f>_xlfn.IFS(F9="أدخل العلامة","",F9="لا ينطبق","تم الإلغاء",G9&gt;=90%,"ممتاز",G9&gt;=80%,"جيد جداً",G9&gt;=70%,"جيد",G9&gt;=60%,"مقبول",G9&lt;60%,"راسب")</f>
        <v>جيد جداً</v>
      </c>
      <c r="I9" s="56"/>
      <c r="J9" s="57"/>
    </row>
    <row r="10" spans="1:10" ht="39.950000000000003" customHeight="1" x14ac:dyDescent="0.2">
      <c r="A10" s="11"/>
      <c r="B10" s="44" t="s">
        <v>177</v>
      </c>
      <c r="C10" s="45"/>
      <c r="D10" s="45"/>
      <c r="E10" s="9">
        <v>5</v>
      </c>
      <c r="F10" s="41">
        <v>3.5</v>
      </c>
      <c r="G10" s="31">
        <f t="shared" ref="G10:G28" si="0">IFERROR(F10/E10,"")</f>
        <v>0.7</v>
      </c>
      <c r="H10" s="32" t="str">
        <f t="shared" ref="H10:H28" si="1">_xlfn.IFS(F10="أدخل العلامة","",F10="لا ينطبق","تم الإلغاء",G10&gt;=90%,"ممتاز",G10&gt;=80%,"جيد جداً",G10&gt;=70%,"جيد",G10&gt;=60%,"مقبول",G10&lt;60%,"راسب")</f>
        <v>جيد</v>
      </c>
      <c r="I10" s="56"/>
      <c r="J10" s="57"/>
    </row>
    <row r="11" spans="1:10" ht="39.950000000000003" customHeight="1" x14ac:dyDescent="0.2">
      <c r="A11" s="11"/>
      <c r="B11" s="44" t="s">
        <v>178</v>
      </c>
      <c r="C11" s="45"/>
      <c r="D11" s="45"/>
      <c r="E11" s="9">
        <v>5</v>
      </c>
      <c r="F11" s="41">
        <v>3.75</v>
      </c>
      <c r="G11" s="31">
        <f t="shared" si="0"/>
        <v>0.75</v>
      </c>
      <c r="H11" s="32" t="str">
        <f t="shared" si="1"/>
        <v>جيد</v>
      </c>
      <c r="I11" s="56"/>
      <c r="J11" s="57"/>
    </row>
    <row r="12" spans="1:10" ht="39.950000000000003" customHeight="1" x14ac:dyDescent="0.2">
      <c r="A12" s="11"/>
      <c r="B12" s="44" t="s">
        <v>179</v>
      </c>
      <c r="C12" s="45"/>
      <c r="D12" s="45"/>
      <c r="E12" s="9">
        <v>5</v>
      </c>
      <c r="F12" s="41">
        <v>4</v>
      </c>
      <c r="G12" s="31">
        <f t="shared" si="0"/>
        <v>0.8</v>
      </c>
      <c r="H12" s="32" t="str">
        <f t="shared" si="1"/>
        <v>جيد جداً</v>
      </c>
      <c r="I12" s="56"/>
      <c r="J12" s="57"/>
    </row>
    <row r="13" spans="1:10" ht="39.950000000000003" customHeight="1" x14ac:dyDescent="0.2">
      <c r="A13" s="11"/>
      <c r="B13" s="44" t="s">
        <v>180</v>
      </c>
      <c r="C13" s="45"/>
      <c r="D13" s="45"/>
      <c r="E13" s="9">
        <v>5</v>
      </c>
      <c r="F13" s="41">
        <v>3.5</v>
      </c>
      <c r="G13" s="31">
        <f t="shared" si="0"/>
        <v>0.7</v>
      </c>
      <c r="H13" s="32" t="str">
        <f t="shared" si="1"/>
        <v>جيد</v>
      </c>
      <c r="I13" s="56"/>
      <c r="J13" s="57"/>
    </row>
    <row r="14" spans="1:10" ht="60" customHeight="1" x14ac:dyDescent="0.2">
      <c r="A14" s="11"/>
      <c r="B14" s="44" t="s">
        <v>181</v>
      </c>
      <c r="C14" s="45"/>
      <c r="D14" s="45"/>
      <c r="E14" s="9">
        <v>5</v>
      </c>
      <c r="F14" s="41">
        <v>3</v>
      </c>
      <c r="G14" s="31">
        <f t="shared" si="0"/>
        <v>0.6</v>
      </c>
      <c r="H14" s="32" t="str">
        <f t="shared" si="1"/>
        <v>مقبول</v>
      </c>
      <c r="I14" s="56"/>
      <c r="J14" s="57"/>
    </row>
    <row r="15" spans="1:10" ht="39.950000000000003" customHeight="1" x14ac:dyDescent="0.2">
      <c r="A15" s="11"/>
      <c r="B15" s="44" t="s">
        <v>182</v>
      </c>
      <c r="C15" s="45"/>
      <c r="D15" s="45"/>
      <c r="E15" s="9">
        <v>5</v>
      </c>
      <c r="F15" s="41">
        <v>4</v>
      </c>
      <c r="G15" s="31">
        <f t="shared" si="0"/>
        <v>0.8</v>
      </c>
      <c r="H15" s="32" t="str">
        <f t="shared" si="1"/>
        <v>جيد جداً</v>
      </c>
      <c r="I15" s="56"/>
      <c r="J15" s="57"/>
    </row>
    <row r="16" spans="1:10" ht="39.950000000000003" customHeight="1" x14ac:dyDescent="0.2">
      <c r="A16" s="11"/>
      <c r="B16" s="44" t="s">
        <v>183</v>
      </c>
      <c r="C16" s="45"/>
      <c r="D16" s="45"/>
      <c r="E16" s="9">
        <v>5</v>
      </c>
      <c r="F16" s="41">
        <v>3.5</v>
      </c>
      <c r="G16" s="31">
        <f t="shared" si="0"/>
        <v>0.7</v>
      </c>
      <c r="H16" s="32" t="str">
        <f t="shared" si="1"/>
        <v>جيد</v>
      </c>
      <c r="I16" s="56"/>
      <c r="J16" s="57"/>
    </row>
    <row r="17" spans="1:10" ht="39.950000000000003" customHeight="1" x14ac:dyDescent="0.2">
      <c r="A17" s="11"/>
      <c r="B17" s="44" t="s">
        <v>184</v>
      </c>
      <c r="C17" s="45"/>
      <c r="D17" s="45"/>
      <c r="E17" s="9">
        <v>5</v>
      </c>
      <c r="F17" s="41">
        <v>3.5</v>
      </c>
      <c r="G17" s="31">
        <f t="shared" si="0"/>
        <v>0.7</v>
      </c>
      <c r="H17" s="32" t="str">
        <f t="shared" si="1"/>
        <v>جيد</v>
      </c>
      <c r="I17" s="56"/>
      <c r="J17" s="57"/>
    </row>
    <row r="18" spans="1:10" ht="60" customHeight="1" x14ac:dyDescent="0.2">
      <c r="A18" s="11"/>
      <c r="B18" s="44" t="s">
        <v>185</v>
      </c>
      <c r="C18" s="45"/>
      <c r="D18" s="45"/>
      <c r="E18" s="9">
        <v>5</v>
      </c>
      <c r="F18" s="41">
        <v>3</v>
      </c>
      <c r="G18" s="31">
        <f t="shared" si="0"/>
        <v>0.6</v>
      </c>
      <c r="H18" s="32" t="str">
        <f t="shared" si="1"/>
        <v>مقبول</v>
      </c>
      <c r="I18" s="56"/>
      <c r="J18" s="57"/>
    </row>
    <row r="19" spans="1:10" ht="39.950000000000003" customHeight="1" x14ac:dyDescent="0.2">
      <c r="A19" s="11"/>
      <c r="B19" s="44" t="s">
        <v>186</v>
      </c>
      <c r="C19" s="45"/>
      <c r="D19" s="45"/>
      <c r="E19" s="9">
        <v>5</v>
      </c>
      <c r="F19" s="41">
        <v>4</v>
      </c>
      <c r="G19" s="31">
        <f t="shared" si="0"/>
        <v>0.8</v>
      </c>
      <c r="H19" s="32" t="str">
        <f t="shared" si="1"/>
        <v>جيد جداً</v>
      </c>
      <c r="I19" s="56"/>
      <c r="J19" s="57"/>
    </row>
    <row r="20" spans="1:10" ht="39.950000000000003" customHeight="1" thickBot="1" x14ac:dyDescent="0.25">
      <c r="A20" s="11"/>
      <c r="B20" s="46" t="s">
        <v>187</v>
      </c>
      <c r="C20" s="47"/>
      <c r="D20" s="47"/>
      <c r="E20" s="37">
        <v>5</v>
      </c>
      <c r="F20" s="41">
        <v>3.5</v>
      </c>
      <c r="G20" s="38">
        <f t="shared" si="0"/>
        <v>0.7</v>
      </c>
      <c r="H20" s="39" t="str">
        <f t="shared" si="1"/>
        <v>جيد</v>
      </c>
      <c r="I20" s="60"/>
      <c r="J20" s="61"/>
    </row>
    <row r="21" spans="1:10" ht="39.950000000000003" customHeight="1" x14ac:dyDescent="0.2">
      <c r="A21" s="11"/>
      <c r="B21" s="48" t="s">
        <v>188</v>
      </c>
      <c r="C21" s="49"/>
      <c r="D21" s="49"/>
      <c r="E21" s="33"/>
      <c r="F21" s="34"/>
      <c r="G21" s="35"/>
      <c r="H21" s="36"/>
      <c r="I21" s="50"/>
      <c r="J21" s="51"/>
    </row>
    <row r="22" spans="1:10" ht="39.950000000000003" customHeight="1" x14ac:dyDescent="0.2">
      <c r="A22" s="11"/>
      <c r="B22" s="44" t="s">
        <v>189</v>
      </c>
      <c r="C22" s="45"/>
      <c r="D22" s="45"/>
      <c r="E22" s="9">
        <v>5</v>
      </c>
      <c r="F22" s="27">
        <v>3.75</v>
      </c>
      <c r="G22" s="31">
        <f t="shared" si="0"/>
        <v>0.75</v>
      </c>
      <c r="H22" s="32" t="str">
        <f t="shared" si="1"/>
        <v>جيد</v>
      </c>
      <c r="I22" s="56"/>
      <c r="J22" s="57"/>
    </row>
    <row r="23" spans="1:10" ht="39.950000000000003" customHeight="1" x14ac:dyDescent="0.2">
      <c r="A23" s="11"/>
      <c r="B23" s="44" t="s">
        <v>190</v>
      </c>
      <c r="C23" s="45"/>
      <c r="D23" s="45"/>
      <c r="E23" s="9">
        <v>5</v>
      </c>
      <c r="F23" s="41">
        <v>4</v>
      </c>
      <c r="G23" s="31">
        <f t="shared" si="0"/>
        <v>0.8</v>
      </c>
      <c r="H23" s="32" t="str">
        <f t="shared" si="1"/>
        <v>جيد جداً</v>
      </c>
      <c r="I23" s="56"/>
      <c r="J23" s="57"/>
    </row>
    <row r="24" spans="1:10" ht="39.950000000000003" customHeight="1" x14ac:dyDescent="0.2">
      <c r="A24" s="11"/>
      <c r="B24" s="44" t="s">
        <v>191</v>
      </c>
      <c r="C24" s="45"/>
      <c r="D24" s="45"/>
      <c r="E24" s="9">
        <v>5</v>
      </c>
      <c r="F24" s="41">
        <v>3.5</v>
      </c>
      <c r="G24" s="31">
        <f t="shared" si="0"/>
        <v>0.7</v>
      </c>
      <c r="H24" s="32" t="str">
        <f t="shared" si="1"/>
        <v>جيد</v>
      </c>
      <c r="I24" s="56"/>
      <c r="J24" s="57"/>
    </row>
    <row r="25" spans="1:10" ht="60" customHeight="1" thickBot="1" x14ac:dyDescent="0.25">
      <c r="A25" s="11"/>
      <c r="B25" s="46" t="s">
        <v>192</v>
      </c>
      <c r="C25" s="47"/>
      <c r="D25" s="47"/>
      <c r="E25" s="37">
        <v>5</v>
      </c>
      <c r="F25" s="41">
        <v>3.5</v>
      </c>
      <c r="G25" s="38">
        <f t="shared" si="0"/>
        <v>0.7</v>
      </c>
      <c r="H25" s="39" t="str">
        <f t="shared" si="1"/>
        <v>جيد</v>
      </c>
      <c r="I25" s="60"/>
      <c r="J25" s="61"/>
    </row>
    <row r="26" spans="1:10" ht="60" customHeight="1" thickBot="1" x14ac:dyDescent="0.25">
      <c r="A26" s="11"/>
      <c r="B26" s="42" t="s">
        <v>193</v>
      </c>
      <c r="C26" s="43"/>
      <c r="D26" s="43"/>
      <c r="E26" s="10">
        <v>5</v>
      </c>
      <c r="F26" s="41">
        <v>4</v>
      </c>
      <c r="G26" s="40">
        <f t="shared" si="0"/>
        <v>0.8</v>
      </c>
      <c r="H26" s="28" t="str">
        <f t="shared" si="1"/>
        <v>جيد جداً</v>
      </c>
      <c r="I26" s="58"/>
      <c r="J26" s="59"/>
    </row>
    <row r="27" spans="1:10" ht="39.950000000000003" customHeight="1" thickBot="1" x14ac:dyDescent="0.25">
      <c r="A27" s="11"/>
      <c r="B27" s="42" t="s">
        <v>194</v>
      </c>
      <c r="C27" s="43"/>
      <c r="D27" s="43"/>
      <c r="E27" s="10">
        <v>5</v>
      </c>
      <c r="F27" s="41">
        <v>3.5</v>
      </c>
      <c r="G27" s="40">
        <f t="shared" si="0"/>
        <v>0.7</v>
      </c>
      <c r="H27" s="28" t="str">
        <f t="shared" si="1"/>
        <v>جيد</v>
      </c>
      <c r="I27" s="58"/>
      <c r="J27" s="59"/>
    </row>
    <row r="28" spans="1:10" ht="39.950000000000003" customHeight="1" thickBot="1" x14ac:dyDescent="0.25">
      <c r="A28" s="11"/>
      <c r="B28" s="42" t="s">
        <v>195</v>
      </c>
      <c r="C28" s="43"/>
      <c r="D28" s="43"/>
      <c r="E28" s="10">
        <v>5</v>
      </c>
      <c r="F28" s="41">
        <v>4.25</v>
      </c>
      <c r="G28" s="40">
        <f t="shared" si="0"/>
        <v>0.85</v>
      </c>
      <c r="H28" s="28" t="str">
        <f t="shared" si="1"/>
        <v>جيد جداً</v>
      </c>
      <c r="I28" s="58"/>
      <c r="J28" s="59"/>
    </row>
    <row r="29" spans="1:10" ht="30" customHeight="1" thickBot="1" x14ac:dyDescent="0.25">
      <c r="A29" s="4"/>
      <c r="B29" s="52" t="s">
        <v>5</v>
      </c>
      <c r="C29" s="53"/>
      <c r="D29" s="53"/>
      <c r="E29" s="30">
        <f>SUM(E8:E28)</f>
        <v>95</v>
      </c>
      <c r="F29" s="30">
        <f>SUM(F8:F28)</f>
        <v>69.75</v>
      </c>
      <c r="G29" s="87"/>
      <c r="H29" s="88"/>
      <c r="I29" s="88"/>
      <c r="J29" s="89"/>
    </row>
    <row r="30" spans="1:10" ht="30" customHeight="1" thickBot="1" x14ac:dyDescent="0.25">
      <c r="A30" s="4"/>
      <c r="B30" s="54" t="s">
        <v>54</v>
      </c>
      <c r="C30" s="55"/>
      <c r="D30" s="55"/>
      <c r="E30" s="75">
        <f>F29/E29/100*100</f>
        <v>0.73421052631578942</v>
      </c>
      <c r="F30" s="75"/>
      <c r="G30" s="75"/>
      <c r="H30" s="75"/>
      <c r="I30" s="75"/>
      <c r="J30" s="76"/>
    </row>
    <row r="31" spans="1:10" ht="30" customHeight="1" thickBot="1" x14ac:dyDescent="0.25">
      <c r="A31" s="4"/>
      <c r="B31" s="54" t="s">
        <v>55</v>
      </c>
      <c r="C31" s="55"/>
      <c r="D31" s="55"/>
      <c r="E31" s="66" t="str">
        <f>_xlfn.IFS(E30&gt;=90%,"ممتاز",E30&gt;=80%,"جيد جداً",E30&gt;=70%,"جيد",E30&gt;=60%,"مقبول",E30&lt;60%,"راسب")</f>
        <v>جيد</v>
      </c>
      <c r="F31" s="66"/>
      <c r="G31" s="66"/>
      <c r="H31" s="66"/>
      <c r="I31" s="66"/>
      <c r="J31" s="67"/>
    </row>
    <row r="32" spans="1:10" ht="42" customHeight="1" x14ac:dyDescent="0.2">
      <c r="B32" s="62" t="s">
        <v>196</v>
      </c>
      <c r="C32" s="62"/>
      <c r="D32" s="62"/>
      <c r="E32" s="85" t="s">
        <v>52</v>
      </c>
      <c r="F32" s="85"/>
      <c r="G32" s="64" t="s">
        <v>97</v>
      </c>
      <c r="H32" s="64"/>
      <c r="I32" s="64"/>
      <c r="J32" s="64"/>
    </row>
    <row r="33" spans="1:10" ht="51" customHeight="1" x14ac:dyDescent="0.2">
      <c r="A33" s="5"/>
      <c r="B33" s="63"/>
      <c r="C33" s="63"/>
      <c r="D33" s="63"/>
      <c r="E33" s="86" t="s">
        <v>53</v>
      </c>
      <c r="F33" s="86"/>
      <c r="G33" s="65"/>
      <c r="H33" s="65"/>
      <c r="I33" s="65"/>
      <c r="J33" s="65"/>
    </row>
  </sheetData>
  <sheetProtection sheet="1" formatCells="0" formatColumns="0" formatRows="0" insertColumns="0" insertRows="0" insertHyperlinks="0" deleteColumns="0" deleteRows="0" selectLockedCells="1" sort="0" autoFilter="0" pivotTables="0"/>
  <mergeCells count="63">
    <mergeCell ref="E32:F32"/>
    <mergeCell ref="E33:F33"/>
    <mergeCell ref="G29:J29"/>
    <mergeCell ref="I9:J9"/>
    <mergeCell ref="I23:J23"/>
    <mergeCell ref="I24:J24"/>
    <mergeCell ref="I25:J25"/>
    <mergeCell ref="I26:J26"/>
    <mergeCell ref="I27:J27"/>
    <mergeCell ref="B32:D33"/>
    <mergeCell ref="G32:J32"/>
    <mergeCell ref="G33:J33"/>
    <mergeCell ref="E31:J31"/>
    <mergeCell ref="B1:J1"/>
    <mergeCell ref="F2:J2"/>
    <mergeCell ref="B5:D6"/>
    <mergeCell ref="C2:D2"/>
    <mergeCell ref="C3:D3"/>
    <mergeCell ref="F3:J3"/>
    <mergeCell ref="E30:J30"/>
    <mergeCell ref="B7:D7"/>
    <mergeCell ref="E5:H5"/>
    <mergeCell ref="I5:J6"/>
    <mergeCell ref="I7:J7"/>
    <mergeCell ref="I10:J10"/>
    <mergeCell ref="B29:D29"/>
    <mergeCell ref="B30:D30"/>
    <mergeCell ref="B31:D31"/>
    <mergeCell ref="I11:J11"/>
    <mergeCell ref="I12:J12"/>
    <mergeCell ref="I13:J13"/>
    <mergeCell ref="I14:J14"/>
    <mergeCell ref="I15:J15"/>
    <mergeCell ref="I16:J16"/>
    <mergeCell ref="I17:J17"/>
    <mergeCell ref="I18:J18"/>
    <mergeCell ref="I28:J28"/>
    <mergeCell ref="I19:J19"/>
    <mergeCell ref="I20:J20"/>
    <mergeCell ref="I21:J21"/>
    <mergeCell ref="I22:J22"/>
    <mergeCell ref="B13:D13"/>
    <mergeCell ref="B14:D14"/>
    <mergeCell ref="B15:D15"/>
    <mergeCell ref="B16:D16"/>
    <mergeCell ref="I8:J8"/>
    <mergeCell ref="B8:D8"/>
    <mergeCell ref="B9:D9"/>
    <mergeCell ref="B10:D10"/>
    <mergeCell ref="B11:D11"/>
    <mergeCell ref="B12:D12"/>
    <mergeCell ref="B26:D26"/>
    <mergeCell ref="B27:D27"/>
    <mergeCell ref="B28:D28"/>
    <mergeCell ref="B17:D17"/>
    <mergeCell ref="B18:D18"/>
    <mergeCell ref="B19:D19"/>
    <mergeCell ref="B20:D20"/>
    <mergeCell ref="B21:D21"/>
    <mergeCell ref="B22:D22"/>
    <mergeCell ref="B23:D23"/>
    <mergeCell ref="B24:D24"/>
    <mergeCell ref="B25:D25"/>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1">
    <cfRule type="expression" dxfId="14" priority="57">
      <formula>$E31="راسب"</formula>
    </cfRule>
  </conditionalFormatting>
  <conditionalFormatting sqref="E31:J31">
    <cfRule type="expression" dxfId="13" priority="58">
      <formula>$E31="مقبول"</formula>
    </cfRule>
    <cfRule type="expression" dxfId="12" priority="59">
      <formula>$E31="جيد"</formula>
    </cfRule>
    <cfRule type="expression" dxfId="11" priority="60">
      <formula>$E31="جيد جداً"</formula>
    </cfRule>
    <cfRule type="expression" dxfId="10" priority="61">
      <formula>$E31="ممتاز"</formula>
    </cfRule>
  </conditionalFormatting>
  <conditionalFormatting sqref="F8:F28">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2:J32">
    <cfRule type="containsText" dxfId="6" priority="15" operator="containsText" text="أدخل اسم المحكم">
      <formula>NOT(ISERROR(SEARCH("أدخل اسم المحكم",G32)))</formula>
    </cfRule>
  </conditionalFormatting>
  <conditionalFormatting sqref="H8:H28">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F22:F28 F9:F20</xm:sqref>
        </x14:dataValidation>
        <x14:dataValidation type="list" allowBlank="1" showInputMessage="1" showErrorMessage="1" xr:uid="{AE50457C-7424-4A4C-907B-8DC6AA09E7A3}">
          <x14:formula1>
            <xm:f>'بيانات التقييم'!$A$198:$A$285</xm:f>
          </x14:formula1>
          <xm:sqref>G32:J32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2025-10-22T07:52:05Z</dcterms:modified>
</cp:coreProperties>
</file>