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41D5CB0-0BFA-4C42-A3FF-C2AF5F6C94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F32" i="2"/>
  <c r="E32" i="2"/>
  <c r="E33" i="2"/>
  <c r="E34" i="2"/>
</calcChain>
</file>

<file path=xl/sharedStrings.xml><?xml version="1.0" encoding="utf-8"?>
<sst xmlns="http://schemas.openxmlformats.org/spreadsheetml/2006/main" count="257" uniqueCount="201">
  <si>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</si>
  <si>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</si>
  <si>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</si>
  <si>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</si>
  <si>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</si>
  <si>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</si>
  <si>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</si>
  <si>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</si>
  <si>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</si>
  <si>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</si>
  <si>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</si>
  <si>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</si>
  <si>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</si>
  <si>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</si>
  <si>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</si>
  <si>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</si>
  <si>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</si>
  <si>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</si>
  <si>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</si>
  <si>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</si>
  <si>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</si>
  <si>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</si>
  <si>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</si>
  <si>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</si>
  <si>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</si>
  <si>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</si>
  <si>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</si>
  <si>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</si>
  <si>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</si>
  <si>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</si>
  <si>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</si>
  <si>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</si>
  <si>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</si>
  <si>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</si>
  <si>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</si>
  <si>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</si>
  <si>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</si>
  <si>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</si>
  <si>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</si>
  <si>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</si>
  <si>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</si>
  <si>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</si>
  <si>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</si>
  <si>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</si>
  <si>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</si>
  <si>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</si>
  <si>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</si>
  <si>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</si>
  <si>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</si>
  <si>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</si>
  <si>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</si>
  <si>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</si>
  <si>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</si>
  <si>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</si>
  <si>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</si>
  <si>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</si>
  <si>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</si>
  <si>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</si>
  <si>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</si>
  <si>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</si>
  <si>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</si>
  <si>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</si>
  <si>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</si>
  <si>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</si>
  <si>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</si>
  <si>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</si>
  <si>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</si>
  <si>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</si>
  <si>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</si>
  <si>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</si>
  <si>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</si>
  <si>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</si>
  <si>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</si>
  <si>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</si>
  <si>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</si>
  <si>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</si>
  <si>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</si>
  <si>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</si>
  <si>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</si>
  <si>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</si>
  <si>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</si>
  <si>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</si>
  <si>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</si>
  <si>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</si>
  <si>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</si>
  <si>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</si>
  <si>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</si>
  <si>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</si>
  <si>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</si>
  <si>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</si>
  <si>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</si>
  <si>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</si>
  <si>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</si>
  <si>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</si>
  <si>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</si>
  <si>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</si>
  <si>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</si>
  <si>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</si>
  <si>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</si>
  <si>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</si>
  <si>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</si>
  <si>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</si>
  <si>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</si>
  <si>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</si>
  <si>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</si>
  <si>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</si>
  <si>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</si>
  <si>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</si>
  <si>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</si>
  <si>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</si>
  <si>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</si>
  <si>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</si>
  <si>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</si>
  <si>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</si>
  <si>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</si>
  <si>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</si>
  <si>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</si>
  <si>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</si>
  <si>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</si>
  <si>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</si>
  <si>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</si>
  <si>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</si>
  <si>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</si>
  <si>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</si>
  <si>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</si>
  <si>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</si>
  <si>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</si>
  <si>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</si>
  <si>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</si>
  <si>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</si>
  <si>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</si>
  <si>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</si>
  <si>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</si>
  <si>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</si>
  <si>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</si>
  <si>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</si>
  <si>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</si>
  <si>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</si>
  <si>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</si>
  <si>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</si>
  <si>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</si>
  <si>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</si>
  <si>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</si>
  <si>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</si>
  <si>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</si>
  <si>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</si>
  <si>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</si>
  <si>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</si>
  <si>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</si>
  <si>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</si>
  <si>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</si>
  <si>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</si>
  <si>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</si>
  <si>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</si>
  <si>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</si>
  <si>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</si>
  <si>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</si>
  <si>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</si>
  <si>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</si>
  <si>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</si>
  <si>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</si>
  <si>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</si>
  <si>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</si>
  <si>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</si>
  <si>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</si>
  <si>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</si>
  <si>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</si>
  <si>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</si>
  <si>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</si>
  <si>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</si>
  <si>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</si>
  <si>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</si>
  <si>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</si>
  <si>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</si>
  <si>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</si>
  <si>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</si>
  <si>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مرحلة التخطيط.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</si>
  <si>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البدء بالتخطيط للتجارب بعد الموافقة على العمل الممكن حيث يشمل التخطيط اختيار الموقع، الامن والحماية، واسلوب اجراء التجارب (باستخدام الطاولة الرملية او باستخدام الخرائط....الخ).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</si>
  <si>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الأسلوب الأكثر شموليه حسب الأوامر التعبوية المستديمة للوحدة.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</si>
  <si>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ايجاز المشاركين حول عمليات الإسناد الناري.</t>
    </r>
  </si>
  <si>
    <t>مرحلة التحضير.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</si>
  <si>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تجارب الإسناد الناري بحضور جميع المعنيين الأساسيين.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</si>
  <si>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تنفيذ تجارب مصغرة عندما يكون الوقت محدوداً للتركيز على جوانب الإسناد الناري الأكثر أهمية. 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</si>
  <si>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أحد المشاركين للقيام بدور قيادي في توجيه المشاركين عند عرض أعمال القوات الصديقة وأعمال القوات المعادية، الأحداث الطارئة، خطط الوحدات المرؤوسة، والأحداث اللاحقة.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</si>
  <si>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الاستمرار بإجراء التجارب حتى يتم تحقيق جميع الأهداف المطلوبة من التجارب أو حتى ينتهي الوقت المتوفر.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</si>
  <si>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تسجيل أية تعديلات أو استفسارات ظهرت خلال التجربة ولم يتم الاجابة عليها.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</si>
  <si>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القيام بعمل فوري لحل أية معاضل عالقة.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</si>
  <si>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إجراء التعديلات المطلوبة على ملحق الإسناد الناري وادمجها بشكل مناسب في خطة العمليات/أمر العمليات من خلال الأوامر الشفوية، والأوامر المجزأة .... الخ. </t>
    </r>
  </si>
  <si>
    <t>مرحلة تنفيذ تجارب الإسناد الناري.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</si>
  <si>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تعيين مسؤوليات الإسناد الناري لمهاجمة انظمة العدو الرئيسية وتوضيحها للجميع.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</si>
  <si>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أن تكون خطة الإسناد الناري متوافقة مع قصد القائد، دليل الإسناد الناري، ومفهوم العمليات.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</si>
  <si>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دقة خطة المواقع والحركة لوحدات الاسناد الناري وأنظمة الاستمكان مع عمليات المناورة.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</si>
  <si>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دمج خطط جمع المعلومات الاستخبارية / الاستطلاع والمراقبة مع متطلبات الإسناد الناري بحيث تشمل توفير كافة المصادر الأساسية والبديلة من ضباط رصد/ جمع المعلومات للأهداف المُهمة.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</si>
  <si>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دمج خطط الموانع مع عمليات الإسناد الناري.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</si>
  <si>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دقة مكان الأهداف، معيار المشاغلة، قواعد الاشتباك، اجراءات تنسيق نيران الإسناد، اجراءات تنسيق المجال الجوي، نقاط المرجع (مؤشرات) والتي تدل على وقت بدء مشاغلة الاهداف.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</si>
  <si>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خط تسليم المعركة، خطوط المراحل، أو الاحداث التي تتطلب التحوُّل من معركة العمق الى المعركة القريبة (المواقع الرئيسية).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</si>
  <si>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مسؤولية التأكد من خلو منطقة الرماية من القوات الصديقة (الحصول على تصريح الرماية لتجنب الاصابة بالنيران الصديقة).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</si>
  <si>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تفادي أي تكرار غير ضروري خلال اجراء التجارب.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</si>
  <si>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توفير ترتيبات ادامة مناسبة لإسناد عمليات الإسناد الناري.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</si>
  <si>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توفير مصادر اتصالات كافية لتحقيق متطلبات المدى والتأثير المطلوب على الاهداف.</t>
    </r>
  </si>
  <si>
    <t>تقييم تجارب الإسناد الناري - العمليات التعرضية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</si>
</sst>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5" borderId="23" xfId="0" applyFont="1" applyFill="1" applyBorder="1" applyAlignment="1">
      <alignment horizontal="right" vertical="center" wrapText="1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3" fillId="0" borderId="26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224577</xdr:colOff>
      <xdr:row>35</xdr:row>
      <xdr:rowOff>109718</xdr:rowOff>
    </xdr:from>
    <xdr:to>
      <xdr:col>9</xdr:col>
      <xdr:colOff>825386</xdr:colOff>
      <xdr:row>35</xdr:row>
      <xdr:rowOff>521558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32C9445-748D-A4F6-D642-8D60810B96AD}"/>
                </a:ext>
              </a:extLst>
            </xdr14:cNvPr>
            <xdr14:cNvContentPartPr/>
          </xdr14:nvContentPartPr>
          <xdr14:nvPr macro=""/>
          <xdr14:xfrm>
            <a:off x="10397761433" y="16475400"/>
            <a:ext cx="2575080" cy="4118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32C9445-748D-A4F6-D642-8D60810B96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7752793" y="16466760"/>
              <a:ext cx="2592720" cy="429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19T16:40:14.4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6634 790,'0'0,"0"0,0 0,0 0,0 0,0 0,-16 0,-15-16,24 13,-49 6,-85-19,111 12,-129 8,-91-4,198 0,-210 16,-83 0,306-14,-314 12,-70 18,381-29,-324 26,-136 3,453-29,-388 26,-18 19,410-43,-334 6,35 21,309-28,-228 8,12 20,224-28,-103 9,-11-13,125 0,-62 16,63 0,13-15,19-2,62 17,-71-15,156-2,40-15,-181 14,158 4,164-34,-303 28,339-9,105-35,-427 43,415-22,12-21,-423 42,329-20,31-6,-368 28,267-24,226-4,-476 28,327-24,-23 12,-325 14,150-12,-92 14,-95 0,19 0,30 0,-54 0,13 0,-69-16,41 14,-207 4,9-18,172 13,-218-26,-111-3,304 27,-325-6,-88-22,393 28,-332-6,-124-5,450 14,-368-13,-82 15,454 0,-344 0,-79 17,428-14,-306 10,19 3,310-13,-212 10,-3 4,231-15,-119 12,45-14,93 0,-46 16,-17-16,69 0,-11 16,37-16,-14 0,27 0,65 0,-81 0,162 0,92-16,-229 13,237-10,133-20,-353 29,361-8,85-20,1-1,15 17,16 0,1 0,-457 14,363-12,31 14,-400 0,297 0,7 0,-319 0,202 0,-38-16,-188 14,77 4,-31-2,-66 0,-71-16,57 15,-152 2,-50-17,173 14,-220-12,-110-2,312 14,-341-12,-112 14,430 0,-390 0,-86 16,469-14,-406 28,-48 18,457-41,-381 34,-29-9,416-27,-268 39,24-11,269-29,-82 8,1 4,107-14,-25-4,13 2,125-16,62-17,-134 29,145-40,84-37,-216 70,228-58,82-27,-298 83,267-70,-33 2,-241 70,172-42,-56 21,-133 28,80-24,-40 12,-54 14,29 4,-15-2,-62 16,70-16,-27 0,8 32,4 0,-14-27,-4 22,2 37,0-55,0 47,15 24,-13-69,12 58,2 59,-14-109,42 140,-44-159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6"/>
  <sheetViews>
    <sheetView rightToLeft="1" tabSelected="1" view="pageBreakPreview" topLeftCell="A31" zoomScale="130" zoomScaleNormal="100" zoomScaleSheetLayoutView="130" workbookViewId="0">
      <selection activeCell="E6" sqref="E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200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2" t="s">
        <v>8</v>
      </c>
      <c r="C2" s="66" t="s">
        <v>48</v>
      </c>
      <c r="D2" s="66"/>
      <c r="E2" s="12" t="s">
        <v>7</v>
      </c>
      <c r="F2" s="61">
        <v>45950</v>
      </c>
      <c r="G2" s="61"/>
      <c r="H2" s="61"/>
      <c r="I2" s="61"/>
      <c r="J2" s="61"/>
    </row>
    <row r="3" spans="1:10" ht="30" customHeight="1" x14ac:dyDescent="0.3">
      <c r="B3" s="12" t="s">
        <v>9</v>
      </c>
      <c r="C3" s="66" t="s">
        <v>69</v>
      </c>
      <c r="D3" s="66"/>
      <c r="E3" s="12" t="s">
        <v>6</v>
      </c>
      <c r="F3" s="66" t="s">
        <v>98</v>
      </c>
      <c r="G3" s="66"/>
      <c r="H3" s="66"/>
      <c r="I3" s="66"/>
      <c r="J3" s="6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2" t="s">
        <v>0</v>
      </c>
      <c r="C5" s="63"/>
      <c r="D5" s="63"/>
      <c r="E5" s="71" t="s">
        <v>1</v>
      </c>
      <c r="F5" s="71"/>
      <c r="G5" s="71"/>
      <c r="H5" s="71"/>
      <c r="I5" s="71" t="s">
        <v>2</v>
      </c>
      <c r="J5" s="72"/>
    </row>
    <row r="6" spans="1:10" ht="24.9" customHeight="1" thickBot="1" x14ac:dyDescent="0.35">
      <c r="A6" s="10"/>
      <c r="B6" s="64"/>
      <c r="C6" s="65"/>
      <c r="D6" s="65"/>
      <c r="E6" s="11" t="s">
        <v>3</v>
      </c>
      <c r="F6" s="11" t="s">
        <v>4</v>
      </c>
      <c r="G6" s="11" t="s">
        <v>23</v>
      </c>
      <c r="H6" s="11" t="s">
        <v>24</v>
      </c>
      <c r="I6" s="73"/>
      <c r="J6" s="74"/>
    </row>
    <row r="7" spans="1:10" ht="24.9" customHeight="1" thickBot="1" x14ac:dyDescent="0.35">
      <c r="A7" s="10"/>
      <c r="B7" s="69" t="s">
        <v>21</v>
      </c>
      <c r="C7" s="70"/>
      <c r="D7" s="70"/>
      <c r="E7" s="27" t="s">
        <v>18</v>
      </c>
      <c r="F7" s="27" t="s">
        <v>19</v>
      </c>
      <c r="G7" s="27" t="s">
        <v>22</v>
      </c>
      <c r="H7" s="27" t="s">
        <v>20</v>
      </c>
      <c r="I7" s="43" t="s">
        <v>25</v>
      </c>
      <c r="J7" s="44"/>
    </row>
    <row r="8" spans="1:10" ht="30" customHeight="1" x14ac:dyDescent="0.3">
      <c r="A8" s="10"/>
      <c r="B8" s="47" t="s">
        <v>176</v>
      </c>
      <c r="C8" s="48"/>
      <c r="D8" s="48"/>
      <c r="E8" s="48"/>
      <c r="F8" s="48"/>
      <c r="G8" s="48"/>
      <c r="H8" s="48"/>
      <c r="I8" s="48"/>
      <c r="J8" s="49"/>
    </row>
    <row r="9" spans="1:10" ht="58.5" customHeight="1" x14ac:dyDescent="0.3">
      <c r="A9" s="10"/>
      <c r="B9" s="50" t="s">
        <v>177</v>
      </c>
      <c r="C9" s="51"/>
      <c r="D9" s="51"/>
      <c r="E9" s="9">
        <v>5</v>
      </c>
      <c r="F9" s="26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1"/>
      <c r="J9" s="42"/>
    </row>
    <row r="10" spans="1:10" ht="39.9" customHeight="1" x14ac:dyDescent="0.3">
      <c r="A10" s="10"/>
      <c r="B10" s="50" t="s">
        <v>178</v>
      </c>
      <c r="C10" s="51"/>
      <c r="D10" s="51"/>
      <c r="E10" s="9">
        <v>5</v>
      </c>
      <c r="F10" s="35">
        <v>3.75</v>
      </c>
      <c r="G10" s="29">
        <f t="shared" ref="G10:G31" si="0">IFERROR(F10/E10,"")</f>
        <v>0.75</v>
      </c>
      <c r="H10" s="30" t="str">
        <f t="shared" ref="H10:H31" si="1">_xlfn.IFS(F10="أدخل العلامة","",F10="لا ينطبق","تم الإلغاء",G10&gt;=90%,"ممتاز",G10&gt;=80%,"جيد جداً",G10&gt;=70%,"جيد",G10&gt;=60%,"مقبول",G10&lt;60%,"راسب")</f>
        <v>جيد</v>
      </c>
      <c r="I10" s="41"/>
      <c r="J10" s="42"/>
    </row>
    <row r="11" spans="1:10" ht="30" customHeight="1" thickBot="1" x14ac:dyDescent="0.35">
      <c r="A11" s="10"/>
      <c r="B11" s="52" t="s">
        <v>179</v>
      </c>
      <c r="C11" s="53"/>
      <c r="D11" s="53"/>
      <c r="E11" s="32">
        <v>5</v>
      </c>
      <c r="F11" s="35">
        <v>4</v>
      </c>
      <c r="G11" s="33">
        <f t="shared" si="0"/>
        <v>0.8</v>
      </c>
      <c r="H11" s="34" t="str">
        <f t="shared" si="1"/>
        <v>جيد جداً</v>
      </c>
      <c r="I11" s="45"/>
      <c r="J11" s="46"/>
    </row>
    <row r="12" spans="1:10" ht="39.9" customHeight="1" x14ac:dyDescent="0.3">
      <c r="A12" s="10"/>
      <c r="B12" s="47" t="s">
        <v>180</v>
      </c>
      <c r="C12" s="48"/>
      <c r="D12" s="48"/>
      <c r="E12" s="48"/>
      <c r="F12" s="48"/>
      <c r="G12" s="48"/>
      <c r="H12" s="48"/>
      <c r="I12" s="48"/>
      <c r="J12" s="49"/>
    </row>
    <row r="13" spans="1:10" ht="30" customHeight="1" x14ac:dyDescent="0.3">
      <c r="A13" s="10"/>
      <c r="B13" s="50" t="s">
        <v>181</v>
      </c>
      <c r="C13" s="51"/>
      <c r="D13" s="51"/>
      <c r="E13" s="9">
        <v>5</v>
      </c>
      <c r="F13" s="26">
        <v>4</v>
      </c>
      <c r="G13" s="29">
        <f t="shared" si="0"/>
        <v>0.8</v>
      </c>
      <c r="H13" s="30" t="str">
        <f t="shared" si="1"/>
        <v>جيد جداً</v>
      </c>
      <c r="I13" s="41"/>
      <c r="J13" s="42"/>
    </row>
    <row r="14" spans="1:10" ht="39.9" customHeight="1" x14ac:dyDescent="0.3">
      <c r="A14" s="10"/>
      <c r="B14" s="50" t="s">
        <v>182</v>
      </c>
      <c r="C14" s="51"/>
      <c r="D14" s="51"/>
      <c r="E14" s="9">
        <v>5</v>
      </c>
      <c r="F14" s="35">
        <v>3.5</v>
      </c>
      <c r="G14" s="29">
        <f t="shared" si="0"/>
        <v>0.7</v>
      </c>
      <c r="H14" s="30" t="str">
        <f t="shared" si="1"/>
        <v>جيد</v>
      </c>
      <c r="I14" s="41"/>
      <c r="J14" s="42"/>
    </row>
    <row r="15" spans="1:10" ht="50.1" customHeight="1" x14ac:dyDescent="0.3">
      <c r="A15" s="10"/>
      <c r="B15" s="50" t="s">
        <v>183</v>
      </c>
      <c r="C15" s="51"/>
      <c r="D15" s="51"/>
      <c r="E15" s="9">
        <v>5</v>
      </c>
      <c r="F15" s="35">
        <v>3.5</v>
      </c>
      <c r="G15" s="29">
        <f t="shared" si="0"/>
        <v>0.7</v>
      </c>
      <c r="H15" s="30" t="str">
        <f t="shared" si="1"/>
        <v>جيد</v>
      </c>
      <c r="I15" s="41"/>
      <c r="J15" s="42"/>
    </row>
    <row r="16" spans="1:10" ht="39.9" customHeight="1" x14ac:dyDescent="0.3">
      <c r="A16" s="10"/>
      <c r="B16" s="50" t="s">
        <v>184</v>
      </c>
      <c r="C16" s="51"/>
      <c r="D16" s="51"/>
      <c r="E16" s="9">
        <v>5</v>
      </c>
      <c r="F16" s="35">
        <v>3.5</v>
      </c>
      <c r="G16" s="29">
        <f t="shared" si="0"/>
        <v>0.7</v>
      </c>
      <c r="H16" s="30" t="str">
        <f t="shared" si="1"/>
        <v>جيد</v>
      </c>
      <c r="I16" s="41"/>
      <c r="J16" s="42"/>
    </row>
    <row r="17" spans="1:10" ht="39.9" customHeight="1" x14ac:dyDescent="0.3">
      <c r="A17" s="10"/>
      <c r="B17" s="50" t="s">
        <v>185</v>
      </c>
      <c r="C17" s="51"/>
      <c r="D17" s="51"/>
      <c r="E17" s="9">
        <v>5</v>
      </c>
      <c r="F17" s="35">
        <v>3.5</v>
      </c>
      <c r="G17" s="29">
        <f t="shared" si="0"/>
        <v>0.7</v>
      </c>
      <c r="H17" s="30" t="str">
        <f t="shared" si="1"/>
        <v>جيد</v>
      </c>
      <c r="I17" s="41"/>
      <c r="J17" s="42"/>
    </row>
    <row r="18" spans="1:10" ht="30" customHeight="1" x14ac:dyDescent="0.3">
      <c r="A18" s="10"/>
      <c r="B18" s="50" t="s">
        <v>186</v>
      </c>
      <c r="C18" s="51"/>
      <c r="D18" s="51"/>
      <c r="E18" s="9">
        <v>5</v>
      </c>
      <c r="F18" s="35">
        <v>3.5</v>
      </c>
      <c r="G18" s="29">
        <f t="shared" si="0"/>
        <v>0.7</v>
      </c>
      <c r="H18" s="30" t="str">
        <f t="shared" si="1"/>
        <v>جيد</v>
      </c>
      <c r="I18" s="41"/>
      <c r="J18" s="42"/>
    </row>
    <row r="19" spans="1:10" ht="50.1" customHeight="1" thickBot="1" x14ac:dyDescent="0.35">
      <c r="A19" s="10"/>
      <c r="B19" s="52" t="s">
        <v>187</v>
      </c>
      <c r="C19" s="53"/>
      <c r="D19" s="53"/>
      <c r="E19" s="32">
        <v>5</v>
      </c>
      <c r="F19" s="35">
        <v>3.5</v>
      </c>
      <c r="G19" s="33">
        <f t="shared" si="0"/>
        <v>0.7</v>
      </c>
      <c r="H19" s="34" t="str">
        <f t="shared" si="1"/>
        <v>جيد</v>
      </c>
      <c r="I19" s="45"/>
      <c r="J19" s="46"/>
    </row>
    <row r="20" spans="1:10" ht="39.9" customHeight="1" x14ac:dyDescent="0.3">
      <c r="A20" s="10"/>
      <c r="B20" s="47" t="s">
        <v>188</v>
      </c>
      <c r="C20" s="48"/>
      <c r="D20" s="48"/>
      <c r="E20" s="48"/>
      <c r="F20" s="48"/>
      <c r="G20" s="48"/>
      <c r="H20" s="48"/>
      <c r="I20" s="48"/>
      <c r="J20" s="49"/>
    </row>
    <row r="21" spans="1:10" ht="39.9" customHeight="1" x14ac:dyDescent="0.3">
      <c r="A21" s="10"/>
      <c r="B21" s="50" t="s">
        <v>189</v>
      </c>
      <c r="C21" s="51"/>
      <c r="D21" s="51"/>
      <c r="E21" s="31">
        <v>5</v>
      </c>
      <c r="F21" s="26">
        <v>3.5</v>
      </c>
      <c r="G21" s="29">
        <f t="shared" si="0"/>
        <v>0.7</v>
      </c>
      <c r="H21" s="30" t="str">
        <f t="shared" si="1"/>
        <v>جيد</v>
      </c>
      <c r="I21" s="41"/>
      <c r="J21" s="42"/>
    </row>
    <row r="22" spans="1:10" ht="39.9" customHeight="1" x14ac:dyDescent="0.3">
      <c r="A22" s="10"/>
      <c r="B22" s="50" t="s">
        <v>190</v>
      </c>
      <c r="C22" s="51"/>
      <c r="D22" s="51"/>
      <c r="E22" s="9">
        <v>5</v>
      </c>
      <c r="F22" s="35">
        <v>4</v>
      </c>
      <c r="G22" s="29">
        <f t="shared" si="0"/>
        <v>0.8</v>
      </c>
      <c r="H22" s="30" t="str">
        <f t="shared" si="1"/>
        <v>جيد جداً</v>
      </c>
      <c r="I22" s="41"/>
      <c r="J22" s="42"/>
    </row>
    <row r="23" spans="1:10" ht="39.9" customHeight="1" x14ac:dyDescent="0.3">
      <c r="A23" s="10"/>
      <c r="B23" s="50" t="s">
        <v>191</v>
      </c>
      <c r="C23" s="51"/>
      <c r="D23" s="51"/>
      <c r="E23" s="9">
        <v>5</v>
      </c>
      <c r="F23" s="35">
        <v>3.5</v>
      </c>
      <c r="G23" s="29">
        <f t="shared" si="0"/>
        <v>0.7</v>
      </c>
      <c r="H23" s="30" t="str">
        <f t="shared" si="1"/>
        <v>جيد</v>
      </c>
      <c r="I23" s="41"/>
      <c r="J23" s="42"/>
    </row>
    <row r="24" spans="1:10" ht="50.1" customHeight="1" x14ac:dyDescent="0.3">
      <c r="A24" s="10"/>
      <c r="B24" s="50" t="s">
        <v>192</v>
      </c>
      <c r="C24" s="51"/>
      <c r="D24" s="51"/>
      <c r="E24" s="9">
        <v>5</v>
      </c>
      <c r="F24" s="35">
        <v>4</v>
      </c>
      <c r="G24" s="29">
        <f t="shared" si="0"/>
        <v>0.8</v>
      </c>
      <c r="H24" s="30" t="str">
        <f t="shared" si="1"/>
        <v>جيد جداً</v>
      </c>
      <c r="I24" s="41"/>
      <c r="J24" s="42"/>
    </row>
    <row r="25" spans="1:10" ht="30" customHeight="1" x14ac:dyDescent="0.3">
      <c r="A25" s="10"/>
      <c r="B25" s="50" t="s">
        <v>193</v>
      </c>
      <c r="C25" s="51"/>
      <c r="D25" s="51"/>
      <c r="E25" s="9">
        <v>5</v>
      </c>
      <c r="F25" s="35">
        <v>3.5</v>
      </c>
      <c r="G25" s="29">
        <f t="shared" si="0"/>
        <v>0.7</v>
      </c>
      <c r="H25" s="30" t="str">
        <f t="shared" si="1"/>
        <v>جيد</v>
      </c>
      <c r="I25" s="41"/>
      <c r="J25" s="42"/>
    </row>
    <row r="26" spans="1:10" ht="50.1" customHeight="1" x14ac:dyDescent="0.3">
      <c r="A26" s="10"/>
      <c r="B26" s="50" t="s">
        <v>194</v>
      </c>
      <c r="C26" s="51"/>
      <c r="D26" s="51"/>
      <c r="E26" s="9">
        <v>5</v>
      </c>
      <c r="F26" s="35">
        <v>4</v>
      </c>
      <c r="G26" s="29">
        <f t="shared" si="0"/>
        <v>0.8</v>
      </c>
      <c r="H26" s="30" t="str">
        <f t="shared" si="1"/>
        <v>جيد جداً</v>
      </c>
      <c r="I26" s="41"/>
      <c r="J26" s="42"/>
    </row>
    <row r="27" spans="1:10" ht="39.9" customHeight="1" x14ac:dyDescent="0.3">
      <c r="A27" s="10"/>
      <c r="B27" s="50" t="s">
        <v>195</v>
      </c>
      <c r="C27" s="51"/>
      <c r="D27" s="51"/>
      <c r="E27" s="9">
        <v>5</v>
      </c>
      <c r="F27" s="35">
        <v>3.5</v>
      </c>
      <c r="G27" s="29">
        <f t="shared" si="0"/>
        <v>0.7</v>
      </c>
      <c r="H27" s="30" t="str">
        <f t="shared" si="1"/>
        <v>جيد</v>
      </c>
      <c r="I27" s="41"/>
      <c r="J27" s="42"/>
    </row>
    <row r="28" spans="1:10" ht="39.9" customHeight="1" x14ac:dyDescent="0.3">
      <c r="A28" s="10"/>
      <c r="B28" s="50" t="s">
        <v>196</v>
      </c>
      <c r="C28" s="51"/>
      <c r="D28" s="51"/>
      <c r="E28" s="9">
        <v>5</v>
      </c>
      <c r="F28" s="35">
        <v>3.5</v>
      </c>
      <c r="G28" s="29">
        <f t="shared" si="0"/>
        <v>0.7</v>
      </c>
      <c r="H28" s="30" t="str">
        <f t="shared" si="1"/>
        <v>جيد</v>
      </c>
      <c r="I28" s="41"/>
      <c r="J28" s="42"/>
    </row>
    <row r="29" spans="1:10" ht="30" customHeight="1" x14ac:dyDescent="0.3">
      <c r="A29" s="10"/>
      <c r="B29" s="50" t="s">
        <v>197</v>
      </c>
      <c r="C29" s="51"/>
      <c r="D29" s="51"/>
      <c r="E29" s="9">
        <v>5</v>
      </c>
      <c r="F29" s="35">
        <v>3.5</v>
      </c>
      <c r="G29" s="29">
        <f t="shared" si="0"/>
        <v>0.7</v>
      </c>
      <c r="H29" s="30" t="str">
        <f t="shared" si="1"/>
        <v>جيد</v>
      </c>
      <c r="I29" s="41"/>
      <c r="J29" s="42"/>
    </row>
    <row r="30" spans="1:10" ht="30" customHeight="1" x14ac:dyDescent="0.3">
      <c r="A30" s="10"/>
      <c r="B30" s="50" t="s">
        <v>198</v>
      </c>
      <c r="C30" s="51"/>
      <c r="D30" s="51"/>
      <c r="E30" s="9">
        <v>5</v>
      </c>
      <c r="F30" s="35">
        <v>3.5</v>
      </c>
      <c r="G30" s="29">
        <f t="shared" si="0"/>
        <v>0.7</v>
      </c>
      <c r="H30" s="30" t="str">
        <f t="shared" si="1"/>
        <v>جيد</v>
      </c>
      <c r="I30" s="41"/>
      <c r="J30" s="42"/>
    </row>
    <row r="31" spans="1:10" ht="39.9" customHeight="1" thickBot="1" x14ac:dyDescent="0.35">
      <c r="A31" s="10"/>
      <c r="B31" s="52" t="s">
        <v>199</v>
      </c>
      <c r="C31" s="53"/>
      <c r="D31" s="53"/>
      <c r="E31" s="32">
        <v>5</v>
      </c>
      <c r="F31" s="35">
        <v>4</v>
      </c>
      <c r="G31" s="33">
        <f t="shared" si="0"/>
        <v>0.8</v>
      </c>
      <c r="H31" s="34" t="str">
        <f t="shared" si="1"/>
        <v>جيد جداً</v>
      </c>
      <c r="I31" s="45"/>
      <c r="J31" s="46"/>
    </row>
    <row r="32" spans="1:10" ht="30" customHeight="1" thickBot="1" x14ac:dyDescent="0.35">
      <c r="A32" s="4"/>
      <c r="B32" s="77" t="s">
        <v>5</v>
      </c>
      <c r="C32" s="78"/>
      <c r="D32" s="78"/>
      <c r="E32" s="28">
        <f>SUM(E8:E31)</f>
        <v>105</v>
      </c>
      <c r="F32" s="28">
        <f>SUM(F8:F31)</f>
        <v>77</v>
      </c>
      <c r="G32" s="38"/>
      <c r="H32" s="39"/>
      <c r="I32" s="39"/>
      <c r="J32" s="40"/>
    </row>
    <row r="33" spans="1:10" ht="30" customHeight="1" thickBot="1" x14ac:dyDescent="0.35">
      <c r="A33" s="4"/>
      <c r="B33" s="75" t="s">
        <v>54</v>
      </c>
      <c r="C33" s="76"/>
      <c r="D33" s="76"/>
      <c r="E33" s="67">
        <f>F32/E32/100*100</f>
        <v>0.73333333333333328</v>
      </c>
      <c r="F33" s="67"/>
      <c r="G33" s="67"/>
      <c r="H33" s="67"/>
      <c r="I33" s="67"/>
      <c r="J33" s="68"/>
    </row>
    <row r="34" spans="1:10" ht="30" customHeight="1" thickBot="1" x14ac:dyDescent="0.35">
      <c r="A34" s="4"/>
      <c r="B34" s="75" t="s">
        <v>55</v>
      </c>
      <c r="C34" s="76"/>
      <c r="D34" s="76"/>
      <c r="E34" s="58" t="str">
        <f>_xlfn.IFS(E33&gt;=90%,"ممتاز",E33&gt;=80%,"جيد جداً",E33&gt;=70%,"جيد",E33&gt;=60%,"مقبول",E33&lt;60%,"راسب")</f>
        <v>جيد</v>
      </c>
      <c r="F34" s="58"/>
      <c r="G34" s="58"/>
      <c r="H34" s="58"/>
      <c r="I34" s="58"/>
      <c r="J34" s="59"/>
    </row>
    <row r="35" spans="1:10" ht="42" customHeight="1" x14ac:dyDescent="0.3">
      <c r="B35" s="54" t="s">
        <v>62</v>
      </c>
      <c r="C35" s="54"/>
      <c r="D35" s="54"/>
      <c r="E35" s="36" t="s">
        <v>52</v>
      </c>
      <c r="F35" s="36"/>
      <c r="G35" s="56" t="s">
        <v>98</v>
      </c>
      <c r="H35" s="56"/>
      <c r="I35" s="56"/>
      <c r="J35" s="56"/>
    </row>
    <row r="36" spans="1:10" ht="51" customHeight="1" x14ac:dyDescent="0.3">
      <c r="A36" s="5"/>
      <c r="B36" s="55"/>
      <c r="C36" s="55"/>
      <c r="D36" s="55"/>
      <c r="E36" s="37" t="s">
        <v>53</v>
      </c>
      <c r="F36" s="37"/>
      <c r="G36" s="57"/>
      <c r="H36" s="57"/>
      <c r="I36" s="57"/>
      <c r="J36" s="5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6">
    <mergeCell ref="B15:D15"/>
    <mergeCell ref="B16:D16"/>
    <mergeCell ref="B32:D32"/>
    <mergeCell ref="B33:D33"/>
    <mergeCell ref="B31:D31"/>
    <mergeCell ref="B20:J20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7:D27"/>
    <mergeCell ref="B29:D29"/>
    <mergeCell ref="B30:D30"/>
    <mergeCell ref="B34:D34"/>
    <mergeCell ref="I11:J11"/>
    <mergeCell ref="I13:J13"/>
    <mergeCell ref="I14:J14"/>
    <mergeCell ref="I15:J15"/>
    <mergeCell ref="I16:J16"/>
    <mergeCell ref="I17:J17"/>
    <mergeCell ref="I18:J18"/>
    <mergeCell ref="I28:J28"/>
    <mergeCell ref="I29:J29"/>
    <mergeCell ref="I23:J23"/>
    <mergeCell ref="I24:J24"/>
    <mergeCell ref="I25:J25"/>
    <mergeCell ref="I26:J26"/>
    <mergeCell ref="I27:J27"/>
    <mergeCell ref="B14:D14"/>
    <mergeCell ref="B35:D36"/>
    <mergeCell ref="G35:J35"/>
    <mergeCell ref="G36:J36"/>
    <mergeCell ref="E34:J34"/>
    <mergeCell ref="B1:J1"/>
    <mergeCell ref="F2:J2"/>
    <mergeCell ref="B5:D6"/>
    <mergeCell ref="C2:D2"/>
    <mergeCell ref="C3:D3"/>
    <mergeCell ref="F3:J3"/>
    <mergeCell ref="E33:J33"/>
    <mergeCell ref="B7:D7"/>
    <mergeCell ref="I30:J30"/>
    <mergeCell ref="I31:J31"/>
    <mergeCell ref="E5:H5"/>
    <mergeCell ref="I5:J6"/>
    <mergeCell ref="E35:F35"/>
    <mergeCell ref="E36:F36"/>
    <mergeCell ref="G32:J32"/>
    <mergeCell ref="I9:J9"/>
    <mergeCell ref="I7:J7"/>
    <mergeCell ref="I10:J10"/>
    <mergeCell ref="I19:J19"/>
    <mergeCell ref="I21:J21"/>
    <mergeCell ref="I22:J22"/>
    <mergeCell ref="B8:J8"/>
    <mergeCell ref="B12:J12"/>
    <mergeCell ref="B9:D9"/>
    <mergeCell ref="B10:D10"/>
    <mergeCell ref="B11:D11"/>
    <mergeCell ref="B13:D13"/>
    <mergeCell ref="B28:D28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4">
    <cfRule type="expression" dxfId="21" priority="57">
      <formula>$E34="راسب"</formula>
    </cfRule>
  </conditionalFormatting>
  <conditionalFormatting sqref="E34:J34">
    <cfRule type="expression" dxfId="20" priority="60">
      <formula>$E34="جيد جداً"</formula>
    </cfRule>
    <cfRule type="expression" dxfId="19" priority="59">
      <formula>$E34="جيد"</formula>
    </cfRule>
    <cfRule type="expression" dxfId="18" priority="58">
      <formula>$E34="مقبول"</formula>
    </cfRule>
    <cfRule type="expression" dxfId="17" priority="61">
      <formula>$E34="ممتاز"</formula>
    </cfRule>
  </conditionalFormatting>
  <conditionalFormatting sqref="F9:F11">
    <cfRule type="containsText" dxfId="16" priority="4" operator="containsText" text="أدخل العلامة">
      <formula>NOT(ISERROR(SEARCH("أدخل العلامة",F9)))</formula>
    </cfRule>
  </conditionalFormatting>
  <conditionalFormatting sqref="F13:F19 F21:F31">
    <cfRule type="containsText" dxfId="15" priority="14" operator="containsText" text="أدخل العلامة">
      <formula>NOT(ISERROR(SEARCH("أدخل العلامة",F13)))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5:J35">
    <cfRule type="containsText" dxfId="12" priority="15" operator="containsText" text="أدخل اسم المحكم">
      <formula>NOT(ISERROR(SEARCH("أدخل اسم المحكم",G35)))</formula>
    </cfRule>
  </conditionalFormatting>
  <conditionalFormatting sqref="H9:H11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3:H19 H21:H31">
    <cfRule type="containsText" dxfId="5" priority="38" operator="containsText" text="أدخل العلامة">
      <formula>NOT(ISERROR(SEARCH("أدخل العلامة",H13)))</formula>
    </cfRule>
    <cfRule type="containsText" dxfId="4" priority="39" operator="containsText" text="ممتاز">
      <formula>NOT(ISERROR(SEARCH("ممتاز",H13)))</formula>
    </cfRule>
    <cfRule type="containsText" dxfId="3" priority="40" operator="containsText" text="جيد جداً">
      <formula>NOT(ISERROR(SEARCH("جيد جداً",H13)))</formula>
    </cfRule>
    <cfRule type="containsText" dxfId="2" priority="41" operator="containsText" text="جيد">
      <formula>NOT(ISERROR(SEARCH("جيد",H13)))</formula>
    </cfRule>
    <cfRule type="containsText" dxfId="1" priority="42" operator="containsText" text="مقبول">
      <formula>NOT(ISERROR(SEARCH("مقبول",H13)))</formula>
    </cfRule>
    <cfRule type="containsText" dxfId="0" priority="43" operator="containsText" text="راسب">
      <formula>NOT(ISERROR(SEARCH("راسب",H13)))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F9:F11 F13:F19 F21:F31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G35:J35 F3:J3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1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63</v>
      </c>
    </row>
    <row r="3" spans="1:3" ht="20.100000000000001" customHeight="1" thickBot="1" x14ac:dyDescent="0.35">
      <c r="A3" s="2" t="s">
        <v>26</v>
      </c>
      <c r="C3" s="19" t="s">
        <v>64</v>
      </c>
    </row>
    <row r="4" spans="1:3" ht="20.100000000000001" customHeight="1" thickBot="1" x14ac:dyDescent="0.35">
      <c r="A4" s="2" t="s">
        <v>36</v>
      </c>
      <c r="C4" s="19" t="s">
        <v>65</v>
      </c>
    </row>
    <row r="5" spans="1:3" ht="20.100000000000001" customHeight="1" thickBot="1" x14ac:dyDescent="0.35">
      <c r="A5" s="2" t="s">
        <v>37</v>
      </c>
      <c r="C5" s="19" t="s">
        <v>66</v>
      </c>
    </row>
    <row r="6" spans="1:3" ht="20.100000000000001" customHeight="1" thickBot="1" x14ac:dyDescent="0.35">
      <c r="A6" s="2" t="s">
        <v>38</v>
      </c>
      <c r="C6" s="19" t="s">
        <v>67</v>
      </c>
    </row>
    <row r="7" spans="1:3" ht="20.100000000000001" customHeight="1" thickBot="1" x14ac:dyDescent="0.35">
      <c r="A7" s="2" t="s">
        <v>39</v>
      </c>
      <c r="C7" s="19" t="s">
        <v>68</v>
      </c>
    </row>
    <row r="8" spans="1:3" ht="20.100000000000001" customHeight="1" thickBot="1" x14ac:dyDescent="0.35">
      <c r="A8" s="2" t="s">
        <v>40</v>
      </c>
      <c r="C8" s="19" t="s">
        <v>69</v>
      </c>
    </row>
    <row r="9" spans="1:3" ht="20.100000000000001" customHeight="1" thickBot="1" x14ac:dyDescent="0.35">
      <c r="A9" s="2" t="s">
        <v>41</v>
      </c>
      <c r="C9" s="19" t="s">
        <v>70</v>
      </c>
    </row>
    <row r="10" spans="1:3" ht="20.100000000000001" customHeight="1" thickBot="1" x14ac:dyDescent="0.35">
      <c r="A10" s="2" t="s">
        <v>42</v>
      </c>
      <c r="C10" s="19" t="s">
        <v>71</v>
      </c>
    </row>
    <row r="11" spans="1:3" ht="20.100000000000001" customHeight="1" thickBot="1" x14ac:dyDescent="0.35">
      <c r="A11" s="2" t="s">
        <v>43</v>
      </c>
      <c r="C11" s="19" t="s">
        <v>72</v>
      </c>
    </row>
    <row r="12" spans="1:3" ht="20.100000000000001" customHeight="1" thickBot="1" x14ac:dyDescent="0.35">
      <c r="A12" s="2" t="s">
        <v>44</v>
      </c>
      <c r="C12" s="19" t="s">
        <v>73</v>
      </c>
    </row>
    <row r="13" spans="1:3" ht="20.100000000000001" customHeight="1" thickBot="1" x14ac:dyDescent="0.35">
      <c r="A13" s="2" t="s">
        <v>45</v>
      </c>
      <c r="C13" s="19" t="s">
        <v>74</v>
      </c>
    </row>
    <row r="14" spans="1:3" ht="20.100000000000001" customHeight="1" thickBot="1" x14ac:dyDescent="0.35">
      <c r="A14" s="2" t="s">
        <v>46</v>
      </c>
      <c r="C14" s="19" t="s">
        <v>75</v>
      </c>
    </row>
    <row r="15" spans="1:3" ht="20.100000000000001" customHeight="1" thickBot="1" x14ac:dyDescent="0.35">
      <c r="A15" s="2" t="s">
        <v>47</v>
      </c>
      <c r="C15" s="19" t="s">
        <v>76</v>
      </c>
    </row>
    <row r="16" spans="1:3" ht="20.100000000000001" customHeight="1" thickBot="1" x14ac:dyDescent="0.35">
      <c r="A16" s="2" t="s">
        <v>10</v>
      </c>
      <c r="C16" s="19" t="s">
        <v>77</v>
      </c>
    </row>
    <row r="17" spans="1:3" ht="20.100000000000001" customHeight="1" thickBot="1" x14ac:dyDescent="0.35">
      <c r="A17" s="2" t="s">
        <v>27</v>
      </c>
      <c r="C17" s="19" t="s">
        <v>78</v>
      </c>
    </row>
    <row r="18" spans="1:3" ht="20.100000000000001" customHeight="1" thickBot="1" x14ac:dyDescent="0.35">
      <c r="A18" s="2" t="s">
        <v>48</v>
      </c>
      <c r="C18" s="19" t="s">
        <v>79</v>
      </c>
    </row>
    <row r="19" spans="1:3" ht="20.100000000000001" customHeight="1" thickBot="1" x14ac:dyDescent="0.35">
      <c r="A19" s="2" t="s">
        <v>49</v>
      </c>
      <c r="C19" s="19" t="s">
        <v>80</v>
      </c>
    </row>
    <row r="20" spans="1:3" ht="20.100000000000001" customHeight="1" thickBot="1" x14ac:dyDescent="0.35">
      <c r="A20" s="2" t="s">
        <v>50</v>
      </c>
      <c r="C20" s="19" t="s">
        <v>81</v>
      </c>
    </row>
    <row r="21" spans="1:3" ht="20.100000000000001" customHeight="1" thickBot="1" x14ac:dyDescent="0.35">
      <c r="A21" s="2" t="s">
        <v>51</v>
      </c>
      <c r="C21" s="19" t="s">
        <v>82</v>
      </c>
    </row>
    <row r="22" spans="1:3" ht="20.100000000000001" customHeight="1" thickBot="1" x14ac:dyDescent="0.35">
      <c r="A22" s="2" t="s">
        <v>11</v>
      </c>
      <c r="C22" s="19" t="s">
        <v>83</v>
      </c>
    </row>
    <row r="23" spans="1:3" ht="20.100000000000001" customHeight="1" thickBot="1" x14ac:dyDescent="0.35">
      <c r="A23" s="2" t="s">
        <v>12</v>
      </c>
      <c r="C23" s="19" t="s">
        <v>84</v>
      </c>
    </row>
    <row r="24" spans="1:3" ht="20.100000000000001" customHeight="1" thickBot="1" x14ac:dyDescent="0.35">
      <c r="A24" s="2" t="s">
        <v>15</v>
      </c>
      <c r="C24" s="19" t="s">
        <v>85</v>
      </c>
    </row>
    <row r="25" spans="1:3" ht="20.100000000000001" customHeight="1" thickBot="1" x14ac:dyDescent="0.35">
      <c r="A25" s="2" t="s">
        <v>28</v>
      </c>
      <c r="C25" s="19" t="s">
        <v>86</v>
      </c>
    </row>
    <row r="26" spans="1:3" ht="20.100000000000001" customHeight="1" thickBot="1" x14ac:dyDescent="0.35">
      <c r="A26" s="2" t="s">
        <v>29</v>
      </c>
      <c r="C26" s="19" t="s">
        <v>87</v>
      </c>
    </row>
    <row r="27" spans="1:3" ht="20.100000000000001" customHeight="1" thickBot="1" x14ac:dyDescent="0.35">
      <c r="A27" s="2" t="s">
        <v>13</v>
      </c>
      <c r="C27" s="19" t="s">
        <v>88</v>
      </c>
    </row>
    <row r="28" spans="1:3" ht="20.100000000000001" customHeight="1" thickBot="1" x14ac:dyDescent="0.35">
      <c r="A28" s="2" t="s">
        <v>30</v>
      </c>
      <c r="C28" s="19" t="s">
        <v>89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90</v>
      </c>
    </row>
    <row r="200" spans="1:1" ht="20.100000000000001" customHeight="1" x14ac:dyDescent="0.3">
      <c r="A200" s="20" t="s">
        <v>91</v>
      </c>
    </row>
    <row r="201" spans="1:1" ht="20.100000000000001" customHeight="1" x14ac:dyDescent="0.3">
      <c r="A201" s="20" t="s">
        <v>92</v>
      </c>
    </row>
    <row r="202" spans="1:1" ht="20.100000000000001" customHeight="1" x14ac:dyDescent="0.3">
      <c r="A202" s="20" t="s">
        <v>93</v>
      </c>
    </row>
    <row r="203" spans="1:1" ht="20.100000000000001" customHeight="1" x14ac:dyDescent="0.3">
      <c r="A203" s="20" t="s">
        <v>94</v>
      </c>
    </row>
    <row r="204" spans="1:1" ht="20.100000000000001" customHeight="1" x14ac:dyDescent="0.3">
      <c r="A204" s="20" t="s">
        <v>95</v>
      </c>
    </row>
    <row r="205" spans="1:1" ht="20.100000000000001" customHeight="1" x14ac:dyDescent="0.3">
      <c r="A205" s="20" t="s">
        <v>96</v>
      </c>
    </row>
    <row r="206" spans="1:1" ht="20.100000000000001" customHeight="1" x14ac:dyDescent="0.3">
      <c r="A206" s="20" t="s">
        <v>97</v>
      </c>
    </row>
    <row r="207" spans="1:1" ht="20.100000000000001" customHeight="1" x14ac:dyDescent="0.3">
      <c r="A207" s="20" t="s">
        <v>98</v>
      </c>
    </row>
    <row r="208" spans="1:1" ht="20.100000000000001" customHeight="1" x14ac:dyDescent="0.3">
      <c r="A208" s="21" t="s">
        <v>99</v>
      </c>
    </row>
    <row r="209" spans="1:1" ht="20.100000000000001" customHeight="1" x14ac:dyDescent="0.3">
      <c r="A209" s="21" t="s">
        <v>100</v>
      </c>
    </row>
    <row r="210" spans="1:1" ht="20.100000000000001" customHeight="1" x14ac:dyDescent="0.3">
      <c r="A210" s="20" t="s">
        <v>101</v>
      </c>
    </row>
    <row r="211" spans="1:1" ht="20.100000000000001" customHeight="1" x14ac:dyDescent="0.3">
      <c r="A211" s="20" t="s">
        <v>102</v>
      </c>
    </row>
    <row r="212" spans="1:1" ht="20.100000000000001" customHeight="1" x14ac:dyDescent="0.3">
      <c r="A212" s="20" t="s">
        <v>103</v>
      </c>
    </row>
    <row r="213" spans="1:1" ht="20.100000000000001" customHeight="1" x14ac:dyDescent="0.3">
      <c r="A213" s="20" t="s">
        <v>104</v>
      </c>
    </row>
    <row r="214" spans="1:1" ht="20.100000000000001" customHeight="1" x14ac:dyDescent="0.3">
      <c r="A214" s="20" t="s">
        <v>105</v>
      </c>
    </row>
    <row r="215" spans="1:1" ht="20.100000000000001" customHeight="1" x14ac:dyDescent="0.3">
      <c r="A215" s="20" t="s">
        <v>106</v>
      </c>
    </row>
    <row r="216" spans="1:1" ht="20.100000000000001" customHeight="1" x14ac:dyDescent="0.3">
      <c r="A216" s="20" t="s">
        <v>107</v>
      </c>
    </row>
    <row r="217" spans="1:1" ht="20.100000000000001" customHeight="1" x14ac:dyDescent="0.3">
      <c r="A217" s="20" t="s">
        <v>108</v>
      </c>
    </row>
    <row r="218" spans="1:1" ht="20.100000000000001" customHeight="1" x14ac:dyDescent="0.3">
      <c r="A218" s="20" t="s">
        <v>109</v>
      </c>
    </row>
    <row r="219" spans="1:1" ht="20.100000000000001" customHeight="1" x14ac:dyDescent="0.3">
      <c r="A219" s="20" t="s">
        <v>110</v>
      </c>
    </row>
    <row r="220" spans="1:1" ht="20.100000000000001" customHeight="1" x14ac:dyDescent="0.3">
      <c r="A220" s="20" t="s">
        <v>111</v>
      </c>
    </row>
    <row r="221" spans="1:1" ht="20.100000000000001" customHeight="1" x14ac:dyDescent="0.3">
      <c r="A221" s="20" t="s">
        <v>112</v>
      </c>
    </row>
    <row r="222" spans="1:1" ht="20.100000000000001" customHeight="1" x14ac:dyDescent="0.3">
      <c r="A222" s="20" t="s">
        <v>113</v>
      </c>
    </row>
    <row r="223" spans="1:1" ht="20.100000000000001" customHeight="1" x14ac:dyDescent="0.3">
      <c r="A223" s="20" t="s">
        <v>114</v>
      </c>
    </row>
    <row r="224" spans="1:1" ht="20.100000000000001" customHeight="1" x14ac:dyDescent="0.3">
      <c r="A224" s="20" t="s">
        <v>115</v>
      </c>
    </row>
    <row r="225" spans="1:1" ht="20.100000000000001" customHeight="1" x14ac:dyDescent="0.3">
      <c r="A225" s="20" t="s">
        <v>116</v>
      </c>
    </row>
    <row r="226" spans="1:1" ht="20.100000000000001" customHeight="1" x14ac:dyDescent="0.3">
      <c r="A226" s="20" t="s">
        <v>117</v>
      </c>
    </row>
    <row r="227" spans="1:1" ht="20.100000000000001" customHeight="1" x14ac:dyDescent="0.3">
      <c r="A227" s="20" t="s">
        <v>118</v>
      </c>
    </row>
    <row r="228" spans="1:1" ht="20.100000000000001" customHeight="1" x14ac:dyDescent="0.3">
      <c r="A228" s="20" t="s">
        <v>119</v>
      </c>
    </row>
    <row r="229" spans="1:1" ht="20.100000000000001" customHeight="1" x14ac:dyDescent="0.3">
      <c r="A229" s="20" t="s">
        <v>120</v>
      </c>
    </row>
    <row r="230" spans="1:1" ht="20.100000000000001" customHeight="1" x14ac:dyDescent="0.3">
      <c r="A230" s="20" t="s">
        <v>121</v>
      </c>
    </row>
    <row r="231" spans="1:1" ht="20.100000000000001" customHeight="1" x14ac:dyDescent="0.3">
      <c r="A231" s="20" t="s">
        <v>122</v>
      </c>
    </row>
    <row r="232" spans="1:1" ht="20.100000000000001" customHeight="1" x14ac:dyDescent="0.3">
      <c r="A232" s="20" t="s">
        <v>123</v>
      </c>
    </row>
    <row r="233" spans="1:1" ht="20.100000000000001" customHeight="1" x14ac:dyDescent="0.3">
      <c r="A233" s="20" t="s">
        <v>124</v>
      </c>
    </row>
    <row r="234" spans="1:1" ht="20.100000000000001" customHeight="1" x14ac:dyDescent="0.3">
      <c r="A234" s="20" t="s">
        <v>125</v>
      </c>
    </row>
    <row r="235" spans="1:1" ht="20.100000000000001" customHeight="1" x14ac:dyDescent="0.3">
      <c r="A235" s="22" t="s">
        <v>126</v>
      </c>
    </row>
    <row r="236" spans="1:1" ht="20.100000000000001" customHeight="1" x14ac:dyDescent="0.3">
      <c r="A236" s="20" t="s">
        <v>127</v>
      </c>
    </row>
    <row r="237" spans="1:1" ht="20.100000000000001" customHeight="1" x14ac:dyDescent="0.3">
      <c r="A237" s="20" t="s">
        <v>128</v>
      </c>
    </row>
    <row r="238" spans="1:1" ht="20.100000000000001" customHeight="1" x14ac:dyDescent="0.3">
      <c r="A238" s="20" t="s">
        <v>129</v>
      </c>
    </row>
    <row r="239" spans="1:1" ht="20.100000000000001" customHeight="1" x14ac:dyDescent="0.3">
      <c r="A239" s="20" t="s">
        <v>130</v>
      </c>
    </row>
    <row r="240" spans="1:1" ht="20.100000000000001" customHeight="1" x14ac:dyDescent="0.3">
      <c r="A240" s="20" t="s">
        <v>131</v>
      </c>
    </row>
    <row r="241" spans="1:1" ht="20.100000000000001" customHeight="1" x14ac:dyDescent="0.3">
      <c r="A241" s="20" t="s">
        <v>132</v>
      </c>
    </row>
    <row r="242" spans="1:1" ht="20.100000000000001" customHeight="1" x14ac:dyDescent="0.3">
      <c r="A242" s="20" t="s">
        <v>133</v>
      </c>
    </row>
    <row r="243" spans="1:1" ht="20.100000000000001" customHeight="1" x14ac:dyDescent="0.3">
      <c r="A243" s="20" t="s">
        <v>134</v>
      </c>
    </row>
    <row r="244" spans="1:1" ht="20.100000000000001" customHeight="1" x14ac:dyDescent="0.3">
      <c r="A244" s="20" t="s">
        <v>135</v>
      </c>
    </row>
    <row r="245" spans="1:1" ht="20.100000000000001" customHeight="1" x14ac:dyDescent="0.3">
      <c r="A245" s="20" t="s">
        <v>136</v>
      </c>
    </row>
    <row r="246" spans="1:1" ht="20.100000000000001" customHeight="1" x14ac:dyDescent="0.3">
      <c r="A246" s="20" t="s">
        <v>137</v>
      </c>
    </row>
    <row r="247" spans="1:1" ht="20.100000000000001" customHeight="1" x14ac:dyDescent="0.3">
      <c r="A247" s="20" t="s">
        <v>128</v>
      </c>
    </row>
    <row r="248" spans="1:1" ht="20.100000000000001" customHeight="1" x14ac:dyDescent="0.3">
      <c r="A248" s="20" t="s">
        <v>138</v>
      </c>
    </row>
    <row r="249" spans="1:1" ht="20.100000000000001" customHeight="1" x14ac:dyDescent="0.3">
      <c r="A249" s="20" t="s">
        <v>139</v>
      </c>
    </row>
    <row r="250" spans="1:1" ht="20.100000000000001" customHeight="1" x14ac:dyDescent="0.3">
      <c r="A250" s="22" t="s">
        <v>140</v>
      </c>
    </row>
    <row r="251" spans="1:1" ht="20.100000000000001" customHeight="1" x14ac:dyDescent="0.3">
      <c r="A251" s="23" t="s">
        <v>141</v>
      </c>
    </row>
    <row r="252" spans="1:1" ht="20.100000000000001" customHeight="1" x14ac:dyDescent="0.3">
      <c r="A252" s="20" t="s">
        <v>142</v>
      </c>
    </row>
    <row r="253" spans="1:1" ht="20.100000000000001" customHeight="1" x14ac:dyDescent="0.3">
      <c r="A253" s="20" t="s">
        <v>143</v>
      </c>
    </row>
    <row r="254" spans="1:1" ht="20.100000000000001" customHeight="1" x14ac:dyDescent="0.3">
      <c r="A254" s="24" t="s">
        <v>144</v>
      </c>
    </row>
    <row r="255" spans="1:1" ht="20.100000000000001" customHeight="1" x14ac:dyDescent="0.3">
      <c r="A255" s="24" t="s">
        <v>145</v>
      </c>
    </row>
    <row r="256" spans="1:1" ht="20.100000000000001" customHeight="1" x14ac:dyDescent="0.3">
      <c r="A256" s="25" t="s">
        <v>146</v>
      </c>
    </row>
    <row r="257" spans="1:1" ht="20.100000000000001" customHeight="1" x14ac:dyDescent="0.3">
      <c r="A257" s="20" t="s">
        <v>147</v>
      </c>
    </row>
    <row r="258" spans="1:1" ht="20.100000000000001" customHeight="1" x14ac:dyDescent="0.3">
      <c r="A258" s="25" t="s">
        <v>148</v>
      </c>
    </row>
    <row r="259" spans="1:1" ht="20.100000000000001" customHeight="1" x14ac:dyDescent="0.3">
      <c r="A259" s="20" t="s">
        <v>149</v>
      </c>
    </row>
    <row r="260" spans="1:1" ht="20.100000000000001" customHeight="1" x14ac:dyDescent="0.3">
      <c r="A260" s="25" t="s">
        <v>150</v>
      </c>
    </row>
    <row r="261" spans="1:1" ht="20.100000000000001" customHeight="1" x14ac:dyDescent="0.3">
      <c r="A261" s="20" t="s">
        <v>151</v>
      </c>
    </row>
    <row r="262" spans="1:1" ht="20.100000000000001" customHeight="1" x14ac:dyDescent="0.3">
      <c r="A262" s="20" t="s">
        <v>152</v>
      </c>
    </row>
    <row r="263" spans="1:1" ht="20.100000000000001" customHeight="1" x14ac:dyDescent="0.3">
      <c r="A263" s="25" t="s">
        <v>153</v>
      </c>
    </row>
    <row r="264" spans="1:1" ht="20.100000000000001" customHeight="1" x14ac:dyDescent="0.3">
      <c r="A264" s="25" t="s">
        <v>154</v>
      </c>
    </row>
    <row r="265" spans="1:1" ht="20.100000000000001" customHeight="1" x14ac:dyDescent="0.3">
      <c r="A265" s="25" t="s">
        <v>155</v>
      </c>
    </row>
    <row r="266" spans="1:1" ht="20.100000000000001" customHeight="1" x14ac:dyDescent="0.3">
      <c r="A266" s="20" t="s">
        <v>156</v>
      </c>
    </row>
    <row r="267" spans="1:1" ht="20.100000000000001" customHeight="1" x14ac:dyDescent="0.3">
      <c r="A267" s="20" t="s">
        <v>157</v>
      </c>
    </row>
    <row r="268" spans="1:1" ht="20.100000000000001" customHeight="1" x14ac:dyDescent="0.3">
      <c r="A268" s="20" t="s">
        <v>158</v>
      </c>
    </row>
    <row r="269" spans="1:1" ht="20.100000000000001" customHeight="1" x14ac:dyDescent="0.3">
      <c r="A269" s="20" t="s">
        <v>159</v>
      </c>
    </row>
    <row r="270" spans="1:1" ht="20.100000000000001" customHeight="1" x14ac:dyDescent="0.3">
      <c r="A270" s="25" t="s">
        <v>160</v>
      </c>
    </row>
    <row r="271" spans="1:1" ht="20.100000000000001" customHeight="1" x14ac:dyDescent="0.3">
      <c r="A271" s="25" t="s">
        <v>161</v>
      </c>
    </row>
    <row r="272" spans="1:1" ht="20.100000000000001" customHeight="1" x14ac:dyDescent="0.3">
      <c r="A272" s="20" t="s">
        <v>162</v>
      </c>
    </row>
    <row r="273" spans="1:1" ht="20.100000000000001" customHeight="1" x14ac:dyDescent="0.3">
      <c r="A273" s="25" t="s">
        <v>163</v>
      </c>
    </row>
    <row r="274" spans="1:1" ht="20.100000000000001" customHeight="1" x14ac:dyDescent="0.3">
      <c r="A274" s="25" t="s">
        <v>164</v>
      </c>
    </row>
    <row r="275" spans="1:1" ht="20.100000000000001" customHeight="1" x14ac:dyDescent="0.3">
      <c r="A275" s="20" t="s">
        <v>165</v>
      </c>
    </row>
    <row r="276" spans="1:1" ht="20.100000000000001" customHeight="1" x14ac:dyDescent="0.3">
      <c r="A276" s="20" t="s">
        <v>166</v>
      </c>
    </row>
    <row r="277" spans="1:1" ht="20.100000000000001" customHeight="1" x14ac:dyDescent="0.3">
      <c r="A277" s="25" t="s">
        <v>167</v>
      </c>
    </row>
    <row r="278" spans="1:1" ht="20.100000000000001" customHeight="1" x14ac:dyDescent="0.3">
      <c r="A278" s="20" t="s">
        <v>168</v>
      </c>
    </row>
    <row r="279" spans="1:1" ht="20.100000000000001" customHeight="1" x14ac:dyDescent="0.3">
      <c r="A279" s="20" t="s">
        <v>169</v>
      </c>
    </row>
    <row r="280" spans="1:1" ht="20.100000000000001" customHeight="1" x14ac:dyDescent="0.3">
      <c r="A280" s="20" t="s">
        <v>170</v>
      </c>
    </row>
    <row r="281" spans="1:1" ht="20.100000000000001" customHeight="1" x14ac:dyDescent="0.3">
      <c r="A281" s="20" t="s">
        <v>171</v>
      </c>
    </row>
    <row r="282" spans="1:1" ht="20.100000000000001" customHeight="1" x14ac:dyDescent="0.3">
      <c r="A282" s="25" t="s">
        <v>172</v>
      </c>
    </row>
    <row r="283" spans="1:1" ht="20.100000000000001" customHeight="1" x14ac:dyDescent="0.3">
      <c r="A283" s="25" t="s">
        <v>173</v>
      </c>
    </row>
    <row r="284" spans="1:1" ht="20.100000000000001" customHeight="1" x14ac:dyDescent="0.3">
      <c r="A284" s="25" t="s">
        <v>174</v>
      </c>
    </row>
    <row r="285" spans="1:1" ht="20.100000000000001" customHeight="1" thickBot="1" x14ac:dyDescent="0.35">
      <c r="A285" s="20" t="s">
        <v>175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2025-10-21T19:47:35Z</dcterms:modified>
</cp:coreProperties>
</file>