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7D3100B3-53E0-4A32-ADD9-49FD826CF5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H28" i="2"/>
  <c r="G27" i="2"/>
  <c r="H27" i="2"/>
  <c r="G9" i="2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30" i="2"/>
  <c r="H30" i="2"/>
  <c r="G31" i="2"/>
  <c r="H31" i="2"/>
  <c r="G32" i="2"/>
  <c r="H32" i="2"/>
  <c r="G33" i="2"/>
  <c r="H33" i="2"/>
  <c r="F34" i="2"/>
  <c r="E35" i="2" s="1"/>
  <c r="E36" i="2" s="1"/>
  <c r="E34" i="2"/>
</calcChain>
</file>

<file path=xl/sharedStrings.xml><?xml version="1.0" encoding="utf-8"?>
<sst xmlns="http://schemas.openxmlformats.org/spreadsheetml/2006/main" count="264" uniqueCount="208">
  <si>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</si>
  <si>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</si>
  <si>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</si>
  <si>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</si>
  <si>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</si>
  <si>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</si>
  <si>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</si>
  <si>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</si>
  <si>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</si>
  <si>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</si>
  <si>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</si>
  <si>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</si>
  <si>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</si>
  <si>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</si>
  <si>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</si>
  <si>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</si>
  <si>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</si>
  <si>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</si>
  <si>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</si>
  <si>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</si>
  <si>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</si>
  <si>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</si>
  <si>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</si>
  <si>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</si>
  <si>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</si>
  <si>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</si>
  <si>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</si>
  <si>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</si>
  <si>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</si>
  <si>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</si>
  <si>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</si>
  <si>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</si>
  <si>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</si>
  <si>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</si>
  <si>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</si>
  <si>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</si>
  <si>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</si>
  <si>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</si>
  <si>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</si>
  <si>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</si>
  <si>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</si>
  <si>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</si>
  <si>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</si>
  <si>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</si>
  <si>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</si>
  <si>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</si>
  <si>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</si>
  <si>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</si>
  <si>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</si>
  <si>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</si>
  <si>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</si>
  <si>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</si>
  <si>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</si>
  <si>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</si>
  <si>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</si>
  <si>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</si>
  <si>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</si>
  <si>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</si>
  <si>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</si>
  <si>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</si>
  <si>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</si>
  <si>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</si>
  <si>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</si>
  <si>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</si>
  <si>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</si>
  <si>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</si>
  <si>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</si>
  <si>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</si>
  <si>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</si>
  <si>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</si>
  <si>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</si>
  <si>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</si>
  <si>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</si>
  <si>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</si>
  <si>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</si>
  <si>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</si>
  <si>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</si>
  <si>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</si>
  <si>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</si>
  <si>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</si>
  <si>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</si>
  <si>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</si>
  <si>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</si>
  <si>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</si>
  <si>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</si>
  <si>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</si>
  <si>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</si>
  <si>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</si>
  <si>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</si>
  <si>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</si>
  <si>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</si>
  <si>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</si>
  <si>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</si>
  <si>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</si>
  <si>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</si>
  <si>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</si>
  <si>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</si>
  <si>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</si>
  <si>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</si>
  <si>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</si>
  <si>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</si>
  <si>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</si>
  <si>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</si>
  <si>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</si>
  <si>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</si>
  <si>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</si>
  <si>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</si>
  <si>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</si>
  <si>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</si>
  <si>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</si>
  <si>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</si>
  <si>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</si>
  <si>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</si>
  <si>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</si>
  <si>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</si>
  <si>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</si>
  <si>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</si>
  <si>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</si>
  <si>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</si>
  <si>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</si>
  <si>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</si>
  <si>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</si>
  <si>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</si>
  <si>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</si>
  <si>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</si>
  <si>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</si>
  <si>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</si>
  <si>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</si>
  <si>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</si>
  <si>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</si>
  <si>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</si>
  <si>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</si>
  <si>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</si>
  <si>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</si>
  <si>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</si>
  <si>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</si>
  <si>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</si>
  <si>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</si>
  <si>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</si>
  <si>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</si>
  <si>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</si>
  <si>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</si>
  <si>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</si>
  <si>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</si>
  <si>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</si>
  <si>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</si>
  <si>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</si>
  <si>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</si>
  <si>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</si>
  <si>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</si>
  <si>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</si>
  <si>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</si>
  <si>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</si>
  <si>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</si>
  <si>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</si>
  <si>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</si>
  <si>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</si>
  <si>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</si>
  <si>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</si>
  <si>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</si>
  <si>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</si>
  <si>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</si>
  <si>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</si>
  <si>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</si>
  <si>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</si>
  <si>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</si>
  <si>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</si>
  <si>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</si>
  <si>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</si>
  <si>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</si>
  <si>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</si>
  <si>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</si>
  <si>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</si>
  <si>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</si>
  <si>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</si>
  <si>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</si>
  <si>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</si>
  <si>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</si>
  <si>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</si>
  <si>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</si>
  <si>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</t>
  </si>
  <si>
    <t>إجراءات القادة والقوات أثناء التحرك لمناطق الانتشار</t>
  </si>
  <si>
    <t>إجراءات دخول القوات في مناطق الانتشار وتأمينها</t>
  </si>
  <si>
    <t>تجهيز وإعداد مناطق الانتشار والإجراءات المتخذة فيها</t>
  </si>
  <si>
    <t>إجراءات الإسناد الإداري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</si>
  <si>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إبلاغ المرؤوسين بالبدء بتنفيذ خطة التحرك لمناطق الانتشار.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</si>
  <si>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إرسال مجموعات الحماية والاستطلاع والأدلاء إلى مناطق الانتشار.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</si>
  <si>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تحميل وثائق العمليات.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</si>
  <si>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التقيد بتنفيذ إجراءات التحرك حسب أمر / جدول التنقل.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</si>
  <si>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سيطرة القادة على قواتهم أثناء التحرك.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</si>
  <si>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توفر الحماية للقوات أثناء التحرك.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</si>
  <si>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تحقيـق الاتصال بالمستـوى الأعلى والادنى.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</si>
  <si>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فتح نقاط ضبط وسيطرة من قبل الشرطة العسكرية / شرطة الوحدة.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</si>
  <si>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جماعة الإرشاد (الإدلاء) والقيام بأداء المهام والواجبات.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</si>
  <si>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وجود عناصر من الوحدات لتأمين المواقع.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</si>
  <si>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قيام الوحدات باحتلال أماكنها وقيام الأسلحة العضوية والمساندة باحتلال مواقع النيران المخصصة.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</si>
  <si>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تسلسل الدخول لمناطق الانتشار حسب جدول التنقل.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</si>
  <si>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توزيع المعدات بالطريقة الصحيحة مع تقسيم منطقة الانتشار إلى قطاعات.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</si>
  <si>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التزويد (الوقود / الأرزاق / المياه، الخ..).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</si>
  <si>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الإخـلاء.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</si>
  <si>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الإنقـاذ.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</si>
  <si>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الطرق الرئيسة والتبادلية المؤديـة إلى ومن مناطق الانتشــار.</t>
    </r>
  </si>
  <si>
    <r>
      <rPr>
        <b/>
        <sz val="14"/>
        <color rgb="FF000000"/>
        <rFont val="Arial"/>
        <family val="2"/>
      </rPr>
      <t>تقييم سرية التزويد والنقل في التحرك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</si>
  <si>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التأكد من الإخفاء والتمويه.</t>
    </r>
  </si>
  <si>
    <t>التأكد من فتح وإدامة مراكز القيادة والاتصالات والسيطرة</t>
  </si>
  <si>
    <t>وجود تعليمات الإنـــذار</t>
  </si>
  <si>
    <t>التأكد من تأمين مناطق الانتشار بالاتصالات</t>
  </si>
  <si>
    <t>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</si>
</sst>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14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23" xfId="0" applyFont="1" applyBorder="1" applyAlignment="1">
      <alignment horizontal="right" vertical="center" wrapText="1" readingOrder="2"/>
    </xf>
    <xf numFmtId="0" fontId="3" fillId="0" borderId="3" xfId="0" applyFont="1" applyBorder="1" applyAlignment="1">
      <alignment horizontal="right" vertical="center" wrapText="1" readingOrder="2"/>
    </xf>
    <xf numFmtId="0" fontId="3" fillId="0" borderId="11" xfId="0" applyFont="1" applyBorder="1" applyAlignment="1">
      <alignment horizontal="right" vertical="center" wrapText="1" readingOrder="2"/>
    </xf>
    <xf numFmtId="0" fontId="3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552705</xdr:colOff>
      <xdr:row>37</xdr:row>
      <xdr:rowOff>88468</xdr:rowOff>
    </xdr:from>
    <xdr:to>
      <xdr:col>7</xdr:col>
      <xdr:colOff>411215</xdr:colOff>
      <xdr:row>37</xdr:row>
      <xdr:rowOff>329308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88CF027-081A-169B-903B-F349A5BABB87}"/>
                </a:ext>
              </a:extLst>
            </xdr14:cNvPr>
            <xdr14:cNvContentPartPr/>
          </xdr14:nvContentPartPr>
          <xdr14:nvPr macro=""/>
          <xdr14:xfrm>
            <a:off x="10399491785" y="14335560"/>
            <a:ext cx="516600" cy="240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88CF027-081A-169B-903B-F349A5BABB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485665" y="14329440"/>
              <a:ext cx="52884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94785</xdr:colOff>
      <xdr:row>37</xdr:row>
      <xdr:rowOff>168388</xdr:rowOff>
    </xdr:from>
    <xdr:to>
      <xdr:col>8</xdr:col>
      <xdr:colOff>84684</xdr:colOff>
      <xdr:row>37</xdr:row>
      <xdr:rowOff>622708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313ECED-3CCD-741D-2900-8B0D3A7CFAD0}"/>
                </a:ext>
              </a:extLst>
            </xdr14:cNvPr>
            <xdr14:cNvContentPartPr/>
          </xdr14:nvContentPartPr>
          <xdr14:nvPr macro=""/>
          <xdr14:xfrm>
            <a:off x="10399160225" y="14415480"/>
            <a:ext cx="1306080" cy="4543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313ECED-3CCD-741D-2900-8B0D3A7CFA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154105" y="14409360"/>
              <a:ext cx="1318320" cy="466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3:46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747 454 2904,'0'0'0,"0"-11"2361,0 11-2361,-2-6 760,-3-11-208,5 4-184,0 8-104,0-11-88,0 3-80,0-2 0,0-2-8,2-1-16,3-3-40,-2 3 40,-1-1-72,-2 19 0,5-18 48,-1 2-32,8 2-24,-10-2 96,-2 16-88,13-14-40,-1 0 64,4-2 8,1 2-112,-17 14 80,23-16 16,0 1-16,0-2 0,10 1 16,-33 16-16,33-16-16,1 2-16,1 0 0,2 1 0,-37 13 32,37-6-8,-2-5 72,0 8-72,-1 2 40,-34 1-32,33 0 24,-3 0-136,0 13 48,-7-1-8,-23-12 72,23 17-112,-8 5 40,-4-1 0,-9 3-24,-2-24 96,0 24-88,0 1 32,-13 0 64,-4-1-72,17-24 64,-21 24-40,-4-1 8,-3-1-64,-2-3 104,30-19-8,-33 20 24,-1-1 40,-1-2-24,0-4 32,35-13-72,-37 11 104,0-7-32,2 8 24,1-12-32,34 0-64,-28 0 72,5 0 8,3-2 56,7-1 8,13 3-144,-5-11 120,0 5 40,-2-8-88,7 1-16,0 13-56,0-12 0,0-1-32,5-1-8,7 2-8,-12 12 48,5-13-64,8 9 16,-1-9 8,-1 11 16,-11 2 24,12-3-16,-1 1-8,1 2 16,-9 3-8,-3-3 16,8 4-16,-8 12 0,0-3 16,0 2 8,0-15-8,-3 19 40,-17-1-8,2 4 16,-5-4 32,23-18-80,-30 19 48,-3-2 40,1 0 64,-5-2-32,37-15-120,-35 15 184,-2-4-24,0-7-72,2 1 64,35-5-152,-30 2 160,4-2 25,3-1 7,2-3-24,21 4-168,-20-6 128,8-8-24,1 10 0,8-9-64,3 13-40,-7-5 48,2-6-32,5 8 8,-2 0 0,2 3-24,0-1-32,0 0 8,0 1-72,0 0 48,0 0 48,0 0-16,0 0 0,0 2-16,-3 11 16,3-13 16,-3 4-8,0 12 8,-9-2 48,7 1-16,5-15-32,-18 14 56,6 1-8,-6 0 16,2-1-24,16-14-40,-19 14 40,-2-1-8,3 1-24,-3-1 8,21-13-16,-23 13-8,-1-2 0,1 0-24,-2-6-40,25-5 72,-26 14-160,-6-11-160,0 8-417,-1-11-623,33 0 1360,-28 3-1688,3-3-425,-5 0-911,30 0 3024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3:46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922 165 4809,'0'0'0,"-20"27"1248,-10 10-968,30-37-280,-38 50 160,3 7-48,5 0-32,-3 1 8,33-58-88,-40 64 8,0 2-16,-4 3-16,-10-1-24,54-68 48,-51 71 0,-10-3-16,-2 1 0,2-3 8,61-66 8,-60 60-8,-1-5 16,3-8 24,9-8 16,49-39-48,-43 31 112,15-10 24,10-6 16,16-13 16,2-2-168,-3 0 296,8 0 120,11-5 88,10-15 80,-26 20-584,42-21 505,15-11-97,12-8-24,13-8-72,-82 48-312,95-55 248,20-6-32,16-6-48,18-3 32,-149 70-200,163-72 112,13-7-24,8-1-24,5 0-112,-189 80 48,198-78 72,0 4-32,-1 2-104,-5 5 88,-192 67-24,184-60-24,-6 5-24,-17 11 64,-12 8-64,-149 36 48,128-27-96,-18 11-120,-12 14-272,-21 2-736,-77 0 1224,66 2-2153,-18 13-391,-10-3-1441,-38-12 3985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A28" zoomScale="130" zoomScaleNormal="100" zoomScaleSheetLayoutView="130" workbookViewId="0">
      <selection activeCell="F26" sqref="F2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2" t="s">
        <v>202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3">
      <c r="B2" s="11" t="s">
        <v>8</v>
      </c>
      <c r="C2" s="68" t="s">
        <v>33</v>
      </c>
      <c r="D2" s="68"/>
      <c r="E2" s="11" t="s">
        <v>7</v>
      </c>
      <c r="F2" s="63">
        <v>45931</v>
      </c>
      <c r="G2" s="63"/>
      <c r="H2" s="63"/>
      <c r="I2" s="63"/>
      <c r="J2" s="63"/>
    </row>
    <row r="3" spans="1:10" ht="30" customHeight="1" x14ac:dyDescent="0.3">
      <c r="B3" s="11" t="s">
        <v>9</v>
      </c>
      <c r="C3" s="68" t="s">
        <v>60</v>
      </c>
      <c r="D3" s="68"/>
      <c r="E3" s="11" t="s">
        <v>6</v>
      </c>
      <c r="F3" s="68" t="s">
        <v>120</v>
      </c>
      <c r="G3" s="68"/>
      <c r="H3" s="68"/>
      <c r="I3" s="68"/>
      <c r="J3" s="68"/>
    </row>
    <row r="4" spans="1:10" ht="30" customHeight="1" thickBot="1" x14ac:dyDescent="0.35">
      <c r="B4" s="6"/>
      <c r="C4" s="7"/>
      <c r="D4" s="7" t="s">
        <v>207</v>
      </c>
      <c r="E4" s="6"/>
      <c r="F4" s="7"/>
      <c r="G4" s="7"/>
      <c r="H4" s="8"/>
      <c r="I4" s="7"/>
      <c r="J4" s="7"/>
    </row>
    <row r="5" spans="1:10" ht="24.9" customHeight="1" x14ac:dyDescent="0.3">
      <c r="A5" s="9"/>
      <c r="B5" s="64" t="s">
        <v>0</v>
      </c>
      <c r="C5" s="65"/>
      <c r="D5" s="65"/>
      <c r="E5" s="73" t="s">
        <v>1</v>
      </c>
      <c r="F5" s="73"/>
      <c r="G5" s="73"/>
      <c r="H5" s="73"/>
      <c r="I5" s="73" t="s">
        <v>2</v>
      </c>
      <c r="J5" s="74"/>
    </row>
    <row r="6" spans="1:10" ht="24.9" customHeight="1" thickBot="1" x14ac:dyDescent="0.35">
      <c r="A6" s="9"/>
      <c r="B6" s="66"/>
      <c r="C6" s="67"/>
      <c r="D6" s="67"/>
      <c r="E6" s="10" t="s">
        <v>3</v>
      </c>
      <c r="F6" s="10" t="s">
        <v>4</v>
      </c>
      <c r="G6" s="10" t="s">
        <v>23</v>
      </c>
      <c r="H6" s="10" t="s">
        <v>24</v>
      </c>
      <c r="I6" s="75"/>
      <c r="J6" s="76"/>
    </row>
    <row r="7" spans="1:10" ht="24.9" customHeight="1" thickBot="1" x14ac:dyDescent="0.35">
      <c r="A7" s="9"/>
      <c r="B7" s="71" t="s">
        <v>21</v>
      </c>
      <c r="C7" s="72"/>
      <c r="D7" s="72"/>
      <c r="E7" s="29" t="s">
        <v>18</v>
      </c>
      <c r="F7" s="29" t="s">
        <v>19</v>
      </c>
      <c r="G7" s="29" t="s">
        <v>22</v>
      </c>
      <c r="H7" s="29" t="s">
        <v>20</v>
      </c>
      <c r="I7" s="50" t="s">
        <v>25</v>
      </c>
      <c r="J7" s="51"/>
    </row>
    <row r="8" spans="1:10" ht="30" customHeight="1" x14ac:dyDescent="0.3">
      <c r="A8" s="9"/>
      <c r="B8" s="84" t="s">
        <v>180</v>
      </c>
      <c r="C8" s="85"/>
      <c r="D8" s="85"/>
      <c r="E8" s="28"/>
      <c r="F8" s="33"/>
      <c r="G8" s="34"/>
      <c r="H8" s="35"/>
      <c r="I8" s="54"/>
      <c r="J8" s="55"/>
    </row>
    <row r="9" spans="1:10" ht="30" customHeight="1" x14ac:dyDescent="0.3">
      <c r="A9" s="9"/>
      <c r="B9" s="86" t="s">
        <v>185</v>
      </c>
      <c r="C9" s="87"/>
      <c r="D9" s="87"/>
      <c r="E9" s="26">
        <v>5</v>
      </c>
      <c r="F9" s="25">
        <v>3.5</v>
      </c>
      <c r="G9" s="31">
        <f>IFERROR(F9/E9,"")</f>
        <v>0.7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8"/>
      <c r="J9" s="49"/>
    </row>
    <row r="10" spans="1:10" ht="30" customHeight="1" x14ac:dyDescent="0.3">
      <c r="A10" s="9"/>
      <c r="B10" s="86" t="s">
        <v>186</v>
      </c>
      <c r="C10" s="87"/>
      <c r="D10" s="87"/>
      <c r="E10" s="26">
        <v>5</v>
      </c>
      <c r="F10" s="38">
        <v>3.75</v>
      </c>
      <c r="G10" s="31">
        <f t="shared" ref="G10:G33" si="0">IFERROR(F10/E10,"")</f>
        <v>0.75</v>
      </c>
      <c r="H10" s="32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8"/>
      <c r="J10" s="49"/>
    </row>
    <row r="11" spans="1:10" ht="30" customHeight="1" thickBot="1" x14ac:dyDescent="0.35">
      <c r="A11" s="9"/>
      <c r="B11" s="86" t="s">
        <v>187</v>
      </c>
      <c r="C11" s="87"/>
      <c r="D11" s="87"/>
      <c r="E11" s="26">
        <v>5</v>
      </c>
      <c r="F11" s="38">
        <v>3.5</v>
      </c>
      <c r="G11" s="31">
        <f t="shared" si="0"/>
        <v>0.7</v>
      </c>
      <c r="H11" s="32" t="str">
        <f t="shared" si="1"/>
        <v>جيد</v>
      </c>
      <c r="I11" s="48"/>
      <c r="J11" s="49"/>
    </row>
    <row r="12" spans="1:10" ht="30" customHeight="1" x14ac:dyDescent="0.3">
      <c r="A12" s="9"/>
      <c r="B12" s="84" t="s">
        <v>181</v>
      </c>
      <c r="C12" s="85"/>
      <c r="D12" s="85"/>
      <c r="E12" s="28"/>
      <c r="F12" s="33"/>
      <c r="G12" s="34"/>
      <c r="H12" s="35"/>
      <c r="I12" s="54"/>
      <c r="J12" s="55"/>
    </row>
    <row r="13" spans="1:10" ht="30" customHeight="1" x14ac:dyDescent="0.3">
      <c r="A13" s="9"/>
      <c r="B13" s="86" t="s">
        <v>188</v>
      </c>
      <c r="C13" s="87"/>
      <c r="D13" s="87"/>
      <c r="E13" s="26">
        <v>5</v>
      </c>
      <c r="F13" s="38">
        <v>3.5</v>
      </c>
      <c r="G13" s="31">
        <f t="shared" si="0"/>
        <v>0.7</v>
      </c>
      <c r="H13" s="32" t="str">
        <f t="shared" si="1"/>
        <v>جيد</v>
      </c>
      <c r="I13" s="48"/>
      <c r="J13" s="49"/>
    </row>
    <row r="14" spans="1:10" ht="30" customHeight="1" x14ac:dyDescent="0.3">
      <c r="A14" s="9"/>
      <c r="B14" s="86" t="s">
        <v>189</v>
      </c>
      <c r="C14" s="87"/>
      <c r="D14" s="87"/>
      <c r="E14" s="26">
        <v>5</v>
      </c>
      <c r="F14" s="38">
        <v>3.5</v>
      </c>
      <c r="G14" s="31">
        <f t="shared" si="0"/>
        <v>0.7</v>
      </c>
      <c r="H14" s="32" t="str">
        <f t="shared" si="1"/>
        <v>جيد</v>
      </c>
      <c r="I14" s="48"/>
      <c r="J14" s="49"/>
    </row>
    <row r="15" spans="1:10" ht="30" customHeight="1" x14ac:dyDescent="0.3">
      <c r="A15" s="9"/>
      <c r="B15" s="86" t="s">
        <v>190</v>
      </c>
      <c r="C15" s="87"/>
      <c r="D15" s="87"/>
      <c r="E15" s="26">
        <v>5</v>
      </c>
      <c r="F15" s="38">
        <v>3.75</v>
      </c>
      <c r="G15" s="31">
        <f t="shared" si="0"/>
        <v>0.75</v>
      </c>
      <c r="H15" s="32" t="str">
        <f t="shared" si="1"/>
        <v>جيد</v>
      </c>
      <c r="I15" s="48"/>
      <c r="J15" s="49"/>
    </row>
    <row r="16" spans="1:10" ht="30" customHeight="1" thickBot="1" x14ac:dyDescent="0.35">
      <c r="A16" s="9"/>
      <c r="B16" s="82" t="s">
        <v>191</v>
      </c>
      <c r="C16" s="83"/>
      <c r="D16" s="83"/>
      <c r="E16" s="26">
        <v>5</v>
      </c>
      <c r="F16" s="38">
        <v>3.75</v>
      </c>
      <c r="G16" s="36">
        <f t="shared" si="0"/>
        <v>0.75</v>
      </c>
      <c r="H16" s="37" t="str">
        <f t="shared" si="1"/>
        <v>جيد</v>
      </c>
      <c r="I16" s="52"/>
      <c r="J16" s="53"/>
    </row>
    <row r="17" spans="1:10" ht="30" customHeight="1" x14ac:dyDescent="0.3">
      <c r="A17" s="9"/>
      <c r="B17" s="84" t="s">
        <v>182</v>
      </c>
      <c r="C17" s="85"/>
      <c r="D17" s="85"/>
      <c r="E17" s="28"/>
      <c r="F17" s="33"/>
      <c r="G17" s="34"/>
      <c r="H17" s="35"/>
      <c r="I17" s="54"/>
      <c r="J17" s="55"/>
    </row>
    <row r="18" spans="1:10" ht="30" customHeight="1" x14ac:dyDescent="0.3">
      <c r="A18" s="9"/>
      <c r="B18" s="86" t="s">
        <v>192</v>
      </c>
      <c r="C18" s="87"/>
      <c r="D18" s="87"/>
      <c r="E18" s="26">
        <v>5</v>
      </c>
      <c r="F18" s="38">
        <v>3.75</v>
      </c>
      <c r="G18" s="31">
        <f t="shared" si="0"/>
        <v>0.75</v>
      </c>
      <c r="H18" s="32" t="str">
        <f t="shared" si="1"/>
        <v>جيد</v>
      </c>
      <c r="I18" s="48"/>
      <c r="J18" s="49"/>
    </row>
    <row r="19" spans="1:10" ht="30" customHeight="1" x14ac:dyDescent="0.3">
      <c r="A19" s="9"/>
      <c r="B19" s="86" t="s">
        <v>193</v>
      </c>
      <c r="C19" s="87"/>
      <c r="D19" s="87"/>
      <c r="E19" s="26">
        <v>5</v>
      </c>
      <c r="F19" s="38">
        <v>3.5</v>
      </c>
      <c r="G19" s="31">
        <f t="shared" si="0"/>
        <v>0.7</v>
      </c>
      <c r="H19" s="32" t="str">
        <f t="shared" si="1"/>
        <v>جيد</v>
      </c>
      <c r="I19" s="48"/>
      <c r="J19" s="49"/>
    </row>
    <row r="20" spans="1:10" ht="30" customHeight="1" x14ac:dyDescent="0.3">
      <c r="A20" s="9"/>
      <c r="B20" s="86" t="s">
        <v>194</v>
      </c>
      <c r="C20" s="87"/>
      <c r="D20" s="87"/>
      <c r="E20" s="26">
        <v>5</v>
      </c>
      <c r="F20" s="38">
        <v>3.5</v>
      </c>
      <c r="G20" s="31">
        <f t="shared" si="0"/>
        <v>0.7</v>
      </c>
      <c r="H20" s="32" t="str">
        <f t="shared" si="1"/>
        <v>جيد</v>
      </c>
      <c r="I20" s="48"/>
      <c r="J20" s="49"/>
    </row>
    <row r="21" spans="1:10" ht="30" customHeight="1" x14ac:dyDescent="0.3">
      <c r="A21" s="9"/>
      <c r="B21" s="86" t="s">
        <v>195</v>
      </c>
      <c r="C21" s="87"/>
      <c r="D21" s="87"/>
      <c r="E21" s="26">
        <v>5</v>
      </c>
      <c r="F21" s="38">
        <v>3.75</v>
      </c>
      <c r="G21" s="31">
        <f t="shared" si="0"/>
        <v>0.75</v>
      </c>
      <c r="H21" s="32" t="str">
        <f t="shared" si="1"/>
        <v>جيد</v>
      </c>
      <c r="I21" s="48"/>
      <c r="J21" s="49"/>
    </row>
    <row r="22" spans="1:10" ht="30" customHeight="1" thickBot="1" x14ac:dyDescent="0.35">
      <c r="A22" s="9"/>
      <c r="B22" s="82" t="s">
        <v>196</v>
      </c>
      <c r="C22" s="83"/>
      <c r="D22" s="83"/>
      <c r="E22" s="26">
        <v>5</v>
      </c>
      <c r="F22" s="38">
        <v>3.5</v>
      </c>
      <c r="G22" s="36">
        <f t="shared" si="0"/>
        <v>0.7</v>
      </c>
      <c r="H22" s="37" t="str">
        <f t="shared" si="1"/>
        <v>جيد</v>
      </c>
      <c r="I22" s="52"/>
      <c r="J22" s="53"/>
    </row>
    <row r="23" spans="1:10" ht="30" customHeight="1" x14ac:dyDescent="0.3">
      <c r="A23" s="9"/>
      <c r="B23" s="84" t="s">
        <v>183</v>
      </c>
      <c r="C23" s="85"/>
      <c r="D23" s="85"/>
      <c r="E23" s="28"/>
      <c r="F23" s="33"/>
      <c r="G23" s="34"/>
      <c r="H23" s="35"/>
      <c r="I23" s="54"/>
      <c r="J23" s="55"/>
    </row>
    <row r="24" spans="1:10" ht="30" customHeight="1" x14ac:dyDescent="0.3">
      <c r="A24" s="9"/>
      <c r="B24" s="86" t="s">
        <v>197</v>
      </c>
      <c r="C24" s="87"/>
      <c r="D24" s="87"/>
      <c r="E24" s="26">
        <v>5</v>
      </c>
      <c r="F24" s="38">
        <v>3.75</v>
      </c>
      <c r="G24" s="31">
        <f t="shared" si="0"/>
        <v>0.75</v>
      </c>
      <c r="H24" s="32" t="str">
        <f t="shared" si="1"/>
        <v>جيد</v>
      </c>
      <c r="I24" s="48"/>
      <c r="J24" s="49"/>
    </row>
    <row r="25" spans="1:10" ht="30" customHeight="1" thickBot="1" x14ac:dyDescent="0.35">
      <c r="A25" s="9"/>
      <c r="B25" s="90" t="s">
        <v>203</v>
      </c>
      <c r="C25" s="91"/>
      <c r="D25" s="91"/>
      <c r="E25" s="26">
        <v>5</v>
      </c>
      <c r="F25" s="38">
        <v>3.5</v>
      </c>
      <c r="G25" s="41">
        <f t="shared" si="0"/>
        <v>0.7</v>
      </c>
      <c r="H25" s="42" t="str">
        <f t="shared" si="1"/>
        <v>جيد</v>
      </c>
      <c r="I25" s="88"/>
      <c r="J25" s="89"/>
    </row>
    <row r="26" spans="1:10" ht="30" customHeight="1" x14ac:dyDescent="0.3">
      <c r="A26" s="9"/>
      <c r="B26" s="92" t="s">
        <v>204</v>
      </c>
      <c r="C26" s="93"/>
      <c r="D26" s="93"/>
      <c r="E26" s="43">
        <v>5</v>
      </c>
      <c r="F26" s="40">
        <v>3.5</v>
      </c>
      <c r="G26" s="34"/>
      <c r="H26" s="35"/>
      <c r="I26" s="54"/>
      <c r="J26" s="55"/>
    </row>
    <row r="27" spans="1:10" ht="30" customHeight="1" x14ac:dyDescent="0.3">
      <c r="A27" s="9"/>
      <c r="B27" s="94" t="s">
        <v>206</v>
      </c>
      <c r="C27" s="95"/>
      <c r="D27" s="95"/>
      <c r="E27" s="26">
        <v>5</v>
      </c>
      <c r="F27" s="38">
        <v>3.75</v>
      </c>
      <c r="G27" s="31">
        <f t="shared" ref="G27:G28" si="2">IFERROR(F27/E27,"")</f>
        <v>0.75</v>
      </c>
      <c r="H27" s="32" t="str">
        <f t="shared" ref="H27:H28" si="3">_xlfn.IFS(F27="أدخل العلامة","",F27="لا ينطبق","تم الإلغاء",G27&gt;=90%,"ممتاز",G27&gt;=80%,"جيد جداً",G27&gt;=70%,"جيد",G27&gt;=60%,"مقبول",G27&lt;60%,"راسب")</f>
        <v>جيد</v>
      </c>
      <c r="I27" s="48"/>
      <c r="J27" s="49"/>
    </row>
    <row r="28" spans="1:10" ht="30" customHeight="1" thickBot="1" x14ac:dyDescent="0.35">
      <c r="A28" s="9"/>
      <c r="B28" s="96" t="s">
        <v>205</v>
      </c>
      <c r="C28" s="97"/>
      <c r="D28" s="97"/>
      <c r="E28" s="27">
        <v>5</v>
      </c>
      <c r="F28" s="39">
        <v>3.75</v>
      </c>
      <c r="G28" s="36">
        <f t="shared" si="2"/>
        <v>0.75</v>
      </c>
      <c r="H28" s="37" t="str">
        <f t="shared" si="3"/>
        <v>جيد</v>
      </c>
      <c r="I28" s="52"/>
      <c r="J28" s="53"/>
    </row>
    <row r="29" spans="1:10" ht="30" customHeight="1" x14ac:dyDescent="0.3">
      <c r="A29" s="9"/>
      <c r="B29" s="98" t="s">
        <v>184</v>
      </c>
      <c r="C29" s="99"/>
      <c r="D29" s="99"/>
      <c r="E29" s="28"/>
      <c r="F29" s="40"/>
      <c r="G29" s="34"/>
      <c r="H29" s="35"/>
      <c r="I29" s="54"/>
      <c r="J29" s="55"/>
    </row>
    <row r="30" spans="1:10" ht="30" customHeight="1" x14ac:dyDescent="0.3">
      <c r="A30" s="9"/>
      <c r="B30" s="86" t="s">
        <v>198</v>
      </c>
      <c r="C30" s="87"/>
      <c r="D30" s="87"/>
      <c r="E30" s="26">
        <v>5</v>
      </c>
      <c r="F30" s="38">
        <v>3.75</v>
      </c>
      <c r="G30" s="31">
        <f t="shared" si="0"/>
        <v>0.75</v>
      </c>
      <c r="H30" s="32" t="str">
        <f t="shared" si="1"/>
        <v>جيد</v>
      </c>
      <c r="I30" s="48"/>
      <c r="J30" s="49"/>
    </row>
    <row r="31" spans="1:10" ht="30" customHeight="1" x14ac:dyDescent="0.3">
      <c r="A31" s="9"/>
      <c r="B31" s="86" t="s">
        <v>199</v>
      </c>
      <c r="C31" s="87"/>
      <c r="D31" s="87"/>
      <c r="E31" s="26">
        <v>5</v>
      </c>
      <c r="F31" s="38">
        <v>3.5</v>
      </c>
      <c r="G31" s="31">
        <f t="shared" si="0"/>
        <v>0.7</v>
      </c>
      <c r="H31" s="32" t="str">
        <f t="shared" si="1"/>
        <v>جيد</v>
      </c>
      <c r="I31" s="48"/>
      <c r="J31" s="49"/>
    </row>
    <row r="32" spans="1:10" ht="30" customHeight="1" x14ac:dyDescent="0.3">
      <c r="A32" s="9"/>
      <c r="B32" s="86" t="s">
        <v>200</v>
      </c>
      <c r="C32" s="87"/>
      <c r="D32" s="87"/>
      <c r="E32" s="26">
        <v>5</v>
      </c>
      <c r="F32" s="38">
        <v>3.75</v>
      </c>
      <c r="G32" s="31">
        <f t="shared" si="0"/>
        <v>0.75</v>
      </c>
      <c r="H32" s="32" t="str">
        <f t="shared" si="1"/>
        <v>جيد</v>
      </c>
      <c r="I32" s="48"/>
      <c r="J32" s="49"/>
    </row>
    <row r="33" spans="1:10" ht="30" customHeight="1" thickBot="1" x14ac:dyDescent="0.35">
      <c r="A33" s="9"/>
      <c r="B33" s="82" t="s">
        <v>201</v>
      </c>
      <c r="C33" s="83"/>
      <c r="D33" s="83"/>
      <c r="E33" s="27">
        <v>5</v>
      </c>
      <c r="F33" s="39">
        <v>3.5</v>
      </c>
      <c r="G33" s="36">
        <f t="shared" si="0"/>
        <v>0.7</v>
      </c>
      <c r="H33" s="37" t="str">
        <f t="shared" si="1"/>
        <v>جيد</v>
      </c>
      <c r="I33" s="52"/>
      <c r="J33" s="53"/>
    </row>
    <row r="34" spans="1:10" ht="30" customHeight="1" thickBot="1" x14ac:dyDescent="0.35">
      <c r="A34" s="4"/>
      <c r="B34" s="78" t="s">
        <v>5</v>
      </c>
      <c r="C34" s="79"/>
      <c r="D34" s="79"/>
      <c r="E34" s="30">
        <f>SUM(E8:E33)</f>
        <v>105</v>
      </c>
      <c r="F34" s="30">
        <f>SUM(F8:F33)</f>
        <v>76</v>
      </c>
      <c r="G34" s="45"/>
      <c r="H34" s="46"/>
      <c r="I34" s="46"/>
      <c r="J34" s="47"/>
    </row>
    <row r="35" spans="1:10" ht="30" customHeight="1" thickBot="1" x14ac:dyDescent="0.35">
      <c r="A35" s="4"/>
      <c r="B35" s="80" t="s">
        <v>54</v>
      </c>
      <c r="C35" s="81"/>
      <c r="D35" s="81"/>
      <c r="E35" s="69">
        <f>F34/E34/100*100</f>
        <v>0.72380952380952379</v>
      </c>
      <c r="F35" s="69"/>
      <c r="G35" s="69"/>
      <c r="H35" s="69"/>
      <c r="I35" s="69"/>
      <c r="J35" s="70"/>
    </row>
    <row r="36" spans="1:10" ht="30" customHeight="1" thickBot="1" x14ac:dyDescent="0.35">
      <c r="A36" s="4"/>
      <c r="B36" s="80" t="s">
        <v>55</v>
      </c>
      <c r="C36" s="81"/>
      <c r="D36" s="81"/>
      <c r="E36" s="60" t="str">
        <f>_xlfn.IFS(E35&gt;=90%,"ممتاز",E35&gt;=80%,"جيد جداً",E35&gt;=70%,"جيد",E35&gt;=60%,"مقبول",E35&lt;60%,"راسب")</f>
        <v>جيد</v>
      </c>
      <c r="F36" s="60"/>
      <c r="G36" s="60"/>
      <c r="H36" s="60"/>
      <c r="I36" s="60"/>
      <c r="J36" s="61"/>
    </row>
    <row r="37" spans="1:10" ht="42" customHeight="1" x14ac:dyDescent="0.3">
      <c r="B37" s="56" t="s">
        <v>174</v>
      </c>
      <c r="C37" s="56"/>
      <c r="D37" s="56"/>
      <c r="E37" s="77" t="s">
        <v>52</v>
      </c>
      <c r="F37" s="77"/>
      <c r="G37" s="58" t="s">
        <v>120</v>
      </c>
      <c r="H37" s="58"/>
      <c r="I37" s="58"/>
      <c r="J37" s="58"/>
    </row>
    <row r="38" spans="1:10" ht="51" customHeight="1" x14ac:dyDescent="0.3">
      <c r="A38" s="5"/>
      <c r="B38" s="57"/>
      <c r="C38" s="57"/>
      <c r="D38" s="57"/>
      <c r="E38" s="44" t="s">
        <v>53</v>
      </c>
      <c r="F38" s="44"/>
      <c r="G38" s="59"/>
      <c r="H38" s="59"/>
      <c r="I38" s="59"/>
      <c r="J38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2:D32"/>
    <mergeCell ref="B26:D26"/>
    <mergeCell ref="I26:J26"/>
    <mergeCell ref="B17:D17"/>
    <mergeCell ref="B18:D18"/>
    <mergeCell ref="B19:D19"/>
    <mergeCell ref="B20:D20"/>
    <mergeCell ref="B27:D27"/>
    <mergeCell ref="B28:D28"/>
    <mergeCell ref="B29:D29"/>
    <mergeCell ref="B30:D30"/>
    <mergeCell ref="B31:D31"/>
    <mergeCell ref="B8:D8"/>
    <mergeCell ref="B9:D9"/>
    <mergeCell ref="B10:D10"/>
    <mergeCell ref="B11:D11"/>
    <mergeCell ref="I25:J25"/>
    <mergeCell ref="B21:D21"/>
    <mergeCell ref="B22:D22"/>
    <mergeCell ref="B23:D23"/>
    <mergeCell ref="B24:D24"/>
    <mergeCell ref="B12:D12"/>
    <mergeCell ref="B13:D13"/>
    <mergeCell ref="B14:D14"/>
    <mergeCell ref="B15:D15"/>
    <mergeCell ref="B16:D16"/>
    <mergeCell ref="B25:D25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27:J27"/>
    <mergeCell ref="I28:J28"/>
    <mergeCell ref="I21:J21"/>
    <mergeCell ref="I22:J22"/>
    <mergeCell ref="I23:J23"/>
    <mergeCell ref="B33:D33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29:J29"/>
    <mergeCell ref="E5:H5"/>
    <mergeCell ref="I5:J6"/>
    <mergeCell ref="E37:F37"/>
    <mergeCell ref="E38:F38"/>
    <mergeCell ref="G34:J34"/>
    <mergeCell ref="I9:J9"/>
    <mergeCell ref="I7:J7"/>
    <mergeCell ref="I10:J10"/>
    <mergeCell ref="I18:J18"/>
    <mergeCell ref="I19:J19"/>
    <mergeCell ref="I20:J20"/>
    <mergeCell ref="I30:J30"/>
    <mergeCell ref="I31:J31"/>
    <mergeCell ref="I32:J32"/>
    <mergeCell ref="I33:J33"/>
    <mergeCell ref="I8:J8"/>
    <mergeCell ref="I24:J24"/>
  </mergeCells>
  <conditionalFormatting sqref="C2:D2">
    <cfRule type="containsText" dxfId="16" priority="30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29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69">
      <formula>$E36="راسب"</formula>
    </cfRule>
  </conditionalFormatting>
  <conditionalFormatting sqref="E36:J36">
    <cfRule type="expression" dxfId="13" priority="70">
      <formula>$E36="مقبول"</formula>
    </cfRule>
    <cfRule type="expression" dxfId="12" priority="71">
      <formula>$E36="جيد"</formula>
    </cfRule>
    <cfRule type="expression" dxfId="11" priority="72">
      <formula>$E36="جيد جداً"</formula>
    </cfRule>
    <cfRule type="expression" dxfId="10" priority="73">
      <formula>$E36="ممتاز"</formula>
    </cfRule>
  </conditionalFormatting>
  <conditionalFormatting sqref="F8:F33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31" operator="containsText" text="أدخل التاريخ">
      <formula>NOT(ISERROR(SEARCH("أدخل التاريخ",F2)))</formula>
    </cfRule>
  </conditionalFormatting>
  <conditionalFormatting sqref="F3:J3">
    <cfRule type="containsText" dxfId="7" priority="28" operator="containsText" text="أدخل أسم المحكم">
      <formula>NOT(ISERROR(SEARCH("أدخل أسم المحكم",F3)))</formula>
    </cfRule>
  </conditionalFormatting>
  <conditionalFormatting sqref="G37:J37">
    <cfRule type="containsText" dxfId="6" priority="27" operator="containsText" text="أدخل اسم المحكم">
      <formula>NOT(ISERROR(SEARCH("أدخل اسم المحكم",G37)))</formula>
    </cfRule>
  </conditionalFormatting>
  <conditionalFormatting sqref="H8:H33">
    <cfRule type="containsText" dxfId="5" priority="7" operator="containsText" text="أدخل العلامة">
      <formula>NOT(ISERROR(SEARCH("أدخل العلامة",H8)))</formula>
    </cfRule>
    <cfRule type="containsText" dxfId="4" priority="8" operator="containsText" text="ممتاز">
      <formula>NOT(ISERROR(SEARCH("ممتاز",H8)))</formula>
    </cfRule>
    <cfRule type="containsText" dxfId="3" priority="9" operator="containsText" text="جيد جداً">
      <formula>NOT(ISERROR(SEARCH("جيد جداً",H8)))</formula>
    </cfRule>
    <cfRule type="containsText" dxfId="2" priority="10" operator="containsText" text="جيد">
      <formula>NOT(ISERROR(SEARCH("جيد",H8)))</formula>
    </cfRule>
    <cfRule type="containsText" dxfId="1" priority="11" operator="containsText" text="مقبول">
      <formula>NOT(ISERROR(SEARCH("مقبول",H8)))</formula>
    </cfRule>
    <cfRule type="containsText" dxfId="0" priority="12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F9:F11 F18:F22 F24:F28 F13:F16 F30:F33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2025-10-07T18:24:07Z</dcterms:modified>
</cp:coreProperties>
</file>