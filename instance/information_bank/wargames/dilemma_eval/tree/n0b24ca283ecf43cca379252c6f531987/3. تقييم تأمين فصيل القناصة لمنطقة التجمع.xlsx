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CCDF84C-EDAF-483D-B4DF-20A3DAD1D1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4" i="2"/>
  <c r="H24" i="2"/>
  <c r="F25" i="2"/>
  <c r="E25" i="2"/>
  <c r="E26" i="2"/>
  <c r="E27" i="2"/>
</calcChain>
</file>

<file path=xl/sharedStrings.xml><?xml version="1.0" encoding="utf-8"?>
<sst xmlns="http://schemas.openxmlformats.org/spreadsheetml/2006/main" count="207" uniqueCount="203">
  <si>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</si>
  <si>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</si>
  <si>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</si>
  <si>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</si>
  <si>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</si>
  <si>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</si>
  <si>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</si>
  <si>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</si>
  <si>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</si>
  <si>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</si>
  <si>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</si>
  <si>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</si>
  <si>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</si>
  <si>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</si>
  <si>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</si>
  <si>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</si>
  <si>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</si>
  <si>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</si>
  <si>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</si>
  <si>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</si>
  <si>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</si>
  <si>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</si>
  <si>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</si>
  <si>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</si>
  <si>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</si>
  <si>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</si>
  <si>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</si>
  <si>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</si>
  <si>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</si>
  <si>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</si>
  <si>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</si>
  <si>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</si>
  <si>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</si>
  <si>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</si>
  <si>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</si>
  <si>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</si>
  <si>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</si>
  <si>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</si>
  <si>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</si>
  <si>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</si>
  <si>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</si>
  <si>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</si>
  <si>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</si>
  <si>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</si>
  <si>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</si>
  <si>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</si>
  <si>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</si>
  <si>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</si>
  <si>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</si>
  <si>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</si>
  <si>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</si>
  <si>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</si>
  <si>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</si>
  <si>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</si>
  <si>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</si>
  <si>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</si>
  <si>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</si>
  <si>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</si>
  <si>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</si>
  <si>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</si>
  <si>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</si>
  <si>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</si>
  <si>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</si>
  <si>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</si>
  <si>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</si>
  <si>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</si>
  <si>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</si>
  <si>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</si>
  <si>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</si>
  <si>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</si>
  <si>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</si>
  <si>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</si>
  <si>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</si>
  <si>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</si>
  <si>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</si>
  <si>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</si>
  <si>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</si>
  <si>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</si>
  <si>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</si>
  <si>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</si>
  <si>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</si>
  <si>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</si>
  <si>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</si>
  <si>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</si>
  <si>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</si>
  <si>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</si>
  <si>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</si>
  <si>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</si>
  <si>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</si>
  <si>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</si>
  <si>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</si>
  <si>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</si>
  <si>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</si>
  <si>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</si>
  <si>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</si>
  <si>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</si>
  <si>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</si>
  <si>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</si>
  <si>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</si>
  <si>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</si>
  <si>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</si>
  <si>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</si>
  <si>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</si>
  <si>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</si>
  <si>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</si>
  <si>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</si>
  <si>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</si>
  <si>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</si>
  <si>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</si>
  <si>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</si>
  <si>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ركن / عبدالرحمن محمد الطنيجي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</si>
  <si>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</si>
  <si>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</si>
  <si>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</si>
  <si>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</si>
  <si>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</si>
  <si>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</si>
  <si>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</si>
  <si>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</si>
  <si>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</si>
  <si>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</si>
  <si>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</si>
  <si>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 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</si>
  <si>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</si>
  <si>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</si>
  <si>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</si>
  <si>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</si>
  <si>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</si>
  <si>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</si>
  <si>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</si>
  <si>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</si>
  <si>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</si>
  <si>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</si>
  <si>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</si>
  <si>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</si>
  <si>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</si>
  <si>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</si>
  <si>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</si>
  <si>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</si>
  <si>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</si>
  <si>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</si>
  <si>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</si>
  <si>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</si>
  <si>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</si>
  <si>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</si>
  <si>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</si>
  <si>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</si>
  <si>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</si>
  <si>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</si>
  <si>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</si>
  <si>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</si>
  <si>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</si>
  <si>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</si>
  <si>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</si>
  <si>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</si>
  <si>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</si>
  <si>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</si>
  <si>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</si>
  <si>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</si>
  <si>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</si>
  <si>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</si>
  <si>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</si>
  <si>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</si>
  <si>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</si>
  <si>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</si>
  <si>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</si>
  <si>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</si>
  <si>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</si>
  <si>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</si>
  <si>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</si>
  <si>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</si>
  <si>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</si>
  <si>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</si>
  <si>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</si>
  <si>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</si>
  <si>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</si>
  <si>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</si>
  <si>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</si>
  <si>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</si>
  <si>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</si>
  <si>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</si>
  <si>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</si>
  <si>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</si>
  <si>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</si>
  <si>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مرحلة التخطيط</t>
  </si>
  <si>
    <t>مرحلة التحضير</t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</si>
  <si>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</si>
  <si>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تنفيذ تفقدات وتفتيشات ما قبل المعركة.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</si>
  <si>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إجراء التجارب خلال ساعات النهار وفي ظل ظروف الرؤية المحدودة إن أمكن.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</si>
  <si>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تطبق إجراءات حماية القوات أثناء الحركة.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</si>
  <si>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توضيع عناصر القناصة مع الوحدات التي ستقوم بإسنادها حسب التجميع للواجب.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</si>
  <si>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تنفيذ الواجبات المطلوبة حسب المهمة.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</si>
  <si>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مغادرة منطقة التجمع حسب الأوامر من المستوى الأعلى.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</si>
  <si>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يعمل القادة في فصيل القناصة على فهم الموقف باستخدام معدات الاتصال المتوفرة، والخرائط، 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</si>
  <si>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الإشراف على إجراءات عناصر القناصة للتأكد من أن جهود التخطيط والتحضير تجري في الاتجاه الصحيح وتتوافق مع قصد القائد.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</si>
  <si>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حركة الفصيل إلى منطقة التجمع حسب الخطة الموضوعة.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</si>
  <si>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يستلم فصيل القناصة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- الإشراف والمراقبة).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</si>
  <si>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تنفيذ الاستطلاع من الأرض إن أمكن.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</si>
  <si>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 xml:space="preserve">اختيار مواقع القناصين لتأمين منطقة التجمع . 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</si>
  <si>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إكمال عملية التخطيط وإصدار الأوامر للمرؤوسين.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</si>
  <si>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تقديم إيجازات تأكيدية لقائد الفصيل من قبل القادة المرؤوسين فور استلامهم للأوامر للتأكد من فهمهم لقصد القائد ومفهوم عملياته.</t>
    </r>
  </si>
  <si>
    <r>
      <rPr>
        <b/>
        <sz val="14"/>
        <color rgb="FF000000"/>
        <rFont val="Arial"/>
        <family val="2"/>
      </rPr>
      <t>تقييم تأمين فصيل القناصة لمنطقة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</si>
  <si>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سعيد محمد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</si>
</sst>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7" borderId="24" xfId="0" applyFont="1" applyFill="1" applyBorder="1" applyAlignment="1">
      <alignment horizontal="right" vertical="center" wrapText="1" readingOrder="2"/>
    </xf>
    <xf numFmtId="0" fontId="7" fillId="7" borderId="25" xfId="0" applyFont="1" applyFill="1" applyBorder="1" applyAlignment="1">
      <alignment horizontal="right" vertical="center" wrapText="1" readingOrder="2"/>
    </xf>
    <xf numFmtId="0" fontId="7" fillId="7" borderId="26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5" borderId="11" xfId="0" applyFont="1" applyFill="1" applyBorder="1" applyAlignment="1">
      <alignment horizontal="right" vertical="center" wrapText="1" readingOrder="2"/>
    </xf>
    <xf numFmtId="0" fontId="12" fillId="5" borderId="12" xfId="0" applyFont="1" applyFill="1" applyBorder="1" applyAlignment="1">
      <alignment horizontal="right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7" fillId="6" borderId="24" xfId="0" applyFont="1" applyFill="1" applyBorder="1" applyAlignment="1">
      <alignment horizontal="right" vertical="center" wrapText="1" readingOrder="2"/>
    </xf>
    <xf numFmtId="0" fontId="7" fillId="6" borderId="25" xfId="0" applyFont="1" applyFill="1" applyBorder="1" applyAlignment="1">
      <alignment horizontal="right" vertical="center" wrapText="1" readingOrder="2"/>
    </xf>
    <xf numFmtId="0" fontId="7" fillId="6" borderId="26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545882</xdr:colOff>
      <xdr:row>28</xdr:row>
      <xdr:rowOff>102316</xdr:rowOff>
    </xdr:from>
    <xdr:to>
      <xdr:col>7</xdr:col>
      <xdr:colOff>496190</xdr:colOff>
      <xdr:row>28</xdr:row>
      <xdr:rowOff>402196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BC71FEE-2FC0-6BBA-6523-B6633D2F090A}"/>
                </a:ext>
              </a:extLst>
            </xdr14:cNvPr>
            <xdr14:cNvContentPartPr/>
          </xdr14:nvContentPartPr>
          <xdr14:nvPr macro=""/>
          <xdr14:xfrm>
            <a:off x="10437213556" y="14012280"/>
            <a:ext cx="608400" cy="299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71FEE-2FC0-6BBA-6523-B6633D2F09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207436" y="14006160"/>
              <a:ext cx="620640" cy="31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557390</xdr:colOff>
      <xdr:row>28</xdr:row>
      <xdr:rowOff>187996</xdr:rowOff>
    </xdr:from>
    <xdr:to>
      <xdr:col>9</xdr:col>
      <xdr:colOff>279088</xdr:colOff>
      <xdr:row>28</xdr:row>
      <xdr:rowOff>439996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BB6FAC8-10D2-26A4-0953-16C5D3DE2218}"/>
                </a:ext>
              </a:extLst>
            </xdr14:cNvPr>
            <xdr14:cNvContentPartPr/>
          </xdr14:nvContentPartPr>
          <xdr14:nvPr macro=""/>
          <xdr14:xfrm>
            <a:off x="10436114476" y="14097960"/>
            <a:ext cx="1037880" cy="252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BB6FAC8-10D2-26A4-0953-16C5D3DE22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108356" y="14091840"/>
              <a:ext cx="1050120" cy="26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9:57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1175 832 4961,'0'0'0,"0"0"2560,0 0-1408,0-3-183,0 3-969,0-5 864,0 1-104,0 4 0,0 0-112,0 0-648,-3-3 696,3 3-23,0-3 143,-5 3 16,5 0-832,0-4 840,0 4 56,0 0-16,-2-3-15,2 3-865,0 0 712,-2-4 24,-3 4-72,5-3 0,0 3-664,-4-3 528,4 3-72,-3-4-160,-1 4 1,4 0-297,0-3 432,0-1-112,0 4-200,0-3 48,0 3-168,-3-3 128,-2-1-104,5-1 184,-2 0-232,2 5 24,-5-5 136,0 0-272,2 0 216,3-1 64,0 6-144,-3-5 16,-2-8 344,5 13-328,-2-14 296,2 14-328,-2-5-104,2-12 432,-8 3-256,-3 1-304,11 13 232,-4-6 192,-1-12-424,-7 13 360,5-18 56,7 23-184,-4-17 144,-11-1-56,13 1-16,-14 1-160,16 16 88,-5-15-160,-9-1 80,14-2 64,-5 1 160,5 17-144,-4-17 128,-1 0-56,-9 3-104,9 0 24,5 14 8,-13-13 24,10 7-24,-11-11 56,11 12-80,3 5 24,-1-17 16,-4 12-48,3-10 16,-3 10 0,5 5 16,-5-14-40,3 9 96,-3-9-40,5 9 72,0 5-88,0-14 40,0 11 8,-2-2-24,2-9-24,0 14 0,0-3-16,0-1-136,-5 1 120,5 0 16,0 3 16,0-4-40,-2 4 112,4-3-176,3 3-96,-5 0 200,2-4-200,3 4-16,0-3 64,2 0-32,-7 3 184,7 0-96,9-4-32,0 4-56,-2-3 104,-14 3 80,21 0-272,-4 0-32,1 0 8,3 0-160,-21 0 456,24 0-200,-1 0 119,0-4-71,-4 1 192,-19 3-40,21-3-176,-6-1-48,5-1 192,0 0-168,-20 5 200,19-5-128,-3-11-88,5 13 32,1-12 0,-22 15 184,18-4 16,3-1-104,0-10-48,0 11 192,-21 4-56,14-5-200,7 0 240,-5-10-104,3 10-16,-19 5 80,18-16 40,3 11-80,-4-10-112,-1 11-184,-16 4 336,14-5-368,-9-8-64,15 9 232,-8-1 16,-12 5 184,14-5-176,-7 0 80,8 0-40,-11 0 176,-4 5-40,7-4 0,-3 1 56,-1 3-40,-3-4 56,0 4-72,0 0 112,0-3 24,0 3 0,0 0-112,0 0-24,0 0 32,0 0-112,-3 0-16,3 0-56,0 0 152,0 0-72,-4 0-80,-1 2 128,3-1-24,2-1 48,0 2-64,0 0 56,0 0-64,-4-1 80,4-1-8,-8 2 24,-4 3-56,7-2 16,2 3-8,3-6 24,-20 5-64,16 0 80,-17 2 8,16-1 24,5-6-48,-20 14 16,7-12-8,9 5-8,-17 6-8,21-13 8,-5 4 24,-11 1-40,2 2 64,9 6-24,5-13-24,-13 5 56,8 2-88,-12 7-48,13-9 192,4-5-112,-19 15-64,6-10 88,8 13 16,-14-12-40,19-6 0,-14 17-80,-3-10 144,1 10-24,2-10-16,14-7-24,-13 17 56,-2-12-80,13 9 176,-14-9-144,16-5-8,-5 14 152,0-11-152,-11 4-128,12 0 120,4-7 8,-5 7-40,-10 6 192,14-9-144,-4 2 32,5-6-40,-17 14-24,17-10 8,-11 1 32,6 8-88,5-13 72,-14 5-128,-2 11-32,11-11-88,-14 12-88,19-17 336,-4 7-209,-12 8-7,11-10 0,-2 11 232,7-16-16,-12 5 8,12 8-32,-14-9 144,14 1 0,0-5-120,-4 3 144,-1-1 65,1 0 103,-13-1-176,17-1-136,-5 0 112,-6 0 32,4 0-104,2 0 144,5 0-184,-18 0 128,13 0 8,-11-3-48,2 0 0,14 3-88,-15-6 112,11-7-24,-17 9 216,7-1-152,14 5-152,-12-15 192,-4 12-16,0-3-80,0-11 56,16 17-152,-22-5 120,6-15-8,-9 6-8,3-5 104,22 19-208,-23-22 216,-2-5-48,6 0-72,-7 1-72,26 26-24,-26-22 128,6 3-56,1 4 16,5 1-16,14 14-72,-5-3 64,-8-2 88,8-1-48,0 1 128,5 5-232,-14-5 225,14 2 39,-3-1 80,0 1-144,3 3-200,-3 0 152,1-3-40,-3 3 16,5 0 8,0 0-136,0 0 72,-2-4-88,-3 4-40,2 0 32,3 0 24,0 0-96,3 0-32,2 0-40,13 2 16,-18-2 152,12 5-80,2 2 80,0 6 0,2-7 0,-16-6 0,19 5-32,1 8 88,0-8-136,-2 2 96,-18-7-16,14 14-32,-7-9 24,14 2 16,-10 6-88,-11-13 80,17 6 16,-3 9-104,5-10 352,-13 9-264,-6-14 0,19 5-40,-14 10-40,2-11-48,-1 2 32,-6-6 96,5 14-96,0-11 32,-5 4-200,0 0 184,0-7 80,0 5 0,0 0-16,-5 0-8,3 1 64,2-6-40,-5 5 0,-11 2 120,14-2 112,-15 0-232,4 0 128,13-5-128,-15 5 24,-1 0 8,-1 0-24,2 2-72,15-7 64,-17 7-56,-1 0 40,-1 10 16,0-12-40,19-5 40,-16 15-56,-3-10 32,6 0 32,13-5-8,-17 7 88,3-2-32,9 1-32,-20-3 88,13 0-48,12-3-64,-13 2 168,8-2-152,0 0-112,5 0 96,-2 0-224,2-3-224,-5 3-97,5-4-119,0 1-96,0 3 760,2-4-512,3 1 56,0 0 152,2-1 216,-7 4 88,4-5-152,13 0 136,-17-9 104,2 11-40,-2 3-48,2-4 80,1 1-16,-3 3 48,0 0 24,0 0-136,0 0 168,-5 0-40,3 0-64,-13 0 64,15 0-128,-2 0 88,-19 0 40,16 0 80,-13 2-48,18-2-160,-17 1 192,4 3-8,1 1-16,-9 0-48,21-5-120,-18 5 144,-4 2 16,-1 0 0,3 0 16,20-7-176,-25 13 240,7-9 1,-7 3-9,4-1-16,21-6-216,-26 7 96,3-2 32,4 0-8,0 1-32,19-6-88,-13 1 120,-7-1-160,9 0-304,-5 0-593,16 0 937,-16 0-1944,-1-5-2161,-4 2-6425,21 3 10530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9:58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1533 468 7217,'0'0'0,"0"2"2905,0-2-2905,0 2 1080,0-1 184,5 3 224,18-3-159,-23-1-1329,23 4 984,2 1-288,1 0 16,6 2-56,-32-7-656,35 5 721,2 2-41,0-2-96,-2 2 40,-35-7-624,35 7 688,2-2-40,0 0 16,-2-2-39,-35-3-625,39 2 368,0 0-96,-1-2-104,1 0-56,-39 0-112,37-4 112,0 1-56,0-2 48,1-11-48,-38 16-56,36-3 72,-1-2-40,3-9-64,-4 9 48,-34 5-16,37-15-40,-2 10 136,-3-12 40,3 11-104,-35 6-32,35-18 40,-1 4-8,-3 0 104,-8 1-8,-23 13-128,21-14 168,2 0 32,-7 1-200,-4 8 96,-12 5-96,6-19 200,-1 14-96,10-11 80,-13 3 152,-2 13-336,4-5 128,-2-14 16,-2 14 72,3-11-520,-3 16 304,0-3 88,2-11 32,-2 11-64,0-2 472,0 5-528,0-14 40,0 11-64,0-11-8,0 11-40,0 3 72,2-14-16,-2 11 192,0-2-88,-2-9-32,2 14-56,-13-3 120,10-11-352,-14 10 144,4-11 56,13 15 32,-5-5 16,-15-9 248,1 9-103,5-10 7,14 15-168,-18-5 40,1-9 160,1 11-112,-2-11 64,18 14-152,-20 0 176,2-5-104,0 0 56,1 0-208,17 5 80,-4-4-72,-17 1 8,17-1 216,-20 1 0,24 3-152,-18 0 120,2-3-136,-5 3 104,-3 0 56,24 0-144,-18 0 152,-3-4 16,0 4-184,2 0-112,19 0 128,-20 0 32,4 0-64,-5-3-120,2 3 296,19 0-144,-21 0-32,5 0 0,0 0 48,2 2-248,14-2 232,-17 3-120,-3 0 64,1 2 96,-4-1-72,23-4 32,-20 5-88,-4 0-16,-4 9-48,1-9 0,27-5 152,-30 14-56,2-9-32,-3 10-96,4-8 8,27-7 176,-33 17-120,5-3 176,0-1 24,0-6 96,28-7-176,-25 17 72,-3-10-88,0 8 8,0-10-96,28-5 104,-27 16-96,-3-11 112,-2 8 296,1-7 24,31-6-336,-32 17 296,1-11-16,-3 15-272,-6-4 160,40-17-168,-43 19 48,-6-2 0,0 2-152,-4-1 104,53-18 0,-52 21-128,1 1 24,-4 4 320,4-3-360,51-23 144,-62 28 144,34-15-440,-9 4-96,0-1 184,37-16 208,-45 19-136,2-2 392,-11 1-16,1 1 0,53-19-240,-61 19 144,2-2-88,-2-2-176,-4-8 104,65-7 16,-64 17-152,-6-12-448,3 2-529,-2 0-1511,69-7 2640,-79 5-4449,39 0-7994,40-5 12443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B5" sqref="B5:D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6" t="s">
        <v>201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3">
      <c r="B2" s="12" t="s">
        <v>8</v>
      </c>
      <c r="C2" s="62" t="s">
        <v>35</v>
      </c>
      <c r="D2" s="62"/>
      <c r="E2" s="12" t="s">
        <v>7</v>
      </c>
      <c r="F2" s="57">
        <v>45937</v>
      </c>
      <c r="G2" s="57"/>
      <c r="H2" s="57"/>
      <c r="I2" s="57"/>
      <c r="J2" s="57"/>
    </row>
    <row r="3" spans="1:10" ht="30" customHeight="1" x14ac:dyDescent="0.3">
      <c r="B3" s="12" t="s">
        <v>9</v>
      </c>
      <c r="C3" s="62" t="s">
        <v>202</v>
      </c>
      <c r="D3" s="62"/>
      <c r="E3" s="12" t="s">
        <v>6</v>
      </c>
      <c r="F3" s="62" t="s">
        <v>113</v>
      </c>
      <c r="G3" s="62"/>
      <c r="H3" s="62"/>
      <c r="I3" s="62"/>
      <c r="J3" s="6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8" t="s">
        <v>0</v>
      </c>
      <c r="C5" s="59"/>
      <c r="D5" s="59"/>
      <c r="E5" s="47" t="s">
        <v>1</v>
      </c>
      <c r="F5" s="47"/>
      <c r="G5" s="47"/>
      <c r="H5" s="47"/>
      <c r="I5" s="47" t="s">
        <v>2</v>
      </c>
      <c r="J5" s="48"/>
    </row>
    <row r="6" spans="1:10" ht="24.9" customHeight="1" thickBot="1" x14ac:dyDescent="0.35">
      <c r="A6" s="10"/>
      <c r="B6" s="60"/>
      <c r="C6" s="61"/>
      <c r="D6" s="61"/>
      <c r="E6" s="11" t="s">
        <v>3</v>
      </c>
      <c r="F6" s="11" t="s">
        <v>4</v>
      </c>
      <c r="G6" s="11" t="s">
        <v>23</v>
      </c>
      <c r="H6" s="11" t="s">
        <v>24</v>
      </c>
      <c r="I6" s="49"/>
      <c r="J6" s="50"/>
    </row>
    <row r="7" spans="1:10" ht="24.9" customHeight="1" thickBot="1" x14ac:dyDescent="0.35">
      <c r="A7" s="10"/>
      <c r="B7" s="45" t="s">
        <v>21</v>
      </c>
      <c r="C7" s="46"/>
      <c r="D7" s="46"/>
      <c r="E7" s="27" t="s">
        <v>18</v>
      </c>
      <c r="F7" s="27" t="s">
        <v>19</v>
      </c>
      <c r="G7" s="27" t="s">
        <v>22</v>
      </c>
      <c r="H7" s="27" t="s">
        <v>20</v>
      </c>
      <c r="I7" s="51" t="s">
        <v>25</v>
      </c>
      <c r="J7" s="52"/>
    </row>
    <row r="8" spans="1:10" ht="39.9" customHeight="1" x14ac:dyDescent="0.3">
      <c r="A8" s="10"/>
      <c r="B8" s="53" t="s">
        <v>184</v>
      </c>
      <c r="C8" s="54"/>
      <c r="D8" s="54"/>
      <c r="E8" s="54"/>
      <c r="F8" s="54"/>
      <c r="G8" s="54"/>
      <c r="H8" s="54"/>
      <c r="I8" s="54"/>
      <c r="J8" s="55"/>
    </row>
    <row r="9" spans="1:10" ht="56.25" customHeight="1" x14ac:dyDescent="0.3">
      <c r="A9" s="10"/>
      <c r="B9" s="39" t="s">
        <v>193</v>
      </c>
      <c r="C9" s="40"/>
      <c r="D9" s="40"/>
      <c r="E9" s="9">
        <v>5</v>
      </c>
      <c r="F9" s="25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4"/>
      <c r="J9" s="35"/>
    </row>
    <row r="10" spans="1:10" ht="82.5" customHeight="1" x14ac:dyDescent="0.3">
      <c r="A10" s="10"/>
      <c r="B10" s="39" t="s">
        <v>196</v>
      </c>
      <c r="C10" s="40"/>
      <c r="D10" s="40"/>
      <c r="E10" s="9">
        <v>5</v>
      </c>
      <c r="F10" s="25">
        <v>3.5</v>
      </c>
      <c r="G10" s="29">
        <f t="shared" ref="G10:G24" si="0">IFERROR(F10/E10,"")</f>
        <v>0.7</v>
      </c>
      <c r="H10" s="30" t="str">
        <f t="shared" ref="H10:H24" si="1">_xlfn.IFS(F10="أدخل العلامة","",F10="لا ينطبق","تم الإلغاء",G10&gt;=90%,"ممتاز",G10&gt;=80%,"جيد جداً",G10&gt;=70%,"جيد",G10&gt;=60%,"مقبول",G10&lt;60%,"راسب")</f>
        <v>جيد</v>
      </c>
      <c r="I10" s="34"/>
      <c r="J10" s="35"/>
    </row>
    <row r="11" spans="1:10" ht="39.9" customHeight="1" x14ac:dyDescent="0.3">
      <c r="A11" s="10"/>
      <c r="B11" s="39" t="s">
        <v>197</v>
      </c>
      <c r="C11" s="40"/>
      <c r="D11" s="40"/>
      <c r="E11" s="9">
        <v>5</v>
      </c>
      <c r="F11" s="25">
        <v>4</v>
      </c>
      <c r="G11" s="29">
        <f t="shared" si="0"/>
        <v>0.8</v>
      </c>
      <c r="H11" s="30" t="str">
        <f t="shared" si="1"/>
        <v>جيد جداً</v>
      </c>
      <c r="I11" s="34"/>
      <c r="J11" s="35"/>
    </row>
    <row r="12" spans="1:10" ht="39.9" customHeight="1" x14ac:dyDescent="0.3">
      <c r="A12" s="10"/>
      <c r="B12" s="39" t="s">
        <v>198</v>
      </c>
      <c r="C12" s="40"/>
      <c r="D12" s="40"/>
      <c r="E12" s="9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34"/>
      <c r="J12" s="35"/>
    </row>
    <row r="13" spans="1:10" ht="39.9" customHeight="1" x14ac:dyDescent="0.3">
      <c r="A13" s="10"/>
      <c r="B13" s="39" t="s">
        <v>199</v>
      </c>
      <c r="C13" s="40"/>
      <c r="D13" s="40"/>
      <c r="E13" s="9">
        <v>5</v>
      </c>
      <c r="F13" s="25">
        <v>3.5</v>
      </c>
      <c r="G13" s="29">
        <f t="shared" si="0"/>
        <v>0.7</v>
      </c>
      <c r="H13" s="30" t="str">
        <f t="shared" si="1"/>
        <v>جيد</v>
      </c>
      <c r="I13" s="34"/>
      <c r="J13" s="35"/>
    </row>
    <row r="14" spans="1:10" ht="39.9" customHeight="1" thickBot="1" x14ac:dyDescent="0.35">
      <c r="A14" s="10"/>
      <c r="B14" s="43" t="s">
        <v>200</v>
      </c>
      <c r="C14" s="44"/>
      <c r="D14" s="44"/>
      <c r="E14" s="31">
        <v>5</v>
      </c>
      <c r="F14" s="26">
        <v>3.5</v>
      </c>
      <c r="G14" s="32">
        <f t="shared" si="0"/>
        <v>0.7</v>
      </c>
      <c r="H14" s="33" t="str">
        <f t="shared" si="1"/>
        <v>جيد</v>
      </c>
      <c r="I14" s="41"/>
      <c r="J14" s="42"/>
    </row>
    <row r="15" spans="1:10" ht="39.9" customHeight="1" x14ac:dyDescent="0.3">
      <c r="A15" s="10"/>
      <c r="B15" s="36" t="s">
        <v>185</v>
      </c>
      <c r="C15" s="37"/>
      <c r="D15" s="37"/>
      <c r="E15" s="37"/>
      <c r="F15" s="37"/>
      <c r="G15" s="37"/>
      <c r="H15" s="37"/>
      <c r="I15" s="37"/>
      <c r="J15" s="38"/>
    </row>
    <row r="16" spans="1:10" ht="39.9" customHeight="1" x14ac:dyDescent="0.3">
      <c r="A16" s="10"/>
      <c r="B16" s="39" t="s">
        <v>187</v>
      </c>
      <c r="C16" s="40"/>
      <c r="D16" s="40"/>
      <c r="E16" s="9">
        <v>5</v>
      </c>
      <c r="F16" s="25">
        <v>4</v>
      </c>
      <c r="G16" s="29">
        <f t="shared" si="0"/>
        <v>0.8</v>
      </c>
      <c r="H16" s="30" t="str">
        <f t="shared" si="1"/>
        <v>جيد جداً</v>
      </c>
      <c r="I16" s="34"/>
      <c r="J16" s="35"/>
    </row>
    <row r="17" spans="1:10" ht="56.25" customHeight="1" x14ac:dyDescent="0.3">
      <c r="A17" s="10"/>
      <c r="B17" s="39" t="s">
        <v>194</v>
      </c>
      <c r="C17" s="40"/>
      <c r="D17" s="40"/>
      <c r="E17" s="9">
        <v>5</v>
      </c>
      <c r="F17" s="25">
        <v>3.75</v>
      </c>
      <c r="G17" s="29">
        <f t="shared" si="0"/>
        <v>0.75</v>
      </c>
      <c r="H17" s="30" t="str">
        <f t="shared" si="1"/>
        <v>جيد</v>
      </c>
      <c r="I17" s="34"/>
      <c r="J17" s="35"/>
    </row>
    <row r="18" spans="1:10" ht="39.9" customHeight="1" thickBot="1" x14ac:dyDescent="0.35">
      <c r="A18" s="10"/>
      <c r="B18" s="43" t="s">
        <v>188</v>
      </c>
      <c r="C18" s="44"/>
      <c r="D18" s="44"/>
      <c r="E18" s="31">
        <v>5</v>
      </c>
      <c r="F18" s="26">
        <v>3.75</v>
      </c>
      <c r="G18" s="32">
        <f t="shared" si="0"/>
        <v>0.75</v>
      </c>
      <c r="H18" s="33" t="str">
        <f t="shared" si="1"/>
        <v>جيد</v>
      </c>
      <c r="I18" s="41"/>
      <c r="J18" s="42"/>
    </row>
    <row r="19" spans="1:10" ht="39.9" customHeight="1" x14ac:dyDescent="0.3">
      <c r="A19" s="10"/>
      <c r="B19" s="36" t="s">
        <v>186</v>
      </c>
      <c r="C19" s="37"/>
      <c r="D19" s="37"/>
      <c r="E19" s="37"/>
      <c r="F19" s="37"/>
      <c r="G19" s="37"/>
      <c r="H19" s="37"/>
      <c r="I19" s="37"/>
      <c r="J19" s="38"/>
    </row>
    <row r="20" spans="1:10" ht="39.9" customHeight="1" x14ac:dyDescent="0.3">
      <c r="A20" s="10"/>
      <c r="B20" s="39" t="s">
        <v>195</v>
      </c>
      <c r="C20" s="40"/>
      <c r="D20" s="40"/>
      <c r="E20" s="9">
        <v>5</v>
      </c>
      <c r="F20" s="25">
        <v>3.75</v>
      </c>
      <c r="G20" s="29">
        <f t="shared" si="0"/>
        <v>0.75</v>
      </c>
      <c r="H20" s="30" t="str">
        <f t="shared" si="1"/>
        <v>جيد</v>
      </c>
      <c r="I20" s="34"/>
      <c r="J20" s="35"/>
    </row>
    <row r="21" spans="1:10" ht="39.9" customHeight="1" x14ac:dyDescent="0.3">
      <c r="A21" s="10"/>
      <c r="B21" s="39" t="s">
        <v>189</v>
      </c>
      <c r="C21" s="40"/>
      <c r="D21" s="40"/>
      <c r="E21" s="9">
        <v>5</v>
      </c>
      <c r="F21" s="25">
        <v>3.75</v>
      </c>
      <c r="G21" s="29">
        <f t="shared" si="0"/>
        <v>0.75</v>
      </c>
      <c r="H21" s="30" t="str">
        <f t="shared" si="1"/>
        <v>جيد</v>
      </c>
      <c r="I21" s="34"/>
      <c r="J21" s="35"/>
    </row>
    <row r="22" spans="1:10" ht="39.9" customHeight="1" x14ac:dyDescent="0.3">
      <c r="A22" s="10"/>
      <c r="B22" s="39" t="s">
        <v>190</v>
      </c>
      <c r="C22" s="40"/>
      <c r="D22" s="40"/>
      <c r="E22" s="9">
        <v>5</v>
      </c>
      <c r="F22" s="25">
        <v>3.5</v>
      </c>
      <c r="G22" s="29">
        <f t="shared" si="0"/>
        <v>0.7</v>
      </c>
      <c r="H22" s="30" t="str">
        <f t="shared" si="1"/>
        <v>جيد</v>
      </c>
      <c r="I22" s="34"/>
      <c r="J22" s="35"/>
    </row>
    <row r="23" spans="1:10" ht="39.9" customHeight="1" x14ac:dyDescent="0.3">
      <c r="A23" s="10"/>
      <c r="B23" s="39" t="s">
        <v>191</v>
      </c>
      <c r="C23" s="40"/>
      <c r="D23" s="40"/>
      <c r="E23" s="9">
        <v>5</v>
      </c>
      <c r="F23" s="25">
        <v>4</v>
      </c>
      <c r="G23" s="29">
        <f t="shared" si="0"/>
        <v>0.8</v>
      </c>
      <c r="H23" s="30" t="str">
        <f t="shared" si="1"/>
        <v>جيد جداً</v>
      </c>
      <c r="I23" s="34"/>
      <c r="J23" s="35"/>
    </row>
    <row r="24" spans="1:10" ht="39.9" customHeight="1" thickBot="1" x14ac:dyDescent="0.35">
      <c r="A24" s="10"/>
      <c r="B24" s="43" t="s">
        <v>192</v>
      </c>
      <c r="C24" s="44"/>
      <c r="D24" s="44"/>
      <c r="E24" s="31">
        <v>5</v>
      </c>
      <c r="F24" s="26">
        <v>3.5</v>
      </c>
      <c r="G24" s="32">
        <f t="shared" si="0"/>
        <v>0.7</v>
      </c>
      <c r="H24" s="33" t="str">
        <f t="shared" si="1"/>
        <v>جيد</v>
      </c>
      <c r="I24" s="41"/>
      <c r="J24" s="42"/>
    </row>
    <row r="25" spans="1:10" ht="30" customHeight="1" thickBot="1" x14ac:dyDescent="0.35">
      <c r="A25" s="4"/>
      <c r="B25" s="76" t="s">
        <v>5</v>
      </c>
      <c r="C25" s="77"/>
      <c r="D25" s="77"/>
      <c r="E25" s="28">
        <f>SUM(E8:E24)</f>
        <v>70</v>
      </c>
      <c r="F25" s="28">
        <f>SUM(F8:F24)</f>
        <v>51.75</v>
      </c>
      <c r="G25" s="69"/>
      <c r="H25" s="70"/>
      <c r="I25" s="70"/>
      <c r="J25" s="71"/>
    </row>
    <row r="26" spans="1:10" ht="30" customHeight="1" thickBot="1" x14ac:dyDescent="0.35">
      <c r="A26" s="4"/>
      <c r="B26" s="78" t="s">
        <v>54</v>
      </c>
      <c r="C26" s="79"/>
      <c r="D26" s="79"/>
      <c r="E26" s="72">
        <f>F25/E25/100*100</f>
        <v>0.73928571428571432</v>
      </c>
      <c r="F26" s="72"/>
      <c r="G26" s="72"/>
      <c r="H26" s="72"/>
      <c r="I26" s="72"/>
      <c r="J26" s="73"/>
    </row>
    <row r="27" spans="1:10" ht="30" customHeight="1" thickBot="1" x14ac:dyDescent="0.35">
      <c r="A27" s="4"/>
      <c r="B27" s="78" t="s">
        <v>55</v>
      </c>
      <c r="C27" s="79"/>
      <c r="D27" s="79"/>
      <c r="E27" s="74" t="str">
        <f>_xlfn.IFS(E26&gt;=90%,"ممتاز",E26&gt;=80%,"جيد جداً",E26&gt;=70%,"جيد",E26&gt;=60%,"مقبول",E26&lt;60%,"راسب")</f>
        <v>جيد</v>
      </c>
      <c r="F27" s="74"/>
      <c r="G27" s="74"/>
      <c r="H27" s="74"/>
      <c r="I27" s="74"/>
      <c r="J27" s="75"/>
    </row>
    <row r="28" spans="1:10" ht="42" customHeight="1" x14ac:dyDescent="0.3">
      <c r="B28" s="63" t="s">
        <v>60</v>
      </c>
      <c r="C28" s="63"/>
      <c r="D28" s="63"/>
      <c r="E28" s="67" t="s">
        <v>52</v>
      </c>
      <c r="F28" s="67"/>
      <c r="G28" s="65" t="s">
        <v>58</v>
      </c>
      <c r="H28" s="65"/>
      <c r="I28" s="65"/>
      <c r="J28" s="65"/>
    </row>
    <row r="29" spans="1:10" ht="51" customHeight="1" x14ac:dyDescent="0.3">
      <c r="A29" s="5"/>
      <c r="B29" s="64"/>
      <c r="C29" s="64"/>
      <c r="D29" s="64"/>
      <c r="E29" s="68" t="s">
        <v>53</v>
      </c>
      <c r="F29" s="68"/>
      <c r="G29" s="66"/>
      <c r="H29" s="66"/>
      <c r="I29" s="66"/>
      <c r="J29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8:D29"/>
    <mergeCell ref="G28:J28"/>
    <mergeCell ref="G29:J29"/>
    <mergeCell ref="B22:D22"/>
    <mergeCell ref="B23:D23"/>
    <mergeCell ref="B24:D24"/>
    <mergeCell ref="E28:F28"/>
    <mergeCell ref="E29:F29"/>
    <mergeCell ref="G25:J25"/>
    <mergeCell ref="I24:J24"/>
    <mergeCell ref="E26:J26"/>
    <mergeCell ref="E27:J27"/>
    <mergeCell ref="B25:D25"/>
    <mergeCell ref="B26:D26"/>
    <mergeCell ref="B27:D27"/>
    <mergeCell ref="I18:J18"/>
    <mergeCell ref="I20:J20"/>
    <mergeCell ref="I21:J21"/>
    <mergeCell ref="I22:J22"/>
    <mergeCell ref="I23:J23"/>
    <mergeCell ref="B19:J19"/>
    <mergeCell ref="B21:D21"/>
    <mergeCell ref="B18:D18"/>
    <mergeCell ref="B20:D20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B8:J8"/>
    <mergeCell ref="I9:J9"/>
    <mergeCell ref="B9:D9"/>
    <mergeCell ref="B10:D10"/>
    <mergeCell ref="I17:J17"/>
    <mergeCell ref="B15:J15"/>
    <mergeCell ref="B11:D11"/>
    <mergeCell ref="B12:D12"/>
    <mergeCell ref="B13:D13"/>
    <mergeCell ref="I11:J11"/>
    <mergeCell ref="I12:J12"/>
    <mergeCell ref="I13:J13"/>
    <mergeCell ref="I14:J14"/>
    <mergeCell ref="I16:J16"/>
    <mergeCell ref="B14:D14"/>
    <mergeCell ref="B16:D16"/>
    <mergeCell ref="B17:D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21" priority="57">
      <formula>$E27="راسب"</formula>
    </cfRule>
  </conditionalFormatting>
  <conditionalFormatting sqref="E27:J27">
    <cfRule type="expression" dxfId="20" priority="60">
      <formula>$E27="جيد جداً"</formula>
    </cfRule>
    <cfRule type="expression" dxfId="19" priority="59">
      <formula>$E27="جيد"</formula>
    </cfRule>
    <cfRule type="expression" dxfId="18" priority="58">
      <formula>$E27="مقبول"</formula>
    </cfRule>
    <cfRule type="expression" dxfId="17" priority="61">
      <formula>$E27="ممتاز"</formula>
    </cfRule>
  </conditionalFormatting>
  <conditionalFormatting sqref="F9:F14">
    <cfRule type="containsText" dxfId="16" priority="4" operator="containsText" text="أدخل العلامة">
      <formula>NOT(ISERROR(SEARCH("أدخل العلامة",F9)))</formula>
    </cfRule>
  </conditionalFormatting>
  <conditionalFormatting sqref="F16:F18 F20:F24">
    <cfRule type="containsText" dxfId="15" priority="14" operator="containsText" text="أدخل العلامة">
      <formula>NOT(ISERROR(SEARCH("أدخل العلامة",F16)))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12" priority="15" operator="containsText" text="أدخل اسم المحكم">
      <formula>NOT(ISERROR(SEARCH("أدخل اسم المحكم",G28)))</formula>
    </cfRule>
  </conditionalFormatting>
  <conditionalFormatting sqref="H9:H14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6:H18 H20:H24">
    <cfRule type="containsText" dxfId="5" priority="38" operator="containsText" text="أدخل العلامة">
      <formula>NOT(ISERROR(SEARCH("أدخل العلامة",H16)))</formula>
    </cfRule>
    <cfRule type="containsText" dxfId="4" priority="39" operator="containsText" text="ممتاز">
      <formula>NOT(ISERROR(SEARCH("ممتاز",H16)))</formula>
    </cfRule>
    <cfRule type="containsText" dxfId="3" priority="40" operator="containsText" text="جيد جداً">
      <formula>NOT(ISERROR(SEARCH("جيد جداً",H16)))</formula>
    </cfRule>
    <cfRule type="containsText" dxfId="2" priority="41" operator="containsText" text="جيد">
      <formula>NOT(ISERROR(SEARCH("جيد",H16)))</formula>
    </cfRule>
    <cfRule type="containsText" dxfId="1" priority="42" operator="containsText" text="مقبول">
      <formula>NOT(ISERROR(SEARCH("مقبول",H16)))</formula>
    </cfRule>
    <cfRule type="containsText" dxfId="0" priority="43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F16:F18 F20:F24 F9:F14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G28:J28</xm:sqref>
        </x14:dataValidation>
        <x14:dataValidation type="list" allowBlank="1" showInputMessage="1" showErrorMessage="1" xr:uid="{E6976CCA-5A61-4427-9CF4-DF5EFDCB8EF0}">
          <x14:formula1>
            <xm:f>'بيانات التقييم'!$A$197:$A$285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285"/>
  <sheetViews>
    <sheetView rightToLeft="1" topLeftCell="A261" workbookViewId="0">
      <selection activeCell="A197" sqref="A197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8"/>
    </row>
    <row r="72" spans="1:8" s="17" customFormat="1" ht="20.100000000000001" customHeight="1" x14ac:dyDescent="0.3">
      <c r="A72" s="15"/>
      <c r="B72" s="16"/>
      <c r="C72" s="16"/>
      <c r="D72" s="16"/>
      <c r="E72" s="16"/>
      <c r="F72" s="16"/>
      <c r="G72" s="16"/>
      <c r="H72" s="16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3">
        <v>45931</v>
      </c>
    </row>
    <row r="76" spans="1:8" ht="20.100000000000001" customHeight="1" thickBot="1" x14ac:dyDescent="0.35">
      <c r="A76" s="13">
        <v>45932</v>
      </c>
    </row>
    <row r="77" spans="1:8" ht="20.100000000000001" customHeight="1" thickBot="1" x14ac:dyDescent="0.35">
      <c r="A77" s="13">
        <v>45933</v>
      </c>
    </row>
    <row r="78" spans="1:8" ht="20.100000000000001" customHeight="1" thickBot="1" x14ac:dyDescent="0.35">
      <c r="A78" s="13">
        <v>45934</v>
      </c>
    </row>
    <row r="79" spans="1:8" ht="20.100000000000001" customHeight="1" thickBot="1" x14ac:dyDescent="0.35">
      <c r="A79" s="13">
        <v>45935</v>
      </c>
    </row>
    <row r="80" spans="1:8" ht="20.100000000000001" customHeight="1" thickBot="1" x14ac:dyDescent="0.35">
      <c r="A80" s="13">
        <v>45936</v>
      </c>
    </row>
    <row r="81" spans="1:1" ht="20.100000000000001" customHeight="1" thickBot="1" x14ac:dyDescent="0.35">
      <c r="A81" s="13">
        <v>45937</v>
      </c>
    </row>
    <row r="82" spans="1:1" ht="20.100000000000001" customHeight="1" thickBot="1" x14ac:dyDescent="0.35">
      <c r="A82" s="13">
        <v>45938</v>
      </c>
    </row>
    <row r="83" spans="1:1" ht="20.100000000000001" customHeight="1" thickBot="1" x14ac:dyDescent="0.35">
      <c r="A83" s="13">
        <v>45939</v>
      </c>
    </row>
    <row r="84" spans="1:1" ht="20.100000000000001" customHeight="1" thickBot="1" x14ac:dyDescent="0.35">
      <c r="A84" s="13">
        <v>45940</v>
      </c>
    </row>
    <row r="85" spans="1:1" ht="20.100000000000001" customHeight="1" thickBot="1" x14ac:dyDescent="0.35">
      <c r="A85" s="13">
        <v>45941</v>
      </c>
    </row>
    <row r="86" spans="1:1" ht="20.100000000000001" customHeight="1" thickBot="1" x14ac:dyDescent="0.35">
      <c r="A86" s="13">
        <v>45942</v>
      </c>
    </row>
    <row r="87" spans="1:1" ht="20.100000000000001" customHeight="1" thickBot="1" x14ac:dyDescent="0.35">
      <c r="A87" s="13">
        <v>45943</v>
      </c>
    </row>
    <row r="88" spans="1:1" ht="20.100000000000001" customHeight="1" thickBot="1" x14ac:dyDescent="0.35">
      <c r="A88" s="13">
        <v>45944</v>
      </c>
    </row>
    <row r="89" spans="1:1" ht="20.100000000000001" customHeight="1" thickBot="1" x14ac:dyDescent="0.35">
      <c r="A89" s="13">
        <v>45945</v>
      </c>
    </row>
    <row r="90" spans="1:1" ht="20.100000000000001" customHeight="1" thickBot="1" x14ac:dyDescent="0.35">
      <c r="A90" s="13">
        <v>45946</v>
      </c>
    </row>
    <row r="91" spans="1:1" ht="20.100000000000001" customHeight="1" thickBot="1" x14ac:dyDescent="0.35">
      <c r="A91" s="13">
        <v>45947</v>
      </c>
    </row>
    <row r="92" spans="1:1" ht="20.100000000000001" customHeight="1" thickBot="1" x14ac:dyDescent="0.35">
      <c r="A92" s="13">
        <v>45948</v>
      </c>
    </row>
    <row r="93" spans="1:1" ht="20.100000000000001" customHeight="1" thickBot="1" x14ac:dyDescent="0.35">
      <c r="A93" s="13">
        <v>45949</v>
      </c>
    </row>
    <row r="94" spans="1:1" ht="20.100000000000001" customHeight="1" thickBot="1" x14ac:dyDescent="0.35">
      <c r="A94" s="13">
        <v>45950</v>
      </c>
    </row>
    <row r="95" spans="1:1" ht="20.100000000000001" customHeight="1" thickBot="1" x14ac:dyDescent="0.35">
      <c r="A95" s="13">
        <v>45951</v>
      </c>
    </row>
    <row r="96" spans="1:1" ht="20.100000000000001" customHeight="1" thickBot="1" x14ac:dyDescent="0.35">
      <c r="A96" s="13">
        <v>45952</v>
      </c>
    </row>
    <row r="97" spans="1:8" ht="20.100000000000001" customHeight="1" thickBot="1" x14ac:dyDescent="0.35">
      <c r="A97" s="13">
        <v>45953</v>
      </c>
    </row>
    <row r="98" spans="1:8" ht="20.100000000000001" customHeight="1" thickBot="1" x14ac:dyDescent="0.35">
      <c r="A98" s="13">
        <v>45954</v>
      </c>
    </row>
    <row r="99" spans="1:8" ht="20.100000000000001" customHeight="1" thickBot="1" x14ac:dyDescent="0.35">
      <c r="A99" s="13">
        <v>45955</v>
      </c>
    </row>
    <row r="100" spans="1:8" ht="20.100000000000001" customHeight="1" thickBot="1" x14ac:dyDescent="0.35">
      <c r="A100" s="13">
        <v>45956</v>
      </c>
    </row>
    <row r="101" spans="1:8" ht="20.100000000000001" customHeight="1" thickBot="1" x14ac:dyDescent="0.35">
      <c r="A101" s="13">
        <v>45957</v>
      </c>
    </row>
    <row r="102" spans="1:8" ht="20.100000000000001" customHeight="1" thickBot="1" x14ac:dyDescent="0.35">
      <c r="A102" s="13">
        <v>45958</v>
      </c>
    </row>
    <row r="103" spans="1:8" ht="20.100000000000001" customHeight="1" thickBot="1" x14ac:dyDescent="0.35">
      <c r="A103" s="13">
        <v>45959</v>
      </c>
    </row>
    <row r="104" spans="1:8" ht="20.100000000000001" customHeight="1" thickBot="1" x14ac:dyDescent="0.35">
      <c r="A104" s="13">
        <v>45960</v>
      </c>
    </row>
    <row r="105" spans="1:8" ht="20.100000000000001" customHeight="1" thickBot="1" x14ac:dyDescent="0.35">
      <c r="A105" s="13">
        <v>45961</v>
      </c>
    </row>
    <row r="106" spans="1:8" ht="20.100000000000001" customHeight="1" x14ac:dyDescent="0.3">
      <c r="A106" s="14"/>
    </row>
    <row r="107" spans="1:8" ht="20.100000000000001" customHeight="1" x14ac:dyDescent="0.3">
      <c r="A107" s="14"/>
    </row>
    <row r="108" spans="1:8" s="17" customFormat="1" ht="20.100000000000001" customHeight="1" x14ac:dyDescent="0.3">
      <c r="A108" s="15"/>
      <c r="B108" s="16"/>
      <c r="C108" s="16"/>
      <c r="D108" s="16"/>
      <c r="E108" s="16"/>
      <c r="F108" s="16"/>
      <c r="G108" s="16"/>
      <c r="H108" s="16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  <row r="198" spans="1:1" ht="20.100000000000001" customHeight="1" x14ac:dyDescent="0.3">
      <c r="A198" s="19" t="s">
        <v>97</v>
      </c>
    </row>
    <row r="199" spans="1:1" ht="20.100000000000001" customHeight="1" x14ac:dyDescent="0.3">
      <c r="A199" s="19" t="s">
        <v>98</v>
      </c>
    </row>
    <row r="200" spans="1:1" ht="20.100000000000001" customHeight="1" x14ac:dyDescent="0.3">
      <c r="A200" s="19" t="s">
        <v>99</v>
      </c>
    </row>
    <row r="201" spans="1:1" ht="20.100000000000001" customHeight="1" x14ac:dyDescent="0.3">
      <c r="A201" s="19" t="s">
        <v>100</v>
      </c>
    </row>
    <row r="202" spans="1:1" ht="20.100000000000001" customHeight="1" x14ac:dyDescent="0.3">
      <c r="A202" s="19" t="s">
        <v>101</v>
      </c>
    </row>
    <row r="203" spans="1:1" ht="20.100000000000001" customHeight="1" x14ac:dyDescent="0.3">
      <c r="A203" s="19" t="s">
        <v>102</v>
      </c>
    </row>
    <row r="204" spans="1:1" ht="20.100000000000001" customHeight="1" x14ac:dyDescent="0.3">
      <c r="A204" s="19" t="s">
        <v>103</v>
      </c>
    </row>
    <row r="205" spans="1:1" ht="20.100000000000001" customHeight="1" x14ac:dyDescent="0.3">
      <c r="A205" s="19" t="s">
        <v>104</v>
      </c>
    </row>
    <row r="206" spans="1:1" ht="20.100000000000001" customHeight="1" x14ac:dyDescent="0.3">
      <c r="A206" s="19" t="s">
        <v>105</v>
      </c>
    </row>
    <row r="207" spans="1:1" ht="20.100000000000001" customHeight="1" x14ac:dyDescent="0.3">
      <c r="A207" s="20" t="s">
        <v>106</v>
      </c>
    </row>
    <row r="208" spans="1:1" ht="20.100000000000001" customHeight="1" x14ac:dyDescent="0.3">
      <c r="A208" s="20" t="s">
        <v>107</v>
      </c>
    </row>
    <row r="209" spans="1:1" ht="20.100000000000001" customHeight="1" x14ac:dyDescent="0.3">
      <c r="A209" s="19" t="s">
        <v>108</v>
      </c>
    </row>
    <row r="210" spans="1:1" ht="20.100000000000001" customHeight="1" x14ac:dyDescent="0.3">
      <c r="A210" s="19" t="s">
        <v>109</v>
      </c>
    </row>
    <row r="211" spans="1:1" ht="20.100000000000001" customHeight="1" x14ac:dyDescent="0.3">
      <c r="A211" s="19" t="s">
        <v>110</v>
      </c>
    </row>
    <row r="212" spans="1:1" ht="20.100000000000001" customHeight="1" x14ac:dyDescent="0.3">
      <c r="A212" s="19" t="s">
        <v>111</v>
      </c>
    </row>
    <row r="213" spans="1:1" ht="20.100000000000001" customHeight="1" x14ac:dyDescent="0.3">
      <c r="A213" s="19" t="s">
        <v>112</v>
      </c>
    </row>
    <row r="214" spans="1:1" ht="20.100000000000001" customHeight="1" x14ac:dyDescent="0.3">
      <c r="A214" s="19" t="s">
        <v>113</v>
      </c>
    </row>
    <row r="215" spans="1:1" ht="20.100000000000001" customHeight="1" x14ac:dyDescent="0.3">
      <c r="A215" s="19" t="s">
        <v>114</v>
      </c>
    </row>
    <row r="216" spans="1:1" ht="20.100000000000001" customHeight="1" x14ac:dyDescent="0.3">
      <c r="A216" s="19" t="s">
        <v>115</v>
      </c>
    </row>
    <row r="217" spans="1:1" ht="20.100000000000001" customHeight="1" x14ac:dyDescent="0.3">
      <c r="A217" s="19" t="s">
        <v>116</v>
      </c>
    </row>
    <row r="218" spans="1:1" ht="20.100000000000001" customHeight="1" x14ac:dyDescent="0.3">
      <c r="A218" s="19" t="s">
        <v>117</v>
      </c>
    </row>
    <row r="219" spans="1:1" ht="20.100000000000001" customHeight="1" x14ac:dyDescent="0.3">
      <c r="A219" s="19" t="s">
        <v>118</v>
      </c>
    </row>
    <row r="220" spans="1:1" ht="20.100000000000001" customHeight="1" x14ac:dyDescent="0.3">
      <c r="A220" s="19" t="s">
        <v>119</v>
      </c>
    </row>
    <row r="221" spans="1:1" ht="20.100000000000001" customHeight="1" x14ac:dyDescent="0.3">
      <c r="A221" s="19" t="s">
        <v>120</v>
      </c>
    </row>
    <row r="222" spans="1:1" ht="20.100000000000001" customHeight="1" x14ac:dyDescent="0.3">
      <c r="A222" s="19" t="s">
        <v>121</v>
      </c>
    </row>
    <row r="223" spans="1:1" ht="20.100000000000001" customHeight="1" x14ac:dyDescent="0.3">
      <c r="A223" s="19" t="s">
        <v>122</v>
      </c>
    </row>
    <row r="224" spans="1:1" ht="20.100000000000001" customHeight="1" x14ac:dyDescent="0.3">
      <c r="A224" s="19" t="s">
        <v>123</v>
      </c>
    </row>
    <row r="225" spans="1:1" ht="20.100000000000001" customHeight="1" x14ac:dyDescent="0.3">
      <c r="A225" s="19" t="s">
        <v>124</v>
      </c>
    </row>
    <row r="226" spans="1:1" ht="20.100000000000001" customHeight="1" x14ac:dyDescent="0.3">
      <c r="A226" s="19" t="s">
        <v>125</v>
      </c>
    </row>
    <row r="227" spans="1:1" ht="20.100000000000001" customHeight="1" x14ac:dyDescent="0.3">
      <c r="A227" s="19" t="s">
        <v>126</v>
      </c>
    </row>
    <row r="228" spans="1:1" ht="20.100000000000001" customHeight="1" x14ac:dyDescent="0.3">
      <c r="A228" s="19" t="s">
        <v>127</v>
      </c>
    </row>
    <row r="229" spans="1:1" ht="20.100000000000001" customHeight="1" x14ac:dyDescent="0.3">
      <c r="A229" s="19" t="s">
        <v>128</v>
      </c>
    </row>
    <row r="230" spans="1:1" ht="20.100000000000001" customHeight="1" x14ac:dyDescent="0.3">
      <c r="A230" s="19" t="s">
        <v>129</v>
      </c>
    </row>
    <row r="231" spans="1:1" ht="20.100000000000001" customHeight="1" x14ac:dyDescent="0.3">
      <c r="A231" s="19" t="s">
        <v>130</v>
      </c>
    </row>
    <row r="232" spans="1:1" ht="20.100000000000001" customHeight="1" x14ac:dyDescent="0.3">
      <c r="A232" s="19" t="s">
        <v>131</v>
      </c>
    </row>
    <row r="233" spans="1:1" ht="20.100000000000001" customHeight="1" x14ac:dyDescent="0.3">
      <c r="A233" s="19" t="s">
        <v>132</v>
      </c>
    </row>
    <row r="234" spans="1:1" ht="20.100000000000001" customHeight="1" x14ac:dyDescent="0.3">
      <c r="A234" s="19" t="s">
        <v>133</v>
      </c>
    </row>
    <row r="235" spans="1:1" ht="20.100000000000001" customHeight="1" x14ac:dyDescent="0.3">
      <c r="A235" s="21" t="s">
        <v>134</v>
      </c>
    </row>
    <row r="236" spans="1:1" ht="20.100000000000001" customHeight="1" x14ac:dyDescent="0.3">
      <c r="A236" s="19" t="s">
        <v>135</v>
      </c>
    </row>
    <row r="237" spans="1:1" ht="20.100000000000001" customHeight="1" x14ac:dyDescent="0.3">
      <c r="A237" s="19" t="s">
        <v>136</v>
      </c>
    </row>
    <row r="238" spans="1:1" ht="20.100000000000001" customHeight="1" x14ac:dyDescent="0.3">
      <c r="A238" s="19" t="s">
        <v>137</v>
      </c>
    </row>
    <row r="239" spans="1:1" ht="20.100000000000001" customHeight="1" x14ac:dyDescent="0.3">
      <c r="A239" s="19" t="s">
        <v>138</v>
      </c>
    </row>
    <row r="240" spans="1:1" ht="20.100000000000001" customHeight="1" x14ac:dyDescent="0.3">
      <c r="A240" s="19" t="s">
        <v>139</v>
      </c>
    </row>
    <row r="241" spans="1:1" ht="20.100000000000001" customHeight="1" x14ac:dyDescent="0.3">
      <c r="A241" s="19" t="s">
        <v>140</v>
      </c>
    </row>
    <row r="242" spans="1:1" ht="20.100000000000001" customHeight="1" x14ac:dyDescent="0.3">
      <c r="A242" s="19" t="s">
        <v>141</v>
      </c>
    </row>
    <row r="243" spans="1:1" ht="20.100000000000001" customHeight="1" x14ac:dyDescent="0.3">
      <c r="A243" s="19" t="s">
        <v>142</v>
      </c>
    </row>
    <row r="244" spans="1:1" ht="20.100000000000001" customHeight="1" x14ac:dyDescent="0.3">
      <c r="A244" s="19" t="s">
        <v>143</v>
      </c>
    </row>
    <row r="245" spans="1:1" ht="20.100000000000001" customHeight="1" x14ac:dyDescent="0.3">
      <c r="A245" s="19" t="s">
        <v>144</v>
      </c>
    </row>
    <row r="246" spans="1:1" ht="20.100000000000001" customHeight="1" x14ac:dyDescent="0.3">
      <c r="A246" s="19" t="s">
        <v>145</v>
      </c>
    </row>
    <row r="247" spans="1:1" ht="20.100000000000001" customHeight="1" x14ac:dyDescent="0.3">
      <c r="A247" s="19" t="s">
        <v>136</v>
      </c>
    </row>
    <row r="248" spans="1:1" ht="20.100000000000001" customHeight="1" x14ac:dyDescent="0.3">
      <c r="A248" s="19" t="s">
        <v>146</v>
      </c>
    </row>
    <row r="249" spans="1:1" ht="20.100000000000001" customHeight="1" x14ac:dyDescent="0.3">
      <c r="A249" s="19" t="s">
        <v>147</v>
      </c>
    </row>
    <row r="250" spans="1:1" ht="20.100000000000001" customHeight="1" x14ac:dyDescent="0.3">
      <c r="A250" s="21" t="s">
        <v>148</v>
      </c>
    </row>
    <row r="251" spans="1:1" ht="20.100000000000001" customHeight="1" x14ac:dyDescent="0.3">
      <c r="A251" s="22" t="s">
        <v>149</v>
      </c>
    </row>
    <row r="252" spans="1:1" ht="20.100000000000001" customHeight="1" x14ac:dyDescent="0.3">
      <c r="A252" s="19" t="s">
        <v>150</v>
      </c>
    </row>
    <row r="253" spans="1:1" ht="20.100000000000001" customHeight="1" x14ac:dyDescent="0.3">
      <c r="A253" s="19" t="s">
        <v>151</v>
      </c>
    </row>
    <row r="254" spans="1:1" ht="20.100000000000001" customHeight="1" x14ac:dyDescent="0.3">
      <c r="A254" s="23" t="s">
        <v>152</v>
      </c>
    </row>
    <row r="255" spans="1:1" ht="20.100000000000001" customHeight="1" x14ac:dyDescent="0.3">
      <c r="A255" s="23" t="s">
        <v>153</v>
      </c>
    </row>
    <row r="256" spans="1:1" ht="20.100000000000001" customHeight="1" x14ac:dyDescent="0.3">
      <c r="A256" s="24" t="s">
        <v>154</v>
      </c>
    </row>
    <row r="257" spans="1:1" ht="20.100000000000001" customHeight="1" x14ac:dyDescent="0.3">
      <c r="A257" s="19" t="s">
        <v>155</v>
      </c>
    </row>
    <row r="258" spans="1:1" ht="20.100000000000001" customHeight="1" x14ac:dyDescent="0.3">
      <c r="A258" s="24" t="s">
        <v>156</v>
      </c>
    </row>
    <row r="259" spans="1:1" ht="20.100000000000001" customHeight="1" x14ac:dyDescent="0.3">
      <c r="A259" s="19" t="s">
        <v>157</v>
      </c>
    </row>
    <row r="260" spans="1:1" ht="20.100000000000001" customHeight="1" x14ac:dyDescent="0.3">
      <c r="A260" s="24" t="s">
        <v>158</v>
      </c>
    </row>
    <row r="261" spans="1:1" ht="20.100000000000001" customHeight="1" x14ac:dyDescent="0.3">
      <c r="A261" s="19" t="s">
        <v>159</v>
      </c>
    </row>
    <row r="262" spans="1:1" ht="20.100000000000001" customHeight="1" x14ac:dyDescent="0.3">
      <c r="A262" s="19" t="s">
        <v>160</v>
      </c>
    </row>
    <row r="263" spans="1:1" ht="20.100000000000001" customHeight="1" x14ac:dyDescent="0.3">
      <c r="A263" s="24" t="s">
        <v>161</v>
      </c>
    </row>
    <row r="264" spans="1:1" ht="20.100000000000001" customHeight="1" x14ac:dyDescent="0.3">
      <c r="A264" s="24" t="s">
        <v>162</v>
      </c>
    </row>
    <row r="265" spans="1:1" ht="20.100000000000001" customHeight="1" x14ac:dyDescent="0.3">
      <c r="A265" s="24" t="s">
        <v>163</v>
      </c>
    </row>
    <row r="266" spans="1:1" ht="20.100000000000001" customHeight="1" x14ac:dyDescent="0.3">
      <c r="A266" s="19" t="s">
        <v>164</v>
      </c>
    </row>
    <row r="267" spans="1:1" ht="20.100000000000001" customHeight="1" x14ac:dyDescent="0.3">
      <c r="A267" s="19" t="s">
        <v>165</v>
      </c>
    </row>
    <row r="268" spans="1:1" ht="20.100000000000001" customHeight="1" x14ac:dyDescent="0.3">
      <c r="A268" s="19" t="s">
        <v>166</v>
      </c>
    </row>
    <row r="269" spans="1:1" ht="20.100000000000001" customHeight="1" x14ac:dyDescent="0.3">
      <c r="A269" s="19" t="s">
        <v>167</v>
      </c>
    </row>
    <row r="270" spans="1:1" ht="20.100000000000001" customHeight="1" x14ac:dyDescent="0.3">
      <c r="A270" s="24" t="s">
        <v>168</v>
      </c>
    </row>
    <row r="271" spans="1:1" ht="20.100000000000001" customHeight="1" x14ac:dyDescent="0.3">
      <c r="A271" s="24" t="s">
        <v>169</v>
      </c>
    </row>
    <row r="272" spans="1:1" ht="20.100000000000001" customHeight="1" x14ac:dyDescent="0.3">
      <c r="A272" s="19" t="s">
        <v>170</v>
      </c>
    </row>
    <row r="273" spans="1:1" ht="20.100000000000001" customHeight="1" x14ac:dyDescent="0.3">
      <c r="A273" s="24" t="s">
        <v>171</v>
      </c>
    </row>
    <row r="274" spans="1:1" ht="20.100000000000001" customHeight="1" x14ac:dyDescent="0.3">
      <c r="A274" s="24" t="s">
        <v>172</v>
      </c>
    </row>
    <row r="275" spans="1:1" ht="20.100000000000001" customHeight="1" x14ac:dyDescent="0.3">
      <c r="A275" s="19" t="s">
        <v>173</v>
      </c>
    </row>
    <row r="276" spans="1:1" ht="20.100000000000001" customHeight="1" x14ac:dyDescent="0.3">
      <c r="A276" s="19" t="s">
        <v>174</v>
      </c>
    </row>
    <row r="277" spans="1:1" ht="20.100000000000001" customHeight="1" x14ac:dyDescent="0.3">
      <c r="A277" s="24" t="s">
        <v>175</v>
      </c>
    </row>
    <row r="278" spans="1:1" ht="20.100000000000001" customHeight="1" x14ac:dyDescent="0.3">
      <c r="A278" s="19" t="s">
        <v>176</v>
      </c>
    </row>
    <row r="279" spans="1:1" ht="20.100000000000001" customHeight="1" x14ac:dyDescent="0.3">
      <c r="A279" s="19" t="s">
        <v>177</v>
      </c>
    </row>
    <row r="280" spans="1:1" ht="20.100000000000001" customHeight="1" x14ac:dyDescent="0.3">
      <c r="A280" s="19" t="s">
        <v>178</v>
      </c>
    </row>
    <row r="281" spans="1:1" ht="20.100000000000001" customHeight="1" x14ac:dyDescent="0.3">
      <c r="A281" s="19" t="s">
        <v>179</v>
      </c>
    </row>
    <row r="282" spans="1:1" ht="20.100000000000001" customHeight="1" x14ac:dyDescent="0.3">
      <c r="A282" s="24" t="s">
        <v>180</v>
      </c>
    </row>
    <row r="283" spans="1:1" ht="20.100000000000001" customHeight="1" x14ac:dyDescent="0.3">
      <c r="A283" s="24" t="s">
        <v>181</v>
      </c>
    </row>
    <row r="284" spans="1:1" ht="20.100000000000001" customHeight="1" x14ac:dyDescent="0.3">
      <c r="A284" s="24" t="s">
        <v>182</v>
      </c>
    </row>
    <row r="285" spans="1:1" ht="20.100000000000001" customHeight="1" x14ac:dyDescent="0.3">
      <c r="A285" s="1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2025-10-07T20:37:04Z</dcterms:modified>
</cp:coreProperties>
</file>