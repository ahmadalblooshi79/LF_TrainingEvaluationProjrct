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FF425A26-74C5-4CCC-892C-CFABBDC6FC8A}"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8" i="2"/>
  <c r="H18" i="2"/>
  <c r="G19" i="2"/>
  <c r="H19" i="2"/>
  <c r="G20" i="2"/>
  <c r="H20" i="2"/>
  <c r="G21" i="2"/>
  <c r="H21" i="2"/>
  <c r="G22" i="2"/>
  <c r="H22" i="2"/>
  <c r="G24" i="2"/>
  <c r="H24" i="2"/>
  <c r="G25" i="2"/>
  <c r="H25" i="2"/>
  <c r="G26" i="2"/>
  <c r="H26" i="2"/>
  <c r="G27" i="2"/>
  <c r="H27" i="2"/>
  <c r="G28" i="2"/>
  <c r="H28" i="2"/>
  <c r="G29" i="2"/>
  <c r="H29" i="2"/>
  <c r="G30" i="2"/>
  <c r="H30" i="2"/>
  <c r="G31" i="2"/>
  <c r="H31" i="2"/>
  <c r="G32" i="2"/>
  <c r="H32"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<sst xmlns="http://schemas.openxmlformats.org/spreadsheetml/2006/main" count="259" uniqueCount="203">
  <si>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</si>
  <si>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</si>
  <si>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</si>
  <si>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</si>
  <si>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</si>
  <si>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</si>
  <si>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</si>
  <si>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</si>
  <si>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</si>
  <si>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</si>
  <si>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</si>
  <si>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</si>
  <si>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</si>
  <si>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</si>
  <si>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</si>
  <si>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</si>
  <si>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</si>
  <si>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</si>
  <si>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</si>
  <si>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</si>
  <si>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</si>
  <si>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</si>
  <si>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</si>
  <si>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</si>
  <si>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</si>
  <si>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</si>
  <si>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</si>
  <si>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</si>
  <si>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</si>
  <si>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</si>
  <si>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</si>
  <si>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</si>
  <si>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</si>
  <si>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</si>
  <si>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</si>
  <si>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</si>
  <si>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</si>
  <si>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</si>
  <si>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</si>
  <si>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</si>
  <si>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</si>
  <si>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</si>
  <si>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</si>
  <si>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</si>
  <si>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</si>
  <si>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</si>
  <si>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</si>
  <si>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</si>
  <si>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</si>
  <si>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</si>
  <si>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</si>
  <si>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</si>
  <si>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</si>
  <si>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</si>
  <si>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</si>
  <si>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</si>
  <si>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</si>
  <si>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</si>
  <si>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</si>
  <si>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</si>
  <si>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</si>
  <si>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</si>
  <si>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</si>
  <si>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</si>
  <si>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</si>
  <si>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</si>
  <si>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</si>
  <si>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</si>
  <si>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</si>
  <si>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</si>
  <si>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</si>
  <si>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</si>
  <si>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</si>
  <si>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</si>
  <si>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</si>
  <si>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</si>
  <si>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</si>
  <si>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</si>
  <si>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</si>
  <si>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</si>
  <si>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</si>
  <si>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</si>
  <si>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</si>
  <si>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</si>
  <si>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</si>
  <si>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</si>
  <si>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</si>
  <si>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</si>
  <si>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</si>
  <si>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</si>
  <si>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</si>
  <si>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</si>
  <si>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</si>
  <si>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</si>
  <si>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</si>
  <si>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</si>
  <si>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</si>
  <si>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</si>
  <si>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</si>
  <si>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</si>
  <si>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</si>
  <si>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</si>
  <si>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</si>
  <si>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</si>
  <si>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</si>
  <si>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</si>
  <si>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</si>
  <si>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</si>
  <si>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</si>
  <si>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</si>
  <si>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</si>
  <si>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</si>
  <si>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</si>
  <si>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</si>
  <si>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</si>
  <si>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</si>
  <si>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</si>
  <si>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</si>
  <si>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</si>
  <si>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</si>
  <si>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</si>
  <si>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</si>
  <si>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</si>
  <si>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</si>
  <si>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</si>
  <si>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</si>
  <si>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</si>
  <si>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</si>
  <si>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</si>
  <si>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</si>
  <si>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</si>
  <si>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</si>
  <si>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</si>
  <si>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</si>
  <si>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</si>
  <si>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</si>
  <si>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</si>
  <si>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</si>
  <si>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</si>
  <si>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</si>
  <si>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</si>
  <si>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</si>
  <si>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</si>
  <si>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</si>
  <si>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</si>
  <si>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</si>
  <si>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</si>
  <si>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</si>
  <si>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</si>
  <si>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</si>
  <si>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</si>
  <si>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</si>
  <si>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</si>
  <si>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</si>
  <si>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</si>
  <si>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</si>
  <si>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</si>
  <si>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</si>
  <si>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</si>
  <si>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</si>
  <si>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</si>
  <si>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</si>
  <si>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</si>
  <si>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</si>
  <si>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</si>
  <si>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</si>
  <si>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</si>
  <si>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</si>
  <si>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</si>
  <si>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</si>
  <si>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</si>
  <si>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</si>
  <si>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</si>
  <si>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</si>
  <si>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</si>
  <si>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</si>
  <si>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</si>
  <si>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r>
      <t>1.</t>
    </r>
    <r>
      <rPr>
        <sz val="7"/>
        <color rgb="FF000000"/>
        <rFont val="Times New Roman"/>
        <family val="1"/>
      </rPr>
      <t xml:space="preserve">        </t>
    </r>
    <r>
      <rPr>
        <sz val="12"/>
        <color rgb="FF000000"/>
        <rFont val="Arial"/>
        <family val="2"/>
      </rPr>
      <t>دراسة موقف العدو والذي يشمل قدرة أنظمة أسلحة العدو المحتملة للتأثير على الممر.</t>
    </r>
  </si>
  <si>
    <r>
      <t>2.</t>
    </r>
    <r>
      <rPr>
        <sz val="7"/>
        <color rgb="FF000000"/>
        <rFont val="Times New Roman"/>
        <family val="1"/>
      </rPr>
      <t xml:space="preserve">        </t>
    </r>
    <r>
      <rPr>
        <sz val="12"/>
        <color rgb="FF000000"/>
        <rFont val="Arial"/>
        <family val="2"/>
      </rPr>
      <t>معرفة نشاطات العدو السابقة والحالية عبر الممر المخطط له.</t>
    </r>
  </si>
  <si>
    <r>
      <t>3.</t>
    </r>
    <r>
      <rPr>
        <sz val="7"/>
        <color rgb="FF000000"/>
        <rFont val="Times New Roman"/>
        <family val="1"/>
      </rPr>
      <t xml:space="preserve">        </t>
    </r>
    <r>
      <rPr>
        <sz val="12"/>
        <color rgb="FF000000"/>
        <rFont val="Arial"/>
        <family val="2"/>
      </rPr>
      <t>تحديد إجراءات السيطرة مثل نقطة البدء والحدود ونقطة الانطلاق وسرعة التقدم.</t>
    </r>
  </si>
  <si>
    <r>
      <t>4.</t>
    </r>
    <r>
      <rPr>
        <sz val="7"/>
        <color rgb="FF000000"/>
        <rFont val="Times New Roman"/>
        <family val="1"/>
      </rPr>
      <t xml:space="preserve">        </t>
    </r>
    <r>
      <rPr>
        <sz val="12"/>
        <color rgb="FF000000"/>
        <rFont val="Arial"/>
        <family val="2"/>
      </rPr>
      <t>معرفة موقف المدنيين ضمن المنطقة والذي يشمل القوات غير التقليدية (الميلشيات والقوات شبه العسكرية)، العصابات الإجرامية المنظمة ونشاطاتها، الجماعات (الطوائف) ومعلومات عن قادتها، الأماكن، التأليف والتوزيعات للعناصر الصديقة المعروفة والمحايدة والتهديدات.</t>
    </r>
  </si>
  <si>
    <r>
      <t>5.</t>
    </r>
    <r>
      <rPr>
        <sz val="7"/>
        <color rgb="FF000000"/>
        <rFont val="Times New Roman"/>
        <family val="1"/>
      </rPr>
      <t xml:space="preserve">        </t>
    </r>
    <r>
      <rPr>
        <sz val="12"/>
        <color rgb="FF000000"/>
        <rFont val="Arial"/>
        <family val="2"/>
      </rPr>
      <t>دراسة طبيعة الأرض وتشمل (المراقبة وميادين الرمي، المقتربات، الأرض الحاكمة والحاسمة، الموانع، التخفية والتستر).</t>
    </r>
  </si>
  <si>
    <r>
      <t>6.</t>
    </r>
    <r>
      <rPr>
        <sz val="7"/>
        <color rgb="FF000000"/>
        <rFont val="Times New Roman"/>
        <family val="1"/>
      </rPr>
      <t xml:space="preserve">        </t>
    </r>
    <r>
      <rPr>
        <sz val="12"/>
        <color rgb="FF000000"/>
        <rFont val="Arial"/>
        <family val="2"/>
      </rPr>
      <t>دراسة تأثيرات الطقس على حالة وقدرات الأفراد وأنظمة الأسلحة بما في ذلك إمكانية حركة المرور والرؤية.</t>
    </r>
  </si>
  <si>
    <r>
      <t>7.</t>
    </r>
    <r>
      <rPr>
        <sz val="7"/>
        <color rgb="FF000000"/>
        <rFont val="Times New Roman"/>
        <family val="1"/>
      </rPr>
      <t xml:space="preserve">        </t>
    </r>
    <r>
      <rPr>
        <sz val="12"/>
        <color rgb="FF000000"/>
        <rFont val="Arial"/>
        <family val="2"/>
      </rPr>
      <t>معرفة قصد قائد المستوى الأعلى من تنفيذ عملية الاستطلاع.</t>
    </r>
  </si>
  <si>
    <r>
      <t>8.</t>
    </r>
    <r>
      <rPr>
        <sz val="7"/>
        <color rgb="FF000000"/>
        <rFont val="Times New Roman"/>
        <family val="1"/>
      </rPr>
      <t xml:space="preserve">        </t>
    </r>
    <r>
      <rPr>
        <sz val="12"/>
        <color rgb="FF000000"/>
        <rFont val="Arial"/>
        <family val="2"/>
      </rPr>
      <t>تحديد قواعد الاشتباك.</t>
    </r>
  </si>
  <si>
    <t>إجراءات التحضير.</t>
  </si>
  <si>
    <r>
      <t>1.</t>
    </r>
    <r>
      <rPr>
        <sz val="7"/>
        <color rgb="FF000000"/>
        <rFont val="Times New Roman"/>
        <family val="1"/>
      </rPr>
      <t xml:space="preserve">        </t>
    </r>
    <r>
      <rPr>
        <u/>
        <sz val="12"/>
        <color rgb="FF000000"/>
        <rFont val="Arial"/>
        <family val="2"/>
      </rPr>
      <t>الأفراد</t>
    </r>
    <r>
      <rPr>
        <sz val="12"/>
        <color rgb="FF000000"/>
        <rFont val="Arial"/>
        <family val="2"/>
      </rPr>
      <t>. تحضير المعدات، الملابس، الأرزاق والمياه، الأسلحة الخفيفة والمتوسطة.</t>
    </r>
  </si>
  <si>
    <r>
      <t>2.</t>
    </r>
    <r>
      <rPr>
        <sz val="7"/>
        <color rgb="FF000000"/>
        <rFont val="Times New Roman"/>
        <family val="1"/>
      </rPr>
      <t xml:space="preserve">        </t>
    </r>
    <r>
      <rPr>
        <u/>
        <sz val="12"/>
        <color rgb="FF000000"/>
        <rFont val="Arial"/>
        <family val="2"/>
      </rPr>
      <t>المعدات</t>
    </r>
    <r>
      <rPr>
        <sz val="12"/>
        <color rgb="FF000000"/>
        <rFont val="Arial"/>
        <family val="2"/>
      </rPr>
      <t>. صلاحية المعدات وتوفير المعدات الخاصة (مجسات، مصابيح، أدوات حفر، أدوات قطع الأسلاك ، وغير ذلك).</t>
    </r>
  </si>
  <si>
    <r>
      <t>3.</t>
    </r>
    <r>
      <rPr>
        <sz val="7"/>
        <color rgb="FF000000"/>
        <rFont val="Times New Roman"/>
        <family val="1"/>
      </rPr>
      <t xml:space="preserve">        </t>
    </r>
    <r>
      <rPr>
        <u/>
        <sz val="12"/>
        <color rgb="FF000000"/>
        <rFont val="Arial"/>
        <family val="2"/>
      </rPr>
      <t>الأسلحة</t>
    </r>
    <r>
      <rPr>
        <sz val="12"/>
        <color rgb="FF000000"/>
        <rFont val="Arial"/>
        <family val="2"/>
      </rPr>
      <t>. فحص الأسلحة، تعبئة الذخيرة، الصلاحية والصيانة.</t>
    </r>
  </si>
  <si>
    <r>
      <t>4.</t>
    </r>
    <r>
      <rPr>
        <sz val="7"/>
        <color rgb="FF000000"/>
        <rFont val="Times New Roman"/>
        <family val="1"/>
      </rPr>
      <t xml:space="preserve">        </t>
    </r>
    <r>
      <rPr>
        <u/>
        <sz val="12"/>
        <color rgb="FF000000"/>
        <rFont val="Arial"/>
        <family val="2"/>
      </rPr>
      <t>الآليات</t>
    </r>
    <r>
      <rPr>
        <sz val="12"/>
        <color rgb="FF000000"/>
        <rFont val="Arial"/>
        <family val="2"/>
      </rPr>
      <t>. تنفيذ اصلاح الأعطال، تعبئة خزانات الوقود، تحميل كافة الآليات وفقاً لخطة التحميل وخطة الإدامة والإمدادات. فحص أجهزة الاتصالات في كافة الآليات قبل البدء بالحركة.</t>
    </r>
  </si>
  <si>
    <t>إجراءات التنفيذ.</t>
  </si>
  <si>
    <r>
      <t>2.</t>
    </r>
    <r>
      <rPr>
        <sz val="7"/>
        <color rgb="FF000000"/>
        <rFont val="Times New Roman"/>
        <family val="1"/>
      </rPr>
      <t xml:space="preserve">        </t>
    </r>
    <r>
      <rPr>
        <sz val="12"/>
        <color rgb="FF000000"/>
        <rFont val="Arial"/>
        <family val="2"/>
      </rPr>
      <t>توضيع وتمويه آليات الاستطلاع.</t>
    </r>
  </si>
  <si>
    <r>
      <t>3.</t>
    </r>
    <r>
      <rPr>
        <sz val="7"/>
        <color rgb="FF000000"/>
        <rFont val="Times New Roman"/>
        <family val="1"/>
      </rPr>
      <t xml:space="preserve">        </t>
    </r>
    <r>
      <rPr>
        <sz val="12"/>
        <color rgb="FF000000"/>
        <rFont val="Arial"/>
        <family val="2"/>
      </rPr>
      <t>معرفة طول حقل الألغام المعادي وعمقه.</t>
    </r>
  </si>
  <si>
    <r>
      <t>4.</t>
    </r>
    <r>
      <rPr>
        <sz val="7"/>
        <color rgb="FF000000"/>
        <rFont val="Times New Roman"/>
        <family val="1"/>
      </rPr>
      <t xml:space="preserve">        </t>
    </r>
    <r>
      <rPr>
        <sz val="12"/>
        <color rgb="FF000000"/>
        <rFont val="Arial"/>
        <family val="2"/>
      </rPr>
      <t>معرفة كثافة الحقل ونوعه.</t>
    </r>
  </si>
  <si>
    <r>
      <t>5.</t>
    </r>
    <r>
      <rPr>
        <sz val="7"/>
        <color rgb="FF000000"/>
        <rFont val="Times New Roman"/>
        <family val="1"/>
      </rPr>
      <t xml:space="preserve">        </t>
    </r>
    <r>
      <rPr>
        <sz val="12"/>
        <color rgb="FF000000"/>
        <rFont val="Arial"/>
        <family val="2"/>
      </rPr>
      <t>تحديد نوع الألغام الموجودة في الحقل.</t>
    </r>
  </si>
  <si>
    <r>
      <t>6.</t>
    </r>
    <r>
      <rPr>
        <sz val="7"/>
        <color rgb="FF000000"/>
        <rFont val="Times New Roman"/>
        <family val="1"/>
      </rPr>
      <t xml:space="preserve">        </t>
    </r>
    <r>
      <rPr>
        <sz val="12"/>
        <color rgb="FF000000"/>
        <rFont val="Arial"/>
        <family val="2"/>
      </rPr>
      <t>تعبية نموذج الاستطلاع الخاص.</t>
    </r>
  </si>
  <si>
    <r>
      <t>7.</t>
    </r>
    <r>
      <rPr>
        <sz val="7"/>
        <color rgb="FF000000"/>
        <rFont val="Times New Roman"/>
        <family val="1"/>
      </rPr>
      <t xml:space="preserve">        </t>
    </r>
    <r>
      <rPr>
        <sz val="12"/>
        <color rgb="FF000000"/>
        <rFont val="Arial"/>
        <family val="2"/>
      </rPr>
      <t>رسم مخطط للحقل الألغام وإرساله إلى القيادة الأعلى.</t>
    </r>
  </si>
  <si>
    <r>
      <t>8.</t>
    </r>
    <r>
      <rPr>
        <sz val="7"/>
        <color rgb="FF000000"/>
        <rFont val="Times New Roman"/>
        <family val="1"/>
      </rPr>
      <t xml:space="preserve">        </t>
    </r>
    <r>
      <rPr>
        <sz val="12"/>
        <color rgb="FF000000"/>
        <rFont val="Arial"/>
        <family val="2"/>
      </rPr>
      <t>التأكد من عدم ترك أية آثار تدلل على عملية الاستطلاع.</t>
    </r>
  </si>
  <si>
    <r>
      <t>1.</t>
    </r>
    <r>
      <rPr>
        <sz val="7"/>
        <color rgb="FF000000"/>
        <rFont val="Times New Roman"/>
        <family val="1"/>
      </rPr>
      <t xml:space="preserve">        </t>
    </r>
    <r>
      <rPr>
        <sz val="12"/>
        <color rgb="FF000000"/>
        <rFont val="Arial"/>
        <family val="2"/>
      </rPr>
      <t>تتحرك الفصيل إلى نقطة الانطلاق وتستعد لبدء تنفيذ المهمة.</t>
    </r>
  </si>
  <si>
    <r>
      <t>9.</t>
    </r>
    <r>
      <rPr>
        <sz val="7"/>
        <color rgb="FF000000"/>
        <rFont val="Times New Roman"/>
        <family val="1"/>
      </rPr>
      <t xml:space="preserve">        </t>
    </r>
    <r>
      <rPr>
        <sz val="12"/>
        <color rgb="FF000000"/>
        <rFont val="Arial"/>
        <family val="2"/>
      </rPr>
      <t>قيادة الفصيل تراقب الوضع عن كثب وتتابع سير العمل وتقوم بإبلاغ ذلك للقيادة الأعلى.</t>
    </r>
  </si>
  <si>
    <r>
      <t>5.</t>
    </r>
    <r>
      <rPr>
        <sz val="7"/>
        <color rgb="FF000000"/>
        <rFont val="Times New Roman"/>
        <family val="1"/>
      </rPr>
      <t xml:space="preserve">        </t>
    </r>
    <r>
      <rPr>
        <sz val="12"/>
        <color rgb="FF000000"/>
        <rFont val="Arial"/>
        <family val="2"/>
      </rPr>
      <t>قبل بدء عملية الاستطلاع ينسق قائد فصيل الهندسة مع قيادة المستوى الأعلى حول النقاط التالية: وقت ومكان البدء واتجاه الاستطلاع والتأليف، والطرق للاستطلاع في منطقة العمليات.</t>
    </r>
  </si>
  <si>
    <r>
      <t xml:space="preserve">تقييم فصيل الهندسة في تنفيذ استطلاع لحقل ألغام
</t>
    </r>
    <r>
      <rPr>
        <b/>
        <u/>
        <sz val="14"/>
        <color rgb="FF000000"/>
        <rFont val="Arial"/>
        <family val="2"/>
      </rPr>
      <t>تمرين جاهزية مجموعة لواء الإمارات/1 (جندي الصحراء 2025/20)</t>
    </r>
  </si>
  <si>
    <t>ملازم/1 عادل راشد المزروعي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</si>
</sst>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sz val="7"/>
      <color rgb="FF000000"/>
      <name val="Times New Roman"/>
      <family val="1"/>
    </font>
    <font>
      <u/>
      <sz val="12"/>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0">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11" xfId="0" applyFont="1" applyBorder="1" applyAlignment="1">
      <alignment horizontal="center" vertical="center" wrapText="1" readingOrder="1"/>
    </xf>
    <xf numFmtId="9" fontId="3" fillId="0" borderId="11"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20"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11"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4" borderId="22"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3" fillId="0" borderId="4" xfId="0" applyFont="1" applyBorder="1" applyAlignment="1">
      <alignment vertical="center"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3" xfId="0" applyFont="1" applyBorder="1" applyAlignment="1">
      <alignment horizontal="center" vertical="center" wrapText="1" readingOrder="2"/>
    </xf>
    <xf numFmtId="9" fontId="3" fillId="0" borderId="13" xfId="0" applyNumberFormat="1" applyFont="1" applyBorder="1" applyAlignment="1">
      <alignment horizontal="center" vertical="center" wrapText="1" readingOrder="2"/>
    </xf>
    <xf numFmtId="0" fontId="2" fillId="0" borderId="13" xfId="0" applyFont="1" applyBorder="1" applyAlignment="1">
      <alignment horizontal="center" vertical="center" wrapText="1" readingOrder="1"/>
    </xf>
    <xf numFmtId="0" fontId="13" fillId="0" borderId="11" xfId="0" applyFont="1" applyBorder="1" applyAlignment="1">
      <alignment vertical="center" wrapText="1"/>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3" fillId="0" borderId="13" xfId="0" applyFont="1" applyBorder="1" applyAlignment="1" applyProtection="1">
      <alignment horizontal="center" vertical="center" wrapText="1" readingOrder="2"/>
      <protection locked="0"/>
    </xf>
    <xf numFmtId="0" fontId="3" fillId="0" borderId="14"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7" xfId="0" applyFont="1" applyBorder="1" applyAlignment="1">
      <alignment horizontal="center" vertical="center" wrapText="1" readingOrder="2"/>
    </xf>
    <xf numFmtId="0" fontId="2" fillId="0" borderId="18" xfId="0" applyFont="1" applyBorder="1" applyAlignment="1">
      <alignment horizontal="center" vertical="center" wrapText="1" readingOrder="2"/>
    </xf>
    <xf numFmtId="0" fontId="2" fillId="0" borderId="19" xfId="0" applyFont="1" applyBorder="1" applyAlignment="1">
      <alignment horizontal="center" vertical="center" wrapText="1" readingOrder="2"/>
    </xf>
    <xf numFmtId="0" fontId="7" fillId="4" borderId="21" xfId="0" applyFont="1" applyFill="1" applyBorder="1" applyAlignment="1" applyProtection="1">
      <alignment horizontal="center" vertical="center" wrapText="1" readingOrder="2"/>
      <protection locked="0"/>
    </xf>
    <xf numFmtId="0" fontId="7" fillId="4" borderId="22"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4" xfId="0" applyFont="1" applyFill="1" applyBorder="1" applyAlignment="1" applyProtection="1">
      <alignment horizontal="center" vertical="center" wrapText="1" readingOrder="2"/>
      <protection locked="0"/>
    </xf>
    <xf numFmtId="0" fontId="6" fillId="4" borderId="22" xfId="0" applyFont="1" applyFill="1" applyBorder="1" applyAlignment="1" applyProtection="1">
      <alignment horizontal="center" vertical="center" wrapText="1" readingOrder="2"/>
      <protection locked="0"/>
    </xf>
    <xf numFmtId="0" fontId="6" fillId="4" borderId="23"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49" fontId="6" fillId="0" borderId="0" xfId="0" applyNumberFormat="1" applyFont="1" applyAlignment="1" applyProtection="1">
      <alignment horizontal="center" vertical="center" wrapText="1" readingOrder="2"/>
      <protection locked="0"/>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7" fillId="4" borderId="13"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6" xfId="0" applyFont="1" applyBorder="1" applyAlignment="1" applyProtection="1">
      <alignment horizontal="center"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12" fillId="0" borderId="24" xfId="0" applyFont="1" applyBorder="1" applyAlignment="1">
      <alignment horizontal="right" vertical="center" wrapText="1" readingOrder="2"/>
    </xf>
    <xf numFmtId="0" fontId="12" fillId="0" borderId="3" xfId="0" applyFont="1" applyBorder="1" applyAlignment="1">
      <alignment horizontal="right" vertical="center" wrapText="1" readingOrder="2"/>
    </xf>
    <xf numFmtId="0" fontId="12" fillId="0" borderId="12" xfId="0" applyFont="1" applyBorder="1" applyAlignment="1">
      <alignment horizontal="right" vertical="center" wrapText="1" readingOrder="2"/>
    </xf>
    <xf numFmtId="0" fontId="12" fillId="0" borderId="13" xfId="0" applyFont="1" applyBorder="1" applyAlignment="1">
      <alignment horizontal="right" vertical="center" wrapText="1" readingOrder="2"/>
    </xf>
    <xf numFmtId="0" fontId="1" fillId="0" borderId="5" xfId="0" applyFont="1" applyBorder="1" applyAlignment="1">
      <alignment horizontal="right" vertical="center" wrapText="1" readingOrder="2"/>
    </xf>
    <xf numFmtId="0" fontId="1" fillId="0" borderId="4" xfId="0" applyFont="1" applyBorder="1" applyAlignment="1">
      <alignment horizontal="right" vertical="center" wrapText="1" readingOrder="2"/>
    </xf>
    <xf numFmtId="0" fontId="1" fillId="0" borderId="15" xfId="0" applyFont="1" applyBorder="1" applyAlignment="1">
      <alignment horizontal="right" vertical="center" wrapText="1" readingOrder="2"/>
    </xf>
    <xf numFmtId="0" fontId="1" fillId="0" borderId="11"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234105</xdr:colOff>
      <xdr:row>35</xdr:row>
      <xdr:rowOff>445555</xdr:rowOff>
    </xdr:from>
    <xdr:to>
      <xdr:col>9</xdr:col>
      <xdr:colOff>104474</xdr:colOff>
      <xdr:row>36</xdr:row>
      <xdr:rowOff>539063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28B223F-58D6-9620-A284-7F025E89017F}"/>
                </a:ext>
              </a:extLst>
            </xdr14:cNvPr>
            <xdr14:cNvContentPartPr/>
          </xdr14:nvContentPartPr>
          <xdr14:nvPr macro=""/>
          <xdr14:xfrm>
            <a:off x="10398482345" y="16014600"/>
            <a:ext cx="1844640" cy="624600"/>
          </xdr14:xfrm>
        </xdr:contentPart>
      </mc:Choice>
      <mc:Fallback xmlns="">
        <xdr:pic>
          <xdr:nvPicPr>
            <xdr:cNvPr id="2" name="Ink 1">
              <a:extLst>
                <a:ext uri="{FF2B5EF4-FFF2-40B4-BE49-F238E27FC236}">
                  <a16:creationId xmlns:a16="http://schemas.microsoft.com/office/drawing/2014/main" id="{C28B223F-58D6-9620-A284-7F025E89017F}"/>
                </a:ext>
              </a:extLst>
            </xdr:cNvPr>
            <xdr:cNvPicPr/>
          </xdr:nvPicPr>
          <xdr:blipFill>
            <a:blip xmlns:r="http://schemas.openxmlformats.org/officeDocument/2006/relationships" r:embed="rId2"/>
            <a:stretch>
              <a:fillRect/>
            </a:stretch>
          </xdr:blipFill>
          <xdr:spPr>
            <a:xfrm>
              <a:off x="10398476225" y="16008480"/>
              <a:ext cx="1856880" cy="6368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08T07:44:38.318"/>
    </inkml:context>
    <inkml:brush xml:id="br0">
      <inkml:brushProperty name="width" value="0.035" units="cm"/>
      <inkml:brushProperty name="height" value="0.035" units="cm"/>
    </inkml:brush>
  </inkml:definitions>
  <inkml:trace contextRef="#ctx0" brushRef="#br0">4818 1287,'0'0,"0"0,0 0,0 0,0 0,0 0,0 0,0 0,0 0,0 0,0 0,0 0,0 0,0 0,0 0,0 0,0 0,0 0,0 0,0-16,0 14,16 4,-16-18,0 14,14-12,2-2,-14 14,13-12,-15-18,0 27,13-6,4-5,-15 13,12-10,-14-3,0 13,14-10,-5 5,-18 0,9 0,16 16,-9-8,-30 0,9 16,11-15,-10 14,-4 1,17-14,-30 12,14 2,16-14,-47 28,17 2,25-28,-21 24,-6 4,29-27,-25 6,-2 22,25-29,-36 8,8 4,31-13,-26 10,-2 3,25-13,-23 10,-2-13,25 0,-20 0,-8 16,31-13,-10-6,-21-13,30 14,-8 4,-5-18,13 14,-10-12,13-18,0 27,-15-6,15-22,0 28,-15-22,15-5,0 27,0-22,0 11,0 13,0-26,0 13,0 13,0-10,0-3,0 14,0-12,0 6,-17 16,3-8,12 0,-13 0,0 0,15 0,-15 0,-18 16,31-14,-26 12,-18 2,39-14,-16 12,-24-14,37 0,-13 16,-7 0,25-14,-20 12,9-14,13 0,-25 16,12-16,13 0,-10 0,-2 16,13-14,-12-4,14-14,0 14,0-12,0 13,0-14,0-1,0 14,0-12,0 13,0-14,0-1,0 13,0-10,0 11,0-12,0 12,-16 4,2-2,-3 16,15-14,-11-4,-18 18,26-14,-20-4,-22 18,37-14,-43 28,-24 2,66-27,-72 38,-42 5,106-39,-102 31,-19 8,119-40,-112 32,-53 9,155-42,-125 34,-46 7,174-40,-130 17,-46-9,174-14,-156 28,-17-14,175-14,-145 12,-13 2,158-14,-146-4,3 18,146-13,-122-6,24-13,103 13,-70 6,13-3,65 0,-39-16,-10 0,52 14,-14-12,-8-18,27 28,-8-24,12-21,0 41,0-32,16-57,-14 83,59-85,32-13,-79 95,97-94,58-35,-141 123,147-98,75-24,-211 121,185-81,39-8,-225 97,204-48,23-32,-227 81,218-34,24-17,-238 57,181-30,24 23,-207 14,139-12,22 14,-168 0,120 16,4 16,-134-27,94 6,-8 21,-92-26,59 21,-15 6,-49-28,23 6,11 21,-36-27,-3 6,23 5,-25-14,6 12,6 18,-15-27,9 22,-11-11,0-14,0 28,-30 18,25-41,-20 19,-22 22,38-40,-61 49,-7 7,65-55,-86 46,5-6,80-41,-81 48,-16-8,95-41,-63 18,1 7,66-27,-57 6,7 21,52-27,-29-10,-8 21,37-13,-14-6,8 3,14 0,-30 16,17-16,12 0,-13 0,9 0,29 0,-9 17,2-17,-13 0,10 0,18 0,-27 0,8 0,19 0,-24 0,1 17,7-17,-13 0,-19 16,2 0,12-14,-10 12,-2 2,13-14,-28 28,15 2,14-27,-30 6,17 21,12-27,-29 6,1 21,25-27,-7 6,-1-11,10 0,-11 16,-2-32,16 14,-14 4,14-18,0 14,-33-12,20-2,10 13,6-26,-20-3,15 27,-12-6,-1-5,13 13,-11-10,-4 13,17 0,-14-16,-18 0,27 13,-5 22,2-11,0 0,-8 40,16-40,0 32,0 121,0-135,0 125,0-151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B5" sqref="B5:D6"/>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0" t="s">
        <v>201</v>
      </c>
      <c r="C1" s="71"/>
      <c r="D1" s="71"/>
      <c r="E1" s="71"/>
      <c r="F1" s="71"/>
      <c r="G1" s="71"/>
      <c r="H1" s="71"/>
      <c r="I1" s="71"/>
      <c r="J1" s="71"/>
    </row>
    <row r="2" spans="1:10" ht="30" customHeight="1" x14ac:dyDescent="0.3">
      <c r="B2" s="15" t="s">
        <v>8</v>
      </c>
      <c r="C2" s="77" t="s">
        <v>12</v>
      </c>
      <c r="D2" s="77"/>
      <c r="E2" s="15" t="s">
        <v>7</v>
      </c>
      <c r="F2" s="72">
        <v>45938</v>
      </c>
      <c r="G2" s="72"/>
      <c r="H2" s="72"/>
      <c r="I2" s="72"/>
      <c r="J2" s="72"/>
    </row>
    <row r="3" spans="1:10" ht="30" customHeight="1" x14ac:dyDescent="0.3">
      <c r="B3" s="15" t="s">
        <v>9</v>
      </c>
      <c r="C3" s="77" t="s">
        <v>60</v>
      </c>
      <c r="D3" s="77"/>
      <c r="E3" s="15" t="s">
        <v>6</v>
      </c>
      <c r="F3" s="77" t="s">
        <v>120</v>
      </c>
      <c r="G3" s="77"/>
      <c r="H3" s="77"/>
      <c r="I3" s="77"/>
      <c r="J3" s="77"/>
    </row>
    <row r="4" spans="1:10" ht="30" customHeight="1" thickBot="1" x14ac:dyDescent="0.35">
      <c r="B4" s="6"/>
      <c r="C4" s="7"/>
      <c r="D4" s="7" t="s">
        <v>202</v>
      </c>
      <c r="E4" s="6"/>
      <c r="F4" s="7"/>
      <c r="G4" s="7"/>
      <c r="H4" s="8"/>
      <c r="I4" s="7"/>
      <c r="J4" s="7"/>
    </row>
    <row r="5" spans="1:10" ht="24.9" customHeight="1" x14ac:dyDescent="0.3">
      <c r="A5" s="13"/>
      <c r="B5" s="73" t="s">
        <v>0</v>
      </c>
      <c r="C5" s="74"/>
      <c r="D5" s="74"/>
      <c r="E5" s="62" t="s">
        <v>1</v>
      </c>
      <c r="F5" s="62"/>
      <c r="G5" s="62"/>
      <c r="H5" s="62"/>
      <c r="I5" s="62" t="s">
        <v>2</v>
      </c>
      <c r="J5" s="63"/>
    </row>
    <row r="6" spans="1:10" ht="24.9" customHeight="1" thickBot="1" x14ac:dyDescent="0.35">
      <c r="A6" s="13"/>
      <c r="B6" s="75"/>
      <c r="C6" s="76"/>
      <c r="D6" s="76"/>
      <c r="E6" s="14" t="s">
        <v>3</v>
      </c>
      <c r="F6" s="14" t="s">
        <v>4</v>
      </c>
      <c r="G6" s="14" t="s">
        <v>23</v>
      </c>
      <c r="H6" s="14" t="s">
        <v>24</v>
      </c>
      <c r="I6" s="64"/>
      <c r="J6" s="65"/>
    </row>
    <row r="7" spans="1:10" ht="24.9" customHeight="1" thickBot="1" x14ac:dyDescent="0.35">
      <c r="A7" s="13"/>
      <c r="B7" s="58" t="s">
        <v>21</v>
      </c>
      <c r="C7" s="59"/>
      <c r="D7" s="59"/>
      <c r="E7" s="32" t="s">
        <v>18</v>
      </c>
      <c r="F7" s="32" t="s">
        <v>19</v>
      </c>
      <c r="G7" s="32" t="s">
        <v>22</v>
      </c>
      <c r="H7" s="32" t="s">
        <v>20</v>
      </c>
      <c r="I7" s="66" t="s">
        <v>25</v>
      </c>
      <c r="J7" s="67"/>
    </row>
    <row r="8" spans="1:10" ht="30" customHeight="1" x14ac:dyDescent="0.3">
      <c r="A8" s="13"/>
      <c r="B8" s="86" t="s">
        <v>176</v>
      </c>
      <c r="C8" s="87"/>
      <c r="D8" s="87"/>
      <c r="E8" s="35"/>
      <c r="F8" s="36"/>
      <c r="G8" s="37"/>
      <c r="H8" s="38"/>
      <c r="I8" s="68"/>
      <c r="J8" s="69"/>
    </row>
    <row r="9" spans="1:10" ht="39.9" customHeight="1" x14ac:dyDescent="0.3">
      <c r="A9" s="13"/>
      <c r="B9" s="82" t="s">
        <v>177</v>
      </c>
      <c r="C9" s="83"/>
      <c r="D9" s="83"/>
      <c r="E9" s="11">
        <v>5</v>
      </c>
      <c r="F9" s="30">
        <v>3.25</v>
      </c>
      <c r="G9" s="33">
        <f>IFERROR(F9/E9,"")</f>
        <v>0.65</v>
      </c>
      <c r="H9" s="34" t="str">
        <f>_xlfn.IFS(F9="أدخل العلامة","",F9="لا ينطبق","تم الإلغاء",G9&gt;=90%,"ممتاز",G9&gt;=80%,"جيد جداً",G9&gt;=70%,"جيد",G9&gt;=60%,"مقبول",G9&lt;60%,"راسب")</f>
        <v>مقبول</v>
      </c>
      <c r="I9" s="60"/>
      <c r="J9" s="61"/>
    </row>
    <row r="10" spans="1:10" ht="39.9" customHeight="1" x14ac:dyDescent="0.3">
      <c r="A10" s="13"/>
      <c r="B10" s="82" t="s">
        <v>178</v>
      </c>
      <c r="C10" s="83"/>
      <c r="D10" s="83"/>
      <c r="E10" s="11">
        <v>5</v>
      </c>
      <c r="F10" s="30">
        <v>3.5</v>
      </c>
      <c r="G10" s="33">
        <f t="shared" ref="G10:G32" si="0">IFERROR(F10/E10,"")</f>
        <v>0.7</v>
      </c>
      <c r="H10" s="34" t="str">
        <f t="shared" ref="H10:H32" si="1">_xlfn.IFS(F10="أدخل العلامة","",F10="لا ينطبق","تم الإلغاء",G10&gt;=90%,"ممتاز",G10&gt;=80%,"جيد جداً",G10&gt;=70%,"جيد",G10&gt;=60%,"مقبول",G10&lt;60%,"راسب")</f>
        <v>جيد</v>
      </c>
      <c r="I10" s="60"/>
      <c r="J10" s="61"/>
    </row>
    <row r="11" spans="1:10" ht="39.9" customHeight="1" x14ac:dyDescent="0.3">
      <c r="A11" s="13"/>
      <c r="B11" s="82" t="s">
        <v>179</v>
      </c>
      <c r="C11" s="83"/>
      <c r="D11" s="83"/>
      <c r="E11" s="11">
        <v>5</v>
      </c>
      <c r="F11" s="30">
        <v>3.5</v>
      </c>
      <c r="G11" s="33">
        <f t="shared" si="0"/>
        <v>0.7</v>
      </c>
      <c r="H11" s="34" t="str">
        <f t="shared" si="1"/>
        <v>جيد</v>
      </c>
      <c r="I11" s="60"/>
      <c r="J11" s="61"/>
    </row>
    <row r="12" spans="1:10" ht="69" customHeight="1" x14ac:dyDescent="0.3">
      <c r="A12" s="13"/>
      <c r="B12" s="82" t="s">
        <v>180</v>
      </c>
      <c r="C12" s="83"/>
      <c r="D12" s="83"/>
      <c r="E12" s="11">
        <v>5</v>
      </c>
      <c r="F12" s="30">
        <v>3.5</v>
      </c>
      <c r="G12" s="33">
        <f t="shared" si="0"/>
        <v>0.7</v>
      </c>
      <c r="H12" s="34" t="str">
        <f t="shared" si="1"/>
        <v>جيد</v>
      </c>
      <c r="I12" s="60"/>
      <c r="J12" s="61"/>
    </row>
    <row r="13" spans="1:10" ht="39.9" customHeight="1" x14ac:dyDescent="0.3">
      <c r="A13" s="13"/>
      <c r="B13" s="82" t="s">
        <v>181</v>
      </c>
      <c r="C13" s="83"/>
      <c r="D13" s="83"/>
      <c r="E13" s="11">
        <v>5</v>
      </c>
      <c r="F13" s="30">
        <v>3.5</v>
      </c>
      <c r="G13" s="33">
        <f t="shared" si="0"/>
        <v>0.7</v>
      </c>
      <c r="H13" s="34" t="str">
        <f t="shared" si="1"/>
        <v>جيد</v>
      </c>
      <c r="I13" s="60"/>
      <c r="J13" s="61"/>
    </row>
    <row r="14" spans="1:10" ht="39.9" customHeight="1" x14ac:dyDescent="0.3">
      <c r="A14" s="13"/>
      <c r="B14" s="82" t="s">
        <v>182</v>
      </c>
      <c r="C14" s="83"/>
      <c r="D14" s="83"/>
      <c r="E14" s="11">
        <v>5</v>
      </c>
      <c r="F14" s="30">
        <v>3.5</v>
      </c>
      <c r="G14" s="33">
        <f t="shared" si="0"/>
        <v>0.7</v>
      </c>
      <c r="H14" s="34" t="str">
        <f t="shared" si="1"/>
        <v>جيد</v>
      </c>
      <c r="I14" s="60"/>
      <c r="J14" s="61"/>
    </row>
    <row r="15" spans="1:10" ht="30" customHeight="1" x14ac:dyDescent="0.3">
      <c r="A15" s="13"/>
      <c r="B15" s="82" t="s">
        <v>183</v>
      </c>
      <c r="C15" s="83"/>
      <c r="D15" s="83"/>
      <c r="E15" s="11">
        <v>5</v>
      </c>
      <c r="F15" s="30">
        <v>3.5</v>
      </c>
      <c r="G15" s="33">
        <f t="shared" si="0"/>
        <v>0.7</v>
      </c>
      <c r="H15" s="34" t="str">
        <f t="shared" si="1"/>
        <v>جيد</v>
      </c>
      <c r="I15" s="60"/>
      <c r="J15" s="61"/>
    </row>
    <row r="16" spans="1:10" ht="30" customHeight="1" thickBot="1" x14ac:dyDescent="0.35">
      <c r="A16" s="13"/>
      <c r="B16" s="84" t="s">
        <v>184</v>
      </c>
      <c r="C16" s="85"/>
      <c r="D16" s="85"/>
      <c r="E16" s="39">
        <v>5</v>
      </c>
      <c r="F16" s="31">
        <v>3.5</v>
      </c>
      <c r="G16" s="40">
        <f t="shared" si="0"/>
        <v>0.7</v>
      </c>
      <c r="H16" s="41" t="str">
        <f t="shared" si="1"/>
        <v>جيد</v>
      </c>
      <c r="I16" s="49"/>
      <c r="J16" s="50"/>
    </row>
    <row r="17" spans="1:10" ht="30" customHeight="1" x14ac:dyDescent="0.3">
      <c r="A17" s="13"/>
      <c r="B17" s="86" t="s">
        <v>185</v>
      </c>
      <c r="C17" s="87"/>
      <c r="D17" s="87"/>
      <c r="E17" s="35"/>
      <c r="F17" s="36"/>
      <c r="G17" s="37"/>
      <c r="H17" s="38"/>
      <c r="I17" s="68"/>
      <c r="J17" s="69"/>
    </row>
    <row r="18" spans="1:10" ht="39.9" customHeight="1" x14ac:dyDescent="0.3">
      <c r="A18" s="13"/>
      <c r="B18" s="82" t="s">
        <v>186</v>
      </c>
      <c r="C18" s="83"/>
      <c r="D18" s="83"/>
      <c r="E18" s="11">
        <v>5</v>
      </c>
      <c r="F18" s="30">
        <v>3.75</v>
      </c>
      <c r="G18" s="33">
        <f t="shared" si="0"/>
        <v>0.75</v>
      </c>
      <c r="H18" s="34" t="str">
        <f t="shared" si="1"/>
        <v>جيد</v>
      </c>
      <c r="I18" s="60"/>
      <c r="J18" s="61"/>
    </row>
    <row r="19" spans="1:10" ht="39.9" customHeight="1" x14ac:dyDescent="0.3">
      <c r="A19" s="13"/>
      <c r="B19" s="82" t="s">
        <v>187</v>
      </c>
      <c r="C19" s="83"/>
      <c r="D19" s="83"/>
      <c r="E19" s="11">
        <v>5</v>
      </c>
      <c r="F19" s="30">
        <v>3.5</v>
      </c>
      <c r="G19" s="33">
        <f t="shared" si="0"/>
        <v>0.7</v>
      </c>
      <c r="H19" s="34" t="str">
        <f t="shared" si="1"/>
        <v>جيد</v>
      </c>
      <c r="I19" s="60"/>
      <c r="J19" s="61"/>
    </row>
    <row r="20" spans="1:10" ht="30" customHeight="1" x14ac:dyDescent="0.3">
      <c r="A20" s="13"/>
      <c r="B20" s="82" t="s">
        <v>188</v>
      </c>
      <c r="C20" s="83"/>
      <c r="D20" s="83"/>
      <c r="E20" s="11">
        <v>5</v>
      </c>
      <c r="F20" s="30">
        <v>3.5</v>
      </c>
      <c r="G20" s="33">
        <f t="shared" si="0"/>
        <v>0.7</v>
      </c>
      <c r="H20" s="34" t="str">
        <f t="shared" si="1"/>
        <v>جيد</v>
      </c>
      <c r="I20" s="60"/>
      <c r="J20" s="61"/>
    </row>
    <row r="21" spans="1:10" ht="60" customHeight="1" x14ac:dyDescent="0.3">
      <c r="A21" s="13"/>
      <c r="B21" s="82" t="s">
        <v>189</v>
      </c>
      <c r="C21" s="83"/>
      <c r="D21" s="83"/>
      <c r="E21" s="11">
        <v>5</v>
      </c>
      <c r="F21" s="30">
        <v>3.5</v>
      </c>
      <c r="G21" s="33">
        <f t="shared" si="0"/>
        <v>0.7</v>
      </c>
      <c r="H21" s="34" t="str">
        <f t="shared" si="1"/>
        <v>جيد</v>
      </c>
      <c r="I21" s="60"/>
      <c r="J21" s="61"/>
    </row>
    <row r="22" spans="1:10" ht="57" customHeight="1" thickBot="1" x14ac:dyDescent="0.35">
      <c r="A22" s="13"/>
      <c r="B22" s="84" t="s">
        <v>200</v>
      </c>
      <c r="C22" s="85"/>
      <c r="D22" s="85"/>
      <c r="E22" s="39">
        <v>5</v>
      </c>
      <c r="F22" s="31">
        <v>3.5</v>
      </c>
      <c r="G22" s="40">
        <f t="shared" si="0"/>
        <v>0.7</v>
      </c>
      <c r="H22" s="41" t="str">
        <f t="shared" si="1"/>
        <v>جيد</v>
      </c>
      <c r="I22" s="49"/>
      <c r="J22" s="50"/>
    </row>
    <row r="23" spans="1:10" ht="30" customHeight="1" x14ac:dyDescent="0.3">
      <c r="A23" s="13"/>
      <c r="B23" s="88" t="s">
        <v>190</v>
      </c>
      <c r="C23" s="89"/>
      <c r="D23" s="89"/>
      <c r="E23" s="42"/>
      <c r="F23" s="29"/>
      <c r="G23" s="10"/>
      <c r="H23" s="9"/>
      <c r="I23" s="78"/>
      <c r="J23" s="79"/>
    </row>
    <row r="24" spans="1:10" ht="30" customHeight="1" x14ac:dyDescent="0.3">
      <c r="A24" s="13"/>
      <c r="B24" s="82" t="s">
        <v>198</v>
      </c>
      <c r="C24" s="83"/>
      <c r="D24" s="83"/>
      <c r="E24" s="11">
        <v>5</v>
      </c>
      <c r="F24" s="30">
        <v>3.75</v>
      </c>
      <c r="G24" s="33">
        <f t="shared" si="0"/>
        <v>0.75</v>
      </c>
      <c r="H24" s="34" t="str">
        <f t="shared" si="1"/>
        <v>جيد</v>
      </c>
      <c r="I24" s="60"/>
      <c r="J24" s="61"/>
    </row>
    <row r="25" spans="1:10" ht="30" customHeight="1" x14ac:dyDescent="0.3">
      <c r="A25" s="13"/>
      <c r="B25" s="82" t="s">
        <v>191</v>
      </c>
      <c r="C25" s="83"/>
      <c r="D25" s="83"/>
      <c r="E25" s="11">
        <v>5</v>
      </c>
      <c r="F25" s="30">
        <v>3.5</v>
      </c>
      <c r="G25" s="33">
        <f t="shared" si="0"/>
        <v>0.7</v>
      </c>
      <c r="H25" s="34" t="str">
        <f t="shared" si="1"/>
        <v>جيد</v>
      </c>
      <c r="I25" s="60"/>
      <c r="J25" s="61"/>
    </row>
    <row r="26" spans="1:10" ht="30" customHeight="1" x14ac:dyDescent="0.3">
      <c r="A26" s="13"/>
      <c r="B26" s="82" t="s">
        <v>192</v>
      </c>
      <c r="C26" s="83"/>
      <c r="D26" s="83"/>
      <c r="E26" s="11">
        <v>5</v>
      </c>
      <c r="F26" s="30">
        <v>3.75</v>
      </c>
      <c r="G26" s="33">
        <f t="shared" si="0"/>
        <v>0.75</v>
      </c>
      <c r="H26" s="34" t="str">
        <f t="shared" si="1"/>
        <v>جيد</v>
      </c>
      <c r="I26" s="60"/>
      <c r="J26" s="61"/>
    </row>
    <row r="27" spans="1:10" ht="30" customHeight="1" x14ac:dyDescent="0.3">
      <c r="A27" s="13"/>
      <c r="B27" s="82" t="s">
        <v>193</v>
      </c>
      <c r="C27" s="83"/>
      <c r="D27" s="83"/>
      <c r="E27" s="11">
        <v>5</v>
      </c>
      <c r="F27" s="30">
        <v>3.75</v>
      </c>
      <c r="G27" s="33">
        <f t="shared" si="0"/>
        <v>0.75</v>
      </c>
      <c r="H27" s="34" t="str">
        <f t="shared" si="1"/>
        <v>جيد</v>
      </c>
      <c r="I27" s="60"/>
      <c r="J27" s="61"/>
    </row>
    <row r="28" spans="1:10" ht="30" customHeight="1" x14ac:dyDescent="0.3">
      <c r="A28" s="13"/>
      <c r="B28" s="82" t="s">
        <v>194</v>
      </c>
      <c r="C28" s="83"/>
      <c r="D28" s="83"/>
      <c r="E28" s="11">
        <v>5</v>
      </c>
      <c r="F28" s="30">
        <v>3.5</v>
      </c>
      <c r="G28" s="33">
        <f t="shared" si="0"/>
        <v>0.7</v>
      </c>
      <c r="H28" s="34" t="str">
        <f t="shared" si="1"/>
        <v>جيد</v>
      </c>
      <c r="I28" s="60"/>
      <c r="J28" s="61"/>
    </row>
    <row r="29" spans="1:10" ht="30" customHeight="1" x14ac:dyDescent="0.3">
      <c r="A29" s="13"/>
      <c r="B29" s="82" t="s">
        <v>195</v>
      </c>
      <c r="C29" s="83"/>
      <c r="D29" s="83"/>
      <c r="E29" s="11">
        <v>5</v>
      </c>
      <c r="F29" s="30">
        <v>3.5</v>
      </c>
      <c r="G29" s="33">
        <f t="shared" si="0"/>
        <v>0.7</v>
      </c>
      <c r="H29" s="34" t="str">
        <f t="shared" si="1"/>
        <v>جيد</v>
      </c>
      <c r="I29" s="60"/>
      <c r="J29" s="61"/>
    </row>
    <row r="30" spans="1:10" ht="30" customHeight="1" x14ac:dyDescent="0.3">
      <c r="A30" s="13"/>
      <c r="B30" s="82" t="s">
        <v>196</v>
      </c>
      <c r="C30" s="83"/>
      <c r="D30" s="83"/>
      <c r="E30" s="11">
        <v>5</v>
      </c>
      <c r="F30" s="30">
        <v>3.25</v>
      </c>
      <c r="G30" s="33">
        <f t="shared" si="0"/>
        <v>0.65</v>
      </c>
      <c r="H30" s="34" t="str">
        <f t="shared" si="1"/>
        <v>مقبول</v>
      </c>
      <c r="I30" s="60"/>
      <c r="J30" s="61"/>
    </row>
    <row r="31" spans="1:10" ht="30" customHeight="1" x14ac:dyDescent="0.3">
      <c r="A31" s="13"/>
      <c r="B31" s="82" t="s">
        <v>197</v>
      </c>
      <c r="C31" s="83"/>
      <c r="D31" s="83"/>
      <c r="E31" s="11">
        <v>5</v>
      </c>
      <c r="F31" s="30">
        <v>3.25</v>
      </c>
      <c r="G31" s="33">
        <f t="shared" si="0"/>
        <v>0.65</v>
      </c>
      <c r="H31" s="34" t="str">
        <f t="shared" si="1"/>
        <v>مقبول</v>
      </c>
      <c r="I31" s="60"/>
      <c r="J31" s="61"/>
    </row>
    <row r="32" spans="1:10" ht="39.9" customHeight="1" thickBot="1" x14ac:dyDescent="0.35">
      <c r="A32" s="13"/>
      <c r="B32" s="84" t="s">
        <v>199</v>
      </c>
      <c r="C32" s="85"/>
      <c r="D32" s="85"/>
      <c r="E32" s="39">
        <v>5</v>
      </c>
      <c r="F32" s="31">
        <v>3.5</v>
      </c>
      <c r="G32" s="40">
        <f t="shared" si="0"/>
        <v>0.7</v>
      </c>
      <c r="H32" s="41" t="str">
        <f t="shared" si="1"/>
        <v>جيد</v>
      </c>
      <c r="I32" s="49"/>
      <c r="J32" s="50"/>
    </row>
    <row r="33" spans="1:10" ht="30" customHeight="1" thickBot="1" x14ac:dyDescent="0.35">
      <c r="A33" s="4"/>
      <c r="B33" s="51" t="s">
        <v>5</v>
      </c>
      <c r="C33" s="52"/>
      <c r="D33" s="52"/>
      <c r="E33" s="12">
        <f>SUM(E8:E32)</f>
        <v>110</v>
      </c>
      <c r="F33" s="12">
        <f>SUM(F8:F32)</f>
        <v>77.25</v>
      </c>
      <c r="G33" s="55"/>
      <c r="H33" s="56"/>
      <c r="I33" s="56"/>
      <c r="J33" s="57"/>
    </row>
    <row r="34" spans="1:10" ht="30" customHeight="1" thickBot="1" x14ac:dyDescent="0.35">
      <c r="A34" s="4"/>
      <c r="B34" s="51" t="s">
        <v>54</v>
      </c>
      <c r="C34" s="52"/>
      <c r="D34" s="52"/>
      <c r="E34" s="80">
        <f>F33/E33/100*100</f>
        <v>0.70227272727272727</v>
      </c>
      <c r="F34" s="80"/>
      <c r="G34" s="80"/>
      <c r="H34" s="80"/>
      <c r="I34" s="80"/>
      <c r="J34" s="81"/>
    </row>
    <row r="35" spans="1:10" ht="30" customHeight="1" thickBot="1" x14ac:dyDescent="0.35">
      <c r="A35" s="4"/>
      <c r="B35" s="51" t="s">
        <v>55</v>
      </c>
      <c r="C35" s="52"/>
      <c r="D35" s="52"/>
      <c r="E35" s="47" t="str">
        <f>_xlfn.IFS(E34&gt;=90%,"ممتاز",E34&gt;=80%,"جيد جداً",E34&gt;=70%,"جيد",E34&gt;=60%,"مقبول",E34&lt;60%,"راسب")</f>
        <v>جيد</v>
      </c>
      <c r="F35" s="47"/>
      <c r="G35" s="47"/>
      <c r="H35" s="47"/>
      <c r="I35" s="47"/>
      <c r="J35" s="48"/>
    </row>
    <row r="36" spans="1:10" ht="42" customHeight="1" x14ac:dyDescent="0.3">
      <c r="B36" s="43" t="s">
        <v>175</v>
      </c>
      <c r="C36" s="43"/>
      <c r="D36" s="43"/>
      <c r="E36" s="53" t="s">
        <v>52</v>
      </c>
      <c r="F36" s="53"/>
      <c r="G36" s="45" t="s">
        <v>120</v>
      </c>
      <c r="H36" s="45"/>
      <c r="I36" s="45"/>
      <c r="J36" s="45"/>
    </row>
    <row r="37" spans="1:10" ht="51" customHeight="1" x14ac:dyDescent="0.3">
      <c r="A37" s="5"/>
      <c r="B37" s="44"/>
      <c r="C37" s="44"/>
      <c r="D37" s="44"/>
      <c r="E37" s="54" t="s">
        <v>53</v>
      </c>
      <c r="F37" s="54"/>
      <c r="G37" s="46"/>
      <c r="H37" s="46"/>
      <c r="I37" s="46"/>
      <c r="J37" s="46"/>
    </row>
  </sheetData>
  <sheetProtection sheet="1" formatCells="0" formatColumns="0" formatRows="0" insertColumns="0" insertRows="0" insertHyperlinks="0" deleteColumns="0" deleteRows="0" selectLockedCells="1" sort="0" autoFilter="0" pivotTables="0"/>
  <mergeCells count="71">
    <mergeCell ref="B31:D31"/>
    <mergeCell ref="B32:D32"/>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8:D8"/>
    <mergeCell ref="B9:D9"/>
    <mergeCell ref="B10:D10"/>
    <mergeCell ref="B11:D11"/>
    <mergeCell ref="B12:D12"/>
    <mergeCell ref="B13:D13"/>
    <mergeCell ref="B14:D14"/>
    <mergeCell ref="B15:D15"/>
    <mergeCell ref="B16:D16"/>
    <mergeCell ref="I9:J9"/>
    <mergeCell ref="I24:J24"/>
    <mergeCell ref="I25:J25"/>
    <mergeCell ref="I26:J26"/>
    <mergeCell ref="I27:J27"/>
    <mergeCell ref="E34:J34"/>
    <mergeCell ref="I28:J28"/>
    <mergeCell ref="I29:J29"/>
    <mergeCell ref="I19:J19"/>
    <mergeCell ref="I20:J20"/>
    <mergeCell ref="I21:J21"/>
    <mergeCell ref="I22:J22"/>
    <mergeCell ref="I23:J23"/>
    <mergeCell ref="B1:J1"/>
    <mergeCell ref="F2:J2"/>
    <mergeCell ref="B5:D6"/>
    <mergeCell ref="C2:D2"/>
    <mergeCell ref="C3:D3"/>
    <mergeCell ref="F3:J3"/>
    <mergeCell ref="B7:D7"/>
    <mergeCell ref="I30:J30"/>
    <mergeCell ref="I31:J31"/>
    <mergeCell ref="E5:H5"/>
    <mergeCell ref="I5:J6"/>
    <mergeCell ref="I7:J7"/>
    <mergeCell ref="I10:J10"/>
    <mergeCell ref="I8:J8"/>
    <mergeCell ref="I11:J11"/>
    <mergeCell ref="I12:J12"/>
    <mergeCell ref="I13:J13"/>
    <mergeCell ref="I14:J14"/>
    <mergeCell ref="I15:J15"/>
    <mergeCell ref="I16:J16"/>
    <mergeCell ref="I17:J17"/>
    <mergeCell ref="I18:J18"/>
    <mergeCell ref="B36:D37"/>
    <mergeCell ref="G36:J36"/>
    <mergeCell ref="G37:J37"/>
    <mergeCell ref="E35:J35"/>
    <mergeCell ref="I32:J32"/>
    <mergeCell ref="B33:D33"/>
    <mergeCell ref="B34:D34"/>
    <mergeCell ref="B35:D35"/>
    <mergeCell ref="E36:F36"/>
    <mergeCell ref="E37:F37"/>
    <mergeCell ref="G33:J3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F24:F32 F18:F22 F9:F16</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2" t="s">
        <v>62</v>
      </c>
    </row>
    <row r="3" spans="1:3" ht="20.100000000000001" customHeight="1" thickBot="1" x14ac:dyDescent="0.35">
      <c r="A3" s="2" t="s">
        <v>26</v>
      </c>
      <c r="C3" s="22" t="s">
        <v>63</v>
      </c>
    </row>
    <row r="4" spans="1:3" ht="20.100000000000001" customHeight="1" thickBot="1" x14ac:dyDescent="0.35">
      <c r="A4" s="2" t="s">
        <v>36</v>
      </c>
      <c r="C4" s="22" t="s">
        <v>64</v>
      </c>
    </row>
    <row r="5" spans="1:3" ht="20.100000000000001" customHeight="1" thickBot="1" x14ac:dyDescent="0.35">
      <c r="A5" s="2" t="s">
        <v>37</v>
      </c>
      <c r="C5" s="22" t="s">
        <v>65</v>
      </c>
    </row>
    <row r="6" spans="1:3" ht="20.100000000000001" customHeight="1" thickBot="1" x14ac:dyDescent="0.35">
      <c r="A6" s="2" t="s">
        <v>38</v>
      </c>
      <c r="C6" s="22" t="s">
        <v>66</v>
      </c>
    </row>
    <row r="7" spans="1:3" ht="20.100000000000001" customHeight="1" thickBot="1" x14ac:dyDescent="0.35">
      <c r="A7" s="2" t="s">
        <v>39</v>
      </c>
      <c r="C7" s="22" t="s">
        <v>67</v>
      </c>
    </row>
    <row r="8" spans="1:3" ht="20.100000000000001" customHeight="1" thickBot="1" x14ac:dyDescent="0.35">
      <c r="A8" s="2" t="s">
        <v>40</v>
      </c>
      <c r="C8" s="22" t="s">
        <v>68</v>
      </c>
    </row>
    <row r="9" spans="1:3" ht="20.100000000000001" customHeight="1" thickBot="1" x14ac:dyDescent="0.35">
      <c r="A9" s="2" t="s">
        <v>41</v>
      </c>
      <c r="C9" s="22" t="s">
        <v>69</v>
      </c>
    </row>
    <row r="10" spans="1:3" ht="20.100000000000001" customHeight="1" thickBot="1" x14ac:dyDescent="0.35">
      <c r="A10" s="2" t="s">
        <v>42</v>
      </c>
      <c r="C10" s="22" t="s">
        <v>70</v>
      </c>
    </row>
    <row r="11" spans="1:3" ht="20.100000000000001" customHeight="1" thickBot="1" x14ac:dyDescent="0.35">
      <c r="A11" s="2" t="s">
        <v>43</v>
      </c>
      <c r="C11" s="22" t="s">
        <v>71</v>
      </c>
    </row>
    <row r="12" spans="1:3" ht="20.100000000000001" customHeight="1" thickBot="1" x14ac:dyDescent="0.35">
      <c r="A12" s="2" t="s">
        <v>44</v>
      </c>
      <c r="C12" s="22" t="s">
        <v>72</v>
      </c>
    </row>
    <row r="13" spans="1:3" ht="20.100000000000001" customHeight="1" thickBot="1" x14ac:dyDescent="0.35">
      <c r="A13" s="2" t="s">
        <v>45</v>
      </c>
      <c r="C13" s="22" t="s">
        <v>73</v>
      </c>
    </row>
    <row r="14" spans="1:3" ht="20.100000000000001" customHeight="1" thickBot="1" x14ac:dyDescent="0.35">
      <c r="A14" s="2" t="s">
        <v>46</v>
      </c>
      <c r="C14" s="22" t="s">
        <v>74</v>
      </c>
    </row>
    <row r="15" spans="1:3" ht="20.100000000000001" customHeight="1" thickBot="1" x14ac:dyDescent="0.35">
      <c r="A15" s="2" t="s">
        <v>47</v>
      </c>
      <c r="C15" s="22" t="s">
        <v>75</v>
      </c>
    </row>
    <row r="16" spans="1:3" ht="20.100000000000001" customHeight="1" thickBot="1" x14ac:dyDescent="0.35">
      <c r="A16" s="2" t="s">
        <v>10</v>
      </c>
      <c r="C16" s="22" t="s">
        <v>76</v>
      </c>
    </row>
    <row r="17" spans="1:3" ht="20.100000000000001" customHeight="1" thickBot="1" x14ac:dyDescent="0.35">
      <c r="A17" s="2" t="s">
        <v>27</v>
      </c>
      <c r="C17" s="22" t="s">
        <v>77</v>
      </c>
    </row>
    <row r="18" spans="1:3" ht="20.100000000000001" customHeight="1" thickBot="1" x14ac:dyDescent="0.35">
      <c r="A18" s="2" t="s">
        <v>48</v>
      </c>
      <c r="C18" s="22" t="s">
        <v>78</v>
      </c>
    </row>
    <row r="19" spans="1:3" ht="20.100000000000001" customHeight="1" thickBot="1" x14ac:dyDescent="0.35">
      <c r="A19" s="2" t="s">
        <v>49</v>
      </c>
      <c r="C19" s="22" t="s">
        <v>79</v>
      </c>
    </row>
    <row r="20" spans="1:3" ht="20.100000000000001" customHeight="1" thickBot="1" x14ac:dyDescent="0.35">
      <c r="A20" s="2" t="s">
        <v>50</v>
      </c>
      <c r="C20" s="22" t="s">
        <v>80</v>
      </c>
    </row>
    <row r="21" spans="1:3" ht="20.100000000000001" customHeight="1" thickBot="1" x14ac:dyDescent="0.35">
      <c r="A21" s="2" t="s">
        <v>51</v>
      </c>
      <c r="C21" s="22" t="s">
        <v>81</v>
      </c>
    </row>
    <row r="22" spans="1:3" ht="20.100000000000001" customHeight="1" thickBot="1" x14ac:dyDescent="0.35">
      <c r="A22" s="2" t="s">
        <v>11</v>
      </c>
      <c r="C22" s="22" t="s">
        <v>82</v>
      </c>
    </row>
    <row r="23" spans="1:3" ht="20.100000000000001" customHeight="1" thickBot="1" x14ac:dyDescent="0.35">
      <c r="A23" s="2" t="s">
        <v>12</v>
      </c>
      <c r="C23" s="22" t="s">
        <v>83</v>
      </c>
    </row>
    <row r="24" spans="1:3" ht="20.100000000000001" customHeight="1" thickBot="1" x14ac:dyDescent="0.35">
      <c r="A24" s="2" t="s">
        <v>15</v>
      </c>
      <c r="C24" s="22" t="s">
        <v>84</v>
      </c>
    </row>
    <row r="25" spans="1:3" ht="20.100000000000001" customHeight="1" thickBot="1" x14ac:dyDescent="0.35">
      <c r="A25" s="2" t="s">
        <v>28</v>
      </c>
      <c r="C25" s="22" t="s">
        <v>85</v>
      </c>
    </row>
    <row r="26" spans="1:3" ht="20.100000000000001" customHeight="1" thickBot="1" x14ac:dyDescent="0.35">
      <c r="A26" s="2" t="s">
        <v>29</v>
      </c>
      <c r="C26" s="22" t="s">
        <v>86</v>
      </c>
    </row>
    <row r="27" spans="1:3" ht="20.100000000000001" customHeight="1" thickBot="1" x14ac:dyDescent="0.35">
      <c r="A27" s="2" t="s">
        <v>13</v>
      </c>
      <c r="C27" s="22" t="s">
        <v>87</v>
      </c>
    </row>
    <row r="28" spans="1:3" ht="20.100000000000001" customHeight="1" thickBot="1" x14ac:dyDescent="0.35">
      <c r="A28" s="2" t="s">
        <v>30</v>
      </c>
      <c r="C28" s="22"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21"/>
    </row>
    <row r="36" spans="1:9" s="20" customFormat="1" ht="20.100000000000001" customHeight="1" x14ac:dyDescent="0.3">
      <c r="A36" s="18"/>
      <c r="B36" s="19"/>
      <c r="C36" s="19"/>
      <c r="D36" s="19"/>
      <c r="E36" s="19"/>
      <c r="F36" s="19"/>
      <c r="G36" s="19"/>
      <c r="H36" s="19"/>
      <c r="I36" s="19"/>
    </row>
    <row r="37" spans="1:9" ht="20.100000000000001" customHeight="1" thickBot="1" x14ac:dyDescent="0.35"/>
    <row r="38" spans="1:9" ht="20.100000000000001" customHeight="1" thickBot="1" x14ac:dyDescent="0.35">
      <c r="A38" s="2" t="s">
        <v>56</v>
      </c>
    </row>
    <row r="39" spans="1:9" ht="20.100000000000001" customHeight="1" thickBot="1" x14ac:dyDescent="0.35">
      <c r="A39" s="16">
        <v>45901</v>
      </c>
    </row>
    <row r="40" spans="1:9" ht="20.100000000000001" customHeight="1" thickBot="1" x14ac:dyDescent="0.35">
      <c r="A40" s="16">
        <v>45902</v>
      </c>
    </row>
    <row r="41" spans="1:9" ht="20.100000000000001" customHeight="1" thickBot="1" x14ac:dyDescent="0.35">
      <c r="A41" s="16">
        <v>45903</v>
      </c>
    </row>
    <row r="42" spans="1:9" ht="20.100000000000001" customHeight="1" thickBot="1" x14ac:dyDescent="0.35">
      <c r="A42" s="16">
        <v>45904</v>
      </c>
    </row>
    <row r="43" spans="1:9" ht="20.100000000000001" customHeight="1" thickBot="1" x14ac:dyDescent="0.35">
      <c r="A43" s="16">
        <v>45905</v>
      </c>
    </row>
    <row r="44" spans="1:9" ht="20.100000000000001" customHeight="1" thickBot="1" x14ac:dyDescent="0.35">
      <c r="A44" s="16">
        <v>45906</v>
      </c>
    </row>
    <row r="45" spans="1:9" ht="20.100000000000001" customHeight="1" thickBot="1" x14ac:dyDescent="0.35">
      <c r="A45" s="16">
        <v>45907</v>
      </c>
    </row>
    <row r="46" spans="1:9" ht="20.100000000000001" customHeight="1" thickBot="1" x14ac:dyDescent="0.35">
      <c r="A46" s="16">
        <v>45908</v>
      </c>
    </row>
    <row r="47" spans="1:9" ht="20.100000000000001" customHeight="1" thickBot="1" x14ac:dyDescent="0.35">
      <c r="A47" s="16">
        <v>45909</v>
      </c>
    </row>
    <row r="48" spans="1:9" ht="20.100000000000001" customHeight="1" thickBot="1" x14ac:dyDescent="0.35">
      <c r="A48" s="16">
        <v>45910</v>
      </c>
    </row>
    <row r="49" spans="1:1" ht="20.100000000000001" customHeight="1" thickBot="1" x14ac:dyDescent="0.35">
      <c r="A49" s="16">
        <v>45911</v>
      </c>
    </row>
    <row r="50" spans="1:1" ht="20.100000000000001" customHeight="1" thickBot="1" x14ac:dyDescent="0.35">
      <c r="A50" s="16">
        <v>45912</v>
      </c>
    </row>
    <row r="51" spans="1:1" ht="20.100000000000001" customHeight="1" thickBot="1" x14ac:dyDescent="0.35">
      <c r="A51" s="16">
        <v>45913</v>
      </c>
    </row>
    <row r="52" spans="1:1" ht="20.100000000000001" customHeight="1" thickBot="1" x14ac:dyDescent="0.35">
      <c r="A52" s="16">
        <v>45914</v>
      </c>
    </row>
    <row r="53" spans="1:1" ht="20.100000000000001" customHeight="1" thickBot="1" x14ac:dyDescent="0.35">
      <c r="A53" s="16">
        <v>45915</v>
      </c>
    </row>
    <row r="54" spans="1:1" ht="20.100000000000001" customHeight="1" thickBot="1" x14ac:dyDescent="0.35">
      <c r="A54" s="16">
        <v>45916</v>
      </c>
    </row>
    <row r="55" spans="1:1" ht="20.100000000000001" customHeight="1" thickBot="1" x14ac:dyDescent="0.35">
      <c r="A55" s="16">
        <v>45917</v>
      </c>
    </row>
    <row r="56" spans="1:1" ht="20.100000000000001" customHeight="1" thickBot="1" x14ac:dyDescent="0.35">
      <c r="A56" s="16">
        <v>45918</v>
      </c>
    </row>
    <row r="57" spans="1:1" ht="20.100000000000001" customHeight="1" thickBot="1" x14ac:dyDescent="0.35">
      <c r="A57" s="16">
        <v>45919</v>
      </c>
    </row>
    <row r="58" spans="1:1" ht="20.100000000000001" customHeight="1" thickBot="1" x14ac:dyDescent="0.35">
      <c r="A58" s="16">
        <v>45920</v>
      </c>
    </row>
    <row r="59" spans="1:1" ht="20.100000000000001" customHeight="1" thickBot="1" x14ac:dyDescent="0.35">
      <c r="A59" s="16">
        <v>45921</v>
      </c>
    </row>
    <row r="60" spans="1:1" ht="20.100000000000001" customHeight="1" thickBot="1" x14ac:dyDescent="0.35">
      <c r="A60" s="16">
        <v>45922</v>
      </c>
    </row>
    <row r="61" spans="1:1" ht="20.100000000000001" customHeight="1" thickBot="1" x14ac:dyDescent="0.35">
      <c r="A61" s="16">
        <v>45923</v>
      </c>
    </row>
    <row r="62" spans="1:1" ht="20.100000000000001" customHeight="1" thickBot="1" x14ac:dyDescent="0.35">
      <c r="A62" s="16">
        <v>45924</v>
      </c>
    </row>
    <row r="63" spans="1:1" ht="20.100000000000001" customHeight="1" thickBot="1" x14ac:dyDescent="0.35">
      <c r="A63" s="16">
        <v>45925</v>
      </c>
    </row>
    <row r="64" spans="1:1" ht="20.100000000000001" customHeight="1" thickBot="1" x14ac:dyDescent="0.35">
      <c r="A64" s="16">
        <v>45926</v>
      </c>
    </row>
    <row r="65" spans="1:1" ht="20.100000000000001" customHeight="1" thickBot="1" x14ac:dyDescent="0.35">
      <c r="A65" s="16">
        <v>45927</v>
      </c>
    </row>
    <row r="66" spans="1:1" ht="20.100000000000001" customHeight="1" thickBot="1" x14ac:dyDescent="0.35">
      <c r="A66" s="16">
        <v>45928</v>
      </c>
    </row>
    <row r="67" spans="1:1" ht="20.100000000000001" customHeight="1" thickBot="1" x14ac:dyDescent="0.35">
      <c r="A67" s="16">
        <v>45929</v>
      </c>
    </row>
    <row r="68" spans="1:1" ht="20.100000000000001" customHeight="1" thickBot="1" x14ac:dyDescent="0.35">
      <c r="A68" s="16">
        <v>45930</v>
      </c>
    </row>
    <row r="69" spans="1:1" ht="20.100000000000001" customHeight="1" thickBot="1" x14ac:dyDescent="0.35">
      <c r="A69" s="16">
        <v>45931</v>
      </c>
    </row>
    <row r="70" spans="1:1" ht="20.100000000000001" customHeight="1" thickBot="1" x14ac:dyDescent="0.35">
      <c r="A70" s="16">
        <v>45932</v>
      </c>
    </row>
    <row r="71" spans="1:1" ht="20.100000000000001" customHeight="1" thickBot="1" x14ac:dyDescent="0.35">
      <c r="A71" s="16">
        <v>45933</v>
      </c>
    </row>
    <row r="72" spans="1:1" ht="20.100000000000001" customHeight="1" thickBot="1" x14ac:dyDescent="0.35">
      <c r="A72" s="16">
        <v>45934</v>
      </c>
    </row>
    <row r="73" spans="1:1" ht="20.100000000000001" customHeight="1" thickBot="1" x14ac:dyDescent="0.35">
      <c r="A73" s="16">
        <v>45935</v>
      </c>
    </row>
    <row r="74" spans="1:1" ht="20.100000000000001" customHeight="1" thickBot="1" x14ac:dyDescent="0.35">
      <c r="A74" s="16">
        <v>45936</v>
      </c>
    </row>
    <row r="75" spans="1:1" ht="20.100000000000001" customHeight="1" thickBot="1" x14ac:dyDescent="0.35">
      <c r="A75" s="16">
        <v>45937</v>
      </c>
    </row>
    <row r="76" spans="1:1" ht="20.100000000000001" customHeight="1" thickBot="1" x14ac:dyDescent="0.35">
      <c r="A76" s="16">
        <v>45938</v>
      </c>
    </row>
    <row r="77" spans="1:1" ht="20.100000000000001" customHeight="1" thickBot="1" x14ac:dyDescent="0.35">
      <c r="A77" s="16">
        <v>45939</v>
      </c>
    </row>
    <row r="78" spans="1:1" ht="20.100000000000001" customHeight="1" thickBot="1" x14ac:dyDescent="0.35">
      <c r="A78" s="16">
        <v>45940</v>
      </c>
    </row>
    <row r="79" spans="1:1" ht="20.100000000000001" customHeight="1" thickBot="1" x14ac:dyDescent="0.35">
      <c r="A79" s="16">
        <v>45941</v>
      </c>
    </row>
    <row r="80" spans="1:1" ht="20.100000000000001" customHeight="1" thickBot="1" x14ac:dyDescent="0.35">
      <c r="A80" s="16">
        <v>45942</v>
      </c>
    </row>
    <row r="81" spans="1:1" ht="20.100000000000001" customHeight="1" thickBot="1" x14ac:dyDescent="0.35">
      <c r="A81" s="16">
        <v>45943</v>
      </c>
    </row>
    <row r="82" spans="1:1" ht="20.100000000000001" customHeight="1" thickBot="1" x14ac:dyDescent="0.35">
      <c r="A82" s="16">
        <v>45944</v>
      </c>
    </row>
    <row r="83" spans="1:1" ht="20.100000000000001" customHeight="1" thickBot="1" x14ac:dyDescent="0.35">
      <c r="A83" s="16">
        <v>45945</v>
      </c>
    </row>
    <row r="84" spans="1:1" ht="20.100000000000001" customHeight="1" thickBot="1" x14ac:dyDescent="0.35">
      <c r="A84" s="16">
        <v>45946</v>
      </c>
    </row>
    <row r="85" spans="1:1" ht="20.100000000000001" customHeight="1" thickBot="1" x14ac:dyDescent="0.35">
      <c r="A85" s="16">
        <v>45947</v>
      </c>
    </row>
    <row r="86" spans="1:1" ht="20.100000000000001" customHeight="1" thickBot="1" x14ac:dyDescent="0.35">
      <c r="A86" s="16">
        <v>45948</v>
      </c>
    </row>
    <row r="87" spans="1:1" ht="20.100000000000001" customHeight="1" thickBot="1" x14ac:dyDescent="0.35">
      <c r="A87" s="16">
        <v>45949</v>
      </c>
    </row>
    <row r="88" spans="1:1" ht="20.100000000000001" customHeight="1" thickBot="1" x14ac:dyDescent="0.35">
      <c r="A88" s="16">
        <v>45950</v>
      </c>
    </row>
    <row r="89" spans="1:1" ht="20.100000000000001" customHeight="1" thickBot="1" x14ac:dyDescent="0.35">
      <c r="A89" s="16">
        <v>45951</v>
      </c>
    </row>
    <row r="90" spans="1:1" ht="20.100000000000001" customHeight="1" thickBot="1" x14ac:dyDescent="0.35">
      <c r="A90" s="16">
        <v>45952</v>
      </c>
    </row>
    <row r="91" spans="1:1" ht="20.100000000000001" customHeight="1" thickBot="1" x14ac:dyDescent="0.35">
      <c r="A91" s="16">
        <v>45953</v>
      </c>
    </row>
    <row r="92" spans="1:1" ht="20.100000000000001" customHeight="1" thickBot="1" x14ac:dyDescent="0.35">
      <c r="A92" s="16">
        <v>45954</v>
      </c>
    </row>
    <row r="93" spans="1:1" ht="20.100000000000001" customHeight="1" thickBot="1" x14ac:dyDescent="0.35">
      <c r="A93" s="16">
        <v>45955</v>
      </c>
    </row>
    <row r="94" spans="1:1" ht="20.100000000000001" customHeight="1" thickBot="1" x14ac:dyDescent="0.35">
      <c r="A94" s="16">
        <v>45956</v>
      </c>
    </row>
    <row r="95" spans="1:1" ht="20.100000000000001" customHeight="1" thickBot="1" x14ac:dyDescent="0.35">
      <c r="A95" s="16">
        <v>45957</v>
      </c>
    </row>
    <row r="96" spans="1:1" ht="20.100000000000001" customHeight="1" thickBot="1" x14ac:dyDescent="0.35">
      <c r="A96" s="16">
        <v>45958</v>
      </c>
    </row>
    <row r="97" spans="1:9" ht="20.100000000000001" customHeight="1" thickBot="1" x14ac:dyDescent="0.35">
      <c r="A97" s="16">
        <v>45959</v>
      </c>
    </row>
    <row r="98" spans="1:9" ht="20.100000000000001" customHeight="1" thickBot="1" x14ac:dyDescent="0.35">
      <c r="A98" s="16">
        <v>45960</v>
      </c>
    </row>
    <row r="99" spans="1:9" ht="20.100000000000001" customHeight="1" thickBot="1" x14ac:dyDescent="0.35">
      <c r="A99" s="16">
        <v>45961</v>
      </c>
    </row>
    <row r="100" spans="1:9" ht="20.100000000000001" customHeight="1" thickBot="1" x14ac:dyDescent="0.35">
      <c r="A100" s="16">
        <v>45962</v>
      </c>
    </row>
    <row r="101" spans="1:9" ht="20.100000000000001" customHeight="1" thickBot="1" x14ac:dyDescent="0.35">
      <c r="A101" s="16">
        <v>45963</v>
      </c>
    </row>
    <row r="102" spans="1:9" ht="20.100000000000001" customHeight="1" thickBot="1" x14ac:dyDescent="0.35">
      <c r="A102" s="16">
        <v>45964</v>
      </c>
    </row>
    <row r="103" spans="1:9" ht="20.100000000000001" customHeight="1" thickBot="1" x14ac:dyDescent="0.35">
      <c r="A103" s="16">
        <v>45965</v>
      </c>
    </row>
    <row r="104" spans="1:9" ht="20.100000000000001" customHeight="1" thickBot="1" x14ac:dyDescent="0.35">
      <c r="A104" s="16">
        <v>45966</v>
      </c>
    </row>
    <row r="105" spans="1:9" ht="20.100000000000001" customHeight="1" thickBot="1" x14ac:dyDescent="0.35">
      <c r="A105" s="16">
        <v>45967</v>
      </c>
    </row>
    <row r="106" spans="1:9" ht="20.100000000000001" customHeight="1" thickBot="1" x14ac:dyDescent="0.35">
      <c r="A106" s="16">
        <v>45968</v>
      </c>
    </row>
    <row r="107" spans="1:9" ht="20.100000000000001" customHeight="1" x14ac:dyDescent="0.3">
      <c r="A107" s="17"/>
    </row>
    <row r="108" spans="1:9" ht="20.100000000000001" customHeight="1" x14ac:dyDescent="0.3">
      <c r="A108" s="17"/>
    </row>
    <row r="109" spans="1:9" s="20" customFormat="1" ht="20.100000000000001" customHeight="1" x14ac:dyDescent="0.3">
      <c r="A109" s="18"/>
      <c r="B109" s="19"/>
      <c r="C109" s="19"/>
      <c r="D109" s="19"/>
      <c r="E109" s="19"/>
      <c r="F109" s="19"/>
      <c r="G109" s="19"/>
      <c r="H109" s="19"/>
      <c r="I109" s="19"/>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3" t="s">
        <v>89</v>
      </c>
    </row>
    <row r="200" spans="1:1" ht="20.100000000000001" customHeight="1" x14ac:dyDescent="0.3">
      <c r="A200" s="23" t="s">
        <v>90</v>
      </c>
    </row>
    <row r="201" spans="1:1" ht="20.100000000000001" customHeight="1" x14ac:dyDescent="0.3">
      <c r="A201" s="23" t="s">
        <v>91</v>
      </c>
    </row>
    <row r="202" spans="1:1" ht="20.100000000000001" customHeight="1" x14ac:dyDescent="0.3">
      <c r="A202" s="23" t="s">
        <v>92</v>
      </c>
    </row>
    <row r="203" spans="1:1" ht="20.100000000000001" customHeight="1" x14ac:dyDescent="0.3">
      <c r="A203" s="23" t="s">
        <v>93</v>
      </c>
    </row>
    <row r="204" spans="1:1" ht="20.100000000000001" customHeight="1" x14ac:dyDescent="0.3">
      <c r="A204" s="23" t="s">
        <v>94</v>
      </c>
    </row>
    <row r="205" spans="1:1" ht="20.100000000000001" customHeight="1" x14ac:dyDescent="0.3">
      <c r="A205" s="23" t="s">
        <v>95</v>
      </c>
    </row>
    <row r="206" spans="1:1" ht="20.100000000000001" customHeight="1" x14ac:dyDescent="0.3">
      <c r="A206" s="23" t="s">
        <v>96</v>
      </c>
    </row>
    <row r="207" spans="1:1" ht="20.100000000000001" customHeight="1" x14ac:dyDescent="0.3">
      <c r="A207" s="23" t="s">
        <v>97</v>
      </c>
    </row>
    <row r="208" spans="1:1" ht="20.100000000000001" customHeight="1" x14ac:dyDescent="0.3">
      <c r="A208" s="24" t="s">
        <v>98</v>
      </c>
    </row>
    <row r="209" spans="1:1" ht="20.100000000000001" customHeight="1" x14ac:dyDescent="0.3">
      <c r="A209" s="24" t="s">
        <v>99</v>
      </c>
    </row>
    <row r="210" spans="1:1" ht="20.100000000000001" customHeight="1" x14ac:dyDescent="0.3">
      <c r="A210" s="23" t="s">
        <v>100</v>
      </c>
    </row>
    <row r="211" spans="1:1" ht="20.100000000000001" customHeight="1" x14ac:dyDescent="0.3">
      <c r="A211" s="23" t="s">
        <v>101</v>
      </c>
    </row>
    <row r="212" spans="1:1" ht="20.100000000000001" customHeight="1" x14ac:dyDescent="0.3">
      <c r="A212" s="23" t="s">
        <v>102</v>
      </c>
    </row>
    <row r="213" spans="1:1" ht="20.100000000000001" customHeight="1" x14ac:dyDescent="0.3">
      <c r="A213" s="23" t="s">
        <v>103</v>
      </c>
    </row>
    <row r="214" spans="1:1" ht="20.100000000000001" customHeight="1" x14ac:dyDescent="0.3">
      <c r="A214" s="23" t="s">
        <v>104</v>
      </c>
    </row>
    <row r="215" spans="1:1" ht="20.100000000000001" customHeight="1" x14ac:dyDescent="0.3">
      <c r="A215" s="23" t="s">
        <v>105</v>
      </c>
    </row>
    <row r="216" spans="1:1" ht="20.100000000000001" customHeight="1" x14ac:dyDescent="0.3">
      <c r="A216" s="23" t="s">
        <v>106</v>
      </c>
    </row>
    <row r="217" spans="1:1" ht="20.100000000000001" customHeight="1" x14ac:dyDescent="0.3">
      <c r="A217" s="23" t="s">
        <v>107</v>
      </c>
    </row>
    <row r="218" spans="1:1" ht="20.100000000000001" customHeight="1" x14ac:dyDescent="0.3">
      <c r="A218" s="23" t="s">
        <v>108</v>
      </c>
    </row>
    <row r="219" spans="1:1" ht="20.100000000000001" customHeight="1" x14ac:dyDescent="0.3">
      <c r="A219" s="23" t="s">
        <v>109</v>
      </c>
    </row>
    <row r="220" spans="1:1" ht="20.100000000000001" customHeight="1" x14ac:dyDescent="0.3">
      <c r="A220" s="23" t="s">
        <v>110</v>
      </c>
    </row>
    <row r="221" spans="1:1" ht="20.100000000000001" customHeight="1" x14ac:dyDescent="0.3">
      <c r="A221" s="23" t="s">
        <v>111</v>
      </c>
    </row>
    <row r="222" spans="1:1" ht="20.100000000000001" customHeight="1" x14ac:dyDescent="0.3">
      <c r="A222" s="23" t="s">
        <v>112</v>
      </c>
    </row>
    <row r="223" spans="1:1" ht="20.100000000000001" customHeight="1" x14ac:dyDescent="0.3">
      <c r="A223" s="23" t="s">
        <v>113</v>
      </c>
    </row>
    <row r="224" spans="1:1" ht="20.100000000000001" customHeight="1" x14ac:dyDescent="0.3">
      <c r="A224" s="23" t="s">
        <v>114</v>
      </c>
    </row>
    <row r="225" spans="1:1" ht="20.100000000000001" customHeight="1" x14ac:dyDescent="0.3">
      <c r="A225" s="23" t="s">
        <v>115</v>
      </c>
    </row>
    <row r="226" spans="1:1" ht="20.100000000000001" customHeight="1" x14ac:dyDescent="0.3">
      <c r="A226" s="23" t="s">
        <v>116</v>
      </c>
    </row>
    <row r="227" spans="1:1" ht="20.100000000000001" customHeight="1" x14ac:dyDescent="0.3">
      <c r="A227" s="23" t="s">
        <v>117</v>
      </c>
    </row>
    <row r="228" spans="1:1" ht="20.100000000000001" customHeight="1" x14ac:dyDescent="0.3">
      <c r="A228" s="23" t="s">
        <v>118</v>
      </c>
    </row>
    <row r="229" spans="1:1" ht="20.100000000000001" customHeight="1" x14ac:dyDescent="0.3">
      <c r="A229" s="23" t="s">
        <v>119</v>
      </c>
    </row>
    <row r="230" spans="1:1" ht="20.100000000000001" customHeight="1" x14ac:dyDescent="0.3">
      <c r="A230" s="23" t="s">
        <v>120</v>
      </c>
    </row>
    <row r="231" spans="1:1" ht="20.100000000000001" customHeight="1" x14ac:dyDescent="0.3">
      <c r="A231" s="23" t="s">
        <v>121</v>
      </c>
    </row>
    <row r="232" spans="1:1" ht="20.100000000000001" customHeight="1" x14ac:dyDescent="0.3">
      <c r="A232" s="23" t="s">
        <v>122</v>
      </c>
    </row>
    <row r="233" spans="1:1" ht="20.100000000000001" customHeight="1" x14ac:dyDescent="0.3">
      <c r="A233" s="23" t="s">
        <v>123</v>
      </c>
    </row>
    <row r="234" spans="1:1" ht="20.100000000000001" customHeight="1" x14ac:dyDescent="0.3">
      <c r="A234" s="23" t="s">
        <v>124</v>
      </c>
    </row>
    <row r="235" spans="1:1" ht="20.100000000000001" customHeight="1" x14ac:dyDescent="0.3">
      <c r="A235" s="25" t="s">
        <v>125</v>
      </c>
    </row>
    <row r="236" spans="1:1" ht="20.100000000000001" customHeight="1" x14ac:dyDescent="0.3">
      <c r="A236" s="23" t="s">
        <v>126</v>
      </c>
    </row>
    <row r="237" spans="1:1" ht="20.100000000000001" customHeight="1" x14ac:dyDescent="0.3">
      <c r="A237" s="23" t="s">
        <v>127</v>
      </c>
    </row>
    <row r="238" spans="1:1" ht="20.100000000000001" customHeight="1" x14ac:dyDescent="0.3">
      <c r="A238" s="23" t="s">
        <v>128</v>
      </c>
    </row>
    <row r="239" spans="1:1" ht="20.100000000000001" customHeight="1" x14ac:dyDescent="0.3">
      <c r="A239" s="23" t="s">
        <v>129</v>
      </c>
    </row>
    <row r="240" spans="1:1" ht="20.100000000000001" customHeight="1" x14ac:dyDescent="0.3">
      <c r="A240" s="23" t="s">
        <v>130</v>
      </c>
    </row>
    <row r="241" spans="1:1" ht="20.100000000000001" customHeight="1" x14ac:dyDescent="0.3">
      <c r="A241" s="23" t="s">
        <v>131</v>
      </c>
    </row>
    <row r="242" spans="1:1" ht="20.100000000000001" customHeight="1" x14ac:dyDescent="0.3">
      <c r="A242" s="23" t="s">
        <v>132</v>
      </c>
    </row>
    <row r="243" spans="1:1" ht="20.100000000000001" customHeight="1" x14ac:dyDescent="0.3">
      <c r="A243" s="23" t="s">
        <v>133</v>
      </c>
    </row>
    <row r="244" spans="1:1" ht="20.100000000000001" customHeight="1" x14ac:dyDescent="0.3">
      <c r="A244" s="23" t="s">
        <v>134</v>
      </c>
    </row>
    <row r="245" spans="1:1" ht="20.100000000000001" customHeight="1" x14ac:dyDescent="0.3">
      <c r="A245" s="23" t="s">
        <v>135</v>
      </c>
    </row>
    <row r="246" spans="1:1" ht="20.100000000000001" customHeight="1" x14ac:dyDescent="0.3">
      <c r="A246" s="23" t="s">
        <v>136</v>
      </c>
    </row>
    <row r="247" spans="1:1" ht="20.100000000000001" customHeight="1" x14ac:dyDescent="0.3">
      <c r="A247" s="23" t="s">
        <v>127</v>
      </c>
    </row>
    <row r="248" spans="1:1" ht="20.100000000000001" customHeight="1" x14ac:dyDescent="0.3">
      <c r="A248" s="23" t="s">
        <v>137</v>
      </c>
    </row>
    <row r="249" spans="1:1" ht="20.100000000000001" customHeight="1" x14ac:dyDescent="0.3">
      <c r="A249" s="23" t="s">
        <v>138</v>
      </c>
    </row>
    <row r="250" spans="1:1" ht="20.100000000000001" customHeight="1" x14ac:dyDescent="0.3">
      <c r="A250" s="25" t="s">
        <v>139</v>
      </c>
    </row>
    <row r="251" spans="1:1" ht="20.100000000000001" customHeight="1" x14ac:dyDescent="0.3">
      <c r="A251" s="26" t="s">
        <v>140</v>
      </c>
    </row>
    <row r="252" spans="1:1" ht="20.100000000000001" customHeight="1" x14ac:dyDescent="0.3">
      <c r="A252" s="23" t="s">
        <v>141</v>
      </c>
    </row>
    <row r="253" spans="1:1" ht="20.100000000000001" customHeight="1" x14ac:dyDescent="0.3">
      <c r="A253" s="23" t="s">
        <v>142</v>
      </c>
    </row>
    <row r="254" spans="1:1" ht="20.100000000000001" customHeight="1" x14ac:dyDescent="0.3">
      <c r="A254" s="27" t="s">
        <v>143</v>
      </c>
    </row>
    <row r="255" spans="1:1" ht="20.100000000000001" customHeight="1" x14ac:dyDescent="0.3">
      <c r="A255" s="27" t="s">
        <v>144</v>
      </c>
    </row>
    <row r="256" spans="1:1" ht="20.100000000000001" customHeight="1" x14ac:dyDescent="0.3">
      <c r="A256" s="28" t="s">
        <v>145</v>
      </c>
    </row>
    <row r="257" spans="1:1" ht="20.100000000000001" customHeight="1" x14ac:dyDescent="0.3">
      <c r="A257" s="23" t="s">
        <v>146</v>
      </c>
    </row>
    <row r="258" spans="1:1" ht="20.100000000000001" customHeight="1" x14ac:dyDescent="0.3">
      <c r="A258" s="28" t="s">
        <v>147</v>
      </c>
    </row>
    <row r="259" spans="1:1" ht="20.100000000000001" customHeight="1" x14ac:dyDescent="0.3">
      <c r="A259" s="23" t="s">
        <v>148</v>
      </c>
    </row>
    <row r="260" spans="1:1" ht="20.100000000000001" customHeight="1" x14ac:dyDescent="0.3">
      <c r="A260" s="28" t="s">
        <v>149</v>
      </c>
    </row>
    <row r="261" spans="1:1" ht="20.100000000000001" customHeight="1" x14ac:dyDescent="0.3">
      <c r="A261" s="23" t="s">
        <v>150</v>
      </c>
    </row>
    <row r="262" spans="1:1" ht="20.100000000000001" customHeight="1" x14ac:dyDescent="0.3">
      <c r="A262" s="23" t="s">
        <v>151</v>
      </c>
    </row>
    <row r="263" spans="1:1" ht="20.100000000000001" customHeight="1" x14ac:dyDescent="0.3">
      <c r="A263" s="28" t="s">
        <v>152</v>
      </c>
    </row>
    <row r="264" spans="1:1" ht="20.100000000000001" customHeight="1" x14ac:dyDescent="0.3">
      <c r="A264" s="28" t="s">
        <v>153</v>
      </c>
    </row>
    <row r="265" spans="1:1" ht="20.100000000000001" customHeight="1" x14ac:dyDescent="0.3">
      <c r="A265" s="28" t="s">
        <v>154</v>
      </c>
    </row>
    <row r="266" spans="1:1" ht="20.100000000000001" customHeight="1" x14ac:dyDescent="0.3">
      <c r="A266" s="23" t="s">
        <v>155</v>
      </c>
    </row>
    <row r="267" spans="1:1" ht="20.100000000000001" customHeight="1" x14ac:dyDescent="0.3">
      <c r="A267" s="23" t="s">
        <v>156</v>
      </c>
    </row>
    <row r="268" spans="1:1" ht="20.100000000000001" customHeight="1" x14ac:dyDescent="0.3">
      <c r="A268" s="23" t="s">
        <v>157</v>
      </c>
    </row>
    <row r="269" spans="1:1" ht="20.100000000000001" customHeight="1" x14ac:dyDescent="0.3">
      <c r="A269" s="23" t="s">
        <v>158</v>
      </c>
    </row>
    <row r="270" spans="1:1" ht="20.100000000000001" customHeight="1" x14ac:dyDescent="0.3">
      <c r="A270" s="28" t="s">
        <v>159</v>
      </c>
    </row>
    <row r="271" spans="1:1" ht="20.100000000000001" customHeight="1" x14ac:dyDescent="0.3">
      <c r="A271" s="28" t="s">
        <v>160</v>
      </c>
    </row>
    <row r="272" spans="1:1" ht="20.100000000000001" customHeight="1" x14ac:dyDescent="0.3">
      <c r="A272" s="23" t="s">
        <v>161</v>
      </c>
    </row>
    <row r="273" spans="1:1" ht="20.100000000000001" customHeight="1" x14ac:dyDescent="0.3">
      <c r="A273" s="28" t="s">
        <v>162</v>
      </c>
    </row>
    <row r="274" spans="1:1" ht="20.100000000000001" customHeight="1" x14ac:dyDescent="0.3">
      <c r="A274" s="28" t="s">
        <v>163</v>
      </c>
    </row>
    <row r="275" spans="1:1" ht="20.100000000000001" customHeight="1" x14ac:dyDescent="0.3">
      <c r="A275" s="23" t="s">
        <v>164</v>
      </c>
    </row>
    <row r="276" spans="1:1" ht="20.100000000000001" customHeight="1" x14ac:dyDescent="0.3">
      <c r="A276" s="23" t="s">
        <v>165</v>
      </c>
    </row>
    <row r="277" spans="1:1" ht="20.100000000000001" customHeight="1" x14ac:dyDescent="0.3">
      <c r="A277" s="28" t="s">
        <v>166</v>
      </c>
    </row>
    <row r="278" spans="1:1" ht="20.100000000000001" customHeight="1" x14ac:dyDescent="0.3">
      <c r="A278" s="23" t="s">
        <v>167</v>
      </c>
    </row>
    <row r="279" spans="1:1" ht="20.100000000000001" customHeight="1" x14ac:dyDescent="0.3">
      <c r="A279" s="23" t="s">
        <v>168</v>
      </c>
    </row>
    <row r="280" spans="1:1" ht="20.100000000000001" customHeight="1" x14ac:dyDescent="0.3">
      <c r="A280" s="23" t="s">
        <v>169</v>
      </c>
    </row>
    <row r="281" spans="1:1" ht="20.100000000000001" customHeight="1" x14ac:dyDescent="0.3">
      <c r="A281" s="23" t="s">
        <v>170</v>
      </c>
    </row>
    <row r="282" spans="1:1" ht="20.100000000000001" customHeight="1" x14ac:dyDescent="0.3">
      <c r="A282" s="28" t="s">
        <v>171</v>
      </c>
    </row>
    <row r="283" spans="1:1" ht="20.100000000000001" customHeight="1" x14ac:dyDescent="0.3">
      <c r="A283" s="28" t="s">
        <v>172</v>
      </c>
    </row>
    <row r="284" spans="1:1" ht="20.100000000000001" customHeight="1" x14ac:dyDescent="0.3">
      <c r="A284" s="28" t="s">
        <v>173</v>
      </c>
    </row>
    <row r="285" spans="1:1" ht="20.100000000000001" customHeight="1" thickBot="1" x14ac:dyDescent="0.35">
      <c r="A285" s="23"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2025-10-08T19:54:50Z</dcterms:modified>
</cp:coreProperties>
</file>