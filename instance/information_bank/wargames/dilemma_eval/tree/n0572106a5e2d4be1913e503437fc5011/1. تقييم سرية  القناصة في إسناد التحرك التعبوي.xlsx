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3"/>
  <workbookPr filterPrivacy="1" codeName="ThisWorkbook"/>
  <xr:revisionPtr revIDLastSave="0" documentId="13_ncr:1_{41C12C05-8020-4CA4-8A3B-3FDAD9C2B4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G11" i="2"/>
  <c r="G12" i="2"/>
  <c r="G14" i="2"/>
  <c r="H14" i="2"/>
  <c r="G15" i="2"/>
  <c r="H15" i="2"/>
  <c r="G16" i="2"/>
  <c r="H16" i="2"/>
  <c r="G17" i="2"/>
  <c r="H17" i="2"/>
  <c r="G18" i="2"/>
  <c r="G19" i="2"/>
  <c r="G20" i="2"/>
  <c r="G22" i="2"/>
  <c r="G23" i="2"/>
  <c r="H23" i="2"/>
  <c r="G24" i="2"/>
  <c r="H24" i="2"/>
  <c r="G25" i="2"/>
  <c r="H25" i="2"/>
  <c r="G27" i="2"/>
  <c r="G29" i="2"/>
  <c r="G30" i="2"/>
  <c r="H30" i="2"/>
  <c r="G31" i="2"/>
  <c r="H31" i="2"/>
  <c r="G32" i="2"/>
  <c r="H32" i="2"/>
  <c r="G33" i="2"/>
  <c r="H33" i="2"/>
  <c r="G34" i="2"/>
  <c r="G35" i="2"/>
  <c r="G36" i="2"/>
  <c r="G37" i="2"/>
  <c r="G38" i="2"/>
  <c r="G39" i="2"/>
  <c r="H39" i="2"/>
  <c r="G40" i="2"/>
  <c r="H40" i="2"/>
  <c r="G42" i="2"/>
  <c r="G44" i="2"/>
  <c r="G45" i="2"/>
  <c r="G46" i="2"/>
  <c r="H46" i="2"/>
  <c r="G47" i="2"/>
  <c r="H47" i="2"/>
  <c r="G48" i="2"/>
  <c r="H48" i="2"/>
  <c r="G49" i="2"/>
  <c r="H49" i="2"/>
  <c r="G50" i="2"/>
  <c r="H10" i="2"/>
  <c r="H12" i="2"/>
  <c r="H18" i="2"/>
  <c r="H20" i="2"/>
  <c r="H22" i="2"/>
  <c r="H34" i="2"/>
  <c r="H36" i="2"/>
  <c r="H38" i="2"/>
  <c r="H42" i="2"/>
  <c r="H44" i="2"/>
  <c r="H50" i="2"/>
  <c r="H11" i="2"/>
  <c r="H19" i="2"/>
  <c r="H27" i="2"/>
  <c r="H29" i="2"/>
  <c r="H35" i="2"/>
  <c r="H37" i="2"/>
  <c r="H45" i="2"/>
  <c r="F51" i="2"/>
  <c r="E51" i="2"/>
  <c r="E52" i="2"/>
  <c r="E53" i="2"/>
</calcChain>
</file>

<file path=xl/sharedStrings.xml><?xml version="1.0" encoding="utf-8"?>
<sst xmlns="http://schemas.openxmlformats.org/spreadsheetml/2006/main" count="281" uniqueCount="225">
  <si>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</si>
  <si>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</si>
  <si>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</si>
  <si>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</si>
  <si>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</si>
  <si>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</si>
  <si>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</si>
  <si>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</si>
  <si>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</si>
  <si>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</si>
  <si>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</si>
  <si>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</si>
  <si>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</si>
  <si>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</si>
  <si>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</si>
  <si>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</si>
  <si>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</si>
  <si>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</si>
  <si>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</si>
  <si>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</si>
  <si>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</si>
  <si>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</si>
  <si>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</si>
  <si>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</si>
  <si>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</si>
  <si>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</si>
  <si>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</si>
  <si>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</si>
  <si>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</si>
  <si>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</si>
  <si>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</si>
  <si>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</si>
  <si>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</si>
  <si>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</si>
  <si>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</si>
  <si>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</si>
  <si>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</si>
  <si>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</si>
  <si>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</si>
  <si>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</si>
  <si>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</si>
  <si>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</si>
  <si>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</si>
  <si>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</si>
  <si>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</si>
  <si>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</si>
  <si>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</si>
  <si>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</si>
  <si>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</si>
  <si>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</si>
  <si>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</si>
  <si>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</si>
  <si>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</si>
  <si>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</si>
  <si>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</si>
  <si>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</si>
  <si>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</si>
  <si>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</si>
  <si>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</si>
  <si>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</si>
  <si>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</si>
  <si>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</si>
  <si>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</si>
  <si>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</si>
  <si>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</si>
  <si>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</si>
  <si>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</si>
  <si>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</si>
  <si>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</si>
  <si>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</si>
  <si>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</si>
  <si>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</si>
  <si>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</si>
  <si>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</si>
  <si>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</si>
  <si>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</si>
  <si>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</si>
  <si>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</si>
  <si>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</si>
  <si>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</si>
  <si>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</si>
  <si>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</si>
  <si>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</si>
  <si>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</si>
  <si>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</si>
  <si>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</si>
  <si>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</si>
  <si>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</si>
  <si>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</si>
  <si>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</si>
  <si>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</si>
  <si>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</si>
  <si>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</si>
  <si>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</si>
  <si>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</si>
  <si>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</si>
  <si>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</si>
  <si>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</si>
  <si>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</si>
  <si>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</si>
  <si>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</si>
  <si>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</si>
  <si>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</si>
  <si>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</si>
  <si>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</si>
  <si>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</si>
  <si>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</si>
  <si>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</si>
  <si>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</si>
  <si>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</si>
  <si>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</si>
  <si>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</si>
  <si>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</si>
  <si>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</si>
  <si>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</si>
  <si>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</si>
  <si>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</si>
  <si>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</si>
  <si>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</si>
  <si>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</si>
  <si>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</si>
  <si>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</si>
  <si>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</si>
  <si>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</si>
  <si>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</si>
  <si>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</si>
  <si>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</si>
  <si>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</si>
  <si>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</si>
  <si>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</si>
  <si>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</si>
  <si>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</si>
  <si>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</si>
  <si>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</si>
  <si>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</si>
  <si>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</si>
  <si>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</si>
  <si>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</si>
  <si>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</si>
  <si>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</si>
  <si>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</si>
  <si>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</si>
  <si>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</si>
  <si>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</si>
  <si>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</si>
  <si>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</si>
  <si>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</si>
  <si>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</si>
  <si>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</si>
  <si>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</si>
  <si>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</si>
  <si>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</si>
  <si>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</si>
  <si>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</si>
  <si>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</si>
  <si>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</si>
  <si>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</si>
  <si>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</si>
  <si>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</si>
  <si>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</si>
  <si>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</si>
  <si>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</si>
  <si>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</si>
  <si>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</si>
  <si>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</si>
  <si>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</si>
  <si>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</si>
  <si>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</si>
  <si>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</si>
  <si>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</si>
  <si>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</si>
  <si>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</si>
  <si>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</si>
  <si>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</si>
  <si>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</si>
  <si>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</si>
  <si>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</si>
  <si>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</si>
  <si>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</si>
  <si>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</si>
  <si>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التحضير.</t>
  </si>
  <si>
    <t>أ.  يقوم القادة بالكشف من الخارطة وانتخاب: موقع فرق القناصة بشكل عام والطُرق الرئيسية والبديلة من الموقع الحالي الى الموقع الجديد.</t>
  </si>
  <si>
    <t>ب.  يقوم قائد السرية بالكشف التفصيلي للموقع على الارض.</t>
  </si>
  <si>
    <t>جـ.  يقوم القادة بالكشف والاستطلاع من الجو إذا سمح الوقت وتوفرت مصادر الاستطلاع الجوي.</t>
  </si>
  <si>
    <t>د.  يقوم القادة بإعطاء ايجاز حول الموقع الجديد لجميع العناصر الرئيسيين في السرية بحيث يتضمن المعلومات الرئيسية التالية:</t>
  </si>
  <si>
    <t xml:space="preserve">       (1)  احداثيات الموقع الجديد.</t>
  </si>
  <si>
    <t xml:space="preserve">       (2)  وقت الحركة الى الموقع الجديد. </t>
  </si>
  <si>
    <t xml:space="preserve">       (3)  اسلوب الحركة.</t>
  </si>
  <si>
    <t xml:space="preserve">       (4)  طريق الحركة.</t>
  </si>
  <si>
    <t xml:space="preserve">       (5)  المهمة.</t>
  </si>
  <si>
    <t xml:space="preserve">       (6)  موقف القوات الصديقة وموقف العدو.</t>
  </si>
  <si>
    <t>هـ.  تنظيم وتجهيز جماعة المقدمة وحسب الاوامر التعبوية المستديمة لمجموعة اللواء.</t>
  </si>
  <si>
    <t>و.  تحضير المخابئ بشكل جيد وكما يلي:</t>
  </si>
  <si>
    <t>(2)  اعطاء إيجاز للقناصين.</t>
  </si>
  <si>
    <t>(4)  تحديد المقتربات التي يمكن الحركة من خلالها بسرعة عالية.</t>
  </si>
  <si>
    <t>إجراءات التخطيط.</t>
  </si>
  <si>
    <t>1.  تقوم السرية بالاستعداد للحركة الى الموقع ، حيث يقوم قائد السرية ووكيل السرية بالأعمال التالية:</t>
  </si>
  <si>
    <t xml:space="preserve">أ.   التأكد من تفهم الجميع لتعليمات الحركة والتي تتضمن: </t>
  </si>
  <si>
    <t>(1)   نقطة البدء.</t>
  </si>
  <si>
    <t>(2)   نقطة الانتشار.</t>
  </si>
  <si>
    <t>(3)   نقاط السيطرة.</t>
  </si>
  <si>
    <t>(4)  أسلوب وطريق الحركة.</t>
  </si>
  <si>
    <t>(5)   الاجراءات المطلوب اتخذاها عند تعرض الوحدة الى كمين مُعادي (الفعل ورد الفعل).</t>
  </si>
  <si>
    <t>ب.  التأكد من قيام الوحدة بالتفتيش العملياتي وضمان ان جميع الاليات في العمل قبل بدء الحركة.</t>
  </si>
  <si>
    <t>جـ.  اعطاء ايجاز للسواقين حول تعليمات الحركة.</t>
  </si>
  <si>
    <t>د.  التأكد من خطة تحميل المهمات والمعدات وانها امينة ومحمية حسب خطة التحميل.</t>
  </si>
  <si>
    <t>هـ.  التأكد من تركيب أجهزة الاتصال وان جميع معدات الاتصال في العمل.</t>
  </si>
  <si>
    <t>و.  التأكد من توزيع فصائل القناصة على المواقع والاليات وقيامهم بإجراء اي تعديلات لازمة على تحميل المهمات والمعدات.</t>
  </si>
  <si>
    <t>ز.  التأكد من قيام السواقين بتفقد الاضواء ومعدات الرؤية الليلية (إن لزم الأمر).</t>
  </si>
  <si>
    <t>ح.  مراقبة الضبط والربط العسكري المتعلق بمدى الالتزام بتعليمات الاضاءة والصوت أثناء الحركة ليلاً.</t>
  </si>
  <si>
    <t>إجراءات التنفيذ.</t>
  </si>
  <si>
    <t>1.   تقوم السرية بتنفيذ التحرك التعبوي الى الموقع الجديد وكما يلي :</t>
  </si>
  <si>
    <t>أ.   استخدام أحد اساليب التحرك التعبوي على الطرق وحسب توجيهات القائد كما يلي:</t>
  </si>
  <si>
    <t>(1)   الحركة حسب طبيعة الارض.</t>
  </si>
  <si>
    <t>(2 )   التسلل.</t>
  </si>
  <si>
    <t xml:space="preserve">ب.  التأكد من محافظة السائقين على الفاصل بين الاليات بمسافة (100) متر اذا كانت التشكيلة " رتل مفتوح" ومسافة تقل عن (100) متر لتشكيلة "الرتل المغلق". </t>
  </si>
  <si>
    <t xml:space="preserve">جـ.  المحافظة على الضبط والربط المتمثل بالالتزام بتعليمات المسير وكذلك تأمين الحماية اثناء الحركة. </t>
  </si>
  <si>
    <t>د.  الابلاغ عند اجتياز نقطة البدء ونقاط السيطرة ونقطة الانتشار وبتوقيتات محددة إلا اذا تم فرض "الصمت اللاسلكي".</t>
  </si>
  <si>
    <t>هـ.  التأكد من حركة السائقين على الطرق المحددة مع استغلال طبيعة الارض والاستفادة من الاشجار والمقاطع الصخرية والتلال المتوفرة في منطقة التحرك التعبوي.</t>
  </si>
  <si>
    <t>و.  السيطرة على حركة الاليات بشكل فردي عند استخدام اسلوب "التسلل".</t>
  </si>
  <si>
    <r>
      <t>(1)</t>
    </r>
    <r>
      <rPr>
        <sz val="12"/>
        <color rgb="FF000000"/>
        <rFont val="Times New Roman"/>
        <family val="1"/>
      </rPr>
      <t>   </t>
    </r>
    <r>
      <rPr>
        <sz val="12"/>
        <color rgb="FF000000"/>
        <rFont val="Arial"/>
        <family val="2"/>
      </rPr>
      <t>اعداد وتحضير اخلاء لفرق القناصة.</t>
    </r>
  </si>
  <si>
    <r>
      <t>(3)</t>
    </r>
    <r>
      <rPr>
        <sz val="12"/>
        <color rgb="FF000000"/>
        <rFont val="Times New Roman"/>
        <family val="1"/>
      </rPr>
      <t>    </t>
    </r>
    <r>
      <rPr>
        <sz val="12"/>
        <color rgb="FF000000"/>
        <rFont val="Arial"/>
        <family val="2"/>
      </rPr>
      <t>تحضير نقاط دخول وخروج من والى الموقع.</t>
    </r>
  </si>
  <si>
    <t>1.    تقوم السرية بتنفيذ عمليات الكشف والاستطلاع للموقع الجديد وكما يلي:</t>
  </si>
  <si>
    <r>
      <rPr>
        <b/>
        <sz val="14"/>
        <color rgb="FF000000"/>
        <rFont val="Arial"/>
        <family val="2"/>
      </rPr>
      <t>تقييــم سريـــة القناصـــة فـي إســناد التحــرك التعبــوي لمجموعـــة اللــواء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</si>
  <si>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النقيب/ سعيد المحرزي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</si>
</sst>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23" xfId="0" applyFont="1" applyBorder="1" applyAlignment="1">
      <alignment horizontal="right" vertical="center" wrapText="1" indent="4" readingOrder="2"/>
    </xf>
    <xf numFmtId="0" fontId="12" fillId="0" borderId="3" xfId="0" applyFont="1" applyBorder="1" applyAlignment="1">
      <alignment horizontal="right" vertical="center" wrapText="1" indent="4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5" borderId="25" xfId="0" applyFont="1" applyFill="1" applyBorder="1" applyAlignment="1">
      <alignment horizontal="justify" vertical="center" wrapText="1" readingOrder="2"/>
    </xf>
    <xf numFmtId="0" fontId="1" fillId="5" borderId="26" xfId="0" applyFont="1" applyFill="1" applyBorder="1" applyAlignment="1">
      <alignment horizontal="justify" vertical="center" wrapText="1" readingOrder="2"/>
    </xf>
    <xf numFmtId="0" fontId="1" fillId="5" borderId="27" xfId="0" applyFont="1" applyFill="1" applyBorder="1" applyAlignment="1">
      <alignment horizontal="justify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indent="4" readingOrder="2"/>
    </xf>
    <xf numFmtId="0" fontId="12" fillId="0" borderId="12" xfId="0" applyFont="1" applyBorder="1" applyAlignment="1">
      <alignment horizontal="right" vertical="center" wrapText="1" indent="4" readingOrder="2"/>
    </xf>
    <xf numFmtId="0" fontId="6" fillId="0" borderId="24" xfId="0" applyFont="1" applyBorder="1" applyAlignment="1" applyProtection="1">
      <alignment horizontal="right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indent="3" readingOrder="2"/>
    </xf>
    <xf numFmtId="0" fontId="12" fillId="0" borderId="3" xfId="0" applyFont="1" applyBorder="1" applyAlignment="1">
      <alignment horizontal="right" vertical="center" wrapText="1" indent="3" readingOrder="2"/>
    </xf>
  </cellXfs>
  <cellStyles count="1">
    <cellStyle name="Normal" xfId="0" builtinId="0"/>
  </cellStyles>
  <dxfs count="2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96817</xdr:colOff>
      <xdr:row>54</xdr:row>
      <xdr:rowOff>112710</xdr:rowOff>
    </xdr:from>
    <xdr:to>
      <xdr:col>7</xdr:col>
      <xdr:colOff>620257</xdr:colOff>
      <xdr:row>54</xdr:row>
      <xdr:rowOff>343110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5E6E2EC-88C5-88A8-D2EA-2DDDB97EB858}"/>
                </a:ext>
              </a:extLst>
            </xdr14:cNvPr>
            <xdr14:cNvContentPartPr/>
          </xdr14:nvContentPartPr>
          <xdr14:nvPr macro=""/>
          <xdr14:xfrm>
            <a:off x="10471977366" y="26551800"/>
            <a:ext cx="523440" cy="230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5E6E2EC-88C5-88A8-D2EA-2DDDB97EB85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71971246" y="26545680"/>
              <a:ext cx="535680" cy="24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615577</xdr:colOff>
      <xdr:row>54</xdr:row>
      <xdr:rowOff>149790</xdr:rowOff>
    </xdr:from>
    <xdr:to>
      <xdr:col>9</xdr:col>
      <xdr:colOff>543169</xdr:colOff>
      <xdr:row>54</xdr:row>
      <xdr:rowOff>607710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C52DA45-83F3-773F-E0D8-492C989DA456}"/>
                </a:ext>
              </a:extLst>
            </xdr14:cNvPr>
            <xdr14:cNvContentPartPr/>
          </xdr14:nvContentPartPr>
          <xdr14:nvPr macro=""/>
          <xdr14:xfrm>
            <a:off x="10470740046" y="26588880"/>
            <a:ext cx="1242000" cy="4579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C52DA45-83F3-773F-E0D8-492C989DA4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70733926" y="26582760"/>
              <a:ext cx="1254240" cy="470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7:29:37.5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1136 639 4697,'0'0'0,"0"0"0,0-4 2392,0-3-184,0-10-375,0 12-489,0 5-1344,0 0 992,0 0-239,0 0-169,0 0-72,0 0-3353,0 0 6154,0 0-2833,0 0-104,0 0 88,0 0-5097,0 0 9690,0 0-4689,0 0 184,0 0-119,0 0-6843,0 0 13236,0 0-6306,0 0 0,0 0-24,0 0-8858,0 0 17188,0 0-8426,0 0-72,0 0 0,0 0-10210,0 0 20060,0 0-9954,0 2-32,0-2-8,0 0-184,0 0 153,0 0-49,0 0-8,0 0-24,0 0-497,0 0 914,0 0-433,0 0-32,0 0 16,0 0-649,0-4 1234,0 4-569,-2 0 0,2-4-16,0 4-40,-8 0 56,6-5 0,-5 5-32,2-4 56,5 4-80,-7-4 56,2-1 16,0 1 8,0 0 8,5 4-88,-7-7 112,2 0-88,1 1 16,-1-1-40,5 7 0,-3-17-24,-4 17 64,5-18-16,-3 14-8,5 4-16,-5-18 32,-2 12-8,2-16-80,-2 15 16,7 7 40,-5-21-112,-2 14 96,-15-11 104,22 12-32,0 6-56,-7-20 120,-10 16-72,17-14-8,-7 14 144,7 4-184,-2-7 24,-6-10-24,3 17-40,-4-7-160,9 7 200,-7-6-80,4-12 120,-2 18-56,1-6 144,4 6-128,0-7 96,-3 1-104,-4-1 32,5 1-64,2 6 40,0-5 40,0 1-40,-5-3-24,5 3 120,0 4-96,0-5-32,-5 1 104,5 4 16,0 0-144,0 0 56,0 0 64,0 0-16,0 0 16,0 0-144,0 0-16,0 0 152,5 0-112,0 0 120,-5 0-64,9 0 48,6 0-48,-8 0 40,7 0-24,-14 0-16,8 0 0,13 0-16,-2 0 0,-4 0 56,-15 0-40,19-6-8,-2-1 32,2 3 16,0-3-64,-19 7 24,22-17 24,2 12-8,0-12 0,-2 12-32,-22 5 16,21-17-16,1 12 8,-3-1-40,1-14 40,-20 20 8,21-4-32,-6-14 16,-6 14 32,13-3 16,-22 7-32,5-6 8,12-1 40,-13 1-48,6-12-56,-10 18 56,19 0 0,-16-6-16,6 1-16,-2 1 80,-7 4-48,8-4 24,-3-1-40,-1 1-8,1 4 64,-5 0-40,3 0-24,-3-5 24,2 5 24,0 0-40,-2 0 16,0 0 32,8 0-32,-6 0 0,-2-4-112,0 4 112,0 0-72,0-4 112,5-1 8,-3 1-40,-2 4-8,0 0 16,0 0-72,0 0-40,0-4 96,0 4 0,3 0-32,-3 0-8,0 0 16,0 0-8,0 0 32,0 0-16,0 2-40,0 0 0,0 0 0,0-2 56,0 2-136,0 0 48,0-2 24,0 3-32,0-3 96,-3 2-32,3 0 64,0 0-48,-7 0 0,7-2 16,-2 3-24,-6 1-16,4 0 24,-13 3 0,17-7 16,-5 6 40,-14 1-24,14 0-16,-14-1 80,19-6-80,-3 9-8,-23-3-64,21 3 32,-19-2-56,24-7 96,-22 8-128,5 1 64,13-2-32,-23-1 24,27-6 72,-5 7 0,-12-1-16,17 1 8,-16 2-24,16-9 32,0 6 0,-20 1-56,13 2 56,-10 8-8,17-17 8,-7 5-56,-15 3 72,20 1-16,-17 9-48,19-18 48,-5 4 56,-14 2-56,12 1 32,2 2-32,5-9 0,-20 6-40,16 1 88,-4-1-112,1 1 80,7-7-16,-2 7-88,-3-3 80,-2 3 16,4-3-88,3-4 80,-7 4 80,5 1-128,-5-1 32,2 3 0,5-7 16,-5 4 0,3 0-24,-3 1 48,0-3-8,5-2-16,-5 2 24,-4 2 48,6 1-104,-2-1 120,5-4-88,-5 5-136,3 1 88,-5 1-16,-12-3-137,19-4 201,-3 4 81,-4 1-41,5-3-24,-3 2 168,5-4-184,-5 3 16,3-1-72,-6 0 152,6 0-112,2-2 16,-5 2 40,-2 0-8,0 1-16,2-1-48,5-2 32,-7 2 32,2 0-48,-2 0-56,4 1 128,3-3-56,-7 2-56,5 0 112,-1 0-112,-6-2 48,9 0 8,-8 2-32,6-2-32,-3 0 160,-2 3-88,7-3-8,-2 0 128,-6 0-64,6 0-128,-5 0 168,7 0-104,-17 0-24,12 0 40,-19 0-144,19 0 120,5 0 8,-21 0-96,13 0 64,-11 0 184,14-5-224,5 5 72,-19-4 32,12-3-48,2 1 96,-19-12-120,24 18 40,-7-4 128,-13-3-104,16-12-48,-20 14 64,24 5-40,-8-17-16,-16 12 96,5-12-24,12 10-40,7 7-16,-27-17-72,20 12-24,-14-12-40,13 13 168,8 4-32,-19-7-16,12 0 16,-17-10 112,17 13-88,7 4-24,-5-5 0,-14-1 40,19 1-48,-3 1 56,3 4-48,-7-5 144,7 1-48,-5 0-112,3 4 0,2 0 16,0 0 56,0 0-32,0 0 48,0 0-224,0 0 232,0 0-64,0 0 16,0 0-24,0 0-144,0 0 248,0 0-192,2 2 24,3 2 40,-5-4 16,7 18-16,3-12 56,4 14-88,-7-11 32,-7-9 16,22 24 56,-17-7-48,14 1 8,-4-1-32,-15-17 16,19 9 0,0 11 0,-5-14 56,-4 14-40,-10-20-16,29 7-16,-12 1 88,2 1-48,-5 0-104,-14-9 80,8 9-40,23-3-96,-9 1 104,-1-1 64,-21-6-32,17 7 24,-10-3-64,-7 1 0,8-3 40,-8-2 0,4 2-40,4 0 8,-6-2 24,0 0 8,-2 0 0,5 0-32,-5 0 88,3 0-80,-3 0 8,0 0 16,0 0 16,-8 0-88,6 0 32,-5-4-32,7 4 72,-17 0 0,12-5-64,-19 5 72,10 0 24,14 0-32,-22 0-56,3 0-24,-1 3 120,-1-1-96,21-2 56,-15 2-16,-4 4 128,-2-1-352,-1-1 192,22-4 48,-15 5-81,8-1-15,-14-2 192,16 0-216,5-2 120,-24 3-200,16-3 64,-11 0 16,19 0 40,0 0 80,-5 0 144,1 0-144,-1 0-184,-2-5 144,7 5 40,0 0-104,0-4 40,0 4 152,0-5-152,0 5 64,0 0-96,0 0 16,0 0-144,0 0 160,0 0 528,0 0-904,-3 0 416,3 0 184,0 0-144,0 0-16,-2 3-72,-8 1 64,3 3 16,-10-3 64,17-4-72,-5 6-80,-19 1 128,3 0-96,-1 1 72,22-8-24,-17 9 120,-5-2 40,1-1 24,2 1-184,19-7 0,-20 6 120,16-1-200,-16-3-32,13 0 152,7-2-40,-22 0-24,15 0-40,-14 0-16,13 0-240,8 0 320,-24-4-880,17-1-648,-15 1-2001,1 0-6369,21 4 9898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7:29:38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2125 481 14347,'0'0'0,"0"0"1032,0 0-296,0 0-88,0 0-648,3 3 792,2-1 32,-1 4-39,17 1-129,-21-7-656,10 6 560,13 1-88,5-3-72,2 1-96,-30-5-304,35 4 240,0 1 16,12 1-56,-12 1 120,-35-7-320,44 6 224,-4 1 16,0-3 129,0 3-289,-40-7-80,41 6 160,1 1-48,1-1 64,-4 1-40,-39-7-136,44 4 232,-6-1-136,4-3-152,-9-5 352,-33 5-296,32-6 16,6-14 216,-1 13-136,1-15 48,-38 22-144,39-6 128,-7-20 8,-1 6-8,2 0-256,-33 20 128,30-22 184,-6-2-16,3 3 32,-4-1 88,-23 22-288,22-20 184,-1 0-168,-14 1 24,6-1 136,-13 20-176,10-20-328,-8 1 480,1-1 56,-3 0-96,0 20-112,0-17 584,-3-3-512,-1 3 56,-24-3-128,28 20 0,-19-20-8,-2 0 64,0 1-16,-4 12 64,25 7-104,-28-24 32,1 18 16,-5-14-64,1 13 56,31 7-40,-32-6-72,-1-1 88,3 1-16,-3 6-312,33 0 312,-37-5 64,-6 5-128,2 0 8,-4 5 200,45-5-144,-46 6 32,-6 12-32,-1-12 16,-1 14 8,54-20-24,-58 9-8,4 15 64,0-15-16,3 15 128,51-24-168,-45 19 128,-1 1-23,-3 2 15,4 0-136,45-22 16,-48 22 104,5-1-128,11-1-40,-4 4-273,36-24 337,-35 24-120,-2 0 152,-4 3-8,-4 1 64,45-28-88,-45 31 0,-3-1 48,1 1 57,-4 2 119,51-33-224,-52 32-64,-6 6 8,-1-1 24,4 0 120,55-37-88,-67 39 136,1 3-80,0 2-64,0-1 16,66-43-8,-65 44 16,-1 0 0,-1-3-16,-1-1-104,68-40 104,-69 35-72,1-5 56,-5-3-136,-2-1-97,75-26 249,-72 24-424,2 0-320,-2-2-144,-10 0-304,82-22 1192,-84 17-1577,-5 1-311,-7-12-1297,1 14-7481,95-20 10666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55"/>
  <sheetViews>
    <sheetView rightToLeft="1" tabSelected="1" view="pageBreakPreview" zoomScale="130" zoomScaleNormal="100" zoomScaleSheetLayoutView="130" workbookViewId="0">
      <selection activeCell="C4" sqref="C4: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33203125" style="1" customWidth="1"/>
    <col min="11" max="16384" width="9" style="1"/>
  </cols>
  <sheetData>
    <row r="1" spans="1:10" ht="45" customHeight="1" x14ac:dyDescent="0.3">
      <c r="B1" s="61" t="s">
        <v>223</v>
      </c>
      <c r="C1" s="61"/>
      <c r="D1" s="61"/>
      <c r="E1" s="61"/>
      <c r="F1" s="61"/>
      <c r="G1" s="61"/>
      <c r="H1" s="61"/>
      <c r="I1" s="61"/>
      <c r="J1" s="61"/>
    </row>
    <row r="2" spans="1:10" ht="30" customHeight="1" x14ac:dyDescent="0.3">
      <c r="B2" s="9" t="s">
        <v>8</v>
      </c>
      <c r="C2" s="67" t="s">
        <v>57</v>
      </c>
      <c r="D2" s="67"/>
      <c r="E2" s="9" t="s">
        <v>7</v>
      </c>
      <c r="F2" s="62">
        <v>45956</v>
      </c>
      <c r="G2" s="62"/>
      <c r="H2" s="62"/>
      <c r="I2" s="62"/>
      <c r="J2" s="62"/>
    </row>
    <row r="3" spans="1:10" ht="30" customHeight="1" x14ac:dyDescent="0.3">
      <c r="B3" s="9" t="s">
        <v>9</v>
      </c>
      <c r="C3" s="67" t="s">
        <v>60</v>
      </c>
      <c r="D3" s="67"/>
      <c r="E3" s="9" t="s">
        <v>6</v>
      </c>
      <c r="F3" s="67" t="s">
        <v>104</v>
      </c>
      <c r="G3" s="67"/>
      <c r="H3" s="67"/>
      <c r="I3" s="67"/>
      <c r="J3" s="67"/>
    </row>
    <row r="4" spans="1:10" ht="30" customHeight="1" thickBot="1" x14ac:dyDescent="0.35">
      <c r="B4" s="6"/>
      <c r="C4" s="80" t="s">
        <v>224</v>
      </c>
      <c r="D4" s="80"/>
      <c r="E4" s="6"/>
      <c r="F4" s="80"/>
      <c r="G4" s="80"/>
      <c r="H4" s="80"/>
      <c r="I4" s="80"/>
      <c r="J4" s="80"/>
    </row>
    <row r="5" spans="1:10" ht="24.9" customHeight="1" x14ac:dyDescent="0.3">
      <c r="A5" s="7"/>
      <c r="B5" s="63" t="s">
        <v>0</v>
      </c>
      <c r="C5" s="64"/>
      <c r="D5" s="64"/>
      <c r="E5" s="72" t="s">
        <v>1</v>
      </c>
      <c r="F5" s="72"/>
      <c r="G5" s="72"/>
      <c r="H5" s="72"/>
      <c r="I5" s="72" t="s">
        <v>2</v>
      </c>
      <c r="J5" s="73"/>
    </row>
    <row r="6" spans="1:10" ht="24.9" customHeight="1" thickBot="1" x14ac:dyDescent="0.35">
      <c r="A6" s="7"/>
      <c r="B6" s="65"/>
      <c r="C6" s="66"/>
      <c r="D6" s="66"/>
      <c r="E6" s="8" t="s">
        <v>3</v>
      </c>
      <c r="F6" s="8" t="s">
        <v>4</v>
      </c>
      <c r="G6" s="8" t="s">
        <v>23</v>
      </c>
      <c r="H6" s="8" t="s">
        <v>24</v>
      </c>
      <c r="I6" s="74"/>
      <c r="J6" s="75"/>
    </row>
    <row r="7" spans="1:10" ht="24.9" customHeight="1" thickBot="1" x14ac:dyDescent="0.35">
      <c r="A7" s="7"/>
      <c r="B7" s="70" t="s">
        <v>21</v>
      </c>
      <c r="C7" s="71"/>
      <c r="D7" s="71"/>
      <c r="E7" s="24" t="s">
        <v>18</v>
      </c>
      <c r="F7" s="24" t="s">
        <v>19</v>
      </c>
      <c r="G7" s="24" t="s">
        <v>22</v>
      </c>
      <c r="H7" s="24" t="s">
        <v>20</v>
      </c>
      <c r="I7" s="76" t="s">
        <v>25</v>
      </c>
      <c r="J7" s="77"/>
    </row>
    <row r="8" spans="1:10" ht="39.9" customHeight="1" x14ac:dyDescent="0.3">
      <c r="A8" s="7"/>
      <c r="B8" s="46" t="s">
        <v>180</v>
      </c>
      <c r="C8" s="47"/>
      <c r="D8" s="47"/>
      <c r="E8" s="47"/>
      <c r="F8" s="47"/>
      <c r="G8" s="47"/>
      <c r="H8" s="47"/>
      <c r="I8" s="47"/>
      <c r="J8" s="48"/>
    </row>
    <row r="9" spans="1:10" ht="39.9" customHeight="1" x14ac:dyDescent="0.3">
      <c r="A9" s="7"/>
      <c r="B9" s="51" t="s">
        <v>222</v>
      </c>
      <c r="C9" s="52"/>
      <c r="D9" s="52"/>
      <c r="E9" s="26"/>
      <c r="F9" s="23"/>
      <c r="G9" s="27"/>
      <c r="H9" s="28"/>
      <c r="I9" s="42"/>
      <c r="J9" s="43"/>
    </row>
    <row r="10" spans="1:10" ht="39.9" customHeight="1" x14ac:dyDescent="0.3">
      <c r="A10" s="7"/>
      <c r="B10" s="33" t="s">
        <v>181</v>
      </c>
      <c r="C10" s="34"/>
      <c r="D10" s="34"/>
      <c r="E10" s="26">
        <v>5</v>
      </c>
      <c r="F10" s="23">
        <v>3.75</v>
      </c>
      <c r="G10" s="27">
        <f t="shared" ref="G10:G50" si="0">IFERROR(F10/E10,"")</f>
        <v>0.75</v>
      </c>
      <c r="H10" s="28" t="str">
        <f t="shared" ref="H10:H50" si="1">_xlfn.IFS(F10="أدخل العلامة","",F10="لا ينطبق","تم الإلغاء",G10&gt;=90%,"ممتاز",G10&gt;=80%,"جيد جداً",G10&gt;=70%,"جيد",G10&gt;=60%,"مقبول",G10&lt;60%,"راسب")</f>
        <v>جيد</v>
      </c>
      <c r="I10" s="42"/>
      <c r="J10" s="43"/>
    </row>
    <row r="11" spans="1:10" ht="39.9" customHeight="1" x14ac:dyDescent="0.3">
      <c r="A11" s="7"/>
      <c r="B11" s="33" t="s">
        <v>182</v>
      </c>
      <c r="C11" s="34"/>
      <c r="D11" s="34"/>
      <c r="E11" s="26">
        <v>5</v>
      </c>
      <c r="F11" s="23">
        <v>3.75</v>
      </c>
      <c r="G11" s="27">
        <f t="shared" si="0"/>
        <v>0.75</v>
      </c>
      <c r="H11" s="28" t="str">
        <f t="shared" si="1"/>
        <v>جيد</v>
      </c>
      <c r="I11" s="42"/>
      <c r="J11" s="43"/>
    </row>
    <row r="12" spans="1:10" ht="39.9" customHeight="1" x14ac:dyDescent="0.3">
      <c r="A12" s="7"/>
      <c r="B12" s="33" t="s">
        <v>183</v>
      </c>
      <c r="C12" s="34"/>
      <c r="D12" s="34"/>
      <c r="E12" s="26">
        <v>5</v>
      </c>
      <c r="F12" s="23">
        <v>3.5</v>
      </c>
      <c r="G12" s="27">
        <f t="shared" si="0"/>
        <v>0.7</v>
      </c>
      <c r="H12" s="28" t="str">
        <f t="shared" si="1"/>
        <v>جيد</v>
      </c>
      <c r="I12" s="42"/>
      <c r="J12" s="43"/>
    </row>
    <row r="13" spans="1:10" ht="39.9" customHeight="1" x14ac:dyDescent="0.3">
      <c r="A13" s="7"/>
      <c r="B13" s="33" t="s">
        <v>184</v>
      </c>
      <c r="C13" s="34"/>
      <c r="D13" s="34"/>
      <c r="E13" s="26"/>
      <c r="F13" s="23"/>
      <c r="G13" s="27"/>
      <c r="H13" s="28"/>
      <c r="I13" s="42"/>
      <c r="J13" s="43"/>
    </row>
    <row r="14" spans="1:10" ht="39.9" customHeight="1" x14ac:dyDescent="0.3">
      <c r="A14" s="7"/>
      <c r="B14" s="33" t="s">
        <v>185</v>
      </c>
      <c r="C14" s="34"/>
      <c r="D14" s="34"/>
      <c r="E14" s="26">
        <v>5</v>
      </c>
      <c r="F14" s="23">
        <v>3.5</v>
      </c>
      <c r="G14" s="27">
        <f t="shared" si="0"/>
        <v>0.7</v>
      </c>
      <c r="H14" s="28" t="str">
        <f t="shared" si="1"/>
        <v>جيد</v>
      </c>
      <c r="I14" s="42"/>
      <c r="J14" s="43"/>
    </row>
    <row r="15" spans="1:10" ht="39.9" customHeight="1" x14ac:dyDescent="0.3">
      <c r="A15" s="7"/>
      <c r="B15" s="33" t="s">
        <v>186</v>
      </c>
      <c r="C15" s="34"/>
      <c r="D15" s="34"/>
      <c r="E15" s="26">
        <v>5</v>
      </c>
      <c r="F15" s="23">
        <v>3.75</v>
      </c>
      <c r="G15" s="27">
        <f t="shared" si="0"/>
        <v>0.75</v>
      </c>
      <c r="H15" s="28" t="str">
        <f t="shared" si="1"/>
        <v>جيد</v>
      </c>
      <c r="I15" s="42"/>
      <c r="J15" s="43"/>
    </row>
    <row r="16" spans="1:10" ht="39.9" customHeight="1" x14ac:dyDescent="0.3">
      <c r="A16" s="7"/>
      <c r="B16" s="33" t="s">
        <v>187</v>
      </c>
      <c r="C16" s="34"/>
      <c r="D16" s="34"/>
      <c r="E16" s="26">
        <v>5</v>
      </c>
      <c r="F16" s="23">
        <v>3.5</v>
      </c>
      <c r="G16" s="27">
        <f t="shared" si="0"/>
        <v>0.7</v>
      </c>
      <c r="H16" s="28" t="str">
        <f t="shared" si="1"/>
        <v>جيد</v>
      </c>
      <c r="I16" s="42"/>
      <c r="J16" s="43"/>
    </row>
    <row r="17" spans="1:10" ht="39.9" customHeight="1" x14ac:dyDescent="0.3">
      <c r="A17" s="7"/>
      <c r="B17" s="33" t="s">
        <v>188</v>
      </c>
      <c r="C17" s="34"/>
      <c r="D17" s="34"/>
      <c r="E17" s="26">
        <v>5</v>
      </c>
      <c r="F17" s="23">
        <v>3.5</v>
      </c>
      <c r="G17" s="27">
        <f t="shared" si="0"/>
        <v>0.7</v>
      </c>
      <c r="H17" s="28" t="str">
        <f t="shared" si="1"/>
        <v>جيد</v>
      </c>
      <c r="I17" s="42"/>
      <c r="J17" s="43"/>
    </row>
    <row r="18" spans="1:10" ht="39.9" customHeight="1" x14ac:dyDescent="0.3">
      <c r="A18" s="7"/>
      <c r="B18" s="33" t="s">
        <v>189</v>
      </c>
      <c r="C18" s="34"/>
      <c r="D18" s="34"/>
      <c r="E18" s="26">
        <v>5</v>
      </c>
      <c r="F18" s="23">
        <v>3.5</v>
      </c>
      <c r="G18" s="27">
        <f t="shared" si="0"/>
        <v>0.7</v>
      </c>
      <c r="H18" s="28" t="str">
        <f t="shared" si="1"/>
        <v>جيد</v>
      </c>
      <c r="I18" s="42"/>
      <c r="J18" s="43"/>
    </row>
    <row r="19" spans="1:10" ht="39.9" customHeight="1" x14ac:dyDescent="0.3">
      <c r="A19" s="7"/>
      <c r="B19" s="33" t="s">
        <v>190</v>
      </c>
      <c r="C19" s="34"/>
      <c r="D19" s="34"/>
      <c r="E19" s="26">
        <v>5</v>
      </c>
      <c r="F19" s="23">
        <v>3.75</v>
      </c>
      <c r="G19" s="27">
        <f t="shared" si="0"/>
        <v>0.75</v>
      </c>
      <c r="H19" s="28" t="str">
        <f t="shared" si="1"/>
        <v>جيد</v>
      </c>
      <c r="I19" s="42"/>
      <c r="J19" s="43"/>
    </row>
    <row r="20" spans="1:10" ht="39.9" customHeight="1" x14ac:dyDescent="0.3">
      <c r="A20" s="7"/>
      <c r="B20" s="33" t="s">
        <v>191</v>
      </c>
      <c r="C20" s="34"/>
      <c r="D20" s="34"/>
      <c r="E20" s="26">
        <v>5</v>
      </c>
      <c r="F20" s="23">
        <v>3.5</v>
      </c>
      <c r="G20" s="27">
        <f t="shared" si="0"/>
        <v>0.7</v>
      </c>
      <c r="H20" s="28" t="str">
        <f t="shared" si="1"/>
        <v>جيد</v>
      </c>
      <c r="I20" s="42"/>
      <c r="J20" s="43"/>
    </row>
    <row r="21" spans="1:10" ht="39.9" customHeight="1" x14ac:dyDescent="0.3">
      <c r="A21" s="7"/>
      <c r="B21" s="33" t="s">
        <v>192</v>
      </c>
      <c r="C21" s="34"/>
      <c r="D21" s="34"/>
      <c r="E21" s="26"/>
      <c r="F21" s="23"/>
      <c r="G21" s="27"/>
      <c r="H21" s="28"/>
      <c r="I21" s="42"/>
      <c r="J21" s="43"/>
    </row>
    <row r="22" spans="1:10" ht="39.9" customHeight="1" x14ac:dyDescent="0.3">
      <c r="A22" s="7"/>
      <c r="B22" s="35" t="s">
        <v>220</v>
      </c>
      <c r="C22" s="36"/>
      <c r="D22" s="36"/>
      <c r="E22" s="26">
        <v>5</v>
      </c>
      <c r="F22" s="23">
        <v>3.5</v>
      </c>
      <c r="G22" s="27">
        <f t="shared" si="0"/>
        <v>0.7</v>
      </c>
      <c r="H22" s="28" t="str">
        <f t="shared" si="1"/>
        <v>جيد</v>
      </c>
      <c r="I22" s="42"/>
      <c r="J22" s="43"/>
    </row>
    <row r="23" spans="1:10" ht="39.9" customHeight="1" x14ac:dyDescent="0.3">
      <c r="A23" s="7"/>
      <c r="B23" s="35" t="s">
        <v>193</v>
      </c>
      <c r="C23" s="36"/>
      <c r="D23" s="36"/>
      <c r="E23" s="26">
        <v>5</v>
      </c>
      <c r="F23" s="23">
        <v>3.75</v>
      </c>
      <c r="G23" s="27">
        <f t="shared" si="0"/>
        <v>0.75</v>
      </c>
      <c r="H23" s="28" t="str">
        <f t="shared" si="1"/>
        <v>جيد</v>
      </c>
      <c r="I23" s="42"/>
      <c r="J23" s="43"/>
    </row>
    <row r="24" spans="1:10" ht="39.9" customHeight="1" x14ac:dyDescent="0.3">
      <c r="A24" s="7"/>
      <c r="B24" s="35" t="s">
        <v>221</v>
      </c>
      <c r="C24" s="36"/>
      <c r="D24" s="36"/>
      <c r="E24" s="26">
        <v>5</v>
      </c>
      <c r="F24" s="23">
        <v>3.75</v>
      </c>
      <c r="G24" s="27">
        <f t="shared" si="0"/>
        <v>0.75</v>
      </c>
      <c r="H24" s="28" t="str">
        <f t="shared" si="1"/>
        <v>جيد</v>
      </c>
      <c r="I24" s="42"/>
      <c r="J24" s="43"/>
    </row>
    <row r="25" spans="1:10" ht="39.9" customHeight="1" thickBot="1" x14ac:dyDescent="0.35">
      <c r="A25" s="7"/>
      <c r="B25" s="78" t="s">
        <v>194</v>
      </c>
      <c r="C25" s="79"/>
      <c r="D25" s="79"/>
      <c r="E25" s="29">
        <v>5</v>
      </c>
      <c r="F25" s="30">
        <v>3.75</v>
      </c>
      <c r="G25" s="31">
        <f t="shared" si="0"/>
        <v>0.75</v>
      </c>
      <c r="H25" s="32" t="str">
        <f t="shared" si="1"/>
        <v>جيد</v>
      </c>
      <c r="I25" s="44"/>
      <c r="J25" s="45"/>
    </row>
    <row r="26" spans="1:10" ht="39.9" customHeight="1" x14ac:dyDescent="0.3">
      <c r="A26" s="7"/>
      <c r="B26" s="46" t="s">
        <v>195</v>
      </c>
      <c r="C26" s="47"/>
      <c r="D26" s="47"/>
      <c r="E26" s="47"/>
      <c r="F26" s="47"/>
      <c r="G26" s="47"/>
      <c r="H26" s="47"/>
      <c r="I26" s="47"/>
      <c r="J26" s="48"/>
    </row>
    <row r="27" spans="1:10" ht="39.9" customHeight="1" x14ac:dyDescent="0.3">
      <c r="A27" s="7"/>
      <c r="B27" s="51" t="s">
        <v>196</v>
      </c>
      <c r="C27" s="52"/>
      <c r="D27" s="52"/>
      <c r="E27" s="26">
        <v>5</v>
      </c>
      <c r="F27" s="23">
        <v>3.5</v>
      </c>
      <c r="G27" s="27">
        <f t="shared" si="0"/>
        <v>0.7</v>
      </c>
      <c r="H27" s="28" t="str">
        <f t="shared" si="1"/>
        <v>جيد</v>
      </c>
      <c r="I27" s="42"/>
      <c r="J27" s="43"/>
    </row>
    <row r="28" spans="1:10" ht="39.9" customHeight="1" x14ac:dyDescent="0.3">
      <c r="A28" s="7"/>
      <c r="B28" s="33" t="s">
        <v>197</v>
      </c>
      <c r="C28" s="34"/>
      <c r="D28" s="34"/>
      <c r="E28" s="26"/>
      <c r="F28" s="23"/>
      <c r="G28" s="27"/>
      <c r="H28" s="28"/>
      <c r="I28" s="42"/>
      <c r="J28" s="43"/>
    </row>
    <row r="29" spans="1:10" ht="39.9" customHeight="1" x14ac:dyDescent="0.3">
      <c r="A29" s="7"/>
      <c r="B29" s="35" t="s">
        <v>198</v>
      </c>
      <c r="C29" s="36"/>
      <c r="D29" s="36"/>
      <c r="E29" s="26">
        <v>5</v>
      </c>
      <c r="F29" s="23">
        <v>3.5</v>
      </c>
      <c r="G29" s="27">
        <f t="shared" si="0"/>
        <v>0.7</v>
      </c>
      <c r="H29" s="28" t="str">
        <f t="shared" si="1"/>
        <v>جيد</v>
      </c>
      <c r="I29" s="42"/>
      <c r="J29" s="43"/>
    </row>
    <row r="30" spans="1:10" ht="39.9" customHeight="1" x14ac:dyDescent="0.3">
      <c r="A30" s="7"/>
      <c r="B30" s="35" t="s">
        <v>199</v>
      </c>
      <c r="C30" s="36"/>
      <c r="D30" s="36"/>
      <c r="E30" s="26">
        <v>5</v>
      </c>
      <c r="F30" s="23">
        <v>3.75</v>
      </c>
      <c r="G30" s="27">
        <f t="shared" si="0"/>
        <v>0.75</v>
      </c>
      <c r="H30" s="28" t="str">
        <f t="shared" si="1"/>
        <v>جيد</v>
      </c>
      <c r="I30" s="42"/>
      <c r="J30" s="43"/>
    </row>
    <row r="31" spans="1:10" ht="39.9" customHeight="1" x14ac:dyDescent="0.3">
      <c r="A31" s="7"/>
      <c r="B31" s="35" t="s">
        <v>200</v>
      </c>
      <c r="C31" s="36"/>
      <c r="D31" s="36"/>
      <c r="E31" s="26">
        <v>5</v>
      </c>
      <c r="F31" s="23">
        <v>3.5</v>
      </c>
      <c r="G31" s="27">
        <f t="shared" si="0"/>
        <v>0.7</v>
      </c>
      <c r="H31" s="28" t="str">
        <f t="shared" si="1"/>
        <v>جيد</v>
      </c>
      <c r="I31" s="42"/>
      <c r="J31" s="43"/>
    </row>
    <row r="32" spans="1:10" ht="39.9" customHeight="1" x14ac:dyDescent="0.3">
      <c r="A32" s="7"/>
      <c r="B32" s="35" t="s">
        <v>201</v>
      </c>
      <c r="C32" s="36"/>
      <c r="D32" s="36"/>
      <c r="E32" s="26">
        <v>5</v>
      </c>
      <c r="F32" s="23">
        <v>3.5</v>
      </c>
      <c r="G32" s="27">
        <f t="shared" si="0"/>
        <v>0.7</v>
      </c>
      <c r="H32" s="28" t="str">
        <f t="shared" si="1"/>
        <v>جيد</v>
      </c>
      <c r="I32" s="42"/>
      <c r="J32" s="43"/>
    </row>
    <row r="33" spans="1:10" ht="39.9" customHeight="1" x14ac:dyDescent="0.3">
      <c r="A33" s="7"/>
      <c r="B33" s="35" t="s">
        <v>202</v>
      </c>
      <c r="C33" s="36"/>
      <c r="D33" s="36"/>
      <c r="E33" s="26">
        <v>5</v>
      </c>
      <c r="F33" s="23">
        <v>3.75</v>
      </c>
      <c r="G33" s="27">
        <f t="shared" si="0"/>
        <v>0.75</v>
      </c>
      <c r="H33" s="28" t="str">
        <f t="shared" si="1"/>
        <v>جيد</v>
      </c>
      <c r="I33" s="42"/>
      <c r="J33" s="43"/>
    </row>
    <row r="34" spans="1:10" ht="39.9" customHeight="1" x14ac:dyDescent="0.3">
      <c r="A34" s="7"/>
      <c r="B34" s="33" t="s">
        <v>203</v>
      </c>
      <c r="C34" s="34"/>
      <c r="D34" s="34"/>
      <c r="E34" s="26">
        <v>5</v>
      </c>
      <c r="F34" s="23">
        <v>3.75</v>
      </c>
      <c r="G34" s="27">
        <f t="shared" si="0"/>
        <v>0.75</v>
      </c>
      <c r="H34" s="28" t="str">
        <f t="shared" si="1"/>
        <v>جيد</v>
      </c>
      <c r="I34" s="42"/>
      <c r="J34" s="43"/>
    </row>
    <row r="35" spans="1:10" ht="39.9" customHeight="1" x14ac:dyDescent="0.3">
      <c r="A35" s="7"/>
      <c r="B35" s="33" t="s">
        <v>204</v>
      </c>
      <c r="C35" s="34"/>
      <c r="D35" s="34"/>
      <c r="E35" s="26">
        <v>5</v>
      </c>
      <c r="F35" s="23">
        <v>3.75</v>
      </c>
      <c r="G35" s="27">
        <f t="shared" si="0"/>
        <v>0.75</v>
      </c>
      <c r="H35" s="28" t="str">
        <f t="shared" si="1"/>
        <v>جيد</v>
      </c>
      <c r="I35" s="42"/>
      <c r="J35" s="43"/>
    </row>
    <row r="36" spans="1:10" ht="39.9" customHeight="1" x14ac:dyDescent="0.3">
      <c r="A36" s="7"/>
      <c r="B36" s="33" t="s">
        <v>205</v>
      </c>
      <c r="C36" s="34"/>
      <c r="D36" s="34"/>
      <c r="E36" s="26">
        <v>5</v>
      </c>
      <c r="F36" s="23">
        <v>3.75</v>
      </c>
      <c r="G36" s="27">
        <f t="shared" si="0"/>
        <v>0.75</v>
      </c>
      <c r="H36" s="28" t="str">
        <f t="shared" si="1"/>
        <v>جيد</v>
      </c>
      <c r="I36" s="42"/>
      <c r="J36" s="43"/>
    </row>
    <row r="37" spans="1:10" ht="39.9" customHeight="1" x14ac:dyDescent="0.3">
      <c r="A37" s="7"/>
      <c r="B37" s="33" t="s">
        <v>206</v>
      </c>
      <c r="C37" s="34"/>
      <c r="D37" s="34"/>
      <c r="E37" s="26">
        <v>5</v>
      </c>
      <c r="F37" s="23">
        <v>3.5</v>
      </c>
      <c r="G37" s="27">
        <f t="shared" si="0"/>
        <v>0.7</v>
      </c>
      <c r="H37" s="28" t="str">
        <f t="shared" si="1"/>
        <v>جيد</v>
      </c>
      <c r="I37" s="42"/>
      <c r="J37" s="43"/>
    </row>
    <row r="38" spans="1:10" ht="39.9" customHeight="1" x14ac:dyDescent="0.3">
      <c r="A38" s="7"/>
      <c r="B38" s="33" t="s">
        <v>207</v>
      </c>
      <c r="C38" s="34"/>
      <c r="D38" s="34"/>
      <c r="E38" s="26">
        <v>5</v>
      </c>
      <c r="F38" s="23">
        <v>3.5</v>
      </c>
      <c r="G38" s="27">
        <f t="shared" si="0"/>
        <v>0.7</v>
      </c>
      <c r="H38" s="28" t="str">
        <f t="shared" si="1"/>
        <v>جيد</v>
      </c>
      <c r="I38" s="42"/>
      <c r="J38" s="43"/>
    </row>
    <row r="39" spans="1:10" ht="39.9" customHeight="1" x14ac:dyDescent="0.3">
      <c r="A39" s="7"/>
      <c r="B39" s="33" t="s">
        <v>208</v>
      </c>
      <c r="C39" s="34"/>
      <c r="D39" s="34"/>
      <c r="E39" s="26">
        <v>5</v>
      </c>
      <c r="F39" s="23">
        <v>3.75</v>
      </c>
      <c r="G39" s="27">
        <f t="shared" si="0"/>
        <v>0.75</v>
      </c>
      <c r="H39" s="28" t="str">
        <f t="shared" si="1"/>
        <v>جيد</v>
      </c>
      <c r="I39" s="42"/>
      <c r="J39" s="43"/>
    </row>
    <row r="40" spans="1:10" ht="39.9" customHeight="1" thickBot="1" x14ac:dyDescent="0.35">
      <c r="A40" s="7"/>
      <c r="B40" s="53" t="s">
        <v>209</v>
      </c>
      <c r="C40" s="54"/>
      <c r="D40" s="54"/>
      <c r="E40" s="29">
        <v>5</v>
      </c>
      <c r="F40" s="30">
        <v>3.5</v>
      </c>
      <c r="G40" s="31">
        <f t="shared" si="0"/>
        <v>0.7</v>
      </c>
      <c r="H40" s="32" t="str">
        <f t="shared" si="1"/>
        <v>جيد</v>
      </c>
      <c r="I40" s="44"/>
      <c r="J40" s="45"/>
    </row>
    <row r="41" spans="1:10" ht="39.9" customHeight="1" x14ac:dyDescent="0.3">
      <c r="A41" s="7"/>
      <c r="B41" s="46" t="s">
        <v>210</v>
      </c>
      <c r="C41" s="47"/>
      <c r="D41" s="47"/>
      <c r="E41" s="47"/>
      <c r="F41" s="47"/>
      <c r="G41" s="47"/>
      <c r="H41" s="47"/>
      <c r="I41" s="47"/>
      <c r="J41" s="48"/>
    </row>
    <row r="42" spans="1:10" ht="39.9" customHeight="1" x14ac:dyDescent="0.3">
      <c r="A42" s="7"/>
      <c r="B42" s="51" t="s">
        <v>211</v>
      </c>
      <c r="C42" s="52"/>
      <c r="D42" s="52"/>
      <c r="E42" s="26">
        <v>5</v>
      </c>
      <c r="F42" s="23">
        <v>3.5</v>
      </c>
      <c r="G42" s="27">
        <f t="shared" si="0"/>
        <v>0.7</v>
      </c>
      <c r="H42" s="28" t="str">
        <f t="shared" si="1"/>
        <v>جيد</v>
      </c>
      <c r="I42" s="42"/>
      <c r="J42" s="43"/>
    </row>
    <row r="43" spans="1:10" ht="39.9" customHeight="1" x14ac:dyDescent="0.3">
      <c r="A43" s="7"/>
      <c r="B43" s="33" t="s">
        <v>212</v>
      </c>
      <c r="C43" s="34"/>
      <c r="D43" s="34"/>
      <c r="E43" s="26"/>
      <c r="F43" s="23"/>
      <c r="G43" s="27"/>
      <c r="H43" s="28"/>
      <c r="I43" s="42"/>
      <c r="J43" s="43"/>
    </row>
    <row r="44" spans="1:10" ht="39.9" customHeight="1" x14ac:dyDescent="0.3">
      <c r="A44" s="7"/>
      <c r="B44" s="83" t="s">
        <v>213</v>
      </c>
      <c r="C44" s="84"/>
      <c r="D44" s="84"/>
      <c r="E44" s="26">
        <v>5</v>
      </c>
      <c r="F44" s="23">
        <v>3.5</v>
      </c>
      <c r="G44" s="27">
        <f t="shared" si="0"/>
        <v>0.7</v>
      </c>
      <c r="H44" s="28" t="str">
        <f t="shared" si="1"/>
        <v>جيد</v>
      </c>
      <c r="I44" s="42"/>
      <c r="J44" s="43"/>
    </row>
    <row r="45" spans="1:10" ht="39.9" customHeight="1" x14ac:dyDescent="0.3">
      <c r="A45" s="7"/>
      <c r="B45" s="83" t="s">
        <v>214</v>
      </c>
      <c r="C45" s="84"/>
      <c r="D45" s="84"/>
      <c r="E45" s="26">
        <v>5</v>
      </c>
      <c r="F45" s="23">
        <v>3.5</v>
      </c>
      <c r="G45" s="27">
        <f t="shared" si="0"/>
        <v>0.7</v>
      </c>
      <c r="H45" s="28" t="str">
        <f t="shared" si="1"/>
        <v>جيد</v>
      </c>
      <c r="I45" s="42"/>
      <c r="J45" s="43"/>
    </row>
    <row r="46" spans="1:10" ht="51" customHeight="1" x14ac:dyDescent="0.3">
      <c r="A46" s="7"/>
      <c r="B46" s="33" t="s">
        <v>215</v>
      </c>
      <c r="C46" s="34"/>
      <c r="D46" s="34"/>
      <c r="E46" s="26">
        <v>5</v>
      </c>
      <c r="F46" s="23">
        <v>3.75</v>
      </c>
      <c r="G46" s="27">
        <f t="shared" si="0"/>
        <v>0.75</v>
      </c>
      <c r="H46" s="28" t="str">
        <f t="shared" si="1"/>
        <v>جيد</v>
      </c>
      <c r="I46" s="42"/>
      <c r="J46" s="43"/>
    </row>
    <row r="47" spans="1:10" ht="39.9" customHeight="1" x14ac:dyDescent="0.3">
      <c r="A47" s="7"/>
      <c r="B47" s="33" t="s">
        <v>216</v>
      </c>
      <c r="C47" s="34"/>
      <c r="D47" s="34"/>
      <c r="E47" s="26">
        <v>5</v>
      </c>
      <c r="F47" s="23">
        <v>3.5</v>
      </c>
      <c r="G47" s="27">
        <f t="shared" si="0"/>
        <v>0.7</v>
      </c>
      <c r="H47" s="28" t="str">
        <f t="shared" si="1"/>
        <v>جيد</v>
      </c>
      <c r="I47" s="42"/>
      <c r="J47" s="43"/>
    </row>
    <row r="48" spans="1:10" ht="39.9" customHeight="1" x14ac:dyDescent="0.3">
      <c r="A48" s="7"/>
      <c r="B48" s="33" t="s">
        <v>217</v>
      </c>
      <c r="C48" s="34"/>
      <c r="D48" s="34"/>
      <c r="E48" s="26">
        <v>5</v>
      </c>
      <c r="F48" s="23">
        <v>3.5</v>
      </c>
      <c r="G48" s="27">
        <f t="shared" si="0"/>
        <v>0.7</v>
      </c>
      <c r="H48" s="28" t="str">
        <f t="shared" si="1"/>
        <v>جيد</v>
      </c>
      <c r="I48" s="42"/>
      <c r="J48" s="43"/>
    </row>
    <row r="49" spans="1:10" ht="56.25" customHeight="1" x14ac:dyDescent="0.3">
      <c r="A49" s="7"/>
      <c r="B49" s="33" t="s">
        <v>218</v>
      </c>
      <c r="C49" s="34"/>
      <c r="D49" s="34"/>
      <c r="E49" s="26">
        <v>5</v>
      </c>
      <c r="F49" s="23">
        <v>3.5</v>
      </c>
      <c r="G49" s="27">
        <f t="shared" si="0"/>
        <v>0.7</v>
      </c>
      <c r="H49" s="28" t="str">
        <f t="shared" si="1"/>
        <v>جيد</v>
      </c>
      <c r="I49" s="42"/>
      <c r="J49" s="43"/>
    </row>
    <row r="50" spans="1:10" ht="39.9" customHeight="1" thickBot="1" x14ac:dyDescent="0.35">
      <c r="A50" s="7"/>
      <c r="B50" s="53" t="s">
        <v>219</v>
      </c>
      <c r="C50" s="54"/>
      <c r="D50" s="54"/>
      <c r="E50" s="29">
        <v>5</v>
      </c>
      <c r="F50" s="30">
        <v>3.75</v>
      </c>
      <c r="G50" s="31">
        <f t="shared" si="0"/>
        <v>0.75</v>
      </c>
      <c r="H50" s="32" t="str">
        <f t="shared" si="1"/>
        <v>جيد</v>
      </c>
      <c r="I50" s="44"/>
      <c r="J50" s="45"/>
    </row>
    <row r="51" spans="1:10" ht="30" customHeight="1" thickBot="1" x14ac:dyDescent="0.35">
      <c r="A51" s="4"/>
      <c r="B51" s="81" t="s">
        <v>5</v>
      </c>
      <c r="C51" s="82"/>
      <c r="D51" s="82"/>
      <c r="E51" s="25">
        <f>SUM(E8:E50)</f>
        <v>175</v>
      </c>
      <c r="F51" s="25">
        <f>SUM(F8:F50)</f>
        <v>126.25</v>
      </c>
      <c r="G51" s="39"/>
      <c r="H51" s="40"/>
      <c r="I51" s="40"/>
      <c r="J51" s="41"/>
    </row>
    <row r="52" spans="1:10" ht="30" customHeight="1" thickBot="1" x14ac:dyDescent="0.35">
      <c r="A52" s="4"/>
      <c r="B52" s="49" t="s">
        <v>54</v>
      </c>
      <c r="C52" s="50"/>
      <c r="D52" s="50"/>
      <c r="E52" s="68">
        <f>F51/E51/100*100</f>
        <v>0.72142857142857142</v>
      </c>
      <c r="F52" s="68"/>
      <c r="G52" s="68"/>
      <c r="H52" s="68"/>
      <c r="I52" s="68"/>
      <c r="J52" s="69"/>
    </row>
    <row r="53" spans="1:10" ht="30" customHeight="1" thickBot="1" x14ac:dyDescent="0.35">
      <c r="A53" s="4"/>
      <c r="B53" s="49" t="s">
        <v>55</v>
      </c>
      <c r="C53" s="50"/>
      <c r="D53" s="50"/>
      <c r="E53" s="59" t="str">
        <f>_xlfn.IFS(E52&gt;=90%,"ممتاز",E52&gt;=80%,"جيد جداً",E52&gt;=70%,"جيد",E52&gt;=60%,"مقبول",E52&lt;60%,"راسب")</f>
        <v>جيد</v>
      </c>
      <c r="F53" s="59"/>
      <c r="G53" s="59"/>
      <c r="H53" s="59"/>
      <c r="I53" s="59"/>
      <c r="J53" s="60"/>
    </row>
    <row r="54" spans="1:10" ht="42" customHeight="1" x14ac:dyDescent="0.3">
      <c r="B54" s="55" t="s">
        <v>174</v>
      </c>
      <c r="C54" s="55"/>
      <c r="D54" s="55"/>
      <c r="E54" s="37" t="s">
        <v>52</v>
      </c>
      <c r="F54" s="37"/>
      <c r="G54" s="57" t="s">
        <v>104</v>
      </c>
      <c r="H54" s="57"/>
      <c r="I54" s="57"/>
      <c r="J54" s="57"/>
    </row>
    <row r="55" spans="1:10" ht="51" customHeight="1" x14ac:dyDescent="0.3">
      <c r="A55" s="5"/>
      <c r="B55" s="56"/>
      <c r="C55" s="56"/>
      <c r="D55" s="56"/>
      <c r="E55" s="38" t="s">
        <v>53</v>
      </c>
      <c r="F55" s="38"/>
      <c r="G55" s="58"/>
      <c r="H55" s="58"/>
      <c r="I55" s="58"/>
      <c r="J55" s="5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6">
    <mergeCell ref="C4:D4"/>
    <mergeCell ref="F4:J4"/>
    <mergeCell ref="I33:J33"/>
    <mergeCell ref="I34:J34"/>
    <mergeCell ref="I35:J35"/>
    <mergeCell ref="I36:J36"/>
    <mergeCell ref="B51:D51"/>
    <mergeCell ref="B52:D52"/>
    <mergeCell ref="I9:J9"/>
    <mergeCell ref="B9:D9"/>
    <mergeCell ref="B10:D10"/>
    <mergeCell ref="B38:D38"/>
    <mergeCell ref="B39:D39"/>
    <mergeCell ref="B40:D40"/>
    <mergeCell ref="B42:D42"/>
    <mergeCell ref="B43:D43"/>
    <mergeCell ref="B44:D44"/>
    <mergeCell ref="B45:D45"/>
    <mergeCell ref="B8:J8"/>
    <mergeCell ref="B11:D11"/>
    <mergeCell ref="B12:D12"/>
    <mergeCell ref="B13:D13"/>
    <mergeCell ref="B14:D14"/>
    <mergeCell ref="B15:D15"/>
    <mergeCell ref="B16:D16"/>
    <mergeCell ref="B47:D47"/>
    <mergeCell ref="B48:D48"/>
    <mergeCell ref="B49:D49"/>
    <mergeCell ref="B37:D37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32:J32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1:J1"/>
    <mergeCell ref="F2:J2"/>
    <mergeCell ref="B5:D6"/>
    <mergeCell ref="C2:D2"/>
    <mergeCell ref="C3:D3"/>
    <mergeCell ref="F3:J3"/>
    <mergeCell ref="E52:J52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40:J40"/>
    <mergeCell ref="I42:J42"/>
    <mergeCell ref="I43:J43"/>
    <mergeCell ref="I44:J44"/>
    <mergeCell ref="I49:J49"/>
    <mergeCell ref="I50:J50"/>
    <mergeCell ref="I11:J11"/>
    <mergeCell ref="E54:F54"/>
    <mergeCell ref="E55:F55"/>
    <mergeCell ref="G51:J51"/>
    <mergeCell ref="I45:J45"/>
    <mergeCell ref="I46:J46"/>
    <mergeCell ref="I47:J47"/>
    <mergeCell ref="I48:J48"/>
    <mergeCell ref="I19:J19"/>
    <mergeCell ref="I20:J20"/>
    <mergeCell ref="I21:J21"/>
    <mergeCell ref="I22:J22"/>
    <mergeCell ref="I23:J23"/>
    <mergeCell ref="I24:J24"/>
    <mergeCell ref="I25:J25"/>
    <mergeCell ref="I27:J27"/>
    <mergeCell ref="B26:J26"/>
    <mergeCell ref="B41:J41"/>
    <mergeCell ref="B53:D53"/>
    <mergeCell ref="B27:D27"/>
    <mergeCell ref="B50:D50"/>
    <mergeCell ref="B54:D55"/>
    <mergeCell ref="G54:J54"/>
    <mergeCell ref="G55:J55"/>
    <mergeCell ref="E53:J53"/>
    <mergeCell ref="B46:D46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</mergeCells>
  <conditionalFormatting sqref="C2:D2">
    <cfRule type="containsText" dxfId="22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1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3">
    <cfRule type="expression" dxfId="20" priority="57">
      <formula>$E53="راسب"</formula>
    </cfRule>
  </conditionalFormatting>
  <conditionalFormatting sqref="E53:J53">
    <cfRule type="expression" dxfId="19" priority="58">
      <formula>$E53="مقبول"</formula>
    </cfRule>
    <cfRule type="expression" dxfId="18" priority="59">
      <formula>$E53="جيد"</formula>
    </cfRule>
    <cfRule type="expression" dxfId="17" priority="60">
      <formula>$E53="جيد جداً"</formula>
    </cfRule>
    <cfRule type="expression" dxfId="16" priority="61">
      <formula>$E53="ممتاز"</formula>
    </cfRule>
  </conditionalFormatting>
  <conditionalFormatting sqref="F9:F25">
    <cfRule type="containsText" dxfId="15" priority="4" operator="containsText" text="أدخل العلامة">
      <formula>NOT(ISERROR(SEARCH("أدخل العلامة",F9)))</formula>
    </cfRule>
  </conditionalFormatting>
  <conditionalFormatting sqref="F27:F40 H27:H40 F42:F50 H42:H50">
    <cfRule type="containsText" dxfId="14" priority="38" operator="containsText" text="أدخل العلامة">
      <formula>NOT(ISERROR(SEARCH("أدخل العلامة",F27)))</formula>
    </cfRule>
  </conditionalFormatting>
  <conditionalFormatting sqref="F2:J2">
    <cfRule type="containsText" dxfId="13" priority="19" operator="containsText" text="أدخل التاريخ">
      <formula>NOT(ISERROR(SEARCH("أدخل التاريخ",F2)))</formula>
    </cfRule>
  </conditionalFormatting>
  <conditionalFormatting sqref="F3:J3">
    <cfRule type="containsText" dxfId="12" priority="16" operator="containsText" text="أدخل أسم المحكم">
      <formula>NOT(ISERROR(SEARCH("أدخل أسم المحكم",F3)))</formula>
    </cfRule>
  </conditionalFormatting>
  <conditionalFormatting sqref="G54:J54">
    <cfRule type="containsText" dxfId="11" priority="15" operator="containsText" text="أدخل اسم المحكم">
      <formula>NOT(ISERROR(SEARCH("أدخل اسم المحكم",G54)))</formula>
    </cfRule>
  </conditionalFormatting>
  <conditionalFormatting sqref="H9:H25">
    <cfRule type="containsText" dxfId="10" priority="5" operator="containsText" text="أدخل العلامة">
      <formula>NOT(ISERROR(SEARCH("أدخل العلامة",H9)))</formula>
    </cfRule>
    <cfRule type="containsText" dxfId="9" priority="6" operator="containsText" text="ممتاز">
      <formula>NOT(ISERROR(SEARCH("ممتاز",H9)))</formula>
    </cfRule>
    <cfRule type="containsText" dxfId="8" priority="7" operator="containsText" text="جيد جداً">
      <formula>NOT(ISERROR(SEARCH("جيد جداً",H9)))</formula>
    </cfRule>
    <cfRule type="containsText" dxfId="7" priority="8" operator="containsText" text="جيد">
      <formula>NOT(ISERROR(SEARCH("جيد",H9)))</formula>
    </cfRule>
    <cfRule type="containsText" dxfId="6" priority="9" operator="containsText" text="مقبول">
      <formula>NOT(ISERROR(SEARCH("مقبول",H9)))</formula>
    </cfRule>
    <cfRule type="containsText" dxfId="5" priority="10" operator="containsText" text="راسب">
      <formula>NOT(ISERROR(SEARCH("راسب",H9)))</formula>
    </cfRule>
  </conditionalFormatting>
  <conditionalFormatting sqref="H27:H40 H42:H50">
    <cfRule type="containsText" dxfId="4" priority="39" operator="containsText" text="ممتاز">
      <formula>NOT(ISERROR(SEARCH("ممتاز",H27)))</formula>
    </cfRule>
    <cfRule type="containsText" dxfId="3" priority="40" operator="containsText" text="جيد جداً">
      <formula>NOT(ISERROR(SEARCH("جيد جداً",H27)))</formula>
    </cfRule>
    <cfRule type="containsText" dxfId="2" priority="41" operator="containsText" text="جيد">
      <formula>NOT(ISERROR(SEARCH("جيد",H27)))</formula>
    </cfRule>
    <cfRule type="containsText" dxfId="1" priority="42" operator="containsText" text="مقبول">
      <formula>NOT(ISERROR(SEARCH("مقبول",H27)))</formula>
    </cfRule>
    <cfRule type="containsText" dxfId="0" priority="43" operator="containsText" text="راسب">
      <formula>NOT(ISERROR(SEARCH("راسب",H27)))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00000000-0002-0000-0000-000001000000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00000000-0002-0000-0000-000002000000}">
          <x14:formula1>
            <xm:f>'بيانات التقييم'!$A$198:$A$286</xm:f>
          </x14:formula1>
          <xm:sqref>G54:J54 F3:J3</xm:sqref>
        </x14:dataValidation>
        <x14:dataValidation type="list" allowBlank="1" showInputMessage="1" showErrorMessage="1" xr:uid="{00000000-0002-0000-0000-000003000000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00000000-0002-0000-0000-000004000000}">
          <x14:formula1>
            <xm:f>'بيانات التقييم'!$A$111:$A$133</xm:f>
          </x14:formula1>
          <xm:sqref>F44:F50 F42 F29:F40 F27 F22:F25 F14:F20 F10:F12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3320312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6" t="s">
        <v>62</v>
      </c>
    </row>
    <row r="3" spans="1:3" ht="20.100000000000001" customHeight="1" thickBot="1" x14ac:dyDescent="0.35">
      <c r="A3" s="2" t="s">
        <v>26</v>
      </c>
      <c r="C3" s="16" t="s">
        <v>63</v>
      </c>
    </row>
    <row r="4" spans="1:3" ht="20.100000000000001" customHeight="1" thickBot="1" x14ac:dyDescent="0.35">
      <c r="A4" s="2" t="s">
        <v>36</v>
      </c>
      <c r="C4" s="16" t="s">
        <v>64</v>
      </c>
    </row>
    <row r="5" spans="1:3" ht="20.100000000000001" customHeight="1" thickBot="1" x14ac:dyDescent="0.35">
      <c r="A5" s="2" t="s">
        <v>37</v>
      </c>
      <c r="C5" s="16" t="s">
        <v>65</v>
      </c>
    </row>
    <row r="6" spans="1:3" ht="20.100000000000001" customHeight="1" thickBot="1" x14ac:dyDescent="0.35">
      <c r="A6" s="2" t="s">
        <v>38</v>
      </c>
      <c r="C6" s="16" t="s">
        <v>66</v>
      </c>
    </row>
    <row r="7" spans="1:3" ht="20.100000000000001" customHeight="1" thickBot="1" x14ac:dyDescent="0.35">
      <c r="A7" s="2" t="s">
        <v>39</v>
      </c>
      <c r="C7" s="16" t="s">
        <v>67</v>
      </c>
    </row>
    <row r="8" spans="1:3" ht="20.100000000000001" customHeight="1" thickBot="1" x14ac:dyDescent="0.35">
      <c r="A8" s="2" t="s">
        <v>40</v>
      </c>
      <c r="C8" s="16" t="s">
        <v>68</v>
      </c>
    </row>
    <row r="9" spans="1:3" ht="20.100000000000001" customHeight="1" thickBot="1" x14ac:dyDescent="0.35">
      <c r="A9" s="2" t="s">
        <v>41</v>
      </c>
      <c r="C9" s="16" t="s">
        <v>69</v>
      </c>
    </row>
    <row r="10" spans="1:3" ht="20.100000000000001" customHeight="1" thickBot="1" x14ac:dyDescent="0.35">
      <c r="A10" s="2" t="s">
        <v>42</v>
      </c>
      <c r="C10" s="16" t="s">
        <v>70</v>
      </c>
    </row>
    <row r="11" spans="1:3" ht="20.100000000000001" customHeight="1" thickBot="1" x14ac:dyDescent="0.35">
      <c r="A11" s="2" t="s">
        <v>43</v>
      </c>
      <c r="C11" s="16" t="s">
        <v>71</v>
      </c>
    </row>
    <row r="12" spans="1:3" ht="20.100000000000001" customHeight="1" thickBot="1" x14ac:dyDescent="0.35">
      <c r="A12" s="2" t="s">
        <v>44</v>
      </c>
      <c r="C12" s="16" t="s">
        <v>72</v>
      </c>
    </row>
    <row r="13" spans="1:3" ht="20.100000000000001" customHeight="1" thickBot="1" x14ac:dyDescent="0.35">
      <c r="A13" s="2" t="s">
        <v>45</v>
      </c>
      <c r="C13" s="16" t="s">
        <v>73</v>
      </c>
    </row>
    <row r="14" spans="1:3" ht="20.100000000000001" customHeight="1" thickBot="1" x14ac:dyDescent="0.35">
      <c r="A14" s="2" t="s">
        <v>46</v>
      </c>
      <c r="C14" s="16" t="s">
        <v>74</v>
      </c>
    </row>
    <row r="15" spans="1:3" ht="20.100000000000001" customHeight="1" thickBot="1" x14ac:dyDescent="0.35">
      <c r="A15" s="2" t="s">
        <v>47</v>
      </c>
      <c r="C15" s="16" t="s">
        <v>75</v>
      </c>
    </row>
    <row r="16" spans="1:3" ht="20.100000000000001" customHeight="1" thickBot="1" x14ac:dyDescent="0.35">
      <c r="A16" s="2" t="s">
        <v>10</v>
      </c>
      <c r="C16" s="16" t="s">
        <v>76</v>
      </c>
    </row>
    <row r="17" spans="1:3" ht="20.100000000000001" customHeight="1" thickBot="1" x14ac:dyDescent="0.35">
      <c r="A17" s="2" t="s">
        <v>27</v>
      </c>
      <c r="C17" s="16" t="s">
        <v>77</v>
      </c>
    </row>
    <row r="18" spans="1:3" ht="20.100000000000001" customHeight="1" thickBot="1" x14ac:dyDescent="0.35">
      <c r="A18" s="2" t="s">
        <v>48</v>
      </c>
      <c r="C18" s="16" t="s">
        <v>78</v>
      </c>
    </row>
    <row r="19" spans="1:3" ht="20.100000000000001" customHeight="1" thickBot="1" x14ac:dyDescent="0.35">
      <c r="A19" s="2" t="s">
        <v>49</v>
      </c>
      <c r="C19" s="16" t="s">
        <v>79</v>
      </c>
    </row>
    <row r="20" spans="1:3" ht="20.100000000000001" customHeight="1" thickBot="1" x14ac:dyDescent="0.35">
      <c r="A20" s="2" t="s">
        <v>50</v>
      </c>
      <c r="C20" s="16" t="s">
        <v>80</v>
      </c>
    </row>
    <row r="21" spans="1:3" ht="20.100000000000001" customHeight="1" thickBot="1" x14ac:dyDescent="0.35">
      <c r="A21" s="2" t="s">
        <v>51</v>
      </c>
      <c r="C21" s="16" t="s">
        <v>81</v>
      </c>
    </row>
    <row r="22" spans="1:3" ht="20.100000000000001" customHeight="1" thickBot="1" x14ac:dyDescent="0.35">
      <c r="A22" s="2" t="s">
        <v>11</v>
      </c>
      <c r="C22" s="16" t="s">
        <v>82</v>
      </c>
    </row>
    <row r="23" spans="1:3" ht="20.100000000000001" customHeight="1" thickBot="1" x14ac:dyDescent="0.35">
      <c r="A23" s="2" t="s">
        <v>12</v>
      </c>
      <c r="C23" s="16" t="s">
        <v>83</v>
      </c>
    </row>
    <row r="24" spans="1:3" ht="20.100000000000001" customHeight="1" thickBot="1" x14ac:dyDescent="0.35">
      <c r="A24" s="2" t="s">
        <v>15</v>
      </c>
      <c r="C24" s="16" t="s">
        <v>84</v>
      </c>
    </row>
    <row r="25" spans="1:3" ht="20.100000000000001" customHeight="1" thickBot="1" x14ac:dyDescent="0.35">
      <c r="A25" s="2" t="s">
        <v>28</v>
      </c>
      <c r="C25" s="16" t="s">
        <v>85</v>
      </c>
    </row>
    <row r="26" spans="1:3" ht="20.100000000000001" customHeight="1" thickBot="1" x14ac:dyDescent="0.35">
      <c r="A26" s="2" t="s">
        <v>29</v>
      </c>
      <c r="C26" s="16" t="s">
        <v>86</v>
      </c>
    </row>
    <row r="27" spans="1:3" ht="20.100000000000001" customHeight="1" thickBot="1" x14ac:dyDescent="0.35">
      <c r="A27" s="2" t="s">
        <v>13</v>
      </c>
      <c r="C27" s="16" t="s">
        <v>87</v>
      </c>
    </row>
    <row r="28" spans="1:3" ht="20.100000000000001" customHeight="1" thickBot="1" x14ac:dyDescent="0.35">
      <c r="A28" s="2" t="s">
        <v>30</v>
      </c>
      <c r="C28" s="16" t="s">
        <v>88</v>
      </c>
    </row>
    <row r="29" spans="1:3" ht="20.100000000000001" customHeight="1" thickBot="1" x14ac:dyDescent="0.35">
      <c r="A29" s="2" t="s">
        <v>31</v>
      </c>
      <c r="C29" s="16" t="s">
        <v>177</v>
      </c>
    </row>
    <row r="30" spans="1:3" ht="20.100000000000001" customHeight="1" thickBot="1" x14ac:dyDescent="0.35">
      <c r="A30" s="2" t="s">
        <v>32</v>
      </c>
      <c r="C30" s="16" t="s">
        <v>178</v>
      </c>
    </row>
    <row r="31" spans="1:3" ht="20.100000000000001" customHeight="1" thickBot="1" x14ac:dyDescent="0.35">
      <c r="A31" s="2" t="s">
        <v>33</v>
      </c>
      <c r="C31" s="16" t="s">
        <v>179</v>
      </c>
    </row>
    <row r="32" spans="1:3" ht="20.100000000000001" customHeight="1" thickBot="1" x14ac:dyDescent="0.35">
      <c r="A32" s="2" t="s">
        <v>16</v>
      </c>
      <c r="C32" s="16"/>
    </row>
    <row r="33" spans="1:9" ht="20.100000000000001" customHeight="1" thickBot="1" x14ac:dyDescent="0.35">
      <c r="A33" s="2" t="s">
        <v>14</v>
      </c>
      <c r="C33" s="16"/>
    </row>
    <row r="34" spans="1:9" ht="20.100000000000001" customHeight="1" thickBot="1" x14ac:dyDescent="0.35">
      <c r="A34" s="2" t="s">
        <v>34</v>
      </c>
      <c r="C34" s="16"/>
    </row>
    <row r="35" spans="1:9" ht="20.100000000000001" customHeight="1" x14ac:dyDescent="0.3">
      <c r="A35" s="15"/>
    </row>
    <row r="36" spans="1:9" s="14" customFormat="1" ht="20.100000000000001" customHeight="1" x14ac:dyDescent="0.3">
      <c r="A36" s="12"/>
      <c r="B36" s="13"/>
      <c r="C36" s="13"/>
      <c r="D36" s="13"/>
      <c r="E36" s="13"/>
      <c r="F36" s="13"/>
      <c r="G36" s="13"/>
      <c r="H36" s="13"/>
      <c r="I36" s="13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0">
        <v>45931</v>
      </c>
    </row>
    <row r="40" spans="1:9" ht="20.100000000000001" customHeight="1" thickBot="1" x14ac:dyDescent="0.35">
      <c r="A40" s="10">
        <v>45932</v>
      </c>
    </row>
    <row r="41" spans="1:9" ht="20.100000000000001" customHeight="1" thickBot="1" x14ac:dyDescent="0.35">
      <c r="A41" s="10">
        <v>45933</v>
      </c>
    </row>
    <row r="42" spans="1:9" ht="20.100000000000001" customHeight="1" thickBot="1" x14ac:dyDescent="0.35">
      <c r="A42" s="10">
        <v>45934</v>
      </c>
    </row>
    <row r="43" spans="1:9" ht="20.100000000000001" customHeight="1" thickBot="1" x14ac:dyDescent="0.35">
      <c r="A43" s="10">
        <v>45935</v>
      </c>
    </row>
    <row r="44" spans="1:9" ht="20.100000000000001" customHeight="1" thickBot="1" x14ac:dyDescent="0.35">
      <c r="A44" s="10">
        <v>45936</v>
      </c>
    </row>
    <row r="45" spans="1:9" ht="20.100000000000001" customHeight="1" thickBot="1" x14ac:dyDescent="0.35">
      <c r="A45" s="10">
        <v>45937</v>
      </c>
    </row>
    <row r="46" spans="1:9" ht="20.100000000000001" customHeight="1" thickBot="1" x14ac:dyDescent="0.35">
      <c r="A46" s="10">
        <v>45938</v>
      </c>
    </row>
    <row r="47" spans="1:9" ht="20.100000000000001" customHeight="1" thickBot="1" x14ac:dyDescent="0.35">
      <c r="A47" s="10">
        <v>45939</v>
      </c>
    </row>
    <row r="48" spans="1:9" ht="20.100000000000001" customHeight="1" thickBot="1" x14ac:dyDescent="0.35">
      <c r="A48" s="10">
        <v>45940</v>
      </c>
    </row>
    <row r="49" spans="1:1" ht="20.100000000000001" customHeight="1" thickBot="1" x14ac:dyDescent="0.35">
      <c r="A49" s="10">
        <v>45941</v>
      </c>
    </row>
    <row r="50" spans="1:1" ht="20.100000000000001" customHeight="1" thickBot="1" x14ac:dyDescent="0.35">
      <c r="A50" s="10">
        <v>45942</v>
      </c>
    </row>
    <row r="51" spans="1:1" ht="20.100000000000001" customHeight="1" thickBot="1" x14ac:dyDescent="0.35">
      <c r="A51" s="10">
        <v>45943</v>
      </c>
    </row>
    <row r="52" spans="1:1" ht="20.100000000000001" customHeight="1" thickBot="1" x14ac:dyDescent="0.35">
      <c r="A52" s="10">
        <v>45944</v>
      </c>
    </row>
    <row r="53" spans="1:1" ht="20.100000000000001" customHeight="1" thickBot="1" x14ac:dyDescent="0.35">
      <c r="A53" s="10">
        <v>45945</v>
      </c>
    </row>
    <row r="54" spans="1:1" ht="20.100000000000001" customHeight="1" thickBot="1" x14ac:dyDescent="0.35">
      <c r="A54" s="10">
        <v>45946</v>
      </c>
    </row>
    <row r="55" spans="1:1" ht="20.100000000000001" customHeight="1" thickBot="1" x14ac:dyDescent="0.35">
      <c r="A55" s="10">
        <v>45947</v>
      </c>
    </row>
    <row r="56" spans="1:1" ht="20.100000000000001" customHeight="1" thickBot="1" x14ac:dyDescent="0.35">
      <c r="A56" s="10">
        <v>45948</v>
      </c>
    </row>
    <row r="57" spans="1:1" ht="20.100000000000001" customHeight="1" thickBot="1" x14ac:dyDescent="0.35">
      <c r="A57" s="10">
        <v>45949</v>
      </c>
    </row>
    <row r="58" spans="1:1" ht="20.100000000000001" customHeight="1" thickBot="1" x14ac:dyDescent="0.35">
      <c r="A58" s="10">
        <v>45950</v>
      </c>
    </row>
    <row r="59" spans="1:1" ht="20.100000000000001" customHeight="1" thickBot="1" x14ac:dyDescent="0.35">
      <c r="A59" s="10">
        <v>45951</v>
      </c>
    </row>
    <row r="60" spans="1:1" ht="20.100000000000001" customHeight="1" thickBot="1" x14ac:dyDescent="0.35">
      <c r="A60" s="10">
        <v>45952</v>
      </c>
    </row>
    <row r="61" spans="1:1" ht="20.100000000000001" customHeight="1" thickBot="1" x14ac:dyDescent="0.35">
      <c r="A61" s="10">
        <v>45953</v>
      </c>
    </row>
    <row r="62" spans="1:1" ht="20.100000000000001" customHeight="1" thickBot="1" x14ac:dyDescent="0.35">
      <c r="A62" s="10">
        <v>45954</v>
      </c>
    </row>
    <row r="63" spans="1:1" ht="20.100000000000001" customHeight="1" thickBot="1" x14ac:dyDescent="0.35">
      <c r="A63" s="10">
        <v>45955</v>
      </c>
    </row>
    <row r="64" spans="1:1" ht="20.100000000000001" customHeight="1" thickBot="1" x14ac:dyDescent="0.35">
      <c r="A64" s="10">
        <v>45956</v>
      </c>
    </row>
    <row r="65" spans="1:1" ht="20.100000000000001" customHeight="1" thickBot="1" x14ac:dyDescent="0.35">
      <c r="A65" s="10">
        <v>45957</v>
      </c>
    </row>
    <row r="66" spans="1:1" ht="20.100000000000001" customHeight="1" thickBot="1" x14ac:dyDescent="0.35">
      <c r="A66" s="10">
        <v>45958</v>
      </c>
    </row>
    <row r="67" spans="1:1" ht="20.100000000000001" customHeight="1" thickBot="1" x14ac:dyDescent="0.35">
      <c r="A67" s="10">
        <v>45959</v>
      </c>
    </row>
    <row r="68" spans="1:1" ht="20.100000000000001" customHeight="1" thickBot="1" x14ac:dyDescent="0.35">
      <c r="A68" s="10">
        <v>45960</v>
      </c>
    </row>
    <row r="69" spans="1:1" ht="20.100000000000001" customHeight="1" thickBot="1" x14ac:dyDescent="0.35">
      <c r="A69" s="10">
        <v>45961</v>
      </c>
    </row>
    <row r="70" spans="1:1" ht="20.100000000000001" customHeight="1" thickBot="1" x14ac:dyDescent="0.35">
      <c r="A70" s="10"/>
    </row>
    <row r="71" spans="1:1" ht="20.100000000000001" customHeight="1" thickBot="1" x14ac:dyDescent="0.35">
      <c r="A71" s="10"/>
    </row>
    <row r="72" spans="1:1" ht="20.100000000000001" customHeight="1" thickBot="1" x14ac:dyDescent="0.35">
      <c r="A72" s="10"/>
    </row>
    <row r="73" spans="1:1" ht="20.100000000000001" customHeight="1" thickBot="1" x14ac:dyDescent="0.35">
      <c r="A73" s="10"/>
    </row>
    <row r="74" spans="1:1" ht="20.100000000000001" customHeight="1" thickBot="1" x14ac:dyDescent="0.35">
      <c r="A74" s="10"/>
    </row>
    <row r="75" spans="1:1" ht="20.100000000000001" customHeight="1" thickBot="1" x14ac:dyDescent="0.35">
      <c r="A75" s="10"/>
    </row>
    <row r="76" spans="1:1" ht="20.100000000000001" customHeight="1" thickBot="1" x14ac:dyDescent="0.35">
      <c r="A76" s="10"/>
    </row>
    <row r="77" spans="1:1" ht="20.100000000000001" customHeight="1" thickBot="1" x14ac:dyDescent="0.35">
      <c r="A77" s="10"/>
    </row>
    <row r="78" spans="1:1" ht="20.100000000000001" customHeight="1" thickBot="1" x14ac:dyDescent="0.35">
      <c r="A78" s="10"/>
    </row>
    <row r="79" spans="1:1" ht="20.100000000000001" customHeight="1" thickBot="1" x14ac:dyDescent="0.35">
      <c r="A79" s="10"/>
    </row>
    <row r="80" spans="1:1" ht="20.100000000000001" customHeight="1" thickBot="1" x14ac:dyDescent="0.35">
      <c r="A80" s="10"/>
    </row>
    <row r="81" spans="1:1" ht="20.100000000000001" customHeight="1" thickBot="1" x14ac:dyDescent="0.35">
      <c r="A81" s="10"/>
    </row>
    <row r="82" spans="1:1" ht="20.100000000000001" customHeight="1" thickBot="1" x14ac:dyDescent="0.35">
      <c r="A82" s="10"/>
    </row>
    <row r="83" spans="1:1" ht="20.100000000000001" customHeight="1" thickBot="1" x14ac:dyDescent="0.35">
      <c r="A83" s="10"/>
    </row>
    <row r="84" spans="1:1" ht="20.100000000000001" customHeight="1" thickBot="1" x14ac:dyDescent="0.35">
      <c r="A84" s="10"/>
    </row>
    <row r="85" spans="1:1" ht="20.100000000000001" customHeight="1" thickBot="1" x14ac:dyDescent="0.35">
      <c r="A85" s="10"/>
    </row>
    <row r="86" spans="1:1" ht="20.100000000000001" customHeight="1" thickBot="1" x14ac:dyDescent="0.35">
      <c r="A86" s="10"/>
    </row>
    <row r="87" spans="1:1" ht="20.100000000000001" customHeight="1" thickBot="1" x14ac:dyDescent="0.35">
      <c r="A87" s="10"/>
    </row>
    <row r="88" spans="1:1" ht="20.100000000000001" customHeight="1" thickBot="1" x14ac:dyDescent="0.35">
      <c r="A88" s="10"/>
    </row>
    <row r="89" spans="1:1" ht="20.100000000000001" customHeight="1" thickBot="1" x14ac:dyDescent="0.35">
      <c r="A89" s="10"/>
    </row>
    <row r="90" spans="1:1" ht="20.100000000000001" customHeight="1" thickBot="1" x14ac:dyDescent="0.35">
      <c r="A90" s="10"/>
    </row>
    <row r="91" spans="1:1" ht="20.100000000000001" customHeight="1" thickBot="1" x14ac:dyDescent="0.35">
      <c r="A91" s="10"/>
    </row>
    <row r="92" spans="1:1" ht="20.100000000000001" customHeight="1" thickBot="1" x14ac:dyDescent="0.35">
      <c r="A92" s="10"/>
    </row>
    <row r="93" spans="1:1" ht="20.100000000000001" customHeight="1" thickBot="1" x14ac:dyDescent="0.35">
      <c r="A93" s="10"/>
    </row>
    <row r="94" spans="1:1" ht="20.100000000000001" customHeight="1" thickBot="1" x14ac:dyDescent="0.35">
      <c r="A94" s="10"/>
    </row>
    <row r="95" spans="1:1" ht="20.100000000000001" customHeight="1" thickBot="1" x14ac:dyDescent="0.35">
      <c r="A95" s="10"/>
    </row>
    <row r="96" spans="1:1" ht="20.100000000000001" customHeight="1" thickBot="1" x14ac:dyDescent="0.35">
      <c r="A96" s="10"/>
    </row>
    <row r="97" spans="1:9" ht="20.100000000000001" customHeight="1" thickBot="1" x14ac:dyDescent="0.35">
      <c r="A97" s="10"/>
    </row>
    <row r="98" spans="1:9" ht="20.100000000000001" customHeight="1" thickBot="1" x14ac:dyDescent="0.35">
      <c r="A98" s="10"/>
    </row>
    <row r="99" spans="1:9" ht="20.100000000000001" customHeight="1" thickBot="1" x14ac:dyDescent="0.35">
      <c r="A99" s="10"/>
    </row>
    <row r="100" spans="1:9" ht="20.100000000000001" customHeight="1" thickBot="1" x14ac:dyDescent="0.35">
      <c r="A100" s="10"/>
    </row>
    <row r="101" spans="1:9" ht="20.100000000000001" customHeight="1" thickBot="1" x14ac:dyDescent="0.35">
      <c r="A101" s="10"/>
    </row>
    <row r="102" spans="1:9" ht="20.100000000000001" customHeight="1" thickBot="1" x14ac:dyDescent="0.35">
      <c r="A102" s="10"/>
    </row>
    <row r="103" spans="1:9" ht="20.100000000000001" customHeight="1" thickBot="1" x14ac:dyDescent="0.35">
      <c r="A103" s="10"/>
    </row>
    <row r="104" spans="1:9" ht="20.100000000000001" customHeight="1" thickBot="1" x14ac:dyDescent="0.35">
      <c r="A104" s="10"/>
    </row>
    <row r="105" spans="1:9" ht="20.100000000000001" customHeight="1" thickBot="1" x14ac:dyDescent="0.35">
      <c r="A105" s="10"/>
    </row>
    <row r="106" spans="1:9" ht="20.100000000000001" customHeight="1" thickBot="1" x14ac:dyDescent="0.35">
      <c r="A106" s="10"/>
    </row>
    <row r="107" spans="1:9" ht="20.100000000000001" customHeight="1" x14ac:dyDescent="0.3">
      <c r="A107" s="11"/>
    </row>
    <row r="108" spans="1:9" ht="20.100000000000001" customHeight="1" x14ac:dyDescent="0.3">
      <c r="A108" s="11"/>
    </row>
    <row r="109" spans="1:9" s="14" customFormat="1" ht="20.100000000000001" customHeight="1" x14ac:dyDescent="0.3">
      <c r="A109" s="12"/>
      <c r="B109" s="13"/>
      <c r="C109" s="13"/>
      <c r="D109" s="13"/>
      <c r="E109" s="13"/>
      <c r="F109" s="13"/>
      <c r="G109" s="13"/>
      <c r="H109" s="13"/>
      <c r="I109" s="13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7" t="s">
        <v>89</v>
      </c>
    </row>
    <row r="200" spans="1:1" ht="20.100000000000001" customHeight="1" x14ac:dyDescent="0.3">
      <c r="A200" s="17" t="s">
        <v>90</v>
      </c>
    </row>
    <row r="201" spans="1:1" ht="20.100000000000001" customHeight="1" x14ac:dyDescent="0.3">
      <c r="A201" s="17" t="s">
        <v>91</v>
      </c>
    </row>
    <row r="202" spans="1:1" ht="20.100000000000001" customHeight="1" x14ac:dyDescent="0.3">
      <c r="A202" s="17" t="s">
        <v>92</v>
      </c>
    </row>
    <row r="203" spans="1:1" ht="20.100000000000001" customHeight="1" x14ac:dyDescent="0.3">
      <c r="A203" s="17" t="s">
        <v>93</v>
      </c>
    </row>
    <row r="204" spans="1:1" ht="20.100000000000001" customHeight="1" x14ac:dyDescent="0.3">
      <c r="A204" s="17" t="s">
        <v>94</v>
      </c>
    </row>
    <row r="205" spans="1:1" ht="20.100000000000001" customHeight="1" x14ac:dyDescent="0.3">
      <c r="A205" s="17" t="s">
        <v>95</v>
      </c>
    </row>
    <row r="206" spans="1:1" ht="20.100000000000001" customHeight="1" x14ac:dyDescent="0.3">
      <c r="A206" s="17" t="s">
        <v>96</v>
      </c>
    </row>
    <row r="207" spans="1:1" ht="20.100000000000001" customHeight="1" x14ac:dyDescent="0.3">
      <c r="A207" s="17" t="s">
        <v>97</v>
      </c>
    </row>
    <row r="208" spans="1:1" ht="20.100000000000001" customHeight="1" x14ac:dyDescent="0.3">
      <c r="A208" s="18" t="s">
        <v>98</v>
      </c>
    </row>
    <row r="209" spans="1:1" ht="20.100000000000001" customHeight="1" x14ac:dyDescent="0.3">
      <c r="A209" s="18" t="s">
        <v>99</v>
      </c>
    </row>
    <row r="210" spans="1:1" ht="20.100000000000001" customHeight="1" x14ac:dyDescent="0.3">
      <c r="A210" s="17" t="s">
        <v>100</v>
      </c>
    </row>
    <row r="211" spans="1:1" ht="20.100000000000001" customHeight="1" x14ac:dyDescent="0.3">
      <c r="A211" s="17" t="s">
        <v>101</v>
      </c>
    </row>
    <row r="212" spans="1:1" ht="20.100000000000001" customHeight="1" x14ac:dyDescent="0.3">
      <c r="A212" s="17" t="s">
        <v>175</v>
      </c>
    </row>
    <row r="213" spans="1:1" ht="20.100000000000001" customHeight="1" x14ac:dyDescent="0.3">
      <c r="A213" s="17" t="s">
        <v>102</v>
      </c>
    </row>
    <row r="214" spans="1:1" ht="20.100000000000001" customHeight="1" x14ac:dyDescent="0.3">
      <c r="A214" s="17" t="s">
        <v>103</v>
      </c>
    </row>
    <row r="215" spans="1:1" ht="20.100000000000001" customHeight="1" x14ac:dyDescent="0.3">
      <c r="A215" s="17" t="s">
        <v>104</v>
      </c>
    </row>
    <row r="216" spans="1:1" ht="20.100000000000001" customHeight="1" x14ac:dyDescent="0.3">
      <c r="A216" s="17" t="s">
        <v>105</v>
      </c>
    </row>
    <row r="217" spans="1:1" ht="20.100000000000001" customHeight="1" x14ac:dyDescent="0.3">
      <c r="A217" s="17" t="s">
        <v>106</v>
      </c>
    </row>
    <row r="218" spans="1:1" ht="20.100000000000001" customHeight="1" x14ac:dyDescent="0.3">
      <c r="A218" s="17" t="s">
        <v>107</v>
      </c>
    </row>
    <row r="219" spans="1:1" ht="20.100000000000001" customHeight="1" x14ac:dyDescent="0.3">
      <c r="A219" s="17" t="s">
        <v>108</v>
      </c>
    </row>
    <row r="220" spans="1:1" ht="20.100000000000001" customHeight="1" x14ac:dyDescent="0.3">
      <c r="A220" s="17" t="s">
        <v>109</v>
      </c>
    </row>
    <row r="221" spans="1:1" ht="20.100000000000001" customHeight="1" x14ac:dyDescent="0.3">
      <c r="A221" s="17" t="s">
        <v>110</v>
      </c>
    </row>
    <row r="222" spans="1:1" ht="20.100000000000001" customHeight="1" x14ac:dyDescent="0.3">
      <c r="A222" s="17" t="s">
        <v>111</v>
      </c>
    </row>
    <row r="223" spans="1:1" ht="20.100000000000001" customHeight="1" x14ac:dyDescent="0.3">
      <c r="A223" s="17" t="s">
        <v>112</v>
      </c>
    </row>
    <row r="224" spans="1:1" ht="20.100000000000001" customHeight="1" x14ac:dyDescent="0.3">
      <c r="A224" s="17" t="s">
        <v>176</v>
      </c>
    </row>
    <row r="225" spans="1:1" ht="20.100000000000001" customHeight="1" x14ac:dyDescent="0.3">
      <c r="A225" s="17" t="s">
        <v>113</v>
      </c>
    </row>
    <row r="226" spans="1:1" ht="20.100000000000001" customHeight="1" x14ac:dyDescent="0.3">
      <c r="A226" s="17" t="s">
        <v>114</v>
      </c>
    </row>
    <row r="227" spans="1:1" ht="20.100000000000001" customHeight="1" x14ac:dyDescent="0.3">
      <c r="A227" s="17" t="s">
        <v>115</v>
      </c>
    </row>
    <row r="228" spans="1:1" ht="20.100000000000001" customHeight="1" x14ac:dyDescent="0.3">
      <c r="A228" s="17" t="s">
        <v>116</v>
      </c>
    </row>
    <row r="229" spans="1:1" ht="20.100000000000001" customHeight="1" x14ac:dyDescent="0.3">
      <c r="A229" s="17" t="s">
        <v>117</v>
      </c>
    </row>
    <row r="230" spans="1:1" ht="20.100000000000001" customHeight="1" x14ac:dyDescent="0.3">
      <c r="A230" s="17" t="s">
        <v>118</v>
      </c>
    </row>
    <row r="231" spans="1:1" ht="20.100000000000001" customHeight="1" x14ac:dyDescent="0.3">
      <c r="A231" s="17" t="s">
        <v>119</v>
      </c>
    </row>
    <row r="232" spans="1:1" ht="20.100000000000001" customHeight="1" x14ac:dyDescent="0.3">
      <c r="A232" s="17" t="s">
        <v>120</v>
      </c>
    </row>
    <row r="233" spans="1:1" ht="20.100000000000001" customHeight="1" x14ac:dyDescent="0.3">
      <c r="A233" s="17" t="s">
        <v>121</v>
      </c>
    </row>
    <row r="234" spans="1:1" ht="20.100000000000001" customHeight="1" x14ac:dyDescent="0.3">
      <c r="A234" s="17" t="s">
        <v>122</v>
      </c>
    </row>
    <row r="235" spans="1:1" ht="20.100000000000001" customHeight="1" x14ac:dyDescent="0.3">
      <c r="A235" s="17" t="s">
        <v>123</v>
      </c>
    </row>
    <row r="236" spans="1:1" ht="20.100000000000001" customHeight="1" x14ac:dyDescent="0.3">
      <c r="A236" s="19" t="s">
        <v>124</v>
      </c>
    </row>
    <row r="237" spans="1:1" ht="20.100000000000001" customHeight="1" x14ac:dyDescent="0.3">
      <c r="A237" s="17" t="s">
        <v>125</v>
      </c>
    </row>
    <row r="238" spans="1:1" ht="20.100000000000001" customHeight="1" x14ac:dyDescent="0.3">
      <c r="A238" s="17" t="s">
        <v>126</v>
      </c>
    </row>
    <row r="239" spans="1:1" ht="20.100000000000001" customHeight="1" x14ac:dyDescent="0.3">
      <c r="A239" s="17" t="s">
        <v>127</v>
      </c>
    </row>
    <row r="240" spans="1:1" ht="20.100000000000001" customHeight="1" x14ac:dyDescent="0.3">
      <c r="A240" s="17" t="s">
        <v>128</v>
      </c>
    </row>
    <row r="241" spans="1:1" ht="20.100000000000001" customHeight="1" x14ac:dyDescent="0.3">
      <c r="A241" s="17" t="s">
        <v>129</v>
      </c>
    </row>
    <row r="242" spans="1:1" ht="20.100000000000001" customHeight="1" x14ac:dyDescent="0.3">
      <c r="A242" s="17" t="s">
        <v>130</v>
      </c>
    </row>
    <row r="243" spans="1:1" ht="20.100000000000001" customHeight="1" x14ac:dyDescent="0.3">
      <c r="A243" s="17" t="s">
        <v>131</v>
      </c>
    </row>
    <row r="244" spans="1:1" ht="20.100000000000001" customHeight="1" x14ac:dyDescent="0.3">
      <c r="A244" s="17" t="s">
        <v>132</v>
      </c>
    </row>
    <row r="245" spans="1:1" ht="20.100000000000001" customHeight="1" x14ac:dyDescent="0.3">
      <c r="A245" s="17" t="s">
        <v>133</v>
      </c>
    </row>
    <row r="246" spans="1:1" ht="20.100000000000001" customHeight="1" x14ac:dyDescent="0.3">
      <c r="A246" s="17" t="s">
        <v>134</v>
      </c>
    </row>
    <row r="247" spans="1:1" ht="20.100000000000001" customHeight="1" x14ac:dyDescent="0.3">
      <c r="A247" s="17" t="s">
        <v>135</v>
      </c>
    </row>
    <row r="248" spans="1:1" ht="20.100000000000001" customHeight="1" x14ac:dyDescent="0.3">
      <c r="A248" s="17" t="s">
        <v>126</v>
      </c>
    </row>
    <row r="249" spans="1:1" ht="20.100000000000001" customHeight="1" x14ac:dyDescent="0.3">
      <c r="A249" s="17" t="s">
        <v>136</v>
      </c>
    </row>
    <row r="250" spans="1:1" ht="20.100000000000001" customHeight="1" x14ac:dyDescent="0.3">
      <c r="A250" s="17" t="s">
        <v>137</v>
      </c>
    </row>
    <row r="251" spans="1:1" ht="20.100000000000001" customHeight="1" x14ac:dyDescent="0.3">
      <c r="A251" s="19" t="s">
        <v>138</v>
      </c>
    </row>
    <row r="252" spans="1:1" ht="20.100000000000001" customHeight="1" x14ac:dyDescent="0.3">
      <c r="A252" s="20" t="s">
        <v>139</v>
      </c>
    </row>
    <row r="253" spans="1:1" ht="20.100000000000001" customHeight="1" x14ac:dyDescent="0.3">
      <c r="A253" s="17" t="s">
        <v>140</v>
      </c>
    </row>
    <row r="254" spans="1:1" ht="20.100000000000001" customHeight="1" x14ac:dyDescent="0.3">
      <c r="A254" s="17" t="s">
        <v>141</v>
      </c>
    </row>
    <row r="255" spans="1:1" ht="20.100000000000001" customHeight="1" x14ac:dyDescent="0.3">
      <c r="A255" s="21" t="s">
        <v>142</v>
      </c>
    </row>
    <row r="256" spans="1:1" ht="20.100000000000001" customHeight="1" x14ac:dyDescent="0.3">
      <c r="A256" s="21" t="s">
        <v>143</v>
      </c>
    </row>
    <row r="257" spans="1:1" ht="20.100000000000001" customHeight="1" x14ac:dyDescent="0.3">
      <c r="A257" s="22" t="s">
        <v>144</v>
      </c>
    </row>
    <row r="258" spans="1:1" ht="20.100000000000001" customHeight="1" x14ac:dyDescent="0.3">
      <c r="A258" s="17" t="s">
        <v>145</v>
      </c>
    </row>
    <row r="259" spans="1:1" ht="20.100000000000001" customHeight="1" x14ac:dyDescent="0.3">
      <c r="A259" s="22" t="s">
        <v>146</v>
      </c>
    </row>
    <row r="260" spans="1:1" ht="20.100000000000001" customHeight="1" x14ac:dyDescent="0.3">
      <c r="A260" s="17" t="s">
        <v>147</v>
      </c>
    </row>
    <row r="261" spans="1:1" ht="20.100000000000001" customHeight="1" x14ac:dyDescent="0.3">
      <c r="A261" s="22" t="s">
        <v>148</v>
      </c>
    </row>
    <row r="262" spans="1:1" ht="20.100000000000001" customHeight="1" x14ac:dyDescent="0.3">
      <c r="A262" s="17" t="s">
        <v>149</v>
      </c>
    </row>
    <row r="263" spans="1:1" ht="20.100000000000001" customHeight="1" x14ac:dyDescent="0.3">
      <c r="A263" s="17" t="s">
        <v>150</v>
      </c>
    </row>
    <row r="264" spans="1:1" ht="20.100000000000001" customHeight="1" x14ac:dyDescent="0.3">
      <c r="A264" s="22" t="s">
        <v>151</v>
      </c>
    </row>
    <row r="265" spans="1:1" ht="20.100000000000001" customHeight="1" x14ac:dyDescent="0.3">
      <c r="A265" s="22" t="s">
        <v>152</v>
      </c>
    </row>
    <row r="266" spans="1:1" ht="20.100000000000001" customHeight="1" x14ac:dyDescent="0.3">
      <c r="A266" s="22" t="s">
        <v>153</v>
      </c>
    </row>
    <row r="267" spans="1:1" ht="20.100000000000001" customHeight="1" x14ac:dyDescent="0.3">
      <c r="A267" s="17" t="s">
        <v>154</v>
      </c>
    </row>
    <row r="268" spans="1:1" ht="20.100000000000001" customHeight="1" x14ac:dyDescent="0.3">
      <c r="A268" s="17" t="s">
        <v>155</v>
      </c>
    </row>
    <row r="269" spans="1:1" ht="20.100000000000001" customHeight="1" x14ac:dyDescent="0.3">
      <c r="A269" s="17" t="s">
        <v>156</v>
      </c>
    </row>
    <row r="270" spans="1:1" ht="20.100000000000001" customHeight="1" x14ac:dyDescent="0.3">
      <c r="A270" s="17" t="s">
        <v>157</v>
      </c>
    </row>
    <row r="271" spans="1:1" ht="20.100000000000001" customHeight="1" x14ac:dyDescent="0.3">
      <c r="A271" s="22" t="s">
        <v>158</v>
      </c>
    </row>
    <row r="272" spans="1:1" ht="20.100000000000001" customHeight="1" x14ac:dyDescent="0.3">
      <c r="A272" s="22" t="s">
        <v>159</v>
      </c>
    </row>
    <row r="273" spans="1:1" ht="20.100000000000001" customHeight="1" x14ac:dyDescent="0.3">
      <c r="A273" s="17" t="s">
        <v>160</v>
      </c>
    </row>
    <row r="274" spans="1:1" ht="20.100000000000001" customHeight="1" x14ac:dyDescent="0.3">
      <c r="A274" s="22" t="s">
        <v>161</v>
      </c>
    </row>
    <row r="275" spans="1:1" ht="20.100000000000001" customHeight="1" x14ac:dyDescent="0.3">
      <c r="A275" s="22" t="s">
        <v>162</v>
      </c>
    </row>
    <row r="276" spans="1:1" ht="20.100000000000001" customHeight="1" x14ac:dyDescent="0.3">
      <c r="A276" s="17" t="s">
        <v>163</v>
      </c>
    </row>
    <row r="277" spans="1:1" ht="20.100000000000001" customHeight="1" x14ac:dyDescent="0.3">
      <c r="A277" s="17" t="s">
        <v>164</v>
      </c>
    </row>
    <row r="278" spans="1:1" ht="20.100000000000001" customHeight="1" x14ac:dyDescent="0.3">
      <c r="A278" s="22" t="s">
        <v>165</v>
      </c>
    </row>
    <row r="279" spans="1:1" ht="20.100000000000001" customHeight="1" x14ac:dyDescent="0.3">
      <c r="A279" s="17" t="s">
        <v>166</v>
      </c>
    </row>
    <row r="280" spans="1:1" ht="20.100000000000001" customHeight="1" x14ac:dyDescent="0.3">
      <c r="A280" s="17" t="s">
        <v>167</v>
      </c>
    </row>
    <row r="281" spans="1:1" ht="20.100000000000001" customHeight="1" x14ac:dyDescent="0.3">
      <c r="A281" s="17" t="s">
        <v>168</v>
      </c>
    </row>
    <row r="282" spans="1:1" ht="20.100000000000001" customHeight="1" x14ac:dyDescent="0.3">
      <c r="A282" s="17" t="s">
        <v>169</v>
      </c>
    </row>
    <row r="283" spans="1:1" ht="20.100000000000001" customHeight="1" x14ac:dyDescent="0.3">
      <c r="A283" s="22" t="s">
        <v>170</v>
      </c>
    </row>
    <row r="284" spans="1:1" ht="20.100000000000001" customHeight="1" x14ac:dyDescent="0.3">
      <c r="A284" s="22" t="s">
        <v>171</v>
      </c>
    </row>
    <row r="285" spans="1:1" ht="20.100000000000001" customHeight="1" x14ac:dyDescent="0.3">
      <c r="A285" s="22" t="s">
        <v>172</v>
      </c>
    </row>
    <row r="286" spans="1:1" ht="20.100000000000001" customHeight="1" thickBot="1" x14ac:dyDescent="0.35">
      <c r="A286" s="17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2025-10-27T16:21:58Z</dcterms:modified>
</cp:coreProperties>
</file>