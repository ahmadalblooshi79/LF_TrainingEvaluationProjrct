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1D4ED66-E5B3-4EB8-A95B-BAAB5C3951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 s="1"/>
  <c r="G12" i="2"/>
  <c r="H12" i="2" s="1"/>
  <c r="G9" i="2"/>
  <c r="H9" i="2"/>
  <c r="G10" i="2"/>
  <c r="H10" i="2"/>
  <c r="G14" i="2"/>
  <c r="H14" i="2" s="1"/>
  <c r="G16" i="2"/>
  <c r="H16" i="2"/>
  <c r="G17" i="2"/>
  <c r="H17" i="2" s="1"/>
  <c r="G18" i="2"/>
  <c r="H18" i="2"/>
  <c r="G19" i="2"/>
  <c r="H19" i="2"/>
  <c r="G20" i="2"/>
  <c r="H20" i="2"/>
  <c r="G22" i="2"/>
  <c r="H22" i="2"/>
  <c r="G23" i="2"/>
  <c r="H23" i="2"/>
  <c r="G24" i="2"/>
  <c r="H24" i="2" s="1"/>
  <c r="G25" i="2"/>
  <c r="H25" i="2"/>
  <c r="G26" i="2"/>
  <c r="H26" i="2"/>
  <c r="G27" i="2"/>
  <c r="H27" i="2"/>
  <c r="G28" i="2"/>
  <c r="H28" i="2"/>
  <c r="F29" i="2"/>
  <c r="E30" i="2" s="1"/>
  <c r="E31" i="2" s="1"/>
  <c r="E29" i="2"/>
</calcChain>
</file>

<file path=xl/sharedStrings.xml><?xml version="1.0" encoding="utf-8"?>
<sst xmlns="http://schemas.openxmlformats.org/spreadsheetml/2006/main" count="256" uniqueCount="198">
  <si>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</si>
  <si>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</si>
  <si>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</si>
  <si>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</si>
  <si>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</si>
  <si>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</si>
  <si>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</si>
  <si>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</si>
  <si>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</si>
  <si>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</si>
  <si>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</si>
  <si>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</si>
  <si>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</si>
  <si>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</si>
  <si>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</si>
  <si>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</si>
  <si>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</si>
  <si>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</si>
  <si>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</si>
  <si>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</si>
  <si>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</si>
  <si>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</si>
  <si>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</si>
  <si>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</si>
  <si>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</si>
  <si>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</si>
  <si>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</si>
  <si>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</si>
  <si>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</si>
  <si>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</si>
  <si>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</si>
  <si>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</si>
  <si>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</si>
  <si>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</si>
  <si>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</si>
  <si>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</si>
  <si>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</si>
  <si>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</si>
  <si>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</si>
  <si>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</si>
  <si>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</si>
  <si>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</si>
  <si>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</si>
  <si>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</si>
  <si>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</si>
  <si>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</si>
  <si>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</si>
  <si>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</si>
  <si>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</si>
  <si>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</si>
  <si>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</si>
  <si>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</si>
  <si>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</si>
  <si>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</si>
  <si>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</si>
  <si>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</si>
  <si>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</si>
  <si>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</si>
  <si>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</si>
  <si>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</si>
  <si>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</si>
  <si>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</si>
  <si>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</si>
  <si>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</si>
  <si>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</si>
  <si>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</si>
  <si>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</si>
  <si>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</si>
  <si>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</si>
  <si>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</si>
  <si>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</si>
  <si>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</si>
  <si>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</si>
  <si>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</si>
  <si>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</si>
  <si>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</si>
  <si>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</si>
  <si>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</si>
  <si>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</si>
  <si>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</si>
  <si>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</si>
  <si>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</si>
  <si>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</si>
  <si>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</si>
  <si>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</si>
  <si>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</si>
  <si>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</si>
  <si>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</si>
  <si>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</si>
  <si>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</si>
  <si>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</si>
  <si>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</si>
  <si>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</si>
  <si>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</si>
  <si>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</si>
  <si>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</si>
  <si>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</si>
  <si>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</si>
  <si>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</si>
  <si>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</si>
  <si>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</si>
  <si>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</si>
  <si>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</si>
  <si>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</si>
  <si>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</si>
  <si>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</si>
  <si>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</si>
  <si>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</si>
  <si>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</si>
  <si>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</si>
  <si>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</si>
  <si>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</si>
  <si>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</si>
  <si>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</si>
  <si>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</si>
  <si>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</si>
  <si>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</si>
  <si>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</si>
  <si>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</si>
  <si>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</si>
  <si>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</si>
  <si>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</si>
  <si>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</si>
  <si>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</si>
  <si>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</si>
  <si>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</si>
  <si>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</si>
  <si>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</si>
  <si>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</si>
  <si>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</si>
  <si>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</si>
  <si>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</si>
  <si>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</si>
  <si>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</si>
  <si>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</si>
  <si>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</si>
  <si>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</si>
  <si>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</si>
  <si>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</si>
  <si>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</si>
  <si>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</si>
  <si>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</si>
  <si>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</si>
  <si>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</si>
  <si>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</si>
  <si>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</si>
  <si>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</si>
  <si>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</si>
  <si>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</si>
  <si>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</si>
  <si>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</si>
  <si>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</si>
  <si>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</si>
  <si>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</si>
  <si>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</si>
  <si>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</si>
  <si>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</si>
  <si>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</si>
  <si>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</si>
  <si>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</si>
  <si>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</si>
  <si>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</si>
  <si>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</si>
  <si>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</si>
  <si>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</si>
  <si>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</si>
  <si>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</si>
  <si>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</si>
  <si>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</si>
  <si>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</si>
  <si>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</si>
  <si>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</si>
  <si>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</si>
  <si>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</si>
  <si>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</si>
  <si>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</si>
  <si>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</si>
  <si>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إجراءات التحضير.</t>
  </si>
  <si>
    <t>أ. تنقيح الخطة بناءً على التحديث المستمر للمعلومات الاستخبارية.</t>
  </si>
  <si>
    <t>ب. تنفيذ الاستطلاع الواسع.</t>
  </si>
  <si>
    <t>جـ. تنفيذ تفقدات وتفتيشات ما قبل القتال.</t>
  </si>
  <si>
    <t>د. التنسيق مع المستوى الأعلى.</t>
  </si>
  <si>
    <t>هـ. الإشراف على عملية التخطيط والتحضير للوحدات المرؤوسة لضمان أن التخطيط والتحضير يتماشى مع قصد القائد .</t>
  </si>
  <si>
    <r>
      <t>إجراءات التنفيذ</t>
    </r>
    <r>
      <rPr>
        <sz val="12"/>
        <color rgb="FF000000"/>
        <rFont val="Arial"/>
        <family val="2"/>
      </rPr>
      <t>. تنفيذ مهام الاستطلاع التالية:</t>
    </r>
  </si>
  <si>
    <t>1.     فهم قائد فصيل الاستطلاع للموقف باستخدام معدات الاتصال المتوفرة، والخرائط.</t>
  </si>
  <si>
    <t>2.     دراسة قائد الفصيل للأرض على ضوء خطة الاستطلاع وخطة جمع المعلومات.</t>
  </si>
  <si>
    <t>3.     توزيع جماعات الاستطلاع لتغطية محور التقدم على أن تكون أقواس المراقبة متقاطعة .</t>
  </si>
  <si>
    <t>4.     الاحتفاظ بعناصر استطلاع كاحتياط لتبديل أو تعويض عناصر الاستطلاع أو دفعها في اتجاه آخر.</t>
  </si>
  <si>
    <t>1.     يقوم قائد فصيل الاستطلاع بالإشراف على الجماعات أثناء تحضيرها للتقدم للتماس.</t>
  </si>
  <si>
    <t>2.     بنفذ فصيل الاستطلاع الإجراءات التالية:</t>
  </si>
  <si>
    <t>1.    نقاط المراقبة الرادارية. يندفع الرادار بالقفزات وطبقاً للتوقيتات المحددة في خطة الاستطلاع خلف فصيل مقدمة الحرس.</t>
  </si>
  <si>
    <t>2.    مجموعات الاستطلاع. تندفع مجاميع الاستطلاع أمام التشكيل المتقدم، أو على الأجنحة المكشوفة لمجموعة اللواء المتقدم.</t>
  </si>
  <si>
    <t>3.    الطائرات المسيرة. تقوم بتأكيد معلومات المتحصل عليها من قبل عناصر الاستطلاع الاخرى.</t>
  </si>
  <si>
    <t xml:space="preserve">4.    يقوم قائد فصيل الاستطلاع بعمل استطلاع المنطقة للحصول على معلومات تفصيلية تخص طبيعة الأرض أو نشاط العدو. </t>
  </si>
  <si>
    <t>5.    يقوم قائد فصيل الاستطلاع بتنفيذ استطلاع الممر لتطهير الممرات من الموانع وقوات العدو والحصول على معلومات مفصلة عن ممر معين.</t>
  </si>
  <si>
    <t>6.    إبلاغ المستوى الأعلى بحصول التماس.</t>
  </si>
  <si>
    <t>7.    التقيد بقواعد الاشتباك.</t>
  </si>
  <si>
    <r>
      <rPr>
        <b/>
        <sz val="14"/>
        <color rgb="FF000000"/>
        <rFont val="Arial"/>
        <family val="2"/>
      </rPr>
      <t>تقييم فصيل الاستطلاع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</si>
</sst>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vertical="center" wrapText="1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9" fontId="3" fillId="0" borderId="23" xfId="0" applyNumberFormat="1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1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22" xfId="0" applyFont="1" applyBorder="1" applyAlignment="1">
      <alignment horizontal="right" vertical="center" wrapText="1" readingOrder="2"/>
    </xf>
    <xf numFmtId="0" fontId="1" fillId="0" borderId="2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114585</xdr:colOff>
      <xdr:row>32</xdr:row>
      <xdr:rowOff>12188</xdr:rowOff>
    </xdr:from>
    <xdr:to>
      <xdr:col>8</xdr:col>
      <xdr:colOff>474204</xdr:colOff>
      <xdr:row>32</xdr:row>
      <xdr:rowOff>497828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1FDBC3B-58A7-92C2-36AF-C676C34DF4BF}"/>
                </a:ext>
              </a:extLst>
            </xdr14:cNvPr>
            <xdr14:cNvContentPartPr/>
          </xdr14:nvContentPartPr>
          <xdr14:nvPr macro=""/>
          <xdr14:xfrm>
            <a:off x="10398770705" y="13751280"/>
            <a:ext cx="1675800" cy="485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1FDBC3B-58A7-92C2-36AF-C676C34DF4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61705" y="13742280"/>
              <a:ext cx="1693440" cy="50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173615</xdr:colOff>
      <xdr:row>32</xdr:row>
      <xdr:rowOff>589628</xdr:rowOff>
    </xdr:from>
    <xdr:to>
      <xdr:col>7</xdr:col>
      <xdr:colOff>173975</xdr:colOff>
      <xdr:row>32</xdr:row>
      <xdr:rowOff>589988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42B5A26-9461-AD34-1839-006406B13C69}"/>
                </a:ext>
              </a:extLst>
            </xdr14:cNvPr>
            <xdr14:cNvContentPartPr/>
          </xdr14:nvContentPartPr>
          <xdr14:nvPr macro=""/>
          <xdr14:xfrm>
            <a:off x="10399729025" y="14328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42B5A26-9461-AD34-1839-006406B13C6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720385" y="14320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7:01:04.6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4369 434,'0'0,"0"0,0 0,0 0,0 0,0 0,0 0,0 0,0 0,0 0,0 0,0 0,0 0,-16-16,16 14,-14 4,-3-2,15 0,-13 0,-15 0,25 0,-7 0,-18 0,25 0,-37 16,11 0,27-13,-39 10,10 20,31-28,-10 22,-4-11,13-14,6 28,-3 2,0-27,16 22,15 21,-24-41,33 18,23 23,-54-40,43 0,12 8,-54-13,11 10,12-13,-30 0,72 16,-11 0,-55-13,-5-6,13 3,-15 0,-21 16,6-16,10 0,-28 32,-16-16,40-13,-47 27,-27 2,70-27,-72 22,-11 21,80-41,-66 18,-14 7,82-27,-71 22,6-11,65-14,-23 12,-29-14,54 0,-27 16,-10-16,40 0,-48 0,8 0,38 0,-29 0,-9-16,37 14,-13 4,-24-18,40 13,-33-10,9-3,26 13,-37-26,11-19,24 40,-33-32,23-8,15 39,-26-63,11-8,15 67,4-54,-2-13,0 66,0-36,17-14,-14 53,-6-43,17 22,-12 27,12-22,-14-5,0 27,17-22,-9 11,-16 16,8-8,0 32,-17-8,15-14,-12 12,-17 2,27-13,-22 26,-38 3,55-27,-29 22,-39 6,65-29,-40 24,-26 20,66-41,-71 18,-11 7,80-27,-52 22,5 5,52-27,-62 22,9-11,53-13,-29 26,-9-13,40-14,-49 28,8-14,42-13,-51 26,-4-13,51-13,-44 26,-9-29,53 0,-42 17,5-1,37-14,-44-4,7 2,40 0,-33-16,-7-1,40 15,-17-12,-23-18,38 27,2-38,-24-5,24 40,14-32,-24-8,15 40,4-32,15-24,-14 54,8-12,-11-26,0 40,17-17,-1-7,-13 27,8-6,6-21,-15 27,12-6,0 11,-12 0,-4-16,19 16,-15 0,-4 16,-15 16,-13 0,25-26,-21 20,-38 23,55-42,-59 50,-43-9,94-40,-90 48,-36 8,120-53,-111 58,23-21,94-40,-75 16,13 9,67-29,-55 24,20-12,41-14,-35 12,11-14,25 0,-37 16,9 0,28-14,-4-4,-8 2,14 0,-10 16,-2-16,13 0,19 0,-1 0,-14 0,60-16,79-16,-117 26,125-20,69-23,-185 43,187-68,45-6,-220 67,194-54,12-29,-208 80,134-81,44 1,-185 81,148-82,-27 17,-131 67,74-38,-23 3,-65 40,40-16,-5-9,-40 29,-14-8,7 11,17 2,-4-1,-10 0,-19 16,13-14,-41 61,-20 49,54-95,-74 94,5 1,68-94,-72 109,3 1,71-111,-59 78,21-15,39-67,-48 87,-22 60,64-134,-50 124,64-150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7:01:05.1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1,'0'0,"0"0,0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3"/>
  <sheetViews>
    <sheetView rightToLeft="1" tabSelected="1" view="pageBreakPreview" topLeftCell="A26" zoomScale="130" zoomScaleNormal="100" zoomScaleSheetLayoutView="130" workbookViewId="0">
      <selection activeCell="F23" sqref="F2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2" t="s">
        <v>197</v>
      </c>
      <c r="C1" s="72"/>
      <c r="D1" s="72"/>
      <c r="E1" s="72"/>
      <c r="F1" s="72"/>
      <c r="G1" s="72"/>
      <c r="H1" s="72"/>
      <c r="I1" s="72"/>
      <c r="J1" s="72"/>
    </row>
    <row r="2" spans="1:10" ht="30" customHeight="1" x14ac:dyDescent="0.3">
      <c r="B2" s="13" t="s">
        <v>8</v>
      </c>
      <c r="C2" s="78" t="s">
        <v>10</v>
      </c>
      <c r="D2" s="78"/>
      <c r="E2" s="13" t="s">
        <v>7</v>
      </c>
      <c r="F2" s="73">
        <v>45908</v>
      </c>
      <c r="G2" s="73"/>
      <c r="H2" s="73"/>
      <c r="I2" s="73"/>
      <c r="J2" s="73"/>
    </row>
    <row r="3" spans="1:10" ht="30" customHeight="1" x14ac:dyDescent="0.3">
      <c r="B3" s="13" t="s">
        <v>9</v>
      </c>
      <c r="C3" s="78" t="s">
        <v>65</v>
      </c>
      <c r="D3" s="78"/>
      <c r="E3" s="13" t="s">
        <v>6</v>
      </c>
      <c r="F3" s="78" t="s">
        <v>114</v>
      </c>
      <c r="G3" s="78"/>
      <c r="H3" s="78"/>
      <c r="I3" s="78"/>
      <c r="J3" s="78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74" t="s">
        <v>0</v>
      </c>
      <c r="C5" s="75"/>
      <c r="D5" s="75"/>
      <c r="E5" s="81" t="s">
        <v>1</v>
      </c>
      <c r="F5" s="81"/>
      <c r="G5" s="81"/>
      <c r="H5" s="81"/>
      <c r="I5" s="81" t="s">
        <v>2</v>
      </c>
      <c r="J5" s="82"/>
    </row>
    <row r="6" spans="1:10" ht="24.9" customHeight="1" thickBot="1" x14ac:dyDescent="0.35">
      <c r="A6" s="11"/>
      <c r="B6" s="76"/>
      <c r="C6" s="77"/>
      <c r="D6" s="77"/>
      <c r="E6" s="12" t="s">
        <v>3</v>
      </c>
      <c r="F6" s="12" t="s">
        <v>4</v>
      </c>
      <c r="G6" s="12" t="s">
        <v>23</v>
      </c>
      <c r="H6" s="12" t="s">
        <v>24</v>
      </c>
      <c r="I6" s="83"/>
      <c r="J6" s="84"/>
    </row>
    <row r="7" spans="1:10" ht="24.9" customHeight="1" thickBot="1" x14ac:dyDescent="0.35">
      <c r="A7" s="11"/>
      <c r="B7" s="79" t="s">
        <v>21</v>
      </c>
      <c r="C7" s="80"/>
      <c r="D7" s="80"/>
      <c r="E7" s="31" t="s">
        <v>18</v>
      </c>
      <c r="F7" s="31" t="s">
        <v>19</v>
      </c>
      <c r="G7" s="31" t="s">
        <v>22</v>
      </c>
      <c r="H7" s="31" t="s">
        <v>20</v>
      </c>
      <c r="I7" s="85" t="s">
        <v>25</v>
      </c>
      <c r="J7" s="86"/>
    </row>
    <row r="8" spans="1:10" ht="30" customHeight="1" x14ac:dyDescent="0.3">
      <c r="A8" s="11"/>
      <c r="B8" s="55" t="s">
        <v>176</v>
      </c>
      <c r="C8" s="56"/>
      <c r="D8" s="56"/>
      <c r="E8" s="35"/>
      <c r="F8" s="39"/>
      <c r="G8" s="37"/>
      <c r="H8" s="38"/>
      <c r="I8" s="68"/>
      <c r="J8" s="69"/>
    </row>
    <row r="9" spans="1:10" ht="39.9" customHeight="1" x14ac:dyDescent="0.3">
      <c r="A9" s="11"/>
      <c r="B9" s="47" t="s">
        <v>184</v>
      </c>
      <c r="C9" s="48"/>
      <c r="D9" s="48"/>
      <c r="E9" s="9">
        <v>5</v>
      </c>
      <c r="F9" s="29">
        <v>4</v>
      </c>
      <c r="G9" s="33">
        <f>IFERROR(F9/E9,"")</f>
        <v>0.8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7"/>
      <c r="J9" s="58"/>
    </row>
    <row r="10" spans="1:10" ht="39.9" customHeight="1" x14ac:dyDescent="0.3">
      <c r="A10" s="11"/>
      <c r="B10" s="47" t="s">
        <v>185</v>
      </c>
      <c r="C10" s="48"/>
      <c r="D10" s="48"/>
      <c r="E10" s="9">
        <v>5</v>
      </c>
      <c r="F10" s="29">
        <v>3.75</v>
      </c>
      <c r="G10" s="33">
        <f t="shared" ref="G10:G28" si="0">IFERROR(F10/E10,"")</f>
        <v>0.75</v>
      </c>
      <c r="H10" s="34" t="str">
        <f t="shared" ref="H10:H28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9.9" customHeight="1" x14ac:dyDescent="0.3">
      <c r="A11" s="11"/>
      <c r="B11" s="47" t="s">
        <v>186</v>
      </c>
      <c r="C11" s="48"/>
      <c r="D11" s="48"/>
      <c r="E11" s="9">
        <v>5</v>
      </c>
      <c r="F11" s="29">
        <v>3.75</v>
      </c>
      <c r="G11" s="33">
        <f>IFERROR(F11/E11,"")</f>
        <v>0.75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جيد</v>
      </c>
      <c r="I11" s="57"/>
      <c r="J11" s="58"/>
    </row>
    <row r="12" spans="1:10" ht="39.9" customHeight="1" thickBot="1" x14ac:dyDescent="0.35">
      <c r="A12" s="11"/>
      <c r="B12" s="49" t="s">
        <v>187</v>
      </c>
      <c r="C12" s="50"/>
      <c r="D12" s="50"/>
      <c r="E12" s="40">
        <v>0</v>
      </c>
      <c r="F12" s="30" t="s">
        <v>17</v>
      </c>
      <c r="G12" s="41" t="str">
        <f>IFERROR(F12/E12,"")</f>
        <v/>
      </c>
      <c r="H12" s="42" t="str">
        <f>_xlfn.IFS(F12="أدخل العلامة","",F12="لا ينطبق","تم الإلغاء",G12&gt;=90%,"ممتاز",G12&gt;=80%,"جيد جداً",G12&gt;=70%,"جيد",G12&gt;=60%,"مقبول",G12&lt;60%,"راسب")</f>
        <v>تم الإلغاء</v>
      </c>
      <c r="I12" s="59"/>
      <c r="J12" s="60"/>
    </row>
    <row r="13" spans="1:10" ht="30" customHeight="1" x14ac:dyDescent="0.3">
      <c r="A13" s="11"/>
      <c r="B13" s="61" t="s">
        <v>177</v>
      </c>
      <c r="C13" s="62"/>
      <c r="D13" s="62"/>
      <c r="E13" s="43"/>
      <c r="F13" s="44"/>
      <c r="G13" s="45"/>
      <c r="H13" s="46"/>
      <c r="I13" s="95"/>
      <c r="J13" s="96"/>
    </row>
    <row r="14" spans="1:10" ht="39.9" customHeight="1" x14ac:dyDescent="0.3">
      <c r="A14" s="11"/>
      <c r="B14" s="47" t="s">
        <v>188</v>
      </c>
      <c r="C14" s="48"/>
      <c r="D14" s="48"/>
      <c r="E14" s="9">
        <v>5</v>
      </c>
      <c r="F14" s="27">
        <v>3.75</v>
      </c>
      <c r="G14" s="33">
        <f t="shared" si="0"/>
        <v>0.75</v>
      </c>
      <c r="H14" s="34" t="str">
        <f t="shared" si="1"/>
        <v>جيد</v>
      </c>
      <c r="I14" s="57"/>
      <c r="J14" s="58"/>
    </row>
    <row r="15" spans="1:10" ht="30" customHeight="1" x14ac:dyDescent="0.3">
      <c r="A15" s="11"/>
      <c r="B15" s="47" t="s">
        <v>189</v>
      </c>
      <c r="C15" s="48"/>
      <c r="D15" s="48"/>
      <c r="E15" s="32"/>
      <c r="F15" s="27"/>
      <c r="G15" s="33"/>
      <c r="H15" s="34"/>
      <c r="I15" s="57"/>
      <c r="J15" s="58"/>
    </row>
    <row r="16" spans="1:10" ht="30" customHeight="1" x14ac:dyDescent="0.3">
      <c r="A16" s="11"/>
      <c r="B16" s="51" t="s">
        <v>178</v>
      </c>
      <c r="C16" s="52"/>
      <c r="D16" s="52"/>
      <c r="E16" s="9">
        <v>5</v>
      </c>
      <c r="F16" s="27">
        <v>4.25</v>
      </c>
      <c r="G16" s="33">
        <f t="shared" si="0"/>
        <v>0.85</v>
      </c>
      <c r="H16" s="34" t="str">
        <f t="shared" si="1"/>
        <v>جيد جداً</v>
      </c>
      <c r="I16" s="57"/>
      <c r="J16" s="58"/>
    </row>
    <row r="17" spans="1:10" ht="30" customHeight="1" x14ac:dyDescent="0.3">
      <c r="A17" s="11"/>
      <c r="B17" s="51" t="s">
        <v>179</v>
      </c>
      <c r="C17" s="52"/>
      <c r="D17" s="52"/>
      <c r="E17" s="9">
        <v>5</v>
      </c>
      <c r="F17" s="27">
        <v>3.75</v>
      </c>
      <c r="G17" s="33">
        <f t="shared" si="0"/>
        <v>0.75</v>
      </c>
      <c r="H17" s="34" t="str">
        <f t="shared" si="1"/>
        <v>جيد</v>
      </c>
      <c r="I17" s="57"/>
      <c r="J17" s="58"/>
    </row>
    <row r="18" spans="1:10" ht="30" customHeight="1" x14ac:dyDescent="0.3">
      <c r="A18" s="11"/>
      <c r="B18" s="51" t="s">
        <v>180</v>
      </c>
      <c r="C18" s="52"/>
      <c r="D18" s="52"/>
      <c r="E18" s="9">
        <v>5</v>
      </c>
      <c r="F18" s="27">
        <v>3.75</v>
      </c>
      <c r="G18" s="33">
        <f t="shared" si="0"/>
        <v>0.75</v>
      </c>
      <c r="H18" s="34" t="str">
        <f t="shared" si="1"/>
        <v>جيد</v>
      </c>
      <c r="I18" s="57"/>
      <c r="J18" s="58"/>
    </row>
    <row r="19" spans="1:10" ht="30" customHeight="1" x14ac:dyDescent="0.3">
      <c r="A19" s="11"/>
      <c r="B19" s="51" t="s">
        <v>181</v>
      </c>
      <c r="C19" s="52"/>
      <c r="D19" s="52"/>
      <c r="E19" s="9">
        <v>5</v>
      </c>
      <c r="F19" s="27">
        <v>4.25</v>
      </c>
      <c r="G19" s="33">
        <f t="shared" si="0"/>
        <v>0.85</v>
      </c>
      <c r="H19" s="34" t="str">
        <f t="shared" si="1"/>
        <v>جيد جداً</v>
      </c>
      <c r="I19" s="57"/>
      <c r="J19" s="58"/>
    </row>
    <row r="20" spans="1:10" ht="39.9" customHeight="1" thickBot="1" x14ac:dyDescent="0.35">
      <c r="A20" s="11"/>
      <c r="B20" s="53" t="s">
        <v>182</v>
      </c>
      <c r="C20" s="54"/>
      <c r="D20" s="54"/>
      <c r="E20" s="40">
        <v>5</v>
      </c>
      <c r="F20" s="28">
        <v>3.75</v>
      </c>
      <c r="G20" s="41">
        <f t="shared" si="0"/>
        <v>0.75</v>
      </c>
      <c r="H20" s="42" t="str">
        <f t="shared" si="1"/>
        <v>جيد</v>
      </c>
      <c r="I20" s="59"/>
      <c r="J20" s="60"/>
    </row>
    <row r="21" spans="1:10" ht="30" customHeight="1" x14ac:dyDescent="0.3">
      <c r="A21" s="11"/>
      <c r="B21" s="55" t="s">
        <v>183</v>
      </c>
      <c r="C21" s="56"/>
      <c r="D21" s="56"/>
      <c r="E21" s="35"/>
      <c r="F21" s="36"/>
      <c r="G21" s="37"/>
      <c r="H21" s="38"/>
      <c r="I21" s="68"/>
      <c r="J21" s="69"/>
    </row>
    <row r="22" spans="1:10" ht="39.9" customHeight="1" x14ac:dyDescent="0.3">
      <c r="A22" s="11"/>
      <c r="B22" s="47" t="s">
        <v>190</v>
      </c>
      <c r="C22" s="48"/>
      <c r="D22" s="48"/>
      <c r="E22" s="9">
        <v>5</v>
      </c>
      <c r="F22" s="27">
        <v>4.25</v>
      </c>
      <c r="G22" s="33">
        <f t="shared" si="0"/>
        <v>0.85</v>
      </c>
      <c r="H22" s="34" t="str">
        <f t="shared" si="1"/>
        <v>جيد جداً</v>
      </c>
      <c r="I22" s="57"/>
      <c r="J22" s="58"/>
    </row>
    <row r="23" spans="1:10" ht="39.9" customHeight="1" x14ac:dyDescent="0.3">
      <c r="A23" s="11"/>
      <c r="B23" s="47" t="s">
        <v>191</v>
      </c>
      <c r="C23" s="48"/>
      <c r="D23" s="48"/>
      <c r="E23" s="9">
        <v>5</v>
      </c>
      <c r="F23" s="27">
        <v>3.75</v>
      </c>
      <c r="G23" s="33">
        <f t="shared" si="0"/>
        <v>0.75</v>
      </c>
      <c r="H23" s="34" t="str">
        <f t="shared" si="1"/>
        <v>جيد</v>
      </c>
      <c r="I23" s="57"/>
      <c r="J23" s="58"/>
    </row>
    <row r="24" spans="1:10" ht="39.9" customHeight="1" x14ac:dyDescent="0.3">
      <c r="A24" s="11"/>
      <c r="B24" s="47" t="s">
        <v>192</v>
      </c>
      <c r="C24" s="48"/>
      <c r="D24" s="48"/>
      <c r="E24" s="9">
        <v>0</v>
      </c>
      <c r="F24" s="27" t="s">
        <v>17</v>
      </c>
      <c r="G24" s="33" t="str">
        <f t="shared" si="0"/>
        <v/>
      </c>
      <c r="H24" s="34" t="str">
        <f t="shared" si="1"/>
        <v>تم الإلغاء</v>
      </c>
      <c r="I24" s="57"/>
      <c r="J24" s="58"/>
    </row>
    <row r="25" spans="1:10" ht="39.9" customHeight="1" x14ac:dyDescent="0.3">
      <c r="A25" s="11"/>
      <c r="B25" s="47" t="s">
        <v>193</v>
      </c>
      <c r="C25" s="48"/>
      <c r="D25" s="48"/>
      <c r="E25" s="9">
        <v>5</v>
      </c>
      <c r="F25" s="27">
        <v>3.75</v>
      </c>
      <c r="G25" s="33">
        <f t="shared" si="0"/>
        <v>0.75</v>
      </c>
      <c r="H25" s="34" t="str">
        <f t="shared" si="1"/>
        <v>جيد</v>
      </c>
      <c r="I25" s="57"/>
      <c r="J25" s="58"/>
    </row>
    <row r="26" spans="1:10" ht="39.9" customHeight="1" x14ac:dyDescent="0.3">
      <c r="A26" s="11"/>
      <c r="B26" s="47" t="s">
        <v>194</v>
      </c>
      <c r="C26" s="48"/>
      <c r="D26" s="48"/>
      <c r="E26" s="9">
        <v>5</v>
      </c>
      <c r="F26" s="27">
        <v>4.25</v>
      </c>
      <c r="G26" s="33">
        <f t="shared" si="0"/>
        <v>0.85</v>
      </c>
      <c r="H26" s="34" t="str">
        <f t="shared" si="1"/>
        <v>جيد جداً</v>
      </c>
      <c r="I26" s="57"/>
      <c r="J26" s="58"/>
    </row>
    <row r="27" spans="1:10" ht="30" customHeight="1" x14ac:dyDescent="0.3">
      <c r="A27" s="11"/>
      <c r="B27" s="47" t="s">
        <v>195</v>
      </c>
      <c r="C27" s="48"/>
      <c r="D27" s="48"/>
      <c r="E27" s="9">
        <v>5</v>
      </c>
      <c r="F27" s="27">
        <v>3.75</v>
      </c>
      <c r="G27" s="33">
        <f t="shared" si="0"/>
        <v>0.75</v>
      </c>
      <c r="H27" s="34" t="str">
        <f t="shared" si="1"/>
        <v>جيد</v>
      </c>
      <c r="I27" s="57"/>
      <c r="J27" s="58"/>
    </row>
    <row r="28" spans="1:10" ht="30" customHeight="1" thickBot="1" x14ac:dyDescent="0.35">
      <c r="A28" s="11"/>
      <c r="B28" s="49" t="s">
        <v>196</v>
      </c>
      <c r="C28" s="50"/>
      <c r="D28" s="50"/>
      <c r="E28" s="40">
        <v>5</v>
      </c>
      <c r="F28" s="28">
        <v>4.25</v>
      </c>
      <c r="G28" s="41">
        <f t="shared" si="0"/>
        <v>0.85</v>
      </c>
      <c r="H28" s="42" t="str">
        <f t="shared" si="1"/>
        <v>جيد جداً</v>
      </c>
      <c r="I28" s="59"/>
      <c r="J28" s="60"/>
    </row>
    <row r="29" spans="1:10" ht="30" customHeight="1" thickBot="1" x14ac:dyDescent="0.35">
      <c r="A29" s="4"/>
      <c r="B29" s="93" t="s">
        <v>5</v>
      </c>
      <c r="C29" s="94"/>
      <c r="D29" s="94"/>
      <c r="E29" s="10">
        <f>SUM(E8:E28)</f>
        <v>75</v>
      </c>
      <c r="F29" s="10">
        <f>SUM(F8:F28)</f>
        <v>59</v>
      </c>
      <c r="G29" s="65"/>
      <c r="H29" s="66"/>
      <c r="I29" s="66"/>
      <c r="J29" s="67"/>
    </row>
    <row r="30" spans="1:10" ht="30" customHeight="1" thickBot="1" x14ac:dyDescent="0.35">
      <c r="A30" s="4"/>
      <c r="B30" s="93" t="s">
        <v>54</v>
      </c>
      <c r="C30" s="94"/>
      <c r="D30" s="94"/>
      <c r="E30" s="70">
        <f>F29/E29/100*100</f>
        <v>0.78666666666666663</v>
      </c>
      <c r="F30" s="70"/>
      <c r="G30" s="70"/>
      <c r="H30" s="70"/>
      <c r="I30" s="70"/>
      <c r="J30" s="71"/>
    </row>
    <row r="31" spans="1:10" ht="30" customHeight="1" thickBot="1" x14ac:dyDescent="0.35">
      <c r="A31" s="4"/>
      <c r="B31" s="93" t="s">
        <v>55</v>
      </c>
      <c r="C31" s="94"/>
      <c r="D31" s="94"/>
      <c r="E31" s="91" t="str">
        <f>_xlfn.IFS(E30&gt;=90%,"ممتاز",E30&gt;=80%,"جيد جداً",E30&gt;=70%,"جيد",E30&gt;=60%,"مقبول",E30&lt;60%,"راسب")</f>
        <v>جيد</v>
      </c>
      <c r="F31" s="91"/>
      <c r="G31" s="91"/>
      <c r="H31" s="91"/>
      <c r="I31" s="91"/>
      <c r="J31" s="92"/>
    </row>
    <row r="32" spans="1:10" ht="42" customHeight="1" x14ac:dyDescent="0.3">
      <c r="B32" s="87" t="s">
        <v>175</v>
      </c>
      <c r="C32" s="87"/>
      <c r="D32" s="87"/>
      <c r="E32" s="63" t="s">
        <v>52</v>
      </c>
      <c r="F32" s="63"/>
      <c r="G32" s="89" t="s">
        <v>114</v>
      </c>
      <c r="H32" s="89"/>
      <c r="I32" s="89"/>
      <c r="J32" s="89"/>
    </row>
    <row r="33" spans="1:10" ht="51" customHeight="1" x14ac:dyDescent="0.3">
      <c r="A33" s="5"/>
      <c r="B33" s="88"/>
      <c r="C33" s="88"/>
      <c r="D33" s="88"/>
      <c r="E33" s="64" t="s">
        <v>53</v>
      </c>
      <c r="F33" s="64"/>
      <c r="G33" s="90"/>
      <c r="H33" s="90"/>
      <c r="I33" s="90"/>
      <c r="J33" s="90"/>
    </row>
  </sheetData>
  <sheetProtection formatCells="0" formatColumns="0" formatRows="0" insertColumns="0" insertRows="0" insertHyperlinks="0" deleteColumns="0" deleteRows="0" selectLockedCells="1" sort="0" autoFilter="0" pivotTables="0"/>
  <mergeCells count="63">
    <mergeCell ref="B32:D33"/>
    <mergeCell ref="G32:J32"/>
    <mergeCell ref="G33:J33"/>
    <mergeCell ref="E31:J31"/>
    <mergeCell ref="I8:J8"/>
    <mergeCell ref="B29:D29"/>
    <mergeCell ref="B30:D30"/>
    <mergeCell ref="B31:D31"/>
    <mergeCell ref="I13:J13"/>
    <mergeCell ref="I14:J14"/>
    <mergeCell ref="I15:J15"/>
    <mergeCell ref="I16:J16"/>
    <mergeCell ref="I17:J17"/>
    <mergeCell ref="I18:J18"/>
    <mergeCell ref="I19:J19"/>
    <mergeCell ref="I20:J20"/>
    <mergeCell ref="B7:D7"/>
    <mergeCell ref="E5:H5"/>
    <mergeCell ref="I5:J6"/>
    <mergeCell ref="I7:J7"/>
    <mergeCell ref="I10:J10"/>
    <mergeCell ref="B8:D8"/>
    <mergeCell ref="B1:J1"/>
    <mergeCell ref="F2:J2"/>
    <mergeCell ref="B5:D6"/>
    <mergeCell ref="C2:D2"/>
    <mergeCell ref="C3:D3"/>
    <mergeCell ref="F3:J3"/>
    <mergeCell ref="E32:F32"/>
    <mergeCell ref="E33:F33"/>
    <mergeCell ref="G29:J29"/>
    <mergeCell ref="I21:J21"/>
    <mergeCell ref="I22:J22"/>
    <mergeCell ref="I23:J23"/>
    <mergeCell ref="I24:J24"/>
    <mergeCell ref="I25:J25"/>
    <mergeCell ref="I26:J26"/>
    <mergeCell ref="I27:J27"/>
    <mergeCell ref="I28:J28"/>
    <mergeCell ref="E30:J30"/>
    <mergeCell ref="B15:D15"/>
    <mergeCell ref="B16:D16"/>
    <mergeCell ref="B17:D17"/>
    <mergeCell ref="B18:D18"/>
    <mergeCell ref="I9:J9"/>
    <mergeCell ref="B12:D12"/>
    <mergeCell ref="I12:J12"/>
    <mergeCell ref="B11:D11"/>
    <mergeCell ref="I11:J11"/>
    <mergeCell ref="B9:D9"/>
    <mergeCell ref="B10:D10"/>
    <mergeCell ref="B13:D13"/>
    <mergeCell ref="B14:D14"/>
    <mergeCell ref="B27:D27"/>
    <mergeCell ref="B28:D28"/>
    <mergeCell ref="B19:D19"/>
    <mergeCell ref="B20:D20"/>
    <mergeCell ref="B21:D21"/>
    <mergeCell ref="B22:D22"/>
    <mergeCell ref="B23:D23"/>
    <mergeCell ref="B24:D24"/>
    <mergeCell ref="B25:D25"/>
    <mergeCell ref="B26:D26"/>
  </mergeCells>
  <conditionalFormatting sqref="C2:D2">
    <cfRule type="containsText" dxfId="16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1">
    <cfRule type="expression" dxfId="14" priority="71">
      <formula>$E31="راسب"</formula>
    </cfRule>
  </conditionalFormatting>
  <conditionalFormatting sqref="E31:J31">
    <cfRule type="expression" dxfId="13" priority="72">
      <formula>$E31="مقبول"</formula>
    </cfRule>
    <cfRule type="expression" dxfId="12" priority="73">
      <formula>$E31="جيد"</formula>
    </cfRule>
    <cfRule type="expression" dxfId="11" priority="74">
      <formula>$E31="جيد جداً"</formula>
    </cfRule>
    <cfRule type="expression" dxfId="10" priority="75">
      <formula>$E31="ممتاز"</formula>
    </cfRule>
  </conditionalFormatting>
  <conditionalFormatting sqref="F8:F28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33" operator="containsText" text="أدخل التاريخ">
      <formula>NOT(ISERROR(SEARCH("أدخل التاريخ",F2)))</formula>
    </cfRule>
  </conditionalFormatting>
  <conditionalFormatting sqref="F3:J3">
    <cfRule type="containsText" dxfId="7" priority="30" operator="containsText" text="أدخل أسم المحكم">
      <formula>NOT(ISERROR(SEARCH("أدخل أسم المحكم",F3)))</formula>
    </cfRule>
  </conditionalFormatting>
  <conditionalFormatting sqref="G32:J32">
    <cfRule type="containsText" dxfId="6" priority="29" operator="containsText" text="أدخل اسم المحكم">
      <formula>NOT(ISERROR(SEARCH("أدخل اسم المحكم",G32)))</formula>
    </cfRule>
  </conditionalFormatting>
  <conditionalFormatting sqref="H8:H28">
    <cfRule type="containsText" dxfId="5" priority="2" operator="containsText" text="أدخل العلامة">
      <formula>NOT(ISERROR(SEARCH("أدخل العلامة",H8)))</formula>
    </cfRule>
    <cfRule type="containsText" dxfId="4" priority="3" operator="containsText" text="ممتاز">
      <formula>NOT(ISERROR(SEARCH("ممتاز",H8)))</formula>
    </cfRule>
    <cfRule type="containsText" dxfId="3" priority="4" operator="containsText" text="جيد جداً">
      <formula>NOT(ISERROR(SEARCH("جيد جداً",H8)))</formula>
    </cfRule>
    <cfRule type="containsText" dxfId="2" priority="5" operator="containsText" text="جيد">
      <formula>NOT(ISERROR(SEARCH("جيد",H8)))</formula>
    </cfRule>
    <cfRule type="containsText" dxfId="1" priority="6" operator="containsText" text="مقبول">
      <formula>NOT(ISERROR(SEARCH("مقبول",H8)))</formula>
    </cfRule>
    <cfRule type="containsText" dxfId="0" priority="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F22:F28 F9:F12 F14 F16:F20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G32:J32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102</v>
      </c>
    </row>
    <row r="213" spans="1:1" ht="20.100000000000001" customHeight="1" x14ac:dyDescent="0.3">
      <c r="A213" s="21" t="s">
        <v>103</v>
      </c>
    </row>
    <row r="214" spans="1:1" ht="20.100000000000001" customHeight="1" x14ac:dyDescent="0.3">
      <c r="A214" s="21" t="s">
        <v>104</v>
      </c>
    </row>
    <row r="215" spans="1:1" ht="20.100000000000001" customHeight="1" x14ac:dyDescent="0.3">
      <c r="A215" s="21" t="s">
        <v>105</v>
      </c>
    </row>
    <row r="216" spans="1:1" ht="20.100000000000001" customHeight="1" x14ac:dyDescent="0.3">
      <c r="A216" s="21" t="s">
        <v>106</v>
      </c>
    </row>
    <row r="217" spans="1:1" ht="20.100000000000001" customHeight="1" x14ac:dyDescent="0.3">
      <c r="A217" s="21" t="s">
        <v>107</v>
      </c>
    </row>
    <row r="218" spans="1:1" ht="20.100000000000001" customHeight="1" x14ac:dyDescent="0.3">
      <c r="A218" s="21" t="s">
        <v>108</v>
      </c>
    </row>
    <row r="219" spans="1:1" ht="20.100000000000001" customHeight="1" x14ac:dyDescent="0.3">
      <c r="A219" s="21" t="s">
        <v>109</v>
      </c>
    </row>
    <row r="220" spans="1:1" ht="20.100000000000001" customHeight="1" x14ac:dyDescent="0.3">
      <c r="A220" s="21" t="s">
        <v>110</v>
      </c>
    </row>
    <row r="221" spans="1:1" ht="20.100000000000001" customHeight="1" x14ac:dyDescent="0.3">
      <c r="A221" s="21" t="s">
        <v>111</v>
      </c>
    </row>
    <row r="222" spans="1:1" ht="20.100000000000001" customHeight="1" x14ac:dyDescent="0.3">
      <c r="A222" s="21" t="s">
        <v>112</v>
      </c>
    </row>
    <row r="223" spans="1:1" ht="20.100000000000001" customHeight="1" x14ac:dyDescent="0.3">
      <c r="A223" s="21" t="s">
        <v>113</v>
      </c>
    </row>
    <row r="224" spans="1:1" ht="20.100000000000001" customHeight="1" x14ac:dyDescent="0.3">
      <c r="A224" s="21" t="s">
        <v>114</v>
      </c>
    </row>
    <row r="225" spans="1:1" ht="20.100000000000001" customHeight="1" x14ac:dyDescent="0.3">
      <c r="A225" s="21" t="s">
        <v>115</v>
      </c>
    </row>
    <row r="226" spans="1:1" ht="20.100000000000001" customHeight="1" x14ac:dyDescent="0.3">
      <c r="A226" s="21" t="s">
        <v>116</v>
      </c>
    </row>
    <row r="227" spans="1:1" ht="20.100000000000001" customHeight="1" x14ac:dyDescent="0.3">
      <c r="A227" s="21" t="s">
        <v>117</v>
      </c>
    </row>
    <row r="228" spans="1:1" ht="20.100000000000001" customHeight="1" x14ac:dyDescent="0.3">
      <c r="A228" s="21" t="s">
        <v>118</v>
      </c>
    </row>
    <row r="229" spans="1:1" ht="20.100000000000001" customHeight="1" x14ac:dyDescent="0.3">
      <c r="A229" s="21" t="s">
        <v>119</v>
      </c>
    </row>
    <row r="230" spans="1:1" ht="20.100000000000001" customHeight="1" x14ac:dyDescent="0.3">
      <c r="A230" s="21" t="s">
        <v>120</v>
      </c>
    </row>
    <row r="231" spans="1:1" ht="20.100000000000001" customHeight="1" x14ac:dyDescent="0.3">
      <c r="A231" s="21" t="s">
        <v>121</v>
      </c>
    </row>
    <row r="232" spans="1:1" ht="20.100000000000001" customHeight="1" x14ac:dyDescent="0.3">
      <c r="A232" s="21" t="s">
        <v>122</v>
      </c>
    </row>
    <row r="233" spans="1:1" ht="20.100000000000001" customHeight="1" x14ac:dyDescent="0.3">
      <c r="A233" s="21" t="s">
        <v>123</v>
      </c>
    </row>
    <row r="234" spans="1:1" ht="20.100000000000001" customHeight="1" x14ac:dyDescent="0.3">
      <c r="A234" s="21" t="s">
        <v>124</v>
      </c>
    </row>
    <row r="235" spans="1:1" ht="20.100000000000001" customHeight="1" x14ac:dyDescent="0.3">
      <c r="A235" s="23" t="s">
        <v>125</v>
      </c>
    </row>
    <row r="236" spans="1:1" ht="20.100000000000001" customHeight="1" x14ac:dyDescent="0.3">
      <c r="A236" s="21" t="s">
        <v>126</v>
      </c>
    </row>
    <row r="237" spans="1:1" ht="20.100000000000001" customHeight="1" x14ac:dyDescent="0.3">
      <c r="A237" s="21" t="s">
        <v>127</v>
      </c>
    </row>
    <row r="238" spans="1:1" ht="20.100000000000001" customHeight="1" x14ac:dyDescent="0.3">
      <c r="A238" s="21" t="s">
        <v>128</v>
      </c>
    </row>
    <row r="239" spans="1:1" ht="20.100000000000001" customHeight="1" x14ac:dyDescent="0.3">
      <c r="A239" s="21" t="s">
        <v>129</v>
      </c>
    </row>
    <row r="240" spans="1:1" ht="20.100000000000001" customHeight="1" x14ac:dyDescent="0.3">
      <c r="A240" s="21" t="s">
        <v>130</v>
      </c>
    </row>
    <row r="241" spans="1:1" ht="20.100000000000001" customHeight="1" x14ac:dyDescent="0.3">
      <c r="A241" s="21" t="s">
        <v>131</v>
      </c>
    </row>
    <row r="242" spans="1:1" ht="20.100000000000001" customHeight="1" x14ac:dyDescent="0.3">
      <c r="A242" s="21" t="s">
        <v>132</v>
      </c>
    </row>
    <row r="243" spans="1:1" ht="20.100000000000001" customHeight="1" x14ac:dyDescent="0.3">
      <c r="A243" s="21" t="s">
        <v>133</v>
      </c>
    </row>
    <row r="244" spans="1:1" ht="20.100000000000001" customHeight="1" x14ac:dyDescent="0.3">
      <c r="A244" s="21" t="s">
        <v>134</v>
      </c>
    </row>
    <row r="245" spans="1:1" ht="20.100000000000001" customHeight="1" x14ac:dyDescent="0.3">
      <c r="A245" s="21" t="s">
        <v>135</v>
      </c>
    </row>
    <row r="246" spans="1:1" ht="20.100000000000001" customHeight="1" x14ac:dyDescent="0.3">
      <c r="A246" s="21" t="s">
        <v>136</v>
      </c>
    </row>
    <row r="247" spans="1:1" ht="20.100000000000001" customHeight="1" x14ac:dyDescent="0.3">
      <c r="A247" s="21" t="s">
        <v>127</v>
      </c>
    </row>
    <row r="248" spans="1:1" ht="20.100000000000001" customHeight="1" x14ac:dyDescent="0.3">
      <c r="A248" s="21" t="s">
        <v>137</v>
      </c>
    </row>
    <row r="249" spans="1:1" ht="20.100000000000001" customHeight="1" x14ac:dyDescent="0.3">
      <c r="A249" s="21" t="s">
        <v>138</v>
      </c>
    </row>
    <row r="250" spans="1:1" ht="20.100000000000001" customHeight="1" x14ac:dyDescent="0.3">
      <c r="A250" s="23" t="s">
        <v>139</v>
      </c>
    </row>
    <row r="251" spans="1:1" ht="20.100000000000001" customHeight="1" x14ac:dyDescent="0.3">
      <c r="A251" s="24" t="s">
        <v>140</v>
      </c>
    </row>
    <row r="252" spans="1:1" ht="20.100000000000001" customHeight="1" x14ac:dyDescent="0.3">
      <c r="A252" s="21" t="s">
        <v>141</v>
      </c>
    </row>
    <row r="253" spans="1:1" ht="20.100000000000001" customHeight="1" x14ac:dyDescent="0.3">
      <c r="A253" s="21" t="s">
        <v>142</v>
      </c>
    </row>
    <row r="254" spans="1:1" ht="20.100000000000001" customHeight="1" x14ac:dyDescent="0.3">
      <c r="A254" s="25" t="s">
        <v>143</v>
      </c>
    </row>
    <row r="255" spans="1:1" ht="20.100000000000001" customHeight="1" x14ac:dyDescent="0.3">
      <c r="A255" s="25" t="s">
        <v>144</v>
      </c>
    </row>
    <row r="256" spans="1:1" ht="20.100000000000001" customHeight="1" x14ac:dyDescent="0.3">
      <c r="A256" s="26" t="s">
        <v>145</v>
      </c>
    </row>
    <row r="257" spans="1:1" ht="20.100000000000001" customHeight="1" x14ac:dyDescent="0.3">
      <c r="A257" s="21" t="s">
        <v>146</v>
      </c>
    </row>
    <row r="258" spans="1:1" ht="20.100000000000001" customHeight="1" x14ac:dyDescent="0.3">
      <c r="A258" s="26" t="s">
        <v>147</v>
      </c>
    </row>
    <row r="259" spans="1:1" ht="20.100000000000001" customHeight="1" x14ac:dyDescent="0.3">
      <c r="A259" s="21" t="s">
        <v>148</v>
      </c>
    </row>
    <row r="260" spans="1:1" ht="20.100000000000001" customHeight="1" x14ac:dyDescent="0.3">
      <c r="A260" s="26" t="s">
        <v>149</v>
      </c>
    </row>
    <row r="261" spans="1:1" ht="20.100000000000001" customHeight="1" x14ac:dyDescent="0.3">
      <c r="A261" s="21" t="s">
        <v>150</v>
      </c>
    </row>
    <row r="262" spans="1:1" ht="20.100000000000001" customHeight="1" x14ac:dyDescent="0.3">
      <c r="A262" s="21" t="s">
        <v>151</v>
      </c>
    </row>
    <row r="263" spans="1:1" ht="20.100000000000001" customHeight="1" x14ac:dyDescent="0.3">
      <c r="A263" s="26" t="s">
        <v>152</v>
      </c>
    </row>
    <row r="264" spans="1:1" ht="20.100000000000001" customHeight="1" x14ac:dyDescent="0.3">
      <c r="A264" s="26" t="s">
        <v>153</v>
      </c>
    </row>
    <row r="265" spans="1:1" ht="20.100000000000001" customHeight="1" x14ac:dyDescent="0.3">
      <c r="A265" s="26" t="s">
        <v>154</v>
      </c>
    </row>
    <row r="266" spans="1:1" ht="20.100000000000001" customHeight="1" x14ac:dyDescent="0.3">
      <c r="A266" s="21" t="s">
        <v>155</v>
      </c>
    </row>
    <row r="267" spans="1:1" ht="20.100000000000001" customHeight="1" x14ac:dyDescent="0.3">
      <c r="A267" s="21" t="s">
        <v>156</v>
      </c>
    </row>
    <row r="268" spans="1:1" ht="20.100000000000001" customHeight="1" x14ac:dyDescent="0.3">
      <c r="A268" s="21" t="s">
        <v>157</v>
      </c>
    </row>
    <row r="269" spans="1:1" ht="20.100000000000001" customHeight="1" x14ac:dyDescent="0.3">
      <c r="A269" s="21" t="s">
        <v>158</v>
      </c>
    </row>
    <row r="270" spans="1:1" ht="20.100000000000001" customHeight="1" x14ac:dyDescent="0.3">
      <c r="A270" s="26" t="s">
        <v>159</v>
      </c>
    </row>
    <row r="271" spans="1:1" ht="20.100000000000001" customHeight="1" x14ac:dyDescent="0.3">
      <c r="A271" s="26" t="s">
        <v>160</v>
      </c>
    </row>
    <row r="272" spans="1:1" ht="20.100000000000001" customHeight="1" x14ac:dyDescent="0.3">
      <c r="A272" s="21" t="s">
        <v>161</v>
      </c>
    </row>
    <row r="273" spans="1:1" ht="20.100000000000001" customHeight="1" x14ac:dyDescent="0.3">
      <c r="A273" s="26" t="s">
        <v>162</v>
      </c>
    </row>
    <row r="274" spans="1:1" ht="20.100000000000001" customHeight="1" x14ac:dyDescent="0.3">
      <c r="A274" s="26" t="s">
        <v>163</v>
      </c>
    </row>
    <row r="275" spans="1:1" ht="20.100000000000001" customHeight="1" x14ac:dyDescent="0.3">
      <c r="A275" s="21" t="s">
        <v>164</v>
      </c>
    </row>
    <row r="276" spans="1:1" ht="20.100000000000001" customHeight="1" x14ac:dyDescent="0.3">
      <c r="A276" s="21" t="s">
        <v>165</v>
      </c>
    </row>
    <row r="277" spans="1:1" ht="20.100000000000001" customHeight="1" x14ac:dyDescent="0.3">
      <c r="A277" s="26" t="s">
        <v>166</v>
      </c>
    </row>
    <row r="278" spans="1:1" ht="20.100000000000001" customHeight="1" x14ac:dyDescent="0.3">
      <c r="A278" s="21" t="s">
        <v>167</v>
      </c>
    </row>
    <row r="279" spans="1:1" ht="20.100000000000001" customHeight="1" x14ac:dyDescent="0.3">
      <c r="A279" s="21" t="s">
        <v>168</v>
      </c>
    </row>
    <row r="280" spans="1:1" ht="20.100000000000001" customHeight="1" x14ac:dyDescent="0.3">
      <c r="A280" s="21" t="s">
        <v>169</v>
      </c>
    </row>
    <row r="281" spans="1:1" ht="20.100000000000001" customHeight="1" x14ac:dyDescent="0.3">
      <c r="A281" s="21" t="s">
        <v>170</v>
      </c>
    </row>
    <row r="282" spans="1:1" ht="20.100000000000001" customHeight="1" x14ac:dyDescent="0.3">
      <c r="A282" s="26" t="s">
        <v>171</v>
      </c>
    </row>
    <row r="283" spans="1:1" ht="20.100000000000001" customHeight="1" x14ac:dyDescent="0.3">
      <c r="A283" s="26" t="s">
        <v>172</v>
      </c>
    </row>
    <row r="284" spans="1:1" ht="20.100000000000001" customHeight="1" x14ac:dyDescent="0.3">
      <c r="A284" s="26" t="s">
        <v>173</v>
      </c>
    </row>
    <row r="285" spans="1:1" ht="20.100000000000001" customHeight="1" thickBot="1" x14ac:dyDescent="0.35">
      <c r="A285" s="21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2025-10-08T20:10:50Z</dcterms:modified>
</cp:coreProperties>
</file>