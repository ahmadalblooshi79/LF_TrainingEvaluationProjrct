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67ACEFC8-B9DF-4245-AD32-4D1D0B3EF6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<sst xmlns="http://schemas.openxmlformats.org/spreadsheetml/2006/main" count="114" uniqueCount="111">
  <si>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</si>
  <si>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</si>
  <si>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</si>
  <si>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</si>
  <si>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</si>
  <si>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</si>
  <si>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</si>
  <si>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</si>
  <si>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</si>
  <si>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</si>
  <si>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</si>
  <si>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</si>
  <si>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</si>
  <si>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</si>
  <si>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</si>
  <si>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</si>
  <si>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</si>
  <si>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</si>
  <si>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</si>
  <si>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</si>
  <si>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</si>
  <si>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</si>
  <si>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</si>
  <si>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</si>
  <si>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</si>
  <si>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</si>
  <si>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</si>
  <si>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</si>
  <si>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</si>
  <si>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</si>
  <si>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</si>
  <si>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</si>
  <si>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</si>
  <si>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</si>
  <si>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</si>
  <si>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</si>
  <si>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</si>
  <si>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</si>
  <si>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</si>
  <si>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</si>
  <si>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</si>
  <si>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</si>
  <si>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</si>
  <si>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</si>
  <si>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</si>
  <si>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</si>
  <si>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</si>
  <si>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</si>
  <si>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</si>
  <si>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</si>
  <si>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</si>
  <si>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</si>
  <si>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</si>
  <si>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</si>
  <si>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</si>
  <si>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</si>
  <si>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</si>
  <si>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</si>
  <si>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</si>
  <si>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</si>
  <si>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</si>
  <si>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</si>
  <si>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</si>
  <si>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</si>
  <si>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</si>
  <si>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</si>
  <si>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</si>
  <si>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</si>
  <si>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</si>
  <si>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</si>
  <si>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</si>
  <si>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</si>
  <si>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</si>
  <si>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</si>
  <si>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</si>
  <si>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</si>
  <si>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</si>
  <si>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</si>
  <si>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</si>
  <si>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</si>
  <si>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</si>
  <si>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</si>
  <si>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</si>
  <si>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</si>
  <si>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</si>
  <si>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</si>
  <si>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</si>
  <si>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</si>
  <si>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</si>
  <si>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</si>
  <si>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</si>
  <si>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</si>
  <si>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</si>
  <si>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</si>
  <si>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</si>
  <si>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</si>
  <si>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</si>
  <si>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</si>
  <si>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</si>
  <si>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</si>
  <si>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</si>
  <si>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</si>
  <si>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</si>
  <si>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</si>
  <si>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</si>
  <si>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</si>
  <si>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</si>
  <si>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</si>
  <si>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rgb="FF000000"/>
        <rFont val="Arial"/>
        <family val="2"/>
      </rPr>
      <t>تقييم الكفاءة القيادية للقادة الأصاغر (فصيل مشاة راجل)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</si>
  <si>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مقدم ركن/ محمد عبدالله الشحي</t>
  </si>
  <si>
    <t>مقدم ركن/ سالم القرين العامري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</si>
</sst>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470022</xdr:colOff>
      <xdr:row>21</xdr:row>
      <xdr:rowOff>79588</xdr:rowOff>
    </xdr:from>
    <xdr:to>
      <xdr:col>9</xdr:col>
      <xdr:colOff>191721</xdr:colOff>
      <xdr:row>21</xdr:row>
      <xdr:rowOff>564508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90A30B0-995D-2DFD-1E4F-E152F83B379B}"/>
                </a:ext>
              </a:extLst>
            </xdr14:cNvPr>
            <xdr14:cNvContentPartPr/>
          </xdr14:nvContentPartPr>
          <xdr14:nvPr macro=""/>
          <xdr14:xfrm>
            <a:off x="10398395098" y="8230680"/>
            <a:ext cx="1037880" cy="484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90A30B0-995D-2DFD-1E4F-E152F83B37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86098" y="8221680"/>
              <a:ext cx="1055520" cy="50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52062</xdr:colOff>
      <xdr:row>20</xdr:row>
      <xdr:rowOff>245640</xdr:rowOff>
    </xdr:from>
    <xdr:to>
      <xdr:col>7</xdr:col>
      <xdr:colOff>54222</xdr:colOff>
      <xdr:row>20</xdr:row>
      <xdr:rowOff>246360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4758A76-95A4-0A6A-B1B0-2A1A6F7D4176}"/>
                </a:ext>
              </a:extLst>
            </xdr14:cNvPr>
            <xdr14:cNvContentPartPr/>
          </xdr14:nvContentPartPr>
          <xdr14:nvPr macro=""/>
          <xdr14:xfrm>
            <a:off x="10399848778" y="7865640"/>
            <a:ext cx="2160" cy="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4758A76-95A4-0A6A-B1B0-2A1A6F7D41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40138" y="7857000"/>
              <a:ext cx="198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52062</xdr:colOff>
      <xdr:row>20</xdr:row>
      <xdr:rowOff>244560</xdr:rowOff>
    </xdr:from>
    <xdr:to>
      <xdr:col>7</xdr:col>
      <xdr:colOff>60342</xdr:colOff>
      <xdr:row>20</xdr:row>
      <xdr:rowOff>261120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2DB9DCC-4EF6-E53C-8B45-DF391FB8731F}"/>
                </a:ext>
              </a:extLst>
            </xdr14:cNvPr>
            <xdr14:cNvContentPartPr/>
          </xdr14:nvContentPartPr>
          <xdr14:nvPr macro=""/>
          <xdr14:xfrm>
            <a:off x="10399842658" y="7864560"/>
            <a:ext cx="8280" cy="165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2DB9DCC-4EF6-E53C-8B45-DF391FB8731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834018" y="7855920"/>
              <a:ext cx="2592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519712</xdr:colOff>
      <xdr:row>20</xdr:row>
      <xdr:rowOff>435000</xdr:rowOff>
    </xdr:from>
    <xdr:to>
      <xdr:col>6</xdr:col>
      <xdr:colOff>616912</xdr:colOff>
      <xdr:row>27</xdr:row>
      <xdr:rowOff>72823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4FB7119-8A05-6EDA-A11A-BFB1AD0B8E0B}"/>
                </a:ext>
              </a:extLst>
            </xdr14:cNvPr>
            <xdr14:cNvContentPartPr/>
          </xdr14:nvContentPartPr>
          <xdr14:nvPr macro=""/>
          <xdr14:xfrm>
            <a:off x="10399944178" y="8055000"/>
            <a:ext cx="97200" cy="17679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4FB7119-8A05-6EDA-A11A-BFB1AD0B8E0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935178" y="8046000"/>
              <a:ext cx="114840" cy="1785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02:45:42.4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1675 977 9762,'0'0'0,"-13"-16"5585,3 5-5265,-2-5-256,12 16-64,-2-6 48,0 1 8,2-7-112,0 8 168,0 4-112,0-11 24,0 6 8,0-9-8,0 3-64,0 11 40,0-13 56,0-3-32,0-1 24,0-1-40,0 18-8,0-20-8,0 0 16,0-3 64,0-1-168,0 24 96,0-27-232,-2 0-88,0-3-128,-1-2-144,3 32 592,0-36-721,0-1-135,0-1-184,0-2 24,0 40 1016,3-40-1168,1-1-49,-2 0 41,3 1 160,-5 40 1016,9-40-648,-4 3 272,-3 4 344,1 5 184,-3 28-152,4-26 296,-2 6 80,0 5 80,-2 3-48,0 12-408,0-5 336,3-7-112,-3 11-112,5-3-88,-5 4-24,0-3 16,2 0-24,1 2-32,-1-2 32,-2 3 8,2-3-8,2 0-32,-1 0 8,-1 2 16,-2 1 16,5-2-40,-3 1 40,1 1 8,-1 0-8,-2 0 0,0 0-24,2 0-16,3 3-8,-5-3 16,0 0 32,2 3-24,0-1 48,0 1-24,3 2-8,-5-5 8,12 11-8,-9-8-8,8 8 0,-11-7 0,0-4 16,4 15 8,10-4 8,-9 2-16,9 0-40,-14-13 40,9 12-64,5-7 32,4 10-16,-1-10 32,-17-5 16,21 4 0,4 0-8,1 0 32,4-4 24,-30 0-48,29 0 40,6 0 32,5-4-72,-3-2-32,-37 6 32,37-11-24,2 5-32,-1-9 88,-2 3 8,-36 12-40,40-12 40,-2-1 56,-2 1-80,2 0 0,-38 12-16,38-12-8,0 6-40,-2-6-24,-5 7-40,-31 5 112,30-11-104,0 7-8,-7 0 24,0-1 88,-23 5 0,19-4-16,-3 0 8,-2 1 24,-5 1-56,-9 2 40,3-1-16,8 1-16,-11 0 8,0 0 32,0 0-8,0 0 128,0 0 160,-4 0 88,-13 3-16,17-3-360,-11 3 160,-3 1-240,-7 9-224,-4-9-232,25-4 536,-31 19-616,-5-4-304,-2 4-153,-5 1 33,43-20 1040,-45 21-936,-6 2 296,0 2 240,-5 1 184,56-26 216,-59 27-88,-2 0 64,-6-2 96,2 2 96,65-27-168,-69 27 280,-7 2 80,1-2 0,-6 1-56,81-28-304,-79 27 216,2 3-64,1-1 0,0 2-64,76-31-88,-77 30 48,-1 1-80,-4 2-64,1-2-72,81-31 168,-81 33-192,1-2-8,-1 3 32,2 0 48,79-34 120,-77 34-104,2 2 72,6-1-16,-2 1 32,71-36 16,-68 34-16,4 0-24,-4-1-32,11-3 24,57-30 48,-56 28-24,11-2 80,9-2 144,3-6 128,33-18-328,-25 13 448,9-9 0,6 1-168,10-1-256,0-4-24,0 3-272,14 0-96,0-3 80,9 0 88,-23 0 200,26 0-144,1-2 56,4-9-80,5-1-8,-36 12 176,40-14-128,13-3-16,-2-3 88,5-2-8,-56 22 64,58-26 16,-7-1 56,9-4 64,0-2 176,-60 33-312,63-36 376,9-1 96,-3-1 24,5 0 24,-74 38-520,75-40 496,-6 2-39,7 1-25,1-2-104,-77 39-328,74-37 208,-4 0 48,-6 0-112,4 3-72,-68 34-72,62-33 120,3 4-120,2 3 64,-6 0 16,-61 26-80,60-22 112,2 0-8,-6 2-56,-3 6-56,-53 14 8,46-13-24,1 8 40,-8-8-32,-4 10-40,-35 3 56,28-4-88,-7 0-24,-8-1 48,-10 3 72,-3 2-8,4-2 168,-4 2 272,-2 0 152,-8 0-88,10 0-504,-18 0 344,-12 11-336,0 1-176,-12 2 72,42-14 96,-46 21-80,-2 5 104,-8 2-40,-2 2 24,58-30-8,-67 32-64,7-1 0,-8 1 32,1 5-8,67-37 40,-67 37-208,-3 2-96,1-1-80,-5-2-64,74-36 448,-74 37-144,-3-2 104,0-2 104,3 0 104,74-33-168,-69 29 80,0 1-48,4-1-16,-1 1 8,66-30-24,-66 29 48,5 0-144,1-1-64,5-1-256,55-27 416,-58 26-552,7-2-8,-3-1-121,6-3-79,48-20 760,-44 17-792,-1-3-48,11-3 144,2-8 160,32-3 536,-26 4-376,5-4 160,5 0 88,5-1 72,11 1 56,-12-13 8,12 8 80,-3-11 40,3 2 16,0 14-144,12-15 88,-9-2-96,13 0-56,-3 0 8,-13 17 56,14-18-32,2 2 8,4-1 40,0 1-16,-20 16 0,18-15-16,5 2-8,-2 0-16,1 9 8,-22 4 32,20-6-40,-6 2 0,3 4 0,-14 0 0,-3 0 40,17 4-24,-14 11 24,8-3 32,-9 4-16,-2-16-16,3 17 56,-3 3 24,0 3 16,0 1 72,0-24-168,-5 24 136,-6 2-8,6-1 16,-7 1-32,12-26-112,-4 24 88,-8-3-40,10-1-48,-3-4 24,5-16-24,-3 13-16,1-9 0,2 9-48,0-11-32,0-2 96,12 5-104,-7-2 16,8 1 64,-1-1 120,-12-3-96,14 3 232,7-1 136,-2 1 144,4-3 112,-23 0-624,25-1 824,1-3 48,9-9 17,1-1-41,-36 14-848,42-15 688,2-5-8,2 1-24,5-4 104,-51 23-760,58-26 785,9-2 151,-2-5 32,9-2-136,-74 35-832,74-37 776,5-3-216,2-1-159,3-2-81,-84 43-320,81-43 336,0-1-128,3-1 0,1-1-24,-85 46-184,88-45 80,3-4-8,-1 0-16,3-4-32,-93 53-24,88-55 8,-2 1 8,0-2-40,-5 1 0,-81 55 24,81-54-112,-5 3-232,-2 5-392,-5 5-633,-69 41 1369,66-39-2536,-7 8-2089,2 0-24,-61 31 4649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02:45:43.1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2 7585,'0'0'0,"0"0"0,0-1-888,-5 1-2937,5 0 3825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02:45:43.5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46 13442,'0'0'0,"-4"-18"4185,1 6-4017,-2 1-144,5 11-24,-2-1-112,2-1 24,0 1-64,0 1-256,0 0 408,0 0-824,0 0-360,5 0-865,0 0-1199,-5 0 3248,12 0-4961,-12 3 920,0-3 4041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02:45:44.6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0 14339,'0'0'0,"0"0"0,0 3 304,-3 13-472,3 3-48,5 6 112,-5-25 104,12 38-48,-9 3-8,11 7 56,-9 2-8,-5-50 8,17 54-17,-8 6 1,3 5 8,3 6-72,-15-71 80,9 77-56,3 6 32,0 3-48,-1 6 16,-11-92 56,12 94 32,0 0-32,-7-1 16,12 2 56,-17-95-72,3 93-32,-1 5-8,5 1 16,-4 1-8,-3-100 32,2 101 56,3 2-16,-3 2 72,-2-2-8,0-103-104,3 106 97,-1 3 47,0 4 40,3 5-80,-5-118-104,0 122 64,0 7-16,0-4-96,0-3 32,0-122 16,0 120-96,0-8-32,0 0-64,0-8-17,0-104 209,0 100-168,0-1-48,0-7-16,3-6 32,-3-86 200,0 81-224,4-6 24,-1-3-8,-3-3-64,0-69 272,5 65-240,-5-2-32,0-3-8,0 2-120,0-62 400,4 63-680,-1 2-473,2 3-295,-3 1-560,-2-69 2008,12 70-2145,-7 5 225,0-1 576,-5-74 1344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zoomScale="130" zoomScaleNormal="100" zoomScaleSheetLayoutView="130" workbookViewId="0">
      <selection activeCell="F4" sqref="F4:J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9" t="s">
        <v>108</v>
      </c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B2" s="11" t="s">
        <v>8</v>
      </c>
      <c r="C2" s="45" t="s">
        <v>40</v>
      </c>
      <c r="D2" s="45"/>
      <c r="E2" s="11" t="s">
        <v>7</v>
      </c>
      <c r="F2" s="40">
        <v>45939</v>
      </c>
      <c r="G2" s="40"/>
      <c r="H2" s="40"/>
      <c r="I2" s="40"/>
      <c r="J2" s="40"/>
    </row>
    <row r="3" spans="1:10" ht="30" customHeight="1" x14ac:dyDescent="0.3">
      <c r="B3" s="11" t="s">
        <v>9</v>
      </c>
      <c r="C3" s="45" t="s">
        <v>59</v>
      </c>
      <c r="D3" s="45"/>
      <c r="E3" s="11" t="s">
        <v>6</v>
      </c>
      <c r="F3" s="45" t="s">
        <v>58</v>
      </c>
      <c r="G3" s="45"/>
      <c r="H3" s="45"/>
      <c r="I3" s="45"/>
      <c r="J3" s="45"/>
    </row>
    <row r="4" spans="1:10" ht="30" customHeight="1" thickBot="1" x14ac:dyDescent="0.35">
      <c r="B4" s="6"/>
      <c r="C4" s="72" t="s">
        <v>109</v>
      </c>
      <c r="D4" s="72"/>
      <c r="E4" s="6"/>
      <c r="F4" s="72" t="s">
        <v>110</v>
      </c>
      <c r="G4" s="72"/>
      <c r="H4" s="72"/>
      <c r="I4" s="72"/>
      <c r="J4" s="72"/>
    </row>
    <row r="5" spans="1:10" ht="24.9" customHeight="1" x14ac:dyDescent="0.3">
      <c r="A5" s="9"/>
      <c r="B5" s="41" t="s">
        <v>0</v>
      </c>
      <c r="C5" s="42"/>
      <c r="D5" s="42"/>
      <c r="E5" s="50" t="s">
        <v>1</v>
      </c>
      <c r="F5" s="50"/>
      <c r="G5" s="50"/>
      <c r="H5" s="50"/>
      <c r="I5" s="50" t="s">
        <v>2</v>
      </c>
      <c r="J5" s="51"/>
    </row>
    <row r="6" spans="1:10" ht="24.9" customHeight="1" thickBot="1" x14ac:dyDescent="0.35">
      <c r="A6" s="9"/>
      <c r="B6" s="43"/>
      <c r="C6" s="44"/>
      <c r="D6" s="44"/>
      <c r="E6" s="10" t="s">
        <v>3</v>
      </c>
      <c r="F6" s="10" t="s">
        <v>4</v>
      </c>
      <c r="G6" s="10" t="s">
        <v>23</v>
      </c>
      <c r="H6" s="10" t="s">
        <v>24</v>
      </c>
      <c r="I6" s="52"/>
      <c r="J6" s="53"/>
    </row>
    <row r="7" spans="1:10" ht="24.9" customHeight="1" thickBot="1" x14ac:dyDescent="0.35">
      <c r="A7" s="9"/>
      <c r="B7" s="48" t="s">
        <v>21</v>
      </c>
      <c r="C7" s="49"/>
      <c r="D7" s="49"/>
      <c r="E7" s="20" t="s">
        <v>18</v>
      </c>
      <c r="F7" s="20" t="s">
        <v>19</v>
      </c>
      <c r="G7" s="20" t="s">
        <v>22</v>
      </c>
      <c r="H7" s="20" t="s">
        <v>20</v>
      </c>
      <c r="I7" s="54" t="s">
        <v>25</v>
      </c>
      <c r="J7" s="55"/>
    </row>
    <row r="8" spans="1:10" ht="30" customHeight="1" x14ac:dyDescent="0.3">
      <c r="A8" s="9"/>
      <c r="B8" s="32" t="s">
        <v>98</v>
      </c>
      <c r="C8" s="33"/>
      <c r="D8" s="33"/>
      <c r="E8" s="23">
        <v>5</v>
      </c>
      <c r="F8" s="24">
        <v>3.75</v>
      </c>
      <c r="G8" s="25">
        <f>IFERROR(F8/E8,"")</f>
        <v>0.75</v>
      </c>
      <c r="H8" s="26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6"/>
      <c r="J8" s="67"/>
    </row>
    <row r="9" spans="1:10" ht="30" customHeight="1" x14ac:dyDescent="0.3">
      <c r="A9" s="9"/>
      <c r="B9" s="30" t="s">
        <v>99</v>
      </c>
      <c r="C9" s="31"/>
      <c r="D9" s="31"/>
      <c r="E9" s="7">
        <v>5</v>
      </c>
      <c r="F9" s="18">
        <v>3.75</v>
      </c>
      <c r="G9" s="21">
        <f>IFERROR(F9/E9,"")</f>
        <v>0.75</v>
      </c>
      <c r="H9" s="2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0" customHeight="1" x14ac:dyDescent="0.3">
      <c r="A10" s="9"/>
      <c r="B10" s="30" t="s">
        <v>100</v>
      </c>
      <c r="C10" s="31"/>
      <c r="D10" s="31"/>
      <c r="E10" s="7">
        <v>5</v>
      </c>
      <c r="F10" s="18">
        <v>3.75</v>
      </c>
      <c r="G10" s="21">
        <f t="shared" ref="G10:G17" si="0">IFERROR(F10/E10,"")</f>
        <v>0.75</v>
      </c>
      <c r="H10" s="22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30" customHeight="1" x14ac:dyDescent="0.3">
      <c r="A11" s="9"/>
      <c r="B11" s="30" t="s">
        <v>101</v>
      </c>
      <c r="C11" s="31"/>
      <c r="D11" s="31"/>
      <c r="E11" s="7">
        <v>5</v>
      </c>
      <c r="F11" s="18">
        <v>3.75</v>
      </c>
      <c r="G11" s="21">
        <f t="shared" si="0"/>
        <v>0.75</v>
      </c>
      <c r="H11" s="22" t="str">
        <f t="shared" si="1"/>
        <v>جيد</v>
      </c>
      <c r="I11" s="56"/>
      <c r="J11" s="57"/>
    </row>
    <row r="12" spans="1:10" ht="30" customHeight="1" x14ac:dyDescent="0.3">
      <c r="A12" s="9"/>
      <c r="B12" s="30" t="s">
        <v>102</v>
      </c>
      <c r="C12" s="31"/>
      <c r="D12" s="31"/>
      <c r="E12" s="7">
        <v>5</v>
      </c>
      <c r="F12" s="18">
        <v>3.75</v>
      </c>
      <c r="G12" s="21">
        <f t="shared" si="0"/>
        <v>0.75</v>
      </c>
      <c r="H12" s="22" t="str">
        <f t="shared" si="1"/>
        <v>جيد</v>
      </c>
      <c r="I12" s="56"/>
      <c r="J12" s="57"/>
    </row>
    <row r="13" spans="1:10" ht="30" customHeight="1" x14ac:dyDescent="0.3">
      <c r="A13" s="9"/>
      <c r="B13" s="30" t="s">
        <v>103</v>
      </c>
      <c r="C13" s="31"/>
      <c r="D13" s="31"/>
      <c r="E13" s="7">
        <v>5</v>
      </c>
      <c r="F13" s="18">
        <v>3.75</v>
      </c>
      <c r="G13" s="21">
        <f t="shared" si="0"/>
        <v>0.75</v>
      </c>
      <c r="H13" s="22" t="str">
        <f t="shared" si="1"/>
        <v>جيد</v>
      </c>
      <c r="I13" s="56"/>
      <c r="J13" s="57"/>
    </row>
    <row r="14" spans="1:10" ht="30" customHeight="1" x14ac:dyDescent="0.3">
      <c r="A14" s="9"/>
      <c r="B14" s="30" t="s">
        <v>104</v>
      </c>
      <c r="C14" s="31"/>
      <c r="D14" s="31"/>
      <c r="E14" s="7">
        <v>5</v>
      </c>
      <c r="F14" s="18">
        <v>3.75</v>
      </c>
      <c r="G14" s="21">
        <f t="shared" si="0"/>
        <v>0.75</v>
      </c>
      <c r="H14" s="22" t="str">
        <f t="shared" si="1"/>
        <v>جيد</v>
      </c>
      <c r="I14" s="56"/>
      <c r="J14" s="57"/>
    </row>
    <row r="15" spans="1:10" ht="30" customHeight="1" x14ac:dyDescent="0.3">
      <c r="A15" s="9"/>
      <c r="B15" s="30" t="s">
        <v>105</v>
      </c>
      <c r="C15" s="31"/>
      <c r="D15" s="31"/>
      <c r="E15" s="7">
        <v>5</v>
      </c>
      <c r="F15" s="18">
        <v>3.5</v>
      </c>
      <c r="G15" s="21">
        <f t="shared" si="0"/>
        <v>0.7</v>
      </c>
      <c r="H15" s="22" t="str">
        <f t="shared" si="1"/>
        <v>جيد</v>
      </c>
      <c r="I15" s="56"/>
      <c r="J15" s="57"/>
    </row>
    <row r="16" spans="1:10" ht="30" customHeight="1" x14ac:dyDescent="0.3">
      <c r="A16" s="9"/>
      <c r="B16" s="30" t="s">
        <v>106</v>
      </c>
      <c r="C16" s="31"/>
      <c r="D16" s="31"/>
      <c r="E16" s="7">
        <v>5</v>
      </c>
      <c r="F16" s="18">
        <v>3.5</v>
      </c>
      <c r="G16" s="21">
        <f t="shared" si="0"/>
        <v>0.7</v>
      </c>
      <c r="H16" s="22" t="str">
        <f t="shared" si="1"/>
        <v>جيد</v>
      </c>
      <c r="I16" s="56"/>
      <c r="J16" s="57"/>
    </row>
    <row r="17" spans="1:10" ht="30" customHeight="1" thickBot="1" x14ac:dyDescent="0.35">
      <c r="A17" s="9"/>
      <c r="B17" s="58" t="s">
        <v>107</v>
      </c>
      <c r="C17" s="59"/>
      <c r="D17" s="59"/>
      <c r="E17" s="27">
        <v>5</v>
      </c>
      <c r="F17" s="19">
        <v>3.25</v>
      </c>
      <c r="G17" s="28">
        <f t="shared" si="0"/>
        <v>0.65</v>
      </c>
      <c r="H17" s="29" t="str">
        <f t="shared" si="1"/>
        <v>مقبول</v>
      </c>
      <c r="I17" s="70"/>
      <c r="J17" s="71"/>
    </row>
    <row r="18" spans="1:10" ht="30" customHeight="1" thickBot="1" x14ac:dyDescent="0.35">
      <c r="A18" s="4"/>
      <c r="B18" s="68" t="s">
        <v>5</v>
      </c>
      <c r="C18" s="69"/>
      <c r="D18" s="69"/>
      <c r="E18" s="8">
        <f>SUM(E8:E17)</f>
        <v>50</v>
      </c>
      <c r="F18" s="8">
        <f>SUM(F8:F17)</f>
        <v>36.5</v>
      </c>
      <c r="G18" s="36"/>
      <c r="H18" s="37"/>
      <c r="I18" s="37"/>
      <c r="J18" s="38"/>
    </row>
    <row r="19" spans="1:10" ht="30" customHeight="1" thickBot="1" x14ac:dyDescent="0.35">
      <c r="A19" s="4"/>
      <c r="B19" s="68" t="s">
        <v>54</v>
      </c>
      <c r="C19" s="69"/>
      <c r="D19" s="69"/>
      <c r="E19" s="46">
        <f>F18/E18/100*100</f>
        <v>0.73</v>
      </c>
      <c r="F19" s="46"/>
      <c r="G19" s="46"/>
      <c r="H19" s="46"/>
      <c r="I19" s="46"/>
      <c r="J19" s="47"/>
    </row>
    <row r="20" spans="1:10" ht="30" customHeight="1" thickBot="1" x14ac:dyDescent="0.35">
      <c r="A20" s="4"/>
      <c r="B20" s="68" t="s">
        <v>55</v>
      </c>
      <c r="C20" s="69"/>
      <c r="D20" s="69"/>
      <c r="E20" s="64" t="str">
        <f>_xlfn.IFS(E19&gt;=90%,"ممتاز",E19&gt;=80%,"جيد جداً",E19&gt;=70%,"جيد",E19&gt;=60%,"مقبول",E19&lt;60%,"راسب")</f>
        <v>جيد</v>
      </c>
      <c r="F20" s="64"/>
      <c r="G20" s="64"/>
      <c r="H20" s="64"/>
      <c r="I20" s="64"/>
      <c r="J20" s="65"/>
    </row>
    <row r="21" spans="1:10" ht="42" customHeight="1" x14ac:dyDescent="0.3">
      <c r="B21" s="60" t="s">
        <v>61</v>
      </c>
      <c r="C21" s="60"/>
      <c r="D21" s="60"/>
      <c r="E21" s="34" t="s">
        <v>52</v>
      </c>
      <c r="F21" s="34"/>
      <c r="G21" s="62" t="s">
        <v>58</v>
      </c>
      <c r="H21" s="62"/>
      <c r="I21" s="62"/>
      <c r="J21" s="62"/>
    </row>
    <row r="22" spans="1:10" ht="51" customHeight="1" x14ac:dyDescent="0.3">
      <c r="A22" s="5"/>
      <c r="B22" s="61"/>
      <c r="C22" s="61"/>
      <c r="D22" s="61"/>
      <c r="E22" s="35" t="s">
        <v>53</v>
      </c>
      <c r="F22" s="35"/>
      <c r="G22" s="63"/>
      <c r="H22" s="63"/>
      <c r="I22" s="63"/>
      <c r="J22" s="63"/>
    </row>
  </sheetData>
  <sheetProtection formatCells="0" formatColumns="0" formatRows="0" insertColumns="0" insertRows="0" insertHyperlinks="0" deleteColumns="0" deleteRows="0" selectLockedCells="1" sort="0" autoFilter="0" pivotTables="0"/>
  <mergeCells count="43">
    <mergeCell ref="C4:D4"/>
    <mergeCell ref="F4:J4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2025-10-13T14:57:01Z</dcterms:modified>
</cp:coreProperties>
</file>