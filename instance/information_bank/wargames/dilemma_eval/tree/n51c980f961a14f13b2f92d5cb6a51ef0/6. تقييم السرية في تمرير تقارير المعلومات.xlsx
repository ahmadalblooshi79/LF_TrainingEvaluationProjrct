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FC5DB7E3-55C2-6342-B8FB-EF69AE981609}"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<sst xmlns="http://schemas.openxmlformats.org/spreadsheetml/2006/main" count="258" uniqueCount="202">
  <si>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</si>
  <si>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</si>
  <si>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</si>
  <si>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</si>
  <si>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</si>
  <si>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</si>
  <si>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</si>
  <si>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</si>
  <si>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</si>
  <si>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</si>
  <si>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</si>
  <si>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</si>
  <si>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</si>
  <si>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</si>
  <si>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</si>
  <si>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</si>
  <si>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</si>
  <si>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</si>
  <si>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</si>
  <si>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</si>
  <si>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</si>
  <si>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</si>
  <si>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</si>
  <si>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</si>
  <si>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</si>
  <si>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</si>
  <si>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</si>
  <si>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</si>
  <si>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</si>
  <si>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</si>
  <si>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</si>
  <si>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</si>
  <si>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</si>
  <si>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</si>
  <si>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</si>
  <si>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</si>
  <si>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</si>
  <si>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</si>
  <si>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</si>
  <si>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</si>
  <si>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</si>
  <si>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</si>
  <si>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</si>
  <si>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</si>
  <si>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</si>
  <si>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</si>
  <si>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</si>
  <si>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</si>
  <si>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</si>
  <si>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</si>
  <si>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</si>
  <si>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</si>
  <si>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</si>
  <si>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</si>
  <si>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</si>
  <si>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</si>
  <si>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</si>
  <si>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</si>
  <si>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</si>
  <si>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</si>
  <si>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</si>
  <si>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</si>
  <si>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</si>
  <si>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</si>
  <si>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</si>
  <si>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</si>
  <si>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</si>
  <si>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</si>
  <si>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</si>
  <si>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</si>
  <si>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</si>
  <si>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</si>
  <si>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</si>
  <si>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</si>
  <si>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</si>
  <si>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</si>
  <si>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</si>
  <si>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</si>
  <si>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</si>
  <si>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</si>
  <si>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</si>
  <si>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</si>
  <si>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</si>
  <si>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</si>
  <si>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</si>
  <si>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</si>
  <si>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</si>
  <si>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</si>
  <si>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</si>
  <si>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</si>
  <si>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</si>
  <si>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</si>
  <si>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</si>
  <si>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</si>
  <si>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</si>
  <si>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</si>
  <si>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</si>
  <si>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</si>
  <si>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</si>
  <si>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</si>
  <si>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</si>
  <si>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</si>
  <si>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</si>
  <si>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</si>
  <si>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</si>
  <si>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</si>
  <si>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</si>
  <si>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</si>
  <si>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</si>
  <si>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</si>
  <si>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</si>
  <si>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</si>
  <si>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</si>
  <si>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</si>
  <si>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</si>
  <si>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</si>
  <si>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</si>
  <si>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</si>
  <si>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</si>
  <si>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</si>
  <si>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</si>
  <si>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</si>
  <si>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</si>
  <si>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</si>
  <si>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</si>
  <si>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</si>
  <si>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</si>
  <si>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</si>
  <si>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</si>
  <si>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</si>
  <si>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</si>
  <si>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</si>
  <si>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</si>
  <si>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</si>
  <si>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</si>
  <si>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</si>
  <si>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</si>
  <si>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</si>
  <si>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</si>
  <si>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</si>
  <si>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</si>
  <si>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</si>
  <si>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</si>
  <si>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</si>
  <si>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</si>
  <si>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</si>
  <si>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</si>
  <si>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</si>
  <si>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</si>
  <si>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</si>
  <si>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</si>
  <si>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</si>
  <si>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</si>
  <si>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</si>
  <si>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</si>
  <si>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</si>
  <si>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</si>
  <si>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</si>
  <si>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</si>
  <si>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</si>
  <si>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</si>
  <si>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</si>
  <si>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</si>
  <si>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</si>
  <si>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</si>
  <si>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</si>
  <si>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</si>
  <si>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</si>
  <si>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</si>
  <si>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</si>
  <si>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</si>
  <si>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</si>
  <si>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</si>
  <si>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</si>
  <si>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</si>
  <si>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</si>
  <si>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</si>
  <si>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</si>
  <si>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</si>
  <si>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</si>
  <si>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</si>
  <si>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</si>
  <si>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</si>
  <si>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</si>
  <si>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</si>
  <si>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</si>
  <si>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</si>
  <si>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</si>
  <si>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</si>
  <si>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</si>
  <si>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</si>
  <si>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</si>
  <si>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</si>
  <si>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</si>
  <si>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</si>
  <si>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</si>
  <si>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</si>
  <si>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</si>
  <si>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</si>
  <si>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</si>
  <si>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</si>
  <si>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t>تقييم السرية/فريق القتال في تمرير تقارير المعلومات - تمرين جاهزية مجموعة لواء الإمارات/1 (جندي الصحراء 2025/20)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</si>
</sst>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2" Type="http://schemas.openxmlformats.org/officeDocument/2006/relationships/image" Target="../media/image1.png" /><Relationship Id="rId1" Type="http://schemas.openxmlformats.org/officeDocument/2006/relationships/customXml" Target="../ink/ink1.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6</xdr:col>
      <xdr:colOff>169332</xdr:colOff>
      <xdr:row>35</xdr:row>
      <xdr:rowOff>415505</xdr:rowOff>
    </xdr:from>
    <xdr:to>
      <xdr:col>8</xdr:col>
      <xdr:colOff>400071</xdr:colOff>
      <xdr:row>36</xdr:row>
      <xdr:rowOff>614135</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D630E0C1-CF5B-AA6F-D259-301F73BB6997}"/>
                </a:ext>
              </a:extLst>
            </xdr14:cNvPr>
            <xdr14:cNvContentPartPr/>
          </xdr14:nvContentPartPr>
          <xdr14:nvPr macro=""/>
          <xdr14:xfrm>
            <a:off x="10398844838" y="18183960"/>
            <a:ext cx="1546920" cy="729720"/>
          </xdr14:xfrm>
        </xdr:contentPart>
      </mc:Choice>
      <mc:Fallback>
        <xdr:pic>
          <xdr:nvPicPr>
            <xdr:cNvPr id="2" name="Ink 1">
              <a:extLst>
                <a:ext uri="{FF2B5EF4-FFF2-40B4-BE49-F238E27FC236}">
                  <a16:creationId xmlns:a16="http://schemas.microsoft.com/office/drawing/2014/main" id="{D630E0C1-CF5B-AA6F-D259-301F73BB6997}"/>
                </a:ext>
              </a:extLst>
            </xdr:cNvPr>
            <xdr:cNvPicPr/>
          </xdr:nvPicPr>
          <xdr:blipFill>
            <a:blip xmlns:r="http://schemas.openxmlformats.org/officeDocument/2006/relationships" r:embed="rId2"/>
            <a:stretch>
              <a:fillRect/>
            </a:stretch>
          </xdr:blipFill>
          <xdr:spPr>
            <a:xfrm>
              <a:off x="10398836198" y="18175320"/>
              <a:ext cx="1564560" cy="747360"/>
            </a:xfrm>
            <a:prstGeom prst="rect">
              <a:avLst/>
            </a:prstGeom>
          </xdr:spPr>
        </xdr:pic>
      </mc:Fallback>
    </mc:AlternateContent>
    <xdr:clientData/>
  </xdr:twoCellAnchor>
  <xdr:twoCellAnchor editAs="oneCell">
    <xdr:from>
      <xdr:col>6</xdr:col>
      <xdr:colOff>500172</xdr:colOff>
      <xdr:row>36</xdr:row>
      <xdr:rowOff>555455</xdr:rowOff>
    </xdr:from>
    <xdr:to>
      <xdr:col>6</xdr:col>
      <xdr:colOff>522132</xdr:colOff>
      <xdr:row>36</xdr:row>
      <xdr:rowOff>579215</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BF38F4C0-7E6C-BBFC-13A5-6DE444FDE3C7}"/>
                </a:ext>
              </a:extLst>
            </xdr14:cNvPr>
            <xdr14:cNvContentPartPr/>
          </xdr14:nvContentPartPr>
          <xdr14:nvPr macro=""/>
          <xdr14:xfrm>
            <a:off x="10400038958" y="18855000"/>
            <a:ext cx="21960" cy="23760"/>
          </xdr14:xfrm>
        </xdr:contentPart>
      </mc:Choice>
      <mc:Fallback>
        <xdr:pic>
          <xdr:nvPicPr>
            <xdr:cNvPr id="3" name="Ink 2">
              <a:extLst>
                <a:ext uri="{FF2B5EF4-FFF2-40B4-BE49-F238E27FC236}">
                  <a16:creationId xmlns:a16="http://schemas.microsoft.com/office/drawing/2014/main" id="{BF38F4C0-7E6C-BBFC-13A5-6DE444FDE3C7}"/>
                </a:ext>
              </a:extLst>
            </xdr:cNvPr>
            <xdr:cNvPicPr/>
          </xdr:nvPicPr>
          <xdr:blipFill>
            <a:blip xmlns:r="http://schemas.openxmlformats.org/officeDocument/2006/relationships" r:embed="rId4"/>
            <a:stretch>
              <a:fillRect/>
            </a:stretch>
          </xdr:blipFill>
          <xdr:spPr>
            <a:xfrm>
              <a:off x="10400030318" y="18846000"/>
              <a:ext cx="39600" cy="414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4T07:37:12.996"/>
    </inkml:context>
    <inkml:brush xml:id="br0">
      <inkml:brushProperty name="width" value="0.05" units="cm"/>
      <inkml:brushProperty name="height" value="0.05" units="cm"/>
    </inkml:brush>
  </inkml:definitions>
  <inkml:trace contextRef="#ctx0" brushRef="#br0">4023 747 13714,'0'0'0,"0"-27"1921,0 27-1921,2-23-104,-2 2 8,5 5 8,-3 15 48,-2 1 40,3-2 40,4 1 48,2-2 24,-9 2 56,0 1-168,5-2 144,-2 1 8,-1 1-64,3 0-8,-5 0-80,2 0 48,10 3-16,-7 8 48,14-8-72,-19-3-8,12 17 48,5-3-40,0 3 32,0 3-8,-17-20-32,14 22 32,6 0-8,-4 1 8,1 0-16,-17-23-16,15 23 8,-1-1-32,-2 1-32,-7-2 72,-5-21-16,14 20 32,-11 2 24,-3-1-8,0-1 16,0-20-64,0 20 72,-12 0 64,0 0 40,-10 1-96,22-21-80,-26 23 112,-6 1-64,-6 0 72,-8-1-8,46-23-112,-48 22-8,-7 0 32,-10-2-48,0-2 80,65-18-56,-67 16 168,2-3-16,4-9-56,13 0 24,48-4-120,-45 3 56,9-3 8,4 0-32,3 0-8,29 0-24,-26-3 16,2-3 8,5 1 32,-1-7-40,20 12-16,-19-4 24,5 0-48,9-2 32,-9 2-64,14 4 56,-5-4 32,5-1-8,-8 2-8,4 2 40,4 1-56,-3-1-72,-9-1 24,7 2 16,-9 0-16,14 0 48,-17 3-24,-2 1 24,-3 1-40,-2 6 8,24-11 32,-29 3-16,-7 1-32,0 7 48,-9-8 24,45-3-24,-51 13-24,-4-10-8,-3 10-40,-9-9 24,67-4 48,-68 13-24,-9-9 80,-5 13 16,-4-6-8,86-11-64,-94 13 24,-5 1 56,-4 2 40,-5-2-80,108-14-40,-108 16 144,4-2 49,-2 0 23,10 2 128,96-16-344,-106 16 360,5-2-112,0-1-24,3-2 32,98-11-256,-94 3 240,2 8-104,-1-8 48,-1 0-160,94-3-24,-89 4-24,2-1 184,-2 0-96,7-3-48,82 0-16,-79 0 144,0 0-144,7 0 40,9 0 72,63 0-112,-60 0-64,7 0 16,10 3 32,4-3 16,39 0 0,-34 3 24,6-3 56,11 2-80,2-2 0,15 0 0,0 0-80,0 0-64,-2 0-72,2 0 24,0 0 192,2 0-200,15 0 48,5 0 72,7 0 40,-29 0 40,38 0-8,13-5 32,9-15 16,22-1-80,-82 21 40,93-30 48,11-4-72,14-9 40,7-4 96,-125 47-112,134-53 40,13-3 56,7-6-32,5 0-136,-159 62 72,156-66 64,-2-2 0,-2-4 24,2-6 56,-154 78-144,154-80 112,-3-4-72,-7 2-32,-6-1 8,-138 83-16,127-82-48,-7 5 176,-7 4-56,-14 8 72,-99 65-144,82-57 80,-20 10-56,-14 9 56,-19 8-32,-29 30-48,15-21 224,-15 7-24,-5 9-56,-14 0-24,19 5-120,-32-3 64,-6 3-104,-15 4 144,-10 19 16,63-23-120,-69 24 96,-4 9 104,-1 8-48,11 4 24,63-45-176,-62 52 161,7 4-41,14 7 72,2 5-72,39-68-120,-31 77 128,7 7-24,2 7-8,5 8 16,17-99-112,-12 101 96,12 0-152,-2-1 16,2-8-16,0-92 56,5 85-8,7-5 200,-10-10-96,15-6 16,-17-64-112,17 59 0,-3-3-16,1-5 88,-1-3-48,-14-48-24,15 46 72,-1-5-16,-2-1-208,0-5-104,-12-35 256,12 33-600,0 0-761,3-2-535,-3-1-1097,-12-30 2993,14 27-3865,5-6 729,0 0-2601,-19-21 5737</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4T07:37:13.424"/>
    </inkml:context>
    <inkml:brush xml:id="br0">
      <inkml:brushProperty name="width" value="0.05" units="cm"/>
      <inkml:brushProperty name="height" value="0.05" units="cm"/>
    </inkml:brush>
  </inkml:definitions>
  <inkml:trace contextRef="#ctx0" brushRef="#br0">61 66 25485,'0'0'0,"0"0"0,-2-5-24,2 1-120,0 0 8,0 3 120,0 1 16,0-2 88,0 1-64,0 1-24,-3-2-56,3 2 56,-2-3-336,-3-1-312,0 0-497,3 1-495,2 3 1640,-12-4-2632,7-8-1361,0 1 592,-14 5-4457,19 6 7858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D23" zoomScale="130" zoomScaleNormal="100" zoomScaleSheetLayoutView="130" workbookViewId="0">
      <selection activeCell="G37" sqref="G37:J37"/>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1" t="s">
        <v>201</v>
      </c>
      <c r="C1" s="71"/>
      <c r="D1" s="71"/>
      <c r="E1" s="71"/>
      <c r="F1" s="71"/>
      <c r="G1" s="71"/>
      <c r="H1" s="71"/>
      <c r="I1" s="71"/>
      <c r="J1" s="71"/>
    </row>
    <row r="2" spans="1:10" ht="30" customHeight="1" x14ac:dyDescent="0.2">
      <c r="B2" s="13" t="s">
        <v>8</v>
      </c>
      <c r="C2" s="77" t="s">
        <v>37</v>
      </c>
      <c r="D2" s="77"/>
      <c r="E2" s="13" t="s">
        <v>7</v>
      </c>
      <c r="F2" s="72">
        <v>45913</v>
      </c>
      <c r="G2" s="72"/>
      <c r="H2" s="72"/>
      <c r="I2" s="72"/>
      <c r="J2" s="72"/>
    </row>
    <row r="3" spans="1:10" ht="30" customHeight="1" x14ac:dyDescent="0.2">
      <c r="B3" s="13" t="s">
        <v>9</v>
      </c>
      <c r="C3" s="77" t="s">
        <v>78</v>
      </c>
      <c r="D3" s="77"/>
      <c r="E3" s="13" t="s">
        <v>6</v>
      </c>
      <c r="F3" s="77" t="s">
        <v>134</v>
      </c>
      <c r="G3" s="77"/>
      <c r="H3" s="77"/>
      <c r="I3" s="77"/>
      <c r="J3" s="77"/>
    </row>
    <row r="4" spans="1:10" ht="30" customHeight="1" thickBot="1" x14ac:dyDescent="0.25">
      <c r="B4" s="6"/>
      <c r="C4" s="7"/>
      <c r="D4" s="7"/>
      <c r="E4" s="6"/>
      <c r="F4" s="7"/>
      <c r="G4" s="7"/>
      <c r="H4" s="8"/>
      <c r="I4" s="7"/>
      <c r="J4" s="7"/>
    </row>
    <row r="5" spans="1:10" ht="24.95" customHeight="1" x14ac:dyDescent="0.2">
      <c r="A5" s="11"/>
      <c r="B5" s="73" t="s">
        <v>0</v>
      </c>
      <c r="C5" s="74"/>
      <c r="D5" s="74"/>
      <c r="E5" s="82" t="s">
        <v>1</v>
      </c>
      <c r="F5" s="82"/>
      <c r="G5" s="82"/>
      <c r="H5" s="82"/>
      <c r="I5" s="82" t="s">
        <v>2</v>
      </c>
      <c r="J5" s="83"/>
    </row>
    <row r="6" spans="1:10" ht="24.95" customHeight="1" thickBot="1" x14ac:dyDescent="0.25">
      <c r="A6" s="11"/>
      <c r="B6" s="75"/>
      <c r="C6" s="76"/>
      <c r="D6" s="76"/>
      <c r="E6" s="12" t="s">
        <v>3</v>
      </c>
      <c r="F6" s="12" t="s">
        <v>4</v>
      </c>
      <c r="G6" s="12" t="s">
        <v>23</v>
      </c>
      <c r="H6" s="12" t="s">
        <v>24</v>
      </c>
      <c r="I6" s="84"/>
      <c r="J6" s="85"/>
    </row>
    <row r="7" spans="1:10" ht="24.95" customHeight="1" thickBot="1" x14ac:dyDescent="0.25">
      <c r="A7" s="11"/>
      <c r="B7" s="80" t="s">
        <v>21</v>
      </c>
      <c r="C7" s="81"/>
      <c r="D7" s="81"/>
      <c r="E7" s="30" t="s">
        <v>18</v>
      </c>
      <c r="F7" s="30" t="s">
        <v>19</v>
      </c>
      <c r="G7" s="30" t="s">
        <v>22</v>
      </c>
      <c r="H7" s="30" t="s">
        <v>20</v>
      </c>
      <c r="I7" s="93" t="s">
        <v>25</v>
      </c>
      <c r="J7" s="94"/>
    </row>
    <row r="8" spans="1:10" ht="39.950000000000003" customHeight="1" thickBot="1" x14ac:dyDescent="0.25">
      <c r="A8" s="11"/>
      <c r="B8" s="49" t="s">
        <v>195</v>
      </c>
      <c r="C8" s="50"/>
      <c r="D8" s="50"/>
      <c r="E8" s="10">
        <v>5</v>
      </c>
      <c r="F8" s="41">
        <v>3.75</v>
      </c>
      <c r="G8" s="42">
        <f>IFERROR(F8/E8,"")</f>
        <v>0.75</v>
      </c>
      <c r="H8" s="28" t="str">
        <f>_xlfn.IFS(F8="أدخل العلامة","",F8="لا ينطبق","تم الإلغاء",G8&gt;=90%,"ممتاز",G8&gt;=80%,"جيد جداً",G8&gt;=70%,"جيد",G8&gt;=60%,"مقبول",G8&lt;60%,"راسب")</f>
        <v>جيد</v>
      </c>
      <c r="I8" s="91"/>
      <c r="J8" s="92"/>
    </row>
    <row r="9" spans="1:10" ht="39.950000000000003" customHeight="1" thickBot="1" x14ac:dyDescent="0.25">
      <c r="A9" s="11"/>
      <c r="B9" s="51" t="s">
        <v>196</v>
      </c>
      <c r="C9" s="52"/>
      <c r="D9" s="52"/>
      <c r="E9" s="10">
        <v>5</v>
      </c>
      <c r="F9" s="41">
        <v>3.75</v>
      </c>
      <c r="G9" s="42">
        <f>IFERROR(F9/E9,"")</f>
        <v>0.75</v>
      </c>
      <c r="H9" s="28" t="str">
        <f>_xlfn.IFS(F9="أدخل العلامة","",F9="لا ينطبق","تم الإلغاء",G9&gt;=90%,"ممتاز",G9&gt;=80%,"جيد جداً",G9&gt;=70%,"جيد",G9&gt;=60%,"مقبول",G9&lt;60%,"راسب")</f>
        <v>جيد</v>
      </c>
      <c r="I9" s="91"/>
      <c r="J9" s="92"/>
    </row>
    <row r="10" spans="1:10" ht="39.950000000000003" customHeight="1" thickBot="1" x14ac:dyDescent="0.25">
      <c r="A10" s="11"/>
      <c r="B10" s="51" t="s">
        <v>197</v>
      </c>
      <c r="C10" s="52"/>
      <c r="D10" s="5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1"/>
      <c r="J10" s="92"/>
    </row>
    <row r="11" spans="1:10" ht="39.950000000000003" customHeight="1" x14ac:dyDescent="0.2">
      <c r="A11" s="11"/>
      <c r="B11" s="47" t="s">
        <v>198</v>
      </c>
      <c r="C11" s="48"/>
      <c r="D11" s="48"/>
      <c r="E11" s="40"/>
      <c r="F11" s="34"/>
      <c r="G11" s="35"/>
      <c r="H11" s="36"/>
      <c r="I11" s="57"/>
      <c r="J11" s="58"/>
    </row>
    <row r="12" spans="1:10" ht="39.950000000000003" customHeight="1" x14ac:dyDescent="0.2">
      <c r="A12" s="11"/>
      <c r="B12" s="43" t="s">
        <v>176</v>
      </c>
      <c r="C12" s="44"/>
      <c r="D12" s="44"/>
      <c r="E12" s="9">
        <v>5</v>
      </c>
      <c r="F12" s="27">
        <v>3.25</v>
      </c>
      <c r="G12" s="32">
        <f t="shared" si="0"/>
        <v>0.65</v>
      </c>
      <c r="H12" s="33" t="str">
        <f t="shared" si="1"/>
        <v>مقبول</v>
      </c>
      <c r="I12" s="55"/>
      <c r="J12" s="56"/>
    </row>
    <row r="13" spans="1:10" ht="54.95" customHeight="1" x14ac:dyDescent="0.2">
      <c r="A13" s="11"/>
      <c r="B13" s="43" t="s">
        <v>177</v>
      </c>
      <c r="C13" s="44"/>
      <c r="D13" s="44"/>
      <c r="E13" s="9">
        <v>5</v>
      </c>
      <c r="F13" s="27">
        <v>3.25</v>
      </c>
      <c r="G13" s="32">
        <f t="shared" si="0"/>
        <v>0.65</v>
      </c>
      <c r="H13" s="33" t="str">
        <f t="shared" si="1"/>
        <v>مقبول</v>
      </c>
      <c r="I13" s="55"/>
      <c r="J13" s="56"/>
    </row>
    <row r="14" spans="1:10" ht="71.25" customHeight="1" x14ac:dyDescent="0.2">
      <c r="A14" s="11"/>
      <c r="B14" s="43" t="s">
        <v>178</v>
      </c>
      <c r="C14" s="44"/>
      <c r="D14" s="44"/>
      <c r="E14" s="9">
        <v>5</v>
      </c>
      <c r="F14" s="27">
        <v>3.25</v>
      </c>
      <c r="G14" s="32">
        <f t="shared" si="0"/>
        <v>0.65</v>
      </c>
      <c r="H14" s="33" t="str">
        <f t="shared" si="1"/>
        <v>مقبول</v>
      </c>
      <c r="I14" s="55"/>
      <c r="J14" s="56"/>
    </row>
    <row r="15" spans="1:10" ht="39.950000000000003" customHeight="1" x14ac:dyDescent="0.2">
      <c r="A15" s="11"/>
      <c r="B15" s="43" t="s">
        <v>179</v>
      </c>
      <c r="C15" s="44"/>
      <c r="D15" s="44"/>
      <c r="E15" s="9">
        <v>5</v>
      </c>
      <c r="F15" s="27">
        <v>3.75</v>
      </c>
      <c r="G15" s="32">
        <f t="shared" si="0"/>
        <v>0.75</v>
      </c>
      <c r="H15" s="33" t="str">
        <f t="shared" si="1"/>
        <v>جيد</v>
      </c>
      <c r="I15" s="55"/>
      <c r="J15" s="56"/>
    </row>
    <row r="16" spans="1:10" ht="68.25" customHeight="1" x14ac:dyDescent="0.2">
      <c r="A16" s="11"/>
      <c r="B16" s="43" t="s">
        <v>180</v>
      </c>
      <c r="C16" s="44"/>
      <c r="D16" s="44"/>
      <c r="E16" s="9">
        <v>5</v>
      </c>
      <c r="F16" s="27">
        <v>3.75</v>
      </c>
      <c r="G16" s="32">
        <f t="shared" si="0"/>
        <v>0.75</v>
      </c>
      <c r="H16" s="33" t="str">
        <f t="shared" si="1"/>
        <v>جيد</v>
      </c>
      <c r="I16" s="55"/>
      <c r="J16" s="56"/>
    </row>
    <row r="17" spans="1:10" ht="65.099999999999994" customHeight="1" thickBot="1" x14ac:dyDescent="0.25">
      <c r="A17" s="11"/>
      <c r="B17" s="45" t="s">
        <v>181</v>
      </c>
      <c r="C17" s="46"/>
      <c r="D17" s="46"/>
      <c r="E17" s="37">
        <v>5</v>
      </c>
      <c r="F17" s="29">
        <v>3.75</v>
      </c>
      <c r="G17" s="38">
        <f t="shared" si="0"/>
        <v>0.75</v>
      </c>
      <c r="H17" s="39" t="str">
        <f t="shared" si="1"/>
        <v>جيد</v>
      </c>
      <c r="I17" s="53"/>
      <c r="J17" s="54"/>
    </row>
    <row r="18" spans="1:10" ht="39.950000000000003" customHeight="1" x14ac:dyDescent="0.2">
      <c r="A18" s="11"/>
      <c r="B18" s="59" t="s">
        <v>199</v>
      </c>
      <c r="C18" s="60"/>
      <c r="D18" s="60"/>
      <c r="E18" s="40"/>
      <c r="F18" s="34"/>
      <c r="G18" s="35"/>
      <c r="H18" s="36"/>
      <c r="I18" s="57"/>
      <c r="J18" s="58"/>
    </row>
    <row r="19" spans="1:10" ht="39.950000000000003" customHeight="1" x14ac:dyDescent="0.2">
      <c r="A19" s="11"/>
      <c r="B19" s="43" t="s">
        <v>182</v>
      </c>
      <c r="C19" s="44"/>
      <c r="D19" s="44"/>
      <c r="E19" s="9">
        <v>5</v>
      </c>
      <c r="F19" s="27">
        <v>3.75</v>
      </c>
      <c r="G19" s="32">
        <f t="shared" si="0"/>
        <v>0.75</v>
      </c>
      <c r="H19" s="33" t="str">
        <f t="shared" si="1"/>
        <v>جيد</v>
      </c>
      <c r="I19" s="55"/>
      <c r="J19" s="56"/>
    </row>
    <row r="20" spans="1:10" ht="39.950000000000003" customHeight="1" x14ac:dyDescent="0.2">
      <c r="A20" s="11"/>
      <c r="B20" s="43" t="s">
        <v>183</v>
      </c>
      <c r="C20" s="44"/>
      <c r="D20" s="44"/>
      <c r="E20" s="9">
        <v>5</v>
      </c>
      <c r="F20" s="27">
        <v>3.25</v>
      </c>
      <c r="G20" s="32">
        <f t="shared" si="0"/>
        <v>0.65</v>
      </c>
      <c r="H20" s="33" t="str">
        <f t="shared" si="1"/>
        <v>مقبول</v>
      </c>
      <c r="I20" s="55"/>
      <c r="J20" s="56"/>
    </row>
    <row r="21" spans="1:10" ht="39.950000000000003" customHeight="1" x14ac:dyDescent="0.2">
      <c r="A21" s="11"/>
      <c r="B21" s="43" t="s">
        <v>184</v>
      </c>
      <c r="C21" s="44"/>
      <c r="D21" s="44"/>
      <c r="E21" s="9">
        <v>5</v>
      </c>
      <c r="F21" s="27">
        <v>3.25</v>
      </c>
      <c r="G21" s="32">
        <f t="shared" si="0"/>
        <v>0.65</v>
      </c>
      <c r="H21" s="33" t="str">
        <f t="shared" si="1"/>
        <v>مقبول</v>
      </c>
      <c r="I21" s="55"/>
      <c r="J21" s="56"/>
    </row>
    <row r="22" spans="1:10" ht="39.950000000000003" customHeight="1" x14ac:dyDescent="0.2">
      <c r="A22" s="11"/>
      <c r="B22" s="43" t="s">
        <v>185</v>
      </c>
      <c r="C22" s="44"/>
      <c r="D22" s="44"/>
      <c r="E22" s="9">
        <v>5</v>
      </c>
      <c r="F22" s="27">
        <v>3.75</v>
      </c>
      <c r="G22" s="32">
        <f t="shared" si="0"/>
        <v>0.75</v>
      </c>
      <c r="H22" s="33" t="str">
        <f t="shared" si="1"/>
        <v>جيد</v>
      </c>
      <c r="I22" s="55"/>
      <c r="J22" s="56"/>
    </row>
    <row r="23" spans="1:10" ht="39.950000000000003" customHeight="1" x14ac:dyDescent="0.2">
      <c r="A23" s="11"/>
      <c r="B23" s="43" t="s">
        <v>186</v>
      </c>
      <c r="C23" s="44"/>
      <c r="D23" s="44"/>
      <c r="E23" s="9">
        <v>5</v>
      </c>
      <c r="F23" s="27">
        <v>3.25</v>
      </c>
      <c r="G23" s="32">
        <f t="shared" si="0"/>
        <v>0.65</v>
      </c>
      <c r="H23" s="33" t="str">
        <f t="shared" si="1"/>
        <v>مقبول</v>
      </c>
      <c r="I23" s="55"/>
      <c r="J23" s="56"/>
    </row>
    <row r="24" spans="1:10" ht="39.950000000000003" customHeight="1" x14ac:dyDescent="0.2">
      <c r="A24" s="11"/>
      <c r="B24" s="43" t="s">
        <v>187</v>
      </c>
      <c r="C24" s="44"/>
      <c r="D24" s="44"/>
      <c r="E24" s="9">
        <v>5</v>
      </c>
      <c r="F24" s="27">
        <v>3.25</v>
      </c>
      <c r="G24" s="32">
        <f t="shared" si="0"/>
        <v>0.65</v>
      </c>
      <c r="H24" s="33" t="str">
        <f t="shared" si="1"/>
        <v>مقبول</v>
      </c>
      <c r="I24" s="55"/>
      <c r="J24" s="56"/>
    </row>
    <row r="25" spans="1:10" ht="39.950000000000003" customHeight="1" x14ac:dyDescent="0.2">
      <c r="A25" s="11"/>
      <c r="B25" s="43" t="s">
        <v>188</v>
      </c>
      <c r="C25" s="44"/>
      <c r="D25" s="44"/>
      <c r="E25" s="9">
        <v>5</v>
      </c>
      <c r="F25" s="27">
        <v>3.25</v>
      </c>
      <c r="G25" s="32">
        <f t="shared" si="0"/>
        <v>0.65</v>
      </c>
      <c r="H25" s="33" t="str">
        <f t="shared" si="1"/>
        <v>مقبول</v>
      </c>
      <c r="I25" s="55"/>
      <c r="J25" s="56"/>
    </row>
    <row r="26" spans="1:10" ht="39.950000000000003" customHeight="1" thickBot="1" x14ac:dyDescent="0.25">
      <c r="A26" s="11"/>
      <c r="B26" s="45" t="s">
        <v>189</v>
      </c>
      <c r="C26" s="46"/>
      <c r="D26" s="46"/>
      <c r="E26" s="37">
        <v>5</v>
      </c>
      <c r="F26" s="29">
        <v>3.75</v>
      </c>
      <c r="G26" s="38">
        <f t="shared" si="0"/>
        <v>0.75</v>
      </c>
      <c r="H26" s="39" t="str">
        <f t="shared" si="1"/>
        <v>جيد</v>
      </c>
      <c r="I26" s="53"/>
      <c r="J26" s="54"/>
    </row>
    <row r="27" spans="1:10" ht="39.950000000000003" customHeight="1" x14ac:dyDescent="0.2">
      <c r="A27" s="11"/>
      <c r="B27" s="47" t="s">
        <v>200</v>
      </c>
      <c r="C27" s="48"/>
      <c r="D27" s="48"/>
      <c r="E27" s="40"/>
      <c r="F27" s="34"/>
      <c r="G27" s="35"/>
      <c r="H27" s="36"/>
      <c r="I27" s="57"/>
      <c r="J27" s="58"/>
    </row>
    <row r="28" spans="1:10" ht="39.950000000000003" customHeight="1" x14ac:dyDescent="0.2">
      <c r="A28" s="11"/>
      <c r="B28" s="43" t="s">
        <v>190</v>
      </c>
      <c r="C28" s="44"/>
      <c r="D28" s="44"/>
      <c r="E28" s="9">
        <v>5</v>
      </c>
      <c r="F28" s="27">
        <v>3.75</v>
      </c>
      <c r="G28" s="32">
        <f t="shared" si="0"/>
        <v>0.75</v>
      </c>
      <c r="H28" s="33" t="str">
        <f t="shared" si="1"/>
        <v>جيد</v>
      </c>
      <c r="I28" s="55"/>
      <c r="J28" s="56"/>
    </row>
    <row r="29" spans="1:10" ht="39.950000000000003" customHeight="1" x14ac:dyDescent="0.2">
      <c r="A29" s="11"/>
      <c r="B29" s="43" t="s">
        <v>191</v>
      </c>
      <c r="C29" s="44"/>
      <c r="D29" s="44"/>
      <c r="E29" s="9">
        <v>5</v>
      </c>
      <c r="F29" s="27">
        <v>3.75</v>
      </c>
      <c r="G29" s="32">
        <f t="shared" si="0"/>
        <v>0.75</v>
      </c>
      <c r="H29" s="33" t="str">
        <f t="shared" si="1"/>
        <v>جيد</v>
      </c>
      <c r="I29" s="55"/>
      <c r="J29" s="56"/>
    </row>
    <row r="30" spans="1:10" ht="39.950000000000003" customHeight="1" x14ac:dyDescent="0.2">
      <c r="A30" s="11"/>
      <c r="B30" s="43" t="s">
        <v>192</v>
      </c>
      <c r="C30" s="44"/>
      <c r="D30" s="44"/>
      <c r="E30" s="9">
        <v>5</v>
      </c>
      <c r="F30" s="27">
        <v>3.75</v>
      </c>
      <c r="G30" s="32">
        <f t="shared" si="0"/>
        <v>0.75</v>
      </c>
      <c r="H30" s="33" t="str">
        <f t="shared" si="1"/>
        <v>جيد</v>
      </c>
      <c r="I30" s="55"/>
      <c r="J30" s="56"/>
    </row>
    <row r="31" spans="1:10" ht="39.950000000000003" customHeight="1" x14ac:dyDescent="0.2">
      <c r="A31" s="11"/>
      <c r="B31" s="43" t="s">
        <v>193</v>
      </c>
      <c r="C31" s="44"/>
      <c r="D31" s="44"/>
      <c r="E31" s="9">
        <v>5</v>
      </c>
      <c r="F31" s="27">
        <v>3.75</v>
      </c>
      <c r="G31" s="32">
        <f t="shared" si="0"/>
        <v>0.75</v>
      </c>
      <c r="H31" s="33" t="str">
        <f t="shared" si="1"/>
        <v>جيد</v>
      </c>
      <c r="I31" s="55"/>
      <c r="J31" s="56"/>
    </row>
    <row r="32" spans="1:10" ht="39.950000000000003" customHeight="1" thickBot="1" x14ac:dyDescent="0.25">
      <c r="A32" s="11"/>
      <c r="B32" s="45" t="s">
        <v>194</v>
      </c>
      <c r="C32" s="46"/>
      <c r="D32" s="46"/>
      <c r="E32" s="37">
        <v>5</v>
      </c>
      <c r="F32" s="29">
        <v>3.5</v>
      </c>
      <c r="G32" s="38">
        <f t="shared" si="0"/>
        <v>0.7</v>
      </c>
      <c r="H32" s="39" t="str">
        <f t="shared" si="1"/>
        <v>جيد</v>
      </c>
      <c r="I32" s="53"/>
      <c r="J32" s="54"/>
    </row>
    <row r="33" spans="1:10" ht="30" customHeight="1" thickBot="1" x14ac:dyDescent="0.25">
      <c r="A33" s="4"/>
      <c r="B33" s="61" t="s">
        <v>5</v>
      </c>
      <c r="C33" s="62"/>
      <c r="D33" s="62"/>
      <c r="E33" s="31">
        <f>SUM(E8:E32)</f>
        <v>110</v>
      </c>
      <c r="F33" s="31">
        <f>SUM(F8:F32)</f>
        <v>78.25</v>
      </c>
      <c r="G33" s="88"/>
      <c r="H33" s="89"/>
      <c r="I33" s="89"/>
      <c r="J33" s="90"/>
    </row>
    <row r="34" spans="1:10" ht="30" customHeight="1" thickBot="1" x14ac:dyDescent="0.25">
      <c r="A34" s="4"/>
      <c r="B34" s="63" t="s">
        <v>54</v>
      </c>
      <c r="C34" s="64"/>
      <c r="D34" s="64"/>
      <c r="E34" s="78">
        <f>F33/E33/100*100</f>
        <v>0.71136363636363631</v>
      </c>
      <c r="F34" s="78"/>
      <c r="G34" s="78"/>
      <c r="H34" s="78"/>
      <c r="I34" s="78"/>
      <c r="J34" s="79"/>
    </row>
    <row r="35" spans="1:10" ht="30" customHeight="1" thickBot="1" x14ac:dyDescent="0.2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2">
      <c r="B36" s="65" t="s">
        <v>175</v>
      </c>
      <c r="C36" s="65"/>
      <c r="D36" s="65"/>
      <c r="E36" s="86" t="s">
        <v>52</v>
      </c>
      <c r="F36" s="86"/>
      <c r="G36" s="67" t="s">
        <v>134</v>
      </c>
      <c r="H36" s="67"/>
      <c r="I36" s="67"/>
      <c r="J36" s="67"/>
    </row>
    <row r="37" spans="1:10" ht="51" customHeight="1" x14ac:dyDescent="0.2">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2025-10-08T09:44:46Z</dcterms:modified>
</cp:coreProperties>
</file>