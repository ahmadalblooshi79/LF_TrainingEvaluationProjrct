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59DAABF6-6608-45D8-AF00-C0B300E49237}"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التقييم'!$A$1:$J$50</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c r="G10" i="2"/>
  <c r="H10" i="2"/>
  <c r="G11" i="2"/>
  <c r="H11" i="2"/>
  <c r="G12" i="2"/>
  <c r="H12" i="2"/>
  <c r="G13" i="2"/>
  <c r="H13" i="2"/>
  <c r="G15" i="2"/>
  <c r="H15" i="2" s="1"/>
  <c r="G16" i="2"/>
  <c r="H16" i="2"/>
  <c r="G17" i="2"/>
  <c r="H17" i="2" s="1"/>
  <c r="G18" i="2"/>
  <c r="H18" i="2"/>
  <c r="G19" i="2"/>
  <c r="H19" i="2"/>
  <c r="G20" i="2"/>
  <c r="H20" i="2"/>
  <c r="G21" i="2"/>
  <c r="H21" i="2" s="1"/>
  <c r="G22" i="2"/>
  <c r="H22" i="2" s="1"/>
  <c r="G24" i="2"/>
  <c r="H24" i="2" s="1"/>
  <c r="G25" i="2"/>
  <c r="H25" i="2" s="1"/>
  <c r="G26" i="2"/>
  <c r="H26" i="2" s="1"/>
  <c r="G27" i="2"/>
  <c r="H27" i="2"/>
  <c r="G28" i="2"/>
  <c r="H28" i="2" s="1"/>
  <c r="G29" i="2"/>
  <c r="H29" i="2" s="1"/>
  <c r="G31" i="2"/>
  <c r="H31" i="2" s="1"/>
  <c r="G32" i="2"/>
  <c r="H32" i="2"/>
  <c r="G33" i="2"/>
  <c r="H33" i="2" s="1"/>
  <c r="G34" i="2"/>
  <c r="H34" i="2"/>
  <c r="G35" i="2"/>
  <c r="H35" i="2" s="1"/>
  <c r="G36" i="2"/>
  <c r="H36" i="2"/>
  <c r="G37" i="2"/>
  <c r="H37" i="2"/>
  <c r="G38" i="2"/>
  <c r="H38" i="2"/>
  <c r="G39" i="2"/>
  <c r="H39" i="2"/>
  <c r="G40" i="2"/>
  <c r="H40" i="2" s="1"/>
  <c r="G41" i="2"/>
  <c r="H41" i="2" s="1"/>
  <c r="G42" i="2"/>
  <c r="H42" i="2" s="1"/>
  <c r="G43" i="2"/>
  <c r="H43" i="2" s="1"/>
  <c r="G44" i="2"/>
  <c r="H44" i="2"/>
  <c r="G45" i="2"/>
  <c r="H45" i="2" s="1"/>
  <c r="F46" i="2"/>
  <c r="E47" i="2" s="1"/>
  <c r="E48" i="2" s="1"/>
  <c r="E46" i="2"/>
</calcChain>
</file>

<file path=xl/sharedStrings.xml><?xml version="1.0" encoding="utf-8"?>
<sst xmlns="http://schemas.openxmlformats.org/spreadsheetml/2006/main" count="275" uniqueCount="220">
  <si>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</si>
  <si>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</si>
  <si>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</si>
  <si>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</si>
  <si>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</si>
  <si>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</si>
  <si>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</si>
  <si>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</si>
  <si>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</si>
  <si>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</si>
  <si>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</si>
  <si>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</si>
  <si>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</si>
  <si>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</si>
  <si>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</si>
  <si>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</si>
  <si>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</si>
  <si>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</si>
  <si>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</si>
  <si>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</si>
  <si>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</si>
  <si>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</si>
  <si>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</si>
  <si>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</si>
  <si>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</si>
  <si>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</si>
  <si>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</si>
  <si>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</si>
  <si>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</si>
  <si>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</si>
  <si>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</si>
  <si>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</si>
  <si>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</si>
  <si>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</si>
  <si>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</si>
  <si>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</si>
  <si>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</si>
  <si>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</si>
  <si>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</si>
  <si>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</si>
  <si>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</si>
  <si>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</si>
  <si>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</si>
  <si>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</si>
  <si>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</si>
  <si>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</si>
  <si>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</si>
  <si>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</si>
  <si>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</si>
  <si>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</si>
  <si>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</si>
  <si>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</si>
  <si>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</si>
  <si>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</si>
  <si>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</si>
  <si>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</si>
  <si>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</si>
  <si>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</si>
  <si>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</si>
  <si>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</si>
  <si>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</si>
  <si>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</si>
  <si>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</si>
  <si>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</si>
  <si>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</si>
  <si>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</si>
  <si>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</si>
  <si>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</si>
  <si>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</si>
  <si>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</si>
  <si>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</si>
  <si>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</si>
  <si>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</si>
  <si>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</si>
  <si>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</si>
  <si>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</si>
  <si>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</si>
  <si>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</si>
  <si>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</si>
  <si>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</si>
  <si>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</si>
  <si>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</si>
  <si>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</si>
  <si>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</si>
  <si>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</si>
  <si>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</si>
  <si>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</si>
  <si>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</si>
  <si>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</si>
  <si>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</si>
  <si>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</si>
  <si>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</si>
  <si>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</si>
  <si>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</si>
  <si>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</si>
  <si>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</si>
  <si>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</si>
  <si>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</si>
  <si>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</si>
  <si>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</si>
  <si>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</si>
  <si>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</si>
  <si>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</si>
  <si>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</si>
  <si>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</si>
  <si>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</si>
  <si>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</si>
  <si>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</si>
  <si>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</si>
  <si>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</si>
  <si>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</si>
  <si>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</si>
  <si>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</si>
  <si>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</si>
  <si>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</si>
  <si>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</si>
  <si>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</si>
  <si>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</si>
  <si>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</si>
  <si>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</si>
  <si>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</si>
  <si>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</si>
  <si>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</si>
  <si>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</si>
  <si>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</si>
  <si>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</si>
  <si>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</si>
  <si>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</si>
  <si>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</si>
  <si>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</si>
  <si>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</si>
  <si>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</si>
  <si>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</si>
  <si>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</si>
  <si>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</si>
  <si>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</si>
  <si>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</si>
  <si>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</si>
  <si>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</si>
  <si>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</si>
  <si>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</si>
  <si>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</si>
  <si>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</si>
  <si>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</si>
  <si>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</si>
  <si>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</si>
  <si>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</si>
  <si>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</si>
  <si>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</si>
  <si>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</si>
  <si>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</si>
  <si>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</si>
  <si>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</si>
  <si>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</si>
  <si>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</si>
  <si>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</si>
  <si>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</si>
  <si>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</si>
  <si>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</si>
  <si>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</si>
  <si>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</si>
  <si>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</si>
  <si>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</si>
  <si>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</si>
  <si>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</si>
  <si>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</si>
  <si>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</si>
  <si>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</si>
  <si>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</si>
  <si>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</si>
  <si>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</si>
  <si>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</si>
  <si>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</si>
  <si>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مقدم ركن / عبدالرحمن محمد الطنيجي</t>
  </si>
  <si>
    <t xml:space="preserve">رائد / راشد ضاوي  راشد الطنيجي </t>
  </si>
  <si>
    <t>نقيب / حميد سعيد مسير الظاهري</t>
  </si>
  <si>
    <t>نقيب / يوسف محمد الفلاسي</t>
  </si>
  <si>
    <t>نقيب / سعيد راشد الظنحاني</t>
  </si>
  <si>
    <t xml:space="preserve">الوحــــــــــــــــــدة: </t>
  </si>
  <si>
    <t xml:space="preserve">اسم ضابط الصف: </t>
  </si>
  <si>
    <r>
      <rPr>
        <b/>
        <sz val="14"/>
        <color rgb="FF000000"/>
        <rFont val="Arial"/>
        <family val="2"/>
      </rPr>
      <t>تقييم وكيل السرية في التنقل التعبوي</t>
    </r>
    <r>
      <rPr>
        <b/>
        <u/>
        <sz val="14"/>
        <color rgb="FF000000"/>
        <rFont val="Arial"/>
        <family val="2"/>
      </rPr>
      <t xml:space="preserve">
تمرين جاهزية مجموعة لواء الإمارات/1 (جندي الصحراء 2025/20)</t>
    </r>
  </si>
  <si>
    <t>التخطيط لتسلسلات حركة التنقل التعبوي.</t>
  </si>
  <si>
    <r>
      <t>1.</t>
    </r>
    <r>
      <rPr>
        <sz val="7"/>
        <color theme="1"/>
        <rFont val="Times New Roman"/>
        <family val="1"/>
      </rPr>
      <t xml:space="preserve">        </t>
    </r>
    <r>
      <rPr>
        <sz val="12"/>
        <color theme="1"/>
        <rFont val="Arial"/>
        <family val="2"/>
      </rPr>
      <t>التأكد من تفهم المرؤوسين للأمر الإنذاري.</t>
    </r>
  </si>
  <si>
    <r>
      <t>2.</t>
    </r>
    <r>
      <rPr>
        <sz val="7"/>
        <color theme="1"/>
        <rFont val="Times New Roman"/>
        <family val="1"/>
      </rPr>
      <t xml:space="preserve">        </t>
    </r>
    <r>
      <rPr>
        <sz val="12"/>
        <color theme="1"/>
        <rFont val="Arial"/>
        <family val="2"/>
      </rPr>
      <t>تحضير تقدير موقف.</t>
    </r>
  </si>
  <si>
    <r>
      <t>3.</t>
    </r>
    <r>
      <rPr>
        <sz val="7"/>
        <color theme="1"/>
        <rFont val="Times New Roman"/>
        <family val="1"/>
      </rPr>
      <t xml:space="preserve">        </t>
    </r>
    <r>
      <rPr>
        <sz val="12"/>
        <color theme="1"/>
        <rFont val="Arial"/>
        <family val="2"/>
      </rPr>
      <t>العمل على تنظيم وإرسال أقسام استطلاع ومقدمة حسب الأوامر المستديمة للوحدة.</t>
    </r>
  </si>
  <si>
    <r>
      <t>4.</t>
    </r>
    <r>
      <rPr>
        <sz val="7"/>
        <color theme="1"/>
        <rFont val="Times New Roman"/>
        <family val="1"/>
      </rPr>
      <t xml:space="preserve">        </t>
    </r>
    <r>
      <rPr>
        <sz val="12"/>
        <color theme="1"/>
        <rFont val="Arial"/>
        <family val="2"/>
      </rPr>
      <t>تحضير خطط مفصلة للتنقل تتضمن (نظم المسير - مراجعة معلومات الاستطلاع).</t>
    </r>
  </si>
  <si>
    <r>
      <t>5.</t>
    </r>
    <r>
      <rPr>
        <sz val="7"/>
        <color theme="1"/>
        <rFont val="Times New Roman"/>
        <family val="1"/>
      </rPr>
      <t xml:space="preserve">        </t>
    </r>
    <r>
      <rPr>
        <sz val="12"/>
        <color theme="1"/>
        <rFont val="Arial"/>
        <family val="2"/>
      </rPr>
      <t>المشاركة في تحضير وتعميم أمر التنقل التعبوي على المرؤوسين.</t>
    </r>
  </si>
  <si>
    <t>السيطرة على التنقل.</t>
  </si>
  <si>
    <r>
      <t>1.</t>
    </r>
    <r>
      <rPr>
        <sz val="7"/>
        <color theme="1"/>
        <rFont val="Times New Roman"/>
        <family val="1"/>
      </rPr>
      <t xml:space="preserve">        </t>
    </r>
    <r>
      <rPr>
        <sz val="12"/>
        <color theme="1"/>
        <rFont val="Arial"/>
        <family val="2"/>
      </rPr>
      <t>تنظيم رتل التسلسل (الرأس - الجسم الرئيسي  - المؤخرة).</t>
    </r>
  </si>
  <si>
    <r>
      <t>2.</t>
    </r>
    <r>
      <rPr>
        <sz val="7"/>
        <color theme="1"/>
        <rFont val="Times New Roman"/>
        <family val="1"/>
      </rPr>
      <t xml:space="preserve">        </t>
    </r>
    <r>
      <rPr>
        <sz val="12"/>
        <color theme="1"/>
        <rFont val="Arial"/>
        <family val="2"/>
      </rPr>
      <t>التأكد من أن قائد كل آلية قد عين قواطع مراقبة بحيث تكون هناك مراقبة بمقدار (360) درجة حول آلياتهم، والتأكد بأن كل قائد آلية قد عين حارساً للمراقبة الجوية لتوفير الحماية.</t>
    </r>
  </si>
  <si>
    <r>
      <t>3.</t>
    </r>
    <r>
      <rPr>
        <sz val="7"/>
        <color theme="1"/>
        <rFont val="Times New Roman"/>
        <family val="1"/>
      </rPr>
      <t xml:space="preserve">        </t>
    </r>
    <r>
      <rPr>
        <sz val="12"/>
        <color theme="1"/>
        <rFont val="Arial"/>
        <family val="2"/>
      </rPr>
      <t>دخول طريق التنقل عند نقطة البداية وفي الوقت المحدد.</t>
    </r>
  </si>
  <si>
    <r>
      <t>4.</t>
    </r>
    <r>
      <rPr>
        <sz val="7"/>
        <color theme="1"/>
        <rFont val="Times New Roman"/>
        <family val="1"/>
      </rPr>
      <t xml:space="preserve">        </t>
    </r>
    <r>
      <rPr>
        <sz val="12"/>
        <color theme="1"/>
        <rFont val="Arial"/>
        <family val="2"/>
      </rPr>
      <t>الالتزام بالطريق المحدد في أمر التنقل.</t>
    </r>
  </si>
  <si>
    <r>
      <t>5.</t>
    </r>
    <r>
      <rPr>
        <sz val="7"/>
        <color theme="1"/>
        <rFont val="Times New Roman"/>
        <family val="1"/>
      </rPr>
      <t xml:space="preserve">        </t>
    </r>
    <r>
      <rPr>
        <sz val="12"/>
        <color theme="1"/>
        <rFont val="Arial"/>
        <family val="2"/>
      </rPr>
      <t>التأكد من التزام جميع الآليات بالسرعات المحددة في الأمر.</t>
    </r>
  </si>
  <si>
    <r>
      <t>6.</t>
    </r>
    <r>
      <rPr>
        <sz val="7"/>
        <color theme="1"/>
        <rFont val="Times New Roman"/>
        <family val="1"/>
      </rPr>
      <t xml:space="preserve">        </t>
    </r>
    <r>
      <rPr>
        <sz val="12"/>
        <color theme="1"/>
        <rFont val="Arial"/>
        <family val="2"/>
      </rPr>
      <t>تعديل المسير في النقاط الهامة إذا كانت سرعة الحركة بطيئة أو صعبة أو فقدت الآليات اتجاهها.</t>
    </r>
  </si>
  <si>
    <r>
      <t>7.</t>
    </r>
    <r>
      <rPr>
        <sz val="7"/>
        <color theme="1"/>
        <rFont val="Times New Roman"/>
        <family val="1"/>
      </rPr>
      <t xml:space="preserve">        </t>
    </r>
    <r>
      <rPr>
        <sz val="12"/>
        <color theme="1"/>
        <rFont val="Arial"/>
        <family val="2"/>
      </rPr>
      <t>المحافظة على الفواصل بين الآليات.</t>
    </r>
  </si>
  <si>
    <r>
      <t>8.</t>
    </r>
    <r>
      <rPr>
        <sz val="7"/>
        <color theme="1"/>
        <rFont val="Times New Roman"/>
        <family val="1"/>
      </rPr>
      <t xml:space="preserve">        </t>
    </r>
    <r>
      <rPr>
        <sz val="12"/>
        <color theme="1"/>
        <rFont val="Arial"/>
        <family val="2"/>
      </rPr>
      <t>تقليل فواصل الرتل أثناء فترات ظروف الرؤية المحدودة وزيادة فواصل الرتل أثناء فترات ظروف الرؤية الجيدة.</t>
    </r>
  </si>
  <si>
    <t>السيطرة على الأعمال أثناء الوقفات.</t>
  </si>
  <si>
    <r>
      <t>1.</t>
    </r>
    <r>
      <rPr>
        <sz val="7"/>
        <color theme="1"/>
        <rFont val="Times New Roman"/>
        <family val="1"/>
      </rPr>
      <t xml:space="preserve">        </t>
    </r>
    <r>
      <rPr>
        <sz val="12"/>
        <color theme="1"/>
        <rFont val="Arial"/>
        <family val="2"/>
      </rPr>
      <t>إدامة المراقبة في جميع الجهات أثناء التوقف.</t>
    </r>
  </si>
  <si>
    <r>
      <t>2.</t>
    </r>
    <r>
      <rPr>
        <sz val="7"/>
        <color theme="1"/>
        <rFont val="Times New Roman"/>
        <family val="1"/>
      </rPr>
      <t xml:space="preserve">        </t>
    </r>
    <r>
      <rPr>
        <sz val="12"/>
        <color theme="1"/>
        <rFont val="Arial"/>
        <family val="2"/>
      </rPr>
      <t>إدامة المراقبة الجوية أثناء التوقف.</t>
    </r>
  </si>
  <si>
    <r>
      <t>3.</t>
    </r>
    <r>
      <rPr>
        <sz val="7"/>
        <color theme="1"/>
        <rFont val="Times New Roman"/>
        <family val="1"/>
      </rPr>
      <t xml:space="preserve">        </t>
    </r>
    <r>
      <rPr>
        <sz val="12"/>
        <color theme="1"/>
        <rFont val="Arial"/>
        <family val="2"/>
      </rPr>
      <t>توزيع الأدلاء للمساعدة في حركة المرور.</t>
    </r>
  </si>
  <si>
    <r>
      <t>4.</t>
    </r>
    <r>
      <rPr>
        <sz val="7"/>
        <color theme="1"/>
        <rFont val="Times New Roman"/>
        <family val="1"/>
      </rPr>
      <t xml:space="preserve">        </t>
    </r>
    <r>
      <rPr>
        <sz val="12"/>
        <color theme="1"/>
        <rFont val="Arial"/>
        <family val="2"/>
      </rPr>
      <t>تحديد أسباب الوقفات غير المبرمجة والعمل على حلها.</t>
    </r>
  </si>
  <si>
    <r>
      <t>5.</t>
    </r>
    <r>
      <rPr>
        <sz val="7"/>
        <color theme="1"/>
        <rFont val="Times New Roman"/>
        <family val="1"/>
      </rPr>
      <t xml:space="preserve">        </t>
    </r>
    <r>
      <rPr>
        <sz val="12"/>
        <color theme="1"/>
        <rFont val="Arial"/>
        <family val="2"/>
      </rPr>
      <t>رفع تقرير الموقف للقائد الأعلى.</t>
    </r>
  </si>
  <si>
    <r>
      <t>6.</t>
    </r>
    <r>
      <rPr>
        <sz val="7"/>
        <color theme="1"/>
        <rFont val="Times New Roman"/>
        <family val="1"/>
      </rPr>
      <t xml:space="preserve">        </t>
    </r>
    <r>
      <rPr>
        <sz val="12"/>
        <color theme="1"/>
        <rFont val="Arial"/>
        <family val="2"/>
      </rPr>
      <t>التأكد من إجراء الصيانة في الوقفات المخطط لها.</t>
    </r>
  </si>
  <si>
    <t>السيطرة على الأعمال في منطقة التجمع.</t>
  </si>
  <si>
    <r>
      <t>1.</t>
    </r>
    <r>
      <rPr>
        <sz val="7"/>
        <color theme="1"/>
        <rFont val="Times New Roman"/>
        <family val="1"/>
      </rPr>
      <t xml:space="preserve">        </t>
    </r>
    <r>
      <rPr>
        <sz val="12"/>
        <color theme="1"/>
        <rFont val="Arial"/>
        <family val="2"/>
      </rPr>
      <t>التأكد بأن ضابط صف المقدمة يقود الرتل إلى القطاع المحدد.</t>
    </r>
  </si>
  <si>
    <r>
      <t>2.</t>
    </r>
    <r>
      <rPr>
        <sz val="7"/>
        <color theme="1"/>
        <rFont val="Times New Roman"/>
        <family val="1"/>
      </rPr>
      <t xml:space="preserve">        </t>
    </r>
    <r>
      <rPr>
        <sz val="12"/>
        <color theme="1"/>
        <rFont val="Arial"/>
        <family val="2"/>
      </rPr>
      <t>التأكد من تعيين فرد واحد لكل آلية يعمل على السلاح الذي يشغله طاقم ويراقب جهاز الاتصال وقاطع رماية الآلية.</t>
    </r>
  </si>
  <si>
    <r>
      <t>3.</t>
    </r>
    <r>
      <rPr>
        <sz val="7"/>
        <color theme="1"/>
        <rFont val="Times New Roman"/>
        <family val="1"/>
      </rPr>
      <t xml:space="preserve">        </t>
    </r>
    <r>
      <rPr>
        <sz val="12"/>
        <color theme="1"/>
        <rFont val="Arial"/>
        <family val="2"/>
      </rPr>
      <t>تجهيز مواقع المراقبة.</t>
    </r>
  </si>
  <si>
    <r>
      <t>4.</t>
    </r>
    <r>
      <rPr>
        <sz val="7"/>
        <color theme="1"/>
        <rFont val="Times New Roman"/>
        <family val="1"/>
      </rPr>
      <t xml:space="preserve">        </t>
    </r>
    <r>
      <rPr>
        <sz val="12"/>
        <color theme="1"/>
        <rFont val="Arial"/>
        <family val="2"/>
      </rPr>
      <t>فحص المواقع والقواطع الأساسية، والتعديل عند الضرورة.</t>
    </r>
  </si>
  <si>
    <r>
      <t>5.</t>
    </r>
    <r>
      <rPr>
        <sz val="7"/>
        <color theme="1"/>
        <rFont val="Times New Roman"/>
        <family val="1"/>
      </rPr>
      <t xml:space="preserve">        </t>
    </r>
    <r>
      <rPr>
        <sz val="12"/>
        <color theme="1"/>
        <rFont val="Arial"/>
        <family val="2"/>
      </rPr>
      <t>العمل على تمويه المواقع.</t>
    </r>
  </si>
  <si>
    <r>
      <t>6.</t>
    </r>
    <r>
      <rPr>
        <sz val="7"/>
        <color theme="1"/>
        <rFont val="Times New Roman"/>
        <family val="1"/>
      </rPr>
      <t xml:space="preserve">        </t>
    </r>
    <r>
      <rPr>
        <sz val="12"/>
        <color theme="1"/>
        <rFont val="Arial"/>
        <family val="2"/>
      </rPr>
      <t>بدء خطة الاستراحة.</t>
    </r>
  </si>
  <si>
    <r>
      <t>7.</t>
    </r>
    <r>
      <rPr>
        <sz val="7"/>
        <color theme="1"/>
        <rFont val="Times New Roman"/>
        <family val="1"/>
      </rPr>
      <t xml:space="preserve">        </t>
    </r>
    <r>
      <rPr>
        <sz val="12"/>
        <color theme="1"/>
        <rFont val="Arial"/>
        <family val="2"/>
      </rPr>
      <t>التأكد من تجهيز الأفراد لبطاقات المدى.</t>
    </r>
  </si>
  <si>
    <r>
      <t>8.</t>
    </r>
    <r>
      <rPr>
        <sz val="7"/>
        <color theme="1"/>
        <rFont val="Times New Roman"/>
        <family val="1"/>
      </rPr>
      <t xml:space="preserve">        </t>
    </r>
    <r>
      <rPr>
        <sz val="12"/>
        <color theme="1"/>
        <rFont val="Arial"/>
        <family val="2"/>
      </rPr>
      <t>تحديد مكان موقع القيادة في منطقة التجمع.</t>
    </r>
  </si>
  <si>
    <r>
      <t>9.</t>
    </r>
    <r>
      <rPr>
        <sz val="7"/>
        <color theme="1"/>
        <rFont val="Times New Roman"/>
        <family val="1"/>
      </rPr>
      <t xml:space="preserve">        </t>
    </r>
    <r>
      <rPr>
        <sz val="12"/>
        <color theme="1"/>
        <rFont val="Arial"/>
        <family val="2"/>
      </rPr>
      <t>التنسيق مع الوحدات المجاورة / العناصر على الأجنحة.</t>
    </r>
  </si>
  <si>
    <r>
      <t>10.</t>
    </r>
    <r>
      <rPr>
        <sz val="7"/>
        <color theme="1"/>
        <rFont val="Times New Roman"/>
        <family val="1"/>
      </rPr>
      <t xml:space="preserve">   </t>
    </r>
    <r>
      <rPr>
        <sz val="12"/>
        <color theme="1"/>
        <rFont val="Arial"/>
        <family val="2"/>
      </rPr>
      <t>انتخاب وتحضير المواقع البديلة.</t>
    </r>
  </si>
  <si>
    <r>
      <t>11.</t>
    </r>
    <r>
      <rPr>
        <sz val="7"/>
        <color theme="1"/>
        <rFont val="Times New Roman"/>
        <family val="1"/>
      </rPr>
      <t xml:space="preserve">   </t>
    </r>
    <r>
      <rPr>
        <sz val="12"/>
        <color theme="1"/>
        <rFont val="Arial"/>
        <family val="2"/>
      </rPr>
      <t>تحضير خطة رماية الوحدة وإيجاز قادة الآليات وإرسال نسخة منها للقائد.</t>
    </r>
  </si>
  <si>
    <r>
      <t>12.</t>
    </r>
    <r>
      <rPr>
        <sz val="7"/>
        <color theme="1"/>
        <rFont val="Times New Roman"/>
        <family val="1"/>
      </rPr>
      <t xml:space="preserve">   </t>
    </r>
    <r>
      <rPr>
        <sz val="12"/>
        <color theme="1"/>
        <rFont val="Arial"/>
        <family val="2"/>
      </rPr>
      <t>التأكد من قيام أفراد الفصيل بإجراء الصيانة الضرورية.</t>
    </r>
  </si>
  <si>
    <r>
      <t>13.</t>
    </r>
    <r>
      <rPr>
        <sz val="7"/>
        <color theme="1"/>
        <rFont val="Times New Roman"/>
        <family val="1"/>
      </rPr>
      <t xml:space="preserve">   </t>
    </r>
    <r>
      <rPr>
        <sz val="12"/>
        <color theme="1"/>
        <rFont val="Arial"/>
        <family val="2"/>
      </rPr>
      <t>التأكد من حالة الأفراد والمعدات ورفع تقرير بذلك للقائد.</t>
    </r>
  </si>
  <si>
    <r>
      <t>14.</t>
    </r>
    <r>
      <rPr>
        <sz val="7"/>
        <color theme="1"/>
        <rFont val="Times New Roman"/>
        <family val="1"/>
      </rPr>
      <t xml:space="preserve">   </t>
    </r>
    <r>
      <rPr>
        <sz val="12"/>
        <color theme="1"/>
        <rFont val="Arial"/>
        <family val="2"/>
      </rPr>
      <t>العمل على إعادة التزويد.</t>
    </r>
  </si>
  <si>
    <r>
      <t>15.</t>
    </r>
    <r>
      <rPr>
        <sz val="7"/>
        <color theme="1"/>
        <rFont val="Times New Roman"/>
        <family val="1"/>
      </rPr>
      <t xml:space="preserve">   </t>
    </r>
    <r>
      <rPr>
        <sz val="12"/>
        <color theme="1"/>
        <rFont val="Arial"/>
        <family val="2"/>
      </rPr>
      <t>التأكد من الإجراءات الأمنية.</t>
    </r>
  </si>
  <si>
    <t>وكيل/ خليفة علي سالم الشحي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</si>
</sst>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7"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10"/>
      <color theme="1"/>
      <name val="Calibri Light"/>
      <family val="2"/>
    </font>
    <font>
      <b/>
      <u/>
      <sz val="12"/>
      <color theme="1"/>
      <name val="Arial"/>
      <family val="2"/>
    </font>
    <font>
      <sz val="12"/>
      <color theme="1"/>
      <name val="Arial"/>
      <family val="2"/>
    </font>
    <font>
      <sz val="7"/>
      <color theme="1"/>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2">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81">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9" fillId="0" borderId="17" xfId="0" applyFont="1" applyBorder="1" applyAlignment="1">
      <alignment horizontal="center" vertical="center"/>
    </xf>
    <xf numFmtId="0" fontId="10"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3" xfId="0" applyFont="1" applyBorder="1" applyAlignment="1">
      <alignment horizontal="center" vertical="center" wrapText="1"/>
    </xf>
    <xf numFmtId="0" fontId="13" fillId="0" borderId="4" xfId="0" applyFont="1" applyBorder="1" applyAlignment="1">
      <alignment vertical="top" wrapText="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7" fillId="4" borderId="18" xfId="0" applyFont="1" applyFill="1" applyBorder="1" applyAlignment="1" applyProtection="1">
      <alignment horizontal="center" vertical="center" wrapText="1" readingOrder="2"/>
      <protection locked="0"/>
    </xf>
    <xf numFmtId="0" fontId="7" fillId="4" borderId="19"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14"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16" xfId="0" applyFont="1" applyBorder="1" applyAlignment="1">
      <alignment horizontal="center" vertical="center" wrapText="1" readingOrder="2"/>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15" fillId="0" borderId="21" xfId="0" applyFont="1" applyBorder="1" applyAlignment="1">
      <alignment horizontal="right" vertical="center" wrapText="1" readingOrder="2"/>
    </xf>
    <xf numFmtId="0" fontId="15" fillId="0" borderId="3"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15" fillId="0" borderId="11" xfId="0" applyFont="1" applyBorder="1" applyAlignment="1">
      <alignment horizontal="right" vertical="center" wrapText="1" readingOrder="2"/>
    </xf>
    <xf numFmtId="0" fontId="15" fillId="0" borderId="12" xfId="0" applyFont="1" applyBorder="1" applyAlignment="1">
      <alignment horizontal="right" vertical="center" wrapText="1" readingOrder="2"/>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292203</xdr:colOff>
      <xdr:row>49</xdr:row>
      <xdr:rowOff>238043</xdr:rowOff>
    </xdr:from>
    <xdr:to>
      <xdr:col>7</xdr:col>
      <xdr:colOff>256191</xdr:colOff>
      <xdr:row>49</xdr:row>
      <xdr:rowOff>513083</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57F5BF2B-C8F6-7E0D-2C6A-5E60730C6EFE}"/>
                </a:ext>
              </a:extLst>
            </xdr14:cNvPr>
            <xdr14:cNvContentPartPr/>
          </xdr14:nvContentPartPr>
          <xdr14:nvPr macro=""/>
          <xdr14:xfrm>
            <a:off x="10399646809" y="19957680"/>
            <a:ext cx="622080" cy="275040"/>
          </xdr14:xfrm>
        </xdr:contentPart>
      </mc:Choice>
      <mc:Fallback xmlns="">
        <xdr:pic>
          <xdr:nvPicPr>
            <xdr:cNvPr id="2" name="Ink 1">
              <a:extLst>
                <a:ext uri="{FF2B5EF4-FFF2-40B4-BE49-F238E27FC236}">
                  <a16:creationId xmlns:a16="http://schemas.microsoft.com/office/drawing/2014/main" id="{57F5BF2B-C8F6-7E0D-2C6A-5E60730C6EFE}"/>
                </a:ext>
              </a:extLst>
            </xdr:cNvPr>
            <xdr:cNvPicPr/>
          </xdr:nvPicPr>
          <xdr:blipFill>
            <a:blip xmlns:r="http://schemas.openxmlformats.org/officeDocument/2006/relationships" r:embed="rId2"/>
            <a:stretch>
              <a:fillRect/>
            </a:stretch>
          </xdr:blipFill>
          <xdr:spPr>
            <a:xfrm>
              <a:off x="10399640689" y="19951560"/>
              <a:ext cx="634320" cy="287280"/>
            </a:xfrm>
            <a:prstGeom prst="rect">
              <a:avLst/>
            </a:prstGeom>
          </xdr:spPr>
        </xdr:pic>
      </mc:Fallback>
    </mc:AlternateContent>
    <xdr:clientData/>
  </xdr:twoCellAnchor>
  <xdr:twoCellAnchor editAs="oneCell">
    <xdr:from>
      <xdr:col>7</xdr:col>
      <xdr:colOff>37671</xdr:colOff>
      <xdr:row>49</xdr:row>
      <xdr:rowOff>17003</xdr:rowOff>
    </xdr:from>
    <xdr:to>
      <xdr:col>9</xdr:col>
      <xdr:colOff>335009</xdr:colOff>
      <xdr:row>49</xdr:row>
      <xdr:rowOff>508763</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6AA48F42-0AC2-3DBA-6C14-3F7988819111}"/>
                </a:ext>
              </a:extLst>
            </xdr14:cNvPr>
            <xdr14:cNvContentPartPr/>
          </xdr14:nvContentPartPr>
          <xdr14:nvPr macro=""/>
          <xdr14:xfrm>
            <a:off x="10398251809" y="19736640"/>
            <a:ext cx="1613520" cy="491760"/>
          </xdr14:xfrm>
        </xdr:contentPart>
      </mc:Choice>
      <mc:Fallback xmlns="">
        <xdr:pic>
          <xdr:nvPicPr>
            <xdr:cNvPr id="3" name="Ink 2">
              <a:extLst>
                <a:ext uri="{FF2B5EF4-FFF2-40B4-BE49-F238E27FC236}">
                  <a16:creationId xmlns:a16="http://schemas.microsoft.com/office/drawing/2014/main" id="{6AA48F42-0AC2-3DBA-6C14-3F7988819111}"/>
                </a:ext>
              </a:extLst>
            </xdr:cNvPr>
            <xdr:cNvPicPr/>
          </xdr:nvPicPr>
          <xdr:blipFill>
            <a:blip xmlns:r="http://schemas.openxmlformats.org/officeDocument/2006/relationships" r:embed="rId4"/>
            <a:stretch>
              <a:fillRect/>
            </a:stretch>
          </xdr:blipFill>
          <xdr:spPr>
            <a:xfrm>
              <a:off x="10398245689" y="19730520"/>
              <a:ext cx="1625760" cy="5040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5T08:30:24.186"/>
    </inkml:context>
    <inkml:brush xml:id="br0">
      <inkml:brushProperty name="width" value="0.035" units="cm"/>
      <inkml:brushProperty name="height" value="0.035" units="cm"/>
    </inkml:brush>
  </inkml:definitions>
  <inkml:trace contextRef="#ctx0" brushRef="#br0">1574 279 8,'0'0'0,"12"13"16,-1 1 24,-11-14-40,15 14 64,-3-2 24,-1-9 56,1-3 80,-12 0-224,5 0 288,8 0 24,-13 0-8,2 0-64,-2 0-240,0 0 216,0 0-40,5 0-48,-2 0-72,-3 0-56,0 0 48,0 0 8,0 0-40,0-2 40,0 2-56,0 0 16,0-1 16,0 1 64,0 0 0,0 0-96,0-2 120,0 2 24,0-1-32,-3-1 0,3 2-112,-5 0 104,3-1-56,-7 1-32,2-1-72,7 1 56,-17 0 16,4 0 40,-6-2 40,-2 2 96,21 0-192,-26-1 208,-1-2-40,-6-1-56,-5-2-128,38 6 16,-37-6-80,-1-6 24,3 9 24,1-2 104,34 5-72,-30-4 32,-1 0 32,8-2-40,0 2 8,23 4-32,-19-4 104,0-1-40,1 3 32,4-1-32,14 3-64,-12-3 56,8 0 89,-4 2 143,6-2 224,2 3-512,-2-3 664,2 0 8,0-1-88,0 0-232,0 4-352,2-5 216,3 0-112,0-1-48,6 0-48,-11 6-8,2-5-16,13-7 8,-4 8-40,3-2 16,-14 6 32,14-11-80,2 7 24,-4-2 24,7-5 0,-19 11 32,16-3 8,0-3-24,2 0 24,-1-5-16,-17 11 8,19-3-24,-3-1 32,3-2-40,-7 2 32,-12 4 0,15-4 0,0-1 0,1 1 8,-4 0 8,-12 4-16,16-6 8,-4 2-32,4-2-24,-2 1 8,-14 5 40,14-5-72,2 0-8,1 0 8,1 0 0,-18 5 72,15-6-32,-2-5 16,2 8 32,-2-3-8,-13 6-8,12-6 16,0 2-16,-8 0 8,10 2-16,-14 2 8,3-1-40,2 0-8,-1 1-56,-1 0-32,-3 0 136,4 0-144,-2 4-8,0 10 16,1-3 32,-3-11 104,0 13-88,2 1 24,-2 3 16,0 2 24,0-19 24,-5 20-24,3 1 16,-9 2-8,6 0-32,5-23 48,-14 24-32,11 3 0,-13 0-24,12 1 32,4-28 24,-15 30-40,11-1-8,-5 2 24,4 0-40,5-31 64,-5 31-32,-6 2 16,9-2 8,-6 2 0,8-33 8,-2 31-40,-10-1 40,6-1-16,-11-2 16,17-27 0,-14 25 16,-5-2-8,-4-3 0,-2-5 0,25-15-8,-30 13-16,-3-8 8,-7 6-56,0-11 24,40 0 40,-46 0-88,-8 0-64,0-2-200,-9 0-209,63 2 561,-65-5-720,0 0-24,-8-7 104,4 9 184,69 3 456,-75-4-368,5 0 56,0 3 88,4-1 0,66 2 224,-63 0-176,0 0 40,5 3 16,0-3 8,58 0 112,-58 0-96,2 0 24,4 0 0,9-1 16,43 1 56,-38-3-40,6 0 32,32 3 8</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5T08:30:27.720"/>
    </inkml:context>
    <inkml:brush xml:id="br0">
      <inkml:brushProperty name="width" value="0.035" units="cm"/>
      <inkml:brushProperty name="height" value="0.035" units="cm"/>
    </inkml:brush>
  </inkml:definitions>
  <inkml:trace contextRef="#ctx0" brushRef="#br0">3866 534 8,'0'0'0,"-5"-15"8,5 15-8,-14-12 32,5 0 16,2-1 32,7 11 88,0 2-168,0-5 352,0 1 408,0-2 312,0 5 152,0 1-1224,4-3 1073,-1-1-497,2-1-160,-3 3-144,-2 2-272,5-3 264,0 0-88,-3 0 16,2 2-40,-4 1-152,14-2 136,-11-1 0,9 1 8,-7 0 112,-5 2-256,18-3 368,-4 2 128,1-1 40,1 1-39,-16 1-497,14-1 408,2-2-88,3 1-112,0 1-64,-19 1-144,16-3 104,3 0-32,-3-1 16,1 1 80,-17 3-168,16-4 136,-2-2 8,-2-5-24,2 7 16,-14 4-136,17-16 160,-3 5-16,-4-2 8,3 0-72,-13 13-80,12-14 88,0 0 0,-1-2-16,4 0 40,-15 16-112,9-17 144,-6 0-40,12 0-8,-10 0 32,-5 17-128,10-14 64,-5 0 40,7 1 24,-10 1-8,-2 12-120,14-11 72,-12 5 40,3-6-56,-3 7-16,-2 5-40,5-12 72,0 7-64,-5 1 24,0-7 8,0 11-40,5-5 56,-3 1-48,-2-7 0,1 8 0,-1 3-8,3-6-16,-3 1 32,2-1 16,3 2-40,-5 4 8,0-5 0,0 0 8,2 0-8,-2 1 24,0 4-24,3-4 48,-3 1-24,2 0 16,1 2-16,-3 1-24,0-2 0,0 1 24,0-1-56,0 2 0,0 0 32,0 0-24,0 0-72,0 0 16,0 0-24,0 0 408,0 0-752,0 0 328,0 3-24,0 0 32,0-3 112,0 4-88,0 8 16,-3-8 48,1 12-16,2-16 40,0 11-32,-3 3 32,1 0-40,2 4 80,0-18-40,0 18 24,0 0-48,0 2 24,0 2-16,0-22 16,0 24 0,0 1 32,0 1 8,0 1-16,0-27-24,0 27 24,0 4-8,-2 1-16,-1-3 0,3-29 0,-2 33-16,-1-3 24,2 0 0,-1 1 24,2-31-32,-3 30 16,1 0-40,-1-2 0,1-2 0,2-26 24,-5 25-24,3-3 32,-1-1-8,-1 0 16,4-21-16,-5 22 0,2-2-16,-1 0 16,0-2 0,4-18 0,-12 20 72,12-2-32,-8-1-24,-4 1-48,12-18 32,-2 17-72,-3-3 32,-1 0 8,1-1 40,5-13-8,-9 13 0,1-1-16,4-7-8,-7 10 48,11-15-24,-5 5 40,-2 10-72,-5-11 24,9 9 40,3-13-32,-5 3-40,0 8 96,2-8-24,-5 2-64,8-5 32,-12 11 0,10-8-40,-5 1 64,-5 0-64,12-4 40,-2 3-40,-12 1 40,7-1 8,-8 0 48,15-3-56,-8 3 72,-4-3-32,-3 0 0,4 3 136,11-3-176,-14 0 80,-1 0 0,2-2 24,-2 1-56,15 1-48,-14-4 104,12 1 16,-12 0-64,9 0-56,5 3 0,-2-1 48,-10-2 56,10 0 113,-1 0-1,3 3-216,0-4 272,-2 0 120,2-1-144,0 1 96,0 4-344,0-4 256,0-2-144,0 1 72,0-7-144,0 12-40,0-3 40,5-2 56,-3-1-96,-2-5 64,0 11-64,2-5-56,-2 1-16,3-7 88,2 8 16,-5 3-32,2-4 56,-2-1-32,0 1-56,2 1 0,-2 3 32,3-3 8,2 0 24,-3 2-64,-2-2-40,0 3 72,0-1-64,0-1-16,0 1 40,0 1 24,0 0 16,0 0-8,0 0-40,0 0 16,0 0-80,0 0 312,0 0-536,0 0 208,0 0-88,0 0 48,0 0 1016,0 0-1872,0 0 816,0 0 80,0 0-40,0 0 168,0 0-120,0 0 0,-5 0-16,0 0 40,5 0 96,-4 0-80,-4 0-17,6 0 57,-10 0 8,12 0 32,-4 3-88,-3-3 104,-5 3-72,9-3 40,3 0 16,-14 2-24,5-2-16,-3 3 48,-2-3-56,14 0 48,-18 0-24,1 0-8,-1 0-8,-6 0 8,24 0 32,-28 0-48,-1 0-32,-1 0-72,-3-1 24,33 1 128,-33-2-128,-4 0 16,2-1 104,1 1-56,34 2 64,-40-1-24,3 0 48,-8-1-32,-2 1 32,47 1-24,-49 0 16,-5-2-32,-3 2-24,-1 0 24,58 0 16,-64 0 0,-1 0-64,-5 0 0,-9 3 0,79-3 64,-75 3-128,-4 1 0,-1 9 16,-2-10-56,82-3 168,-85 13-152,-2-9 8,-6 12-56,1-5-64,92-11 264,-99 14-352,-1-1-32,5 0-64,-9-2-24,104-11 472,-100 11-497,1 2-7,3 0 8,2-2 72,94-11 424,-99 5-312,1 7 128,2-12 96,-6 0 64,102 0 24,-88 0-8,-2 0 24,15 0 8,2-2 40,73 2-64,-66-5 168,7 1 144,4 0 136,12 0 112,43 4-560,-37-5 640,8 1 73,13 1 127,9 0 208,7 3-1048,-3-2 1064,3-3-200,3 1-247,13-2-441,-16 6-176,21-11-48,12 7-72,7-1-48,14 0 80,-54 5 88,63-5-72,13 1 64,4 1 40,5 1 0,-85 2-32,93-3 80,8 1-24,7-1-40,4-1-24,-112 4 8,119-3 8,3-1 24,0-7 32,2 6-8,-124 5-56,127-12 0,1 6-24,-1-7 16,0 9-80,-127 4 88,127-13-48,-7 9-8,-2 0-72,-10-1 7,-108 5 121,102-4-120,2 0-16,-10-1 128,-11 3 16,-83 2-8,75-3 40,-17 1 48,-6 1-56,-12 0 8,-40 1-40,30-2 0,-6 1 24,-12-1-80,-8 1-216,-4 1 272,0 0-760,0 0-560,-2 0-88,-19 0 295,21 0 1113,-28 0-752,-10 0 472,-14 0 184,-4 3 64,56-3 32,-66 0 32,-11 0 32,-12 0 96,-10 0-32,99 0-128,-103 0 240,-8 0 48,-7 0 0,-6 3-16,124-3-272,-127 4 273,-6 0-17,-8 7-112,-1-8-16,142-3-128,-145 14 24,-1-2-112,6 1-40,-2-1-168,142-12 296,-135 13-337,3 0-15,5 1-24,8-1 24,119-13 352,-111 11-304,5-6-8,10 12 40,7-13 64,89-4 208,-78 14-112,3-10 136,12 9 72,6-10 136,57-3-232,-47 3 248,12 0 16,12 0 256,11-3 417,12 0-937,-2 0 1176,2 0 104,2 0-160,19-3-680,-21 3-440,26-6 152,16-7-96,14 8-176,13-7 40,-69 12 80,77-4-128,5-9-96,3 9-8,9-10 16,-94 14 216,103-12-240,5 1-112,10-2-176,4-1-248,-122 14 776,129-14-1152,9 0-361,4-2 137,3-1 320,-145 17 1056,146-16-680,-11 3 472,-1 1 167,-9 7 122,-125 5-81,110-12 176,-13 7 16,-13 0-56,-16-7-40,-68 12-96,61-3 16,-13-1 0,-6 0 0,-12 0 16,-30 4-32,24-3 56,-8 0 104,-14 0 48,3 2-96,-5 1-112,0-2 48,-5 1-56,-15-1 8,-9 2 136,29 0-136,-45-1 272,-8 1 48,-13-1 40,-12 1 8,78 0-368,-87 0 360,-7 0 24,-11 0-16,-8 0 0,113 0-368,-117 2 304,-5 3-103,1-1-89,-3 0-56,124-4-56,-122 12-8,0-10-80,0 1-8,9 0-33,113-3 129,-110 3-144,6-3 24,9 0 16,0 0 72,95 0 32,-87 0-32,3-1 48,6-4 16,8 1-40,70 4 8,-64-4 40,17-9 24,5 9 80,12-9 137,30 13-281,-15-4 456,11-9 72,4 7-48,14-10-200,-14 16-280,26-14 0,17 0-224,8 0-120,17 1 48,-68 13 296,73-11-376,16 5-176,9-7-401,9 9-175,-107 4 1128,114-13-984,4 9 232,6-2 376,8-5 112,-132 11 264,136-3-224,2-1 23,4-1 25,-11 1 96,-131 4 80,130-1-40,-5-1 8,-2 2 48,0 0 16,-123 0-32,107 0 0,-4 0 32,-6 0-24,-15 0 8,-82 0-16,75 0 40,-9 0-8,-8-1 0,-6-1 0,-9-2 16,-43 4-48,27-4 56,-7 0 56,-8-8 81,-12 8 63,0 4-256,0-13 328,-5 8 24,-22-10-64,27 15-288,-32-14 176,-11 0-56,-13-2-16,-2 1 48,58 15-152,-66-16 280,-5 0 32,-4 1 24,-2 2-32,-5 0-24,82 13-280,-87-6 280,2-8-16,-2 9 0,-2-7-56,89 12-208,-83-4 176,1 0 1,7 1-41,7 0 32,68 3-168,-66-1 160,8-2-32,8 1 8,8 1-104,42 1-32,-37-3 88,11 0 40,9 0-16,5 1 192,12 2-304,-2-2 424,0-1 32,2-1 48,2-7-232,-2 11-272,14-6-8,7-10-232,8 3-224,11 2-112,-40 11 576,44-6-568,12-8 72,1 10 144,2-9 128,-59 13 224,58-4-176,4-2 7,-2 2 17,2 1 8,-62 3 144,60 0-160,2 0 72,-4 4-32,1 9 48,-59-13 72,58 4-40,-6 12-88,3-3-48,-8-2-80,-47-11 256,40 16-336,-5 0-64,-3 1-64,-5 2-8,-27-19 472,23 20-408,-3 0 128,-5 0 128,-3 0 104,-12-20 48,5 19-48,0 2-8,-5 0 32,-3 5 16,3-26 8,-12 28 144,-7 2 216,-4 3 104,0-1 32,23-32-496,-34 35 416,4 2-224,-8 1-112,1 3-120,37-41 40,-38 43-360,3 2-440,-2 4-248,-3 2-465,40-51 1513,-41 52-1400,6 4 424,0 1 328,9-2 352,26-55 296,-19 53-136,14-6 48,3-2 40,2-45 48</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50"/>
  <sheetViews>
    <sheetView rightToLeft="1" tabSelected="1" view="pageBreakPreview" topLeftCell="B1" zoomScale="130" zoomScaleNormal="100" zoomScaleSheetLayoutView="130" workbookViewId="0">
      <selection activeCell="F43" sqref="F43"/>
    </sheetView>
  </sheetViews>
  <sheetFormatPr defaultColWidth="9" defaultRowHeight="14.4" x14ac:dyDescent="0.3"/>
  <cols>
    <col min="1" max="1" width="5.109375" style="1" customWidth="1"/>
    <col min="2" max="2" width="16"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49" t="s">
        <v>180</v>
      </c>
      <c r="C1" s="49"/>
      <c r="D1" s="49"/>
      <c r="E1" s="49"/>
      <c r="F1" s="49"/>
      <c r="G1" s="49"/>
      <c r="H1" s="49"/>
      <c r="I1" s="49"/>
      <c r="J1" s="49"/>
    </row>
    <row r="2" spans="1:10" ht="30" customHeight="1" x14ac:dyDescent="0.3">
      <c r="B2" s="12" t="s">
        <v>178</v>
      </c>
      <c r="C2" s="55" t="s">
        <v>41</v>
      </c>
      <c r="D2" s="55"/>
      <c r="E2" s="12" t="s">
        <v>7</v>
      </c>
      <c r="F2" s="50">
        <v>45945</v>
      </c>
      <c r="G2" s="50"/>
      <c r="H2" s="50"/>
      <c r="I2" s="50"/>
      <c r="J2" s="50"/>
    </row>
    <row r="3" spans="1:10" ht="30" customHeight="1" x14ac:dyDescent="0.3">
      <c r="B3" s="12" t="s">
        <v>179</v>
      </c>
      <c r="C3" s="55" t="s">
        <v>219</v>
      </c>
      <c r="D3" s="55"/>
      <c r="E3" s="12" t="s">
        <v>6</v>
      </c>
      <c r="F3" s="55" t="s">
        <v>160</v>
      </c>
      <c r="G3" s="55"/>
      <c r="H3" s="55"/>
      <c r="I3" s="55"/>
      <c r="J3" s="55"/>
    </row>
    <row r="4" spans="1:10" ht="30" customHeight="1" thickBot="1" x14ac:dyDescent="0.35">
      <c r="B4" s="6"/>
      <c r="C4" s="7"/>
      <c r="D4" s="7"/>
      <c r="E4" s="6"/>
      <c r="F4" s="7"/>
      <c r="G4" s="7"/>
      <c r="H4" s="8"/>
      <c r="I4" s="7"/>
      <c r="J4" s="7"/>
    </row>
    <row r="5" spans="1:10" ht="24.9" customHeight="1" x14ac:dyDescent="0.3">
      <c r="A5" s="10"/>
      <c r="B5" s="51" t="s">
        <v>0</v>
      </c>
      <c r="C5" s="52"/>
      <c r="D5" s="52"/>
      <c r="E5" s="56" t="s">
        <v>1</v>
      </c>
      <c r="F5" s="56"/>
      <c r="G5" s="56"/>
      <c r="H5" s="56"/>
      <c r="I5" s="56" t="s">
        <v>2</v>
      </c>
      <c r="J5" s="57"/>
    </row>
    <row r="6" spans="1:10" ht="24.9" customHeight="1" thickBot="1" x14ac:dyDescent="0.35">
      <c r="A6" s="10"/>
      <c r="B6" s="53"/>
      <c r="C6" s="54"/>
      <c r="D6" s="54"/>
      <c r="E6" s="11" t="s">
        <v>3</v>
      </c>
      <c r="F6" s="11" t="s">
        <v>4</v>
      </c>
      <c r="G6" s="11" t="s">
        <v>21</v>
      </c>
      <c r="H6" s="11" t="s">
        <v>22</v>
      </c>
      <c r="I6" s="58"/>
      <c r="J6" s="59"/>
    </row>
    <row r="7" spans="1:10" ht="24.9" customHeight="1" thickBot="1" x14ac:dyDescent="0.35">
      <c r="A7" s="10"/>
      <c r="B7" s="39" t="s">
        <v>19</v>
      </c>
      <c r="C7" s="40"/>
      <c r="D7" s="40"/>
      <c r="E7" s="28" t="s">
        <v>16</v>
      </c>
      <c r="F7" s="28" t="s">
        <v>17</v>
      </c>
      <c r="G7" s="28" t="s">
        <v>20</v>
      </c>
      <c r="H7" s="28" t="s">
        <v>18</v>
      </c>
      <c r="I7" s="45" t="s">
        <v>23</v>
      </c>
      <c r="J7" s="46"/>
    </row>
    <row r="8" spans="1:10" ht="30" customHeight="1" x14ac:dyDescent="0.3">
      <c r="A8" s="10"/>
      <c r="B8" s="77" t="s">
        <v>181</v>
      </c>
      <c r="C8" s="78"/>
      <c r="D8" s="78"/>
      <c r="E8" s="32"/>
      <c r="F8" s="33"/>
      <c r="G8" s="34"/>
      <c r="H8" s="35"/>
      <c r="I8" s="43"/>
      <c r="J8" s="44"/>
    </row>
    <row r="9" spans="1:10" ht="30" customHeight="1" x14ac:dyDescent="0.3">
      <c r="A9" s="10"/>
      <c r="B9" s="75" t="s">
        <v>182</v>
      </c>
      <c r="C9" s="76"/>
      <c r="D9" s="76"/>
      <c r="E9" s="31">
        <v>5</v>
      </c>
      <c r="F9" s="26">
        <v>4</v>
      </c>
      <c r="G9" s="29">
        <f>IFERROR(F9/E9,"")</f>
        <v>0.8</v>
      </c>
      <c r="H9" s="30" t="str">
        <f>_xlfn.IFS(F9="أدخل العلامة","",F9="لا ينطبق","تم الإلغاء",G9&gt;=90%,"ممتاز",G9&gt;=80%,"جيد جداً",G9&gt;=70%,"جيد",G9&gt;=60%,"مقبول",G9&lt;60%,"راسب")</f>
        <v>جيد جداً</v>
      </c>
      <c r="I9" s="41"/>
      <c r="J9" s="42"/>
    </row>
    <row r="10" spans="1:10" ht="30" customHeight="1" x14ac:dyDescent="0.3">
      <c r="A10" s="10"/>
      <c r="B10" s="75" t="s">
        <v>183</v>
      </c>
      <c r="C10" s="76"/>
      <c r="D10" s="76"/>
      <c r="E10" s="31">
        <v>5</v>
      </c>
      <c r="F10" s="26">
        <v>3.75</v>
      </c>
      <c r="G10" s="29">
        <f t="shared" ref="G10:G45" si="0">IFERROR(F10/E10,"")</f>
        <v>0.75</v>
      </c>
      <c r="H10" s="30" t="str">
        <f t="shared" ref="H10:H45" si="1">_xlfn.IFS(F10="أدخل العلامة","",F10="لا ينطبق","تم الإلغاء",G10&gt;=90%,"ممتاز",G10&gt;=80%,"جيد جداً",G10&gt;=70%,"جيد",G10&gt;=60%,"مقبول",G10&lt;60%,"راسب")</f>
        <v>جيد</v>
      </c>
      <c r="I10" s="41"/>
      <c r="J10" s="42"/>
    </row>
    <row r="11" spans="1:10" ht="39.9" customHeight="1" x14ac:dyDescent="0.3">
      <c r="A11" s="10"/>
      <c r="B11" s="75" t="s">
        <v>184</v>
      </c>
      <c r="C11" s="76"/>
      <c r="D11" s="76"/>
      <c r="E11" s="31">
        <v>5</v>
      </c>
      <c r="F11" s="26">
        <v>3.5</v>
      </c>
      <c r="G11" s="29">
        <f t="shared" si="0"/>
        <v>0.7</v>
      </c>
      <c r="H11" s="30" t="str">
        <f t="shared" si="1"/>
        <v>جيد</v>
      </c>
      <c r="I11" s="41"/>
      <c r="J11" s="42"/>
    </row>
    <row r="12" spans="1:10" ht="39.9" customHeight="1" x14ac:dyDescent="0.3">
      <c r="A12" s="10"/>
      <c r="B12" s="75" t="s">
        <v>185</v>
      </c>
      <c r="C12" s="76"/>
      <c r="D12" s="76"/>
      <c r="E12" s="31">
        <v>5</v>
      </c>
      <c r="F12" s="26">
        <v>3.5</v>
      </c>
      <c r="G12" s="29">
        <f t="shared" si="0"/>
        <v>0.7</v>
      </c>
      <c r="H12" s="30" t="str">
        <f t="shared" si="1"/>
        <v>جيد</v>
      </c>
      <c r="I12" s="41"/>
      <c r="J12" s="42"/>
    </row>
    <row r="13" spans="1:10" ht="30" customHeight="1" thickBot="1" x14ac:dyDescent="0.35">
      <c r="A13" s="10"/>
      <c r="B13" s="79" t="s">
        <v>186</v>
      </c>
      <c r="C13" s="80"/>
      <c r="D13" s="80"/>
      <c r="E13" s="36">
        <v>5</v>
      </c>
      <c r="F13" s="27">
        <v>3.5</v>
      </c>
      <c r="G13" s="37">
        <f t="shared" si="0"/>
        <v>0.7</v>
      </c>
      <c r="H13" s="38" t="str">
        <f t="shared" si="1"/>
        <v>جيد</v>
      </c>
      <c r="I13" s="47"/>
      <c r="J13" s="48"/>
    </row>
    <row r="14" spans="1:10" ht="30" customHeight="1" x14ac:dyDescent="0.3">
      <c r="A14" s="10"/>
      <c r="B14" s="77" t="s">
        <v>187</v>
      </c>
      <c r="C14" s="78"/>
      <c r="D14" s="78"/>
      <c r="E14" s="32"/>
      <c r="F14" s="33"/>
      <c r="G14" s="34"/>
      <c r="H14" s="35"/>
      <c r="I14" s="43"/>
      <c r="J14" s="44"/>
    </row>
    <row r="15" spans="1:10" ht="30" customHeight="1" x14ac:dyDescent="0.3">
      <c r="A15" s="10"/>
      <c r="B15" s="75" t="s">
        <v>188</v>
      </c>
      <c r="C15" s="76"/>
      <c r="D15" s="76"/>
      <c r="E15" s="31">
        <v>5</v>
      </c>
      <c r="F15" s="26">
        <v>3.5</v>
      </c>
      <c r="G15" s="29">
        <f t="shared" si="0"/>
        <v>0.7</v>
      </c>
      <c r="H15" s="30" t="str">
        <f t="shared" si="1"/>
        <v>جيد</v>
      </c>
      <c r="I15" s="41"/>
      <c r="J15" s="42"/>
    </row>
    <row r="16" spans="1:10" ht="51" customHeight="1" x14ac:dyDescent="0.3">
      <c r="A16" s="10"/>
      <c r="B16" s="75" t="s">
        <v>189</v>
      </c>
      <c r="C16" s="76"/>
      <c r="D16" s="76"/>
      <c r="E16" s="31">
        <v>5</v>
      </c>
      <c r="F16" s="26">
        <v>3.75</v>
      </c>
      <c r="G16" s="29">
        <f t="shared" si="0"/>
        <v>0.75</v>
      </c>
      <c r="H16" s="30" t="str">
        <f t="shared" si="1"/>
        <v>جيد</v>
      </c>
      <c r="I16" s="41"/>
      <c r="J16" s="42"/>
    </row>
    <row r="17" spans="1:10" ht="30" customHeight="1" x14ac:dyDescent="0.3">
      <c r="A17" s="10"/>
      <c r="B17" s="75" t="s">
        <v>190</v>
      </c>
      <c r="C17" s="76"/>
      <c r="D17" s="76"/>
      <c r="E17" s="31">
        <v>5</v>
      </c>
      <c r="F17" s="26">
        <v>3.5</v>
      </c>
      <c r="G17" s="29">
        <f t="shared" si="0"/>
        <v>0.7</v>
      </c>
      <c r="H17" s="30" t="str">
        <f t="shared" si="1"/>
        <v>جيد</v>
      </c>
      <c r="I17" s="41"/>
      <c r="J17" s="42"/>
    </row>
    <row r="18" spans="1:10" ht="30" customHeight="1" x14ac:dyDescent="0.3">
      <c r="A18" s="10"/>
      <c r="B18" s="75" t="s">
        <v>191</v>
      </c>
      <c r="C18" s="76"/>
      <c r="D18" s="76"/>
      <c r="E18" s="31">
        <v>5</v>
      </c>
      <c r="F18" s="26">
        <v>4</v>
      </c>
      <c r="G18" s="29">
        <f t="shared" si="0"/>
        <v>0.8</v>
      </c>
      <c r="H18" s="30" t="str">
        <f t="shared" si="1"/>
        <v>جيد جداً</v>
      </c>
      <c r="I18" s="41"/>
      <c r="J18" s="42"/>
    </row>
    <row r="19" spans="1:10" ht="30" customHeight="1" x14ac:dyDescent="0.3">
      <c r="A19" s="10"/>
      <c r="B19" s="75" t="s">
        <v>192</v>
      </c>
      <c r="C19" s="76"/>
      <c r="D19" s="76"/>
      <c r="E19" s="31">
        <v>5</v>
      </c>
      <c r="F19" s="26">
        <v>3.5</v>
      </c>
      <c r="G19" s="29">
        <f t="shared" si="0"/>
        <v>0.7</v>
      </c>
      <c r="H19" s="30" t="str">
        <f t="shared" si="1"/>
        <v>جيد</v>
      </c>
      <c r="I19" s="41"/>
      <c r="J19" s="42"/>
    </row>
    <row r="20" spans="1:10" ht="39.9" customHeight="1" x14ac:dyDescent="0.3">
      <c r="A20" s="10"/>
      <c r="B20" s="75" t="s">
        <v>193</v>
      </c>
      <c r="C20" s="76"/>
      <c r="D20" s="76"/>
      <c r="E20" s="31">
        <v>5</v>
      </c>
      <c r="F20" s="26">
        <v>3.75</v>
      </c>
      <c r="G20" s="29">
        <f t="shared" si="0"/>
        <v>0.75</v>
      </c>
      <c r="H20" s="30" t="str">
        <f t="shared" si="1"/>
        <v>جيد</v>
      </c>
      <c r="I20" s="41"/>
      <c r="J20" s="42"/>
    </row>
    <row r="21" spans="1:10" ht="30" customHeight="1" x14ac:dyDescent="0.3">
      <c r="A21" s="10"/>
      <c r="B21" s="75" t="s">
        <v>194</v>
      </c>
      <c r="C21" s="76"/>
      <c r="D21" s="76"/>
      <c r="E21" s="31">
        <v>5</v>
      </c>
      <c r="F21" s="26">
        <v>3.75</v>
      </c>
      <c r="G21" s="29">
        <f t="shared" si="0"/>
        <v>0.75</v>
      </c>
      <c r="H21" s="30" t="str">
        <f t="shared" si="1"/>
        <v>جيد</v>
      </c>
      <c r="I21" s="41"/>
      <c r="J21" s="42"/>
    </row>
    <row r="22" spans="1:10" ht="39.9" customHeight="1" thickBot="1" x14ac:dyDescent="0.35">
      <c r="A22" s="10"/>
      <c r="B22" s="79" t="s">
        <v>195</v>
      </c>
      <c r="C22" s="80"/>
      <c r="D22" s="80"/>
      <c r="E22" s="36">
        <v>5</v>
      </c>
      <c r="F22" s="27">
        <v>3.75</v>
      </c>
      <c r="G22" s="37">
        <f t="shared" si="0"/>
        <v>0.75</v>
      </c>
      <c r="H22" s="38" t="str">
        <f t="shared" si="1"/>
        <v>جيد</v>
      </c>
      <c r="I22" s="47"/>
      <c r="J22" s="48"/>
    </row>
    <row r="23" spans="1:10" ht="30" customHeight="1" x14ac:dyDescent="0.3">
      <c r="A23" s="10"/>
      <c r="B23" s="77" t="s">
        <v>196</v>
      </c>
      <c r="C23" s="78"/>
      <c r="D23" s="78"/>
      <c r="E23" s="32"/>
      <c r="F23" s="33"/>
      <c r="G23" s="34"/>
      <c r="H23" s="35"/>
      <c r="I23" s="43"/>
      <c r="J23" s="44"/>
    </row>
    <row r="24" spans="1:10" ht="30" customHeight="1" x14ac:dyDescent="0.3">
      <c r="A24" s="10"/>
      <c r="B24" s="75" t="s">
        <v>197</v>
      </c>
      <c r="C24" s="76"/>
      <c r="D24" s="76"/>
      <c r="E24" s="31">
        <v>5</v>
      </c>
      <c r="F24" s="26">
        <v>3.5</v>
      </c>
      <c r="G24" s="29">
        <f t="shared" si="0"/>
        <v>0.7</v>
      </c>
      <c r="H24" s="30" t="str">
        <f t="shared" si="1"/>
        <v>جيد</v>
      </c>
      <c r="I24" s="41"/>
      <c r="J24" s="42"/>
    </row>
    <row r="25" spans="1:10" ht="30" customHeight="1" x14ac:dyDescent="0.3">
      <c r="A25" s="10"/>
      <c r="B25" s="75" t="s">
        <v>198</v>
      </c>
      <c r="C25" s="76"/>
      <c r="D25" s="76"/>
      <c r="E25" s="31">
        <v>5</v>
      </c>
      <c r="F25" s="26">
        <v>3.75</v>
      </c>
      <c r="G25" s="29">
        <f t="shared" si="0"/>
        <v>0.75</v>
      </c>
      <c r="H25" s="30" t="str">
        <f t="shared" si="1"/>
        <v>جيد</v>
      </c>
      <c r="I25" s="41"/>
      <c r="J25" s="42"/>
    </row>
    <row r="26" spans="1:10" ht="30" customHeight="1" x14ac:dyDescent="0.3">
      <c r="A26" s="10"/>
      <c r="B26" s="75" t="s">
        <v>199</v>
      </c>
      <c r="C26" s="76"/>
      <c r="D26" s="76"/>
      <c r="E26" s="31">
        <v>5</v>
      </c>
      <c r="F26" s="26">
        <v>3.75</v>
      </c>
      <c r="G26" s="29">
        <f t="shared" si="0"/>
        <v>0.75</v>
      </c>
      <c r="H26" s="30" t="str">
        <f t="shared" si="1"/>
        <v>جيد</v>
      </c>
      <c r="I26" s="41"/>
      <c r="J26" s="42"/>
    </row>
    <row r="27" spans="1:10" ht="30" customHeight="1" x14ac:dyDescent="0.3">
      <c r="A27" s="10"/>
      <c r="B27" s="75" t="s">
        <v>200</v>
      </c>
      <c r="C27" s="76"/>
      <c r="D27" s="76"/>
      <c r="E27" s="31">
        <v>5</v>
      </c>
      <c r="F27" s="26">
        <v>3.75</v>
      </c>
      <c r="G27" s="29">
        <f t="shared" si="0"/>
        <v>0.75</v>
      </c>
      <c r="H27" s="30" t="str">
        <f t="shared" si="1"/>
        <v>جيد</v>
      </c>
      <c r="I27" s="41"/>
      <c r="J27" s="42"/>
    </row>
    <row r="28" spans="1:10" ht="30" customHeight="1" x14ac:dyDescent="0.3">
      <c r="A28" s="10"/>
      <c r="B28" s="75" t="s">
        <v>201</v>
      </c>
      <c r="C28" s="76"/>
      <c r="D28" s="76"/>
      <c r="E28" s="31">
        <v>5</v>
      </c>
      <c r="F28" s="26">
        <v>3.5</v>
      </c>
      <c r="G28" s="29">
        <f t="shared" si="0"/>
        <v>0.7</v>
      </c>
      <c r="H28" s="30" t="str">
        <f t="shared" si="1"/>
        <v>جيد</v>
      </c>
      <c r="I28" s="41"/>
      <c r="J28" s="42"/>
    </row>
    <row r="29" spans="1:10" ht="30" customHeight="1" thickBot="1" x14ac:dyDescent="0.35">
      <c r="A29" s="10"/>
      <c r="B29" s="79" t="s">
        <v>202</v>
      </c>
      <c r="C29" s="80"/>
      <c r="D29" s="80"/>
      <c r="E29" s="36">
        <v>5</v>
      </c>
      <c r="F29" s="27">
        <v>3.5</v>
      </c>
      <c r="G29" s="37">
        <f t="shared" si="0"/>
        <v>0.7</v>
      </c>
      <c r="H29" s="38" t="str">
        <f t="shared" si="1"/>
        <v>جيد</v>
      </c>
      <c r="I29" s="47"/>
      <c r="J29" s="48"/>
    </row>
    <row r="30" spans="1:10" ht="30" customHeight="1" x14ac:dyDescent="0.3">
      <c r="A30" s="10"/>
      <c r="B30" s="77" t="s">
        <v>203</v>
      </c>
      <c r="C30" s="78"/>
      <c r="D30" s="78"/>
      <c r="E30" s="32"/>
      <c r="F30" s="33"/>
      <c r="G30" s="34"/>
      <c r="H30" s="35"/>
      <c r="I30" s="43"/>
      <c r="J30" s="44"/>
    </row>
    <row r="31" spans="1:10" ht="30" customHeight="1" x14ac:dyDescent="0.3">
      <c r="A31" s="10"/>
      <c r="B31" s="75" t="s">
        <v>204</v>
      </c>
      <c r="C31" s="76"/>
      <c r="D31" s="76"/>
      <c r="E31" s="31">
        <v>5</v>
      </c>
      <c r="F31" s="26">
        <v>3.75</v>
      </c>
      <c r="G31" s="29">
        <f t="shared" si="0"/>
        <v>0.75</v>
      </c>
      <c r="H31" s="30" t="str">
        <f t="shared" si="1"/>
        <v>جيد</v>
      </c>
      <c r="I31" s="41"/>
      <c r="J31" s="42"/>
    </row>
    <row r="32" spans="1:10" ht="39.9" customHeight="1" x14ac:dyDescent="0.3">
      <c r="A32" s="10"/>
      <c r="B32" s="75" t="s">
        <v>205</v>
      </c>
      <c r="C32" s="76"/>
      <c r="D32" s="76"/>
      <c r="E32" s="31">
        <v>5</v>
      </c>
      <c r="F32" s="26">
        <v>3.5</v>
      </c>
      <c r="G32" s="29">
        <f t="shared" si="0"/>
        <v>0.7</v>
      </c>
      <c r="H32" s="30" t="str">
        <f t="shared" si="1"/>
        <v>جيد</v>
      </c>
      <c r="I32" s="41"/>
      <c r="J32" s="42"/>
    </row>
    <row r="33" spans="1:10" ht="30" customHeight="1" x14ac:dyDescent="0.3">
      <c r="A33" s="10"/>
      <c r="B33" s="75" t="s">
        <v>206</v>
      </c>
      <c r="C33" s="76"/>
      <c r="D33" s="76"/>
      <c r="E33" s="31">
        <v>5</v>
      </c>
      <c r="F33" s="26">
        <v>3.5</v>
      </c>
      <c r="G33" s="29">
        <f t="shared" si="0"/>
        <v>0.7</v>
      </c>
      <c r="H33" s="30" t="str">
        <f t="shared" si="1"/>
        <v>جيد</v>
      </c>
      <c r="I33" s="41"/>
      <c r="J33" s="42"/>
    </row>
    <row r="34" spans="1:10" ht="30" customHeight="1" x14ac:dyDescent="0.3">
      <c r="A34" s="10"/>
      <c r="B34" s="75" t="s">
        <v>207</v>
      </c>
      <c r="C34" s="76"/>
      <c r="D34" s="76"/>
      <c r="E34" s="31">
        <v>5</v>
      </c>
      <c r="F34" s="26">
        <v>3.5</v>
      </c>
      <c r="G34" s="29">
        <f t="shared" si="0"/>
        <v>0.7</v>
      </c>
      <c r="H34" s="30" t="str">
        <f t="shared" si="1"/>
        <v>جيد</v>
      </c>
      <c r="I34" s="41"/>
      <c r="J34" s="42"/>
    </row>
    <row r="35" spans="1:10" ht="30" customHeight="1" x14ac:dyDescent="0.3">
      <c r="A35" s="10"/>
      <c r="B35" s="75" t="s">
        <v>208</v>
      </c>
      <c r="C35" s="76"/>
      <c r="D35" s="76"/>
      <c r="E35" s="31">
        <v>5</v>
      </c>
      <c r="F35" s="26">
        <v>3.75</v>
      </c>
      <c r="G35" s="29">
        <f t="shared" si="0"/>
        <v>0.75</v>
      </c>
      <c r="H35" s="30" t="str">
        <f t="shared" si="1"/>
        <v>جيد</v>
      </c>
      <c r="I35" s="41"/>
      <c r="J35" s="42"/>
    </row>
    <row r="36" spans="1:10" ht="30" customHeight="1" x14ac:dyDescent="0.3">
      <c r="A36" s="10"/>
      <c r="B36" s="75" t="s">
        <v>209</v>
      </c>
      <c r="C36" s="76"/>
      <c r="D36" s="76"/>
      <c r="E36" s="31">
        <v>5</v>
      </c>
      <c r="F36" s="26">
        <v>3.75</v>
      </c>
      <c r="G36" s="29">
        <f t="shared" si="0"/>
        <v>0.75</v>
      </c>
      <c r="H36" s="30" t="str">
        <f t="shared" si="1"/>
        <v>جيد</v>
      </c>
      <c r="I36" s="41"/>
      <c r="J36" s="42"/>
    </row>
    <row r="37" spans="1:10" ht="30" customHeight="1" x14ac:dyDescent="0.3">
      <c r="A37" s="10"/>
      <c r="B37" s="75" t="s">
        <v>210</v>
      </c>
      <c r="C37" s="76"/>
      <c r="D37" s="76"/>
      <c r="E37" s="31">
        <v>5</v>
      </c>
      <c r="F37" s="26">
        <v>4</v>
      </c>
      <c r="G37" s="29">
        <f t="shared" si="0"/>
        <v>0.8</v>
      </c>
      <c r="H37" s="30" t="str">
        <f t="shared" si="1"/>
        <v>جيد جداً</v>
      </c>
      <c r="I37" s="41"/>
      <c r="J37" s="42"/>
    </row>
    <row r="38" spans="1:10" ht="30" customHeight="1" x14ac:dyDescent="0.3">
      <c r="A38" s="10"/>
      <c r="B38" s="75" t="s">
        <v>211</v>
      </c>
      <c r="C38" s="76"/>
      <c r="D38" s="76"/>
      <c r="E38" s="31">
        <v>5</v>
      </c>
      <c r="F38" s="26">
        <v>3.75</v>
      </c>
      <c r="G38" s="29">
        <f t="shared" si="0"/>
        <v>0.75</v>
      </c>
      <c r="H38" s="30" t="str">
        <f t="shared" si="1"/>
        <v>جيد</v>
      </c>
      <c r="I38" s="41"/>
      <c r="J38" s="42"/>
    </row>
    <row r="39" spans="1:10" ht="30" customHeight="1" x14ac:dyDescent="0.3">
      <c r="A39" s="10"/>
      <c r="B39" s="75" t="s">
        <v>212</v>
      </c>
      <c r="C39" s="76"/>
      <c r="D39" s="76"/>
      <c r="E39" s="31">
        <v>5</v>
      </c>
      <c r="F39" s="26">
        <v>3.5</v>
      </c>
      <c r="G39" s="29">
        <f t="shared" si="0"/>
        <v>0.7</v>
      </c>
      <c r="H39" s="30" t="str">
        <f t="shared" si="1"/>
        <v>جيد</v>
      </c>
      <c r="I39" s="41"/>
      <c r="J39" s="42"/>
    </row>
    <row r="40" spans="1:10" ht="30" customHeight="1" x14ac:dyDescent="0.3">
      <c r="A40" s="10"/>
      <c r="B40" s="75" t="s">
        <v>213</v>
      </c>
      <c r="C40" s="76"/>
      <c r="D40" s="76"/>
      <c r="E40" s="31">
        <v>5</v>
      </c>
      <c r="F40" s="26">
        <v>3.5</v>
      </c>
      <c r="G40" s="29">
        <f t="shared" si="0"/>
        <v>0.7</v>
      </c>
      <c r="H40" s="30" t="str">
        <f t="shared" si="1"/>
        <v>جيد</v>
      </c>
      <c r="I40" s="41"/>
      <c r="J40" s="42"/>
    </row>
    <row r="41" spans="1:10" ht="30" customHeight="1" x14ac:dyDescent="0.3">
      <c r="A41" s="10"/>
      <c r="B41" s="75" t="s">
        <v>214</v>
      </c>
      <c r="C41" s="76"/>
      <c r="D41" s="76"/>
      <c r="E41" s="31">
        <v>5</v>
      </c>
      <c r="F41" s="26">
        <v>3.75</v>
      </c>
      <c r="G41" s="29">
        <f t="shared" si="0"/>
        <v>0.75</v>
      </c>
      <c r="H41" s="30" t="str">
        <f t="shared" si="1"/>
        <v>جيد</v>
      </c>
      <c r="I41" s="41"/>
      <c r="J41" s="42"/>
    </row>
    <row r="42" spans="1:10" ht="30" customHeight="1" x14ac:dyDescent="0.3">
      <c r="A42" s="10"/>
      <c r="B42" s="75" t="s">
        <v>215</v>
      </c>
      <c r="C42" s="76"/>
      <c r="D42" s="76"/>
      <c r="E42" s="31">
        <v>5</v>
      </c>
      <c r="F42" s="26">
        <v>3.5</v>
      </c>
      <c r="G42" s="29">
        <f t="shared" si="0"/>
        <v>0.7</v>
      </c>
      <c r="H42" s="30" t="str">
        <f t="shared" si="1"/>
        <v>جيد</v>
      </c>
      <c r="I42" s="41"/>
      <c r="J42" s="42"/>
    </row>
    <row r="43" spans="1:10" ht="30" customHeight="1" x14ac:dyDescent="0.3">
      <c r="A43" s="10"/>
      <c r="B43" s="75" t="s">
        <v>216</v>
      </c>
      <c r="C43" s="76"/>
      <c r="D43" s="76"/>
      <c r="E43" s="31">
        <v>5</v>
      </c>
      <c r="F43" s="26">
        <v>3.5</v>
      </c>
      <c r="G43" s="29">
        <f t="shared" si="0"/>
        <v>0.7</v>
      </c>
      <c r="H43" s="30" t="str">
        <f t="shared" si="1"/>
        <v>جيد</v>
      </c>
      <c r="I43" s="41"/>
      <c r="J43" s="42"/>
    </row>
    <row r="44" spans="1:10" ht="30" customHeight="1" x14ac:dyDescent="0.3">
      <c r="A44" s="10"/>
      <c r="B44" s="75" t="s">
        <v>217</v>
      </c>
      <c r="C44" s="76"/>
      <c r="D44" s="76"/>
      <c r="E44" s="31">
        <v>5</v>
      </c>
      <c r="F44" s="26">
        <v>4</v>
      </c>
      <c r="G44" s="29">
        <f t="shared" si="0"/>
        <v>0.8</v>
      </c>
      <c r="H44" s="30" t="str">
        <f t="shared" si="1"/>
        <v>جيد جداً</v>
      </c>
      <c r="I44" s="41"/>
      <c r="J44" s="42"/>
    </row>
    <row r="45" spans="1:10" ht="30" customHeight="1" thickBot="1" x14ac:dyDescent="0.35">
      <c r="A45" s="10"/>
      <c r="B45" s="79" t="s">
        <v>218</v>
      </c>
      <c r="C45" s="80"/>
      <c r="D45" s="80"/>
      <c r="E45" s="36">
        <v>5</v>
      </c>
      <c r="F45" s="27">
        <v>3.75</v>
      </c>
      <c r="G45" s="37">
        <f t="shared" si="0"/>
        <v>0.75</v>
      </c>
      <c r="H45" s="38" t="str">
        <f t="shared" si="1"/>
        <v>جيد</v>
      </c>
      <c r="I45" s="47"/>
      <c r="J45" s="48"/>
    </row>
    <row r="46" spans="1:10" ht="30" customHeight="1" thickBot="1" x14ac:dyDescent="0.35">
      <c r="A46" s="4"/>
      <c r="B46" s="73" t="s">
        <v>5</v>
      </c>
      <c r="C46" s="74"/>
      <c r="D46" s="74"/>
      <c r="E46" s="9">
        <f>SUM(E8:E45)</f>
        <v>170</v>
      </c>
      <c r="F46" s="9">
        <f>SUM(F8:F45)</f>
        <v>124.5</v>
      </c>
      <c r="G46" s="70"/>
      <c r="H46" s="71"/>
      <c r="I46" s="71"/>
      <c r="J46" s="72"/>
    </row>
    <row r="47" spans="1:10" ht="30" customHeight="1" thickBot="1" x14ac:dyDescent="0.35">
      <c r="A47" s="4"/>
      <c r="B47" s="73" t="s">
        <v>52</v>
      </c>
      <c r="C47" s="74"/>
      <c r="D47" s="74"/>
      <c r="E47" s="66">
        <f>F46/E46/100*100</f>
        <v>0.73235294117647054</v>
      </c>
      <c r="F47" s="66"/>
      <c r="G47" s="66"/>
      <c r="H47" s="66"/>
      <c r="I47" s="66"/>
      <c r="J47" s="67"/>
    </row>
    <row r="48" spans="1:10" ht="30" customHeight="1" thickBot="1" x14ac:dyDescent="0.35">
      <c r="A48" s="4"/>
      <c r="B48" s="73" t="s">
        <v>53</v>
      </c>
      <c r="C48" s="74"/>
      <c r="D48" s="74"/>
      <c r="E48" s="64" t="str">
        <f>_xlfn.IFS(E47&gt;=90%,"ممتاز",E47&gt;=80%,"جيد جداً",E47&gt;=70%,"جيد",E47&gt;=60%,"مقبول",E47&lt;60%,"راسب")</f>
        <v>جيد</v>
      </c>
      <c r="F48" s="64"/>
      <c r="G48" s="64"/>
      <c r="H48" s="64"/>
      <c r="I48" s="64"/>
      <c r="J48" s="65"/>
    </row>
    <row r="49" spans="1:10" ht="42" customHeight="1" x14ac:dyDescent="0.3">
      <c r="B49" s="60" t="s">
        <v>172</v>
      </c>
      <c r="C49" s="60"/>
      <c r="D49" s="60"/>
      <c r="E49" s="68" t="s">
        <v>50</v>
      </c>
      <c r="F49" s="68"/>
      <c r="G49" s="62" t="s">
        <v>160</v>
      </c>
      <c r="H49" s="62"/>
      <c r="I49" s="62"/>
      <c r="J49" s="62"/>
    </row>
    <row r="50" spans="1:10" ht="51" customHeight="1" x14ac:dyDescent="0.3">
      <c r="A50" s="5"/>
      <c r="B50" s="61"/>
      <c r="C50" s="61"/>
      <c r="D50" s="61"/>
      <c r="E50" s="69" t="s">
        <v>51</v>
      </c>
      <c r="F50" s="69"/>
      <c r="G50" s="63"/>
      <c r="H50" s="63"/>
      <c r="I50" s="63"/>
      <c r="J50" s="63"/>
    </row>
  </sheetData>
  <sheetProtection sheet="1" formatCells="0" formatColumns="0" formatRows="0" insertColumns="0" insertRows="0" insertHyperlinks="0" deleteColumns="0" deleteRows="0" selectLockedCells="1" sort="0" autoFilter="0" pivotTables="0"/>
  <mergeCells count="97">
    <mergeCell ref="B44:D44"/>
    <mergeCell ref="B45:D45"/>
    <mergeCell ref="B35:D35"/>
    <mergeCell ref="B36:D36"/>
    <mergeCell ref="B37:D37"/>
    <mergeCell ref="B38:D38"/>
    <mergeCell ref="B39:D39"/>
    <mergeCell ref="B40:D40"/>
    <mergeCell ref="B41:D41"/>
    <mergeCell ref="B42:D42"/>
    <mergeCell ref="B43:D43"/>
    <mergeCell ref="B33:D33"/>
    <mergeCell ref="B34:D34"/>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16:D16"/>
    <mergeCell ref="I32:J32"/>
    <mergeCell ref="B8:D8"/>
    <mergeCell ref="B9:D9"/>
    <mergeCell ref="B10:D10"/>
    <mergeCell ref="B11:D11"/>
    <mergeCell ref="B12:D12"/>
    <mergeCell ref="B31:D31"/>
    <mergeCell ref="B32:D32"/>
    <mergeCell ref="I8:J8"/>
    <mergeCell ref="I9:J9"/>
    <mergeCell ref="B13:D13"/>
    <mergeCell ref="B14:D14"/>
    <mergeCell ref="B15:D15"/>
    <mergeCell ref="B48:D48"/>
    <mergeCell ref="I11:J11"/>
    <mergeCell ref="I12:J12"/>
    <mergeCell ref="I13:J13"/>
    <mergeCell ref="I14:J14"/>
    <mergeCell ref="I15:J15"/>
    <mergeCell ref="I16:J16"/>
    <mergeCell ref="I17:J17"/>
    <mergeCell ref="I18:J18"/>
    <mergeCell ref="I28:J28"/>
    <mergeCell ref="I29:J29"/>
    <mergeCell ref="I27:J27"/>
    <mergeCell ref="I33:J33"/>
    <mergeCell ref="I34:J34"/>
    <mergeCell ref="I35:J35"/>
    <mergeCell ref="I36:J36"/>
    <mergeCell ref="B49:D50"/>
    <mergeCell ref="G49:J49"/>
    <mergeCell ref="G50:J50"/>
    <mergeCell ref="E48:J48"/>
    <mergeCell ref="I40:J40"/>
    <mergeCell ref="I41:J41"/>
    <mergeCell ref="I42:J42"/>
    <mergeCell ref="I43:J43"/>
    <mergeCell ref="I44:J44"/>
    <mergeCell ref="E47:J47"/>
    <mergeCell ref="I45:J45"/>
    <mergeCell ref="E49:F49"/>
    <mergeCell ref="E50:F50"/>
    <mergeCell ref="G46:J46"/>
    <mergeCell ref="B46:D46"/>
    <mergeCell ref="B47:D47"/>
    <mergeCell ref="B1:J1"/>
    <mergeCell ref="F2:J2"/>
    <mergeCell ref="B5:D6"/>
    <mergeCell ref="C2:D2"/>
    <mergeCell ref="C3:D3"/>
    <mergeCell ref="F3:J3"/>
    <mergeCell ref="E5:H5"/>
    <mergeCell ref="I5:J6"/>
    <mergeCell ref="B7:D7"/>
    <mergeCell ref="I38:J38"/>
    <mergeCell ref="I39:J39"/>
    <mergeCell ref="I30:J30"/>
    <mergeCell ref="I31:J31"/>
    <mergeCell ref="I37:J37"/>
    <mergeCell ref="I7:J7"/>
    <mergeCell ref="I10:J10"/>
    <mergeCell ref="I19:J19"/>
    <mergeCell ref="I20:J20"/>
    <mergeCell ref="I21:J21"/>
    <mergeCell ref="I22:J22"/>
    <mergeCell ref="I23:J23"/>
    <mergeCell ref="I24:J24"/>
    <mergeCell ref="I25:J25"/>
    <mergeCell ref="I26:J26"/>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48">
    <cfRule type="expression" dxfId="14" priority="57">
      <formula>$E48="راسب"</formula>
    </cfRule>
  </conditionalFormatting>
  <conditionalFormatting sqref="E48:J48">
    <cfRule type="expression" dxfId="13" priority="58">
      <formula>$E48="مقبول"</formula>
    </cfRule>
    <cfRule type="expression" dxfId="12" priority="59">
      <formula>$E48="جيد"</formula>
    </cfRule>
    <cfRule type="expression" dxfId="11" priority="60">
      <formula>$E48="جيد جداً"</formula>
    </cfRule>
    <cfRule type="expression" dxfId="10" priority="61">
      <formula>$E48="ممتاز"</formula>
    </cfRule>
  </conditionalFormatting>
  <conditionalFormatting sqref="F8:F45">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49:J49">
    <cfRule type="containsText" dxfId="6" priority="15" operator="containsText" text="أدخل اسم المحكم">
      <formula>NOT(ISERROR(SEARCH("أدخل اسم المحكم",G49)))</formula>
    </cfRule>
  </conditionalFormatting>
  <conditionalFormatting sqref="H8:H45">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2"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F27846E5-4775-4613-AD3F-6A647663FDD7}">
          <x14:formula1>
            <xm:f>'بيانات التقييم'!$A$38:$A$106</xm:f>
          </x14:formula1>
          <xm:sqref>F2:J2</xm:sqref>
        </x14:dataValidation>
        <x14:dataValidation type="list" allowBlank="1" showInputMessage="1" showErrorMessage="1" xr:uid="{29F5EBBB-8CF0-4EBC-9568-49582573F3A1}">
          <x14:formula1>
            <xm:f>'بيانات التقييم'!$A$1:$A$34</xm:f>
          </x14:formula1>
          <xm:sqref>C2:D2</xm:sqref>
        </x14:dataValidation>
        <x14:dataValidation type="list" allowBlank="1" showInputMessage="1" showErrorMessage="1" xr:uid="{5A7ADC9F-6098-4415-8DD4-849A148D02E3}">
          <x14:formula1>
            <xm:f>'بيانات التقييم'!$A$111:$A$133</xm:f>
          </x14:formula1>
          <xm:sqref>F31:F45 F24:F29 F15:F22 F9:F13</xm:sqref>
        </x14:dataValidation>
        <x14:dataValidation type="list" allowBlank="1" showInputMessage="1" showErrorMessage="1" xr:uid="{BD8CB5A2-5F32-4EAD-A63C-382D3B90B847}">
          <x14:formula1>
            <xm:f>'بيانات التقييم'!$A$198:$A$286</xm:f>
          </x14:formula1>
          <xm:sqref>G49:J49 F3:J3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8"/>
  <sheetViews>
    <sheetView rightToLeft="1" topLeftCell="A54" workbookViewId="0">
      <selection activeCell="A64" sqref="A64"/>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55</v>
      </c>
      <c r="C1" s="2" t="s">
        <v>58</v>
      </c>
    </row>
    <row r="2" spans="1:3" ht="20.100000000000001" customHeight="1" thickBot="1" x14ac:dyDescent="0.35">
      <c r="A2" s="2" t="s">
        <v>33</v>
      </c>
      <c r="C2" s="19" t="s">
        <v>60</v>
      </c>
    </row>
    <row r="3" spans="1:3" ht="20.100000000000001" customHeight="1" thickBot="1" x14ac:dyDescent="0.35">
      <c r="A3" s="2" t="s">
        <v>24</v>
      </c>
      <c r="C3" s="19" t="s">
        <v>61</v>
      </c>
    </row>
    <row r="4" spans="1:3" ht="20.100000000000001" customHeight="1" thickBot="1" x14ac:dyDescent="0.35">
      <c r="A4" s="2" t="s">
        <v>34</v>
      </c>
      <c r="C4" s="19" t="s">
        <v>62</v>
      </c>
    </row>
    <row r="5" spans="1:3" ht="20.100000000000001" customHeight="1" thickBot="1" x14ac:dyDescent="0.35">
      <c r="A5" s="2" t="s">
        <v>35</v>
      </c>
      <c r="C5" s="19" t="s">
        <v>63</v>
      </c>
    </row>
    <row r="6" spans="1:3" ht="20.100000000000001" customHeight="1" thickBot="1" x14ac:dyDescent="0.35">
      <c r="A6" s="2" t="s">
        <v>36</v>
      </c>
      <c r="C6" s="19" t="s">
        <v>64</v>
      </c>
    </row>
    <row r="7" spans="1:3" ht="20.100000000000001" customHeight="1" thickBot="1" x14ac:dyDescent="0.35">
      <c r="A7" s="2" t="s">
        <v>37</v>
      </c>
      <c r="C7" s="19" t="s">
        <v>65</v>
      </c>
    </row>
    <row r="8" spans="1:3" ht="20.100000000000001" customHeight="1" thickBot="1" x14ac:dyDescent="0.35">
      <c r="A8" s="2" t="s">
        <v>38</v>
      </c>
      <c r="C8" s="19" t="s">
        <v>66</v>
      </c>
    </row>
    <row r="9" spans="1:3" ht="20.100000000000001" customHeight="1" thickBot="1" x14ac:dyDescent="0.35">
      <c r="A9" s="2" t="s">
        <v>39</v>
      </c>
      <c r="C9" s="19" t="s">
        <v>67</v>
      </c>
    </row>
    <row r="10" spans="1:3" ht="20.100000000000001" customHeight="1" thickBot="1" x14ac:dyDescent="0.35">
      <c r="A10" s="2" t="s">
        <v>40</v>
      </c>
      <c r="C10" s="19" t="s">
        <v>68</v>
      </c>
    </row>
    <row r="11" spans="1:3" ht="20.100000000000001" customHeight="1" thickBot="1" x14ac:dyDescent="0.35">
      <c r="A11" s="2" t="s">
        <v>41</v>
      </c>
      <c r="C11" s="19" t="s">
        <v>69</v>
      </c>
    </row>
    <row r="12" spans="1:3" ht="20.100000000000001" customHeight="1" thickBot="1" x14ac:dyDescent="0.35">
      <c r="A12" s="2" t="s">
        <v>42</v>
      </c>
      <c r="C12" s="19" t="s">
        <v>70</v>
      </c>
    </row>
    <row r="13" spans="1:3" ht="20.100000000000001" customHeight="1" thickBot="1" x14ac:dyDescent="0.35">
      <c r="A13" s="2" t="s">
        <v>43</v>
      </c>
      <c r="C13" s="19" t="s">
        <v>71</v>
      </c>
    </row>
    <row r="14" spans="1:3" ht="20.100000000000001" customHeight="1" thickBot="1" x14ac:dyDescent="0.35">
      <c r="A14" s="2" t="s">
        <v>44</v>
      </c>
      <c r="C14" s="19" t="s">
        <v>72</v>
      </c>
    </row>
    <row r="15" spans="1:3" ht="20.100000000000001" customHeight="1" thickBot="1" x14ac:dyDescent="0.35">
      <c r="A15" s="2" t="s">
        <v>45</v>
      </c>
      <c r="C15" s="19" t="s">
        <v>73</v>
      </c>
    </row>
    <row r="16" spans="1:3" ht="20.100000000000001" customHeight="1" thickBot="1" x14ac:dyDescent="0.35">
      <c r="A16" s="2" t="s">
        <v>8</v>
      </c>
      <c r="C16" s="19" t="s">
        <v>74</v>
      </c>
    </row>
    <row r="17" spans="1:3" ht="20.100000000000001" customHeight="1" thickBot="1" x14ac:dyDescent="0.35">
      <c r="A17" s="2" t="s">
        <v>25</v>
      </c>
      <c r="C17" s="19" t="s">
        <v>75</v>
      </c>
    </row>
    <row r="18" spans="1:3" ht="20.100000000000001" customHeight="1" thickBot="1" x14ac:dyDescent="0.35">
      <c r="A18" s="2" t="s">
        <v>46</v>
      </c>
      <c r="C18" s="19" t="s">
        <v>76</v>
      </c>
    </row>
    <row r="19" spans="1:3" ht="20.100000000000001" customHeight="1" thickBot="1" x14ac:dyDescent="0.35">
      <c r="A19" s="2" t="s">
        <v>47</v>
      </c>
      <c r="C19" s="19" t="s">
        <v>77</v>
      </c>
    </row>
    <row r="20" spans="1:3" ht="20.100000000000001" customHeight="1" thickBot="1" x14ac:dyDescent="0.35">
      <c r="A20" s="2" t="s">
        <v>48</v>
      </c>
      <c r="C20" s="19" t="s">
        <v>78</v>
      </c>
    </row>
    <row r="21" spans="1:3" ht="20.100000000000001" customHeight="1" thickBot="1" x14ac:dyDescent="0.35">
      <c r="A21" s="2" t="s">
        <v>49</v>
      </c>
      <c r="C21" s="19" t="s">
        <v>79</v>
      </c>
    </row>
    <row r="22" spans="1:3" ht="20.100000000000001" customHeight="1" thickBot="1" x14ac:dyDescent="0.35">
      <c r="A22" s="2" t="s">
        <v>9</v>
      </c>
      <c r="C22" s="19" t="s">
        <v>80</v>
      </c>
    </row>
    <row r="23" spans="1:3" ht="20.100000000000001" customHeight="1" thickBot="1" x14ac:dyDescent="0.35">
      <c r="A23" s="2" t="s">
        <v>10</v>
      </c>
      <c r="C23" s="19" t="s">
        <v>81</v>
      </c>
    </row>
    <row r="24" spans="1:3" ht="20.100000000000001" customHeight="1" thickBot="1" x14ac:dyDescent="0.35">
      <c r="A24" s="2" t="s">
        <v>13</v>
      </c>
      <c r="C24" s="19" t="s">
        <v>82</v>
      </c>
    </row>
    <row r="25" spans="1:3" ht="20.100000000000001" customHeight="1" thickBot="1" x14ac:dyDescent="0.35">
      <c r="A25" s="2" t="s">
        <v>26</v>
      </c>
      <c r="C25" s="19" t="s">
        <v>83</v>
      </c>
    </row>
    <row r="26" spans="1:3" ht="20.100000000000001" customHeight="1" thickBot="1" x14ac:dyDescent="0.35">
      <c r="A26" s="2" t="s">
        <v>27</v>
      </c>
      <c r="C26" s="19" t="s">
        <v>84</v>
      </c>
    </row>
    <row r="27" spans="1:3" ht="20.100000000000001" customHeight="1" thickBot="1" x14ac:dyDescent="0.35">
      <c r="A27" s="2" t="s">
        <v>11</v>
      </c>
      <c r="C27" s="19" t="s">
        <v>85</v>
      </c>
    </row>
    <row r="28" spans="1:3" ht="20.100000000000001" customHeight="1" thickBot="1" x14ac:dyDescent="0.35">
      <c r="A28" s="2" t="s">
        <v>28</v>
      </c>
      <c r="C28" s="19" t="s">
        <v>86</v>
      </c>
    </row>
    <row r="29" spans="1:3" ht="20.100000000000001" customHeight="1" thickBot="1" x14ac:dyDescent="0.35">
      <c r="A29" s="2" t="s">
        <v>29</v>
      </c>
      <c r="C29" s="19" t="s">
        <v>175</v>
      </c>
    </row>
    <row r="30" spans="1:3" ht="20.100000000000001" customHeight="1" thickBot="1" x14ac:dyDescent="0.35">
      <c r="A30" s="2" t="s">
        <v>30</v>
      </c>
      <c r="C30" s="19" t="s">
        <v>176</v>
      </c>
    </row>
    <row r="31" spans="1:3" ht="20.100000000000001" customHeight="1" thickBot="1" x14ac:dyDescent="0.35">
      <c r="A31" s="2" t="s">
        <v>31</v>
      </c>
      <c r="C31" s="19" t="s">
        <v>177</v>
      </c>
    </row>
    <row r="32" spans="1:3" ht="20.100000000000001" customHeight="1" thickBot="1" x14ac:dyDescent="0.35">
      <c r="A32" s="2" t="s">
        <v>14</v>
      </c>
      <c r="C32" s="19"/>
    </row>
    <row r="33" spans="1:9" ht="20.100000000000001" customHeight="1" thickBot="1" x14ac:dyDescent="0.35">
      <c r="A33" s="2" t="s">
        <v>12</v>
      </c>
      <c r="C33" s="19"/>
    </row>
    <row r="34" spans="1:9" ht="20.100000000000001" customHeight="1" thickBot="1" x14ac:dyDescent="0.35">
      <c r="A34" s="2" t="s">
        <v>32</v>
      </c>
      <c r="C34" s="19"/>
    </row>
    <row r="35" spans="1:9" ht="20.100000000000001" customHeight="1" x14ac:dyDescent="0.3">
      <c r="A35" s="18"/>
    </row>
    <row r="36" spans="1:9" s="17" customFormat="1" ht="20.100000000000001" customHeight="1" x14ac:dyDescent="0.3">
      <c r="A36" s="15"/>
      <c r="B36" s="16"/>
      <c r="C36" s="16"/>
      <c r="D36" s="16"/>
      <c r="E36" s="16"/>
      <c r="F36" s="16"/>
      <c r="G36" s="16"/>
      <c r="H36" s="16"/>
      <c r="I36" s="16"/>
    </row>
    <row r="37" spans="1:9" ht="20.100000000000001" customHeight="1" thickBot="1" x14ac:dyDescent="0.35"/>
    <row r="38" spans="1:9" ht="20.100000000000001" customHeight="1" thickBot="1" x14ac:dyDescent="0.35">
      <c r="A38" s="2" t="s">
        <v>54</v>
      </c>
    </row>
    <row r="39" spans="1:9" ht="20.100000000000001" customHeight="1" thickBot="1" x14ac:dyDescent="0.35">
      <c r="A39" s="13">
        <v>45931</v>
      </c>
    </row>
    <row r="40" spans="1:9" ht="20.100000000000001" customHeight="1" thickBot="1" x14ac:dyDescent="0.35">
      <c r="A40" s="13">
        <v>45932</v>
      </c>
    </row>
    <row r="41" spans="1:9" ht="20.100000000000001" customHeight="1" thickBot="1" x14ac:dyDescent="0.35">
      <c r="A41" s="13">
        <v>45933</v>
      </c>
    </row>
    <row r="42" spans="1:9" ht="20.100000000000001" customHeight="1" thickBot="1" x14ac:dyDescent="0.35">
      <c r="A42" s="13">
        <v>45934</v>
      </c>
    </row>
    <row r="43" spans="1:9" ht="20.100000000000001" customHeight="1" thickBot="1" x14ac:dyDescent="0.35">
      <c r="A43" s="13">
        <v>45935</v>
      </c>
    </row>
    <row r="44" spans="1:9" ht="20.100000000000001" customHeight="1" thickBot="1" x14ac:dyDescent="0.35">
      <c r="A44" s="13">
        <v>45936</v>
      </c>
    </row>
    <row r="45" spans="1:9" ht="20.100000000000001" customHeight="1" thickBot="1" x14ac:dyDescent="0.35">
      <c r="A45" s="13">
        <v>45937</v>
      </c>
    </row>
    <row r="46" spans="1:9" ht="20.100000000000001" customHeight="1" thickBot="1" x14ac:dyDescent="0.35">
      <c r="A46" s="13">
        <v>45938</v>
      </c>
    </row>
    <row r="47" spans="1:9" ht="20.100000000000001" customHeight="1" thickBot="1" x14ac:dyDescent="0.35">
      <c r="A47" s="13">
        <v>45939</v>
      </c>
    </row>
    <row r="48" spans="1:9" ht="20.100000000000001" customHeight="1" thickBot="1" x14ac:dyDescent="0.35">
      <c r="A48" s="13">
        <v>45940</v>
      </c>
    </row>
    <row r="49" spans="1:1" ht="20.100000000000001" customHeight="1" thickBot="1" x14ac:dyDescent="0.35">
      <c r="A49" s="13">
        <v>45941</v>
      </c>
    </row>
    <row r="50" spans="1:1" ht="20.100000000000001" customHeight="1" thickBot="1" x14ac:dyDescent="0.35">
      <c r="A50" s="13">
        <v>45942</v>
      </c>
    </row>
    <row r="51" spans="1:1" ht="20.100000000000001" customHeight="1" thickBot="1" x14ac:dyDescent="0.35">
      <c r="A51" s="13">
        <v>45943</v>
      </c>
    </row>
    <row r="52" spans="1:1" ht="20.100000000000001" customHeight="1" thickBot="1" x14ac:dyDescent="0.35">
      <c r="A52" s="13">
        <v>45944</v>
      </c>
    </row>
    <row r="53" spans="1:1" ht="20.100000000000001" customHeight="1" thickBot="1" x14ac:dyDescent="0.35">
      <c r="A53" s="13">
        <v>45945</v>
      </c>
    </row>
    <row r="54" spans="1:1" ht="20.100000000000001" customHeight="1" thickBot="1" x14ac:dyDescent="0.35">
      <c r="A54" s="13">
        <v>45946</v>
      </c>
    </row>
    <row r="55" spans="1:1" ht="20.100000000000001" customHeight="1" thickBot="1" x14ac:dyDescent="0.35">
      <c r="A55" s="13">
        <v>45947</v>
      </c>
    </row>
    <row r="56" spans="1:1" ht="20.100000000000001" customHeight="1" thickBot="1" x14ac:dyDescent="0.35">
      <c r="A56" s="13">
        <v>45948</v>
      </c>
    </row>
    <row r="57" spans="1:1" ht="20.100000000000001" customHeight="1" thickBot="1" x14ac:dyDescent="0.35">
      <c r="A57" s="13">
        <v>45949</v>
      </c>
    </row>
    <row r="58" spans="1:1" ht="20.100000000000001" customHeight="1" thickBot="1" x14ac:dyDescent="0.35">
      <c r="A58" s="13">
        <v>45950</v>
      </c>
    </row>
    <row r="59" spans="1:1" ht="20.100000000000001" customHeight="1" thickBot="1" x14ac:dyDescent="0.35">
      <c r="A59" s="13">
        <v>45951</v>
      </c>
    </row>
    <row r="60" spans="1:1" ht="20.100000000000001" customHeight="1" thickBot="1" x14ac:dyDescent="0.35">
      <c r="A60" s="13">
        <v>45952</v>
      </c>
    </row>
    <row r="61" spans="1:1" ht="20.100000000000001" customHeight="1" thickBot="1" x14ac:dyDescent="0.35">
      <c r="A61" s="13">
        <v>45953</v>
      </c>
    </row>
    <row r="62" spans="1:1" ht="20.100000000000001" customHeight="1" thickBot="1" x14ac:dyDescent="0.35">
      <c r="A62" s="13">
        <v>45954</v>
      </c>
    </row>
    <row r="63" spans="1:1" ht="20.100000000000001" customHeight="1" thickBot="1" x14ac:dyDescent="0.35">
      <c r="A63" s="13">
        <v>45955</v>
      </c>
    </row>
    <row r="64" spans="1:1" ht="20.100000000000001" customHeight="1" thickBot="1" x14ac:dyDescent="0.35">
      <c r="A64" s="13">
        <v>45956</v>
      </c>
    </row>
    <row r="65" spans="1:1" ht="20.100000000000001" customHeight="1" thickBot="1" x14ac:dyDescent="0.35">
      <c r="A65" s="13">
        <v>45957</v>
      </c>
    </row>
    <row r="66" spans="1:1" ht="20.100000000000001" customHeight="1" thickBot="1" x14ac:dyDescent="0.35">
      <c r="A66" s="13">
        <v>45958</v>
      </c>
    </row>
    <row r="67" spans="1:1" ht="20.100000000000001" customHeight="1" thickBot="1" x14ac:dyDescent="0.35">
      <c r="A67" s="13">
        <v>45959</v>
      </c>
    </row>
    <row r="68" spans="1:1" ht="20.100000000000001" customHeight="1" thickBot="1" x14ac:dyDescent="0.35">
      <c r="A68" s="13">
        <v>45960</v>
      </c>
    </row>
    <row r="69" spans="1:1" ht="20.100000000000001" customHeight="1" thickBot="1" x14ac:dyDescent="0.35">
      <c r="A69" s="13">
        <v>45961</v>
      </c>
    </row>
    <row r="70" spans="1:1" ht="20.100000000000001" customHeight="1" thickBot="1" x14ac:dyDescent="0.35">
      <c r="A70" s="13"/>
    </row>
    <row r="71" spans="1:1" ht="20.100000000000001" customHeight="1" thickBot="1" x14ac:dyDescent="0.35">
      <c r="A71" s="13"/>
    </row>
    <row r="72" spans="1:1" ht="20.100000000000001" customHeight="1" thickBot="1" x14ac:dyDescent="0.35">
      <c r="A72" s="13"/>
    </row>
    <row r="73" spans="1:1" ht="20.100000000000001" customHeight="1" thickBot="1" x14ac:dyDescent="0.35">
      <c r="A73" s="13"/>
    </row>
    <row r="74" spans="1:1" ht="20.100000000000001" customHeight="1" thickBot="1" x14ac:dyDescent="0.35">
      <c r="A74" s="13"/>
    </row>
    <row r="75" spans="1:1" ht="20.100000000000001" customHeight="1" thickBot="1" x14ac:dyDescent="0.35">
      <c r="A75" s="13"/>
    </row>
    <row r="76" spans="1:1" ht="20.100000000000001" customHeight="1" thickBot="1" x14ac:dyDescent="0.35">
      <c r="A76" s="13"/>
    </row>
    <row r="77" spans="1:1" ht="20.100000000000001" customHeight="1" thickBot="1" x14ac:dyDescent="0.35">
      <c r="A77" s="13"/>
    </row>
    <row r="78" spans="1:1" ht="20.100000000000001" customHeight="1" thickBot="1" x14ac:dyDescent="0.35">
      <c r="A78" s="13"/>
    </row>
    <row r="79" spans="1:1" ht="20.100000000000001" customHeight="1" thickBot="1" x14ac:dyDescent="0.35">
      <c r="A79" s="13"/>
    </row>
    <row r="80" spans="1:1" ht="20.100000000000001" customHeight="1" thickBot="1" x14ac:dyDescent="0.35">
      <c r="A80" s="13"/>
    </row>
    <row r="81" spans="1:1" ht="20.100000000000001" customHeight="1" thickBot="1" x14ac:dyDescent="0.35">
      <c r="A81" s="13"/>
    </row>
    <row r="82" spans="1:1" ht="20.100000000000001" customHeight="1" thickBot="1" x14ac:dyDescent="0.35">
      <c r="A82" s="13"/>
    </row>
    <row r="83" spans="1:1" ht="20.100000000000001" customHeight="1" thickBot="1" x14ac:dyDescent="0.35">
      <c r="A83" s="13"/>
    </row>
    <row r="84" spans="1:1" ht="20.100000000000001" customHeight="1" thickBot="1" x14ac:dyDescent="0.35">
      <c r="A84" s="13"/>
    </row>
    <row r="85" spans="1:1" ht="20.100000000000001" customHeight="1" thickBot="1" x14ac:dyDescent="0.35">
      <c r="A85" s="13"/>
    </row>
    <row r="86" spans="1:1" ht="20.100000000000001" customHeight="1" thickBot="1" x14ac:dyDescent="0.35">
      <c r="A86" s="13"/>
    </row>
    <row r="87" spans="1:1" ht="20.100000000000001" customHeight="1" thickBot="1" x14ac:dyDescent="0.35">
      <c r="A87" s="13"/>
    </row>
    <row r="88" spans="1:1" ht="20.100000000000001" customHeight="1" thickBot="1" x14ac:dyDescent="0.35">
      <c r="A88" s="13"/>
    </row>
    <row r="89" spans="1:1" ht="20.100000000000001" customHeight="1" thickBot="1" x14ac:dyDescent="0.35">
      <c r="A89" s="13"/>
    </row>
    <row r="90" spans="1:1" ht="20.100000000000001" customHeight="1" thickBot="1" x14ac:dyDescent="0.35">
      <c r="A90" s="13"/>
    </row>
    <row r="91" spans="1:1" ht="20.100000000000001" customHeight="1" thickBot="1" x14ac:dyDescent="0.35">
      <c r="A91" s="13"/>
    </row>
    <row r="92" spans="1:1" ht="20.100000000000001" customHeight="1" thickBot="1" x14ac:dyDescent="0.35">
      <c r="A92" s="13"/>
    </row>
    <row r="93" spans="1:1" ht="20.100000000000001" customHeight="1" thickBot="1" x14ac:dyDescent="0.35">
      <c r="A93" s="13"/>
    </row>
    <row r="94" spans="1:1" ht="20.100000000000001" customHeight="1" thickBot="1" x14ac:dyDescent="0.35">
      <c r="A94" s="13"/>
    </row>
    <row r="95" spans="1:1" ht="20.100000000000001" customHeight="1" thickBot="1" x14ac:dyDescent="0.35">
      <c r="A95" s="13"/>
    </row>
    <row r="96" spans="1:1" ht="20.100000000000001" customHeight="1" thickBot="1" x14ac:dyDescent="0.35">
      <c r="A96" s="13"/>
    </row>
    <row r="97" spans="1:9" ht="20.100000000000001" customHeight="1" thickBot="1" x14ac:dyDescent="0.35">
      <c r="A97" s="13"/>
    </row>
    <row r="98" spans="1:9" ht="20.100000000000001" customHeight="1" thickBot="1" x14ac:dyDescent="0.35">
      <c r="A98" s="13"/>
    </row>
    <row r="99" spans="1:9" ht="20.100000000000001" customHeight="1" thickBot="1" x14ac:dyDescent="0.35">
      <c r="A99" s="13"/>
    </row>
    <row r="100" spans="1:9" ht="20.100000000000001" customHeight="1" thickBot="1" x14ac:dyDescent="0.35">
      <c r="A100" s="13"/>
    </row>
    <row r="101" spans="1:9" ht="20.100000000000001" customHeight="1" thickBot="1" x14ac:dyDescent="0.35">
      <c r="A101" s="13"/>
    </row>
    <row r="102" spans="1:9" ht="20.100000000000001" customHeight="1" thickBot="1" x14ac:dyDescent="0.35">
      <c r="A102" s="13"/>
    </row>
    <row r="103" spans="1:9" ht="20.100000000000001" customHeight="1" thickBot="1" x14ac:dyDescent="0.35">
      <c r="A103" s="13"/>
    </row>
    <row r="104" spans="1:9" ht="20.100000000000001" customHeight="1" thickBot="1" x14ac:dyDescent="0.35">
      <c r="A104" s="13"/>
    </row>
    <row r="105" spans="1:9" ht="20.100000000000001" customHeight="1" thickBot="1" x14ac:dyDescent="0.35">
      <c r="A105" s="13"/>
    </row>
    <row r="106" spans="1:9" ht="20.100000000000001" customHeight="1" thickBot="1" x14ac:dyDescent="0.35">
      <c r="A106" s="13"/>
    </row>
    <row r="107" spans="1:9" ht="20.100000000000001" customHeight="1" x14ac:dyDescent="0.3">
      <c r="A107" s="14"/>
    </row>
    <row r="108" spans="1:9" ht="20.100000000000001" customHeight="1" x14ac:dyDescent="0.3">
      <c r="A108" s="14"/>
    </row>
    <row r="109" spans="1:9" s="17" customFormat="1" ht="20.100000000000001" customHeight="1" x14ac:dyDescent="0.3">
      <c r="A109" s="15"/>
      <c r="B109" s="16"/>
      <c r="C109" s="16"/>
      <c r="D109" s="16"/>
      <c r="E109" s="16"/>
      <c r="F109" s="16"/>
      <c r="G109" s="16"/>
      <c r="H109" s="16"/>
      <c r="I109" s="16"/>
    </row>
    <row r="110" spans="1:9" ht="20.100000000000001" customHeight="1" thickBot="1" x14ac:dyDescent="0.35"/>
    <row r="111" spans="1:9" ht="20.100000000000001" customHeight="1" thickBot="1" x14ac:dyDescent="0.35">
      <c r="A111" s="2" t="s">
        <v>59</v>
      </c>
    </row>
    <row r="112" spans="1:9" ht="20.100000000000001" customHeight="1" thickBot="1" x14ac:dyDescent="0.35">
      <c r="A112" s="2" t="s">
        <v>15</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57</v>
      </c>
    </row>
    <row r="199" spans="1:1" ht="20.100000000000001" customHeight="1" x14ac:dyDescent="0.3">
      <c r="A199" s="20" t="s">
        <v>87</v>
      </c>
    </row>
    <row r="200" spans="1:1" ht="20.100000000000001" customHeight="1" x14ac:dyDescent="0.3">
      <c r="A200" s="20" t="s">
        <v>88</v>
      </c>
    </row>
    <row r="201" spans="1:1" ht="20.100000000000001" customHeight="1" x14ac:dyDescent="0.3">
      <c r="A201" s="20" t="s">
        <v>89</v>
      </c>
    </row>
    <row r="202" spans="1:1" ht="20.100000000000001" customHeight="1" x14ac:dyDescent="0.3">
      <c r="A202" s="20" t="s">
        <v>90</v>
      </c>
    </row>
    <row r="203" spans="1:1" ht="20.100000000000001" customHeight="1" x14ac:dyDescent="0.3">
      <c r="A203" s="20" t="s">
        <v>91</v>
      </c>
    </row>
    <row r="204" spans="1:1" ht="20.100000000000001" customHeight="1" x14ac:dyDescent="0.3">
      <c r="A204" s="20" t="s">
        <v>92</v>
      </c>
    </row>
    <row r="205" spans="1:1" ht="20.100000000000001" customHeight="1" x14ac:dyDescent="0.3">
      <c r="A205" s="20" t="s">
        <v>93</v>
      </c>
    </row>
    <row r="206" spans="1:1" ht="20.100000000000001" customHeight="1" x14ac:dyDescent="0.3">
      <c r="A206" s="20" t="s">
        <v>94</v>
      </c>
    </row>
    <row r="207" spans="1:1" ht="20.100000000000001" customHeight="1" x14ac:dyDescent="0.3">
      <c r="A207" s="20" t="s">
        <v>95</v>
      </c>
    </row>
    <row r="208" spans="1:1" ht="20.100000000000001" customHeight="1" x14ac:dyDescent="0.3">
      <c r="A208" s="21" t="s">
        <v>96</v>
      </c>
    </row>
    <row r="209" spans="1:1" ht="20.100000000000001" customHeight="1" x14ac:dyDescent="0.3">
      <c r="A209" s="21" t="s">
        <v>97</v>
      </c>
    </row>
    <row r="210" spans="1:1" ht="20.100000000000001" customHeight="1" x14ac:dyDescent="0.3">
      <c r="A210" s="20" t="s">
        <v>98</v>
      </c>
    </row>
    <row r="211" spans="1:1" ht="20.100000000000001" customHeight="1" x14ac:dyDescent="0.3">
      <c r="A211" s="20" t="s">
        <v>99</v>
      </c>
    </row>
    <row r="212" spans="1:1" ht="20.100000000000001" customHeight="1" x14ac:dyDescent="0.3">
      <c r="A212" s="20" t="s">
        <v>173</v>
      </c>
    </row>
    <row r="213" spans="1:1" ht="20.100000000000001" customHeight="1" x14ac:dyDescent="0.3">
      <c r="A213" s="20" t="s">
        <v>100</v>
      </c>
    </row>
    <row r="214" spans="1:1" ht="20.100000000000001" customHeight="1" x14ac:dyDescent="0.3">
      <c r="A214" s="20" t="s">
        <v>101</v>
      </c>
    </row>
    <row r="215" spans="1:1" ht="20.100000000000001" customHeight="1" x14ac:dyDescent="0.3">
      <c r="A215" s="20" t="s">
        <v>102</v>
      </c>
    </row>
    <row r="216" spans="1:1" ht="20.100000000000001" customHeight="1" x14ac:dyDescent="0.3">
      <c r="A216" s="20" t="s">
        <v>103</v>
      </c>
    </row>
    <row r="217" spans="1:1" ht="20.100000000000001" customHeight="1" x14ac:dyDescent="0.3">
      <c r="A217" s="20" t="s">
        <v>104</v>
      </c>
    </row>
    <row r="218" spans="1:1" ht="20.100000000000001" customHeight="1" x14ac:dyDescent="0.3">
      <c r="A218" s="20" t="s">
        <v>105</v>
      </c>
    </row>
    <row r="219" spans="1:1" ht="20.100000000000001" customHeight="1" x14ac:dyDescent="0.3">
      <c r="A219" s="20" t="s">
        <v>106</v>
      </c>
    </row>
    <row r="220" spans="1:1" ht="20.100000000000001" customHeight="1" x14ac:dyDescent="0.3">
      <c r="A220" s="20" t="s">
        <v>107</v>
      </c>
    </row>
    <row r="221" spans="1:1" ht="20.100000000000001" customHeight="1" x14ac:dyDescent="0.3">
      <c r="A221" s="20" t="s">
        <v>108</v>
      </c>
    </row>
    <row r="222" spans="1:1" ht="20.100000000000001" customHeight="1" x14ac:dyDescent="0.3">
      <c r="A222" s="20" t="s">
        <v>109</v>
      </c>
    </row>
    <row r="223" spans="1:1" ht="20.100000000000001" customHeight="1" x14ac:dyDescent="0.3">
      <c r="A223" s="20" t="s">
        <v>110</v>
      </c>
    </row>
    <row r="224" spans="1:1" ht="20.100000000000001" customHeight="1" x14ac:dyDescent="0.3">
      <c r="A224" s="20" t="s">
        <v>174</v>
      </c>
    </row>
    <row r="225" spans="1:1" ht="20.100000000000001" customHeight="1" x14ac:dyDescent="0.3">
      <c r="A225" s="20" t="s">
        <v>111</v>
      </c>
    </row>
    <row r="226" spans="1:1" ht="20.100000000000001" customHeight="1" x14ac:dyDescent="0.3">
      <c r="A226" s="20" t="s">
        <v>112</v>
      </c>
    </row>
    <row r="227" spans="1:1" ht="20.100000000000001" customHeight="1" x14ac:dyDescent="0.3">
      <c r="A227" s="20" t="s">
        <v>113</v>
      </c>
    </row>
    <row r="228" spans="1:1" ht="20.100000000000001" customHeight="1" x14ac:dyDescent="0.3">
      <c r="A228" s="20" t="s">
        <v>114</v>
      </c>
    </row>
    <row r="229" spans="1:1" ht="20.100000000000001" customHeight="1" x14ac:dyDescent="0.3">
      <c r="A229" s="20" t="s">
        <v>115</v>
      </c>
    </row>
    <row r="230" spans="1:1" ht="20.100000000000001" customHeight="1" x14ac:dyDescent="0.3">
      <c r="A230" s="20" t="s">
        <v>116</v>
      </c>
    </row>
    <row r="231" spans="1:1" ht="20.100000000000001" customHeight="1" x14ac:dyDescent="0.3">
      <c r="A231" s="20" t="s">
        <v>117</v>
      </c>
    </row>
    <row r="232" spans="1:1" ht="20.100000000000001" customHeight="1" x14ac:dyDescent="0.3">
      <c r="A232" s="20" t="s">
        <v>118</v>
      </c>
    </row>
    <row r="233" spans="1:1" ht="20.100000000000001" customHeight="1" x14ac:dyDescent="0.3">
      <c r="A233" s="20" t="s">
        <v>119</v>
      </c>
    </row>
    <row r="234" spans="1:1" ht="20.100000000000001" customHeight="1" x14ac:dyDescent="0.3">
      <c r="A234" s="20" t="s">
        <v>120</v>
      </c>
    </row>
    <row r="235" spans="1:1" ht="20.100000000000001" customHeight="1" x14ac:dyDescent="0.3">
      <c r="A235" s="20" t="s">
        <v>121</v>
      </c>
    </row>
    <row r="236" spans="1:1" ht="20.100000000000001" customHeight="1" x14ac:dyDescent="0.3">
      <c r="A236" s="22" t="s">
        <v>122</v>
      </c>
    </row>
    <row r="237" spans="1:1" ht="20.100000000000001" customHeight="1" x14ac:dyDescent="0.3">
      <c r="A237" s="20" t="s">
        <v>123</v>
      </c>
    </row>
    <row r="238" spans="1:1" ht="20.100000000000001" customHeight="1" x14ac:dyDescent="0.3">
      <c r="A238" s="20" t="s">
        <v>124</v>
      </c>
    </row>
    <row r="239" spans="1:1" ht="20.100000000000001" customHeight="1" x14ac:dyDescent="0.3">
      <c r="A239" s="20" t="s">
        <v>125</v>
      </c>
    </row>
    <row r="240" spans="1:1" ht="20.100000000000001" customHeight="1" x14ac:dyDescent="0.3">
      <c r="A240" s="20" t="s">
        <v>126</v>
      </c>
    </row>
    <row r="241" spans="1:1" ht="20.100000000000001" customHeight="1" x14ac:dyDescent="0.3">
      <c r="A241" s="20" t="s">
        <v>127</v>
      </c>
    </row>
    <row r="242" spans="1:1" ht="20.100000000000001" customHeight="1" x14ac:dyDescent="0.3">
      <c r="A242" s="20" t="s">
        <v>128</v>
      </c>
    </row>
    <row r="243" spans="1:1" ht="20.100000000000001" customHeight="1" x14ac:dyDescent="0.3">
      <c r="A243" s="20" t="s">
        <v>129</v>
      </c>
    </row>
    <row r="244" spans="1:1" ht="20.100000000000001" customHeight="1" x14ac:dyDescent="0.3">
      <c r="A244" s="20" t="s">
        <v>130</v>
      </c>
    </row>
    <row r="245" spans="1:1" ht="20.100000000000001" customHeight="1" x14ac:dyDescent="0.3">
      <c r="A245" s="20" t="s">
        <v>131</v>
      </c>
    </row>
    <row r="246" spans="1:1" ht="20.100000000000001" customHeight="1" x14ac:dyDescent="0.3">
      <c r="A246" s="20" t="s">
        <v>132</v>
      </c>
    </row>
    <row r="247" spans="1:1" ht="20.100000000000001" customHeight="1" x14ac:dyDescent="0.3">
      <c r="A247" s="20" t="s">
        <v>133</v>
      </c>
    </row>
    <row r="248" spans="1:1" ht="20.100000000000001" customHeight="1" x14ac:dyDescent="0.3">
      <c r="A248" s="20" t="s">
        <v>124</v>
      </c>
    </row>
    <row r="249" spans="1:1" ht="20.100000000000001" customHeight="1" x14ac:dyDescent="0.3">
      <c r="A249" s="20" t="s">
        <v>134</v>
      </c>
    </row>
    <row r="250" spans="1:1" ht="20.100000000000001" customHeight="1" x14ac:dyDescent="0.3">
      <c r="A250" s="20" t="s">
        <v>135</v>
      </c>
    </row>
    <row r="251" spans="1:1" ht="20.100000000000001" customHeight="1" x14ac:dyDescent="0.3">
      <c r="A251" s="22" t="s">
        <v>136</v>
      </c>
    </row>
    <row r="252" spans="1:1" ht="20.100000000000001" customHeight="1" x14ac:dyDescent="0.3">
      <c r="A252" s="23" t="s">
        <v>137</v>
      </c>
    </row>
    <row r="253" spans="1:1" ht="20.100000000000001" customHeight="1" x14ac:dyDescent="0.3">
      <c r="A253" s="20" t="s">
        <v>138</v>
      </c>
    </row>
    <row r="254" spans="1:1" ht="20.100000000000001" customHeight="1" x14ac:dyDescent="0.3">
      <c r="A254" s="20" t="s">
        <v>139</v>
      </c>
    </row>
    <row r="255" spans="1:1" ht="20.100000000000001" customHeight="1" x14ac:dyDescent="0.3">
      <c r="A255" s="24" t="s">
        <v>140</v>
      </c>
    </row>
    <row r="256" spans="1:1" ht="20.100000000000001" customHeight="1" x14ac:dyDescent="0.3">
      <c r="A256" s="24" t="s">
        <v>141</v>
      </c>
    </row>
    <row r="257" spans="1:1" ht="20.100000000000001" customHeight="1" x14ac:dyDescent="0.3">
      <c r="A257" s="25" t="s">
        <v>142</v>
      </c>
    </row>
    <row r="258" spans="1:1" ht="20.100000000000001" customHeight="1" x14ac:dyDescent="0.3">
      <c r="A258" s="20" t="s">
        <v>143</v>
      </c>
    </row>
    <row r="259" spans="1:1" ht="20.100000000000001" customHeight="1" x14ac:dyDescent="0.3">
      <c r="A259" s="25" t="s">
        <v>144</v>
      </c>
    </row>
    <row r="260" spans="1:1" ht="20.100000000000001" customHeight="1" x14ac:dyDescent="0.3">
      <c r="A260" s="20" t="s">
        <v>145</v>
      </c>
    </row>
    <row r="261" spans="1:1" ht="20.100000000000001" customHeight="1" x14ac:dyDescent="0.3">
      <c r="A261" s="25" t="s">
        <v>146</v>
      </c>
    </row>
    <row r="262" spans="1:1" ht="20.100000000000001" customHeight="1" x14ac:dyDescent="0.3">
      <c r="A262" s="20" t="s">
        <v>147</v>
      </c>
    </row>
    <row r="263" spans="1:1" ht="20.100000000000001" customHeight="1" x14ac:dyDescent="0.3">
      <c r="A263" s="20" t="s">
        <v>148</v>
      </c>
    </row>
    <row r="264" spans="1:1" ht="20.100000000000001" customHeight="1" x14ac:dyDescent="0.3">
      <c r="A264" s="25" t="s">
        <v>149</v>
      </c>
    </row>
    <row r="265" spans="1:1" ht="20.100000000000001" customHeight="1" x14ac:dyDescent="0.3">
      <c r="A265" s="25" t="s">
        <v>150</v>
      </c>
    </row>
    <row r="266" spans="1:1" ht="20.100000000000001" customHeight="1" x14ac:dyDescent="0.3">
      <c r="A266" s="25" t="s">
        <v>151</v>
      </c>
    </row>
    <row r="267" spans="1:1" ht="20.100000000000001" customHeight="1" x14ac:dyDescent="0.3">
      <c r="A267" s="20" t="s">
        <v>152</v>
      </c>
    </row>
    <row r="268" spans="1:1" ht="20.100000000000001" customHeight="1" x14ac:dyDescent="0.3">
      <c r="A268" s="20" t="s">
        <v>153</v>
      </c>
    </row>
    <row r="269" spans="1:1" ht="20.100000000000001" customHeight="1" x14ac:dyDescent="0.3">
      <c r="A269" s="20" t="s">
        <v>154</v>
      </c>
    </row>
    <row r="270" spans="1:1" ht="20.100000000000001" customHeight="1" x14ac:dyDescent="0.3">
      <c r="A270" s="20" t="s">
        <v>155</v>
      </c>
    </row>
    <row r="271" spans="1:1" ht="20.100000000000001" customHeight="1" x14ac:dyDescent="0.3">
      <c r="A271" s="25" t="s">
        <v>156</v>
      </c>
    </row>
    <row r="272" spans="1:1" ht="20.100000000000001" customHeight="1" x14ac:dyDescent="0.3">
      <c r="A272" s="25" t="s">
        <v>157</v>
      </c>
    </row>
    <row r="273" spans="1:1" ht="20.100000000000001" customHeight="1" x14ac:dyDescent="0.3">
      <c r="A273" s="20" t="s">
        <v>158</v>
      </c>
    </row>
    <row r="274" spans="1:1" ht="20.100000000000001" customHeight="1" x14ac:dyDescent="0.3">
      <c r="A274" s="25" t="s">
        <v>159</v>
      </c>
    </row>
    <row r="275" spans="1:1" ht="20.100000000000001" customHeight="1" x14ac:dyDescent="0.3">
      <c r="A275" s="25" t="s">
        <v>160</v>
      </c>
    </row>
    <row r="276" spans="1:1" ht="20.100000000000001" customHeight="1" x14ac:dyDescent="0.3">
      <c r="A276" s="20" t="s">
        <v>161</v>
      </c>
    </row>
    <row r="277" spans="1:1" ht="20.100000000000001" customHeight="1" x14ac:dyDescent="0.3">
      <c r="A277" s="20" t="s">
        <v>162</v>
      </c>
    </row>
    <row r="278" spans="1:1" ht="20.100000000000001" customHeight="1" x14ac:dyDescent="0.3">
      <c r="A278" s="25" t="s">
        <v>163</v>
      </c>
    </row>
    <row r="279" spans="1:1" ht="20.100000000000001" customHeight="1" x14ac:dyDescent="0.3">
      <c r="A279" s="20" t="s">
        <v>164</v>
      </c>
    </row>
    <row r="280" spans="1:1" ht="20.100000000000001" customHeight="1" x14ac:dyDescent="0.3">
      <c r="A280" s="20" t="s">
        <v>165</v>
      </c>
    </row>
    <row r="281" spans="1:1" ht="20.100000000000001" customHeight="1" x14ac:dyDescent="0.3">
      <c r="A281" s="20" t="s">
        <v>166</v>
      </c>
    </row>
    <row r="282" spans="1:1" ht="20.100000000000001" customHeight="1" x14ac:dyDescent="0.3">
      <c r="A282" s="20" t="s">
        <v>167</v>
      </c>
    </row>
    <row r="283" spans="1:1" ht="20.100000000000001" customHeight="1" x14ac:dyDescent="0.3">
      <c r="A283" s="25" t="s">
        <v>168</v>
      </c>
    </row>
    <row r="284" spans="1:1" ht="20.100000000000001" customHeight="1" x14ac:dyDescent="0.3">
      <c r="A284" s="25" t="s">
        <v>169</v>
      </c>
    </row>
    <row r="285" spans="1:1" ht="20.100000000000001" customHeight="1" x14ac:dyDescent="0.3">
      <c r="A285" s="25" t="s">
        <v>170</v>
      </c>
    </row>
    <row r="286" spans="1:1" ht="20.100000000000001" customHeight="1" thickBot="1" x14ac:dyDescent="0.35">
      <c r="A286" s="20" t="s">
        <v>171</v>
      </c>
    </row>
    <row r="287" spans="1:1" ht="20.100000000000001" customHeight="1" thickBot="1" x14ac:dyDescent="0.35">
      <c r="A287" s="2" t="s">
        <v>56</v>
      </c>
    </row>
    <row r="288" spans="1:1" ht="20.100000000000001" customHeight="1" thickBot="1" x14ac:dyDescent="0.35">
      <c r="A288" s="2" t="s">
        <v>56</v>
      </c>
    </row>
    <row r="289" spans="1:1" ht="20.100000000000001" customHeight="1" thickBot="1" x14ac:dyDescent="0.35">
      <c r="A289" s="2" t="s">
        <v>56</v>
      </c>
    </row>
    <row r="290" spans="1:1" ht="20.100000000000001" customHeight="1" thickBot="1" x14ac:dyDescent="0.35">
      <c r="A290" s="2" t="s">
        <v>56</v>
      </c>
    </row>
    <row r="291" spans="1:1" ht="20.100000000000001" customHeight="1" thickBot="1" x14ac:dyDescent="0.35">
      <c r="A291" s="2" t="s">
        <v>56</v>
      </c>
    </row>
    <row r="292" spans="1:1" ht="20.100000000000001" customHeight="1" thickBot="1" x14ac:dyDescent="0.35">
      <c r="A292" s="2" t="s">
        <v>56</v>
      </c>
    </row>
    <row r="293" spans="1:1" ht="20.100000000000001" customHeight="1" thickBot="1" x14ac:dyDescent="0.35">
      <c r="A293" s="2" t="s">
        <v>56</v>
      </c>
    </row>
    <row r="294" spans="1:1" ht="20.100000000000001" customHeight="1" thickBot="1" x14ac:dyDescent="0.35">
      <c r="A294" s="2" t="s">
        <v>56</v>
      </c>
    </row>
    <row r="295" spans="1:1" ht="20.100000000000001" customHeight="1" thickBot="1" x14ac:dyDescent="0.35">
      <c r="A295" s="2" t="s">
        <v>56</v>
      </c>
    </row>
    <row r="296" spans="1:1" ht="20.100000000000001" customHeight="1" thickBot="1" x14ac:dyDescent="0.35">
      <c r="A296" s="2" t="s">
        <v>56</v>
      </c>
    </row>
    <row r="297" spans="1:1" ht="20.100000000000001" customHeight="1" thickBot="1" x14ac:dyDescent="0.35">
      <c r="A297" s="2" t="s">
        <v>56</v>
      </c>
    </row>
    <row r="298" spans="1:1" ht="20.100000000000001" customHeight="1" thickBot="1" x14ac:dyDescent="0.35">
      <c r="A298" s="2" t="s">
        <v>56</v>
      </c>
    </row>
    <row r="299" spans="1:1" ht="20.100000000000001" customHeight="1" thickBot="1" x14ac:dyDescent="0.35">
      <c r="A299" s="2" t="s">
        <v>56</v>
      </c>
    </row>
    <row r="300" spans="1:1" ht="20.100000000000001" customHeight="1" thickBot="1" x14ac:dyDescent="0.35">
      <c r="A300" s="2" t="s">
        <v>56</v>
      </c>
    </row>
    <row r="301" spans="1:1" ht="20.100000000000001" customHeight="1" thickBot="1" x14ac:dyDescent="0.35">
      <c r="A301" s="2" t="s">
        <v>56</v>
      </c>
    </row>
    <row r="302" spans="1:1" ht="20.100000000000001" customHeight="1" thickBot="1" x14ac:dyDescent="0.35">
      <c r="A302" s="2" t="s">
        <v>56</v>
      </c>
    </row>
    <row r="303" spans="1:1" ht="20.100000000000001" customHeight="1" thickBot="1" x14ac:dyDescent="0.35">
      <c r="A303" s="2" t="s">
        <v>56</v>
      </c>
    </row>
    <row r="304" spans="1:1" ht="20.100000000000001" customHeight="1" thickBot="1" x14ac:dyDescent="0.35">
      <c r="A304" s="2" t="s">
        <v>56</v>
      </c>
    </row>
    <row r="305" spans="1:1" ht="20.100000000000001" customHeight="1" thickBot="1" x14ac:dyDescent="0.35">
      <c r="A305" s="2" t="s">
        <v>56</v>
      </c>
    </row>
    <row r="306" spans="1:1" ht="20.100000000000001" customHeight="1" thickBot="1" x14ac:dyDescent="0.35">
      <c r="A306" s="2" t="s">
        <v>56</v>
      </c>
    </row>
    <row r="307" spans="1:1" ht="20.100000000000001" customHeight="1" thickBot="1" x14ac:dyDescent="0.35">
      <c r="A307" s="2" t="s">
        <v>56</v>
      </c>
    </row>
    <row r="308" spans="1:1" ht="20.100000000000001" customHeight="1" thickBot="1" x14ac:dyDescent="0.35">
      <c r="A308" s="2" t="s">
        <v>56</v>
      </c>
    </row>
    <row r="309" spans="1:1" ht="20.100000000000001" customHeight="1" thickBot="1" x14ac:dyDescent="0.35">
      <c r="A309" s="2" t="s">
        <v>56</v>
      </c>
    </row>
    <row r="310" spans="1:1" ht="20.100000000000001" customHeight="1" thickBot="1" x14ac:dyDescent="0.35">
      <c r="A310" s="2" t="s">
        <v>56</v>
      </c>
    </row>
    <row r="311" spans="1:1" ht="20.100000000000001" customHeight="1" thickBot="1" x14ac:dyDescent="0.35">
      <c r="A311" s="2" t="s">
        <v>56</v>
      </c>
    </row>
    <row r="312" spans="1:1" ht="20.100000000000001" customHeight="1" thickBot="1" x14ac:dyDescent="0.35">
      <c r="A312" s="2" t="s">
        <v>56</v>
      </c>
    </row>
    <row r="313" spans="1:1" ht="20.100000000000001" customHeight="1" thickBot="1" x14ac:dyDescent="0.35">
      <c r="A313" s="2" t="s">
        <v>56</v>
      </c>
    </row>
    <row r="314" spans="1:1" ht="20.100000000000001" customHeight="1" thickBot="1" x14ac:dyDescent="0.35">
      <c r="A314" s="2" t="s">
        <v>56</v>
      </c>
    </row>
    <row r="315" spans="1:1" ht="20.100000000000001" customHeight="1" thickBot="1" x14ac:dyDescent="0.35">
      <c r="A315" s="2" t="s">
        <v>56</v>
      </c>
    </row>
    <row r="316" spans="1:1" ht="20.100000000000001" customHeight="1" thickBot="1" x14ac:dyDescent="0.35">
      <c r="A316" s="2" t="s">
        <v>56</v>
      </c>
    </row>
    <row r="317" spans="1:1" ht="20.100000000000001" customHeight="1" thickBot="1" x14ac:dyDescent="0.35">
      <c r="A317" s="2" t="s">
        <v>56</v>
      </c>
    </row>
    <row r="318" spans="1:1" ht="20.100000000000001" customHeight="1" thickBot="1" x14ac:dyDescent="0.35">
      <c r="A318" s="2" t="s">
        <v>56</v>
      </c>
    </row>
    <row r="319" spans="1:1" ht="20.100000000000001" customHeight="1" thickBot="1" x14ac:dyDescent="0.35">
      <c r="A319" s="2" t="s">
        <v>56</v>
      </c>
    </row>
    <row r="320" spans="1:1" ht="20.100000000000001" customHeight="1" thickBot="1" x14ac:dyDescent="0.35">
      <c r="A320" s="2" t="s">
        <v>56</v>
      </c>
    </row>
    <row r="321" spans="1:1" ht="20.100000000000001" customHeight="1" thickBot="1" x14ac:dyDescent="0.35">
      <c r="A321" s="2" t="s">
        <v>56</v>
      </c>
    </row>
    <row r="322" spans="1:1" ht="20.100000000000001" customHeight="1" thickBot="1" x14ac:dyDescent="0.35">
      <c r="A322" s="2" t="s">
        <v>56</v>
      </c>
    </row>
    <row r="323" spans="1:1" ht="20.100000000000001" customHeight="1" thickBot="1" x14ac:dyDescent="0.35">
      <c r="A323" s="2" t="s">
        <v>56</v>
      </c>
    </row>
    <row r="324" spans="1:1" ht="20.100000000000001" customHeight="1" thickBot="1" x14ac:dyDescent="0.35">
      <c r="A324" s="2" t="s">
        <v>56</v>
      </c>
    </row>
    <row r="325" spans="1:1" ht="20.100000000000001" customHeight="1" thickBot="1" x14ac:dyDescent="0.35">
      <c r="A325" s="2" t="s">
        <v>56</v>
      </c>
    </row>
    <row r="326" spans="1:1" ht="20.100000000000001" customHeight="1" thickBot="1" x14ac:dyDescent="0.35">
      <c r="A326" s="2" t="s">
        <v>56</v>
      </c>
    </row>
    <row r="327" spans="1:1" ht="20.100000000000001" customHeight="1" thickBot="1" x14ac:dyDescent="0.35">
      <c r="A327" s="2" t="s">
        <v>56</v>
      </c>
    </row>
    <row r="328" spans="1:1" ht="20.100000000000001" customHeight="1" thickBot="1" x14ac:dyDescent="0.35">
      <c r="A328" s="2" t="s">
        <v>56</v>
      </c>
    </row>
    <row r="329" spans="1:1" ht="20.100000000000001" customHeight="1" thickBot="1" x14ac:dyDescent="0.35">
      <c r="A329" s="2" t="s">
        <v>56</v>
      </c>
    </row>
    <row r="330" spans="1:1" ht="20.100000000000001" customHeight="1" thickBot="1" x14ac:dyDescent="0.35">
      <c r="A330" s="2" t="s">
        <v>56</v>
      </c>
    </row>
    <row r="331" spans="1:1" ht="20.100000000000001" customHeight="1" thickBot="1" x14ac:dyDescent="0.35">
      <c r="A331" s="2" t="s">
        <v>56</v>
      </c>
    </row>
    <row r="332" spans="1:1" ht="20.100000000000001" customHeight="1" thickBot="1" x14ac:dyDescent="0.35">
      <c r="A332" s="2" t="s">
        <v>56</v>
      </c>
    </row>
    <row r="333" spans="1:1" ht="20.100000000000001" customHeight="1" thickBot="1" x14ac:dyDescent="0.35">
      <c r="A333" s="2" t="s">
        <v>56</v>
      </c>
    </row>
    <row r="334" spans="1:1" ht="20.100000000000001" customHeight="1" thickBot="1" x14ac:dyDescent="0.35">
      <c r="A334" s="2" t="s">
        <v>56</v>
      </c>
    </row>
    <row r="335" spans="1:1" ht="20.100000000000001" customHeight="1" thickBot="1" x14ac:dyDescent="0.35">
      <c r="A335" s="2" t="s">
        <v>56</v>
      </c>
    </row>
    <row r="336" spans="1:1" ht="20.100000000000001" customHeight="1" thickBot="1" x14ac:dyDescent="0.35">
      <c r="A336" s="2" t="s">
        <v>56</v>
      </c>
    </row>
    <row r="337" spans="1:1" ht="20.100000000000001" customHeight="1" thickBot="1" x14ac:dyDescent="0.35">
      <c r="A337" s="2" t="s">
        <v>56</v>
      </c>
    </row>
    <row r="338" spans="1:1" ht="20.100000000000001" customHeight="1" thickBot="1" x14ac:dyDescent="0.35">
      <c r="A338" s="2"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2025-10-15T21:56:58Z</dcterms:modified>
</cp:coreProperties>
</file>