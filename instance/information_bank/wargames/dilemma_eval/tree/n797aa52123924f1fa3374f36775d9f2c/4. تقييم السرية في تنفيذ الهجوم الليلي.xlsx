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97DDBA2-B0B1-48E7-B3FD-CDE970686B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3" i="2"/>
  <c r="H13" i="2"/>
  <c r="G14" i="2"/>
  <c r="H14" i="2" s="1"/>
  <c r="G15" i="2"/>
  <c r="H15" i="2" s="1"/>
  <c r="G16" i="2"/>
  <c r="H16" i="2" s="1"/>
  <c r="G17" i="2"/>
  <c r="H17" i="2"/>
  <c r="G18" i="2"/>
  <c r="H18" i="2" s="1"/>
  <c r="G20" i="2"/>
  <c r="H20" i="2"/>
  <c r="G21" i="2"/>
  <c r="H21" i="2"/>
  <c r="G22" i="2"/>
  <c r="H22" i="2" s="1"/>
  <c r="G23" i="2"/>
  <c r="H23" i="2" s="1"/>
  <c r="G25" i="2"/>
  <c r="H25" i="2" s="1"/>
  <c r="G27" i="2"/>
  <c r="H27" i="2"/>
  <c r="G28" i="2"/>
  <c r="H28" i="2"/>
  <c r="G29" i="2"/>
  <c r="H29" i="2" s="1"/>
  <c r="G31" i="2"/>
  <c r="H31" i="2" s="1"/>
  <c r="G32" i="2"/>
  <c r="H32" i="2" s="1"/>
  <c r="G33" i="2"/>
  <c r="H33" i="2"/>
  <c r="G34" i="2"/>
  <c r="H34" i="2"/>
  <c r="G35" i="2"/>
  <c r="H35" i="2"/>
  <c r="G37" i="2"/>
  <c r="H37" i="2" s="1"/>
  <c r="G38" i="2"/>
  <c r="H38" i="2"/>
  <c r="G40" i="2"/>
  <c r="H40" i="2"/>
  <c r="G41" i="2"/>
  <c r="H41" i="2" s="1"/>
  <c r="G42" i="2"/>
  <c r="H42" i="2"/>
  <c r="G43" i="2"/>
  <c r="H43" i="2"/>
  <c r="G44" i="2"/>
  <c r="H44" i="2"/>
  <c r="G46" i="2"/>
  <c r="H46" i="2" s="1"/>
  <c r="G47" i="2"/>
  <c r="H47" i="2" s="1"/>
  <c r="G48" i="2"/>
  <c r="H48" i="2"/>
  <c r="G49" i="2"/>
  <c r="H49" i="2"/>
  <c r="G50" i="2"/>
  <c r="H50" i="2" s="1"/>
  <c r="G51" i="2"/>
  <c r="H51" i="2" s="1"/>
  <c r="G52" i="2"/>
  <c r="H52" i="2" s="1"/>
  <c r="F53" i="2"/>
  <c r="E54" i="2" s="1"/>
  <c r="E55" i="2" s="1"/>
  <c r="E53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<sst xmlns="http://schemas.openxmlformats.org/spreadsheetml/2006/main" count="278" uniqueCount="222">
  <si>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</si>
  <si>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</si>
  <si>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</si>
  <si>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</si>
  <si>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</si>
  <si>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</si>
  <si>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</si>
  <si>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</si>
  <si>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</si>
  <si>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</si>
  <si>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</si>
  <si>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</si>
  <si>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</si>
  <si>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</si>
  <si>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</si>
  <si>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</si>
  <si>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</si>
  <si>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</si>
  <si>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</si>
  <si>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</si>
  <si>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</si>
  <si>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</si>
  <si>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</si>
  <si>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</si>
  <si>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</si>
  <si>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</si>
  <si>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</si>
  <si>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</si>
  <si>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</si>
  <si>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</si>
  <si>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</si>
  <si>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</si>
  <si>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</si>
  <si>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</si>
  <si>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</si>
  <si>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</si>
  <si>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</si>
  <si>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</si>
  <si>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</si>
  <si>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</si>
  <si>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</si>
  <si>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</si>
  <si>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</si>
  <si>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</si>
  <si>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</si>
  <si>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</si>
  <si>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</si>
  <si>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</si>
  <si>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</si>
  <si>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</si>
  <si>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</si>
  <si>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</si>
  <si>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</si>
  <si>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</si>
  <si>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</si>
  <si>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</si>
  <si>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</si>
  <si>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</si>
  <si>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</si>
  <si>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</si>
  <si>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</si>
  <si>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</si>
  <si>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</si>
  <si>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</si>
  <si>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</si>
  <si>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</si>
  <si>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</si>
  <si>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</si>
  <si>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</si>
  <si>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</si>
  <si>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</si>
  <si>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</si>
  <si>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</si>
  <si>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</si>
  <si>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</si>
  <si>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</si>
  <si>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</si>
  <si>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</si>
  <si>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</si>
  <si>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</si>
  <si>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</si>
  <si>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</si>
  <si>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</si>
  <si>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</si>
  <si>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</si>
  <si>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</si>
  <si>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</si>
  <si>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</si>
  <si>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</si>
  <si>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</si>
  <si>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</si>
  <si>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</si>
  <si>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</si>
  <si>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</si>
  <si>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</si>
  <si>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</si>
  <si>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</si>
  <si>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</si>
  <si>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</si>
  <si>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</si>
  <si>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</si>
  <si>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</si>
  <si>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</si>
  <si>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</si>
  <si>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</si>
  <si>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</si>
  <si>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</si>
  <si>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</si>
  <si>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</si>
  <si>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</si>
  <si>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</si>
  <si>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</si>
  <si>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</si>
  <si>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</si>
  <si>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</si>
  <si>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</si>
  <si>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</si>
  <si>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</si>
  <si>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</si>
  <si>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</si>
  <si>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</si>
  <si>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</si>
  <si>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</si>
  <si>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</si>
  <si>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</si>
  <si>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</si>
  <si>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</si>
  <si>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</si>
  <si>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</si>
  <si>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</si>
  <si>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</si>
  <si>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</si>
  <si>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</si>
  <si>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</si>
  <si>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</si>
  <si>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</si>
  <si>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</si>
  <si>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</si>
  <si>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</si>
  <si>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</si>
  <si>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</si>
  <si>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</si>
  <si>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</si>
  <si>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</si>
  <si>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</si>
  <si>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</si>
  <si>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</si>
  <si>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</si>
  <si>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</si>
  <si>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</si>
  <si>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</si>
  <si>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</si>
  <si>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</si>
  <si>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</si>
  <si>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</si>
  <si>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</si>
  <si>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</si>
  <si>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</si>
  <si>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</si>
  <si>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</si>
  <si>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</si>
  <si>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</si>
  <si>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</si>
  <si>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</si>
  <si>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</si>
  <si>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</si>
  <si>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</si>
  <si>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</si>
  <si>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</si>
  <si>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</si>
  <si>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</si>
  <si>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</si>
  <si>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</si>
  <si>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</si>
  <si>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</si>
  <si>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تنفيذ الهجوم السريع - تمرين لعبات حرب مجموعة لواء الإمارات/1 (رياح الصحراء 2025/19)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</si>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</sst>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126402</xdr:colOff>
      <xdr:row>56</xdr:row>
      <xdr:rowOff>58617</xdr:rowOff>
    </xdr:from>
    <xdr:to>
      <xdr:col>9</xdr:col>
      <xdr:colOff>141635</xdr:colOff>
      <xdr:row>56</xdr:row>
      <xdr:rowOff>586017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9E7B1E-D50B-3803-01B7-FD5F34F0887C}"/>
                </a:ext>
              </a:extLst>
            </xdr14:cNvPr>
            <xdr14:cNvContentPartPr/>
          </xdr14:nvContentPartPr>
          <xdr14:nvPr macro=""/>
          <xdr14:xfrm>
            <a:off x="10422906741" y="27611640"/>
            <a:ext cx="1324080" cy="527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9E7B1E-D50B-3803-01B7-FD5F34F088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898101" y="27603000"/>
              <a:ext cx="1341720" cy="545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33:01.9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3023 514 4056,'0'0'0,"0"-2"1361,-1-1-209,-3-8-568,0 9-184,1-2-120,3 4-280,-3-3 264,1-1-72,0 2-8,0-1-32,1 1-32,0 1 40,1 1-160,0-2 128,0 1-16,0 0 0,-1 0-7,1 0-49,0-1 24,0 2-80,0-1 88,0 0-16,0 0 16,0 0-24,0 1-24,0-2 0,0 2-40,0 0 8,2-1 24,-2 0 0,3 0-32,-1 0-32,0-1-8,-2 2 40,3-1-56,-1 0 0,2-1-16,4-1 0,-5 0 0,9 0 16,-12 3 56,3-2-56,12-1 24,-4 1-16,2 0 7,0-1 1,0 1 0,-13 2 40,16-3-56,1 2 8,0 0 24,2 0 0,0 1 0,1 0 0,-20 0 24,17 0-24,2 0 8,-1 0-8,0 2 8,-1 2 8,0-2-8,-17-2 16,16 4-8,2-1-16,-1 1 0,0 0-8,-1 5 8,1-6 16,-17-3 8,15 3-16,1 7 0,0-7 8,-1 7-16,-2-6-8,1 8 16,-14-12 16,13 3-24,-1 8 0,-1-2 0,-2-5-24,1 9 0,-6-9 0,-4-4 48,10 12-72,-8-9 8,1 8-24,1-7-16,-2 7-8,-2-9-48,0-2 160,0 10-160,0-7-32,-1 7 48,-4-7 40,-5 9 24,10-12 80,-9 10-40,-2-6 32,-1 10 8,-2-5 8,-2-5 16,-3 12-16,19-16-8,-18 9 0,-1 1 8,-1 1 0,-1-2 8,-1 2 16,-1-1-16,23-10-16,-22 9 48,0-5-40,-1 10 0,-1-10 0,0 8-24,-1-9 40,25-3-24,-26 10 16,-1-8 24,1 8 0,1-8 8,-1 1 24,1-1 16,25-2-88,-24 0 96,0 0 0,1 0 16,-2 0-24,1 0-24,1-3 64,23 3-128,-24-4 96,-1 0 16,-1-5-16,2 5-40,-1-5 0,0 5 16,25 4-72,-25-12 152,-1 7-88,-1-7-24,1 7-24,-2-7-80,2 8 48,26 4 16,-27-11 48,0 7-40,-1-7-16,-2 8 16,1-7-56,-3 8 80,32 2-32,-30-4-56,-2-1 40,-1 2-16,2 0-32,2 0 120,-2 2-56,31 1 0,-28-3 48,1 2-32,-2-1-56,3-1 56,0 1 40,3-2 24,23 4-80,-22-3 88,2-2-40,2-5-72,0 7 8,1-2 48,1-6 48,16 11-80,-13-5 56,0-8 1,2 4-49,0-2 0,0-1 48,2-1 0,9 13-56,-5-15 0,-5 0-16,8-2-80,-2-1-49,1 0 169,-1-1-120,4 19 96,-3-21-160,2 1-8,1-2-160,0 0 80,4-1 120,0-2-32,-4 25 160,13-24-216,-5-1-32,3 1-56,2 0-16,2 0 168,0 2-16,-15 22 168,19-20-176,0-1 72,2 3-128,1 0 112,1 3 80,0 0-80,-23 15 120,25-14-24,-2 3-88,3 2-8,0 4 80,-1-7-8,1 8 0,-26 4 48,27-3-56,-1-1 16,1 1-32,1 0 40,1 2 24,1 0-48,-30 1 56,28 0-24,0 0-40,-1 3 0,-1 1 64,1 6-80,-1-8 8,-26-2 72,25 10-104,1-7-17,-3 10 49,1-3 32,-1 1-32,-3-1-16,-20-10 88,21 12-80,-5 2-72,-1-1 40,-2 1 72,-1-1-88,-8 2 48,-4-15 80,11 15-96,-9 1-48,1 1 72,-3 1 0,0-2 16,-2 2 8,2-18 48,-3 18-40,-7-1 56,-1 1 0,-1-1 0,-2 1 24,-2-1-16,16-17-24,-20 16 72,-3 1 32,-4 0 24,1 1 32,-5-1 48,0 1 64,31-18-272,-35 18 312,2 0 81,-4 1-17,-1-1-32,-3-1-16,-1-1-48,42-16-280,-42 17 264,-1-1-8,-1-1 0,-1 0 0,0-1-48,-2 0 40,47-14-248,-48 16 176,-2-2 8,2 2-64,-4-2-48,3 1 16,0-1-56,49-14-32,-47 13 88,-2 1 0,4-4 16,1 1 0,3-1-8,3-1 24,38-9-120,-35 4 104,1 7-16,4-9-16,1 2-15,4-1-17,2 1-8,23-4-32,-20 3 16,2 1 8,4-2-16,1-2-24,1 0-48,3 0-113,9 0 177,-3 0-360,-2 0-128,0-2-120,2-2-56,1 1-48,1-7-48,1 10 760,0-3-752,3-9 95,6 1 153,-5 0 144,12-2 136,-2 0 48,-14 13 176,17-16-152,1-1 32,5-1 0,-2 2 24,4 0 32,1 2 32,-26 14 32,28-15-8,1 0 8,0 0-16,2 0 24,0-1-8,2 2 8,-33 14-8,35-16 8,0 2-8,0-2 16,0 1-16,-2-1 0,2 2 8,-35 14-8,33-15 8,-1 3 8,1 0 0,-1 2 8,-1-2 16,-1 2-8,-30 10-32,28-10 56,0 6 16,-3-7-8,1 7 0,-4-5 16,1 5-8,-23 4-72,18-4 88,-1 1-16,-2-1-8,-2 3 0,-1 0-32,-3 0-8,-9 1-24,3-2 32,-1 2 16,2 0 16,-2 0 32,-2 0 72,0 3 96,0-3-264,-1 2 464,-2 2 105,-10-1 39,3 7-24,-6-6-152,-2 10-112,18-14-320,-21 12 248,-4 1-64,-4 3-32,-2-1 16,-4 3-8,-1 0-16,36-18-144,-39 19 176,1 2-80,-3-2-16,0 0-8,-1-1-56,0 0 48,42-18-64,-44 18 88,-2 0-48,2 0 0,-1-1-24,2 0-24,1-2 80,42-15-72,-41 16 88,1-1-80,2-1 0,2-2-64,3-2-8,6-6 128,27-4-64,-26 11 40,4-9 0,5 1 24,3-3-48,2 0 80,7 0 112,5 0-208,-9-2 88,7 1-55,2-2-138,0-1-215,0-1-56,2-4-120,-2 9 496,2-4-520,2-8 24,-1 7 104,9-8 152,-8 8 88,6-7 112,-10 12 40,0-5 24,3-4 48,-1 5 64,-2 1 112,0 0 144,0 1 16,0 2-408,-1-1 384,-1-1-144,-2 1-200,-8 0-48,2 0-64,-3 1 16,13 0 56,-15 0-56,-4 0 32,-2 2 0,-3 8-32,0-8 72,-1 9-8,25-11-8,-28 4 64,1 8 72,1-9-16,-3 9 40,-1-8 40,2 7-24,28-11-176,-27 2 136,1 2-48,3 5-64,3-9-24,0 4-8,1-2 48,19-2-40,-16 3 48,1-3 16,1 0 48,0 0-104,5 0 40,0 0-15,9 0-33,-5 0-17,-6-3 25,7 0-96,-7-1 16,8-1 8,-7 0 32,10 5 32,-4-9 16,-8 5 8,1-1-8,2-4-72,-2 5-24,-2-1 16,13 5 64,-14-9-80,-3 6 144,-1 0-136,0-1 40,-4 1 0,1 0-96,21 3 128,-25-1 16,0 0 40,-3 0-24,1-1-48,2 1 24,-1 1-56,26 0 48,-25-1 8,1 0 56,-2 0-32,2-1 8,-3 1 40,3-1-16,24 2-64,-24-4 88,2 1-24,2-2 40,3 0-24,-1 0-15,3-6 31,15 11-96,-11-3 32,-3-8 88,5 2-64,5-1-16,-7 0-8,8 0-72,3 10 40,-4-12 8,3 0-8,0-2-48,1 2-56,0-2-16,3 0-41,-3 14 161,12-15-136,-3 1 32,2 1-24,2 1 8,2 0 16,4 2-8,-19 10 112,19-9-88,1 4 48,3-6-24,1 7 0,4 1 8,1-1-40,-29 4 96,29-3-56,0 1-32,1 1 40,0 1-8,1 3 16,1 0 16,-32-3 24,32 13-56,-2-2-16,-1 5 0,0 1-16,-4 5-8,-1 2-8,-24-24 104,23 28-104,-2-1-8,-1 3-16,-3 2 16,-2 0-8,1 1 32,-16-33 88,12 36-80,1 2 0,-1 0 16,-1 3-8,-1-2 16,1 1 16,-11-40 40,9 39-16,2 1 8,0-2 16,1 2 8,4-4 32,1-2 0,-17-34-48,19 33 56,4-2 32,3-1 24,4-1 16,4-3 24,5-2-16,-39-24-136,39 20 152,6-2-40,4-1 0,5-1-40,3-3-56,7-2 0,-64-11-16,66 9-8,5-5-32,3 8 16,5-10-72,5 2-456,4-2-880,-88-2 1432,93 0-1417,1 0 225,2-5-1424,-96 5 2616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D1" zoomScale="130" zoomScaleNormal="100" zoomScaleSheetLayoutView="130" workbookViewId="0">
      <selection activeCell="F52" sqref="F5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175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11" t="s">
        <v>8</v>
      </c>
      <c r="C2" s="56" t="s">
        <v>41</v>
      </c>
      <c r="D2" s="56"/>
      <c r="E2" s="11" t="s">
        <v>7</v>
      </c>
      <c r="F2" s="51">
        <v>45944</v>
      </c>
      <c r="G2" s="51"/>
      <c r="H2" s="51"/>
      <c r="I2" s="51"/>
      <c r="J2" s="51"/>
    </row>
    <row r="3" spans="1:10" ht="30" customHeight="1" x14ac:dyDescent="0.3">
      <c r="B3" s="11" t="s">
        <v>9</v>
      </c>
      <c r="C3" s="56" t="s">
        <v>82</v>
      </c>
      <c r="D3" s="56"/>
      <c r="E3" s="11" t="s">
        <v>6</v>
      </c>
      <c r="F3" s="56" t="s">
        <v>92</v>
      </c>
      <c r="G3" s="56"/>
      <c r="H3" s="56"/>
      <c r="I3" s="56"/>
      <c r="J3" s="5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3"/>
      <c r="J6" s="64"/>
    </row>
    <row r="7" spans="1:10" ht="24.9" customHeight="1" thickBot="1" x14ac:dyDescent="0.35">
      <c r="A7" s="10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39.9" customHeight="1" x14ac:dyDescent="0.3">
      <c r="A8" s="10"/>
      <c r="B8" s="78" t="s">
        <v>176</v>
      </c>
      <c r="C8" s="79"/>
      <c r="D8" s="79"/>
      <c r="E8" s="79"/>
      <c r="F8" s="79"/>
      <c r="G8" s="79"/>
      <c r="H8" s="79"/>
      <c r="I8" s="79"/>
      <c r="J8" s="80"/>
    </row>
    <row r="9" spans="1:10" ht="39.9" customHeight="1" x14ac:dyDescent="0.3">
      <c r="A9" s="10"/>
      <c r="B9" s="72" t="s">
        <v>210</v>
      </c>
      <c r="C9" s="73"/>
      <c r="D9" s="73"/>
      <c r="E9" s="35"/>
      <c r="F9" s="18"/>
      <c r="G9" s="30"/>
      <c r="H9" s="31"/>
      <c r="I9" s="42"/>
      <c r="J9" s="43"/>
    </row>
    <row r="10" spans="1:10" ht="59.25" customHeight="1" x14ac:dyDescent="0.3">
      <c r="A10" s="10"/>
      <c r="B10" s="74" t="s">
        <v>177</v>
      </c>
      <c r="C10" s="75"/>
      <c r="D10" s="75"/>
      <c r="E10" s="9">
        <v>5</v>
      </c>
      <c r="F10" s="18">
        <v>3.5</v>
      </c>
      <c r="G10" s="30">
        <f t="shared" ref="G10:G52" si="0">IFERROR(F10/E10,"")</f>
        <v>0.7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" customHeight="1" x14ac:dyDescent="0.3">
      <c r="A11" s="10"/>
      <c r="B11" s="74" t="s">
        <v>178</v>
      </c>
      <c r="C11" s="75"/>
      <c r="D11" s="75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42"/>
      <c r="J11" s="43"/>
    </row>
    <row r="12" spans="1:10" ht="39.9" customHeight="1" x14ac:dyDescent="0.3">
      <c r="A12" s="10"/>
      <c r="B12" s="74" t="s">
        <v>179</v>
      </c>
      <c r="C12" s="75"/>
      <c r="D12" s="75"/>
      <c r="E12" s="35"/>
      <c r="F12" s="18"/>
      <c r="G12" s="30"/>
      <c r="H12" s="31"/>
      <c r="I12" s="42"/>
      <c r="J12" s="43"/>
    </row>
    <row r="13" spans="1:10" ht="39.9" customHeight="1" x14ac:dyDescent="0.3">
      <c r="A13" s="10"/>
      <c r="B13" s="76" t="s">
        <v>180</v>
      </c>
      <c r="C13" s="77"/>
      <c r="D13" s="77"/>
      <c r="E13" s="9">
        <v>5</v>
      </c>
      <c r="F13" s="18">
        <v>3.75</v>
      </c>
      <c r="G13" s="30">
        <f t="shared" si="0"/>
        <v>0.75</v>
      </c>
      <c r="H13" s="31" t="str">
        <f t="shared" si="1"/>
        <v>جيد</v>
      </c>
      <c r="I13" s="42"/>
      <c r="J13" s="43"/>
    </row>
    <row r="14" spans="1:10" ht="39.9" customHeight="1" x14ac:dyDescent="0.3">
      <c r="A14" s="10"/>
      <c r="B14" s="76" t="s">
        <v>181</v>
      </c>
      <c r="C14" s="77"/>
      <c r="D14" s="77"/>
      <c r="E14" s="9">
        <v>5</v>
      </c>
      <c r="F14" s="18">
        <v>3.5</v>
      </c>
      <c r="G14" s="30">
        <f t="shared" si="0"/>
        <v>0.7</v>
      </c>
      <c r="H14" s="31" t="str">
        <f t="shared" si="1"/>
        <v>جيد</v>
      </c>
      <c r="I14" s="42"/>
      <c r="J14" s="43"/>
    </row>
    <row r="15" spans="1:10" ht="54" customHeight="1" x14ac:dyDescent="0.3">
      <c r="A15" s="10"/>
      <c r="B15" s="76" t="s">
        <v>182</v>
      </c>
      <c r="C15" s="77"/>
      <c r="D15" s="77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2"/>
      <c r="J15" s="43"/>
    </row>
    <row r="16" spans="1:10" ht="39.9" customHeight="1" x14ac:dyDescent="0.3">
      <c r="A16" s="10"/>
      <c r="B16" s="76" t="s">
        <v>183</v>
      </c>
      <c r="C16" s="77"/>
      <c r="D16" s="77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" customHeight="1" x14ac:dyDescent="0.3">
      <c r="A17" s="10"/>
      <c r="B17" s="76" t="s">
        <v>184</v>
      </c>
      <c r="C17" s="77"/>
      <c r="D17" s="77"/>
      <c r="E17" s="9">
        <v>5</v>
      </c>
      <c r="F17" s="18">
        <v>3.5</v>
      </c>
      <c r="G17" s="30">
        <f t="shared" si="0"/>
        <v>0.7</v>
      </c>
      <c r="H17" s="31" t="str">
        <f t="shared" si="1"/>
        <v>جيد</v>
      </c>
      <c r="I17" s="42"/>
      <c r="J17" s="43"/>
    </row>
    <row r="18" spans="1:10" ht="39.9" customHeight="1" x14ac:dyDescent="0.3">
      <c r="A18" s="10"/>
      <c r="B18" s="74" t="s">
        <v>185</v>
      </c>
      <c r="C18" s="75"/>
      <c r="D18" s="75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2"/>
      <c r="J18" s="43"/>
    </row>
    <row r="19" spans="1:10" ht="39.9" customHeight="1" x14ac:dyDescent="0.3">
      <c r="A19" s="10"/>
      <c r="B19" s="74" t="s">
        <v>186</v>
      </c>
      <c r="C19" s="75"/>
      <c r="D19" s="75"/>
      <c r="E19" s="35"/>
      <c r="F19" s="18"/>
      <c r="G19" s="30"/>
      <c r="H19" s="31"/>
      <c r="I19" s="42"/>
      <c r="J19" s="43"/>
    </row>
    <row r="20" spans="1:10" ht="39.9" customHeight="1" x14ac:dyDescent="0.3">
      <c r="A20" s="10"/>
      <c r="B20" s="76" t="s">
        <v>187</v>
      </c>
      <c r="C20" s="77"/>
      <c r="D20" s="77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2"/>
      <c r="J20" s="43"/>
    </row>
    <row r="21" spans="1:10" ht="39.9" customHeight="1" x14ac:dyDescent="0.3">
      <c r="A21" s="10"/>
      <c r="B21" s="76" t="s">
        <v>188</v>
      </c>
      <c r="C21" s="77"/>
      <c r="D21" s="77"/>
      <c r="E21" s="9">
        <v>5</v>
      </c>
      <c r="F21" s="18">
        <v>2</v>
      </c>
      <c r="G21" s="30">
        <f t="shared" si="0"/>
        <v>0.4</v>
      </c>
      <c r="H21" s="31" t="str">
        <f t="shared" si="1"/>
        <v>راسب</v>
      </c>
      <c r="I21" s="42"/>
      <c r="J21" s="43"/>
    </row>
    <row r="22" spans="1:10" ht="39.9" customHeight="1" x14ac:dyDescent="0.3">
      <c r="A22" s="10"/>
      <c r="B22" s="76" t="s">
        <v>189</v>
      </c>
      <c r="C22" s="77"/>
      <c r="D22" s="77"/>
      <c r="E22" s="9">
        <v>5</v>
      </c>
      <c r="F22" s="18">
        <v>3.5</v>
      </c>
      <c r="G22" s="30">
        <f t="shared" si="0"/>
        <v>0.7</v>
      </c>
      <c r="H22" s="31" t="str">
        <f t="shared" si="1"/>
        <v>جيد</v>
      </c>
      <c r="I22" s="42"/>
      <c r="J22" s="43"/>
    </row>
    <row r="23" spans="1:10" ht="39.9" customHeight="1" thickBot="1" x14ac:dyDescent="0.35">
      <c r="A23" s="10"/>
      <c r="B23" s="81" t="s">
        <v>211</v>
      </c>
      <c r="C23" s="82"/>
      <c r="D23" s="82"/>
      <c r="E23" s="32">
        <v>5</v>
      </c>
      <c r="F23" s="19">
        <v>3.5</v>
      </c>
      <c r="G23" s="33">
        <f t="shared" si="0"/>
        <v>0.7</v>
      </c>
      <c r="H23" s="34" t="str">
        <f t="shared" si="1"/>
        <v>جيد</v>
      </c>
      <c r="I23" s="44"/>
      <c r="J23" s="45"/>
    </row>
    <row r="24" spans="1:10" ht="39.9" customHeight="1" x14ac:dyDescent="0.3">
      <c r="A24" s="10"/>
      <c r="B24" s="78" t="s">
        <v>190</v>
      </c>
      <c r="C24" s="79"/>
      <c r="D24" s="79"/>
      <c r="E24" s="79"/>
      <c r="F24" s="79"/>
      <c r="G24" s="79"/>
      <c r="H24" s="79"/>
      <c r="I24" s="79"/>
      <c r="J24" s="80"/>
    </row>
    <row r="25" spans="1:10" ht="39.9" customHeight="1" x14ac:dyDescent="0.3">
      <c r="A25" s="10"/>
      <c r="B25" s="72" t="s">
        <v>212</v>
      </c>
      <c r="C25" s="73"/>
      <c r="D25" s="73"/>
      <c r="E25" s="9">
        <v>5</v>
      </c>
      <c r="F25" s="18">
        <v>3.5</v>
      </c>
      <c r="G25" s="30">
        <f t="shared" si="0"/>
        <v>0.7</v>
      </c>
      <c r="H25" s="31" t="str">
        <f t="shared" si="1"/>
        <v>جيد</v>
      </c>
      <c r="I25" s="42"/>
      <c r="J25" s="43"/>
    </row>
    <row r="26" spans="1:10" ht="39.9" customHeight="1" x14ac:dyDescent="0.3">
      <c r="A26" s="10"/>
      <c r="B26" s="72" t="s">
        <v>213</v>
      </c>
      <c r="C26" s="73"/>
      <c r="D26" s="73"/>
      <c r="E26" s="35"/>
      <c r="F26" s="18"/>
      <c r="G26" s="30"/>
      <c r="H26" s="31"/>
      <c r="I26" s="42"/>
      <c r="J26" s="43"/>
    </row>
    <row r="27" spans="1:10" ht="39.9" customHeight="1" x14ac:dyDescent="0.3">
      <c r="A27" s="10"/>
      <c r="B27" s="74" t="s">
        <v>191</v>
      </c>
      <c r="C27" s="75"/>
      <c r="D27" s="75"/>
      <c r="E27" s="9">
        <v>5</v>
      </c>
      <c r="F27" s="18">
        <v>3.5</v>
      </c>
      <c r="G27" s="30">
        <f t="shared" si="0"/>
        <v>0.7</v>
      </c>
      <c r="H27" s="31" t="str">
        <f t="shared" si="1"/>
        <v>جيد</v>
      </c>
      <c r="I27" s="42"/>
      <c r="J27" s="43"/>
    </row>
    <row r="28" spans="1:10" ht="39.9" customHeight="1" x14ac:dyDescent="0.3">
      <c r="A28" s="10"/>
      <c r="B28" s="74" t="s">
        <v>192</v>
      </c>
      <c r="C28" s="75"/>
      <c r="D28" s="75"/>
      <c r="E28" s="9">
        <v>5</v>
      </c>
      <c r="F28" s="18">
        <v>3.5</v>
      </c>
      <c r="G28" s="30">
        <f t="shared" si="0"/>
        <v>0.7</v>
      </c>
      <c r="H28" s="31" t="str">
        <f t="shared" si="1"/>
        <v>جيد</v>
      </c>
      <c r="I28" s="42"/>
      <c r="J28" s="43"/>
    </row>
    <row r="29" spans="1:10" ht="39.9" customHeight="1" x14ac:dyDescent="0.3">
      <c r="A29" s="10"/>
      <c r="B29" s="74" t="s">
        <v>193</v>
      </c>
      <c r="C29" s="75"/>
      <c r="D29" s="75"/>
      <c r="E29" s="9">
        <v>5</v>
      </c>
      <c r="F29" s="18">
        <v>3.5</v>
      </c>
      <c r="G29" s="30">
        <f t="shared" si="0"/>
        <v>0.7</v>
      </c>
      <c r="H29" s="31" t="str">
        <f t="shared" si="1"/>
        <v>جيد</v>
      </c>
      <c r="I29" s="42"/>
      <c r="J29" s="43"/>
    </row>
    <row r="30" spans="1:10" ht="39.9" customHeight="1" x14ac:dyDescent="0.3">
      <c r="A30" s="10"/>
      <c r="B30" s="72" t="s">
        <v>214</v>
      </c>
      <c r="C30" s="73"/>
      <c r="D30" s="73"/>
      <c r="E30" s="35"/>
      <c r="F30" s="18"/>
      <c r="G30" s="30"/>
      <c r="H30" s="31"/>
      <c r="I30" s="42"/>
      <c r="J30" s="43"/>
    </row>
    <row r="31" spans="1:10" ht="39.9" customHeight="1" x14ac:dyDescent="0.3">
      <c r="A31" s="10"/>
      <c r="B31" s="74" t="s">
        <v>194</v>
      </c>
      <c r="C31" s="75"/>
      <c r="D31" s="75"/>
      <c r="E31" s="9">
        <v>5</v>
      </c>
      <c r="F31" s="18">
        <v>3.5</v>
      </c>
      <c r="G31" s="30">
        <f t="shared" si="0"/>
        <v>0.7</v>
      </c>
      <c r="H31" s="31" t="str">
        <f t="shared" si="1"/>
        <v>جيد</v>
      </c>
      <c r="I31" s="42"/>
      <c r="J31" s="43"/>
    </row>
    <row r="32" spans="1:10" ht="39.9" customHeight="1" x14ac:dyDescent="0.3">
      <c r="A32" s="10"/>
      <c r="B32" s="74" t="s">
        <v>195</v>
      </c>
      <c r="C32" s="75"/>
      <c r="D32" s="75"/>
      <c r="E32" s="9">
        <v>5</v>
      </c>
      <c r="F32" s="18">
        <v>3.5</v>
      </c>
      <c r="G32" s="30">
        <f t="shared" si="0"/>
        <v>0.7</v>
      </c>
      <c r="H32" s="31" t="str">
        <f t="shared" si="1"/>
        <v>جيد</v>
      </c>
      <c r="I32" s="42"/>
      <c r="J32" s="43"/>
    </row>
    <row r="33" spans="1:10" ht="39.9" customHeight="1" x14ac:dyDescent="0.3">
      <c r="A33" s="10"/>
      <c r="B33" s="74" t="s">
        <v>196</v>
      </c>
      <c r="C33" s="75"/>
      <c r="D33" s="75"/>
      <c r="E33" s="9">
        <v>5</v>
      </c>
      <c r="F33" s="18">
        <v>3.75</v>
      </c>
      <c r="G33" s="30">
        <f t="shared" si="0"/>
        <v>0.75</v>
      </c>
      <c r="H33" s="31" t="str">
        <f t="shared" si="1"/>
        <v>جيد</v>
      </c>
      <c r="I33" s="42"/>
      <c r="J33" s="43"/>
    </row>
    <row r="34" spans="1:10" ht="39.9" customHeight="1" x14ac:dyDescent="0.3">
      <c r="A34" s="10"/>
      <c r="B34" s="74" t="s">
        <v>197</v>
      </c>
      <c r="C34" s="75"/>
      <c r="D34" s="75"/>
      <c r="E34" s="9">
        <v>5</v>
      </c>
      <c r="F34" s="18">
        <v>3.5</v>
      </c>
      <c r="G34" s="30">
        <f t="shared" si="0"/>
        <v>0.7</v>
      </c>
      <c r="H34" s="31" t="str">
        <f t="shared" si="1"/>
        <v>جيد</v>
      </c>
      <c r="I34" s="42"/>
      <c r="J34" s="43"/>
    </row>
    <row r="35" spans="1:10" ht="39.9" customHeight="1" thickBot="1" x14ac:dyDescent="0.35">
      <c r="A35" s="10"/>
      <c r="B35" s="81" t="s">
        <v>215</v>
      </c>
      <c r="C35" s="82"/>
      <c r="D35" s="82"/>
      <c r="E35" s="32">
        <v>5</v>
      </c>
      <c r="F35" s="19">
        <v>3.75</v>
      </c>
      <c r="G35" s="33">
        <f t="shared" si="0"/>
        <v>0.75</v>
      </c>
      <c r="H35" s="34" t="str">
        <f t="shared" si="1"/>
        <v>جيد</v>
      </c>
      <c r="I35" s="44"/>
      <c r="J35" s="45"/>
    </row>
    <row r="36" spans="1:10" ht="39.9" customHeight="1" x14ac:dyDescent="0.3">
      <c r="A36" s="10"/>
      <c r="B36" s="78" t="s">
        <v>198</v>
      </c>
      <c r="C36" s="79"/>
      <c r="D36" s="79"/>
      <c r="E36" s="79"/>
      <c r="F36" s="79"/>
      <c r="G36" s="79"/>
      <c r="H36" s="79"/>
      <c r="I36" s="79"/>
      <c r="J36" s="80"/>
    </row>
    <row r="37" spans="1:10" ht="39.9" customHeight="1" x14ac:dyDescent="0.3">
      <c r="A37" s="10"/>
      <c r="B37" s="72" t="s">
        <v>216</v>
      </c>
      <c r="C37" s="73"/>
      <c r="D37" s="73"/>
      <c r="E37" s="9">
        <v>5</v>
      </c>
      <c r="F37" s="18">
        <v>3.5</v>
      </c>
      <c r="G37" s="30">
        <f t="shared" si="0"/>
        <v>0.7</v>
      </c>
      <c r="H37" s="31" t="str">
        <f t="shared" si="1"/>
        <v>جيد</v>
      </c>
      <c r="I37" s="42"/>
      <c r="J37" s="43"/>
    </row>
    <row r="38" spans="1:10" ht="39.9" customHeight="1" x14ac:dyDescent="0.3">
      <c r="A38" s="10"/>
      <c r="B38" s="83" t="s">
        <v>217</v>
      </c>
      <c r="C38" s="84"/>
      <c r="D38" s="84"/>
      <c r="E38" s="9">
        <v>5</v>
      </c>
      <c r="F38" s="18">
        <v>3.75</v>
      </c>
      <c r="G38" s="30">
        <f t="shared" si="0"/>
        <v>0.75</v>
      </c>
      <c r="H38" s="31" t="str">
        <f t="shared" si="1"/>
        <v>جيد</v>
      </c>
      <c r="I38" s="42"/>
      <c r="J38" s="43"/>
    </row>
    <row r="39" spans="1:10" ht="39.9" customHeight="1" x14ac:dyDescent="0.3">
      <c r="A39" s="10"/>
      <c r="B39" s="83" t="s">
        <v>218</v>
      </c>
      <c r="C39" s="84"/>
      <c r="D39" s="84"/>
      <c r="E39" s="35"/>
      <c r="F39" s="18"/>
      <c r="G39" s="30"/>
      <c r="H39" s="31"/>
      <c r="I39" s="42"/>
      <c r="J39" s="43"/>
    </row>
    <row r="40" spans="1:10" ht="39.9" customHeight="1" x14ac:dyDescent="0.3">
      <c r="A40" s="10"/>
      <c r="B40" s="74" t="s">
        <v>199</v>
      </c>
      <c r="C40" s="75"/>
      <c r="D40" s="75"/>
      <c r="E40" s="9">
        <v>5</v>
      </c>
      <c r="F40" s="18">
        <v>3.5</v>
      </c>
      <c r="G40" s="30">
        <f t="shared" si="0"/>
        <v>0.7</v>
      </c>
      <c r="H40" s="31" t="str">
        <f t="shared" si="1"/>
        <v>جيد</v>
      </c>
      <c r="I40" s="42"/>
      <c r="J40" s="43"/>
    </row>
    <row r="41" spans="1:10" ht="39.9" customHeight="1" x14ac:dyDescent="0.3">
      <c r="A41" s="10"/>
      <c r="B41" s="74" t="s">
        <v>200</v>
      </c>
      <c r="C41" s="75"/>
      <c r="D41" s="75"/>
      <c r="E41" s="9">
        <v>5</v>
      </c>
      <c r="F41" s="18">
        <v>3.5</v>
      </c>
      <c r="G41" s="30">
        <f t="shared" si="0"/>
        <v>0.7</v>
      </c>
      <c r="H41" s="31" t="str">
        <f t="shared" si="1"/>
        <v>جيد</v>
      </c>
      <c r="I41" s="42"/>
      <c r="J41" s="43"/>
    </row>
    <row r="42" spans="1:10" ht="39.9" customHeight="1" x14ac:dyDescent="0.3">
      <c r="A42" s="10"/>
      <c r="B42" s="74" t="s">
        <v>201</v>
      </c>
      <c r="C42" s="75"/>
      <c r="D42" s="75"/>
      <c r="E42" s="9">
        <v>5</v>
      </c>
      <c r="F42" s="18">
        <v>3.75</v>
      </c>
      <c r="G42" s="30">
        <f t="shared" si="0"/>
        <v>0.75</v>
      </c>
      <c r="H42" s="31" t="str">
        <f t="shared" si="1"/>
        <v>جيد</v>
      </c>
      <c r="I42" s="42"/>
      <c r="J42" s="43"/>
    </row>
    <row r="43" spans="1:10" ht="39.9" customHeight="1" x14ac:dyDescent="0.3">
      <c r="A43" s="10"/>
      <c r="B43" s="74" t="s">
        <v>202</v>
      </c>
      <c r="C43" s="75"/>
      <c r="D43" s="75"/>
      <c r="E43" s="9">
        <v>5</v>
      </c>
      <c r="F43" s="18">
        <v>3.75</v>
      </c>
      <c r="G43" s="30">
        <f t="shared" si="0"/>
        <v>0.75</v>
      </c>
      <c r="H43" s="31" t="str">
        <f t="shared" si="1"/>
        <v>جيد</v>
      </c>
      <c r="I43" s="42"/>
      <c r="J43" s="43"/>
    </row>
    <row r="44" spans="1:10" ht="39.9" customHeight="1" x14ac:dyDescent="0.3">
      <c r="A44" s="10"/>
      <c r="B44" s="74" t="s">
        <v>203</v>
      </c>
      <c r="C44" s="75"/>
      <c r="D44" s="75"/>
      <c r="E44" s="9">
        <v>5</v>
      </c>
      <c r="F44" s="18">
        <v>3.75</v>
      </c>
      <c r="G44" s="30">
        <f t="shared" si="0"/>
        <v>0.75</v>
      </c>
      <c r="H44" s="31" t="str">
        <f t="shared" si="1"/>
        <v>جيد</v>
      </c>
      <c r="I44" s="42"/>
      <c r="J44" s="43"/>
    </row>
    <row r="45" spans="1:10" ht="39.9" customHeight="1" x14ac:dyDescent="0.3">
      <c r="A45" s="10"/>
      <c r="B45" s="72" t="s">
        <v>219</v>
      </c>
      <c r="C45" s="73"/>
      <c r="D45" s="73"/>
      <c r="E45" s="9"/>
      <c r="F45" s="18"/>
      <c r="G45" s="30"/>
      <c r="H45" s="31"/>
      <c r="I45" s="42"/>
      <c r="J45" s="43"/>
    </row>
    <row r="46" spans="1:10" ht="39.9" customHeight="1" x14ac:dyDescent="0.3">
      <c r="A46" s="10"/>
      <c r="B46" s="74" t="s">
        <v>204</v>
      </c>
      <c r="C46" s="75"/>
      <c r="D46" s="75"/>
      <c r="E46" s="9">
        <v>5</v>
      </c>
      <c r="F46" s="18">
        <v>3.5</v>
      </c>
      <c r="G46" s="30">
        <f t="shared" si="0"/>
        <v>0.7</v>
      </c>
      <c r="H46" s="31" t="str">
        <f t="shared" si="1"/>
        <v>جيد</v>
      </c>
      <c r="I46" s="42"/>
      <c r="J46" s="43"/>
    </row>
    <row r="47" spans="1:10" ht="39.9" customHeight="1" x14ac:dyDescent="0.3">
      <c r="A47" s="10"/>
      <c r="B47" s="74" t="s">
        <v>205</v>
      </c>
      <c r="C47" s="75"/>
      <c r="D47" s="75"/>
      <c r="E47" s="9">
        <v>5</v>
      </c>
      <c r="F47" s="18">
        <v>3.5</v>
      </c>
      <c r="G47" s="30">
        <f t="shared" si="0"/>
        <v>0.7</v>
      </c>
      <c r="H47" s="31" t="str">
        <f t="shared" si="1"/>
        <v>جيد</v>
      </c>
      <c r="I47" s="42"/>
      <c r="J47" s="43"/>
    </row>
    <row r="48" spans="1:10" ht="39.9" customHeight="1" x14ac:dyDescent="0.3">
      <c r="A48" s="10"/>
      <c r="B48" s="74" t="s">
        <v>206</v>
      </c>
      <c r="C48" s="75"/>
      <c r="D48" s="75"/>
      <c r="E48" s="9">
        <v>5</v>
      </c>
      <c r="F48" s="18">
        <v>3.5</v>
      </c>
      <c r="G48" s="30">
        <f t="shared" si="0"/>
        <v>0.7</v>
      </c>
      <c r="H48" s="31" t="str">
        <f t="shared" si="1"/>
        <v>جيد</v>
      </c>
      <c r="I48" s="42"/>
      <c r="J48" s="43"/>
    </row>
    <row r="49" spans="1:10" ht="39.9" customHeight="1" x14ac:dyDescent="0.3">
      <c r="A49" s="10"/>
      <c r="B49" s="74" t="s">
        <v>207</v>
      </c>
      <c r="C49" s="75"/>
      <c r="D49" s="75"/>
      <c r="E49" s="9">
        <v>5</v>
      </c>
      <c r="F49" s="18">
        <v>3.75</v>
      </c>
      <c r="G49" s="30">
        <f t="shared" si="0"/>
        <v>0.75</v>
      </c>
      <c r="H49" s="31" t="str">
        <f t="shared" si="1"/>
        <v>جيد</v>
      </c>
      <c r="I49" s="42"/>
      <c r="J49" s="43"/>
    </row>
    <row r="50" spans="1:10" ht="39.9" customHeight="1" x14ac:dyDescent="0.3">
      <c r="A50" s="10"/>
      <c r="B50" s="74" t="s">
        <v>208</v>
      </c>
      <c r="C50" s="75"/>
      <c r="D50" s="75"/>
      <c r="E50" s="9">
        <v>5</v>
      </c>
      <c r="F50" s="18">
        <v>3.5</v>
      </c>
      <c r="G50" s="30">
        <f t="shared" si="0"/>
        <v>0.7</v>
      </c>
      <c r="H50" s="31" t="str">
        <f t="shared" si="1"/>
        <v>جيد</v>
      </c>
      <c r="I50" s="42"/>
      <c r="J50" s="43"/>
    </row>
    <row r="51" spans="1:10" ht="39.9" customHeight="1" x14ac:dyDescent="0.3">
      <c r="A51" s="10"/>
      <c r="B51" s="74" t="s">
        <v>209</v>
      </c>
      <c r="C51" s="75"/>
      <c r="D51" s="75"/>
      <c r="E51" s="9">
        <v>5</v>
      </c>
      <c r="F51" s="18">
        <v>3.5</v>
      </c>
      <c r="G51" s="30">
        <f t="shared" si="0"/>
        <v>0.7</v>
      </c>
      <c r="H51" s="31" t="str">
        <f t="shared" si="1"/>
        <v>جيد</v>
      </c>
      <c r="I51" s="42"/>
      <c r="J51" s="43"/>
    </row>
    <row r="52" spans="1:10" ht="39.9" customHeight="1" thickBot="1" x14ac:dyDescent="0.35">
      <c r="A52" s="10"/>
      <c r="B52" s="85" t="s">
        <v>220</v>
      </c>
      <c r="C52" s="86"/>
      <c r="D52" s="86"/>
      <c r="E52" s="32">
        <v>5</v>
      </c>
      <c r="F52" s="19">
        <v>3.5</v>
      </c>
      <c r="G52" s="33">
        <f t="shared" si="0"/>
        <v>0.7</v>
      </c>
      <c r="H52" s="34" t="str">
        <f t="shared" si="1"/>
        <v>جيد</v>
      </c>
      <c r="I52" s="44"/>
      <c r="J52" s="45"/>
    </row>
    <row r="53" spans="1:10" ht="30" customHeight="1" thickBot="1" x14ac:dyDescent="0.35">
      <c r="A53" s="4"/>
      <c r="B53" s="46" t="s">
        <v>5</v>
      </c>
      <c r="C53" s="47"/>
      <c r="D53" s="47"/>
      <c r="E53" s="29">
        <f>SUM(E8:E52)</f>
        <v>175</v>
      </c>
      <c r="F53" s="29">
        <f>SUM(F8:F52)</f>
        <v>123.5</v>
      </c>
      <c r="G53" s="69"/>
      <c r="H53" s="70"/>
      <c r="I53" s="70"/>
      <c r="J53" s="71"/>
    </row>
    <row r="54" spans="1:10" ht="30" customHeight="1" thickBot="1" x14ac:dyDescent="0.35">
      <c r="A54" s="4"/>
      <c r="B54" s="48" t="s">
        <v>54</v>
      </c>
      <c r="C54" s="49"/>
      <c r="D54" s="49"/>
      <c r="E54" s="57">
        <f>F53/E53/100*100</f>
        <v>0.70571428571428574</v>
      </c>
      <c r="F54" s="57"/>
      <c r="G54" s="57"/>
      <c r="H54" s="57"/>
      <c r="I54" s="57"/>
      <c r="J54" s="58"/>
    </row>
    <row r="55" spans="1:10" ht="30" customHeight="1" thickBot="1" x14ac:dyDescent="0.35">
      <c r="A55" s="4"/>
      <c r="B55" s="48" t="s">
        <v>55</v>
      </c>
      <c r="C55" s="49"/>
      <c r="D55" s="49"/>
      <c r="E55" s="40" t="str">
        <f>_xlfn.IFS(E54&gt;=90%,"ممتاز",E54&gt;=80%,"جيد جداً",E54&gt;=70%,"جيد",E54&gt;=60%,"مقبول",E54&lt;60%,"راسب")</f>
        <v>جيد</v>
      </c>
      <c r="F55" s="40"/>
      <c r="G55" s="40"/>
      <c r="H55" s="40"/>
      <c r="I55" s="40"/>
      <c r="J55" s="41"/>
    </row>
    <row r="56" spans="1:10" ht="42" customHeight="1" x14ac:dyDescent="0.3">
      <c r="B56" s="36" t="s">
        <v>221</v>
      </c>
      <c r="C56" s="36"/>
      <c r="D56" s="36"/>
      <c r="E56" s="67" t="s">
        <v>52</v>
      </c>
      <c r="F56" s="67"/>
      <c r="G56" s="38" t="s">
        <v>92</v>
      </c>
      <c r="H56" s="38"/>
      <c r="I56" s="38"/>
      <c r="J56" s="38"/>
    </row>
    <row r="57" spans="1:10" ht="51" customHeight="1" x14ac:dyDescent="0.3">
      <c r="A57" s="5"/>
      <c r="B57" s="37"/>
      <c r="C57" s="37"/>
      <c r="D57" s="37"/>
      <c r="E57" s="68" t="s">
        <v>53</v>
      </c>
      <c r="F57" s="68"/>
      <c r="G57" s="39"/>
      <c r="H57" s="39"/>
      <c r="I57" s="39"/>
      <c r="J57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2025-10-15T17:26:51Z</dcterms:modified>
</cp:coreProperties>
</file>