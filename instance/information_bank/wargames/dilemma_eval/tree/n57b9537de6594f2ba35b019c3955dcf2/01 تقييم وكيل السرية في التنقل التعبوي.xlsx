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90FA276F-A4CD-4100-90CA-A8A18970E51C}"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s="1"/>
  <c r="G13" i="2"/>
  <c r="H13" i="2"/>
  <c r="G15" i="2"/>
  <c r="H15" i="2"/>
  <c r="G16" i="2"/>
  <c r="H16" i="2" s="1"/>
  <c r="G17" i="2"/>
  <c r="H17" i="2"/>
  <c r="G18" i="2"/>
  <c r="H18" i="2"/>
  <c r="G19" i="2"/>
  <c r="H19" i="2"/>
  <c r="G20" i="2"/>
  <c r="H20" i="2"/>
  <c r="G21" i="2"/>
  <c r="H21" i="2" s="1"/>
  <c r="G22" i="2"/>
  <c r="H22" i="2" s="1"/>
  <c r="G24" i="2"/>
  <c r="H24" i="2" s="1"/>
  <c r="G25" i="2"/>
  <c r="H25" i="2"/>
  <c r="G26" i="2"/>
  <c r="H26" i="2" s="1"/>
  <c r="G27" i="2"/>
  <c r="H27" i="2" s="1"/>
  <c r="G28" i="2"/>
  <c r="H28" i="2" s="1"/>
  <c r="G29" i="2"/>
  <c r="H29" i="2"/>
  <c r="G31" i="2"/>
  <c r="H31" i="2"/>
  <c r="G32" i="2"/>
  <c r="H32" i="2" s="1"/>
  <c r="G33" i="2"/>
  <c r="H33" i="2" s="1"/>
  <c r="G34" i="2"/>
  <c r="H34" i="2" s="1"/>
  <c r="G35" i="2"/>
  <c r="H35" i="2"/>
  <c r="G36" i="2"/>
  <c r="H36" i="2" s="1"/>
  <c r="G37" i="2"/>
  <c r="H37" i="2" s="1"/>
  <c r="G38" i="2"/>
  <c r="H38" i="2"/>
  <c r="G39" i="2"/>
  <c r="H39" i="2" s="1"/>
  <c r="G40" i="2"/>
  <c r="H40" i="2"/>
  <c r="G41" i="2"/>
  <c r="H41" i="2" s="1"/>
  <c r="G42" i="2"/>
  <c r="H42" i="2" s="1"/>
  <c r="G43" i="2"/>
  <c r="H43" i="2"/>
  <c r="G44" i="2"/>
  <c r="H44" i="2"/>
  <c r="G45" i="2"/>
  <c r="H45" i="2" s="1"/>
  <c r="F46" i="2"/>
  <c r="E47" i="2" s="1"/>
  <c r="E48" i="2" s="1"/>
  <c r="E46" i="2"/>
</calcChain>
</file>

<file path=xl/sharedStrings.xml><?xml version="1.0" encoding="utf-8"?>
<sst xmlns="http://schemas.openxmlformats.org/spreadsheetml/2006/main" count="276" uniqueCount="221">
  <si>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</si>
  <si>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</si>
  <si>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</si>
  <si>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</si>
  <si>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</si>
  <si>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</si>
  <si>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</si>
  <si>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</si>
  <si>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</si>
  <si>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</si>
  <si>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</si>
  <si>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</si>
  <si>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</si>
  <si>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</si>
  <si>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</si>
  <si>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</si>
  <si>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</si>
  <si>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</si>
  <si>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</si>
  <si>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</si>
  <si>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</si>
  <si>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</si>
  <si>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</si>
  <si>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</si>
  <si>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</si>
  <si>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</si>
  <si>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</si>
  <si>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</si>
  <si>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</si>
  <si>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</si>
  <si>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</si>
  <si>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</si>
  <si>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</si>
  <si>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</si>
  <si>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</si>
  <si>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</si>
  <si>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</si>
  <si>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</si>
  <si>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</si>
  <si>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</si>
  <si>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</si>
  <si>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</si>
  <si>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</si>
  <si>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</si>
  <si>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</si>
  <si>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</si>
  <si>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</si>
  <si>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</si>
  <si>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</si>
  <si>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</si>
  <si>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</si>
  <si>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</si>
  <si>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</si>
  <si>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</si>
  <si>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</si>
  <si>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</si>
  <si>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</si>
  <si>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</si>
  <si>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</si>
  <si>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</si>
  <si>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</si>
  <si>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</si>
  <si>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</si>
  <si>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</si>
  <si>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</si>
  <si>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</si>
  <si>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</si>
  <si>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</si>
  <si>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</si>
  <si>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</si>
  <si>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</si>
  <si>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</si>
  <si>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</si>
  <si>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</si>
  <si>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</si>
  <si>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</si>
  <si>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</si>
  <si>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</si>
  <si>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</si>
  <si>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</si>
  <si>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</si>
  <si>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</si>
  <si>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</si>
  <si>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</si>
  <si>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</si>
  <si>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</si>
  <si>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</si>
  <si>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</si>
  <si>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</si>
  <si>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</si>
  <si>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</si>
  <si>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</si>
  <si>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</si>
  <si>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</si>
  <si>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</si>
  <si>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</si>
  <si>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</si>
  <si>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</si>
  <si>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</si>
  <si>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</si>
  <si>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</si>
  <si>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</si>
  <si>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</si>
  <si>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</si>
  <si>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</si>
  <si>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</si>
  <si>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</si>
  <si>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</si>
  <si>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</si>
  <si>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</si>
  <si>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</si>
  <si>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</si>
  <si>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</si>
  <si>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</si>
  <si>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</si>
  <si>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</si>
  <si>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</si>
  <si>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</si>
  <si>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</si>
  <si>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</si>
  <si>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</si>
  <si>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</si>
  <si>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</si>
  <si>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</si>
  <si>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</si>
  <si>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</si>
  <si>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</si>
  <si>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</si>
  <si>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</si>
  <si>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</si>
  <si>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</si>
  <si>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</si>
  <si>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</si>
  <si>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</si>
  <si>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</si>
  <si>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</si>
  <si>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</si>
  <si>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</si>
  <si>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</si>
  <si>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</si>
  <si>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</si>
  <si>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</si>
  <si>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</si>
  <si>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</si>
  <si>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</si>
  <si>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</si>
  <si>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</si>
  <si>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</si>
  <si>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</si>
  <si>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</si>
  <si>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</si>
  <si>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</si>
  <si>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</si>
  <si>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</si>
  <si>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</si>
  <si>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</si>
  <si>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</si>
  <si>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</si>
  <si>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</si>
  <si>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</si>
  <si>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</si>
  <si>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</si>
  <si>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</si>
  <si>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</si>
  <si>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</si>
  <si>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</si>
  <si>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</si>
  <si>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</si>
  <si>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</si>
  <si>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</si>
  <si>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</si>
  <si>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</si>
  <si>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</si>
  <si>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</si>
  <si>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</si>
  <si>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</si>
  <si>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</si>
  <si>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</si>
  <si>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</si>
  <si>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</si>
  <si>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التنقل التعبوي</t>
    </r>
    <r>
      <rPr>
        <b/>
        <u/>
        <sz val="14"/>
        <color rgb="FF000000"/>
        <rFont val="Arial"/>
        <family val="2"/>
      </rPr>
      <t xml:space="preserve">
تمرين جاهزية مجموعة لواء الإمارات/1 (جندي الصحراء 2025/20)</t>
    </r>
  </si>
  <si>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</si>
  <si>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</si>
  <si>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</si>
  <si>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</si>
  <si>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</si>
  <si>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</si>
  <si>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</si>
  <si>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</si>
  <si>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</si>
  <si>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</si>
  <si>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</si>
  <si>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</si>
  <si>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</si>
  <si>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</si>
  <si>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</si>
  <si>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</si>
  <si>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</si>
  <si>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</si>
  <si>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</si>
  <si>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</si>
  <si>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</si>
  <si>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</si>
  <si>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</si>
  <si>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</si>
  <si>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</si>
  <si>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</si>
  <si>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</si>
  <si>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</si>
  <si>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</si>
  <si>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</si>
  <si>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</si>
  <si>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</si>
  <si>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</si>
  <si>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</si>
  <si>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</si>
  <si>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</si>
  <si>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</si>
  <si>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</si>
  <si>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t xml:space="preserve">
</t>
  </si>
  <si>
    <t xml:space="preserve">وكيل/ عيسي راشد ثاني الشميلي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</si>
</sst>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349083</xdr:colOff>
      <xdr:row>49</xdr:row>
      <xdr:rowOff>166763</xdr:rowOff>
    </xdr:from>
    <xdr:to>
      <xdr:col>7</xdr:col>
      <xdr:colOff>337551</xdr:colOff>
      <xdr:row>49</xdr:row>
      <xdr:rowOff>440003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AFEF55A-B8B3-8322-50E8-7C8C703D4C6F}"/>
                </a:ext>
              </a:extLst>
            </xdr14:cNvPr>
            <xdr14:cNvContentPartPr/>
          </xdr14:nvContentPartPr>
          <xdr14:nvPr macro=""/>
          <xdr14:xfrm>
            <a:off x="10399565449" y="19886400"/>
            <a:ext cx="646560" cy="273240"/>
          </xdr14:xfrm>
        </xdr:contentPart>
      </mc:Choice>
      <mc:Fallback xmlns="">
        <xdr:pic>
          <xdr:nvPicPr>
            <xdr:cNvPr id="2" name="Ink 1">
              <a:extLst>
                <a:ext uri="{FF2B5EF4-FFF2-40B4-BE49-F238E27FC236}">
                  <a16:creationId xmlns:a16="http://schemas.microsoft.com/office/drawing/2014/main" id="{0AFEF55A-B8B3-8322-50E8-7C8C703D4C6F}"/>
                </a:ext>
              </a:extLst>
            </xdr:cNvPr>
            <xdr:cNvPicPr/>
          </xdr:nvPicPr>
          <xdr:blipFill>
            <a:blip xmlns:r="http://schemas.openxmlformats.org/officeDocument/2006/relationships" r:embed="rId2"/>
            <a:stretch>
              <a:fillRect/>
            </a:stretch>
          </xdr:blipFill>
          <xdr:spPr>
            <a:xfrm>
              <a:off x="10399559329" y="19880280"/>
              <a:ext cx="658800" cy="285480"/>
            </a:xfrm>
            <a:prstGeom prst="rect">
              <a:avLst/>
            </a:prstGeom>
          </xdr:spPr>
        </xdr:pic>
      </mc:Fallback>
    </mc:AlternateContent>
    <xdr:clientData/>
  </xdr:twoCellAnchor>
  <xdr:twoCellAnchor editAs="oneCell">
    <xdr:from>
      <xdr:col>7</xdr:col>
      <xdr:colOff>143151</xdr:colOff>
      <xdr:row>49</xdr:row>
      <xdr:rowOff>32123</xdr:rowOff>
    </xdr:from>
    <xdr:to>
      <xdr:col>9</xdr:col>
      <xdr:colOff>594569</xdr:colOff>
      <xdr:row>49</xdr:row>
      <xdr:rowOff>503723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D019FAD7-0F69-16BB-B7DA-1A23910DB297}"/>
                </a:ext>
              </a:extLst>
            </xdr14:cNvPr>
            <xdr14:cNvContentPartPr/>
          </xdr14:nvContentPartPr>
          <xdr14:nvPr macro=""/>
          <xdr14:xfrm>
            <a:off x="10397992249" y="19751760"/>
            <a:ext cx="1767600" cy="471600"/>
          </xdr14:xfrm>
        </xdr:contentPart>
      </mc:Choice>
      <mc:Fallback xmlns="">
        <xdr:pic>
          <xdr:nvPicPr>
            <xdr:cNvPr id="3" name="Ink 2">
              <a:extLst>
                <a:ext uri="{FF2B5EF4-FFF2-40B4-BE49-F238E27FC236}">
                  <a16:creationId xmlns:a16="http://schemas.microsoft.com/office/drawing/2014/main" id="{D019FAD7-0F69-16BB-B7DA-1A23910DB297}"/>
                </a:ext>
              </a:extLst>
            </xdr:cNvPr>
            <xdr:cNvPicPr/>
          </xdr:nvPicPr>
          <xdr:blipFill>
            <a:blip xmlns:r="http://schemas.openxmlformats.org/officeDocument/2006/relationships" r:embed="rId4"/>
            <a:stretch>
              <a:fillRect/>
            </a:stretch>
          </xdr:blipFill>
          <xdr:spPr>
            <a:xfrm>
              <a:off x="10397986129" y="19745640"/>
              <a:ext cx="1779840" cy="4838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8:03:28.065"/>
    </inkml:context>
    <inkml:brush xml:id="br0">
      <inkml:brushProperty name="width" value="0.035" units="cm"/>
      <inkml:brushProperty name="height" value="0.035" units="cm"/>
    </inkml:brush>
  </inkml:definitions>
  <inkml:trace contextRef="#ctx0" brushRef="#br0">1719 323 8,'0'0'0,"0"0"8,0 0 16,0 0 16,0 0-40,2 0 64,-2 3 32,0-3 112,5 0 64,-5 0-272,4-4 456,1-8 240,-3 8 96,-2 0 136,0 4-928,0-5 920,0 3-127,0-3-209,0 4 56,0 1-640,5-3 592,-5 2-32,0-2 8,0 1-144,0 2-424,0-1 200,0 0 8,0 1-48,-3 0-31,3 0-129,0 0 64,0 0-32,-2 0-56,0 0-16,2 0 40,-5 0-8,-6 0-24,6 0 32,-12 0 32,17 0-32,-16-2 0,-4 1 40,-2-2-32,-6 0-8,28 3 0,-28-4-24,-4-2 8,-4 0 0,-1-5 96,37 11-80,-37-4 0,1-8 16,-1 8-80,2-9-25,35 13 89,-28-11 24,-2 5-7,7-9 87,4 10-80,19 5-24,-19-12 56,5 7 0,12 1 64,-2-7 32,4 11-152,-5-3 224,5-1 48,0-8-56,5 8 32,-5 4-248,13-11 96,4 5-88,1-7 8,6 9-32,-24 4 16,21-12 16,4 8-16,-2-2 16,4-5-56,-27 11 40,25-4 32,1 0 24,-3-2-24,1 0 8,-24 6-40,20-4 16,-4 0 16,3-1 8,-6 1-16,-13 4-24,11-4 48,1 1-24,-10 0 8,14 2 24,-16 1-56,2-2 48,1 2 24,1 0-16,1 0-80,-5 0 24,3 3-32,-3 1 0,4 12-24,1-3 56,-5-13 0,2 15 0,2 3-32,9 1 152,-11 1-136,-2-20 16,5 23-8,6 1 8,-9 3-104,3-1 144,-5-26-40,17 28 16,-17-1-40,11 2 16,-11-1-16,0-28 24,5 27 0,-3 0 24,3-1-16,-5-2 0,0-24-8,-3 23 0,-1-3 40,-12-2 32,4 1-40,12-19-32,-15 17 56,0-2-8,-2 2-8,-2-3-8,19-14-32,-18 16 64,-3-3-8,-3 1-56,1 0 8,23-14-8,-24 15-8,1-1 16,-2 1 8,3-2-16,22-13 0,-25 13 40,-1 0-40,1-2 40,-3 1-8,28-12-32,-28 4 24,-5 9 32,-4-9-72,-5 0 72,42-4-56,-47 3 16,0-3 0,-11 0-24,-3-1-32,61 1 40,-68-6-144,-4-6-192,0 7-320,-5-8-536,77 13 1192,-79-11-1633,4 5-583,-3-7-113,6 9 649,72 4 1680,-66-14-1024,4 8 560,11-12 296,1 3 64,50 15 104,-39-15-64,-1 2 16,0 0 32,40 13 16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8:03:30.968"/>
    </inkml:context>
    <inkml:brush xml:id="br0">
      <inkml:brushProperty name="width" value="0.035" units="cm"/>
      <inkml:brushProperty name="height" value="0.035" units="cm"/>
    </inkml:brush>
  </inkml:definitions>
  <inkml:trace contextRef="#ctx0" brushRef="#br0">3932 514 32,'0'0'0,"0"0"0,12 15 56,-9-10 144,2 7 288,7-12 488,-12 0-976,0-3 1456,3-1-88,0 0-335,-1 0-569,-2 4-464,5-3 192,-3-1-56,3-1-40,7 1-8,-12 4-88,5-6 56,5-5-40,-7 7 0,12-8-24,-15 12 8,5-5 0,12-10 128,-15 4 88,11-2 216,-13 13-432,5-13 600,10-1 24,-11 1-24,12-1-63,-16 14-537,10-15 424,2 0-112,-7 1-72,9 0-72,-14 14-168,11-14 144,-6-2 32,12 0-32,-8 1 8,-9 15-152,3-16 144,10 1-8,-8-1-48,10 3 24,-15 13-112,2-11 80,11-2 16,-8 2 32,5-1-40,-10 12-88,5-13 32,4 2-24,-4 0-8,-3-1-24,-2 12 24,5-11 0,6 0 16,-8 5-40,-1-8 24,-2 14 0,5-5 8,0 1 16,-3-2-32,3 1-8,-5 5 16,5-4 24,-3 1 8,-2 0-8,0 1-24,0 2 0,0-1 0,0 1-64,0 0-56,0 0 24,0 0 96,0 0-152,0 0 56,0 3 32,0 1 64,0-4 0,0 4-48,0 9 40,-2-10-8,2 10-40,0-13 56,0 4 48,0 10-64,0-11 32,0 10-112,0-13 96,-3 3-40,3 8 72,-2-8-72,2 1 112,0-4-72,0 4 0,-2 8-72,2-9 96,0 1-72,0-4 48,0 13-16,0-10 16,0 11 32,0-10 0,0-4-32,0 19 24,0-5 8,0 0-32,2 2 24,-2-16-24,0 15 16,5 1 32,-5 0-48,0 1 48,0-17-48,0 15 16,0 2-8,0 0 0,0 0 80,0-17-88,-3 20-24,1-1-16,0 1 56,-1 0-80,3-20 64,0 18 72,0 1-24,0 0-8,-2 1-48,2-20 8,-3 22 0,3-2 96,-2-1-48,2 0-16,0-19-32,-2 17 8,-1 0 32,3-2-64,-2 0 48,2-15-24,-3 16 0,1 0-8,-1-1 24,1 1 80,2-16-96,-2 17 8,-2 0-80,1 0 80,1-1-8,2-16 0,0 14-8,-5 0 0,0 0 24,3-1-104,2-13 88,-2 12 32,-3 0 48,2 0-112,1-1 40,2-11-8,-2 4-48,-1 12 48,3-12 0,-2 12 8,2-16-8,-3 4 56,1 9-80,-2-9 16,-1 9 16,5-13-8,-4 4-32,-8 9-24,4-9 40,-5 8 56,13-12-40,-12 4-16,7 7 8,-12-8 48,4 1-96,13-4 56,-15 5 8,1 6 8,0-8-16,0 0 0,14-3 0,-14 4 16,2 0-80,1-1 96,-4 0 0,15-3-32,-14 3 32,0-3 0,0 3 16,-3-3 0,17 0-48,-13 0 40,-4 0 72,2-2-32,-1 1-48,16 1-32,-16-2 64,1-2-8,4 1-80,6 0 72,5 3-48,-12-2 32,7-1 16,3-2 16,0 3 64,2 2-128,-5-5 128,5 1 0,0 0 72,0 0-72,0 4-128,0-5 64,0 0 0,2-1-64,3 0-40,-5 6 40,2-5 32,3-1-16,5 2 16,-5-2 32,-5 6-64,2-4 64,2-1-64,1 1 49,-3 0-57,-2 4 8,5-4 0,-3-1-8,-2 1-49,5 0 81,-5 4-24,0-6 8,0 0 17,3 2 7,-3-2-24,0 6-8,4-4-57,-1 0 74,-3 0-9,0 2-8,0-1-8,0 3 8,0-1 0,0 0-25,0-1 33,0 2-96,0 0 88,0 0-96,0 0-32,0 0 16,0 0 120,0 0 320,0 0-696,-5 0 352,3 3-24,-1 0 8,3-3 32,-2 3 8,-1 0-32,-4 1 24,5 0-16,2-4 16,-5 4-24,3 1 16,0-1 32,-5 0-64,7-4 40,-5 4-24,-7 1 48,5-1-56,7-4 32,-14 4 0,0 0-16,4-1-64,-4 0 72,3 0-24,11-3 32,-12 0 0,0 0 64,9 0-88,-4 0 96,7 0-72,-13 0 40,13-1-16,-3-1 24,1-1 8,2 3-56,-2-3 56,2-1 32,0 0-8,4 0-112,-4 4 32,3-6 8,13 0-24,-12 1-40,16-1 24,-20 6 32,18-4-56,-1-1-8,0 1 16,-2 0 72,-15 4-24,17-3 0,-5 0 16,-1 2-8,-11 1-8,5-2 0,-2 1 8,1-1-8,1 2-40,-5 0-48,0 0 88,0 0-112,0 0-24,-5 0 64,-7 0 56,12 0 16,-15 3-56,-7-3 32,-6 3 32,-1-3-32,29 0 24,-37 0 64,-3 3 8,-7-3-40,-3 0-8,50 0-24,-52 3-16,-3 0 24,-5-3 16,-6 3 24,66-3-48,-70 0 80,-5 0-16,-3 2 0,-2-2 0,80 0-64,-80 3 64,-7-3-40,-2 3-8,-1 0-48,90-3 32,-96 3-8,-1 0 32,-2-1-24,0 1-16,99-3 16,-101 0-8,0 0-40,0 0-16,-1-1 88,102 1-24,-99-4-32,-4-1 40,2 1-88,-3-7 16,104 11 64,-100-3-40,-4-9-24,57 11 152,-15-3-88,62 4 0,-60-4 24,-12-1-8,2 1-72,-13-7-24,83 11 80,-77-3-72,-8-1-16,5-2 24,7 0 48,73 6 16,-58-4-40,3 0-24,15 1 56,5 1 48,35 2-40,-21-1 88,6 0 88,15-1 8,0 1-32,0 1-152,20-3 104,7 1 16,13 1-16,12-2-64,-52 3-40,67-4 128,10 0-15,90-8-97,8 8 64,-175 4-80,159-13 0,-13 10-80,-2-1 120,8-9-40,-152 13 0,163-4-89,9-2-47,0-5-168,11 7-96,-183 4 400,184-6-496,2-5-8,5 8 152,-8-1 8,-183 4 344,189-5-224,-6 2 80,-4 2 0,-2 1 88,-177 0 56,161 0-32,-5 0 8,-17 4 72,-14 1-8,-125-5-40,114 11 104,-17-8 8,-17 0 8,-14 1-8,-66-4-112,45 11 112,-17-11-8,-14 3-56,-14-3 0,0 0-48,-2 3 32,-15 0 32,-6 0 32,-10-1 0,33-2-96,-52 0 96,-7 0-8,-11-1 32,-15-3 0,85 4-120,-99-5 128,-12 1 32,-6-1-72,-12 0-8,129 5-80,-132-4 72,-12 3-24,-7-1 16,-4 1-24,155 1-40,-167 0 48,-2 0-32,-8 0-16,-4 3-8,181-3 8,-183 2-8,1 3-40,1-1-32,10 7 88,171-11-8,-175 3-56,5 1 32,-1 9 8,86-13 8,85 0 8,-104 0 0,-2 3-32,-16 0 32,2 0-144,120-3 144,-134 3-136,5-3 8,-10 2-104,73-2 232,66 0 0,-73 3-8,12-3-24,-7 0 112,11 0-216,57 0 136,-57 0-120,10 0 224,3 0 8,9 0 232,35 0-344,-31 0 408,14 0-88,15 0-184,2 0-104,0 0-32,37 0 16,32 0-8,28 0 200,23 0 8,-120 0-216,138-1 169,135-3-137,-28-8-56,-28 9-153,-217 3 177,190-11-144,-22 8-24,-9-1-48,-1-7 144,-158 11 72,142-2-48,-16-2 80,-16 0 16,-10 1-56,-100 3 8,87-3 8,-14 0 0,-10 0 16,-16-1 8,-47 4-32,31-4-24,-8-1-24,-13 0 96,-10 0-40,0 5-8,-12-5-8,-13-7-8,-18 8-40,-18-9 64,61 13-8,-75-11 32,-13 7 96,-10-9-32,-4 8-16,102 5-80,-116-4 88,-1-2-48,-2 2 48,-11-2-88,130 6 0,-125-4 40,0-2-80,1 1 40,67 0 80,57 5-80,-72-2 16,5-3 33,-13 1-82,3 0-39,77 4 72,-87-6-72,6 0 16,-8-5-16,9 7 64,80 4 8,-70-12-64,4 8 16,11-7 16,13 7 24,42 4 8,-33-6 16,9-7-56,13 9-80,11-9-24,0 13 144,11-6-144,13-11 64,9 4 80,7-1-64,-40 14 64,54-17-16,8 0-56,5-3-48,9 0-168,-76 20 288,96-25-584,79-18-96,-13 3-232,-18 5-40,-144 35 952,107-27-745,-5-2 137,-3 2 296,-10 0 264,-89 27 48,75-25 72,-11 1 40,-12 2-24,-7 5 32,-45 17-120,40-14 24,-10 3 48,-1 8 24,-11 0 8,-18 3-104,12-2 152,-10 2 96,-2 5 8,0 12 129,0-17-385,0 18 544,-2 8-80,-15 5 40,1 6-8,16-37-496,-19 43 432,-4 4-56,-6 2-144,4 3-88,25-52-144,-28 54 8,1 1 8,8 2 64,1 0-48,18-57-32,-12 57-8,9 0 8,-1 0 16,1 0 0,3-57-16,-2 55-56,2-1-32,12 0-472,5-1-704,-17-53 1264,18 52-2617,8 5-896,5-6 945,4-4 1144,-35-47 1424,40 43-504,1-9 400,-4-1 64,-37-33 40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topLeftCell="B44" zoomScale="130" zoomScaleNormal="100" zoomScaleSheetLayoutView="130" workbookViewId="0">
      <selection activeCell="F45" sqref="F45"/>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49" t="s">
        <v>180</v>
      </c>
      <c r="C1" s="49"/>
      <c r="D1" s="49"/>
      <c r="E1" s="49"/>
      <c r="F1" s="49"/>
      <c r="G1" s="49"/>
      <c r="H1" s="49"/>
      <c r="I1" s="49"/>
      <c r="J1" s="49"/>
    </row>
    <row r="2" spans="1:10" ht="30" customHeight="1" x14ac:dyDescent="0.3">
      <c r="B2" s="12" t="s">
        <v>178</v>
      </c>
      <c r="C2" s="55" t="s">
        <v>40</v>
      </c>
      <c r="D2" s="55"/>
      <c r="E2" s="12" t="s">
        <v>7</v>
      </c>
      <c r="F2" s="50">
        <v>45945</v>
      </c>
      <c r="G2" s="50"/>
      <c r="H2" s="50"/>
      <c r="I2" s="50"/>
      <c r="J2" s="50"/>
    </row>
    <row r="3" spans="1:10" ht="30" customHeight="1" x14ac:dyDescent="0.3">
      <c r="B3" s="12" t="s">
        <v>179</v>
      </c>
      <c r="C3" s="55" t="s">
        <v>220</v>
      </c>
      <c r="D3" s="55"/>
      <c r="E3" s="12" t="s">
        <v>6</v>
      </c>
      <c r="F3" s="55" t="s">
        <v>160</v>
      </c>
      <c r="G3" s="55"/>
      <c r="H3" s="55"/>
      <c r="I3" s="55"/>
      <c r="J3" s="55"/>
    </row>
    <row r="4" spans="1:10" ht="30" customHeight="1" thickBot="1" x14ac:dyDescent="0.35">
      <c r="B4" s="6"/>
      <c r="C4" s="7"/>
      <c r="D4" s="7" t="s">
        <v>219</v>
      </c>
      <c r="E4" s="6"/>
      <c r="F4" s="7"/>
      <c r="G4" s="7"/>
      <c r="H4" s="8"/>
      <c r="I4" s="7"/>
      <c r="J4" s="7"/>
    </row>
    <row r="5" spans="1:10" ht="24.9" customHeight="1" x14ac:dyDescent="0.3">
      <c r="A5" s="10"/>
      <c r="B5" s="51" t="s">
        <v>0</v>
      </c>
      <c r="C5" s="52"/>
      <c r="D5" s="52"/>
      <c r="E5" s="56" t="s">
        <v>1</v>
      </c>
      <c r="F5" s="56"/>
      <c r="G5" s="56"/>
      <c r="H5" s="56"/>
      <c r="I5" s="56" t="s">
        <v>2</v>
      </c>
      <c r="J5" s="57"/>
    </row>
    <row r="6" spans="1:10" ht="24.9" customHeight="1" thickBot="1" x14ac:dyDescent="0.35">
      <c r="A6" s="10"/>
      <c r="B6" s="53"/>
      <c r="C6" s="54"/>
      <c r="D6" s="54"/>
      <c r="E6" s="11" t="s">
        <v>3</v>
      </c>
      <c r="F6" s="11" t="s">
        <v>4</v>
      </c>
      <c r="G6" s="11" t="s">
        <v>21</v>
      </c>
      <c r="H6" s="11" t="s">
        <v>22</v>
      </c>
      <c r="I6" s="58"/>
      <c r="J6" s="59"/>
    </row>
    <row r="7" spans="1:10" ht="24.9" customHeight="1" thickBot="1" x14ac:dyDescent="0.35">
      <c r="A7" s="10"/>
      <c r="B7" s="39" t="s">
        <v>19</v>
      </c>
      <c r="C7" s="40"/>
      <c r="D7" s="40"/>
      <c r="E7" s="28" t="s">
        <v>16</v>
      </c>
      <c r="F7" s="28" t="s">
        <v>17</v>
      </c>
      <c r="G7" s="28" t="s">
        <v>20</v>
      </c>
      <c r="H7" s="28" t="s">
        <v>18</v>
      </c>
      <c r="I7" s="45" t="s">
        <v>23</v>
      </c>
      <c r="J7" s="46"/>
    </row>
    <row r="8" spans="1:10" ht="30" customHeight="1" x14ac:dyDescent="0.3">
      <c r="A8" s="10"/>
      <c r="B8" s="77" t="s">
        <v>181</v>
      </c>
      <c r="C8" s="78"/>
      <c r="D8" s="78"/>
      <c r="E8" s="32"/>
      <c r="F8" s="33"/>
      <c r="G8" s="34"/>
      <c r="H8" s="35"/>
      <c r="I8" s="43"/>
      <c r="J8" s="44"/>
    </row>
    <row r="9" spans="1:10" ht="30" customHeight="1" x14ac:dyDescent="0.3">
      <c r="A9" s="10"/>
      <c r="B9" s="75" t="s">
        <v>182</v>
      </c>
      <c r="C9" s="76"/>
      <c r="D9" s="76"/>
      <c r="E9" s="31">
        <v>5</v>
      </c>
      <c r="F9" s="26">
        <v>4</v>
      </c>
      <c r="G9" s="29">
        <f>IFERROR(F9/E9,"")</f>
        <v>0.8</v>
      </c>
      <c r="H9" s="30" t="str">
        <f>_xlfn.IFS(F9="أدخل العلامة","",F9="لا ينطبق","تم الإلغاء",G9&gt;=90%,"ممتاز",G9&gt;=80%,"جيد جداً",G9&gt;=70%,"جيد",G9&gt;=60%,"مقبول",G9&lt;60%,"راسب")</f>
        <v>جيد جداً</v>
      </c>
      <c r="I9" s="41"/>
      <c r="J9" s="42"/>
    </row>
    <row r="10" spans="1:10" ht="30" customHeight="1" x14ac:dyDescent="0.3">
      <c r="A10" s="10"/>
      <c r="B10" s="75" t="s">
        <v>183</v>
      </c>
      <c r="C10" s="76"/>
      <c r="D10" s="76"/>
      <c r="E10" s="31">
        <v>5</v>
      </c>
      <c r="F10" s="26">
        <v>4</v>
      </c>
      <c r="G10" s="29">
        <f t="shared" ref="G10:G45" si="0">IFERROR(F10/E10,"")</f>
        <v>0.8</v>
      </c>
      <c r="H10" s="30" t="str">
        <f t="shared" ref="H10:H45" si="1">_xlfn.IFS(F10="أدخل العلامة","",F10="لا ينطبق","تم الإلغاء",G10&gt;=90%,"ممتاز",G10&gt;=80%,"جيد جداً",G10&gt;=70%,"جيد",G10&gt;=60%,"مقبول",G10&lt;60%,"راسب")</f>
        <v>جيد جداً</v>
      </c>
      <c r="I10" s="41"/>
      <c r="J10" s="42"/>
    </row>
    <row r="11" spans="1:10" ht="39.9" customHeight="1" x14ac:dyDescent="0.3">
      <c r="A11" s="10"/>
      <c r="B11" s="75" t="s">
        <v>184</v>
      </c>
      <c r="C11" s="76"/>
      <c r="D11" s="76"/>
      <c r="E11" s="31">
        <v>5</v>
      </c>
      <c r="F11" s="26">
        <v>3.75</v>
      </c>
      <c r="G11" s="29">
        <f t="shared" si="0"/>
        <v>0.75</v>
      </c>
      <c r="H11" s="30" t="str">
        <f t="shared" si="1"/>
        <v>جيد</v>
      </c>
      <c r="I11" s="41"/>
      <c r="J11" s="42"/>
    </row>
    <row r="12" spans="1:10" ht="39.9" customHeight="1" x14ac:dyDescent="0.3">
      <c r="A12" s="10"/>
      <c r="B12" s="75" t="s">
        <v>185</v>
      </c>
      <c r="C12" s="76"/>
      <c r="D12" s="76"/>
      <c r="E12" s="31">
        <v>5</v>
      </c>
      <c r="F12" s="26">
        <v>3.5</v>
      </c>
      <c r="G12" s="29">
        <f t="shared" si="0"/>
        <v>0.7</v>
      </c>
      <c r="H12" s="30" t="str">
        <f t="shared" si="1"/>
        <v>جيد</v>
      </c>
      <c r="I12" s="41"/>
      <c r="J12" s="42"/>
    </row>
    <row r="13" spans="1:10" ht="30" customHeight="1" thickBot="1" x14ac:dyDescent="0.35">
      <c r="A13" s="10"/>
      <c r="B13" s="79" t="s">
        <v>186</v>
      </c>
      <c r="C13" s="80"/>
      <c r="D13" s="80"/>
      <c r="E13" s="36">
        <v>5</v>
      </c>
      <c r="F13" s="27">
        <v>3.5</v>
      </c>
      <c r="G13" s="37">
        <f t="shared" si="0"/>
        <v>0.7</v>
      </c>
      <c r="H13" s="38" t="str">
        <f t="shared" si="1"/>
        <v>جيد</v>
      </c>
      <c r="I13" s="47"/>
      <c r="J13" s="48"/>
    </row>
    <row r="14" spans="1:10" ht="30" customHeight="1" x14ac:dyDescent="0.3">
      <c r="A14" s="10"/>
      <c r="B14" s="77" t="s">
        <v>187</v>
      </c>
      <c r="C14" s="78"/>
      <c r="D14" s="78"/>
      <c r="E14" s="32"/>
      <c r="F14" s="33"/>
      <c r="G14" s="34"/>
      <c r="H14" s="35"/>
      <c r="I14" s="43"/>
      <c r="J14" s="44"/>
    </row>
    <row r="15" spans="1:10" ht="30" customHeight="1" x14ac:dyDescent="0.3">
      <c r="A15" s="10"/>
      <c r="B15" s="75" t="s">
        <v>188</v>
      </c>
      <c r="C15" s="76"/>
      <c r="D15" s="76"/>
      <c r="E15" s="31">
        <v>5</v>
      </c>
      <c r="F15" s="26">
        <v>4</v>
      </c>
      <c r="G15" s="29">
        <f t="shared" si="0"/>
        <v>0.8</v>
      </c>
      <c r="H15" s="30" t="str">
        <f t="shared" si="1"/>
        <v>جيد جداً</v>
      </c>
      <c r="I15" s="41"/>
      <c r="J15" s="42"/>
    </row>
    <row r="16" spans="1:10" ht="51" customHeight="1" x14ac:dyDescent="0.3">
      <c r="A16" s="10"/>
      <c r="B16" s="75" t="s">
        <v>189</v>
      </c>
      <c r="C16" s="76"/>
      <c r="D16" s="76"/>
      <c r="E16" s="31">
        <v>5</v>
      </c>
      <c r="F16" s="26">
        <v>3.5</v>
      </c>
      <c r="G16" s="29">
        <f t="shared" si="0"/>
        <v>0.7</v>
      </c>
      <c r="H16" s="30" t="str">
        <f t="shared" si="1"/>
        <v>جيد</v>
      </c>
      <c r="I16" s="41"/>
      <c r="J16" s="42"/>
    </row>
    <row r="17" spans="1:10" ht="30" customHeight="1" x14ac:dyDescent="0.3">
      <c r="A17" s="10"/>
      <c r="B17" s="75" t="s">
        <v>190</v>
      </c>
      <c r="C17" s="76"/>
      <c r="D17" s="76"/>
      <c r="E17" s="31">
        <v>5</v>
      </c>
      <c r="F17" s="26">
        <v>3.5</v>
      </c>
      <c r="G17" s="29">
        <f t="shared" si="0"/>
        <v>0.7</v>
      </c>
      <c r="H17" s="30" t="str">
        <f t="shared" si="1"/>
        <v>جيد</v>
      </c>
      <c r="I17" s="41"/>
      <c r="J17" s="42"/>
    </row>
    <row r="18" spans="1:10" ht="30" customHeight="1" x14ac:dyDescent="0.3">
      <c r="A18" s="10"/>
      <c r="B18" s="75" t="s">
        <v>191</v>
      </c>
      <c r="C18" s="76"/>
      <c r="D18" s="76"/>
      <c r="E18" s="31">
        <v>5</v>
      </c>
      <c r="F18" s="26">
        <v>3.5</v>
      </c>
      <c r="G18" s="29">
        <f t="shared" si="0"/>
        <v>0.7</v>
      </c>
      <c r="H18" s="30" t="str">
        <f t="shared" si="1"/>
        <v>جيد</v>
      </c>
      <c r="I18" s="41"/>
      <c r="J18" s="42"/>
    </row>
    <row r="19" spans="1:10" ht="30" customHeight="1" x14ac:dyDescent="0.3">
      <c r="A19" s="10"/>
      <c r="B19" s="75" t="s">
        <v>192</v>
      </c>
      <c r="C19" s="76"/>
      <c r="D19" s="76"/>
      <c r="E19" s="31">
        <v>5</v>
      </c>
      <c r="F19" s="26">
        <v>3.75</v>
      </c>
      <c r="G19" s="29">
        <f t="shared" si="0"/>
        <v>0.75</v>
      </c>
      <c r="H19" s="30" t="str">
        <f t="shared" si="1"/>
        <v>جيد</v>
      </c>
      <c r="I19" s="41"/>
      <c r="J19" s="42"/>
    </row>
    <row r="20" spans="1:10" ht="39.9" customHeight="1" x14ac:dyDescent="0.3">
      <c r="A20" s="10"/>
      <c r="B20" s="75" t="s">
        <v>193</v>
      </c>
      <c r="C20" s="76"/>
      <c r="D20" s="76"/>
      <c r="E20" s="31">
        <v>5</v>
      </c>
      <c r="F20" s="26">
        <v>3.75</v>
      </c>
      <c r="G20" s="29">
        <f t="shared" si="0"/>
        <v>0.75</v>
      </c>
      <c r="H20" s="30" t="str">
        <f t="shared" si="1"/>
        <v>جيد</v>
      </c>
      <c r="I20" s="41"/>
      <c r="J20" s="42"/>
    </row>
    <row r="21" spans="1:10" ht="30" customHeight="1" x14ac:dyDescent="0.3">
      <c r="A21" s="10"/>
      <c r="B21" s="75" t="s">
        <v>194</v>
      </c>
      <c r="C21" s="76"/>
      <c r="D21" s="76"/>
      <c r="E21" s="31">
        <v>5</v>
      </c>
      <c r="F21" s="26">
        <v>3.5</v>
      </c>
      <c r="G21" s="29">
        <f t="shared" si="0"/>
        <v>0.7</v>
      </c>
      <c r="H21" s="30" t="str">
        <f t="shared" si="1"/>
        <v>جيد</v>
      </c>
      <c r="I21" s="41"/>
      <c r="J21" s="42"/>
    </row>
    <row r="22" spans="1:10" ht="39.9" customHeight="1" thickBot="1" x14ac:dyDescent="0.35">
      <c r="A22" s="10"/>
      <c r="B22" s="79" t="s">
        <v>195</v>
      </c>
      <c r="C22" s="80"/>
      <c r="D22" s="80"/>
      <c r="E22" s="36">
        <v>5</v>
      </c>
      <c r="F22" s="27">
        <v>3.5</v>
      </c>
      <c r="G22" s="37">
        <f t="shared" si="0"/>
        <v>0.7</v>
      </c>
      <c r="H22" s="38" t="str">
        <f t="shared" si="1"/>
        <v>جيد</v>
      </c>
      <c r="I22" s="47"/>
      <c r="J22" s="48"/>
    </row>
    <row r="23" spans="1:10" ht="30" customHeight="1" x14ac:dyDescent="0.3">
      <c r="A23" s="10"/>
      <c r="B23" s="77" t="s">
        <v>196</v>
      </c>
      <c r="C23" s="78"/>
      <c r="D23" s="78"/>
      <c r="E23" s="32"/>
      <c r="F23" s="33"/>
      <c r="G23" s="34"/>
      <c r="H23" s="35"/>
      <c r="I23" s="43"/>
      <c r="J23" s="44"/>
    </row>
    <row r="24" spans="1:10" ht="30" customHeight="1" x14ac:dyDescent="0.3">
      <c r="A24" s="10"/>
      <c r="B24" s="75" t="s">
        <v>197</v>
      </c>
      <c r="C24" s="76"/>
      <c r="D24" s="76"/>
      <c r="E24" s="31">
        <v>5</v>
      </c>
      <c r="F24" s="26">
        <v>3.5</v>
      </c>
      <c r="G24" s="29">
        <f t="shared" si="0"/>
        <v>0.7</v>
      </c>
      <c r="H24" s="30" t="str">
        <f t="shared" si="1"/>
        <v>جيد</v>
      </c>
      <c r="I24" s="41"/>
      <c r="J24" s="42"/>
    </row>
    <row r="25" spans="1:10" ht="30" customHeight="1" x14ac:dyDescent="0.3">
      <c r="A25" s="10"/>
      <c r="B25" s="75" t="s">
        <v>198</v>
      </c>
      <c r="C25" s="76"/>
      <c r="D25" s="76"/>
      <c r="E25" s="31">
        <v>5</v>
      </c>
      <c r="F25" s="26">
        <v>4</v>
      </c>
      <c r="G25" s="29">
        <f t="shared" si="0"/>
        <v>0.8</v>
      </c>
      <c r="H25" s="30" t="str">
        <f t="shared" si="1"/>
        <v>جيد جداً</v>
      </c>
      <c r="I25" s="41"/>
      <c r="J25" s="42"/>
    </row>
    <row r="26" spans="1:10" ht="30" customHeight="1" x14ac:dyDescent="0.3">
      <c r="A26" s="10"/>
      <c r="B26" s="75" t="s">
        <v>199</v>
      </c>
      <c r="C26" s="76"/>
      <c r="D26" s="76"/>
      <c r="E26" s="31">
        <v>5</v>
      </c>
      <c r="F26" s="26">
        <v>3.5</v>
      </c>
      <c r="G26" s="29">
        <f t="shared" si="0"/>
        <v>0.7</v>
      </c>
      <c r="H26" s="30" t="str">
        <f t="shared" si="1"/>
        <v>جيد</v>
      </c>
      <c r="I26" s="41"/>
      <c r="J26" s="42"/>
    </row>
    <row r="27" spans="1:10" ht="30" customHeight="1" x14ac:dyDescent="0.3">
      <c r="A27" s="10"/>
      <c r="B27" s="75" t="s">
        <v>200</v>
      </c>
      <c r="C27" s="76"/>
      <c r="D27" s="76"/>
      <c r="E27" s="31">
        <v>5</v>
      </c>
      <c r="F27" s="26">
        <v>3.75</v>
      </c>
      <c r="G27" s="29">
        <f t="shared" si="0"/>
        <v>0.75</v>
      </c>
      <c r="H27" s="30" t="str">
        <f t="shared" si="1"/>
        <v>جيد</v>
      </c>
      <c r="I27" s="41"/>
      <c r="J27" s="42"/>
    </row>
    <row r="28" spans="1:10" ht="30" customHeight="1" x14ac:dyDescent="0.3">
      <c r="A28" s="10"/>
      <c r="B28" s="75" t="s">
        <v>201</v>
      </c>
      <c r="C28" s="76"/>
      <c r="D28" s="76"/>
      <c r="E28" s="31">
        <v>5</v>
      </c>
      <c r="F28" s="26">
        <v>3.5</v>
      </c>
      <c r="G28" s="29">
        <f t="shared" si="0"/>
        <v>0.7</v>
      </c>
      <c r="H28" s="30" t="str">
        <f t="shared" si="1"/>
        <v>جيد</v>
      </c>
      <c r="I28" s="41"/>
      <c r="J28" s="42"/>
    </row>
    <row r="29" spans="1:10" ht="30" customHeight="1" thickBot="1" x14ac:dyDescent="0.35">
      <c r="A29" s="10"/>
      <c r="B29" s="79" t="s">
        <v>202</v>
      </c>
      <c r="C29" s="80"/>
      <c r="D29" s="80"/>
      <c r="E29" s="36">
        <v>5</v>
      </c>
      <c r="F29" s="27">
        <v>3.5</v>
      </c>
      <c r="G29" s="37">
        <f t="shared" si="0"/>
        <v>0.7</v>
      </c>
      <c r="H29" s="38" t="str">
        <f t="shared" si="1"/>
        <v>جيد</v>
      </c>
      <c r="I29" s="47"/>
      <c r="J29" s="48"/>
    </row>
    <row r="30" spans="1:10" ht="30" customHeight="1" x14ac:dyDescent="0.3">
      <c r="A30" s="10"/>
      <c r="B30" s="77" t="s">
        <v>203</v>
      </c>
      <c r="C30" s="78"/>
      <c r="D30" s="78"/>
      <c r="E30" s="32"/>
      <c r="F30" s="33"/>
      <c r="G30" s="34"/>
      <c r="H30" s="35"/>
      <c r="I30" s="43"/>
      <c r="J30" s="44"/>
    </row>
    <row r="31" spans="1:10" ht="30" customHeight="1" x14ac:dyDescent="0.3">
      <c r="A31" s="10"/>
      <c r="B31" s="75" t="s">
        <v>204</v>
      </c>
      <c r="C31" s="76"/>
      <c r="D31" s="76"/>
      <c r="E31" s="31">
        <v>5</v>
      </c>
      <c r="F31" s="26">
        <v>4</v>
      </c>
      <c r="G31" s="29">
        <f t="shared" si="0"/>
        <v>0.8</v>
      </c>
      <c r="H31" s="30" t="str">
        <f t="shared" si="1"/>
        <v>جيد جداً</v>
      </c>
      <c r="I31" s="41"/>
      <c r="J31" s="42"/>
    </row>
    <row r="32" spans="1:10" ht="39.9" customHeight="1" x14ac:dyDescent="0.3">
      <c r="A32" s="10"/>
      <c r="B32" s="75" t="s">
        <v>205</v>
      </c>
      <c r="C32" s="76"/>
      <c r="D32" s="76"/>
      <c r="E32" s="31">
        <v>5</v>
      </c>
      <c r="F32" s="26">
        <v>3.75</v>
      </c>
      <c r="G32" s="29">
        <f t="shared" si="0"/>
        <v>0.75</v>
      </c>
      <c r="H32" s="30" t="str">
        <f t="shared" si="1"/>
        <v>جيد</v>
      </c>
      <c r="I32" s="41"/>
      <c r="J32" s="42"/>
    </row>
    <row r="33" spans="1:10" ht="30" customHeight="1" x14ac:dyDescent="0.3">
      <c r="A33" s="10"/>
      <c r="B33" s="75" t="s">
        <v>206</v>
      </c>
      <c r="C33" s="76"/>
      <c r="D33" s="76"/>
      <c r="E33" s="31">
        <v>5</v>
      </c>
      <c r="F33" s="26">
        <v>3.5</v>
      </c>
      <c r="G33" s="29">
        <f t="shared" si="0"/>
        <v>0.7</v>
      </c>
      <c r="H33" s="30" t="str">
        <f t="shared" si="1"/>
        <v>جيد</v>
      </c>
      <c r="I33" s="41"/>
      <c r="J33" s="42"/>
    </row>
    <row r="34" spans="1:10" ht="30" customHeight="1" x14ac:dyDescent="0.3">
      <c r="A34" s="10"/>
      <c r="B34" s="75" t="s">
        <v>207</v>
      </c>
      <c r="C34" s="76"/>
      <c r="D34" s="76"/>
      <c r="E34" s="31">
        <v>5</v>
      </c>
      <c r="F34" s="26">
        <v>3.5</v>
      </c>
      <c r="G34" s="29">
        <f t="shared" si="0"/>
        <v>0.7</v>
      </c>
      <c r="H34" s="30" t="str">
        <f t="shared" si="1"/>
        <v>جيد</v>
      </c>
      <c r="I34" s="41"/>
      <c r="J34" s="42"/>
    </row>
    <row r="35" spans="1:10" ht="30" customHeight="1" x14ac:dyDescent="0.3">
      <c r="A35" s="10"/>
      <c r="B35" s="75" t="s">
        <v>208</v>
      </c>
      <c r="C35" s="76"/>
      <c r="D35" s="76"/>
      <c r="E35" s="31">
        <v>5</v>
      </c>
      <c r="F35" s="26">
        <v>3.5</v>
      </c>
      <c r="G35" s="29">
        <f t="shared" si="0"/>
        <v>0.7</v>
      </c>
      <c r="H35" s="30" t="str">
        <f t="shared" si="1"/>
        <v>جيد</v>
      </c>
      <c r="I35" s="41"/>
      <c r="J35" s="42"/>
    </row>
    <row r="36" spans="1:10" ht="30" customHeight="1" x14ac:dyDescent="0.3">
      <c r="A36" s="10"/>
      <c r="B36" s="75" t="s">
        <v>209</v>
      </c>
      <c r="C36" s="76"/>
      <c r="D36" s="76"/>
      <c r="E36" s="31">
        <v>5</v>
      </c>
      <c r="F36" s="26">
        <v>3.75</v>
      </c>
      <c r="G36" s="29">
        <f t="shared" si="0"/>
        <v>0.75</v>
      </c>
      <c r="H36" s="30" t="str">
        <f t="shared" si="1"/>
        <v>جيد</v>
      </c>
      <c r="I36" s="41"/>
      <c r="J36" s="42"/>
    </row>
    <row r="37" spans="1:10" ht="30" customHeight="1" x14ac:dyDescent="0.3">
      <c r="A37" s="10"/>
      <c r="B37" s="75" t="s">
        <v>210</v>
      </c>
      <c r="C37" s="76"/>
      <c r="D37" s="76"/>
      <c r="E37" s="31">
        <v>5</v>
      </c>
      <c r="F37" s="26">
        <v>3.5</v>
      </c>
      <c r="G37" s="29">
        <f t="shared" si="0"/>
        <v>0.7</v>
      </c>
      <c r="H37" s="30" t="str">
        <f t="shared" si="1"/>
        <v>جيد</v>
      </c>
      <c r="I37" s="41"/>
      <c r="J37" s="42"/>
    </row>
    <row r="38" spans="1:10" ht="30" customHeight="1" x14ac:dyDescent="0.3">
      <c r="A38" s="10"/>
      <c r="B38" s="75" t="s">
        <v>211</v>
      </c>
      <c r="C38" s="76"/>
      <c r="D38" s="76"/>
      <c r="E38" s="31">
        <v>5</v>
      </c>
      <c r="F38" s="26">
        <v>3.5</v>
      </c>
      <c r="G38" s="29">
        <f t="shared" si="0"/>
        <v>0.7</v>
      </c>
      <c r="H38" s="30" t="str">
        <f t="shared" si="1"/>
        <v>جيد</v>
      </c>
      <c r="I38" s="41"/>
      <c r="J38" s="42"/>
    </row>
    <row r="39" spans="1:10" ht="30" customHeight="1" x14ac:dyDescent="0.3">
      <c r="A39" s="10"/>
      <c r="B39" s="75" t="s">
        <v>212</v>
      </c>
      <c r="C39" s="76"/>
      <c r="D39" s="76"/>
      <c r="E39" s="31">
        <v>5</v>
      </c>
      <c r="F39" s="26">
        <v>3.5</v>
      </c>
      <c r="G39" s="29">
        <f t="shared" si="0"/>
        <v>0.7</v>
      </c>
      <c r="H39" s="30" t="str">
        <f t="shared" si="1"/>
        <v>جيد</v>
      </c>
      <c r="I39" s="41"/>
      <c r="J39" s="42"/>
    </row>
    <row r="40" spans="1:10" ht="30" customHeight="1" x14ac:dyDescent="0.3">
      <c r="A40" s="10"/>
      <c r="B40" s="75" t="s">
        <v>213</v>
      </c>
      <c r="C40" s="76"/>
      <c r="D40" s="76"/>
      <c r="E40" s="31">
        <v>5</v>
      </c>
      <c r="F40" s="26">
        <v>3.75</v>
      </c>
      <c r="G40" s="29">
        <f t="shared" si="0"/>
        <v>0.75</v>
      </c>
      <c r="H40" s="30" t="str">
        <f t="shared" si="1"/>
        <v>جيد</v>
      </c>
      <c r="I40" s="41"/>
      <c r="J40" s="42"/>
    </row>
    <row r="41" spans="1:10" ht="30" customHeight="1" x14ac:dyDescent="0.3">
      <c r="A41" s="10"/>
      <c r="B41" s="75" t="s">
        <v>214</v>
      </c>
      <c r="C41" s="76"/>
      <c r="D41" s="76"/>
      <c r="E41" s="31">
        <v>5</v>
      </c>
      <c r="F41" s="26">
        <v>3.75</v>
      </c>
      <c r="G41" s="29">
        <f t="shared" si="0"/>
        <v>0.75</v>
      </c>
      <c r="H41" s="30" t="str">
        <f t="shared" si="1"/>
        <v>جيد</v>
      </c>
      <c r="I41" s="41"/>
      <c r="J41" s="42"/>
    </row>
    <row r="42" spans="1:10" ht="30" customHeight="1" x14ac:dyDescent="0.3">
      <c r="A42" s="10"/>
      <c r="B42" s="75" t="s">
        <v>215</v>
      </c>
      <c r="C42" s="76"/>
      <c r="D42" s="76"/>
      <c r="E42" s="31">
        <v>5</v>
      </c>
      <c r="F42" s="26">
        <v>3.5</v>
      </c>
      <c r="G42" s="29">
        <f t="shared" si="0"/>
        <v>0.7</v>
      </c>
      <c r="H42" s="30" t="str">
        <f t="shared" si="1"/>
        <v>جيد</v>
      </c>
      <c r="I42" s="41"/>
      <c r="J42" s="42"/>
    </row>
    <row r="43" spans="1:10" ht="30" customHeight="1" x14ac:dyDescent="0.3">
      <c r="A43" s="10"/>
      <c r="B43" s="75" t="s">
        <v>216</v>
      </c>
      <c r="C43" s="76"/>
      <c r="D43" s="76"/>
      <c r="E43" s="31">
        <v>5</v>
      </c>
      <c r="F43" s="26">
        <v>3.5</v>
      </c>
      <c r="G43" s="29">
        <f t="shared" si="0"/>
        <v>0.7</v>
      </c>
      <c r="H43" s="30" t="str">
        <f t="shared" si="1"/>
        <v>جيد</v>
      </c>
      <c r="I43" s="41"/>
      <c r="J43" s="42"/>
    </row>
    <row r="44" spans="1:10" ht="30" customHeight="1" x14ac:dyDescent="0.3">
      <c r="A44" s="10"/>
      <c r="B44" s="75" t="s">
        <v>217</v>
      </c>
      <c r="C44" s="76"/>
      <c r="D44" s="76"/>
      <c r="E44" s="31">
        <v>5</v>
      </c>
      <c r="F44" s="26">
        <v>4</v>
      </c>
      <c r="G44" s="29">
        <f t="shared" si="0"/>
        <v>0.8</v>
      </c>
      <c r="H44" s="30" t="str">
        <f t="shared" si="1"/>
        <v>جيد جداً</v>
      </c>
      <c r="I44" s="41"/>
      <c r="J44" s="42"/>
    </row>
    <row r="45" spans="1:10" ht="30" customHeight="1" thickBot="1" x14ac:dyDescent="0.35">
      <c r="A45" s="10"/>
      <c r="B45" s="79" t="s">
        <v>218</v>
      </c>
      <c r="C45" s="80"/>
      <c r="D45" s="80"/>
      <c r="E45" s="36">
        <v>5</v>
      </c>
      <c r="F45" s="27">
        <v>3.5</v>
      </c>
      <c r="G45" s="37">
        <f t="shared" si="0"/>
        <v>0.7</v>
      </c>
      <c r="H45" s="38" t="str">
        <f t="shared" si="1"/>
        <v>جيد</v>
      </c>
      <c r="I45" s="47"/>
      <c r="J45" s="48"/>
    </row>
    <row r="46" spans="1:10" ht="30" customHeight="1" thickBot="1" x14ac:dyDescent="0.35">
      <c r="A46" s="4"/>
      <c r="B46" s="73" t="s">
        <v>5</v>
      </c>
      <c r="C46" s="74"/>
      <c r="D46" s="74"/>
      <c r="E46" s="9">
        <f>SUM(E8:E45)</f>
        <v>170</v>
      </c>
      <c r="F46" s="9">
        <f>SUM(F8:F45)</f>
        <v>124</v>
      </c>
      <c r="G46" s="70"/>
      <c r="H46" s="71"/>
      <c r="I46" s="71"/>
      <c r="J46" s="72"/>
    </row>
    <row r="47" spans="1:10" ht="30" customHeight="1" thickBot="1" x14ac:dyDescent="0.35">
      <c r="A47" s="4"/>
      <c r="B47" s="73" t="s">
        <v>52</v>
      </c>
      <c r="C47" s="74"/>
      <c r="D47" s="74"/>
      <c r="E47" s="66">
        <f>F46/E46/100*100</f>
        <v>0.72941176470588232</v>
      </c>
      <c r="F47" s="66"/>
      <c r="G47" s="66"/>
      <c r="H47" s="66"/>
      <c r="I47" s="66"/>
      <c r="J47" s="67"/>
    </row>
    <row r="48" spans="1:10" ht="30" customHeight="1" thickBot="1" x14ac:dyDescent="0.35">
      <c r="A48" s="4"/>
      <c r="B48" s="73" t="s">
        <v>53</v>
      </c>
      <c r="C48" s="74"/>
      <c r="D48" s="74"/>
      <c r="E48" s="64" t="str">
        <f>_xlfn.IFS(E47&gt;=90%,"ممتاز",E47&gt;=80%,"جيد جداً",E47&gt;=70%,"جيد",E47&gt;=60%,"مقبول",E47&lt;60%,"راسب")</f>
        <v>جيد</v>
      </c>
      <c r="F48" s="64"/>
      <c r="G48" s="64"/>
      <c r="H48" s="64"/>
      <c r="I48" s="64"/>
      <c r="J48" s="65"/>
    </row>
    <row r="49" spans="1:10" ht="42" customHeight="1" x14ac:dyDescent="0.3">
      <c r="B49" s="60" t="s">
        <v>172</v>
      </c>
      <c r="C49" s="60"/>
      <c r="D49" s="60"/>
      <c r="E49" s="68" t="s">
        <v>50</v>
      </c>
      <c r="F49" s="68"/>
      <c r="G49" s="62" t="s">
        <v>160</v>
      </c>
      <c r="H49" s="62"/>
      <c r="I49" s="62"/>
      <c r="J49" s="62"/>
    </row>
    <row r="50" spans="1:10" ht="51" customHeight="1" x14ac:dyDescent="0.3">
      <c r="A50" s="5"/>
      <c r="B50" s="61"/>
      <c r="C50" s="61"/>
      <c r="D50" s="61"/>
      <c r="E50" s="69" t="s">
        <v>51</v>
      </c>
      <c r="F50" s="69"/>
      <c r="G50" s="63"/>
      <c r="H50" s="63"/>
      <c r="I50" s="63"/>
      <c r="J50" s="63"/>
    </row>
  </sheetData>
  <sheetProtection sheet="1" formatCells="0" formatColumns="0" formatRows="0" insertColumns="0" insertRows="0" insertHyperlinks="0" deleteColumns="0" deleteRows="0" selectLockedCells="1" sort="0" autoFilter="0" pivotTables="0"/>
  <mergeCells count="97">
    <mergeCell ref="B44:D44"/>
    <mergeCell ref="B45:D45"/>
    <mergeCell ref="B35:D35"/>
    <mergeCell ref="B36:D36"/>
    <mergeCell ref="B37:D37"/>
    <mergeCell ref="B38:D38"/>
    <mergeCell ref="B39:D39"/>
    <mergeCell ref="B40:D40"/>
    <mergeCell ref="B41:D41"/>
    <mergeCell ref="B42:D42"/>
    <mergeCell ref="B43:D43"/>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1:J1"/>
    <mergeCell ref="F2:J2"/>
    <mergeCell ref="B5:D6"/>
    <mergeCell ref="C2:D2"/>
    <mergeCell ref="C3:D3"/>
    <mergeCell ref="F3:J3"/>
    <mergeCell ref="E5:H5"/>
    <mergeCell ref="I5:J6"/>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2025-10-15T21:44:04Z</dcterms:modified>
</cp:coreProperties>
</file>