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F6740340-BB87-41F7-995A-8FAC22E5BD7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s="1"/>
  <c r="G11" i="2"/>
  <c r="H11" i="2" s="1"/>
  <c r="G12" i="2"/>
  <c r="H12" i="2" s="1"/>
  <c r="G13" i="2"/>
  <c r="H13" i="2" s="1"/>
  <c r="G14" i="2"/>
  <c r="H14" i="2" s="1"/>
  <c r="G15" i="2"/>
  <c r="H15" i="2" s="1"/>
  <c r="G16" i="2"/>
  <c r="H16" i="2" s="1"/>
  <c r="G17" i="2"/>
  <c r="H17" i="2" s="1"/>
  <c r="G19" i="2"/>
  <c r="H19" i="2"/>
  <c r="G20" i="2"/>
  <c r="H20" i="2"/>
  <c r="G21" i="2"/>
  <c r="H21" i="2" s="1"/>
  <c r="G22" i="2"/>
  <c r="H22" i="2" s="1"/>
  <c r="G23" i="2"/>
  <c r="H23" i="2" s="1"/>
  <c r="G25" i="2"/>
  <c r="H25" i="2" s="1"/>
  <c r="G26" i="2"/>
  <c r="H26" i="2" s="1"/>
  <c r="G27" i="2"/>
  <c r="H27" i="2" s="1"/>
  <c r="G28" i="2"/>
  <c r="H28" i="2" s="1"/>
  <c r="G29" i="2"/>
  <c r="H29" i="2" s="1"/>
  <c r="G30" i="2"/>
  <c r="H30" i="2" s="1"/>
  <c r="G31" i="2"/>
  <c r="H31" i="2" s="1"/>
  <c r="G32" i="2"/>
  <c r="H32" i="2" s="1"/>
  <c r="G33" i="2"/>
  <c r="H33" i="2" s="1"/>
  <c r="G34" i="2"/>
  <c r="H34" i="2" s="1"/>
  <c r="G35" i="2"/>
  <c r="H35" i="2" s="1"/>
  <c r="F36" i="2"/>
  <c r="E37" i="2" s="1"/>
  <c r="E38" i="2" s="1"/>
  <c r="E36"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<sst xmlns="http://schemas.openxmlformats.org/spreadsheetml/2006/main" count="265" uniqueCount="210">
  <si>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</si>
  <si>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</si>
  <si>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</si>
  <si>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</si>
  <si>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</si>
  <si>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</si>
  <si>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</si>
  <si>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</si>
  <si>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</si>
  <si>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</si>
  <si>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</si>
  <si>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</si>
  <si>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</si>
  <si>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</si>
  <si>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</si>
  <si>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</si>
  <si>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</si>
  <si>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</si>
  <si>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</si>
  <si>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</si>
  <si>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</si>
  <si>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</si>
  <si>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</si>
  <si>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</si>
  <si>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</si>
  <si>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</si>
  <si>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</si>
  <si>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</si>
  <si>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</si>
  <si>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</si>
  <si>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</si>
  <si>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</si>
  <si>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</si>
  <si>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</si>
  <si>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</si>
  <si>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</si>
  <si>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</si>
  <si>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</si>
  <si>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</si>
  <si>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</si>
  <si>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</si>
  <si>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</si>
  <si>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</si>
  <si>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</si>
  <si>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</si>
  <si>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</si>
  <si>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</si>
  <si>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</si>
  <si>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</si>
  <si>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</si>
  <si>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</si>
  <si>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</si>
  <si>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</si>
  <si>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</si>
  <si>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</si>
  <si>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</si>
  <si>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</si>
  <si>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</si>
  <si>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</si>
  <si>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</si>
  <si>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</si>
  <si>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</si>
  <si>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</si>
  <si>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</si>
  <si>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</si>
  <si>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</si>
  <si>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</si>
  <si>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</si>
  <si>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</si>
  <si>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</si>
  <si>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</si>
  <si>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</si>
  <si>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</si>
  <si>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</si>
  <si>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</si>
  <si>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</si>
  <si>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</si>
  <si>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</si>
  <si>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</si>
  <si>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</si>
  <si>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</si>
  <si>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</si>
  <si>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</si>
  <si>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</si>
  <si>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</si>
  <si>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</si>
  <si>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</si>
  <si>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</si>
  <si>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</si>
  <si>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</si>
  <si>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</si>
  <si>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</si>
  <si>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</si>
  <si>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</si>
  <si>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</si>
  <si>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</si>
  <si>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</si>
  <si>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</si>
  <si>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</si>
  <si>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</si>
  <si>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</si>
  <si>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</si>
  <si>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</si>
  <si>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</si>
  <si>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</si>
  <si>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</si>
  <si>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</si>
  <si>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</si>
  <si>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</si>
  <si>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</si>
  <si>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</si>
  <si>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</si>
  <si>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</si>
  <si>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</si>
  <si>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</si>
  <si>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</si>
  <si>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</si>
  <si>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</si>
  <si>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</si>
  <si>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</si>
  <si>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</si>
  <si>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</si>
  <si>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</si>
  <si>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</si>
  <si>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</si>
  <si>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</si>
  <si>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</si>
  <si>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</si>
  <si>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</si>
  <si>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</si>
  <si>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</si>
  <si>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</si>
  <si>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</si>
  <si>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</si>
  <si>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</si>
  <si>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</si>
  <si>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</si>
  <si>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</si>
  <si>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</si>
  <si>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</si>
  <si>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</si>
  <si>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</si>
  <si>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</si>
  <si>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</si>
  <si>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</si>
  <si>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</si>
  <si>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</si>
  <si>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</si>
  <si>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</si>
  <si>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</si>
  <si>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</si>
  <si>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</si>
  <si>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</si>
  <si>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</si>
  <si>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</si>
  <si>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</si>
  <si>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</si>
  <si>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</si>
  <si>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</si>
  <si>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</si>
  <si>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</si>
  <si>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</si>
  <si>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</si>
  <si>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</si>
  <si>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</si>
  <si>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</si>
  <si>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</si>
  <si>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</si>
  <si>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</si>
  <si>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</si>
  <si>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</si>
  <si>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</si>
  <si>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</si>
  <si>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</si>
  <si>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</si>
  <si>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</si>
  <si>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</si>
  <si>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</si>
  <si>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</si>
  <si>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</si>
  <si>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</si>
  <si>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</si>
  <si>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</si>
  <si>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</si>
  <si>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</si>
  <si>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</si>
  <si>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</si>
  <si>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</si>
  <si>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</si>
  <si>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</si>
  <si>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</si>
  <si>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</si>
  <si>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</si>
  <si>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</si>
  <si>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</si>
  <si>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</si>
  <si>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</si>
  <si>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</si>
  <si>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</si>
  <si>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</si>
  <si>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</si>
  <si>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</si>
  <si>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</si>
  <si>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</si>
  <si>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</si>
  <si>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</si>
  <si>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</si>
  <si>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</si>
  <si>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r>
      <rPr>
        <b/>
        <sz val="14"/>
        <color rgb="FF000000"/>
        <rFont val="Arial"/>
        <family val="2"/>
      </rPr>
      <t>تقييم وكيل الكتيبة في احتلال منطقة التجمع</t>
    </r>
    <r>
      <rPr>
        <b/>
        <u/>
        <sz val="14"/>
        <color rgb="FF000000"/>
        <rFont val="Arial"/>
        <family val="2"/>
      </rPr>
      <t xml:space="preserve">
تمرين جاهزية مجموعة لواء الإمارات/1 (جندي الصحراء 2025/20)</t>
    </r>
  </si>
  <si>
    <t xml:space="preserve">كبيروكلاء/ سالم سعيد سالم الشحي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</si>
</sst>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310723</xdr:colOff>
      <xdr:row>39</xdr:row>
      <xdr:rowOff>175288</xdr:rowOff>
    </xdr:from>
    <xdr:to>
      <xdr:col>7</xdr:col>
      <xdr:colOff>258153</xdr:colOff>
      <xdr:row>39</xdr:row>
      <xdr:rowOff>479488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D2A5D6B-5FDC-3C62-29DA-7B202C43B092}"/>
                </a:ext>
              </a:extLst>
            </xdr14:cNvPr>
            <xdr14:cNvContentPartPr/>
          </xdr14:nvContentPartPr>
          <xdr14:nvPr macro=""/>
          <xdr14:xfrm>
            <a:off x="10437451593" y="17008560"/>
            <a:ext cx="605520" cy="304200"/>
          </xdr14:xfrm>
        </xdr:contentPart>
      </mc:Choice>
      <mc:Fallback xmlns="">
        <xdr:pic>
          <xdr:nvPicPr>
            <xdr:cNvPr id="2" name="Ink 1">
              <a:extLst>
                <a:ext uri="{FF2B5EF4-FFF2-40B4-BE49-F238E27FC236}">
                  <a16:creationId xmlns:a16="http://schemas.microsoft.com/office/drawing/2014/main" id="{2D2A5D6B-5FDC-3C62-29DA-7B202C43B092}"/>
                </a:ext>
              </a:extLst>
            </xdr:cNvPr>
            <xdr:cNvPicPr/>
          </xdr:nvPicPr>
          <xdr:blipFill>
            <a:blip xmlns:r="http://schemas.openxmlformats.org/officeDocument/2006/relationships" r:embed="rId2"/>
            <a:stretch>
              <a:fillRect/>
            </a:stretch>
          </xdr:blipFill>
          <xdr:spPr>
            <a:xfrm>
              <a:off x="10437445473" y="17002440"/>
              <a:ext cx="617760" cy="316440"/>
            </a:xfrm>
            <a:prstGeom prst="rect">
              <a:avLst/>
            </a:prstGeom>
          </xdr:spPr>
        </xdr:pic>
      </mc:Fallback>
    </mc:AlternateContent>
    <xdr:clientData/>
  </xdr:twoCellAnchor>
  <xdr:twoCellAnchor editAs="oneCell">
    <xdr:from>
      <xdr:col>7</xdr:col>
      <xdr:colOff>83913</xdr:colOff>
      <xdr:row>39</xdr:row>
      <xdr:rowOff>33808</xdr:rowOff>
    </xdr:from>
    <xdr:to>
      <xdr:col>9</xdr:col>
      <xdr:colOff>415811</xdr:colOff>
      <xdr:row>39</xdr:row>
      <xdr:rowOff>604768</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BC519DD-6701-038B-0F79-AB9550A38248}"/>
                </a:ext>
              </a:extLst>
            </xdr14:cNvPr>
            <xdr14:cNvContentPartPr/>
          </xdr14:nvContentPartPr>
          <xdr14:nvPr macro=""/>
          <xdr14:xfrm>
            <a:off x="10435977753" y="16867080"/>
            <a:ext cx="1648080" cy="570960"/>
          </xdr14:xfrm>
        </xdr:contentPart>
      </mc:Choice>
      <mc:Fallback xmlns="">
        <xdr:pic>
          <xdr:nvPicPr>
            <xdr:cNvPr id="3" name="Ink 2">
              <a:extLst>
                <a:ext uri="{FF2B5EF4-FFF2-40B4-BE49-F238E27FC236}">
                  <a16:creationId xmlns:a16="http://schemas.microsoft.com/office/drawing/2014/main" id="{0BC519DD-6701-038B-0F79-AB9550A38248}"/>
                </a:ext>
              </a:extLst>
            </xdr:cNvPr>
            <xdr:cNvPicPr/>
          </xdr:nvPicPr>
          <xdr:blipFill>
            <a:blip xmlns:r="http://schemas.openxmlformats.org/officeDocument/2006/relationships" r:embed="rId4"/>
            <a:stretch>
              <a:fillRect/>
            </a:stretch>
          </xdr:blipFill>
          <xdr:spPr>
            <a:xfrm>
              <a:off x="10435971633" y="16860960"/>
              <a:ext cx="1660320" cy="583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32:35.898"/>
    </inkml:context>
    <inkml:brush xml:id="br0">
      <inkml:brushProperty name="width" value="0.035" units="cm"/>
      <inkml:brushProperty name="height" value="0.035" units="cm"/>
    </inkml:brush>
  </inkml:definitions>
  <inkml:trace contextRef="#ctx0" brushRef="#br0">1601 271 8,'0'0'0,"2"4"0,3 1 16,0 8 0,-5-13-16,2 4 24,-2 1 24,4 0 0,-1 0 8,-3-5-56,0 4 56,4-1 24,-4-3 40,0 0 48,0 0-168,3 0 256,-3-2 64,0 1-72,0-3-40,0 4-208,0-1 136,0-1-56,0-3 96,0 1 48,0 4-224,0-3 264,0-1 56,-3 1 128,3 1-48,0 2-400,-2-3 416,0 1-72,-1-1-192,3 1 1,0 2-153,0-2 56,0 1 24,0-1-40,0 2-32,0 0-8,0 0 16,0 0-16,-2 0 16,0 0-8,2 0-8,-4 0-8,-4 0 32,1 0-32,-9 0 80,16 0-72,-7 3 80,-16-3 32,1 0 24,2 0-8,20 0-128,-23 0 152,-1 0-24,-2-1 0,1-3-24,25 4-104,-26-3 64,1-1-16,2 3 8,-1-3 56,24 4-112,-23-5 176,-3 0 136,3 0 88,-1 0 16,24 5-416,-25-4 440,-1-1-56,3 0-72,-2 0 24,25 5-336,-26-5 249,0-2-1,-2 0-48,0 1-80,28 6-120,-25-6 112,-3 0-32,2 0-32,3 1-16,23 5-32,-24-3 24,6 0-32,1-1 32,6 1 0,11 3-24,-2-4 40,-3 1 48,2-1 64,1 1 104,2 3-256,-2-2 368,-1 1-8,3-3-32,0 3-104,0 1-224,5-4 96,12 1-8,-4-2-56,2-1-16,-15 6-16,13-5 0,6 2-16,-3-2 32,1 0-56,-17 5 40,16-5 16,1 1 0,-1-1-32,0 0 40,-16 5-24,16-5 8,0 0 8,-2 0-32,2-9 32,-16 14-16,17-2 24,-5-3-40,2-2 8,0 2 16,-14 5-8,4-7-40,22 2 32,-7 0 16,4 3 24,-23 2-32,24-3-40,1 0 8,1 1-8,-1 0-64,-25 2 104,28-2 40,-3 1-88,1 1 64,0 0 24,-26 0-40,23-2 0,0 2 8,0 0-40,-1 0 0,-22 0 32,18 0-64,1 3 40,-3 1 32,0-1-56,-16-3 48,12 5-40,-5 1-48,9 11-56,-11-14 104,-5-3 40,12 14-56,-12-9 40,5 14-72,-1-6 16,-4-13 72,2 16-40,3 2 24,0 1 40,-5 7 56,0-26-80,0 25-32,0 4-16,0 4 32,0-1-88,0-32 104,0 32-32,0 3 40,0 0-8,0 3 24,0-38-24,-3 37 0,3-1 0,-4-3 0,-1-6-24,5-27 24,-14 24-8,7-4-16,-9 2-88,-1-3 104,17-19 8,-23 19-24,0 0 16,-2-2 104,-6 0-176,31-17 80,-34 15 0,-6-1-16,-5 0 48,-4-9 8,49-5-40,-55 20 88,-3-15-104,-5 11-128,-8-13-72,71-3 216,-67 14-368,-5-14-152,-5 5 24,2-2-17,75-3 513,-74 4-544,-4-4-16,7 3-416,1-3-344,70 0 1320,-66 0-1817,1 0 257,5 3 544,6-3 432,54 0 584,-51 0-232,4-1 112,10-4 24,2-12 24,35 17 72,-26-16-48,6-1 32,20 17 16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7:32:39.512"/>
    </inkml:context>
    <inkml:brush xml:id="br0">
      <inkml:brushProperty name="width" value="0.035" units="cm"/>
      <inkml:brushProperty name="height" value="0.035" units="cm"/>
    </inkml:brush>
  </inkml:definitions>
  <inkml:trace contextRef="#ctx0" brushRef="#br0">3619 466 8,'0'0'0,"0"0"0,-3 6 24,3 7 16,-2-9 16,-3 1 8,5-5-64,0 3 104,0-3 72,0 0 16,0 0 16,0 0-208,0 0 136,0 0-64,0 0 0,3 0 24,-3 0-96,0 0 112,4 0-48,-1 0 16,2-2-16,-5 2-64,14-1 96,-9-1 48,8 0 152,-8 1 312,-5 1-608,15-2 896,-11-3 321,10 0 119,-9 0-136,-5 5-1200,14-7 1040,-7 2-176,8-2-183,-14 2-129,-1 5-552,5-14 456,9 11-64,-9-4-40,12-7-16,-17 14-336,1-5 352,14-12-48,-15 10 8,17-12-40,-17 19-272,4-13 192,15-1 0,-7-1-72,-5-1 16,-7 16-136,18-15 137,-13 0 23,14 1 0,-14 0 8,-5 14-168,4-6 160,10-12-8,-11 12-56,2-10 40,-5 16-136,7-5 176,5-10-8,-12 10 64,4-9-80,-4 14-152,2-5 112,-2-9 8,5 9-40,-3-2 24,-2 7-104,0-17 64,0 12-16,3-12 32,-3 10-24,0 7-56,0-18 48,4 4 16,-4 7-32,3-8 48,-3 15-80,5-4 72,-5-1-16,0 0-24,0 0 8,0 5-40,0-3 56,0-1 16,0 2-8,0 1 16,0 1-80,2 0 24,-2 0 16,0 0-24,0 0-24,0 0 8,0 0-24,0 0-48,2 0 32,-2 0-40,0 0 80,0 0-40,0 0-8,0 0-16,0 0 216,0 0-336,0 0 136,0 0 80,0 0 168,0 0-376,0 0 352,0 0-408,0 0 200,0 0 16,0 3-16,0-3 32,0 4-16,0-1-16,0 0-32,0 1-8,0-4 72,0 5-8,0 9-8,0-11-8,0 11 80,0-14-56,0 3-8,0 11 8,0-9 0,0 15 0,0-20 0,0 14 0,0 1-24,0 2 96,0 0-112,0-17 40,5 17-32,-5 4 56,3-2-32,-3 3-8,0-22 16,4 22-24,0 0-8,-4-1-72,0 3 144,0-24-40,0 22 16,0-2-80,0 2-16,0 1 16,0-23 64,0 22-72,-2 0 96,0 0 8,0 0-40,2-22 8,-2 22-32,-3-1 8,2-1 8,3 1 16,0-21 0,-2 20 24,0 1-32,-1-2 8,-2 1-16,5-20 16,-4 17-16,4 2-8,-3 0 24,3-2 24,0-17-24,-2 18 0,2-1 8,-5-1-16,3 2-16,2-18 24,0 15 24,-4 1-40,4-1 8,-7 2-8,7-17 16,-5 15-16,0-1 0,0-9 16,3 14-8,2-19 8,0 5-16,0 10 16,0-10-8,0 9 0,0-14 8,0 5 8,0 9-8,0-11 0,0 13 56,0-16-56,5 3-8,-5 12 8,0-11-16,0 11-16,0-15 32,0 4 0,0 9-24,0-9 24,0 1 0,0-5 0,0 5-8,0 0-16,-3 0 24,1 0-24,2-5 24,0 5-8,-3-1 16,1-1-32,0-3 24,2 0 0,-3 4-8,3-4 32,-2 3-24,2-3 32,0 0-32,0 0-8,-3 0-16,1 3 32,-2-3-16,4 0 8,-5 0-16,0 4 32,-9-4 8,9 0-16,5 0-8,-13 0 8,6 0 8,-13 0-8,16 0-16,4 0 8,-16 3-32,11-3 16,0 0-8,-7 0 48,12 0-24,-5 0 32,0 4-32,2-4-8,-2 3-24,5-3 32,-5 0-24,0 3 24,-2-3 8,2 4 8,5-4-16,-5 0 8,1 3-8,-3 1-8,2-4 8,5 0 0,-4 3 8,-4 0-8,4 1 0,-1-1 16,5-3-16,-5 4-16,0-1 8,-1 1 16,1-1-48,5-3 40,-7 3 0,2 1-16,0-4 8,5 3 40,0-3-32,-2 0 0,-3 0 24,0 0-16,3 4 16,2-4-24,-2 0 8,0 0 48,2 0 48,0 0 64,0 0-168,-2 0 160,2-2-24,0 0-8,-3-3-72,3 5-56,0-5 88,0 0-8,0-2-8,5 0-8,-5 7-64,0-7 64,2 1-40,2-8 16,-1 10-40,-3 4 0,2-6 16,5-8 8,-2 11-64,0-4 104,-5 7-64,5-14-24,0 9 8,-1 0 32,0-2-16,-4 7 0,5-7 24,-3 2-16,3 0-8,-2 2-8,-3 3 8,4-4 0,1 2-16,-2 1 40,-3-1-48,0 2 24,0-2 24,0 1-16,0-1-8,0 2 16,0 0-16,0 0-32,0 0 16,0 0-16,0 0 112,-3 0-200,3 0 56,0 0-16,0 0 40,0 0 40,-2 0-64,-3 0 40,0 0-48,-2 0 48,7 0 24,-5 0 16,-8 0-48,8 3 8,0-3 0,5 0 24,-17 4-48,15-4 24,-2 3 72,-1 1-56,5-4 8,-5 3-16,1 0 16,-1 1-48,-2-1 40,7-3 8,-5 4-24,0-1-8,0-3 40,-1 3-32,6-3 24,-14 4 48,6-1-32,-7 1-8,0-1 0,15-3-8,-14 4-16,0-1 16,-3 0-40,3 1 16,14-4 24,-18 3 16,-2 1-16,0-1 8,-2-3-16,22 0 8,-23 3-32,-1-3 32,1 0-16,-6 0 40,29 0-24,-23 0 0,-5 0 8,-3 0 16,3 0-32,28 0 8,-28 0 8,-1-1 8,2-1-40,-4 0 88,31 2-64,-28-1 16,2-1-48,0 0 72,2 0 0,24 2-40,-23-1 8,2-1 0,0 2 16,2 0-56,19 0 32,-16 0 24,2 0 0,6 0-40,-5 0 8,13 0 8,0 0 0,-5 0-24,5 0 24,-2 0 80,2 0-80,-3 0 104,3 0 64,0 0 8,0 0-16,0 0-160,0-2 144,5 1 0,0-3-8,11-1-16,-16 5-120,2-5 96,15 0-16,-12 0 32,-1 0-16,-4 5-96,14-7 72,-14 2 24,5 0-48,0-1-16,-5 6-32,7-5 16,-2 0-16,-1 0-16,0 0 40,-4 5-24,5-3-8,0-1 8,0 1-16,0-1-8,-5 4 24,7-3 64,-5 1-40,3 1 0,-1-1-120,-4 2 96,0-2-16,2 2-40,-2 0 8,0 0 8,0 0 40,0 0-96,0 0-8,0 0-8,0 0 56,0 0 424,0 0-864,0 4 448,0-1 0,-2 0-16,2-3 64,0 4-40,-4-1 24,-1 2-32,0 0 64,5-5-16,-14 6 24,9-1-16,-2 0-32,1 0-32,6-5 56,-15 5-24,8 0-24,-11 0 72,11 0-40,7-5 16,-22 14 16,11-14-40,-4 5-24,-6 0 40,21-5 8,-14 5-40,-5-1 40,3 1-24,-3-2 48,19-3-24,-19 5 0,1-1 0,-2-1 24,7 1 0,13-4-24,-15 0 0,3 0 16,5 3-16,3-3-24,4 0 24,-7 0 56,5 0-32,-1 0-16,-1 0 80,4 0-88,-3 0 56,3 0 48,0-2 16,0-1-72,0 3-48,5-5 32,0 0-32,8 0 48,-10-1-56,-3 6 8,16-6 48,-1-1-72,-10 0 0,15 0 48,-20 7-24,15-7-24,-10 1 24,10-1-48,-10 2 72,-5 5-24,3-6-72,-3 1 96,2 4-24,-2-1-48,0 2 48,0-2-48,-2 2-24,-6 0 40,-10 0-32,18 0 64,-24 0 16,-4 0-32,-7 4 40,-9-1-8,44-3-16,-52 0 8,-12 3 16,-4 1-48,0-4 88,68 0-64,-76 3 48,1 1-16,-5-4 16,-2 3-48,82-3 0,-84 0-24,-8 0 48,0 4-48,-6-1-8,98-3 32,-97 0 8,-2 3-80,1 1 40,2-1 8,96-3 24,-50 0 56,-13 4 16,2-4-16,-9 3 32,70-3-88,-73 3-40,-9 1-16,1-1-24,-10-3 16,91 0 64,-87 4-112,0-4 0,7 0 32,2 0-40,78 0 120,-72-2-128,6-1 72,9-3-24,6 1 56,51 5 24,-43-7 40,11 1 0,9-8 56,6 9-24,17 5-72,0-14 88,0 9 16,12-12-56,11 10 16,-23 7-64,28-17 8,16 10 8,8-10 64,7 12-24,-59 5-56,71-15-8,13 11-80,8-1-120,9-8-128,-101 13 336,113-4-504,28-9-320,110-4-152,-16 3 31,-235 14 945,221-15-784,-47 9 296,9 1 272,12 0 128,-195 5 88,195-1-24,7-1 24,2 2 88,-1 0 120,-203 0-208,207 0 456,-8 3 288,-10 1 201,-18-1 31,-171-3-976,157 3 848,-23 3-264,-19-3-248,-16 0-168,-99-3-168,80 4-88,-7-1 104,-14 1-32,-16-4-16,-43 0 32,32 0 152,-9 0-128,-18 0 24,-3-2-64,-2 2 16,0-2-104,-5-3-32,-20 0-16,-10-2 56,35 7 96,-52-17-32,-10 10-8,-10-8-8,-15 7 64,87 8-16,-99-15 0,-16 10 8,-5-9 16,-12 9-8,132 5-16,-134-5 0,-2 3-64,-5 2 80,-5 0-120,146 0 104,-145 0 32,-8 5-32,0 9-80,-1-11 104,154-3-24,-158 16-24,-7-11 16,1 13-56,-5-5 104,169-13-40,-165 16-72,11-1 24,-2 0 48,83-11 40,73-4-40,-87 13-48,5-9 80,-15 10 40,7-11-184,90-3 112,-102 5 80,6 0-152,-5 9-8,12-11 48,89-3 32,-87 4-176,12-1 144,11 0-56,10-3 40,54 0 48,-43 0 64,8 0 160,10 0 224,5 0-24,20 0-424,-2 0 400,2 0-192,14-3-152,14-2-32,-28 5-24,34-7 24,12 0 0,11-6 40,13 8-64,-70 5 0,81-16-88,10 11 40,5-10-104,108-7-240,-204 22 392,198-23-440,-20 5-192,-22 1-48,-8 2 96,-148 15 584,151-14-712,6 7-105,5-8-79,-8 10 112,-154 5 784,154-5-568,-18 3 320,-18 0 184,-18 1 112,-100 1-48,80 0 8,-14 0 0,-16 0 40,-18 0-120,-32 0 72,19 3-200,-17 1-312,-2-1-120,-4-3 112,4 0 520,-31 3-337,-9-3 313,-18 0 152,-11-1 8,69 1-136,-77-7 145,-10 0-65,-5-8 32,-1 10-24,93 5-88,-102-16 144,1 9 40,0-11-32,2 2 56,99 16-208,-96-13 152,5-4 24,6 1-8,5 1-96,80 15-72,-71-15 288,15-1-176,11 1-8,7 1 80,38 14-184,-30-15 8,10-2 104,5 0 16,8-2 48,7 19-176,0-19 24,0-3 40,22 0-128,1 0-104,-23 22 168,30-23-176,4 1-48,3 4 72,1-3 32,-38 21 120,39-19-48,-4 1-8,5 0 48,-5 3 0,-35 15 8,36-15 24,-3 8-24,-5-8-40,-2 11 96,-26 4-56,21-3-80,-3 1 80,-13 0-24,12 2-112,-17 0 136,0 0-72,5 5-104,8 13 16,-13-1 48,0-17 112,3 20-88,2 9 48,-5 3 72,2 9-32,-2-41 0,0 46 16,0 6 64,5 6 16,-3 3 0,-2-61-96,5 65 72,12 1-40,-6 4-16,6 3 64,-17-73-80,18 68 56,4 0-64,1 1 24,5-5-104,-28-64 88,33 67-72,2-2-584,-2-4-1841,-2-1-512,-31-60 3009,35 55-2448,0-6 984,0-5 1008,-2-8 320,-33-36 136,27 29-64,-9-7 40,1-5 24,-19-17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B29" zoomScale="130" zoomScaleNormal="100" zoomScaleSheetLayoutView="130" workbookViewId="0">
      <selection activeCell="F33" sqref="F3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208</v>
      </c>
      <c r="C1" s="66"/>
      <c r="D1" s="66"/>
      <c r="E1" s="66"/>
      <c r="F1" s="66"/>
      <c r="G1" s="66"/>
      <c r="H1" s="66"/>
      <c r="I1" s="66"/>
      <c r="J1" s="66"/>
    </row>
    <row r="2" spans="1:10" ht="30" customHeight="1" x14ac:dyDescent="0.3">
      <c r="B2" s="13" t="s">
        <v>178</v>
      </c>
      <c r="C2" s="72" t="s">
        <v>38</v>
      </c>
      <c r="D2" s="72"/>
      <c r="E2" s="13" t="s">
        <v>7</v>
      </c>
      <c r="F2" s="67">
        <v>45945</v>
      </c>
      <c r="G2" s="67"/>
      <c r="H2" s="67"/>
      <c r="I2" s="67"/>
      <c r="J2" s="67"/>
    </row>
    <row r="3" spans="1:10" ht="30" customHeight="1" x14ac:dyDescent="0.3">
      <c r="B3" s="13" t="s">
        <v>179</v>
      </c>
      <c r="C3" s="72" t="s">
        <v>209</v>
      </c>
      <c r="D3" s="72"/>
      <c r="E3" s="13" t="s">
        <v>6</v>
      </c>
      <c r="F3" s="72" t="s">
        <v>160</v>
      </c>
      <c r="G3" s="72"/>
      <c r="H3" s="72"/>
      <c r="I3" s="72"/>
      <c r="J3" s="72"/>
    </row>
    <row r="4" spans="1:10" ht="30" customHeight="1" thickBot="1" x14ac:dyDescent="0.35">
      <c r="B4" s="6"/>
      <c r="C4" s="7"/>
      <c r="D4" s="7"/>
      <c r="E4" s="6"/>
      <c r="F4" s="7"/>
      <c r="G4" s="7"/>
      <c r="H4" s="8"/>
      <c r="I4" s="7"/>
      <c r="J4" s="7"/>
    </row>
    <row r="5" spans="1:10" ht="24.9" customHeight="1" x14ac:dyDescent="0.3">
      <c r="A5" s="11"/>
      <c r="B5" s="68" t="s">
        <v>0</v>
      </c>
      <c r="C5" s="69"/>
      <c r="D5" s="69"/>
      <c r="E5" s="77" t="s">
        <v>1</v>
      </c>
      <c r="F5" s="77"/>
      <c r="G5" s="77"/>
      <c r="H5" s="77"/>
      <c r="I5" s="77" t="s">
        <v>2</v>
      </c>
      <c r="J5" s="78"/>
    </row>
    <row r="6" spans="1:10" ht="24.9" customHeight="1" thickBot="1" x14ac:dyDescent="0.35">
      <c r="A6" s="11"/>
      <c r="B6" s="70"/>
      <c r="C6" s="71"/>
      <c r="D6" s="71"/>
      <c r="E6" s="12" t="s">
        <v>3</v>
      </c>
      <c r="F6" s="12" t="s">
        <v>4</v>
      </c>
      <c r="G6" s="12" t="s">
        <v>21</v>
      </c>
      <c r="H6" s="12" t="s">
        <v>22</v>
      </c>
      <c r="I6" s="79"/>
      <c r="J6" s="80"/>
    </row>
    <row r="7" spans="1:10" ht="24.9" customHeight="1" thickBot="1" x14ac:dyDescent="0.35">
      <c r="A7" s="11"/>
      <c r="B7" s="75" t="s">
        <v>19</v>
      </c>
      <c r="C7" s="76"/>
      <c r="D7" s="76"/>
      <c r="E7" s="30" t="s">
        <v>16</v>
      </c>
      <c r="F7" s="30" t="s">
        <v>17</v>
      </c>
      <c r="G7" s="30" t="s">
        <v>20</v>
      </c>
      <c r="H7" s="30" t="s">
        <v>18</v>
      </c>
      <c r="I7" s="86" t="s">
        <v>23</v>
      </c>
      <c r="J7" s="87"/>
    </row>
    <row r="8" spans="1:10" ht="30" customHeight="1" x14ac:dyDescent="0.3">
      <c r="A8" s="11"/>
      <c r="B8" s="42" t="s">
        <v>180</v>
      </c>
      <c r="C8" s="43"/>
      <c r="D8" s="43"/>
      <c r="E8" s="33"/>
      <c r="F8" s="34"/>
      <c r="G8" s="35"/>
      <c r="H8" s="36"/>
      <c r="I8" s="58"/>
      <c r="J8" s="59"/>
    </row>
    <row r="9" spans="1:10" ht="30" customHeight="1" x14ac:dyDescent="0.3">
      <c r="A9" s="11"/>
      <c r="B9" s="44" t="s">
        <v>181</v>
      </c>
      <c r="C9" s="45"/>
      <c r="D9" s="45"/>
      <c r="E9" s="9">
        <v>5</v>
      </c>
      <c r="F9" s="27">
        <v>3.75</v>
      </c>
      <c r="G9" s="31">
        <f>IFERROR(F9/E9,"")</f>
        <v>0.75</v>
      </c>
      <c r="H9" s="32" t="str">
        <f>_xlfn.IFS(F9="أدخل العلامة","",F9="لا ينطبق","تم الإلغاء",G9&gt;=90%,"ممتاز",G9&gt;=80%,"جيد جداً",G9&gt;=70%,"جيد",G9&gt;=60%,"مقبول",G9&lt;60%,"راسب")</f>
        <v>جيد</v>
      </c>
      <c r="I9" s="50"/>
      <c r="J9" s="51"/>
    </row>
    <row r="10" spans="1:10" ht="39.9" customHeight="1" x14ac:dyDescent="0.3">
      <c r="A10" s="11"/>
      <c r="B10" s="44" t="s">
        <v>182</v>
      </c>
      <c r="C10" s="45"/>
      <c r="D10" s="45"/>
      <c r="E10" s="9">
        <v>5</v>
      </c>
      <c r="F10" s="27">
        <v>3.75</v>
      </c>
      <c r="G10" s="31">
        <f t="shared" ref="G10:G33" si="0">IFERROR(F10/E10,"")</f>
        <v>0.75</v>
      </c>
      <c r="H10" s="32" t="str">
        <f t="shared" ref="H10:H33" si="1">_xlfn.IFS(F10="أدخل العلامة","",F10="لا ينطبق","تم الإلغاء",G10&gt;=90%,"ممتاز",G10&gt;=80%,"جيد جداً",G10&gt;=70%,"جيد",G10&gt;=60%,"مقبول",G10&lt;60%,"راسب")</f>
        <v>جيد</v>
      </c>
      <c r="I10" s="50"/>
      <c r="J10" s="51"/>
    </row>
    <row r="11" spans="1:10" ht="65.25" customHeight="1" x14ac:dyDescent="0.3">
      <c r="A11" s="11"/>
      <c r="B11" s="44" t="s">
        <v>183</v>
      </c>
      <c r="C11" s="45"/>
      <c r="D11" s="45"/>
      <c r="E11" s="9">
        <v>5</v>
      </c>
      <c r="F11" s="27">
        <v>4</v>
      </c>
      <c r="G11" s="31">
        <f t="shared" si="0"/>
        <v>0.8</v>
      </c>
      <c r="H11" s="32" t="str">
        <f t="shared" si="1"/>
        <v>جيد جداً</v>
      </c>
      <c r="I11" s="50"/>
      <c r="J11" s="51"/>
    </row>
    <row r="12" spans="1:10" ht="39.9" customHeight="1" x14ac:dyDescent="0.3">
      <c r="A12" s="11"/>
      <c r="B12" s="44" t="s">
        <v>184</v>
      </c>
      <c r="C12" s="45"/>
      <c r="D12" s="45"/>
      <c r="E12" s="9">
        <v>5</v>
      </c>
      <c r="F12" s="27">
        <v>3.5</v>
      </c>
      <c r="G12" s="31">
        <f t="shared" si="0"/>
        <v>0.7</v>
      </c>
      <c r="H12" s="32" t="str">
        <f t="shared" si="1"/>
        <v>جيد</v>
      </c>
      <c r="I12" s="50"/>
      <c r="J12" s="51"/>
    </row>
    <row r="13" spans="1:10" ht="58.5" customHeight="1" x14ac:dyDescent="0.3">
      <c r="A13" s="11"/>
      <c r="B13" s="44" t="s">
        <v>185</v>
      </c>
      <c r="C13" s="45"/>
      <c r="D13" s="45"/>
      <c r="E13" s="9">
        <v>5</v>
      </c>
      <c r="F13" s="27">
        <v>3.5</v>
      </c>
      <c r="G13" s="31">
        <f t="shared" si="0"/>
        <v>0.7</v>
      </c>
      <c r="H13" s="32" t="str">
        <f t="shared" si="1"/>
        <v>جيد</v>
      </c>
      <c r="I13" s="50"/>
      <c r="J13" s="51"/>
    </row>
    <row r="14" spans="1:10" ht="30" customHeight="1" x14ac:dyDescent="0.3">
      <c r="A14" s="11"/>
      <c r="B14" s="44" t="s">
        <v>186</v>
      </c>
      <c r="C14" s="45"/>
      <c r="D14" s="45"/>
      <c r="E14" s="9">
        <v>5</v>
      </c>
      <c r="F14" s="27">
        <v>4</v>
      </c>
      <c r="G14" s="31">
        <f t="shared" si="0"/>
        <v>0.8</v>
      </c>
      <c r="H14" s="32" t="str">
        <f t="shared" si="1"/>
        <v>جيد جداً</v>
      </c>
      <c r="I14" s="50"/>
      <c r="J14" s="51"/>
    </row>
    <row r="15" spans="1:10" ht="30" customHeight="1" x14ac:dyDescent="0.3">
      <c r="A15" s="11"/>
      <c r="B15" s="44" t="s">
        <v>187</v>
      </c>
      <c r="C15" s="45"/>
      <c r="D15" s="45"/>
      <c r="E15" s="9">
        <v>5</v>
      </c>
      <c r="F15" s="27">
        <v>4</v>
      </c>
      <c r="G15" s="31">
        <f t="shared" si="0"/>
        <v>0.8</v>
      </c>
      <c r="H15" s="32" t="str">
        <f t="shared" si="1"/>
        <v>جيد جداً</v>
      </c>
      <c r="I15" s="50"/>
      <c r="J15" s="51"/>
    </row>
    <row r="16" spans="1:10" ht="30" customHeight="1" thickBot="1" x14ac:dyDescent="0.35">
      <c r="A16" s="11"/>
      <c r="B16" s="46" t="s">
        <v>188</v>
      </c>
      <c r="C16" s="47"/>
      <c r="D16" s="47"/>
      <c r="E16" s="37">
        <v>5</v>
      </c>
      <c r="F16" s="29">
        <v>3.75</v>
      </c>
      <c r="G16" s="38">
        <f t="shared" si="0"/>
        <v>0.75</v>
      </c>
      <c r="H16" s="39" t="str">
        <f t="shared" si="1"/>
        <v>جيد</v>
      </c>
      <c r="I16" s="54"/>
      <c r="J16" s="55"/>
    </row>
    <row r="17" spans="1:10" ht="39.9" customHeight="1" thickBot="1" x14ac:dyDescent="0.35">
      <c r="A17" s="11"/>
      <c r="B17" s="48" t="s">
        <v>189</v>
      </c>
      <c r="C17" s="49"/>
      <c r="D17" s="49"/>
      <c r="E17" s="10">
        <v>5</v>
      </c>
      <c r="F17" s="40">
        <v>3.5</v>
      </c>
      <c r="G17" s="41">
        <f t="shared" si="0"/>
        <v>0.7</v>
      </c>
      <c r="H17" s="28" t="str">
        <f t="shared" si="1"/>
        <v>جيد</v>
      </c>
      <c r="I17" s="56"/>
      <c r="J17" s="57"/>
    </row>
    <row r="18" spans="1:10" ht="39.9" customHeight="1" x14ac:dyDescent="0.3">
      <c r="A18" s="11"/>
      <c r="B18" s="42" t="s">
        <v>190</v>
      </c>
      <c r="C18" s="43"/>
      <c r="D18" s="43"/>
      <c r="E18" s="33"/>
      <c r="F18" s="34"/>
      <c r="G18" s="35"/>
      <c r="H18" s="36"/>
      <c r="I18" s="58"/>
      <c r="J18" s="59"/>
    </row>
    <row r="19" spans="1:10" ht="30" customHeight="1" x14ac:dyDescent="0.3">
      <c r="A19" s="11"/>
      <c r="B19" s="44" t="s">
        <v>191</v>
      </c>
      <c r="C19" s="45"/>
      <c r="D19" s="45"/>
      <c r="E19" s="9">
        <v>5</v>
      </c>
      <c r="F19" s="27">
        <v>3.75</v>
      </c>
      <c r="G19" s="31">
        <f t="shared" si="0"/>
        <v>0.75</v>
      </c>
      <c r="H19" s="32" t="str">
        <f t="shared" si="1"/>
        <v>جيد</v>
      </c>
      <c r="I19" s="50"/>
      <c r="J19" s="51"/>
    </row>
    <row r="20" spans="1:10" ht="30" customHeight="1" x14ac:dyDescent="0.3">
      <c r="A20" s="11"/>
      <c r="B20" s="44" t="s">
        <v>192</v>
      </c>
      <c r="C20" s="45"/>
      <c r="D20" s="45"/>
      <c r="E20" s="9">
        <v>5</v>
      </c>
      <c r="F20" s="27">
        <v>3.5</v>
      </c>
      <c r="G20" s="31">
        <f t="shared" si="0"/>
        <v>0.7</v>
      </c>
      <c r="H20" s="32" t="str">
        <f t="shared" si="1"/>
        <v>جيد</v>
      </c>
      <c r="I20" s="50"/>
      <c r="J20" s="51"/>
    </row>
    <row r="21" spans="1:10" ht="30" customHeight="1" x14ac:dyDescent="0.3">
      <c r="A21" s="11"/>
      <c r="B21" s="44" t="s">
        <v>193</v>
      </c>
      <c r="C21" s="45"/>
      <c r="D21" s="45"/>
      <c r="E21" s="9">
        <v>5</v>
      </c>
      <c r="F21" s="27">
        <v>4</v>
      </c>
      <c r="G21" s="31">
        <f t="shared" si="0"/>
        <v>0.8</v>
      </c>
      <c r="H21" s="32" t="str">
        <f t="shared" si="1"/>
        <v>جيد جداً</v>
      </c>
      <c r="I21" s="50"/>
      <c r="J21" s="51"/>
    </row>
    <row r="22" spans="1:10" ht="39.9" customHeight="1" thickBot="1" x14ac:dyDescent="0.35">
      <c r="A22" s="11"/>
      <c r="B22" s="46" t="s">
        <v>194</v>
      </c>
      <c r="C22" s="47"/>
      <c r="D22" s="47"/>
      <c r="E22" s="37">
        <v>5</v>
      </c>
      <c r="F22" s="29">
        <v>3.75</v>
      </c>
      <c r="G22" s="38">
        <f t="shared" si="0"/>
        <v>0.75</v>
      </c>
      <c r="H22" s="39" t="str">
        <f t="shared" si="1"/>
        <v>جيد</v>
      </c>
      <c r="I22" s="54"/>
      <c r="J22" s="55"/>
    </row>
    <row r="23" spans="1:10" ht="39.9" customHeight="1" thickBot="1" x14ac:dyDescent="0.35">
      <c r="A23" s="11"/>
      <c r="B23" s="48" t="s">
        <v>195</v>
      </c>
      <c r="C23" s="49"/>
      <c r="D23" s="49"/>
      <c r="E23" s="10">
        <v>5</v>
      </c>
      <c r="F23" s="40">
        <v>3.75</v>
      </c>
      <c r="G23" s="41">
        <f t="shared" si="0"/>
        <v>0.75</v>
      </c>
      <c r="H23" s="28" t="str">
        <f t="shared" si="1"/>
        <v>جيد</v>
      </c>
      <c r="I23" s="56"/>
      <c r="J23" s="57"/>
    </row>
    <row r="24" spans="1:10" ht="30" customHeight="1" x14ac:dyDescent="0.3">
      <c r="A24" s="11"/>
      <c r="B24" s="42" t="s">
        <v>196</v>
      </c>
      <c r="C24" s="43"/>
      <c r="D24" s="43"/>
      <c r="E24" s="33"/>
      <c r="F24" s="34"/>
      <c r="G24" s="35"/>
      <c r="H24" s="36"/>
      <c r="I24" s="58"/>
      <c r="J24" s="59"/>
    </row>
    <row r="25" spans="1:10" ht="30" customHeight="1" x14ac:dyDescent="0.3">
      <c r="A25" s="11"/>
      <c r="B25" s="44" t="s">
        <v>197</v>
      </c>
      <c r="C25" s="45"/>
      <c r="D25" s="45"/>
      <c r="E25" s="9">
        <v>5</v>
      </c>
      <c r="F25" s="27">
        <v>4</v>
      </c>
      <c r="G25" s="31">
        <f t="shared" si="0"/>
        <v>0.8</v>
      </c>
      <c r="H25" s="32" t="str">
        <f t="shared" si="1"/>
        <v>جيد جداً</v>
      </c>
      <c r="I25" s="50"/>
      <c r="J25" s="51"/>
    </row>
    <row r="26" spans="1:10" ht="30" customHeight="1" x14ac:dyDescent="0.3">
      <c r="A26" s="11"/>
      <c r="B26" s="44" t="s">
        <v>198</v>
      </c>
      <c r="C26" s="45"/>
      <c r="D26" s="45"/>
      <c r="E26" s="9">
        <v>5</v>
      </c>
      <c r="F26" s="27">
        <v>3.75</v>
      </c>
      <c r="G26" s="31">
        <f t="shared" si="0"/>
        <v>0.75</v>
      </c>
      <c r="H26" s="32" t="str">
        <f t="shared" si="1"/>
        <v>جيد</v>
      </c>
      <c r="I26" s="50"/>
      <c r="J26" s="51"/>
    </row>
    <row r="27" spans="1:10" ht="39.9" customHeight="1" x14ac:dyDescent="0.3">
      <c r="A27" s="11"/>
      <c r="B27" s="44" t="s">
        <v>199</v>
      </c>
      <c r="C27" s="45"/>
      <c r="D27" s="45"/>
      <c r="E27" s="9">
        <v>5</v>
      </c>
      <c r="F27" s="27">
        <v>3.75</v>
      </c>
      <c r="G27" s="31">
        <f t="shared" si="0"/>
        <v>0.75</v>
      </c>
      <c r="H27" s="32" t="str">
        <f t="shared" si="1"/>
        <v>جيد</v>
      </c>
      <c r="I27" s="50"/>
      <c r="J27" s="51"/>
    </row>
    <row r="28" spans="1:10" ht="30" customHeight="1" x14ac:dyDescent="0.3">
      <c r="A28" s="11"/>
      <c r="B28" s="44" t="s">
        <v>200</v>
      </c>
      <c r="C28" s="45"/>
      <c r="D28" s="45"/>
      <c r="E28" s="9">
        <v>5</v>
      </c>
      <c r="F28" s="27">
        <v>4</v>
      </c>
      <c r="G28" s="31">
        <f t="shared" si="0"/>
        <v>0.8</v>
      </c>
      <c r="H28" s="32" t="str">
        <f t="shared" si="1"/>
        <v>جيد جداً</v>
      </c>
      <c r="I28" s="50"/>
      <c r="J28" s="51"/>
    </row>
    <row r="29" spans="1:10" ht="30" customHeight="1" x14ac:dyDescent="0.3">
      <c r="A29" s="11"/>
      <c r="B29" s="44" t="s">
        <v>201</v>
      </c>
      <c r="C29" s="45"/>
      <c r="D29" s="45"/>
      <c r="E29" s="9">
        <v>5</v>
      </c>
      <c r="F29" s="27">
        <v>4</v>
      </c>
      <c r="G29" s="31">
        <f t="shared" si="0"/>
        <v>0.8</v>
      </c>
      <c r="H29" s="32" t="str">
        <f t="shared" si="1"/>
        <v>جيد جداً</v>
      </c>
      <c r="I29" s="50"/>
      <c r="J29" s="51"/>
    </row>
    <row r="30" spans="1:10" ht="30" customHeight="1" x14ac:dyDescent="0.3">
      <c r="A30" s="11"/>
      <c r="B30" s="44" t="s">
        <v>202</v>
      </c>
      <c r="C30" s="45"/>
      <c r="D30" s="45"/>
      <c r="E30" s="9">
        <v>5</v>
      </c>
      <c r="F30" s="27">
        <v>3.75</v>
      </c>
      <c r="G30" s="31">
        <f t="shared" si="0"/>
        <v>0.75</v>
      </c>
      <c r="H30" s="32" t="str">
        <f t="shared" si="1"/>
        <v>جيد</v>
      </c>
      <c r="I30" s="50"/>
      <c r="J30" s="51"/>
    </row>
    <row r="31" spans="1:10" ht="30" customHeight="1" x14ac:dyDescent="0.3">
      <c r="A31" s="11"/>
      <c r="B31" s="44" t="s">
        <v>203</v>
      </c>
      <c r="C31" s="45"/>
      <c r="D31" s="45"/>
      <c r="E31" s="9">
        <v>5</v>
      </c>
      <c r="F31" s="27">
        <v>4</v>
      </c>
      <c r="G31" s="31">
        <f t="shared" si="0"/>
        <v>0.8</v>
      </c>
      <c r="H31" s="32" t="str">
        <f t="shared" si="1"/>
        <v>جيد جداً</v>
      </c>
      <c r="I31" s="50"/>
      <c r="J31" s="51"/>
    </row>
    <row r="32" spans="1:10" ht="39.9" customHeight="1" x14ac:dyDescent="0.3">
      <c r="A32" s="11"/>
      <c r="B32" s="44" t="s">
        <v>204</v>
      </c>
      <c r="C32" s="45"/>
      <c r="D32" s="45"/>
      <c r="E32" s="9">
        <v>5</v>
      </c>
      <c r="F32" s="27">
        <v>3.75</v>
      </c>
      <c r="G32" s="31">
        <f t="shared" si="0"/>
        <v>0.75</v>
      </c>
      <c r="H32" s="32" t="str">
        <f t="shared" si="1"/>
        <v>جيد</v>
      </c>
      <c r="I32" s="50"/>
      <c r="J32" s="51"/>
    </row>
    <row r="33" spans="1:10" ht="30" customHeight="1" x14ac:dyDescent="0.3">
      <c r="A33" s="11"/>
      <c r="B33" s="44" t="s">
        <v>205</v>
      </c>
      <c r="C33" s="45"/>
      <c r="D33" s="45"/>
      <c r="E33" s="9">
        <v>5</v>
      </c>
      <c r="F33" s="27">
        <v>3.5</v>
      </c>
      <c r="G33" s="31">
        <f t="shared" si="0"/>
        <v>0.7</v>
      </c>
      <c r="H33" s="32" t="str">
        <f t="shared" si="1"/>
        <v>جيد</v>
      </c>
      <c r="I33" s="50"/>
      <c r="J33" s="51"/>
    </row>
    <row r="34" spans="1:10" ht="30" customHeight="1" x14ac:dyDescent="0.3">
      <c r="A34" s="11"/>
      <c r="B34" s="44" t="s">
        <v>206</v>
      </c>
      <c r="C34" s="45"/>
      <c r="D34" s="45"/>
      <c r="E34" s="9">
        <v>5</v>
      </c>
      <c r="F34" s="27">
        <v>3.75</v>
      </c>
      <c r="G34" s="31">
        <f>IFERROR(F34/E34,"")</f>
        <v>0.75</v>
      </c>
      <c r="H34" s="32" t="str">
        <f>_xlfn.IFS(F34="أدخل العلامة","",F34="لا ينطبق","تم الإلغاء",G34&gt;=90%,"ممتاز",G34&gt;=80%,"جيد جداً",G34&gt;=70%,"جيد",G34&gt;=60%,"مقبول",G34&lt;60%,"راسب")</f>
        <v>جيد</v>
      </c>
      <c r="I34" s="50"/>
      <c r="J34" s="51"/>
    </row>
    <row r="35" spans="1:10" ht="30" customHeight="1" thickBot="1" x14ac:dyDescent="0.35">
      <c r="A35" s="11"/>
      <c r="B35" s="46" t="s">
        <v>207</v>
      </c>
      <c r="C35" s="47"/>
      <c r="D35" s="47"/>
      <c r="E35" s="37">
        <v>5</v>
      </c>
      <c r="F35" s="29">
        <v>4</v>
      </c>
      <c r="G35" s="38">
        <f>IFERROR(F35/E35,"")</f>
        <v>0.8</v>
      </c>
      <c r="H35" s="39" t="str">
        <f>_xlfn.IFS(F35="أدخل العلامة","",F35="لا ينطبق","تم الإلغاء",G35&gt;=90%,"ممتاز",G35&gt;=80%,"جيد جداً",G35&gt;=70%,"جيد",G35&gt;=60%,"مقبول",G35&lt;60%,"راسب")</f>
        <v>جيد جداً</v>
      </c>
      <c r="I35" s="54"/>
      <c r="J35" s="55"/>
    </row>
    <row r="36" spans="1:10" ht="30" customHeight="1" thickBot="1" x14ac:dyDescent="0.35">
      <c r="A36" s="4"/>
      <c r="B36" s="52" t="s">
        <v>5</v>
      </c>
      <c r="C36" s="53"/>
      <c r="D36" s="53"/>
      <c r="E36" s="10">
        <f>SUM(E8:E35)</f>
        <v>125</v>
      </c>
      <c r="F36" s="10">
        <f>SUM(F8:F35)</f>
        <v>94.75</v>
      </c>
      <c r="G36" s="83"/>
      <c r="H36" s="84"/>
      <c r="I36" s="84"/>
      <c r="J36" s="85"/>
    </row>
    <row r="37" spans="1:10" ht="30" customHeight="1" thickBot="1" x14ac:dyDescent="0.35">
      <c r="A37" s="4"/>
      <c r="B37" s="52" t="s">
        <v>52</v>
      </c>
      <c r="C37" s="53"/>
      <c r="D37" s="53"/>
      <c r="E37" s="73">
        <f>F36/E36/100*100</f>
        <v>0.75800000000000001</v>
      </c>
      <c r="F37" s="73"/>
      <c r="G37" s="73"/>
      <c r="H37" s="73"/>
      <c r="I37" s="73"/>
      <c r="J37" s="74"/>
    </row>
    <row r="38" spans="1:10" ht="30" customHeight="1" thickBot="1" x14ac:dyDescent="0.35">
      <c r="A38" s="4"/>
      <c r="B38" s="52" t="s">
        <v>53</v>
      </c>
      <c r="C38" s="53"/>
      <c r="D38" s="53"/>
      <c r="E38" s="64" t="str">
        <f>_xlfn.IFS(E37&gt;=90%,"ممتاز",E37&gt;=80%,"جيد جداً",E37&gt;=70%,"جيد",E37&gt;=60%,"مقبول",E37&lt;60%,"راسب")</f>
        <v>جيد</v>
      </c>
      <c r="F38" s="64"/>
      <c r="G38" s="64"/>
      <c r="H38" s="64"/>
      <c r="I38" s="64"/>
      <c r="J38" s="65"/>
    </row>
    <row r="39" spans="1:10" ht="42" customHeight="1" x14ac:dyDescent="0.3">
      <c r="B39" s="60" t="s">
        <v>172</v>
      </c>
      <c r="C39" s="60"/>
      <c r="D39" s="60"/>
      <c r="E39" s="81" t="s">
        <v>50</v>
      </c>
      <c r="F39" s="81"/>
      <c r="G39" s="62" t="s">
        <v>160</v>
      </c>
      <c r="H39" s="62"/>
      <c r="I39" s="62"/>
      <c r="J39" s="62"/>
    </row>
    <row r="40" spans="1:10" ht="51" customHeight="1" x14ac:dyDescent="0.3">
      <c r="A40" s="5"/>
      <c r="B40" s="61"/>
      <c r="C40" s="61"/>
      <c r="D40" s="61"/>
      <c r="E40" s="82" t="s">
        <v>51</v>
      </c>
      <c r="F40" s="82"/>
      <c r="G40" s="63"/>
      <c r="H40" s="63"/>
      <c r="I40" s="63"/>
      <c r="J40" s="63"/>
    </row>
  </sheetData>
  <sheetProtection sheet="1" formatCells="0" formatColumns="0" formatRows="0" insertColumns="0" insertRows="0" insertHyperlinks="0" deleteColumns="0" deleteRows="0" selectLockedCells="1" sort="0" autoFilter="0" pivotTables="0"/>
  <mergeCells count="77">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2025-10-15T21:27:50Z</dcterms:modified>
</cp:coreProperties>
</file>