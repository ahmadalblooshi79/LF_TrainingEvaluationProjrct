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BE66439-1B70-4EDF-A761-89510081DE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 s="1"/>
  <c r="G16" i="2"/>
  <c r="H16" i="2"/>
  <c r="G17" i="2"/>
  <c r="H17" i="2" s="1"/>
  <c r="G8" i="2"/>
  <c r="H8" i="2" s="1"/>
  <c r="F18" i="2"/>
  <c r="E18" i="2"/>
  <c r="E19" i="2" l="1"/>
  <c r="E20" i="2" s="1"/>
</calcChain>
</file>

<file path=xl/sharedStrings.xml><?xml version="1.0" encoding="utf-8"?>
<sst xmlns="http://schemas.openxmlformats.org/spreadsheetml/2006/main" count="114" uniqueCount="110">
  <si>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</si>
  <si>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</si>
  <si>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</si>
  <si>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</si>
  <si>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</si>
  <si>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</si>
  <si>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</si>
  <si>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</si>
  <si>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</si>
  <si>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</si>
  <si>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</si>
  <si>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</si>
  <si>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</si>
  <si>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</si>
  <si>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</si>
  <si>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</si>
  <si>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</si>
  <si>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</si>
  <si>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</si>
  <si>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</si>
  <si>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</si>
  <si>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</si>
  <si>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</si>
  <si>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</si>
  <si>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</si>
  <si>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</si>
  <si>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</si>
  <si>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</si>
  <si>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</si>
  <si>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</si>
  <si>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</si>
  <si>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</si>
  <si>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</si>
  <si>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</si>
  <si>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</si>
  <si>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</si>
  <si>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</si>
  <si>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</si>
  <si>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</si>
  <si>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</si>
  <si>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</si>
  <si>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</si>
  <si>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</si>
  <si>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</si>
  <si>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</si>
  <si>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</si>
  <si>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</si>
  <si>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</si>
  <si>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</si>
  <si>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</si>
  <si>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</si>
  <si>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</si>
  <si>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</si>
  <si>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</si>
  <si>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</si>
  <si>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</si>
  <si>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</si>
  <si>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</si>
  <si>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</si>
  <si>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</si>
  <si>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</si>
  <si>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</si>
  <si>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</si>
  <si>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</si>
  <si>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</si>
  <si>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</si>
  <si>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</si>
  <si>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</si>
  <si>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</si>
  <si>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</si>
  <si>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</si>
  <si>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</si>
  <si>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</si>
  <si>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</si>
  <si>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</si>
  <si>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</si>
  <si>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</si>
  <si>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</si>
  <si>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</si>
  <si>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</si>
  <si>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</si>
  <si>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</si>
  <si>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</si>
  <si>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</si>
  <si>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</si>
  <si>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</si>
  <si>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</si>
  <si>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</si>
  <si>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</si>
  <si>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</si>
  <si>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</si>
  <si>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</si>
  <si>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</si>
  <si>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</si>
  <si>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</si>
  <si>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</si>
  <si>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</si>
  <si>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</si>
  <si>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</si>
  <si>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</si>
  <si>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</si>
  <si>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</si>
  <si>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</si>
  <si>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</si>
  <si>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</si>
  <si>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t xml:space="preserve">نقيب مهندس سلطان سعيد النيادي </t>
  </si>
  <si>
    <t>تقييم الكفاءة القيادية للقادة الأصاغر سرية الحرب الإلكترونية التعبوية 
تمرين جاهزية مجموعة لواء الإمارات/1 (جندي الصحراء 2025/20)</t>
  </si>
  <si>
    <t>رائد ركن / جمعه محمد مسعود المزروعي</t>
  </si>
  <si>
    <t>التوقيــــــــع</t>
  </si>
  <si>
    <t>المحكم: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</si>
</sst>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291843</xdr:colOff>
      <xdr:row>22</xdr:row>
      <xdr:rowOff>208870</xdr:rowOff>
    </xdr:from>
    <xdr:to>
      <xdr:col>8</xdr:col>
      <xdr:colOff>65379</xdr:colOff>
      <xdr:row>23</xdr:row>
      <xdr:rowOff>93090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F6DEFCE-F7E5-2E8C-E7ED-C503C081D81C}"/>
                </a:ext>
              </a:extLst>
            </xdr14:cNvPr>
            <xdr14:cNvContentPartPr/>
          </xdr14:nvContentPartPr>
          <xdr14:nvPr macro=""/>
          <xdr14:xfrm>
            <a:off x="10399179527" y="8994960"/>
            <a:ext cx="1089720" cy="473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F6DEFCE-F7E5-2E8C-E7ED-C503C081D8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73407" y="8988840"/>
              <a:ext cx="1101960" cy="48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322083</xdr:colOff>
      <xdr:row>22</xdr:row>
      <xdr:rowOff>306070</xdr:rowOff>
    </xdr:from>
    <xdr:to>
      <xdr:col>7</xdr:col>
      <xdr:colOff>498473</xdr:colOff>
      <xdr:row>23</xdr:row>
      <xdr:rowOff>121890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60C524E-AD41-24FB-F2F8-C6D2DAC30A9E}"/>
                </a:ext>
              </a:extLst>
            </xdr14:cNvPr>
            <xdr14:cNvContentPartPr/>
          </xdr14:nvContentPartPr>
          <xdr14:nvPr macro=""/>
          <xdr14:xfrm>
            <a:off x="10399404527" y="9092160"/>
            <a:ext cx="834480" cy="404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60C524E-AD41-24FB-F2F8-C6D2DAC30A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398407" y="9086040"/>
              <a:ext cx="846720" cy="416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1:14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1660 1306 13602,'0'0'0,"-6"-43"3041,6 43-3041,-9-44 728,-15-5-176,20 10-192,-4 10-184,8 29-176,0-25 96,0-6-8,0-3-104,0 3 32,0 31-16,5-37 32,2 3 9,2 1 79,1-4-72,-10 37-48,23-37 8,-18 3 16,20-5-24,-15 2-24,-10 37 24,30-37-48,-7-3 48,5-3 0,0-1 24,-28 44-24,32-45 64,-6-4-152,2 8-81,0-2-31,-28 43 200,25-40-352,8 0 96,-5 1-144,-1 3 64,-27 36 336,28-35-208,-7 7-72,-11 0 224,21 3-48,-31 25 104,10-11-8,18-15-64,-16 17 88,11-2-32,-23 11 16,5-8-168,20-1 168,-4 6-168,2 0-32,-23 3 200,23 0-224,-14 0-144,27 6-120,-16 3 48,-20-9 440,26 25-441,1-19-15,1 22 56,-5-20-64,-23-8 464,26 31-352,-4-22 48,8 19 136,-7-19 80,-23-9 88,25 22-144,1-13 72,-19-1-32,32 18-8,-39-26 112,21 6-8,3 2 8,-1 14-48,0-16 72,-23-6-24,20 8-8,1 1-8,-11-1 56,20 15-16,-30-23-24,9 0 32,19 6 0,-21 2 16,14-2-24,-21-6-24,0 6 72,9-1-24,-4 1 8,-5 0 56,0-6-112,4 0 128,-4 5 128,0-5 272,0 0 112,0 0-640,0 6 784,0-6-7,-9 6-217,-14-1-136,23-5-424,-9 6 240,-21 0-184,2-6-8,0 8 48,28-8-96,-33 6 96,-4-1 48,-2 3-16,-3-2-128,42-6 0,-46 8 80,-4 1 8,-3-1-16,-5 1 88,58-9-160,-65 26 32,0-18-32,-7 23 72,0-5-24,72-26-48,-74 24 80,-5 2 0,-7 0 24,0-4 24,86-22-128,-86 23 96,3 0 80,1 2-104,1 0-16,81-25-56,-86 28 32,3 1-32,-1 2 16,0 0-32,84-31 16,-83 35 24,4-5-8,0 4 16,7 0-8,72-34-24,-69 34 40,-8-1-56,7-1 16,5-1-32,65-31 32,-62 25 8,4 1 16,7-17 16,4 22-8,47-31-32,-47 8 0,10 14 16,-2-16-8,4 2 8,35-8-16,-30 9 48,2-1 0,2-2 8,3 0 32,23-6-88,-12 0 96,-13 5 48,14-5 1,1 0-9,10 0-136,-12 0 120,6 0 0,-1 6 0,2-6-56,5 0-64,-2 0 48,2 0-8,0 0-32,0 0-8,0 0 16,7 0-80,-5 0-24,-2 0 88,9 0-72,21 0-40,-4-3 56,-1 0 56,-25 3 0,28-2-40,2-7 16,-2 3 16,2-2-56,-30 8 64,28-9-8,0 1 16,-3 2-56,6-2 48,-31 8 0,23-6-16,3 0-40,-5 2-81,-13 1-231,-8 3 368,33-6-640,-23 3-408,20 0-440,-9 0-353,-21 3 1841,7-2-2016,26-1-1137,-41 28-1424,8-25 4577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6:31:1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66 704 11762,'0'0'0,"-1"-11"1608,-9-17-335,3 2-241,7 26-1032,-7-23 824,0 0-208,2 1-64,-1 0-120,6 22-432,-5-26 384,-2 4-23,4-1-65,3 12-24,0 11-272,-5-29 192,5 21-16,0-18-40,-2 18-56,2 8-80,0-8 0,0-1 0,0 4-80,7 2 8,-7 3 72,3-3-72,6 0-32,14 3 8,-16 0-8,-7 0 104,31 0-80,-2 23 16,3-15 40,8 26 0,-40-34 24,40 28 0,7 6-48,5 6 24,-2 2-32,-50-42 56,50 45-72,2 1 16,-2 2 16,-1-1 16,-49-47 24,48 46 0,-1-1 16,-5-3-32,0-5 8,-42-37 8,40 34-16,-7-3 16,-1-5 0,-7-18-16,-25-8 16,25 22-8,-1-22-8,-17 6-16,21-6 16,-28 0 16,7 0 0,16-9-24,-18-15-32,19-2-17,-24 26 73,6-34-192,16-3-48,-17-9-16,5-4 24,-10 50 232,3-54-168,-3-3 56,0 2 24,0-5-40,0 60 128,-6-59-64,-3-1-16,-16 6 32,25 7 104,0 47-56,-11-48 72,4 2 96,0 6 24,0 7 16,7 33-208,-7-25 240,-1 13-16,5 1 8,-5 2-32,8 9-200,-7-2 113,2-1-113,3 3-24,-3 5-73,5-5 97,-2 26-64,-1 3 16,1 9 24,-1 5 40,3-43-16,-4 48-16,2 1 40,2-8-32,0-1-32,0-40 40,0 34-8,9-5-8,-4-5 16,2-15 24,-7-9-24,0 28 16,5-22-40,0 0 24,-5-6 8,0 0-8,0 0 24,0 0 16,0 0 40,0 0 9,0 0-322,4 0 618,-4-3-185,8-6-56,-5-2-8,-3 11-136,8-29 88,-4 8-56,1-5 8,-5-2 48,0 28-88,7-26 64,-7-5-16,0 3-24,0 0 0,0 28-24,0-31 40,0 5-32,0 3 48,0 12-8,0 11-48,-2-23 64,-3 20 48,-2-2 24,-3 2-8,10 3-128,-3-3 88,-5 0-40,1 1-64,0 2-32,7 0 48,-10 0 16,5 0-32,-3 0 40,-2 5 40,10-5-64,-12 6-48,-8-1 8,15 1-48,-5-6 112,10 0-24,-12 6 80,-9-6-32,14 0 0,-17-3 32,24 3-80,-5-9 48,-18-12 56,16 9 24,-18-16-104,25 28-24,-8-26 0,-18 1 24,15-4 144,-13 1 40,24 28-208,-11-25 416,-16 2 32,20 15-40,-1-15 16,8 23-424,-8-3 489,4 0-81,4 3-200,0 0-16,0 0-192,0 6-16,4 23 72,4 10-40,19 23-16,-27-62 0,21 80 120,8 15 8,11 4 64,7 3 128,-47-102-320,58 99 72,13-3-88,19-3 200,20-9-40,-110-84-144,127 77 184,24-12 16,20-17-640,24-11-1456,-195-37 1896,238 5-5978,20-5-4696,-258 0 10674</inkml:trace>
  <inkml:trace contextRef="#ctx0" brushRef="#br0" timeOffset="1">1818 684 29942,'0'0'0,"0"0"0,-44-65 584,13 28-656,3 4-224,28 33-904,0 0 1200,9 9-2673,50-2-5281,-14 19-3376,-45-26 11330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A12" zoomScale="115" zoomScaleNormal="100" zoomScaleSheetLayoutView="115" workbookViewId="0">
      <selection activeCell="G4" sqref="G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106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14</v>
      </c>
      <c r="D2" s="46"/>
      <c r="E2" s="12" t="s">
        <v>7</v>
      </c>
      <c r="F2" s="41">
        <v>45939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105</v>
      </c>
      <c r="D3" s="46"/>
      <c r="E3" s="12" t="s">
        <v>6</v>
      </c>
      <c r="F3" s="46" t="s">
        <v>56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/>
      <c r="E4" s="6"/>
      <c r="F4" s="7"/>
      <c r="G4" s="64" t="s">
        <v>107</v>
      </c>
      <c r="H4" s="64"/>
      <c r="I4" s="64"/>
      <c r="J4" s="64"/>
    </row>
    <row r="5" spans="1:10" ht="24.9" customHeight="1" x14ac:dyDescent="0.3">
      <c r="A5" s="10"/>
      <c r="B5" s="42" t="s">
        <v>0</v>
      </c>
      <c r="C5" s="43"/>
      <c r="D5" s="43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9" t="s">
        <v>21</v>
      </c>
      <c r="C7" s="50"/>
      <c r="D7" s="50"/>
      <c r="E7" s="21" t="s">
        <v>18</v>
      </c>
      <c r="F7" s="21" t="s">
        <v>19</v>
      </c>
      <c r="G7" s="21" t="s">
        <v>22</v>
      </c>
      <c r="H7" s="21" t="s">
        <v>20</v>
      </c>
      <c r="I7" s="55" t="s">
        <v>25</v>
      </c>
      <c r="J7" s="56"/>
    </row>
    <row r="8" spans="1:10" ht="30" customHeight="1" x14ac:dyDescent="0.3">
      <c r="A8" s="10"/>
      <c r="B8" s="33" t="s">
        <v>95</v>
      </c>
      <c r="C8" s="34"/>
      <c r="D8" s="34"/>
      <c r="E8" s="24">
        <v>5</v>
      </c>
      <c r="F8" s="25">
        <v>4</v>
      </c>
      <c r="G8" s="26">
        <f>IFERROR(F8/E8,"")</f>
        <v>0.8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7"/>
      <c r="J8" s="68"/>
    </row>
    <row r="9" spans="1:10" ht="30" customHeight="1" x14ac:dyDescent="0.3">
      <c r="A9" s="10"/>
      <c r="B9" s="31" t="s">
        <v>96</v>
      </c>
      <c r="C9" s="32"/>
      <c r="D9" s="32"/>
      <c r="E9" s="8">
        <v>5</v>
      </c>
      <c r="F9" s="19">
        <v>4</v>
      </c>
      <c r="G9" s="22">
        <f>IFERROR(F9/E9,"")</f>
        <v>0.8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0" customHeight="1" x14ac:dyDescent="0.3">
      <c r="A10" s="10"/>
      <c r="B10" s="31" t="s">
        <v>97</v>
      </c>
      <c r="C10" s="32"/>
      <c r="D10" s="32"/>
      <c r="E10" s="8">
        <v>5</v>
      </c>
      <c r="F10" s="19">
        <v>4</v>
      </c>
      <c r="G10" s="22">
        <f t="shared" ref="G10:G17" si="0">IFERROR(F10/E10,"")</f>
        <v>0.8</v>
      </c>
      <c r="H10" s="23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0" customHeight="1" x14ac:dyDescent="0.3">
      <c r="A11" s="10"/>
      <c r="B11" s="31" t="s">
        <v>98</v>
      </c>
      <c r="C11" s="32"/>
      <c r="D11" s="32"/>
      <c r="E11" s="8">
        <v>5</v>
      </c>
      <c r="F11" s="19">
        <v>3.5</v>
      </c>
      <c r="G11" s="22">
        <f t="shared" si="0"/>
        <v>0.7</v>
      </c>
      <c r="H11" s="23" t="str">
        <f t="shared" si="1"/>
        <v>جيد</v>
      </c>
      <c r="I11" s="57"/>
      <c r="J11" s="58"/>
    </row>
    <row r="12" spans="1:10" ht="30" customHeight="1" x14ac:dyDescent="0.3">
      <c r="A12" s="10"/>
      <c r="B12" s="31" t="s">
        <v>99</v>
      </c>
      <c r="C12" s="32"/>
      <c r="D12" s="32"/>
      <c r="E12" s="8">
        <v>5</v>
      </c>
      <c r="F12" s="19">
        <v>4</v>
      </c>
      <c r="G12" s="22">
        <f t="shared" si="0"/>
        <v>0.8</v>
      </c>
      <c r="H12" s="23" t="str">
        <f t="shared" si="1"/>
        <v>جيد جداً</v>
      </c>
      <c r="I12" s="57"/>
      <c r="J12" s="58"/>
    </row>
    <row r="13" spans="1:10" ht="30" customHeight="1" x14ac:dyDescent="0.3">
      <c r="A13" s="10"/>
      <c r="B13" s="31" t="s">
        <v>100</v>
      </c>
      <c r="C13" s="32"/>
      <c r="D13" s="32"/>
      <c r="E13" s="8">
        <v>5</v>
      </c>
      <c r="F13" s="19">
        <v>3.5</v>
      </c>
      <c r="G13" s="22">
        <f t="shared" si="0"/>
        <v>0.7</v>
      </c>
      <c r="H13" s="23" t="str">
        <f t="shared" si="1"/>
        <v>جيد</v>
      </c>
      <c r="I13" s="57"/>
      <c r="J13" s="58"/>
    </row>
    <row r="14" spans="1:10" ht="30" customHeight="1" x14ac:dyDescent="0.3">
      <c r="A14" s="10"/>
      <c r="B14" s="31" t="s">
        <v>101</v>
      </c>
      <c r="C14" s="32"/>
      <c r="D14" s="32"/>
      <c r="E14" s="8">
        <v>5</v>
      </c>
      <c r="F14" s="19">
        <v>4</v>
      </c>
      <c r="G14" s="22">
        <f t="shared" si="0"/>
        <v>0.8</v>
      </c>
      <c r="H14" s="23" t="str">
        <f t="shared" si="1"/>
        <v>جيد جداً</v>
      </c>
      <c r="I14" s="57"/>
      <c r="J14" s="58"/>
    </row>
    <row r="15" spans="1:10" ht="30" customHeight="1" x14ac:dyDescent="0.3">
      <c r="A15" s="10"/>
      <c r="B15" s="31" t="s">
        <v>102</v>
      </c>
      <c r="C15" s="32"/>
      <c r="D15" s="32"/>
      <c r="E15" s="8">
        <v>0</v>
      </c>
      <c r="F15" s="19" t="s">
        <v>17</v>
      </c>
      <c r="G15" s="22" t="str">
        <f t="shared" si="0"/>
        <v/>
      </c>
      <c r="H15" s="23" t="str">
        <f t="shared" si="1"/>
        <v>تم الإلغاء</v>
      </c>
      <c r="I15" s="57"/>
      <c r="J15" s="58"/>
    </row>
    <row r="16" spans="1:10" ht="30" customHeight="1" x14ac:dyDescent="0.3">
      <c r="A16" s="10"/>
      <c r="B16" s="31" t="s">
        <v>103</v>
      </c>
      <c r="C16" s="32"/>
      <c r="D16" s="32"/>
      <c r="E16" s="8">
        <v>5</v>
      </c>
      <c r="F16" s="19">
        <v>4</v>
      </c>
      <c r="G16" s="22">
        <f t="shared" si="0"/>
        <v>0.8</v>
      </c>
      <c r="H16" s="23" t="str">
        <f t="shared" si="1"/>
        <v>جيد جداً</v>
      </c>
      <c r="I16" s="57"/>
      <c r="J16" s="58"/>
    </row>
    <row r="17" spans="1:10" ht="30" customHeight="1" thickBot="1" x14ac:dyDescent="0.35">
      <c r="A17" s="10"/>
      <c r="B17" s="59" t="s">
        <v>104</v>
      </c>
      <c r="C17" s="60"/>
      <c r="D17" s="60"/>
      <c r="E17" s="28">
        <v>5</v>
      </c>
      <c r="F17" s="20">
        <v>3.75</v>
      </c>
      <c r="G17" s="29">
        <f t="shared" si="0"/>
        <v>0.75</v>
      </c>
      <c r="H17" s="30" t="str">
        <f t="shared" si="1"/>
        <v>جيد</v>
      </c>
      <c r="I17" s="71"/>
      <c r="J17" s="72"/>
    </row>
    <row r="18" spans="1:10" ht="30" customHeight="1" thickBot="1" x14ac:dyDescent="0.35">
      <c r="A18" s="4"/>
      <c r="B18" s="69" t="s">
        <v>5</v>
      </c>
      <c r="C18" s="70"/>
      <c r="D18" s="70"/>
      <c r="E18" s="9">
        <f>SUM(E8:E17)</f>
        <v>45</v>
      </c>
      <c r="F18" s="9">
        <f>SUM(F8:F17)</f>
        <v>34.75</v>
      </c>
      <c r="G18" s="37"/>
      <c r="H18" s="38"/>
      <c r="I18" s="38"/>
      <c r="J18" s="39"/>
    </row>
    <row r="19" spans="1:10" ht="30" customHeight="1" thickBot="1" x14ac:dyDescent="0.35">
      <c r="A19" s="4"/>
      <c r="B19" s="69" t="s">
        <v>52</v>
      </c>
      <c r="C19" s="70"/>
      <c r="D19" s="70"/>
      <c r="E19" s="47">
        <f>F18/E18/100*100</f>
        <v>0.77222222222222225</v>
      </c>
      <c r="F19" s="47"/>
      <c r="G19" s="47"/>
      <c r="H19" s="47"/>
      <c r="I19" s="47"/>
      <c r="J19" s="48"/>
    </row>
    <row r="20" spans="1:10" ht="30" customHeight="1" thickBot="1" x14ac:dyDescent="0.35">
      <c r="A20" s="4"/>
      <c r="B20" s="69" t="s">
        <v>53</v>
      </c>
      <c r="C20" s="70"/>
      <c r="D20" s="70"/>
      <c r="E20" s="65" t="str">
        <f>_xlfn.IFS(E19&gt;=90%,"ممتاز",E19&gt;=80%,"جيد جداً",E19&gt;=70%,"جيد",E19&gt;=60%,"مقبول",E19&lt;60%,"راسب")</f>
        <v>جيد</v>
      </c>
      <c r="F20" s="65"/>
      <c r="G20" s="65"/>
      <c r="H20" s="65"/>
      <c r="I20" s="65"/>
      <c r="J20" s="66"/>
    </row>
    <row r="21" spans="1:10" ht="42" customHeight="1" x14ac:dyDescent="0.3">
      <c r="B21" s="61" t="s">
        <v>58</v>
      </c>
      <c r="C21" s="61"/>
      <c r="D21" s="61"/>
      <c r="E21" s="35"/>
      <c r="F21" s="35"/>
      <c r="G21" s="63"/>
      <c r="H21" s="63"/>
      <c r="I21" s="63"/>
      <c r="J21" s="63"/>
    </row>
    <row r="22" spans="1:10" ht="51" customHeight="1" x14ac:dyDescent="0.3">
      <c r="A22" s="5"/>
      <c r="B22" s="62"/>
      <c r="C22" s="62"/>
      <c r="D22" s="62"/>
      <c r="E22" s="36" t="s">
        <v>109</v>
      </c>
      <c r="F22" s="36"/>
      <c r="G22" s="64" t="s">
        <v>107</v>
      </c>
      <c r="H22" s="64"/>
      <c r="I22" s="64"/>
      <c r="J22" s="64"/>
    </row>
    <row r="23" spans="1:10" ht="46.5" customHeight="1" x14ac:dyDescent="0.3">
      <c r="E23" s="1" t="s">
        <v>108</v>
      </c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G4:J4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55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59</v>
      </c>
    </row>
    <row r="7" spans="1:1" ht="20.100000000000001" customHeight="1" thickBot="1" x14ac:dyDescent="0.35">
      <c r="A7" s="2" t="s">
        <v>60</v>
      </c>
    </row>
    <row r="8" spans="1:1" ht="20.100000000000001" customHeight="1" thickBot="1" x14ac:dyDescent="0.35">
      <c r="A8" s="2" t="s">
        <v>61</v>
      </c>
    </row>
    <row r="9" spans="1:1" ht="20.100000000000001" customHeight="1" thickBot="1" x14ac:dyDescent="0.35">
      <c r="A9" s="2" t="s">
        <v>80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62</v>
      </c>
    </row>
    <row r="12" spans="1:1" ht="20.100000000000001" customHeight="1" thickBot="1" x14ac:dyDescent="0.35">
      <c r="A12" s="2" t="s">
        <v>63</v>
      </c>
    </row>
    <row r="13" spans="1:1" ht="20.100000000000001" customHeight="1" thickBot="1" x14ac:dyDescent="0.35">
      <c r="A13" s="2" t="s">
        <v>64</v>
      </c>
    </row>
    <row r="14" spans="1:1" ht="20.100000000000001" customHeight="1" thickBot="1" x14ac:dyDescent="0.35">
      <c r="A14" s="2" t="s">
        <v>81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65</v>
      </c>
    </row>
    <row r="17" spans="1:1" ht="20.100000000000001" customHeight="1" thickBot="1" x14ac:dyDescent="0.35">
      <c r="A17" s="2" t="s">
        <v>66</v>
      </c>
    </row>
    <row r="18" spans="1:1" ht="20.100000000000001" customHeight="1" thickBot="1" x14ac:dyDescent="0.35">
      <c r="A18" s="2" t="s">
        <v>67</v>
      </c>
    </row>
    <row r="19" spans="1:1" ht="20.100000000000001" customHeight="1" thickBot="1" x14ac:dyDescent="0.35">
      <c r="A19" s="2" t="s">
        <v>82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68</v>
      </c>
    </row>
    <row r="23" spans="1:1" ht="20.100000000000001" customHeight="1" thickBot="1" x14ac:dyDescent="0.35">
      <c r="A23" s="2" t="s">
        <v>69</v>
      </c>
    </row>
    <row r="24" spans="1:1" ht="20.100000000000001" customHeight="1" thickBot="1" x14ac:dyDescent="0.35">
      <c r="A24" s="2" t="s">
        <v>70</v>
      </c>
    </row>
    <row r="25" spans="1:1" ht="20.100000000000001" customHeight="1" thickBot="1" x14ac:dyDescent="0.35">
      <c r="A25" s="2" t="s">
        <v>83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71</v>
      </c>
    </row>
    <row r="28" spans="1:1" ht="20.100000000000001" customHeight="1" thickBot="1" x14ac:dyDescent="0.35">
      <c r="A28" s="2" t="s">
        <v>72</v>
      </c>
    </row>
    <row r="29" spans="1:1" ht="20.100000000000001" customHeight="1" thickBot="1" x14ac:dyDescent="0.35">
      <c r="A29" s="2" t="s">
        <v>73</v>
      </c>
    </row>
    <row r="30" spans="1:1" ht="20.100000000000001" customHeight="1" thickBot="1" x14ac:dyDescent="0.35">
      <c r="A30" s="2" t="s">
        <v>84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74</v>
      </c>
    </row>
    <row r="33" spans="1:1" ht="20.100000000000001" customHeight="1" thickBot="1" x14ac:dyDescent="0.35">
      <c r="A33" s="2" t="s">
        <v>75</v>
      </c>
    </row>
    <row r="34" spans="1:1" ht="20.100000000000001" customHeight="1" thickBot="1" x14ac:dyDescent="0.35">
      <c r="A34" s="2" t="s">
        <v>76</v>
      </c>
    </row>
    <row r="35" spans="1:1" ht="20.100000000000001" customHeight="1" thickBot="1" x14ac:dyDescent="0.35">
      <c r="A35" s="2" t="s">
        <v>85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77</v>
      </c>
    </row>
    <row r="39" spans="1:1" ht="20.100000000000001" customHeight="1" thickBot="1" x14ac:dyDescent="0.35">
      <c r="A39" s="2" t="s">
        <v>78</v>
      </c>
    </row>
    <row r="40" spans="1:1" ht="20.100000000000001" customHeight="1" thickBot="1" x14ac:dyDescent="0.35">
      <c r="A40" s="2" t="s">
        <v>79</v>
      </c>
    </row>
    <row r="41" spans="1:1" ht="20.100000000000001" customHeight="1" thickBot="1" x14ac:dyDescent="0.35">
      <c r="A41" s="2" t="s">
        <v>86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87</v>
      </c>
    </row>
    <row r="44" spans="1:1" ht="20.100000000000001" customHeight="1" thickBot="1" x14ac:dyDescent="0.35">
      <c r="A44" s="2" t="s">
        <v>88</v>
      </c>
    </row>
    <row r="45" spans="1:1" ht="20.100000000000001" customHeight="1" thickBot="1" x14ac:dyDescent="0.35">
      <c r="A45" s="2" t="s">
        <v>89</v>
      </c>
    </row>
    <row r="46" spans="1:1" ht="20.100000000000001" customHeight="1" thickBot="1" x14ac:dyDescent="0.35">
      <c r="A46" s="2" t="s">
        <v>90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91</v>
      </c>
    </row>
    <row r="49" spans="1:1" ht="20.100000000000001" customHeight="1" thickBot="1" x14ac:dyDescent="0.35">
      <c r="A49" s="2" t="s">
        <v>92</v>
      </c>
    </row>
    <row r="50" spans="1:1" ht="20.100000000000001" customHeight="1" thickBot="1" x14ac:dyDescent="0.35">
      <c r="A50" s="2" t="s">
        <v>93</v>
      </c>
    </row>
    <row r="51" spans="1:1" ht="20.100000000000001" customHeight="1" thickBot="1" x14ac:dyDescent="0.35">
      <c r="A51" s="2" t="s">
        <v>94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8"/>
    </row>
    <row r="72" spans="1:8" s="17" customFormat="1" ht="20.100000000000001" customHeight="1" x14ac:dyDescent="0.3">
      <c r="A72" s="15"/>
      <c r="B72" s="16"/>
      <c r="C72" s="16"/>
      <c r="D72" s="16"/>
      <c r="E72" s="16"/>
      <c r="F72" s="16"/>
      <c r="G72" s="16"/>
      <c r="H72" s="16"/>
    </row>
    <row r="73" spans="1:8" ht="20.100000000000001" customHeight="1" thickBot="1" x14ac:dyDescent="0.35"/>
    <row r="74" spans="1:8" ht="20.100000000000001" customHeight="1" thickBot="1" x14ac:dyDescent="0.35">
      <c r="A74" s="2" t="s">
        <v>54</v>
      </c>
    </row>
    <row r="75" spans="1:8" ht="20.100000000000001" customHeight="1" thickBot="1" x14ac:dyDescent="0.35">
      <c r="A75" s="13">
        <v>45931</v>
      </c>
    </row>
    <row r="76" spans="1:8" ht="20.100000000000001" customHeight="1" thickBot="1" x14ac:dyDescent="0.35">
      <c r="A76" s="13">
        <v>45932</v>
      </c>
    </row>
    <row r="77" spans="1:8" ht="20.100000000000001" customHeight="1" thickBot="1" x14ac:dyDescent="0.35">
      <c r="A77" s="13">
        <v>45933</v>
      </c>
    </row>
    <row r="78" spans="1:8" ht="20.100000000000001" customHeight="1" thickBot="1" x14ac:dyDescent="0.35">
      <c r="A78" s="13">
        <v>45934</v>
      </c>
    </row>
    <row r="79" spans="1:8" ht="20.100000000000001" customHeight="1" thickBot="1" x14ac:dyDescent="0.35">
      <c r="A79" s="13">
        <v>45935</v>
      </c>
    </row>
    <row r="80" spans="1:8" ht="20.100000000000001" customHeight="1" thickBot="1" x14ac:dyDescent="0.35">
      <c r="A80" s="13">
        <v>45936</v>
      </c>
    </row>
    <row r="81" spans="1:1" ht="20.100000000000001" customHeight="1" thickBot="1" x14ac:dyDescent="0.35">
      <c r="A81" s="13">
        <v>45937</v>
      </c>
    </row>
    <row r="82" spans="1:1" ht="20.100000000000001" customHeight="1" thickBot="1" x14ac:dyDescent="0.35">
      <c r="A82" s="13">
        <v>45938</v>
      </c>
    </row>
    <row r="83" spans="1:1" ht="20.100000000000001" customHeight="1" thickBot="1" x14ac:dyDescent="0.35">
      <c r="A83" s="13">
        <v>45939</v>
      </c>
    </row>
    <row r="84" spans="1:1" ht="20.100000000000001" customHeight="1" thickBot="1" x14ac:dyDescent="0.35">
      <c r="A84" s="13">
        <v>45940</v>
      </c>
    </row>
    <row r="85" spans="1:1" ht="20.100000000000001" customHeight="1" thickBot="1" x14ac:dyDescent="0.35">
      <c r="A85" s="13">
        <v>45941</v>
      </c>
    </row>
    <row r="86" spans="1:1" ht="20.100000000000001" customHeight="1" thickBot="1" x14ac:dyDescent="0.35">
      <c r="A86" s="13">
        <v>45942</v>
      </c>
    </row>
    <row r="87" spans="1:1" ht="20.100000000000001" customHeight="1" thickBot="1" x14ac:dyDescent="0.35">
      <c r="A87" s="13">
        <v>45943</v>
      </c>
    </row>
    <row r="88" spans="1:1" ht="20.100000000000001" customHeight="1" thickBot="1" x14ac:dyDescent="0.35">
      <c r="A88" s="13">
        <v>45944</v>
      </c>
    </row>
    <row r="89" spans="1:1" ht="20.100000000000001" customHeight="1" thickBot="1" x14ac:dyDescent="0.35">
      <c r="A89" s="13">
        <v>45945</v>
      </c>
    </row>
    <row r="90" spans="1:1" ht="20.100000000000001" customHeight="1" thickBot="1" x14ac:dyDescent="0.35">
      <c r="A90" s="13">
        <v>45946</v>
      </c>
    </row>
    <row r="91" spans="1:1" ht="20.100000000000001" customHeight="1" thickBot="1" x14ac:dyDescent="0.35">
      <c r="A91" s="13">
        <v>45947</v>
      </c>
    </row>
    <row r="92" spans="1:1" ht="20.100000000000001" customHeight="1" thickBot="1" x14ac:dyDescent="0.35">
      <c r="A92" s="13">
        <v>45948</v>
      </c>
    </row>
    <row r="93" spans="1:1" ht="20.100000000000001" customHeight="1" thickBot="1" x14ac:dyDescent="0.35">
      <c r="A93" s="13">
        <v>45949</v>
      </c>
    </row>
    <row r="94" spans="1:1" ht="20.100000000000001" customHeight="1" thickBot="1" x14ac:dyDescent="0.35">
      <c r="A94" s="13">
        <v>45950</v>
      </c>
    </row>
    <row r="95" spans="1:1" ht="20.100000000000001" customHeight="1" thickBot="1" x14ac:dyDescent="0.35">
      <c r="A95" s="13">
        <v>45951</v>
      </c>
    </row>
    <row r="96" spans="1:1" ht="20.100000000000001" customHeight="1" thickBot="1" x14ac:dyDescent="0.35">
      <c r="A96" s="13">
        <v>45952</v>
      </c>
    </row>
    <row r="97" spans="1:8" ht="20.100000000000001" customHeight="1" thickBot="1" x14ac:dyDescent="0.35">
      <c r="A97" s="13">
        <v>45953</v>
      </c>
    </row>
    <row r="98" spans="1:8" ht="20.100000000000001" customHeight="1" thickBot="1" x14ac:dyDescent="0.35">
      <c r="A98" s="13">
        <v>45954</v>
      </c>
    </row>
    <row r="99" spans="1:8" ht="20.100000000000001" customHeight="1" thickBot="1" x14ac:dyDescent="0.35">
      <c r="A99" s="13">
        <v>45955</v>
      </c>
    </row>
    <row r="100" spans="1:8" ht="20.100000000000001" customHeight="1" thickBot="1" x14ac:dyDescent="0.35">
      <c r="A100" s="13">
        <v>45956</v>
      </c>
    </row>
    <row r="101" spans="1:8" ht="20.100000000000001" customHeight="1" thickBot="1" x14ac:dyDescent="0.35">
      <c r="A101" s="13">
        <v>45957</v>
      </c>
    </row>
    <row r="102" spans="1:8" ht="20.100000000000001" customHeight="1" thickBot="1" x14ac:dyDescent="0.35">
      <c r="A102" s="13">
        <v>45958</v>
      </c>
    </row>
    <row r="103" spans="1:8" ht="20.100000000000001" customHeight="1" thickBot="1" x14ac:dyDescent="0.35">
      <c r="A103" s="13">
        <v>45959</v>
      </c>
    </row>
    <row r="104" spans="1:8" ht="20.100000000000001" customHeight="1" thickBot="1" x14ac:dyDescent="0.35">
      <c r="A104" s="13">
        <v>45960</v>
      </c>
    </row>
    <row r="105" spans="1:8" ht="20.100000000000001" customHeight="1" thickBot="1" x14ac:dyDescent="0.35">
      <c r="A105" s="13">
        <v>45961</v>
      </c>
    </row>
    <row r="106" spans="1:8" ht="20.100000000000001" customHeight="1" x14ac:dyDescent="0.3">
      <c r="A106" s="14"/>
    </row>
    <row r="107" spans="1:8" ht="20.100000000000001" customHeight="1" x14ac:dyDescent="0.3">
      <c r="A107" s="14"/>
    </row>
    <row r="108" spans="1:8" s="17" customFormat="1" ht="20.100000000000001" customHeight="1" x14ac:dyDescent="0.3">
      <c r="A108" s="15"/>
      <c r="B108" s="16"/>
      <c r="C108" s="16"/>
      <c r="D108" s="16"/>
      <c r="E108" s="16"/>
      <c r="F108" s="16"/>
      <c r="G108" s="16"/>
      <c r="H108" s="16"/>
    </row>
    <row r="109" spans="1:8" ht="20.100000000000001" customHeight="1" thickBot="1" x14ac:dyDescent="0.35"/>
    <row r="110" spans="1:8" ht="20.100000000000001" customHeight="1" thickBot="1" x14ac:dyDescent="0.35">
      <c r="A110" s="2" t="s">
        <v>57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2025-10-09T18:40:28Z</dcterms:modified>
</cp:coreProperties>
</file>