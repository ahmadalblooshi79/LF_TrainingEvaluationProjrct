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12E2AE0-7738-4C35-9D9A-BF45FB3831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2" i="2"/>
  <c r="H12" i="2"/>
  <c r="G13" i="2"/>
  <c r="H13" i="2" s="1"/>
  <c r="G14" i="2"/>
  <c r="H14" i="2" s="1"/>
  <c r="G15" i="2"/>
  <c r="H15" i="2" s="1"/>
  <c r="G16" i="2"/>
  <c r="H16" i="2" s="1"/>
  <c r="G17" i="2"/>
  <c r="H17" i="2" s="1"/>
  <c r="G19" i="2"/>
  <c r="H19" i="2"/>
  <c r="G20" i="2"/>
  <c r="H20" i="2" s="1"/>
  <c r="G21" i="2"/>
  <c r="H21" i="2"/>
  <c r="G22" i="2"/>
  <c r="H22" i="2" s="1"/>
  <c r="G24" i="2"/>
  <c r="H24" i="2"/>
  <c r="G25" i="2"/>
  <c r="H25" i="2" s="1"/>
  <c r="G26" i="2"/>
  <c r="H26" i="2" s="1"/>
  <c r="G27" i="2"/>
  <c r="H27" i="2" s="1"/>
  <c r="G28" i="2"/>
  <c r="H28" i="2"/>
  <c r="G29" i="2"/>
  <c r="H29" i="2" s="1"/>
  <c r="G30" i="2"/>
  <c r="H30" i="2" s="1"/>
  <c r="G32" i="2"/>
  <c r="H32" i="2" s="1"/>
  <c r="G33" i="2"/>
  <c r="H33" i="2"/>
  <c r="G34" i="2"/>
  <c r="H34" i="2" s="1"/>
  <c r="G35" i="2"/>
  <c r="H35" i="2"/>
  <c r="G37" i="2"/>
  <c r="H37" i="2"/>
  <c r="G38" i="2"/>
  <c r="H38" i="2"/>
  <c r="G39" i="2"/>
  <c r="H39" i="2"/>
  <c r="G40" i="2"/>
  <c r="H40" i="2"/>
  <c r="F41" i="2"/>
  <c r="E41" i="2"/>
  <c r="E42" i="2" s="1"/>
  <c r="E43" i="2" s="1"/>
</calcChain>
</file>

<file path=xl/sharedStrings.xml><?xml version="1.0" encoding="utf-8"?>
<sst xmlns="http://schemas.openxmlformats.org/spreadsheetml/2006/main" count="292" uniqueCount="212">
  <si>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</si>
  <si>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</si>
  <si>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</si>
  <si>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</si>
  <si>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</si>
  <si>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</si>
  <si>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</si>
  <si>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</si>
  <si>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</si>
  <si>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</si>
  <si>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</si>
  <si>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</si>
  <si>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</si>
  <si>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</si>
  <si>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</si>
  <si>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</si>
  <si>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</si>
  <si>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</si>
  <si>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</si>
  <si>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</si>
  <si>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</si>
  <si>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</si>
  <si>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</si>
  <si>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</si>
  <si>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</si>
  <si>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</si>
  <si>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</si>
  <si>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</si>
  <si>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</si>
  <si>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</si>
  <si>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</si>
  <si>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</si>
  <si>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</si>
  <si>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</si>
  <si>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</si>
  <si>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</si>
  <si>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</si>
  <si>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</si>
  <si>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</si>
  <si>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</si>
  <si>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</si>
  <si>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</si>
  <si>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</si>
  <si>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</si>
  <si>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</si>
  <si>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</si>
  <si>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</si>
  <si>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</si>
  <si>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</si>
  <si>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</si>
  <si>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</si>
  <si>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</si>
  <si>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</si>
  <si>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</si>
  <si>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</si>
  <si>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</si>
  <si>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</si>
  <si>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</si>
  <si>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</si>
  <si>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</si>
  <si>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</si>
  <si>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</si>
  <si>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</si>
  <si>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</si>
  <si>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</si>
  <si>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</si>
  <si>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</si>
  <si>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</si>
  <si>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</si>
  <si>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</si>
  <si>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</si>
  <si>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</si>
  <si>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</si>
  <si>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</si>
  <si>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</si>
  <si>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</si>
  <si>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</si>
  <si>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</si>
  <si>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</si>
  <si>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</si>
  <si>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</si>
  <si>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</si>
  <si>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</si>
  <si>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</si>
  <si>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</si>
  <si>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</si>
  <si>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</si>
  <si>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</si>
  <si>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</si>
  <si>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</si>
  <si>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</si>
  <si>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</si>
  <si>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</si>
  <si>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</si>
  <si>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</si>
  <si>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</si>
  <si>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</si>
  <si>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</si>
  <si>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</si>
  <si>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</si>
  <si>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</si>
  <si>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</si>
  <si>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</si>
  <si>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</si>
  <si>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</si>
  <si>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</si>
  <si>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</si>
  <si>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</si>
  <si>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</si>
  <si>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</si>
  <si>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</si>
  <si>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</si>
  <si>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</si>
  <si>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</si>
  <si>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</si>
  <si>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</si>
  <si>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</si>
  <si>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</si>
  <si>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</si>
  <si>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</si>
  <si>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</si>
  <si>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</si>
  <si>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</si>
  <si>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</si>
  <si>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</si>
  <si>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</si>
  <si>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</si>
  <si>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</si>
  <si>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</si>
  <si>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</si>
  <si>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</si>
  <si>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</si>
  <si>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</si>
  <si>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</si>
  <si>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</si>
  <si>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</si>
  <si>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</si>
  <si>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</si>
  <si>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</si>
  <si>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</si>
  <si>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</si>
  <si>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</si>
  <si>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</si>
  <si>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</si>
  <si>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</si>
  <si>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</si>
  <si>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</si>
  <si>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</si>
  <si>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</si>
  <si>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</si>
  <si>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</si>
  <si>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</si>
  <si>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</si>
  <si>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</si>
  <si>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</si>
  <si>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</si>
  <si>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</si>
  <si>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</si>
  <si>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</si>
  <si>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</si>
  <si>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</si>
  <si>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</si>
  <si>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</si>
  <si>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</si>
  <si>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</si>
  <si>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</si>
  <si>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</si>
  <si>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</si>
  <si>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</si>
  <si>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</si>
  <si>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</si>
  <si>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</si>
  <si>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</si>
  <si>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</si>
  <si>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</si>
  <si>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</si>
  <si>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</si>
  <si>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t>ب. أن تكون محمية ومستورة.</t>
  </si>
  <si>
    <t xml:space="preserve">جـ. أن تكون واسعة بحيث تساعد القوات على الانفتاح والانتشار </t>
  </si>
  <si>
    <t>هـ. أن يتم وضع الإشارات والعلامات فيها بعناية وحذر.</t>
  </si>
  <si>
    <t>مرحلة التنفيذ</t>
  </si>
  <si>
    <t>ب. إنشاء دفاع محلي.</t>
  </si>
  <si>
    <t>جـ. تخصيص المواقع في منطقة التجمع.</t>
  </si>
  <si>
    <t>ب. التأكد من حالة الأسلحة وتضبيط الموجهات واختبار الرماية وأي تحضيرات أخرى ضرورية.</t>
  </si>
  <si>
    <t>جـ. تنفيذ عمليات إعادة التزويد للإمداد والوقود والذخيرة.</t>
  </si>
  <si>
    <t>2.    تطبق إجراءات الحماية أثناء الحركة.</t>
  </si>
  <si>
    <t>3.    تنظيم الدخول لمنطقة التجمع وحسب تسلسل بدء الحركة ونظام المسير لكل فصيل ويأخذ كل فصيل قطاع محدد.</t>
  </si>
  <si>
    <t>4.    السيطرة على الطرق المؤدية من وإلى منطقة التجمع.</t>
  </si>
  <si>
    <t>6.    تنفيذ إجراءات الحماية في منطقة التجمع وكما يلي:</t>
  </si>
  <si>
    <t>7.    استكمال التحضيرات والتفتيشات وسد النقص وكما يلي:</t>
  </si>
  <si>
    <t>8.    المكوث في منطقة التجمع أقل وقت ممكن لتنفيذ الواجبات والعمل بشكل متوازي للجميع لتحقيق أقل وقت ممكن في منطقة التجمع.</t>
  </si>
  <si>
    <t>أ.   أن تكون خارج مدى مراقبة العدو الأرضية من مواقعه الأمامية.</t>
  </si>
  <si>
    <t>د.  لها مداخل ومخارج جيدة.</t>
  </si>
  <si>
    <t>أ.   وصول القوة إلى منطقة التجمع.</t>
  </si>
  <si>
    <t>أ.   إدامة الآليات ومعدات الاتصال والأسلحة.</t>
  </si>
  <si>
    <t>3.    التخطيط لتأمين منطقة التجمع التي يجب أن توفر ما يلي:</t>
  </si>
  <si>
    <t xml:space="preserve">د.  توضيع نقاط الالتقاء. </t>
  </si>
  <si>
    <t>هـ. توضيع مواقع الآليات (ليلاً / نهاراً).</t>
  </si>
  <si>
    <t>و.  توضيع مواقع القيادة .</t>
  </si>
  <si>
    <t>ز. توضيع مواقع الإسناد (الصيانة - الإسناد الطبي - الأرزاق).</t>
  </si>
  <si>
    <t>أ. تأسيس الاتصالات مع الوحدات المجاورة / التنسيق مع الأجنحة.</t>
  </si>
  <si>
    <t>ب.  تحضير بطاقات المدى وخطط النيران.</t>
  </si>
  <si>
    <t>جـ. اختيار مواقع بديلة وثانوية ونقاط تجمع للآليات.</t>
  </si>
  <si>
    <t>د. تنفيذ إجراءات المعركة.</t>
  </si>
  <si>
    <t>1.    فهم قائد فصيل الاستطلاع للموقف باستخدام معدات الاتصال المتوفرة، والخرائط، وتقارير الموقف، ومصادر المعلومات المتوفرة الأخرى.</t>
  </si>
  <si>
    <t>1.    حركة فصيل الاستطلاع وتأمين منطقة التجمع حسب الخطة الموضوعة.</t>
  </si>
  <si>
    <t>2.    الاستطلاع من الخارطة أو من الأرض إذا أمكن.</t>
  </si>
  <si>
    <t>4.    يقوم فصيل الاستطلاع بتحديد موقع الجماعات في منطقة التجمع.</t>
  </si>
  <si>
    <t>5.    توزيع القوة في منطقة التجمع (الدفاع الدائري) وكما يلي:</t>
  </si>
  <si>
    <t>نقيب مهندس/ سلطان سعيد النيادي</t>
  </si>
  <si>
    <t>تقييم تأمين سرية الحرب الإلكترونية التعبوية لمنطقة التجمع 
تمرين جاهزية مجموعة لواء الإمارات/1 (جندي الصحراء 2025/20)</t>
  </si>
  <si>
    <t>رائد ركن/ جمعه محمد مسعود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</si>
</sst>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391545</xdr:colOff>
      <xdr:row>43</xdr:row>
      <xdr:rowOff>512227</xdr:rowOff>
    </xdr:from>
    <xdr:to>
      <xdr:col>8</xdr:col>
      <xdr:colOff>100281</xdr:colOff>
      <xdr:row>44</xdr:row>
      <xdr:rowOff>614013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1D7DEA7-6863-616D-9753-57C5AEF57D90}"/>
                </a:ext>
              </a:extLst>
            </xdr14:cNvPr>
            <xdr14:cNvContentPartPr/>
          </xdr14:nvContentPartPr>
          <xdr14:nvPr macro=""/>
          <xdr14:xfrm>
            <a:off x="10399144625" y="17518680"/>
            <a:ext cx="1024920" cy="632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1D7DEA7-6863-616D-9753-57C5AEF57D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38505" y="17512560"/>
              <a:ext cx="1037160" cy="64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472185</xdr:colOff>
      <xdr:row>44</xdr:row>
      <xdr:rowOff>267693</xdr:rowOff>
    </xdr:from>
    <xdr:to>
      <xdr:col>6</xdr:col>
      <xdr:colOff>530505</xdr:colOff>
      <xdr:row>44</xdr:row>
      <xdr:rowOff>310893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9D7FCB7-DB36-241D-91E4-61B02D6A7DBB}"/>
                </a:ext>
              </a:extLst>
            </xdr14:cNvPr>
            <xdr14:cNvContentPartPr/>
          </xdr14:nvContentPartPr>
          <xdr14:nvPr macro=""/>
          <xdr14:xfrm>
            <a:off x="10400030585" y="17805240"/>
            <a:ext cx="58320" cy="43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9D7FCB7-DB36-241D-91E4-61B02D6A7DB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24465" y="17799120"/>
              <a:ext cx="70560" cy="55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35:26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1938 1643 8913,'0'0'0,"0"0"0,-2-33 6818,-7 8-5314,2-7-1064,-3 7-160,10 25-280,-2-12 192,-3-19-80,-4 8-64,7 1 120,2 22-168,-2-26-16,-1-1 64,-2-1 72,3-3-72,2 31-48,-4-32 185,4 1-185,0 0 24,0-6-24,0 37 0,0-37-16,4-4 96,6 1-32,-6 1 8,-4 39-56,8-43 40,-5-3 8,-3 4 48,0-2-104,0 44 8,5-42 24,0 2-16,2-3-8,-1 0 72,-6 43-72,8-45 32,-4-2-8,4 5 0,-3-4-64,-5 46 40,8-45-96,13 2 72,-16-2-40,18 1-8,-23 44 72,4-37 136,19 0-136,-15 3-80,0 6 120,-8 28-40,24-26-160,-24 3 232,2 15-48,7-22-80,-9 30 56,10-8 72,-5-4-136,3 1 112,-3 3-72,-5 8 24,7-9-152,2 0 48,14 1-113,-16 5 25,-7 3 192,21-3-56,-14 0-80,19-2-56,-19-1 112,-7 6 80,32-6-48,-7 1-48,-3 2 168,2-3-96,-24 6 24,26-3-80,-5 0 128,2 1-88,-2-1-16,-21 3 56,21 0-128,6 0-64,-1 0-16,-3 0 136,-23 0 72,21 5-104,-14 1-88,26 3 112,-30-1-112,-3-8 192,23 6-152,-13 2 48,13 1 16,-13 14 8,-10-23 80,28 0-80,-22 8-16,1 15-104,14-23 0,-21 0 200,0 8-104,7 16-32,5-24 64,-6 9 32,-6-9 40,5 8-152,-5 1 72,0-1 8,0 1-88,0-9 160,0 8-16,0 1 40,0-1-80,-3 18 104,3-26-48,-4 6-16,-7 19-56,-1-16 16,-14 22 80,26-31-24,-20 26-88,8-1 72,-30 5 32,11 1-48,31-31 32,-38 31 64,-6 1 24,-2-4 64,-2 3-112,48-31-40,-61 32 120,-3 2-64,-4 4-40,-3 1 72,71-39-88,-70 40-32,-1 3 0,-1-1 32,-14 4 8,86-46-8,-85 46 40,-6 0 32,-1-1-64,9-2-8,83-43 0,-79 43 48,-1-3-24,-2 0 112,1-3-64,81-37-72,-85 37 112,-1 3-40,3 6-16,3-1 0,80-45-56,-79 49 24,-5-6-24,5-9 24,8-3 32,71-31-56,-67 26 72,11-3 32,5-1-24,5-13-40,46-9-40,-39 28 48,4-19-40,3 15-16,4-19 8,28-5 0,-11 9-32,-22-1 16,27 1 16,-16 0 0,22-9 0,-11 8 56,-9 1-64,12-1 0,-4 1-8,12-9 16,-11 8-32,2 1 32,2-4 56,3 1-8,4-6-48,-5 0 0,2 0-80,3 6-192,0-6-72,0 0 344,8 0-440,-2 0 8,-1 0 112,20 0-48,-25 0 368,7 0-249,19-3-23,-1 0 0,-15-5 40,-10 8 232,34-12-184,-11-16 56,2 5 32,8-3 88,-33 26 8,34-32 0,4-2 64,3-3 56,-4-3 24,-37 40-144,39-40 168,7-2 0,-3-4-96,8 0 24,-51 46-96,51-46 16,-3 1-16,1-1 0,-1-2-16,-48 48 16,46-46-40,5 3 48,-2 6 64,-6 3-72,-43 34 0,35-29 0,-4 4-32,-6 13-48,-19-13 56,-6 25 24,33-6 24,-31 0 8,6 1-8,-8 2 0,0 3-24,0 0-64,0 0-56,0 0 40,-8 8-72,8-8 152,-20 9-96,8 17 8,-25-18-80,7 26 0,30-34 168,-44 29-176,-4 5 8,-8-3 8,0 3 112,56-34 48,-58 38 0,-1-7 112,1 4 88,-9-4 0,67-31-200,-58 31 216,0-3-56,0 1-40,12 2-56,46-31-64,-37 26 40,2 3 8,8-6-24,-1-15 24,28-8-48,-23 32 40,0-27 0,13 18 0,1-17-40,9-6 0,-9 8 40,2 1-8,0 14-72,4-18 24,3-5 16,0 6-104,0 0 0,0-1 56,7 1 40,-7-6 8,8 0 104,-1 0 96,18 0 72,-18-6-8,-7 6-264,25-11 209,-18-15-81,21 18-32,-17-26-32,-11 34-64,28-26 80,-5-5 16,-2-3-48,-12-4 64,-9 38-112,31-40 128,-11 0-8,-13 3 0,24 0-24,-31 37-96,6-37 56,15-1-8,-12 7-64,1 6 40,-10 25-24,25-23 0,-22 11-40,8-10 16,12 16-72,-23 6 96,9-6-112,17 1-16,-3 2 8,-2 0-48,-21 3 168,25 0-224,-2 0 0,3 9 31,4 13-15,-30-22 208,28 9-168,2 19 16,-1-5-8,1 0 16,-30-23 144,33 29-104,-1-3 8,-2-1 56,5-2 0,-35-23 40,37 9-24,-2 16 64,2-19-32,2 2 96,-39-8-104,35 6 128,-3 0 24,1-6 80,-1 0-32,-32 0-200,29-3 232,-1-6 1,-2 1 7,-6-4-16,-20 12-224,22-22 216,-13 10-40,21-16 8,-23 17 0,-7 11-184,23-36 184,-16 11 0,0-4-40,0 1-16,-7 28-128,7-28 160,-2-7 24,-5 4-16,0 0 24,0 31-192,0-34 176,0 4-32,-3 2 32,1 2-24,2 26-152,-7-11 184,0-15 56,0 21-40,-2-4-56,9 9-144,-5-3 72,0 3-144,3 0-72,0 0-80,2 0 224,0 0-224,-2 9 24,2-1 96,0 21-16,0-29 120,0 8-64,0 29 40,0-8-24,0 3 64,0-32-16,4 34-16,3-3-8,-2-2 0,0 2 24,-5-31 0,6 23-8,-1 0 8,2-15 24,-7 1-16,0-9-8,5 22 24,-5-22 56,4 0 72,-4 0 80,0 0-232,0 0 392,0 0 56,4 0 57,-4-8-49,0 8-456,0-9 320,0-19-184,8 5-160,-8-2-128,0 25 152,0-37-208,0-3-64,0-6 64,0-6 64,0 52 144,0-54 0,0 3 272,0 0 176,0 5 240,0 46-688,0-41 768,0 10-16,0 6-168,0 16-160,0 9-424,4-11 216,4 2-176,-4 4-64,0 2-136,-4 3 160,26 0-160,-3 0 64,5 22 32,4-13 24,-32-9 40,42 40-80,0-9 64,6 7-32,6 2 48,-54-40 0,54 42 48,0 7-56,4-1-8,0 0-72,-58-48 88,52 47-112,4-4-120,-5-4-224,5-2-440,-56-37 896,48 37-1496,5-5-761,-4-3-1352,-3-6-4392,-46-23 8001,0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35:26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89 120 14595,'0'0'0,"-34"-37"10866,10 6-9938,0 0-776,24 31-152,-7-9-96,7 1-464,0 5-608,0 3-321,0 0 1489,31 0-2040,-2 0-721,19 0-3216,5 0-2105,-53 0 8082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5"/>
  <sheetViews>
    <sheetView rightToLeft="1" tabSelected="1" view="pageBreakPreview" topLeftCell="A36" zoomScale="115" zoomScaleNormal="100" zoomScaleSheetLayoutView="115" workbookViewId="0">
      <selection activeCell="E41" sqref="E4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1" t="s">
        <v>210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3">
      <c r="B2" s="10" t="s">
        <v>8</v>
      </c>
      <c r="C2" s="47" t="s">
        <v>14</v>
      </c>
      <c r="D2" s="47"/>
      <c r="E2" s="10" t="s">
        <v>7</v>
      </c>
      <c r="F2" s="42">
        <v>45939</v>
      </c>
      <c r="G2" s="42"/>
      <c r="H2" s="42"/>
      <c r="I2" s="42"/>
      <c r="J2" s="42"/>
    </row>
    <row r="3" spans="1:10" ht="30" customHeight="1" x14ac:dyDescent="0.3">
      <c r="B3" s="10" t="s">
        <v>9</v>
      </c>
      <c r="C3" s="47"/>
      <c r="D3" s="47"/>
      <c r="E3" s="10" t="s">
        <v>6</v>
      </c>
      <c r="F3" s="47" t="s">
        <v>59</v>
      </c>
      <c r="G3" s="47"/>
      <c r="H3" s="47"/>
      <c r="I3" s="47"/>
      <c r="J3" s="47"/>
    </row>
    <row r="4" spans="1:10" ht="30" customHeight="1" thickBot="1" x14ac:dyDescent="0.35">
      <c r="B4" s="6"/>
      <c r="C4" s="78" t="s">
        <v>209</v>
      </c>
      <c r="D4" s="78"/>
      <c r="E4" s="6"/>
      <c r="F4" s="78" t="s">
        <v>211</v>
      </c>
      <c r="G4" s="78"/>
      <c r="H4" s="78"/>
      <c r="I4" s="78"/>
      <c r="J4" s="78"/>
    </row>
    <row r="5" spans="1:10" ht="24.9" customHeight="1" x14ac:dyDescent="0.3">
      <c r="A5" s="8"/>
      <c r="B5" s="43" t="s">
        <v>0</v>
      </c>
      <c r="C5" s="44"/>
      <c r="D5" s="44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8"/>
      <c r="B6" s="45"/>
      <c r="C6" s="46"/>
      <c r="D6" s="46"/>
      <c r="E6" s="9" t="s">
        <v>3</v>
      </c>
      <c r="F6" s="9" t="s">
        <v>4</v>
      </c>
      <c r="G6" s="9" t="s">
        <v>23</v>
      </c>
      <c r="H6" s="9" t="s">
        <v>24</v>
      </c>
      <c r="I6" s="50"/>
      <c r="J6" s="51"/>
    </row>
    <row r="7" spans="1:10" ht="24.9" customHeight="1" thickBot="1" x14ac:dyDescent="0.35">
      <c r="A7" s="8"/>
      <c r="B7" s="35" t="s">
        <v>21</v>
      </c>
      <c r="C7" s="36"/>
      <c r="D7" s="36"/>
      <c r="E7" s="26" t="s">
        <v>18</v>
      </c>
      <c r="F7" s="26" t="s">
        <v>19</v>
      </c>
      <c r="G7" s="26" t="s">
        <v>22</v>
      </c>
      <c r="H7" s="26" t="s">
        <v>20</v>
      </c>
      <c r="I7" s="37" t="s">
        <v>25</v>
      </c>
      <c r="J7" s="38"/>
    </row>
    <row r="8" spans="1:10" ht="30" customHeight="1" x14ac:dyDescent="0.3">
      <c r="A8" s="8"/>
      <c r="B8" s="75" t="s">
        <v>176</v>
      </c>
      <c r="C8" s="76"/>
      <c r="D8" s="76"/>
      <c r="E8" s="76"/>
      <c r="F8" s="76"/>
      <c r="G8" s="76"/>
      <c r="H8" s="76"/>
      <c r="I8" s="76"/>
      <c r="J8" s="77"/>
    </row>
    <row r="9" spans="1:10" ht="39.9" customHeight="1" x14ac:dyDescent="0.3">
      <c r="A9" s="8"/>
      <c r="B9" s="39" t="s">
        <v>204</v>
      </c>
      <c r="C9" s="40"/>
      <c r="D9" s="40"/>
      <c r="E9" s="7">
        <v>0</v>
      </c>
      <c r="F9" s="24" t="s">
        <v>17</v>
      </c>
      <c r="G9" s="28" t="str">
        <f>IFERROR(F9/E9,"")</f>
        <v/>
      </c>
      <c r="H9" s="29" t="str">
        <f>_xlfn.IFS(F9="أدخل العلامة","",F9="لا ينطبق","تم الإلغاء",G9&gt;=90%,"ممتاز",G9&gt;=80%,"جيد جداً",G9&gt;=70%,"جيد",G9&gt;=60%,"مقبول",G9&lt;60%,"راسب")</f>
        <v>تم الإلغاء</v>
      </c>
      <c r="I9" s="33"/>
      <c r="J9" s="34"/>
    </row>
    <row r="10" spans="1:10" ht="30" customHeight="1" x14ac:dyDescent="0.3">
      <c r="A10" s="8"/>
      <c r="B10" s="39" t="s">
        <v>206</v>
      </c>
      <c r="C10" s="40"/>
      <c r="D10" s="40"/>
      <c r="E10" s="7">
        <v>5</v>
      </c>
      <c r="F10" s="24">
        <v>3.5</v>
      </c>
      <c r="G10" s="28">
        <f t="shared" ref="G10:G40" si="0">IFERROR(F10/E10,"")</f>
        <v>0.7</v>
      </c>
      <c r="H10" s="29" t="str">
        <f t="shared" ref="H10:H40" si="1">_xlfn.IFS(F10="أدخل العلامة","",F10="لا ينطبق","تم الإلغاء",G10&gt;=90%,"ممتاز",G10&gt;=80%,"جيد جداً",G10&gt;=70%,"جيد",G10&gt;=60%,"مقبول",G10&lt;60%,"راسب")</f>
        <v>جيد</v>
      </c>
      <c r="I10" s="33"/>
      <c r="J10" s="34"/>
    </row>
    <row r="11" spans="1:10" ht="30" customHeight="1" x14ac:dyDescent="0.3">
      <c r="A11" s="8"/>
      <c r="B11" s="39" t="s">
        <v>195</v>
      </c>
      <c r="C11" s="40"/>
      <c r="D11" s="40"/>
      <c r="E11" s="7"/>
      <c r="F11" s="24"/>
      <c r="G11" s="28"/>
      <c r="H11" s="29"/>
      <c r="I11" s="33"/>
      <c r="J11" s="34"/>
    </row>
    <row r="12" spans="1:10" ht="30" customHeight="1" x14ac:dyDescent="0.3">
      <c r="A12" s="8"/>
      <c r="B12" s="67" t="s">
        <v>191</v>
      </c>
      <c r="C12" s="68"/>
      <c r="D12" s="68"/>
      <c r="E12" s="7">
        <v>0</v>
      </c>
      <c r="F12" s="24" t="s">
        <v>17</v>
      </c>
      <c r="G12" s="28" t="str">
        <f t="shared" si="0"/>
        <v/>
      </c>
      <c r="H12" s="29" t="str">
        <f t="shared" si="1"/>
        <v>تم الإلغاء</v>
      </c>
      <c r="I12" s="33"/>
      <c r="J12" s="34"/>
    </row>
    <row r="13" spans="1:10" ht="30" customHeight="1" x14ac:dyDescent="0.3">
      <c r="A13" s="8"/>
      <c r="B13" s="67" t="s">
        <v>177</v>
      </c>
      <c r="C13" s="68"/>
      <c r="D13" s="68"/>
      <c r="E13" s="7">
        <v>0</v>
      </c>
      <c r="F13" s="24" t="s">
        <v>17</v>
      </c>
      <c r="G13" s="28" t="str">
        <f t="shared" si="0"/>
        <v/>
      </c>
      <c r="H13" s="29" t="str">
        <f t="shared" si="1"/>
        <v>تم الإلغاء</v>
      </c>
      <c r="I13" s="33"/>
      <c r="J13" s="34"/>
    </row>
    <row r="14" spans="1:10" ht="30" customHeight="1" x14ac:dyDescent="0.3">
      <c r="A14" s="8"/>
      <c r="B14" s="67" t="s">
        <v>178</v>
      </c>
      <c r="C14" s="68"/>
      <c r="D14" s="68"/>
      <c r="E14" s="7">
        <v>0</v>
      </c>
      <c r="F14" s="24" t="s">
        <v>17</v>
      </c>
      <c r="G14" s="28" t="str">
        <f t="shared" si="0"/>
        <v/>
      </c>
      <c r="H14" s="29" t="str">
        <f t="shared" si="1"/>
        <v>تم الإلغاء</v>
      </c>
      <c r="I14" s="33"/>
      <c r="J14" s="34"/>
    </row>
    <row r="15" spans="1:10" ht="30" customHeight="1" x14ac:dyDescent="0.3">
      <c r="A15" s="8"/>
      <c r="B15" s="67" t="s">
        <v>192</v>
      </c>
      <c r="C15" s="68"/>
      <c r="D15" s="68"/>
      <c r="E15" s="7">
        <v>0</v>
      </c>
      <c r="F15" s="24" t="s">
        <v>17</v>
      </c>
      <c r="G15" s="28" t="str">
        <f t="shared" si="0"/>
        <v/>
      </c>
      <c r="H15" s="29" t="str">
        <f t="shared" si="1"/>
        <v>تم الإلغاء</v>
      </c>
      <c r="I15" s="33"/>
      <c r="J15" s="34"/>
    </row>
    <row r="16" spans="1:10" ht="30" customHeight="1" x14ac:dyDescent="0.3">
      <c r="A16" s="8"/>
      <c r="B16" s="67" t="s">
        <v>179</v>
      </c>
      <c r="C16" s="68"/>
      <c r="D16" s="68"/>
      <c r="E16" s="7">
        <v>0</v>
      </c>
      <c r="F16" s="24" t="s">
        <v>17</v>
      </c>
      <c r="G16" s="28" t="str">
        <f t="shared" si="0"/>
        <v/>
      </c>
      <c r="H16" s="29" t="str">
        <f t="shared" si="1"/>
        <v>تم الإلغاء</v>
      </c>
      <c r="I16" s="33"/>
      <c r="J16" s="34"/>
    </row>
    <row r="17" spans="1:10" ht="30" customHeight="1" thickBot="1" x14ac:dyDescent="0.35">
      <c r="A17" s="8"/>
      <c r="B17" s="39" t="s">
        <v>207</v>
      </c>
      <c r="C17" s="40"/>
      <c r="D17" s="40"/>
      <c r="E17" s="7">
        <v>0</v>
      </c>
      <c r="F17" s="24" t="s">
        <v>17</v>
      </c>
      <c r="G17" s="28" t="str">
        <f t="shared" si="0"/>
        <v/>
      </c>
      <c r="H17" s="29" t="str">
        <f t="shared" si="1"/>
        <v>تم الإلغاء</v>
      </c>
      <c r="I17" s="33"/>
      <c r="J17" s="34"/>
    </row>
    <row r="18" spans="1:10" ht="30" customHeight="1" x14ac:dyDescent="0.3">
      <c r="A18" s="8"/>
      <c r="B18" s="75" t="s">
        <v>180</v>
      </c>
      <c r="C18" s="76"/>
      <c r="D18" s="76"/>
      <c r="E18" s="76"/>
      <c r="F18" s="76"/>
      <c r="G18" s="76"/>
      <c r="H18" s="76"/>
      <c r="I18" s="76"/>
      <c r="J18" s="77"/>
    </row>
    <row r="19" spans="1:10" ht="39.9" customHeight="1" x14ac:dyDescent="0.3">
      <c r="A19" s="8"/>
      <c r="B19" s="39" t="s">
        <v>205</v>
      </c>
      <c r="C19" s="40"/>
      <c r="D19" s="40"/>
      <c r="E19" s="7">
        <v>0</v>
      </c>
      <c r="F19" s="24" t="s">
        <v>17</v>
      </c>
      <c r="G19" s="28" t="str">
        <f t="shared" si="0"/>
        <v/>
      </c>
      <c r="H19" s="29" t="str">
        <f t="shared" si="1"/>
        <v>تم الإلغاء</v>
      </c>
      <c r="I19" s="33"/>
      <c r="J19" s="34"/>
    </row>
    <row r="20" spans="1:10" ht="30" customHeight="1" x14ac:dyDescent="0.3">
      <c r="A20" s="8"/>
      <c r="B20" s="39" t="s">
        <v>185</v>
      </c>
      <c r="C20" s="40"/>
      <c r="D20" s="40"/>
      <c r="E20" s="7">
        <v>0</v>
      </c>
      <c r="F20" s="24" t="s">
        <v>17</v>
      </c>
      <c r="G20" s="28" t="str">
        <f t="shared" si="0"/>
        <v/>
      </c>
      <c r="H20" s="29" t="str">
        <f t="shared" si="1"/>
        <v>تم الإلغاء</v>
      </c>
      <c r="I20" s="33"/>
      <c r="J20" s="34"/>
    </row>
    <row r="21" spans="1:10" ht="39.9" customHeight="1" x14ac:dyDescent="0.3">
      <c r="A21" s="8"/>
      <c r="B21" s="39" t="s">
        <v>186</v>
      </c>
      <c r="C21" s="40"/>
      <c r="D21" s="40"/>
      <c r="E21" s="7">
        <v>0</v>
      </c>
      <c r="F21" s="24" t="s">
        <v>17</v>
      </c>
      <c r="G21" s="28" t="str">
        <f t="shared" si="0"/>
        <v/>
      </c>
      <c r="H21" s="29" t="str">
        <f t="shared" si="1"/>
        <v>تم الإلغاء</v>
      </c>
      <c r="I21" s="33"/>
      <c r="J21" s="34"/>
    </row>
    <row r="22" spans="1:10" ht="30" customHeight="1" x14ac:dyDescent="0.3">
      <c r="A22" s="8"/>
      <c r="B22" s="39" t="s">
        <v>187</v>
      </c>
      <c r="C22" s="40"/>
      <c r="D22" s="40"/>
      <c r="E22" s="7">
        <v>0</v>
      </c>
      <c r="F22" s="24" t="s">
        <v>17</v>
      </c>
      <c r="G22" s="28" t="str">
        <f t="shared" si="0"/>
        <v/>
      </c>
      <c r="H22" s="29" t="str">
        <f t="shared" si="1"/>
        <v>تم الإلغاء</v>
      </c>
      <c r="I22" s="33"/>
      <c r="J22" s="34"/>
    </row>
    <row r="23" spans="1:10" ht="30" customHeight="1" x14ac:dyDescent="0.3">
      <c r="A23" s="8"/>
      <c r="B23" s="39" t="s">
        <v>208</v>
      </c>
      <c r="C23" s="40"/>
      <c r="D23" s="40"/>
      <c r="E23" s="7"/>
      <c r="F23" s="24"/>
      <c r="G23" s="28"/>
      <c r="H23" s="29"/>
      <c r="I23" s="33"/>
      <c r="J23" s="34"/>
    </row>
    <row r="24" spans="1:10" ht="30" customHeight="1" x14ac:dyDescent="0.3">
      <c r="A24" s="8"/>
      <c r="B24" s="67" t="s">
        <v>193</v>
      </c>
      <c r="C24" s="68"/>
      <c r="D24" s="68"/>
      <c r="E24" s="7">
        <v>0</v>
      </c>
      <c r="F24" s="24" t="s">
        <v>17</v>
      </c>
      <c r="G24" s="28" t="str">
        <f t="shared" si="0"/>
        <v/>
      </c>
      <c r="H24" s="29" t="str">
        <f t="shared" si="1"/>
        <v>تم الإلغاء</v>
      </c>
      <c r="I24" s="33"/>
      <c r="J24" s="34"/>
    </row>
    <row r="25" spans="1:10" ht="30" customHeight="1" x14ac:dyDescent="0.3">
      <c r="A25" s="8"/>
      <c r="B25" s="67" t="s">
        <v>181</v>
      </c>
      <c r="C25" s="68"/>
      <c r="D25" s="68"/>
      <c r="E25" s="7">
        <v>0</v>
      </c>
      <c r="F25" s="24" t="s">
        <v>17</v>
      </c>
      <c r="G25" s="28" t="str">
        <f t="shared" si="0"/>
        <v/>
      </c>
      <c r="H25" s="29" t="str">
        <f t="shared" si="1"/>
        <v>تم الإلغاء</v>
      </c>
      <c r="I25" s="33"/>
      <c r="J25" s="34"/>
    </row>
    <row r="26" spans="1:10" ht="30" customHeight="1" x14ac:dyDescent="0.3">
      <c r="A26" s="8"/>
      <c r="B26" s="67" t="s">
        <v>182</v>
      </c>
      <c r="C26" s="68"/>
      <c r="D26" s="68"/>
      <c r="E26" s="7">
        <v>0</v>
      </c>
      <c r="F26" s="24" t="s">
        <v>17</v>
      </c>
      <c r="G26" s="28" t="str">
        <f t="shared" si="0"/>
        <v/>
      </c>
      <c r="H26" s="29" t="str">
        <f t="shared" si="1"/>
        <v>تم الإلغاء</v>
      </c>
      <c r="I26" s="33"/>
      <c r="J26" s="34"/>
    </row>
    <row r="27" spans="1:10" ht="30" customHeight="1" x14ac:dyDescent="0.3">
      <c r="A27" s="8"/>
      <c r="B27" s="67" t="s">
        <v>196</v>
      </c>
      <c r="C27" s="68"/>
      <c r="D27" s="68"/>
      <c r="E27" s="7">
        <v>0</v>
      </c>
      <c r="F27" s="24" t="s">
        <v>17</v>
      </c>
      <c r="G27" s="28" t="str">
        <f t="shared" si="0"/>
        <v/>
      </c>
      <c r="H27" s="29" t="str">
        <f t="shared" si="1"/>
        <v>تم الإلغاء</v>
      </c>
      <c r="I27" s="33"/>
      <c r="J27" s="34"/>
    </row>
    <row r="28" spans="1:10" ht="30" customHeight="1" x14ac:dyDescent="0.3">
      <c r="A28" s="8"/>
      <c r="B28" s="67" t="s">
        <v>197</v>
      </c>
      <c r="C28" s="68"/>
      <c r="D28" s="68"/>
      <c r="E28" s="7">
        <v>0</v>
      </c>
      <c r="F28" s="24" t="s">
        <v>17</v>
      </c>
      <c r="G28" s="28" t="str">
        <f t="shared" si="0"/>
        <v/>
      </c>
      <c r="H28" s="29" t="str">
        <f t="shared" si="1"/>
        <v>تم الإلغاء</v>
      </c>
      <c r="I28" s="33"/>
      <c r="J28" s="34"/>
    </row>
    <row r="29" spans="1:10" ht="30" customHeight="1" x14ac:dyDescent="0.3">
      <c r="A29" s="8"/>
      <c r="B29" s="67" t="s">
        <v>198</v>
      </c>
      <c r="C29" s="68"/>
      <c r="D29" s="68"/>
      <c r="E29" s="7">
        <v>0</v>
      </c>
      <c r="F29" s="24" t="s">
        <v>17</v>
      </c>
      <c r="G29" s="28" t="str">
        <f t="shared" si="0"/>
        <v/>
      </c>
      <c r="H29" s="29" t="str">
        <f t="shared" si="1"/>
        <v>تم الإلغاء</v>
      </c>
      <c r="I29" s="33"/>
      <c r="J29" s="34"/>
    </row>
    <row r="30" spans="1:10" ht="30" customHeight="1" x14ac:dyDescent="0.3">
      <c r="A30" s="8"/>
      <c r="B30" s="67" t="s">
        <v>199</v>
      </c>
      <c r="C30" s="68"/>
      <c r="D30" s="68"/>
      <c r="E30" s="7">
        <v>0</v>
      </c>
      <c r="F30" s="24" t="s">
        <v>17</v>
      </c>
      <c r="G30" s="28" t="str">
        <f t="shared" si="0"/>
        <v/>
      </c>
      <c r="H30" s="29" t="str">
        <f t="shared" si="1"/>
        <v>تم الإلغاء</v>
      </c>
      <c r="I30" s="33"/>
      <c r="J30" s="34"/>
    </row>
    <row r="31" spans="1:10" ht="30" customHeight="1" x14ac:dyDescent="0.3">
      <c r="A31" s="8"/>
      <c r="B31" s="39" t="s">
        <v>188</v>
      </c>
      <c r="C31" s="40"/>
      <c r="D31" s="40"/>
      <c r="E31" s="7"/>
      <c r="F31" s="24"/>
      <c r="G31" s="28"/>
      <c r="H31" s="29"/>
      <c r="I31" s="33"/>
      <c r="J31" s="34"/>
    </row>
    <row r="32" spans="1:10" ht="30" customHeight="1" x14ac:dyDescent="0.3">
      <c r="A32" s="8"/>
      <c r="B32" s="67" t="s">
        <v>200</v>
      </c>
      <c r="C32" s="68"/>
      <c r="D32" s="68"/>
      <c r="E32" s="7">
        <v>0</v>
      </c>
      <c r="F32" s="24" t="s">
        <v>17</v>
      </c>
      <c r="G32" s="28" t="str">
        <f t="shared" si="0"/>
        <v/>
      </c>
      <c r="H32" s="29" t="str">
        <f t="shared" si="1"/>
        <v>تم الإلغاء</v>
      </c>
      <c r="I32" s="33"/>
      <c r="J32" s="34"/>
    </row>
    <row r="33" spans="1:10" ht="30" customHeight="1" x14ac:dyDescent="0.3">
      <c r="A33" s="8"/>
      <c r="B33" s="67" t="s">
        <v>201</v>
      </c>
      <c r="C33" s="68"/>
      <c r="D33" s="68"/>
      <c r="E33" s="7">
        <v>0</v>
      </c>
      <c r="F33" s="24" t="s">
        <v>17</v>
      </c>
      <c r="G33" s="28" t="str">
        <f t="shared" si="0"/>
        <v/>
      </c>
      <c r="H33" s="29" t="str">
        <f t="shared" si="1"/>
        <v>تم الإلغاء</v>
      </c>
      <c r="I33" s="33"/>
      <c r="J33" s="34"/>
    </row>
    <row r="34" spans="1:10" ht="30" customHeight="1" x14ac:dyDescent="0.3">
      <c r="A34" s="8"/>
      <c r="B34" s="67" t="s">
        <v>202</v>
      </c>
      <c r="C34" s="68"/>
      <c r="D34" s="68"/>
      <c r="E34" s="7">
        <v>0</v>
      </c>
      <c r="F34" s="24" t="s">
        <v>17</v>
      </c>
      <c r="G34" s="28" t="str">
        <f t="shared" si="0"/>
        <v/>
      </c>
      <c r="H34" s="29" t="str">
        <f t="shared" si="1"/>
        <v>تم الإلغاء</v>
      </c>
      <c r="I34" s="33"/>
      <c r="J34" s="34"/>
    </row>
    <row r="35" spans="1:10" ht="30" customHeight="1" x14ac:dyDescent="0.3">
      <c r="A35" s="8"/>
      <c r="B35" s="67" t="s">
        <v>203</v>
      </c>
      <c r="C35" s="68"/>
      <c r="D35" s="68"/>
      <c r="E35" s="7">
        <v>0</v>
      </c>
      <c r="F35" s="24" t="s">
        <v>17</v>
      </c>
      <c r="G35" s="28" t="str">
        <f t="shared" si="0"/>
        <v/>
      </c>
      <c r="H35" s="29" t="str">
        <f t="shared" si="1"/>
        <v>تم الإلغاء</v>
      </c>
      <c r="I35" s="33"/>
      <c r="J35" s="34"/>
    </row>
    <row r="36" spans="1:10" ht="30" customHeight="1" x14ac:dyDescent="0.3">
      <c r="A36" s="8"/>
      <c r="B36" s="39" t="s">
        <v>189</v>
      </c>
      <c r="C36" s="40"/>
      <c r="D36" s="40"/>
      <c r="E36" s="7"/>
      <c r="F36" s="24"/>
      <c r="G36" s="28"/>
      <c r="H36" s="29"/>
      <c r="I36" s="33"/>
      <c r="J36" s="34"/>
    </row>
    <row r="37" spans="1:10" ht="30" customHeight="1" x14ac:dyDescent="0.3">
      <c r="A37" s="8"/>
      <c r="B37" s="67" t="s">
        <v>194</v>
      </c>
      <c r="C37" s="68"/>
      <c r="D37" s="68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33"/>
      <c r="J37" s="34"/>
    </row>
    <row r="38" spans="1:10" ht="39.9" customHeight="1" x14ac:dyDescent="0.3">
      <c r="A38" s="8"/>
      <c r="B38" s="67" t="s">
        <v>183</v>
      </c>
      <c r="C38" s="68"/>
      <c r="D38" s="68"/>
      <c r="E38" s="7">
        <v>0</v>
      </c>
      <c r="F38" s="24" t="s">
        <v>17</v>
      </c>
      <c r="G38" s="28" t="str">
        <f t="shared" si="0"/>
        <v/>
      </c>
      <c r="H38" s="29" t="str">
        <f t="shared" si="1"/>
        <v>تم الإلغاء</v>
      </c>
      <c r="I38" s="33"/>
      <c r="J38" s="34"/>
    </row>
    <row r="39" spans="1:10" ht="30" customHeight="1" x14ac:dyDescent="0.3">
      <c r="A39" s="8"/>
      <c r="B39" s="39" t="s">
        <v>184</v>
      </c>
      <c r="C39" s="40"/>
      <c r="D39" s="40"/>
      <c r="E39" s="7">
        <v>0</v>
      </c>
      <c r="F39" s="24" t="s">
        <v>17</v>
      </c>
      <c r="G39" s="28" t="str">
        <f t="shared" si="0"/>
        <v/>
      </c>
      <c r="H39" s="29" t="str">
        <f t="shared" si="1"/>
        <v>تم الإلغاء</v>
      </c>
      <c r="I39" s="33"/>
      <c r="J39" s="34"/>
    </row>
    <row r="40" spans="1:10" ht="39.9" customHeight="1" thickBot="1" x14ac:dyDescent="0.35">
      <c r="A40" s="8"/>
      <c r="B40" s="73" t="s">
        <v>190</v>
      </c>
      <c r="C40" s="74"/>
      <c r="D40" s="74"/>
      <c r="E40" s="30">
        <v>0</v>
      </c>
      <c r="F40" s="25" t="s">
        <v>17</v>
      </c>
      <c r="G40" s="31" t="str">
        <f t="shared" si="0"/>
        <v/>
      </c>
      <c r="H40" s="32" t="str">
        <f t="shared" si="1"/>
        <v>تم الإلغاء</v>
      </c>
      <c r="I40" s="60"/>
      <c r="J40" s="61"/>
    </row>
    <row r="41" spans="1:10" ht="30" customHeight="1" thickBot="1" x14ac:dyDescent="0.35">
      <c r="A41" s="4"/>
      <c r="B41" s="71" t="s">
        <v>5</v>
      </c>
      <c r="C41" s="72"/>
      <c r="D41" s="72"/>
      <c r="E41" s="27">
        <f>SUM(E8:E40)</f>
        <v>10</v>
      </c>
      <c r="F41" s="27">
        <f>SUM(F8:F40)</f>
        <v>7</v>
      </c>
      <c r="G41" s="64"/>
      <c r="H41" s="65"/>
      <c r="I41" s="65"/>
      <c r="J41" s="66"/>
    </row>
    <row r="42" spans="1:10" ht="30" customHeight="1" thickBot="1" x14ac:dyDescent="0.35">
      <c r="A42" s="4"/>
      <c r="B42" s="69" t="s">
        <v>54</v>
      </c>
      <c r="C42" s="70"/>
      <c r="D42" s="70"/>
      <c r="E42" s="58">
        <f>F41/E41/100*100</f>
        <v>0.7</v>
      </c>
      <c r="F42" s="58"/>
      <c r="G42" s="58"/>
      <c r="H42" s="58"/>
      <c r="I42" s="58"/>
      <c r="J42" s="59"/>
    </row>
    <row r="43" spans="1:10" ht="30" customHeight="1" thickBot="1" x14ac:dyDescent="0.35">
      <c r="A43" s="4"/>
      <c r="B43" s="69" t="s">
        <v>55</v>
      </c>
      <c r="C43" s="70"/>
      <c r="D43" s="70"/>
      <c r="E43" s="56" t="str">
        <f>_xlfn.IFS(E42&gt;=90%,"ممتاز",E42&gt;=80%,"جيد جداً",E42&gt;=70%,"جيد",E42&gt;=60%,"مقبول",E42&lt;60%,"راسب")</f>
        <v>جيد</v>
      </c>
      <c r="F43" s="56"/>
      <c r="G43" s="56"/>
      <c r="H43" s="56"/>
      <c r="I43" s="56"/>
      <c r="J43" s="57"/>
    </row>
    <row r="44" spans="1:10" ht="42" customHeight="1" x14ac:dyDescent="0.3">
      <c r="B44" s="52" t="s">
        <v>175</v>
      </c>
      <c r="C44" s="52"/>
      <c r="D44" s="52"/>
      <c r="E44" s="62" t="s">
        <v>52</v>
      </c>
      <c r="F44" s="62"/>
      <c r="G44" s="54" t="s">
        <v>124</v>
      </c>
      <c r="H44" s="54"/>
      <c r="I44" s="54"/>
      <c r="J44" s="54"/>
    </row>
    <row r="45" spans="1:10" ht="51" customHeight="1" x14ac:dyDescent="0.3">
      <c r="A45" s="5"/>
      <c r="B45" s="53"/>
      <c r="C45" s="53"/>
      <c r="D45" s="53"/>
      <c r="E45" s="63" t="s">
        <v>53</v>
      </c>
      <c r="F45" s="63"/>
      <c r="G45" s="55"/>
      <c r="H45" s="55"/>
      <c r="I45" s="55"/>
      <c r="J45" s="55"/>
    </row>
  </sheetData>
  <sheetProtection formatCells="0" formatColumns="0" formatRows="0" insertColumns="0" insertRows="0" insertHyperlinks="0" deleteColumns="0" deleteRows="0" selectLockedCells="1" sort="0" autoFilter="0" pivotTables="0"/>
  <mergeCells count="87">
    <mergeCell ref="B37:D37"/>
    <mergeCell ref="B38:D38"/>
    <mergeCell ref="B39:D39"/>
    <mergeCell ref="B40:D40"/>
    <mergeCell ref="B8:J8"/>
    <mergeCell ref="B18:J18"/>
    <mergeCell ref="B32:D32"/>
    <mergeCell ref="B33:D33"/>
    <mergeCell ref="B34:D34"/>
    <mergeCell ref="B35:D35"/>
    <mergeCell ref="B36:D36"/>
    <mergeCell ref="B23:D23"/>
    <mergeCell ref="B30:D30"/>
    <mergeCell ref="B31:D31"/>
    <mergeCell ref="B17:D17"/>
    <mergeCell ref="B19:D19"/>
    <mergeCell ref="B26:D26"/>
    <mergeCell ref="B27:D27"/>
    <mergeCell ref="B28:D28"/>
    <mergeCell ref="B10:D10"/>
    <mergeCell ref="B11:D11"/>
    <mergeCell ref="B12:D12"/>
    <mergeCell ref="B13:D13"/>
    <mergeCell ref="B16:D16"/>
    <mergeCell ref="B20:D20"/>
    <mergeCell ref="B21:D21"/>
    <mergeCell ref="B22:D22"/>
    <mergeCell ref="B24:D24"/>
    <mergeCell ref="B25:D25"/>
    <mergeCell ref="B29:D29"/>
    <mergeCell ref="B43:D43"/>
    <mergeCell ref="I11:J11"/>
    <mergeCell ref="I12:J12"/>
    <mergeCell ref="I13:J13"/>
    <mergeCell ref="I14:J14"/>
    <mergeCell ref="I15:J15"/>
    <mergeCell ref="I16:J16"/>
    <mergeCell ref="I17:J17"/>
    <mergeCell ref="I25:J25"/>
    <mergeCell ref="I26:J26"/>
    <mergeCell ref="I31:J31"/>
    <mergeCell ref="B41:D41"/>
    <mergeCell ref="B42:D42"/>
    <mergeCell ref="B14:D14"/>
    <mergeCell ref="B15:D15"/>
    <mergeCell ref="B44:D45"/>
    <mergeCell ref="G44:J44"/>
    <mergeCell ref="G45:J45"/>
    <mergeCell ref="E43:J43"/>
    <mergeCell ref="I33:J33"/>
    <mergeCell ref="I34:J34"/>
    <mergeCell ref="I35:J35"/>
    <mergeCell ref="I36:J36"/>
    <mergeCell ref="I37:J37"/>
    <mergeCell ref="E42:J42"/>
    <mergeCell ref="I38:J38"/>
    <mergeCell ref="I39:J39"/>
    <mergeCell ref="I40:J40"/>
    <mergeCell ref="E44:F44"/>
    <mergeCell ref="E45:F45"/>
    <mergeCell ref="G41:J41"/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C4:D4"/>
    <mergeCell ref="I9:J9"/>
    <mergeCell ref="B7:D7"/>
    <mergeCell ref="I32:J32"/>
    <mergeCell ref="I27:J27"/>
    <mergeCell ref="I28:J28"/>
    <mergeCell ref="I7:J7"/>
    <mergeCell ref="I10:J10"/>
    <mergeCell ref="I19:J19"/>
    <mergeCell ref="I20:J20"/>
    <mergeCell ref="I21:J21"/>
    <mergeCell ref="I22:J22"/>
    <mergeCell ref="I23:J23"/>
    <mergeCell ref="I24:J24"/>
    <mergeCell ref="I29:J29"/>
    <mergeCell ref="I30:J30"/>
    <mergeCell ref="B9:D9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3">
    <cfRule type="expression" dxfId="20" priority="57">
      <formula>$E43="راسب"</formula>
    </cfRule>
  </conditionalFormatting>
  <conditionalFormatting sqref="E43:J43">
    <cfRule type="expression" dxfId="19" priority="58">
      <formula>$E43="مقبول"</formula>
    </cfRule>
    <cfRule type="expression" dxfId="18" priority="59">
      <formula>$E43="جيد"</formula>
    </cfRule>
    <cfRule type="expression" dxfId="17" priority="60">
      <formula>$E43="جيد جداً"</formula>
    </cfRule>
    <cfRule type="expression" dxfId="16" priority="61">
      <formula>$E43="ممتاز"</formula>
    </cfRule>
  </conditionalFormatting>
  <conditionalFormatting sqref="F9:F17">
    <cfRule type="containsText" dxfId="15" priority="4" operator="containsText" text="أدخل العلامة">
      <formula>NOT(ISERROR(SEARCH("أدخل العلامة",F9)))</formula>
    </cfRule>
  </conditionalFormatting>
  <conditionalFormatting sqref="F19:F40 H19:H40">
    <cfRule type="containsText" dxfId="14" priority="38" operator="containsText" text="أدخل العلامة">
      <formula>NOT(ISERROR(SEARCH("أدخل العلامة",F19)))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44:J44">
    <cfRule type="containsText" dxfId="11" priority="15" operator="containsText" text="أدخل اسم المحكم">
      <formula>NOT(ISERROR(SEARCH("أدخل اسم المحكم",G44)))</formula>
    </cfRule>
  </conditionalFormatting>
  <conditionalFormatting sqref="H9:H1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19:H40"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5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F37:F40 F24:F30 F19:F22 F9:F10 F12:F17 F32:F35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G44:J44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45901</v>
      </c>
    </row>
    <row r="40" spans="1:9" ht="20.100000000000001" customHeight="1" thickBot="1" x14ac:dyDescent="0.35">
      <c r="A40" s="11">
        <v>45902</v>
      </c>
    </row>
    <row r="41" spans="1:9" ht="20.100000000000001" customHeight="1" thickBot="1" x14ac:dyDescent="0.35">
      <c r="A41" s="11">
        <v>45903</v>
      </c>
    </row>
    <row r="42" spans="1:9" ht="20.100000000000001" customHeight="1" thickBot="1" x14ac:dyDescent="0.35">
      <c r="A42" s="11">
        <v>45904</v>
      </c>
    </row>
    <row r="43" spans="1:9" ht="20.100000000000001" customHeight="1" thickBot="1" x14ac:dyDescent="0.35">
      <c r="A43" s="11">
        <v>45905</v>
      </c>
    </row>
    <row r="44" spans="1:9" ht="20.100000000000001" customHeight="1" thickBot="1" x14ac:dyDescent="0.35">
      <c r="A44" s="11">
        <v>45906</v>
      </c>
    </row>
    <row r="45" spans="1:9" ht="20.100000000000001" customHeight="1" thickBot="1" x14ac:dyDescent="0.35">
      <c r="A45" s="11">
        <v>45907</v>
      </c>
    </row>
    <row r="46" spans="1:9" ht="20.100000000000001" customHeight="1" thickBot="1" x14ac:dyDescent="0.35">
      <c r="A46" s="11">
        <v>45908</v>
      </c>
    </row>
    <row r="47" spans="1:9" ht="20.100000000000001" customHeight="1" thickBot="1" x14ac:dyDescent="0.35">
      <c r="A47" s="11">
        <v>45909</v>
      </c>
    </row>
    <row r="48" spans="1:9" ht="20.100000000000001" customHeight="1" thickBot="1" x14ac:dyDescent="0.35">
      <c r="A48" s="11">
        <v>45910</v>
      </c>
    </row>
    <row r="49" spans="1:1" ht="20.100000000000001" customHeight="1" thickBot="1" x14ac:dyDescent="0.35">
      <c r="A49" s="11">
        <v>45911</v>
      </c>
    </row>
    <row r="50" spans="1:1" ht="20.100000000000001" customHeight="1" thickBot="1" x14ac:dyDescent="0.35">
      <c r="A50" s="11">
        <v>45912</v>
      </c>
    </row>
    <row r="51" spans="1:1" ht="20.100000000000001" customHeight="1" thickBot="1" x14ac:dyDescent="0.35">
      <c r="A51" s="11">
        <v>45913</v>
      </c>
    </row>
    <row r="52" spans="1:1" ht="20.100000000000001" customHeight="1" thickBot="1" x14ac:dyDescent="0.35">
      <c r="A52" s="11">
        <v>45914</v>
      </c>
    </row>
    <row r="53" spans="1:1" ht="20.100000000000001" customHeight="1" thickBot="1" x14ac:dyDescent="0.35">
      <c r="A53" s="11">
        <v>45915</v>
      </c>
    </row>
    <row r="54" spans="1:1" ht="20.100000000000001" customHeight="1" thickBot="1" x14ac:dyDescent="0.35">
      <c r="A54" s="11">
        <v>45916</v>
      </c>
    </row>
    <row r="55" spans="1:1" ht="20.100000000000001" customHeight="1" thickBot="1" x14ac:dyDescent="0.35">
      <c r="A55" s="11">
        <v>45917</v>
      </c>
    </row>
    <row r="56" spans="1:1" ht="20.100000000000001" customHeight="1" thickBot="1" x14ac:dyDescent="0.35">
      <c r="A56" s="11">
        <v>45918</v>
      </c>
    </row>
    <row r="57" spans="1:1" ht="20.100000000000001" customHeight="1" thickBot="1" x14ac:dyDescent="0.35">
      <c r="A57" s="11">
        <v>45919</v>
      </c>
    </row>
    <row r="58" spans="1:1" ht="20.100000000000001" customHeight="1" thickBot="1" x14ac:dyDescent="0.35">
      <c r="A58" s="11">
        <v>45920</v>
      </c>
    </row>
    <row r="59" spans="1:1" ht="20.100000000000001" customHeight="1" thickBot="1" x14ac:dyDescent="0.35">
      <c r="A59" s="11">
        <v>45921</v>
      </c>
    </row>
    <row r="60" spans="1:1" ht="20.100000000000001" customHeight="1" thickBot="1" x14ac:dyDescent="0.35">
      <c r="A60" s="11">
        <v>45922</v>
      </c>
    </row>
    <row r="61" spans="1:1" ht="20.100000000000001" customHeight="1" thickBot="1" x14ac:dyDescent="0.35">
      <c r="A61" s="11">
        <v>45923</v>
      </c>
    </row>
    <row r="62" spans="1:1" ht="20.100000000000001" customHeight="1" thickBot="1" x14ac:dyDescent="0.35">
      <c r="A62" s="11">
        <v>45924</v>
      </c>
    </row>
    <row r="63" spans="1:1" ht="20.100000000000001" customHeight="1" thickBot="1" x14ac:dyDescent="0.35">
      <c r="A63" s="11">
        <v>45925</v>
      </c>
    </row>
    <row r="64" spans="1:1" ht="20.100000000000001" customHeight="1" thickBot="1" x14ac:dyDescent="0.35">
      <c r="A64" s="11">
        <v>45926</v>
      </c>
    </row>
    <row r="65" spans="1:1" ht="20.100000000000001" customHeight="1" thickBot="1" x14ac:dyDescent="0.35">
      <c r="A65" s="11">
        <v>45927</v>
      </c>
    </row>
    <row r="66" spans="1:1" ht="20.100000000000001" customHeight="1" thickBot="1" x14ac:dyDescent="0.35">
      <c r="A66" s="11">
        <v>45928</v>
      </c>
    </row>
    <row r="67" spans="1:1" ht="20.100000000000001" customHeight="1" thickBot="1" x14ac:dyDescent="0.35">
      <c r="A67" s="11">
        <v>45929</v>
      </c>
    </row>
    <row r="68" spans="1:1" ht="20.100000000000001" customHeight="1" thickBot="1" x14ac:dyDescent="0.35">
      <c r="A68" s="11">
        <v>45930</v>
      </c>
    </row>
    <row r="69" spans="1:1" ht="20.100000000000001" customHeight="1" thickBot="1" x14ac:dyDescent="0.35">
      <c r="A69" s="11">
        <v>45931</v>
      </c>
    </row>
    <row r="70" spans="1:1" ht="20.100000000000001" customHeight="1" thickBot="1" x14ac:dyDescent="0.35">
      <c r="A70" s="11">
        <v>45932</v>
      </c>
    </row>
    <row r="71" spans="1:1" ht="20.100000000000001" customHeight="1" thickBot="1" x14ac:dyDescent="0.35">
      <c r="A71" s="11">
        <v>45933</v>
      </c>
    </row>
    <row r="72" spans="1:1" ht="20.100000000000001" customHeight="1" thickBot="1" x14ac:dyDescent="0.35">
      <c r="A72" s="11">
        <v>45934</v>
      </c>
    </row>
    <row r="73" spans="1:1" ht="20.100000000000001" customHeight="1" thickBot="1" x14ac:dyDescent="0.35">
      <c r="A73" s="11">
        <v>45935</v>
      </c>
    </row>
    <row r="74" spans="1:1" ht="20.100000000000001" customHeight="1" thickBot="1" x14ac:dyDescent="0.35">
      <c r="A74" s="11">
        <v>45936</v>
      </c>
    </row>
    <row r="75" spans="1:1" ht="20.100000000000001" customHeight="1" thickBot="1" x14ac:dyDescent="0.35">
      <c r="A75" s="11">
        <v>45937</v>
      </c>
    </row>
    <row r="76" spans="1:1" ht="20.100000000000001" customHeight="1" thickBot="1" x14ac:dyDescent="0.35">
      <c r="A76" s="11">
        <v>45938</v>
      </c>
    </row>
    <row r="77" spans="1:1" ht="20.100000000000001" customHeight="1" thickBot="1" x14ac:dyDescent="0.35">
      <c r="A77" s="11">
        <v>45939</v>
      </c>
    </row>
    <row r="78" spans="1:1" ht="20.100000000000001" customHeight="1" thickBot="1" x14ac:dyDescent="0.35">
      <c r="A78" s="11">
        <v>45940</v>
      </c>
    </row>
    <row r="79" spans="1:1" ht="20.100000000000001" customHeight="1" thickBot="1" x14ac:dyDescent="0.35">
      <c r="A79" s="11">
        <v>45941</v>
      </c>
    </row>
    <row r="80" spans="1:1" ht="20.100000000000001" customHeight="1" thickBot="1" x14ac:dyDescent="0.35">
      <c r="A80" s="11">
        <v>45942</v>
      </c>
    </row>
    <row r="81" spans="1:1" ht="20.100000000000001" customHeight="1" thickBot="1" x14ac:dyDescent="0.35">
      <c r="A81" s="11">
        <v>45943</v>
      </c>
    </row>
    <row r="82" spans="1:1" ht="20.100000000000001" customHeight="1" thickBot="1" x14ac:dyDescent="0.35">
      <c r="A82" s="11">
        <v>45944</v>
      </c>
    </row>
    <row r="83" spans="1:1" ht="20.100000000000001" customHeight="1" thickBot="1" x14ac:dyDescent="0.35">
      <c r="A83" s="11">
        <v>45945</v>
      </c>
    </row>
    <row r="84" spans="1:1" ht="20.100000000000001" customHeight="1" thickBot="1" x14ac:dyDescent="0.35">
      <c r="A84" s="11">
        <v>45946</v>
      </c>
    </row>
    <row r="85" spans="1:1" ht="20.100000000000001" customHeight="1" thickBot="1" x14ac:dyDescent="0.35">
      <c r="A85" s="11">
        <v>45947</v>
      </c>
    </row>
    <row r="86" spans="1:1" ht="20.100000000000001" customHeight="1" thickBot="1" x14ac:dyDescent="0.35">
      <c r="A86" s="11">
        <v>45948</v>
      </c>
    </row>
    <row r="87" spans="1:1" ht="20.100000000000001" customHeight="1" thickBot="1" x14ac:dyDescent="0.35">
      <c r="A87" s="11">
        <v>45949</v>
      </c>
    </row>
    <row r="88" spans="1:1" ht="20.100000000000001" customHeight="1" thickBot="1" x14ac:dyDescent="0.35">
      <c r="A88" s="11">
        <v>45950</v>
      </c>
    </row>
    <row r="89" spans="1:1" ht="20.100000000000001" customHeight="1" thickBot="1" x14ac:dyDescent="0.35">
      <c r="A89" s="11">
        <v>45951</v>
      </c>
    </row>
    <row r="90" spans="1:1" ht="20.100000000000001" customHeight="1" thickBot="1" x14ac:dyDescent="0.35">
      <c r="A90" s="11">
        <v>45952</v>
      </c>
    </row>
    <row r="91" spans="1:1" ht="20.100000000000001" customHeight="1" thickBot="1" x14ac:dyDescent="0.35">
      <c r="A91" s="11">
        <v>45953</v>
      </c>
    </row>
    <row r="92" spans="1:1" ht="20.100000000000001" customHeight="1" thickBot="1" x14ac:dyDescent="0.35">
      <c r="A92" s="11">
        <v>45954</v>
      </c>
    </row>
    <row r="93" spans="1:1" ht="20.100000000000001" customHeight="1" thickBot="1" x14ac:dyDescent="0.35">
      <c r="A93" s="11">
        <v>45955</v>
      </c>
    </row>
    <row r="94" spans="1:1" ht="20.100000000000001" customHeight="1" thickBot="1" x14ac:dyDescent="0.35">
      <c r="A94" s="11">
        <v>45956</v>
      </c>
    </row>
    <row r="95" spans="1:1" ht="20.100000000000001" customHeight="1" thickBot="1" x14ac:dyDescent="0.35">
      <c r="A95" s="11">
        <v>45957</v>
      </c>
    </row>
    <row r="96" spans="1:1" ht="20.100000000000001" customHeight="1" thickBot="1" x14ac:dyDescent="0.35">
      <c r="A96" s="11">
        <v>45958</v>
      </c>
    </row>
    <row r="97" spans="1:9" ht="20.100000000000001" customHeight="1" thickBot="1" x14ac:dyDescent="0.35">
      <c r="A97" s="11">
        <v>45959</v>
      </c>
    </row>
    <row r="98" spans="1:9" ht="20.100000000000001" customHeight="1" thickBot="1" x14ac:dyDescent="0.35">
      <c r="A98" s="11">
        <v>45960</v>
      </c>
    </row>
    <row r="99" spans="1:9" ht="20.100000000000001" customHeight="1" thickBot="1" x14ac:dyDescent="0.35">
      <c r="A99" s="11">
        <v>45961</v>
      </c>
    </row>
    <row r="100" spans="1:9" ht="20.100000000000001" customHeight="1" thickBot="1" x14ac:dyDescent="0.35">
      <c r="A100" s="11">
        <v>45962</v>
      </c>
    </row>
    <row r="101" spans="1:9" ht="20.100000000000001" customHeight="1" thickBot="1" x14ac:dyDescent="0.35">
      <c r="A101" s="11">
        <v>45963</v>
      </c>
    </row>
    <row r="102" spans="1:9" ht="20.100000000000001" customHeight="1" thickBot="1" x14ac:dyDescent="0.35">
      <c r="A102" s="11">
        <v>45964</v>
      </c>
    </row>
    <row r="103" spans="1:9" ht="20.100000000000001" customHeight="1" thickBot="1" x14ac:dyDescent="0.35">
      <c r="A103" s="11">
        <v>45965</v>
      </c>
    </row>
    <row r="104" spans="1:9" ht="20.100000000000001" customHeight="1" thickBot="1" x14ac:dyDescent="0.35">
      <c r="A104" s="11">
        <v>45966</v>
      </c>
    </row>
    <row r="105" spans="1:9" ht="20.100000000000001" customHeight="1" thickBot="1" x14ac:dyDescent="0.35">
      <c r="A105" s="11">
        <v>45967</v>
      </c>
    </row>
    <row r="106" spans="1:9" ht="20.100000000000001" customHeight="1" thickBot="1" x14ac:dyDescent="0.35">
      <c r="A106" s="11">
        <v>45968</v>
      </c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102</v>
      </c>
    </row>
    <row r="213" spans="1:1" ht="20.100000000000001" customHeight="1" x14ac:dyDescent="0.3">
      <c r="A213" s="18" t="s">
        <v>103</v>
      </c>
    </row>
    <row r="214" spans="1:1" ht="20.100000000000001" customHeight="1" x14ac:dyDescent="0.3">
      <c r="A214" s="18" t="s">
        <v>104</v>
      </c>
    </row>
    <row r="215" spans="1:1" ht="20.100000000000001" customHeight="1" x14ac:dyDescent="0.3">
      <c r="A215" s="18" t="s">
        <v>105</v>
      </c>
    </row>
    <row r="216" spans="1:1" ht="20.100000000000001" customHeight="1" x14ac:dyDescent="0.3">
      <c r="A216" s="18" t="s">
        <v>106</v>
      </c>
    </row>
    <row r="217" spans="1:1" ht="20.100000000000001" customHeight="1" x14ac:dyDescent="0.3">
      <c r="A217" s="18" t="s">
        <v>107</v>
      </c>
    </row>
    <row r="218" spans="1:1" ht="20.100000000000001" customHeight="1" x14ac:dyDescent="0.3">
      <c r="A218" s="18" t="s">
        <v>108</v>
      </c>
    </row>
    <row r="219" spans="1:1" ht="20.100000000000001" customHeight="1" x14ac:dyDescent="0.3">
      <c r="A219" s="18" t="s">
        <v>109</v>
      </c>
    </row>
    <row r="220" spans="1:1" ht="20.100000000000001" customHeight="1" x14ac:dyDescent="0.3">
      <c r="A220" s="18" t="s">
        <v>110</v>
      </c>
    </row>
    <row r="221" spans="1:1" ht="20.100000000000001" customHeight="1" x14ac:dyDescent="0.3">
      <c r="A221" s="18" t="s">
        <v>111</v>
      </c>
    </row>
    <row r="222" spans="1:1" ht="20.100000000000001" customHeight="1" x14ac:dyDescent="0.3">
      <c r="A222" s="18" t="s">
        <v>112</v>
      </c>
    </row>
    <row r="223" spans="1:1" ht="20.100000000000001" customHeight="1" x14ac:dyDescent="0.3">
      <c r="A223" s="18" t="s">
        <v>113</v>
      </c>
    </row>
    <row r="224" spans="1:1" ht="20.100000000000001" customHeight="1" x14ac:dyDescent="0.3">
      <c r="A224" s="18" t="s">
        <v>114</v>
      </c>
    </row>
    <row r="225" spans="1:1" ht="20.100000000000001" customHeight="1" x14ac:dyDescent="0.3">
      <c r="A225" s="18" t="s">
        <v>115</v>
      </c>
    </row>
    <row r="226" spans="1:1" ht="20.100000000000001" customHeight="1" x14ac:dyDescent="0.3">
      <c r="A226" s="18" t="s">
        <v>116</v>
      </c>
    </row>
    <row r="227" spans="1:1" ht="20.100000000000001" customHeight="1" x14ac:dyDescent="0.3">
      <c r="A227" s="18" t="s">
        <v>117</v>
      </c>
    </row>
    <row r="228" spans="1:1" ht="20.100000000000001" customHeight="1" x14ac:dyDescent="0.3">
      <c r="A228" s="18" t="s">
        <v>118</v>
      </c>
    </row>
    <row r="229" spans="1:1" ht="20.100000000000001" customHeight="1" x14ac:dyDescent="0.3">
      <c r="A229" s="18" t="s">
        <v>119</v>
      </c>
    </row>
    <row r="230" spans="1:1" ht="20.100000000000001" customHeight="1" x14ac:dyDescent="0.3">
      <c r="A230" s="18" t="s">
        <v>120</v>
      </c>
    </row>
    <row r="231" spans="1:1" ht="20.100000000000001" customHeight="1" x14ac:dyDescent="0.3">
      <c r="A231" s="18" t="s">
        <v>121</v>
      </c>
    </row>
    <row r="232" spans="1:1" ht="20.100000000000001" customHeight="1" x14ac:dyDescent="0.3">
      <c r="A232" s="18" t="s">
        <v>122</v>
      </c>
    </row>
    <row r="233" spans="1:1" ht="20.100000000000001" customHeight="1" x14ac:dyDescent="0.3">
      <c r="A233" s="18" t="s">
        <v>123</v>
      </c>
    </row>
    <row r="234" spans="1:1" ht="20.100000000000001" customHeight="1" x14ac:dyDescent="0.3">
      <c r="A234" s="18" t="s">
        <v>124</v>
      </c>
    </row>
    <row r="235" spans="1:1" ht="20.100000000000001" customHeight="1" x14ac:dyDescent="0.3">
      <c r="A235" s="20" t="s">
        <v>125</v>
      </c>
    </row>
    <row r="236" spans="1:1" ht="20.100000000000001" customHeight="1" x14ac:dyDescent="0.3">
      <c r="A236" s="18" t="s">
        <v>126</v>
      </c>
    </row>
    <row r="237" spans="1:1" ht="20.100000000000001" customHeight="1" x14ac:dyDescent="0.3">
      <c r="A237" s="18" t="s">
        <v>127</v>
      </c>
    </row>
    <row r="238" spans="1:1" ht="20.100000000000001" customHeight="1" x14ac:dyDescent="0.3">
      <c r="A238" s="18" t="s">
        <v>128</v>
      </c>
    </row>
    <row r="239" spans="1:1" ht="20.100000000000001" customHeight="1" x14ac:dyDescent="0.3">
      <c r="A239" s="18" t="s">
        <v>129</v>
      </c>
    </row>
    <row r="240" spans="1:1" ht="20.100000000000001" customHeight="1" x14ac:dyDescent="0.3">
      <c r="A240" s="18" t="s">
        <v>130</v>
      </c>
    </row>
    <row r="241" spans="1:1" ht="20.100000000000001" customHeight="1" x14ac:dyDescent="0.3">
      <c r="A241" s="18" t="s">
        <v>131</v>
      </c>
    </row>
    <row r="242" spans="1:1" ht="20.100000000000001" customHeight="1" x14ac:dyDescent="0.3">
      <c r="A242" s="18" t="s">
        <v>132</v>
      </c>
    </row>
    <row r="243" spans="1:1" ht="20.100000000000001" customHeight="1" x14ac:dyDescent="0.3">
      <c r="A243" s="18" t="s">
        <v>133</v>
      </c>
    </row>
    <row r="244" spans="1:1" ht="20.100000000000001" customHeight="1" x14ac:dyDescent="0.3">
      <c r="A244" s="18" t="s">
        <v>134</v>
      </c>
    </row>
    <row r="245" spans="1:1" ht="20.100000000000001" customHeight="1" x14ac:dyDescent="0.3">
      <c r="A245" s="18" t="s">
        <v>135</v>
      </c>
    </row>
    <row r="246" spans="1:1" ht="20.100000000000001" customHeight="1" x14ac:dyDescent="0.3">
      <c r="A246" s="18" t="s">
        <v>136</v>
      </c>
    </row>
    <row r="247" spans="1:1" ht="20.100000000000001" customHeight="1" x14ac:dyDescent="0.3">
      <c r="A247" s="18" t="s">
        <v>127</v>
      </c>
    </row>
    <row r="248" spans="1:1" ht="20.100000000000001" customHeight="1" x14ac:dyDescent="0.3">
      <c r="A248" s="18" t="s">
        <v>137</v>
      </c>
    </row>
    <row r="249" spans="1:1" ht="20.100000000000001" customHeight="1" x14ac:dyDescent="0.3">
      <c r="A249" s="18" t="s">
        <v>138</v>
      </c>
    </row>
    <row r="250" spans="1:1" ht="20.100000000000001" customHeight="1" x14ac:dyDescent="0.3">
      <c r="A250" s="20" t="s">
        <v>139</v>
      </c>
    </row>
    <row r="251" spans="1:1" ht="20.100000000000001" customHeight="1" x14ac:dyDescent="0.3">
      <c r="A251" s="21" t="s">
        <v>140</v>
      </c>
    </row>
    <row r="252" spans="1:1" ht="20.100000000000001" customHeight="1" x14ac:dyDescent="0.3">
      <c r="A252" s="18" t="s">
        <v>141</v>
      </c>
    </row>
    <row r="253" spans="1:1" ht="20.100000000000001" customHeight="1" x14ac:dyDescent="0.3">
      <c r="A253" s="18" t="s">
        <v>142</v>
      </c>
    </row>
    <row r="254" spans="1:1" ht="20.100000000000001" customHeight="1" x14ac:dyDescent="0.3">
      <c r="A254" s="22" t="s">
        <v>143</v>
      </c>
    </row>
    <row r="255" spans="1:1" ht="20.100000000000001" customHeight="1" x14ac:dyDescent="0.3">
      <c r="A255" s="22" t="s">
        <v>144</v>
      </c>
    </row>
    <row r="256" spans="1:1" ht="20.100000000000001" customHeight="1" x14ac:dyDescent="0.3">
      <c r="A256" s="23" t="s">
        <v>145</v>
      </c>
    </row>
    <row r="257" spans="1:1" ht="20.100000000000001" customHeight="1" x14ac:dyDescent="0.3">
      <c r="A257" s="18" t="s">
        <v>146</v>
      </c>
    </row>
    <row r="258" spans="1:1" ht="20.100000000000001" customHeight="1" x14ac:dyDescent="0.3">
      <c r="A258" s="23" t="s">
        <v>147</v>
      </c>
    </row>
    <row r="259" spans="1:1" ht="20.100000000000001" customHeight="1" x14ac:dyDescent="0.3">
      <c r="A259" s="18" t="s">
        <v>148</v>
      </c>
    </row>
    <row r="260" spans="1:1" ht="20.100000000000001" customHeight="1" x14ac:dyDescent="0.3">
      <c r="A260" s="23" t="s">
        <v>149</v>
      </c>
    </row>
    <row r="261" spans="1:1" ht="20.100000000000001" customHeight="1" x14ac:dyDescent="0.3">
      <c r="A261" s="18" t="s">
        <v>150</v>
      </c>
    </row>
    <row r="262" spans="1:1" ht="20.100000000000001" customHeight="1" x14ac:dyDescent="0.3">
      <c r="A262" s="18" t="s">
        <v>151</v>
      </c>
    </row>
    <row r="263" spans="1:1" ht="20.100000000000001" customHeight="1" x14ac:dyDescent="0.3">
      <c r="A263" s="23" t="s">
        <v>152</v>
      </c>
    </row>
    <row r="264" spans="1:1" ht="20.100000000000001" customHeight="1" x14ac:dyDescent="0.3">
      <c r="A264" s="23" t="s">
        <v>153</v>
      </c>
    </row>
    <row r="265" spans="1:1" ht="20.100000000000001" customHeight="1" x14ac:dyDescent="0.3">
      <c r="A265" s="23" t="s">
        <v>154</v>
      </c>
    </row>
    <row r="266" spans="1:1" ht="20.100000000000001" customHeight="1" x14ac:dyDescent="0.3">
      <c r="A266" s="18" t="s">
        <v>155</v>
      </c>
    </row>
    <row r="267" spans="1:1" ht="20.100000000000001" customHeight="1" x14ac:dyDescent="0.3">
      <c r="A267" s="18" t="s">
        <v>156</v>
      </c>
    </row>
    <row r="268" spans="1:1" ht="20.100000000000001" customHeight="1" x14ac:dyDescent="0.3">
      <c r="A268" s="18" t="s">
        <v>157</v>
      </c>
    </row>
    <row r="269" spans="1:1" ht="20.100000000000001" customHeight="1" x14ac:dyDescent="0.3">
      <c r="A269" s="18" t="s">
        <v>158</v>
      </c>
    </row>
    <row r="270" spans="1:1" ht="20.100000000000001" customHeight="1" x14ac:dyDescent="0.3">
      <c r="A270" s="23" t="s">
        <v>159</v>
      </c>
    </row>
    <row r="271" spans="1:1" ht="20.100000000000001" customHeight="1" x14ac:dyDescent="0.3">
      <c r="A271" s="23" t="s">
        <v>160</v>
      </c>
    </row>
    <row r="272" spans="1:1" ht="20.100000000000001" customHeight="1" x14ac:dyDescent="0.3">
      <c r="A272" s="18" t="s">
        <v>161</v>
      </c>
    </row>
    <row r="273" spans="1:1" ht="20.100000000000001" customHeight="1" x14ac:dyDescent="0.3">
      <c r="A273" s="23" t="s">
        <v>162</v>
      </c>
    </row>
    <row r="274" spans="1:1" ht="20.100000000000001" customHeight="1" x14ac:dyDescent="0.3">
      <c r="A274" s="23" t="s">
        <v>163</v>
      </c>
    </row>
    <row r="275" spans="1:1" ht="20.100000000000001" customHeight="1" x14ac:dyDescent="0.3">
      <c r="A275" s="18" t="s">
        <v>164</v>
      </c>
    </row>
    <row r="276" spans="1:1" ht="20.100000000000001" customHeight="1" x14ac:dyDescent="0.3">
      <c r="A276" s="18" t="s">
        <v>165</v>
      </c>
    </row>
    <row r="277" spans="1:1" ht="20.100000000000001" customHeight="1" x14ac:dyDescent="0.3">
      <c r="A277" s="23" t="s">
        <v>166</v>
      </c>
    </row>
    <row r="278" spans="1:1" ht="20.100000000000001" customHeight="1" x14ac:dyDescent="0.3">
      <c r="A278" s="18" t="s">
        <v>167</v>
      </c>
    </row>
    <row r="279" spans="1:1" ht="20.100000000000001" customHeight="1" x14ac:dyDescent="0.3">
      <c r="A279" s="18" t="s">
        <v>168</v>
      </c>
    </row>
    <row r="280" spans="1:1" ht="20.100000000000001" customHeight="1" x14ac:dyDescent="0.3">
      <c r="A280" s="18" t="s">
        <v>169</v>
      </c>
    </row>
    <row r="281" spans="1:1" ht="20.100000000000001" customHeight="1" x14ac:dyDescent="0.3">
      <c r="A281" s="18" t="s">
        <v>170</v>
      </c>
    </row>
    <row r="282" spans="1:1" ht="20.100000000000001" customHeight="1" x14ac:dyDescent="0.3">
      <c r="A282" s="23" t="s">
        <v>171</v>
      </c>
    </row>
    <row r="283" spans="1:1" ht="20.100000000000001" customHeight="1" x14ac:dyDescent="0.3">
      <c r="A283" s="23" t="s">
        <v>172</v>
      </c>
    </row>
    <row r="284" spans="1:1" ht="20.100000000000001" customHeight="1" x14ac:dyDescent="0.3">
      <c r="A284" s="23" t="s">
        <v>173</v>
      </c>
    </row>
    <row r="285" spans="1:1" ht="20.100000000000001" customHeight="1" thickBot="1" x14ac:dyDescent="0.35">
      <c r="A285" s="18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2025-10-09T18:48:00Z</dcterms:modified>
</cp:coreProperties>
</file>