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AE79866-5EE5-B042-9B45-092FD1386DFE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F29" i="2"/>
  <c r="E29" i="2"/>
  <c r="E30" i="2"/>
  <c r="E31" i="2"/>
</calcChain>
</file>

<file path=xl/sharedStrings.xml><?xml version="1.0" encoding="utf-8"?>
<sst xmlns="http://schemas.openxmlformats.org/spreadsheetml/2006/main" count="258" uniqueCount="202">
  <si>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</si>
  <si>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</si>
  <si>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</si>
  <si>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</si>
  <si>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</si>
  <si>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</si>
  <si>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</si>
  <si>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</si>
  <si>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</si>
  <si>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</si>
  <si>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</si>
  <si>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</si>
  <si>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</si>
  <si>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</si>
  <si>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</si>
  <si>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</si>
  <si>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</si>
  <si>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</si>
  <si>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</si>
  <si>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</si>
  <si>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</si>
  <si>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</si>
  <si>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</si>
  <si>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</si>
  <si>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</si>
  <si>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</si>
  <si>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</si>
  <si>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</si>
  <si>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</si>
  <si>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</si>
  <si>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</si>
  <si>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</si>
  <si>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</si>
  <si>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</si>
  <si>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</si>
  <si>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</si>
  <si>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</si>
  <si>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</si>
  <si>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</si>
  <si>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</si>
  <si>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</si>
  <si>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</si>
  <si>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</si>
  <si>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</si>
  <si>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</si>
  <si>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</si>
  <si>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</si>
  <si>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</si>
  <si>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</si>
  <si>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</si>
  <si>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</si>
  <si>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</si>
  <si>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</si>
  <si>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</si>
  <si>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</si>
  <si>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</si>
  <si>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</si>
  <si>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</si>
  <si>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</si>
  <si>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</si>
  <si>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</si>
  <si>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</si>
  <si>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</si>
  <si>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</si>
  <si>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</si>
  <si>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</si>
  <si>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</si>
  <si>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</si>
  <si>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</si>
  <si>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</si>
  <si>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</si>
  <si>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</si>
  <si>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</si>
  <si>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</si>
  <si>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</si>
  <si>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</si>
  <si>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</si>
  <si>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</si>
  <si>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</si>
  <si>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</si>
  <si>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</si>
  <si>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</si>
  <si>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</si>
  <si>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</si>
  <si>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</si>
  <si>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</si>
  <si>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</si>
  <si>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</si>
  <si>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</si>
  <si>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</si>
  <si>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</si>
  <si>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</si>
  <si>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</si>
  <si>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</si>
  <si>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</si>
  <si>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</si>
  <si>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</si>
  <si>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</si>
  <si>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</si>
  <si>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</si>
  <si>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</si>
  <si>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</si>
  <si>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</si>
  <si>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</si>
  <si>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</si>
  <si>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</si>
  <si>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</si>
  <si>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</si>
  <si>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</si>
  <si>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</si>
  <si>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</si>
  <si>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</si>
  <si>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</si>
  <si>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</si>
  <si>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</si>
  <si>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</si>
  <si>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</si>
  <si>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</si>
  <si>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</si>
  <si>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</si>
  <si>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</si>
  <si>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</si>
  <si>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</si>
  <si>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</si>
  <si>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</si>
  <si>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</si>
  <si>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</si>
  <si>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</si>
  <si>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</si>
  <si>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</si>
  <si>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</si>
  <si>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</si>
  <si>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</si>
  <si>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</si>
  <si>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</si>
  <si>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</si>
  <si>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</si>
  <si>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</si>
  <si>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</si>
  <si>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</si>
  <si>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</si>
  <si>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</si>
  <si>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</si>
  <si>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</si>
  <si>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</si>
  <si>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</si>
  <si>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</si>
  <si>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</si>
  <si>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</si>
  <si>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</si>
  <si>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</si>
  <si>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</si>
  <si>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</si>
  <si>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</si>
  <si>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</si>
  <si>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</si>
  <si>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</si>
  <si>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</si>
  <si>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</si>
  <si>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</si>
  <si>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</si>
  <si>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</si>
  <si>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</si>
  <si>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</si>
  <si>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</si>
  <si>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</si>
  <si>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</si>
  <si>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</si>
  <si>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</si>
  <si>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</si>
  <si>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</si>
  <si>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</si>
  <si>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</si>
  <si>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</si>
  <si>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</si>
  <si>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</si>
  <si>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</si>
  <si>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</si>
  <si>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</si>
  <si>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</si>
  <si>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الصيانة في التنقل الإداري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</si>
  <si>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 xml:space="preserve">توفر التعليمات والأوامر الضرورية للتنقـل مع قائـد القافلة، وتشمل: 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</si>
  <si>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الأمر / برقية إعطاء الموافقة بالتحرك من المستوى الأعلـى.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</si>
  <si>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أمـر التنقل ودقة البيانات الواردة به.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</si>
  <si>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جدول التنقل ودقة البيانات الواردة به.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</si>
  <si>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يومية التحرك ودقة البيانات الواردة بها.</t>
    </r>
  </si>
  <si>
    <t>مدى التقيد بالتوقيتات، الوقفات، السرعة، الكثافة، الطرق ونقاط السيطرة).</t>
  </si>
  <si>
    <t>مدى إلمام قائد القافلة (بالأوامر الصادرة في أمر / جدول / يومية التحرك مخطط / التنقل، المواقف الطارئة مثل إلغاء أو تأخير حركة القافلة).</t>
  </si>
  <si>
    <t>التأكد من جاهزيـة الضباط والأفــراد من حيث. (الأسلحـة الشخصيـة، اللبـاس، البطاقة والرخـص العسكرية، بطاقة الطريق لكل قائد آلية، وسيلة إضاءة مع كل سائق، القلادة المعدنيـة).</t>
  </si>
  <si>
    <t>وجود أفراد حراسة مع القافلة حسب التعليمات.</t>
  </si>
  <si>
    <t>التأكد من التنسيـق مـع الشرطـة العسكرية.</t>
  </si>
  <si>
    <r>
      <t>جاهزية آليات القافلة</t>
    </r>
    <r>
      <rPr>
        <b/>
        <sz val="12"/>
        <color theme="1"/>
        <rFont val="Arial"/>
        <family val="2"/>
      </rPr>
      <t xml:space="preserve">، </t>
    </r>
    <r>
      <rPr>
        <sz val="12"/>
        <color theme="1"/>
        <rFont val="Arial"/>
        <family val="2"/>
      </rPr>
      <t>من حيـث: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</si>
  <si>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الأعلام الضرورية (علم أزرق في بداية ونهاية كل مجموعة، علم أصفر في حالة عطل الآليـة، عدم وضع أعلام حمراء على الآليات التي تحمل ذخائر أو متفجرات).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</si>
  <si>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عدة الآلية، جدول التحميل / الركوب لكل آلية.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</si>
  <si>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صلاحية وجاهزية الآليات من حيث (الوقود، المياه، الإطار الاحتياطي، غطاء التمويه مع الركائز).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</si>
  <si>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عدم تحميل الآليات أكثر من حمولتها أو وضع حمولة غير مرتبة بحيث توحي بأنها محملة أكثر من حمولتها.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</si>
  <si>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تغطية حمولة الآليات (الأسلحة، الذخائر، معدات عسكرية) ومدى صلاحية الأغطية وتثبيتها.</t>
    </r>
  </si>
  <si>
    <t>الشؤون الإدارية.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</si>
  <si>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الإعاشة أثناء التنقـل.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</si>
  <si>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سيارة إسعاف مع طبيب / ممرض قانوني بكامل التجهيزات.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</si>
  <si>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آلية إنقاذ مع فريق ( ميكانيكي، كهربائي حسب نوع الآليات المتنقلة ) و إلمام الفريق بتشغيل وسيلة الإنقـاذ.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</si>
  <si>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آلية قطر احتياط لأليات النقل الثقيلة.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</si>
</sst>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2"/>
    </xf>
    <xf numFmtId="0" fontId="3" fillId="2" borderId="12" xfId="0" applyFont="1" applyFill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425265</xdr:colOff>
      <xdr:row>31</xdr:row>
      <xdr:rowOff>514978</xdr:rowOff>
    </xdr:from>
    <xdr:to>
      <xdr:col>9</xdr:col>
      <xdr:colOff>236234</xdr:colOff>
      <xdr:row>32</xdr:row>
      <xdr:rowOff>510927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D6DD448-3107-9FF8-41E2-0B840F6AD18C}"/>
                </a:ext>
              </a:extLst>
            </xdr14:cNvPr>
            <xdr14:cNvContentPartPr/>
          </xdr14:nvContentPartPr>
          <xdr14:nvPr macro=""/>
          <xdr14:xfrm>
            <a:off x="10398350585" y="15293160"/>
            <a:ext cx="1785240" cy="5270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D6DD448-3107-9FF8-41E2-0B840F6AD1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41585" y="15284520"/>
              <a:ext cx="1802880" cy="54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104135</xdr:colOff>
      <xdr:row>32</xdr:row>
      <xdr:rowOff>297087</xdr:rowOff>
    </xdr:from>
    <xdr:to>
      <xdr:col>9</xdr:col>
      <xdr:colOff>170354</xdr:colOff>
      <xdr:row>33</xdr:row>
      <xdr:rowOff>62382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48EF274-0C0C-4C41-CA48-21DFB9D8A4FD}"/>
                </a:ext>
              </a:extLst>
            </xdr14:cNvPr>
            <xdr14:cNvContentPartPr/>
          </xdr14:nvContentPartPr>
          <xdr14:nvPr macro=""/>
          <xdr14:xfrm>
            <a:off x="10398416465" y="15606360"/>
            <a:ext cx="1382400" cy="411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48EF274-0C0C-4C41-CA48-21DFB9D8A4F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407465" y="15597720"/>
              <a:ext cx="1400040" cy="429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03:58.1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2851 1432 7417,'0'0'0,"0"0"0,17-21 4873,-5 4-4809,2-2-232,0 8-64,-14 11 232,15 0-336,-6 0-16,-1 0 48,4 0 16,-12 0 288,5 0-136,9 3 32,-2 0 0,-7-1 80,-5-2 24,12 0 64,0 3 88,-7 0 40,12 0 16,-17-3-208,2 3 152,12 0-88,-9 0-16,0-1 0,-5-2-48,0 3 32,0 0-104,-12 0 56,-5 1 40,17-4-24,-26 12 40,-15-10 144,-10 3-32,-19-1-64,70-4-88,-84 4 88,-12-1-40,-15 0-16,-11 0-32,122-3 0,-140 0 0,-4 0-16,-5-2 32,-8-2-8,157 4-8,-158-13-8,-1 2 64,0-5-64,8-5 64,151 21-56,-149-26 48,2-6-24,5-5 16,7-3-16,135 40-24,-125-47 152,12 0-120,10-4 32,57 22 96,46 29-160,-53-35 120,7-5 232,-7-8 112,17-3-64,36 51-400,-36-62 465,17-3-9,9-7 64,34-68-48,-24 140-472,80-119 248,35 22-2601,20 28-199,12 14 263,-147 55 2289,168-46-1960,29 6 1784,13 3 176,18 4 16,-228 33-16,243-28 32,7 9 16,15 15-16,-5 0-24,-260 4-8,267 0-24,-10 12 32,-5 4-16,-6 3 32,-246-19-24,233 20 16,-16-1-16,-18 3-8,-14-2-16,-185-20 24,162 21 16,-18 0-8,-17 3 24,-21 2-8,-106-26-24,87 26 8,-20 1 8,-21-3-56,-15 0-8,-31-24 48,10 23-56,-13-1-16,-23 3 64,-15 0 24,41-25-16,-60 29 8,-20 0 32,-16 3-24,-17 3-8,113-35-8,-134 37-40,-18 3 32,-14 3-16,-14 1 24,180-44 0,-188 47 32,-14 1-32,-5 3-32,-7 2 16,214-53 16,-214 52-24,0 0-48,5-3 56,4 0-48,205-49 64,-195 45-8,8 1-56,6-5 8,8 0-16,173-41 72,-171 36-104,13-5 96,6-6-48,8-2 40,144-23 16,-135 19 8,8-4-80,16 0 48,5-11-48,106-4 72,-91 13-104,14-13 64,46 2-24,-6-2 16,37 0 48,-26 0-72,0 0 24,9 0 0,5-2-48,12 2 96,0-19-120,31-2-96,29-3-152,17-2-169,-77 26 537,87-26-3128,-87 26 3128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03:58.9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3815 22 10362,'0'0'0,"19"-13"4809,-14 9-3993,-5 4-816,0-4-288,-19 4-328,-22 12-176,-17 4-73,58-16 865,-74 23-272,-15 5 48,-15 5-120,-16 2-8,120-35 352,-135 36-208,-11 0 32,-11-1 72,-11 1 48,168-36 56,-171 34-40,-7 0 16,-10 0 24,8 0 0,180-34 0,-192 34-8,6 0-8,6 0-24,0-1 32,180-33 8,-171 33-32,10-2 16,7 0-24,17-2-24,137-29 64,-130 28 0,17-2 8,12-3 0,9-4 24,92-19-32,-79 19-56,19-3 24,12-5 56,24 0-72,24-11 48,-3 3-48,3 0-32,34-3-168,14 0-456,-48 0 704,65-6-905,14-9-423,15 0-8,14 0 472,-108 15 864,123-19-664,9-3 232,13-4-41,6 0-2703,-151 26 3176,0 0 0</inkml:trace>
  <inkml:trace contextRef="#ctx0" brushRef="#br0" timeOffset="1">3197 444 2704,'0'0'0,"46"-14"2257,-46 14-2257,55-13 1784,3-1 416,-22 8 25,-34 2 119,-2 4-2344,0-1 1865,-12-1-1369,-24 1-640,-19-1-512,55 2 656,-77 0-688,-17 0 303,-19 0 113,-17 3 80,130-3 192,-142 12-224,-14 2 168,-8 6 80,-9 5-64,173-25 40,-176 31 16,1 6-80,-1 3 16,3 3-24,173-43 72,-171 45-96,5-1 48,5-1 0,12 0 96,149-43-48,-140 41 8,13 2-8,7-1-8,12-2-64,108-40 72,-94 37-64,14-4 8,13-5 48,19-2-136,48-26 144,-46 24-112,15-1-952,12-6-1129,14-14-4176,5-3 6369,0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3"/>
  <sheetViews>
    <sheetView rightToLeft="1" tabSelected="1" view="pageBreakPreview" zoomScale="130" zoomScaleNormal="100" zoomScaleSheetLayoutView="130" workbookViewId="0">
      <selection activeCell="G32" sqref="G32:J3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7" t="s">
        <v>180</v>
      </c>
      <c r="C1" s="77"/>
      <c r="D1" s="77"/>
      <c r="E1" s="77"/>
      <c r="F1" s="77"/>
      <c r="G1" s="77"/>
      <c r="H1" s="77"/>
      <c r="I1" s="77"/>
      <c r="J1" s="77"/>
    </row>
    <row r="2" spans="1:10" ht="30" customHeight="1" x14ac:dyDescent="0.2">
      <c r="B2" s="13" t="s">
        <v>8</v>
      </c>
      <c r="C2" s="83" t="s">
        <v>32</v>
      </c>
      <c r="D2" s="83"/>
      <c r="E2" s="13" t="s">
        <v>7</v>
      </c>
      <c r="F2" s="78">
        <v>45931</v>
      </c>
      <c r="G2" s="78"/>
      <c r="H2" s="78"/>
      <c r="I2" s="78"/>
      <c r="J2" s="78"/>
    </row>
    <row r="3" spans="1:10" ht="30" customHeight="1" x14ac:dyDescent="0.2">
      <c r="B3" s="13" t="s">
        <v>9</v>
      </c>
      <c r="C3" s="83" t="s">
        <v>67</v>
      </c>
      <c r="D3" s="83"/>
      <c r="E3" s="13" t="s">
        <v>6</v>
      </c>
      <c r="F3" s="83" t="s">
        <v>136</v>
      </c>
      <c r="G3" s="83"/>
      <c r="H3" s="83"/>
      <c r="I3" s="83"/>
      <c r="J3" s="8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79" t="s">
        <v>0</v>
      </c>
      <c r="C5" s="80"/>
      <c r="D5" s="80"/>
      <c r="E5" s="88" t="s">
        <v>1</v>
      </c>
      <c r="F5" s="88"/>
      <c r="G5" s="88"/>
      <c r="H5" s="88"/>
      <c r="I5" s="88" t="s">
        <v>2</v>
      </c>
      <c r="J5" s="89"/>
    </row>
    <row r="6" spans="1:10" ht="24.95" customHeight="1" thickBot="1" x14ac:dyDescent="0.25">
      <c r="A6" s="11"/>
      <c r="B6" s="81"/>
      <c r="C6" s="82"/>
      <c r="D6" s="82"/>
      <c r="E6" s="12" t="s">
        <v>3</v>
      </c>
      <c r="F6" s="12" t="s">
        <v>4</v>
      </c>
      <c r="G6" s="12" t="s">
        <v>23</v>
      </c>
      <c r="H6" s="12" t="s">
        <v>24</v>
      </c>
      <c r="I6" s="90"/>
      <c r="J6" s="91"/>
    </row>
    <row r="7" spans="1:10" ht="24.95" customHeight="1" thickBot="1" x14ac:dyDescent="0.25">
      <c r="A7" s="11"/>
      <c r="B7" s="86" t="s">
        <v>21</v>
      </c>
      <c r="C7" s="87"/>
      <c r="D7" s="87"/>
      <c r="E7" s="35" t="s">
        <v>18</v>
      </c>
      <c r="F7" s="35" t="s">
        <v>19</v>
      </c>
      <c r="G7" s="35" t="s">
        <v>22</v>
      </c>
      <c r="H7" s="35" t="s">
        <v>20</v>
      </c>
      <c r="I7" s="97" t="s">
        <v>25</v>
      </c>
      <c r="J7" s="98"/>
    </row>
    <row r="8" spans="1:10" ht="39.950000000000003" customHeight="1" x14ac:dyDescent="0.2">
      <c r="A8" s="11"/>
      <c r="B8" s="59" t="s">
        <v>181</v>
      </c>
      <c r="C8" s="60"/>
      <c r="D8" s="60"/>
      <c r="E8" s="30"/>
      <c r="F8" s="39"/>
      <c r="G8" s="40"/>
      <c r="H8" s="41"/>
      <c r="I8" s="69"/>
      <c r="J8" s="70"/>
    </row>
    <row r="9" spans="1:10" ht="39.950000000000003" customHeight="1" x14ac:dyDescent="0.2">
      <c r="A9" s="11"/>
      <c r="B9" s="55" t="s">
        <v>182</v>
      </c>
      <c r="C9" s="56"/>
      <c r="D9" s="56"/>
      <c r="E9" s="31">
        <v>5</v>
      </c>
      <c r="F9" s="27">
        <v>4</v>
      </c>
      <c r="G9" s="37">
        <f>IFERROR(F9/E9,"")</f>
        <v>0.8</v>
      </c>
      <c r="H9" s="38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7"/>
      <c r="J9" s="58"/>
    </row>
    <row r="10" spans="1:10" ht="39.950000000000003" customHeight="1" x14ac:dyDescent="0.2">
      <c r="A10" s="11"/>
      <c r="B10" s="55" t="s">
        <v>183</v>
      </c>
      <c r="C10" s="56"/>
      <c r="D10" s="56"/>
      <c r="E10" s="31">
        <v>5</v>
      </c>
      <c r="F10" s="27">
        <v>4</v>
      </c>
      <c r="G10" s="37">
        <f t="shared" ref="G10:G28" si="0">IFERROR(F10/E10,"")</f>
        <v>0.8</v>
      </c>
      <c r="H10" s="38" t="str">
        <f t="shared" ref="H10:H28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7"/>
      <c r="J10" s="58"/>
    </row>
    <row r="11" spans="1:10" ht="39.950000000000003" customHeight="1" x14ac:dyDescent="0.2">
      <c r="A11" s="11"/>
      <c r="B11" s="55" t="s">
        <v>184</v>
      </c>
      <c r="C11" s="56"/>
      <c r="D11" s="56"/>
      <c r="E11" s="31">
        <v>5</v>
      </c>
      <c r="F11" s="27">
        <v>3.75</v>
      </c>
      <c r="G11" s="37">
        <f t="shared" si="0"/>
        <v>0.75</v>
      </c>
      <c r="H11" s="38" t="str">
        <f t="shared" si="1"/>
        <v>جيد</v>
      </c>
      <c r="I11" s="57"/>
      <c r="J11" s="58"/>
    </row>
    <row r="12" spans="1:10" ht="39.950000000000003" customHeight="1" thickBot="1" x14ac:dyDescent="0.25">
      <c r="A12" s="11"/>
      <c r="B12" s="49" t="s">
        <v>185</v>
      </c>
      <c r="C12" s="50"/>
      <c r="D12" s="50"/>
      <c r="E12" s="32">
        <v>5</v>
      </c>
      <c r="F12" s="29">
        <v>3.75</v>
      </c>
      <c r="G12" s="42">
        <f t="shared" si="0"/>
        <v>0.75</v>
      </c>
      <c r="H12" s="43" t="str">
        <f t="shared" si="1"/>
        <v>جيد</v>
      </c>
      <c r="I12" s="65"/>
      <c r="J12" s="66"/>
    </row>
    <row r="13" spans="1:10" ht="39.950000000000003" customHeight="1" thickBot="1" x14ac:dyDescent="0.25">
      <c r="A13" s="11"/>
      <c r="B13" s="51" t="s">
        <v>186</v>
      </c>
      <c r="C13" s="52"/>
      <c r="D13" s="52"/>
      <c r="E13" s="44">
        <v>10</v>
      </c>
      <c r="F13" s="45">
        <v>7</v>
      </c>
      <c r="G13" s="46">
        <f t="shared" si="0"/>
        <v>0.7</v>
      </c>
      <c r="H13" s="28" t="str">
        <f t="shared" si="1"/>
        <v>جيد</v>
      </c>
      <c r="I13" s="67"/>
      <c r="J13" s="68"/>
    </row>
    <row r="14" spans="1:10" ht="39.950000000000003" customHeight="1" thickBot="1" x14ac:dyDescent="0.25">
      <c r="A14" s="11"/>
      <c r="B14" s="51" t="s">
        <v>187</v>
      </c>
      <c r="C14" s="52"/>
      <c r="D14" s="52"/>
      <c r="E14" s="47">
        <v>10</v>
      </c>
      <c r="F14" s="45">
        <v>7.5</v>
      </c>
      <c r="G14" s="46">
        <f t="shared" si="0"/>
        <v>0.75</v>
      </c>
      <c r="H14" s="28" t="str">
        <f t="shared" si="1"/>
        <v>جيد</v>
      </c>
      <c r="I14" s="67"/>
      <c r="J14" s="68"/>
    </row>
    <row r="15" spans="1:10" ht="63.75" customHeight="1" thickBot="1" x14ac:dyDescent="0.25">
      <c r="A15" s="11"/>
      <c r="B15" s="51" t="s">
        <v>188</v>
      </c>
      <c r="C15" s="52"/>
      <c r="D15" s="52"/>
      <c r="E15" s="10">
        <v>10</v>
      </c>
      <c r="F15" s="45">
        <v>7.25</v>
      </c>
      <c r="G15" s="46">
        <f t="shared" si="0"/>
        <v>0.72499999999999998</v>
      </c>
      <c r="H15" s="28" t="str">
        <f t="shared" si="1"/>
        <v>جيد</v>
      </c>
      <c r="I15" s="67"/>
      <c r="J15" s="68"/>
    </row>
    <row r="16" spans="1:10" ht="39.950000000000003" customHeight="1" thickBot="1" x14ac:dyDescent="0.25">
      <c r="A16" s="11"/>
      <c r="B16" s="51" t="s">
        <v>189</v>
      </c>
      <c r="C16" s="52"/>
      <c r="D16" s="52"/>
      <c r="E16" s="10">
        <v>10</v>
      </c>
      <c r="F16" s="45">
        <v>7.75</v>
      </c>
      <c r="G16" s="46">
        <f t="shared" si="0"/>
        <v>0.77500000000000002</v>
      </c>
      <c r="H16" s="28" t="str">
        <f t="shared" si="1"/>
        <v>جيد</v>
      </c>
      <c r="I16" s="67"/>
      <c r="J16" s="68"/>
    </row>
    <row r="17" spans="1:10" ht="39.950000000000003" customHeight="1" thickBot="1" x14ac:dyDescent="0.25">
      <c r="A17" s="11"/>
      <c r="B17" s="51" t="s">
        <v>190</v>
      </c>
      <c r="C17" s="52"/>
      <c r="D17" s="52"/>
      <c r="E17" s="10">
        <v>5</v>
      </c>
      <c r="F17" s="45">
        <v>3.75</v>
      </c>
      <c r="G17" s="46">
        <f t="shared" si="0"/>
        <v>0.75</v>
      </c>
      <c r="H17" s="28" t="str">
        <f t="shared" si="1"/>
        <v>جيد</v>
      </c>
      <c r="I17" s="67"/>
      <c r="J17" s="68"/>
    </row>
    <row r="18" spans="1:10" ht="39.950000000000003" customHeight="1" x14ac:dyDescent="0.2">
      <c r="A18" s="11"/>
      <c r="B18" s="53" t="s">
        <v>191</v>
      </c>
      <c r="C18" s="54"/>
      <c r="D18" s="54"/>
      <c r="E18" s="30"/>
      <c r="F18" s="39"/>
      <c r="G18" s="40"/>
      <c r="H18" s="41"/>
      <c r="I18" s="69"/>
      <c r="J18" s="70"/>
    </row>
    <row r="19" spans="1:10" ht="39.950000000000003" customHeight="1" x14ac:dyDescent="0.2">
      <c r="A19" s="11"/>
      <c r="B19" s="55" t="s">
        <v>192</v>
      </c>
      <c r="C19" s="56"/>
      <c r="D19" s="56"/>
      <c r="E19" s="9">
        <v>5</v>
      </c>
      <c r="F19" s="27">
        <v>4</v>
      </c>
      <c r="G19" s="37">
        <f t="shared" si="0"/>
        <v>0.8</v>
      </c>
      <c r="H19" s="38" t="str">
        <f t="shared" si="1"/>
        <v>جيد جداً</v>
      </c>
      <c r="I19" s="57"/>
      <c r="J19" s="58"/>
    </row>
    <row r="20" spans="1:10" ht="39.950000000000003" customHeight="1" x14ac:dyDescent="0.2">
      <c r="A20" s="11"/>
      <c r="B20" s="55" t="s">
        <v>193</v>
      </c>
      <c r="C20" s="56"/>
      <c r="D20" s="56"/>
      <c r="E20" s="33">
        <v>8</v>
      </c>
      <c r="F20" s="27">
        <v>6.25</v>
      </c>
      <c r="G20" s="37">
        <f t="shared" si="0"/>
        <v>0.78125</v>
      </c>
      <c r="H20" s="38" t="str">
        <f t="shared" si="1"/>
        <v>جيد</v>
      </c>
      <c r="I20" s="57"/>
      <c r="J20" s="58"/>
    </row>
    <row r="21" spans="1:10" ht="39.950000000000003" customHeight="1" x14ac:dyDescent="0.2">
      <c r="A21" s="11"/>
      <c r="B21" s="55" t="s">
        <v>194</v>
      </c>
      <c r="C21" s="56"/>
      <c r="D21" s="56"/>
      <c r="E21" s="33">
        <v>8</v>
      </c>
      <c r="F21" s="27">
        <v>6.75</v>
      </c>
      <c r="G21" s="37">
        <f t="shared" si="0"/>
        <v>0.84375</v>
      </c>
      <c r="H21" s="38" t="str">
        <f t="shared" si="1"/>
        <v>جيد جداً</v>
      </c>
      <c r="I21" s="57"/>
      <c r="J21" s="58"/>
    </row>
    <row r="22" spans="1:10" ht="39.950000000000003" customHeight="1" x14ac:dyDescent="0.2">
      <c r="A22" s="11"/>
      <c r="B22" s="55" t="s">
        <v>195</v>
      </c>
      <c r="C22" s="56"/>
      <c r="D22" s="56"/>
      <c r="E22" s="34">
        <v>8</v>
      </c>
      <c r="F22" s="27">
        <v>5.75</v>
      </c>
      <c r="G22" s="37">
        <f t="shared" si="0"/>
        <v>0.71875</v>
      </c>
      <c r="H22" s="38" t="str">
        <f t="shared" si="1"/>
        <v>جيد</v>
      </c>
      <c r="I22" s="57"/>
      <c r="J22" s="58"/>
    </row>
    <row r="23" spans="1:10" ht="39.950000000000003" customHeight="1" thickBot="1" x14ac:dyDescent="0.25">
      <c r="A23" s="11"/>
      <c r="B23" s="49" t="s">
        <v>196</v>
      </c>
      <c r="C23" s="50"/>
      <c r="D23" s="50"/>
      <c r="E23" s="48">
        <v>6</v>
      </c>
      <c r="F23" s="29">
        <v>4.75</v>
      </c>
      <c r="G23" s="42">
        <f t="shared" si="0"/>
        <v>0.79166666666666663</v>
      </c>
      <c r="H23" s="43" t="str">
        <f t="shared" si="1"/>
        <v>جيد</v>
      </c>
      <c r="I23" s="65"/>
      <c r="J23" s="66"/>
    </row>
    <row r="24" spans="1:10" ht="39.950000000000003" customHeight="1" x14ac:dyDescent="0.2">
      <c r="A24" s="11"/>
      <c r="B24" s="53" t="s">
        <v>197</v>
      </c>
      <c r="C24" s="54"/>
      <c r="D24" s="54"/>
      <c r="E24" s="30"/>
      <c r="F24" s="39"/>
      <c r="G24" s="40"/>
      <c r="H24" s="41"/>
      <c r="I24" s="69"/>
      <c r="J24" s="70"/>
    </row>
    <row r="25" spans="1:10" ht="39.950000000000003" customHeight="1" x14ac:dyDescent="0.2">
      <c r="A25" s="11"/>
      <c r="B25" s="55" t="s">
        <v>198</v>
      </c>
      <c r="C25" s="56"/>
      <c r="D25" s="56"/>
      <c r="E25" s="9">
        <v>5</v>
      </c>
      <c r="F25" s="27">
        <v>3.75</v>
      </c>
      <c r="G25" s="37">
        <f t="shared" si="0"/>
        <v>0.75</v>
      </c>
      <c r="H25" s="38" t="str">
        <f t="shared" si="1"/>
        <v>جيد</v>
      </c>
      <c r="I25" s="57"/>
      <c r="J25" s="58"/>
    </row>
    <row r="26" spans="1:10" ht="39.950000000000003" customHeight="1" x14ac:dyDescent="0.2">
      <c r="A26" s="11"/>
      <c r="B26" s="55" t="s">
        <v>199</v>
      </c>
      <c r="C26" s="56"/>
      <c r="D26" s="56"/>
      <c r="E26" s="9">
        <v>5</v>
      </c>
      <c r="F26" s="27">
        <v>4.25</v>
      </c>
      <c r="G26" s="37">
        <f t="shared" si="0"/>
        <v>0.85</v>
      </c>
      <c r="H26" s="38" t="str">
        <f t="shared" si="1"/>
        <v>جيد جداً</v>
      </c>
      <c r="I26" s="57"/>
      <c r="J26" s="58"/>
    </row>
    <row r="27" spans="1:10" ht="39.950000000000003" customHeight="1" x14ac:dyDescent="0.2">
      <c r="A27" s="11"/>
      <c r="B27" s="55" t="s">
        <v>200</v>
      </c>
      <c r="C27" s="56"/>
      <c r="D27" s="56"/>
      <c r="E27" s="31">
        <v>5</v>
      </c>
      <c r="F27" s="27">
        <v>4.25</v>
      </c>
      <c r="G27" s="37">
        <f t="shared" si="0"/>
        <v>0.85</v>
      </c>
      <c r="H27" s="38" t="str">
        <f t="shared" si="1"/>
        <v>جيد جداً</v>
      </c>
      <c r="I27" s="57"/>
      <c r="J27" s="58"/>
    </row>
    <row r="28" spans="1:10" ht="39.950000000000003" customHeight="1" thickBot="1" x14ac:dyDescent="0.25">
      <c r="A28" s="11"/>
      <c r="B28" s="49" t="s">
        <v>201</v>
      </c>
      <c r="C28" s="50"/>
      <c r="D28" s="50"/>
      <c r="E28" s="32">
        <v>5</v>
      </c>
      <c r="F28" s="29">
        <v>4.25</v>
      </c>
      <c r="G28" s="42">
        <f t="shared" si="0"/>
        <v>0.85</v>
      </c>
      <c r="H28" s="43" t="str">
        <f t="shared" si="1"/>
        <v>جيد جداً</v>
      </c>
      <c r="I28" s="65"/>
      <c r="J28" s="66"/>
    </row>
    <row r="29" spans="1:10" ht="30" customHeight="1" thickBot="1" x14ac:dyDescent="0.25">
      <c r="A29" s="4"/>
      <c r="B29" s="61" t="s">
        <v>5</v>
      </c>
      <c r="C29" s="62"/>
      <c r="D29" s="62"/>
      <c r="E29" s="36">
        <f>SUM(E8:E28)</f>
        <v>120</v>
      </c>
      <c r="F29" s="36">
        <f>SUM(F8:F28)</f>
        <v>92.75</v>
      </c>
      <c r="G29" s="94"/>
      <c r="H29" s="95"/>
      <c r="I29" s="95"/>
      <c r="J29" s="96"/>
    </row>
    <row r="30" spans="1:10" ht="30" customHeight="1" thickBot="1" x14ac:dyDescent="0.25">
      <c r="A30" s="4"/>
      <c r="B30" s="63" t="s">
        <v>54</v>
      </c>
      <c r="C30" s="64"/>
      <c r="D30" s="64"/>
      <c r="E30" s="84">
        <f>F29/E29/100*100</f>
        <v>0.7729166666666667</v>
      </c>
      <c r="F30" s="84"/>
      <c r="G30" s="84"/>
      <c r="H30" s="84"/>
      <c r="I30" s="84"/>
      <c r="J30" s="85"/>
    </row>
    <row r="31" spans="1:10" ht="30" customHeight="1" thickBot="1" x14ac:dyDescent="0.25">
      <c r="A31" s="4"/>
      <c r="B31" s="63" t="s">
        <v>55</v>
      </c>
      <c r="C31" s="64"/>
      <c r="D31" s="64"/>
      <c r="E31" s="75" t="str">
        <f>_xlfn.IFS(E30&gt;=90%,"ممتاز",E30&gt;=80%,"جيد جداً",E30&gt;=70%,"جيد",E30&gt;=60%,"مقبول",E30&lt;60%,"راسب")</f>
        <v>جيد</v>
      </c>
      <c r="F31" s="75"/>
      <c r="G31" s="75"/>
      <c r="H31" s="75"/>
      <c r="I31" s="75"/>
      <c r="J31" s="76"/>
    </row>
    <row r="32" spans="1:10" ht="42" customHeight="1" x14ac:dyDescent="0.2">
      <c r="B32" s="71" t="s">
        <v>174</v>
      </c>
      <c r="C32" s="71"/>
      <c r="D32" s="71"/>
      <c r="E32" s="92" t="s">
        <v>52</v>
      </c>
      <c r="F32" s="92"/>
      <c r="G32" s="73" t="s">
        <v>136</v>
      </c>
      <c r="H32" s="73"/>
      <c r="I32" s="73"/>
      <c r="J32" s="73"/>
    </row>
    <row r="33" spans="1:10" ht="51" customHeight="1" x14ac:dyDescent="0.2">
      <c r="A33" s="5"/>
      <c r="B33" s="72"/>
      <c r="C33" s="72"/>
      <c r="D33" s="72"/>
      <c r="E33" s="93" t="s">
        <v>53</v>
      </c>
      <c r="F33" s="93"/>
      <c r="G33" s="74"/>
      <c r="H33" s="74"/>
      <c r="I33" s="74"/>
      <c r="J33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3">
    <mergeCell ref="E32:F32"/>
    <mergeCell ref="E33:F33"/>
    <mergeCell ref="G29:J29"/>
    <mergeCell ref="I9:J9"/>
    <mergeCell ref="I7:J7"/>
    <mergeCell ref="I10:J10"/>
    <mergeCell ref="I18:J18"/>
    <mergeCell ref="I19:J19"/>
    <mergeCell ref="I20:J20"/>
    <mergeCell ref="I28:J28"/>
    <mergeCell ref="I8:J8"/>
    <mergeCell ref="B32:D33"/>
    <mergeCell ref="G32:J32"/>
    <mergeCell ref="G33:J33"/>
    <mergeCell ref="E31:J31"/>
    <mergeCell ref="B1:J1"/>
    <mergeCell ref="F2:J2"/>
    <mergeCell ref="B5:D6"/>
    <mergeCell ref="C2:D2"/>
    <mergeCell ref="C3:D3"/>
    <mergeCell ref="F3:J3"/>
    <mergeCell ref="E30:J30"/>
    <mergeCell ref="B7:D7"/>
    <mergeCell ref="I25:J25"/>
    <mergeCell ref="I26:J26"/>
    <mergeCell ref="E5:H5"/>
    <mergeCell ref="I5:J6"/>
    <mergeCell ref="B29:D29"/>
    <mergeCell ref="B30:D30"/>
    <mergeCell ref="B31:D31"/>
    <mergeCell ref="I11:J11"/>
    <mergeCell ref="I12:J12"/>
    <mergeCell ref="I13:J13"/>
    <mergeCell ref="I14:J14"/>
    <mergeCell ref="I15:J15"/>
    <mergeCell ref="I16:J16"/>
    <mergeCell ref="I17:J17"/>
    <mergeCell ref="I23:J23"/>
    <mergeCell ref="I24:J24"/>
    <mergeCell ref="I21:J21"/>
    <mergeCell ref="I22:J22"/>
    <mergeCell ref="B13:D13"/>
    <mergeCell ref="B14:D14"/>
    <mergeCell ref="B15:D15"/>
    <mergeCell ref="B16:D16"/>
    <mergeCell ref="I27:J27"/>
    <mergeCell ref="B8:D8"/>
    <mergeCell ref="B9:D9"/>
    <mergeCell ref="B10:D10"/>
    <mergeCell ref="B11:D11"/>
    <mergeCell ref="B12:D12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1">
    <cfRule type="expression" dxfId="14" priority="57">
      <formula>$E31="راسب"</formula>
    </cfRule>
  </conditionalFormatting>
  <conditionalFormatting sqref="E31:J31">
    <cfRule type="expression" dxfId="13" priority="58">
      <formula>$E31="مقبول"</formula>
    </cfRule>
    <cfRule type="expression" dxfId="12" priority="59">
      <formula>$E31="جيد"</formula>
    </cfRule>
    <cfRule type="expression" dxfId="11" priority="60">
      <formula>$E31="جيد جداً"</formula>
    </cfRule>
    <cfRule type="expression" dxfId="10" priority="61">
      <formula>$E31="ممتاز"</formula>
    </cfRule>
  </conditionalFormatting>
  <conditionalFormatting sqref="F8:F2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2:J32">
    <cfRule type="containsText" dxfId="6" priority="15" operator="containsText" text="أدخل اسم المحكم">
      <formula>NOT(ISERROR(SEARCH("أدخل اسم المحكم",G32)))</formula>
    </cfRule>
  </conditionalFormatting>
  <conditionalFormatting sqref="H8:H2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G32:J32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F25:F28 F17 F9:F12 F19</xm:sqref>
        </x14:dataValidation>
        <x14:dataValidation type="list" allowBlank="1" showInputMessage="1" showErrorMessage="1" xr:uid="{5EF08E9E-4360-4F41-9E13-5A4A70C8491C}">
          <x14:formula1>
            <xm:f>'بيانات التقييم'!$A$111:$A$153</xm:f>
          </x14:formula1>
          <xm:sqref>F13:F16</xm:sqref>
        </x14:dataValidation>
        <x14:dataValidation type="list" allowBlank="1" showInputMessage="1" showErrorMessage="1" xr:uid="{40CE6A8E-B7DC-4AF7-870C-173C824BBBFB}">
          <x14:formula1>
            <xm:f>'بيانات التقييم'!$A$111:$A$145</xm:f>
          </x14:formula1>
          <xm:sqref>F20:F22</xm:sqref>
        </x14:dataValidation>
        <x14:dataValidation type="list" allowBlank="1" showInputMessage="1" showErrorMessage="1" xr:uid="{1B841FD0-52B8-4C45-8231-BC8AF7832356}">
          <x14:formula1>
            <xm:f>'بيانات التقييم'!$A$111:$A$137</xm:f>
          </x14:formula1>
          <xm:sqref>F23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1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2025-09-25T11:59:05Z</dcterms:modified>
</cp:coreProperties>
</file>