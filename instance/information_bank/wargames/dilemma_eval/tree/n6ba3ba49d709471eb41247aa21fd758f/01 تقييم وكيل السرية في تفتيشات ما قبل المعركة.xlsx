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0481779-8DE9-4233-B7AC-64B18D8674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/>
  <c r="G12" i="2"/>
  <c r="H12" i="2" s="1"/>
  <c r="G13" i="2"/>
  <c r="H13" i="2" s="1"/>
  <c r="G14" i="2"/>
  <c r="H14" i="2"/>
  <c r="G15" i="2"/>
  <c r="H15" i="2" s="1"/>
  <c r="G16" i="2"/>
  <c r="H16" i="2"/>
  <c r="G8" i="2"/>
  <c r="H8" i="2"/>
  <c r="F17" i="2"/>
  <c r="E18" i="2" s="1"/>
  <c r="E19" i="2" s="1"/>
  <c r="E17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<sst xmlns="http://schemas.openxmlformats.org/spreadsheetml/2006/main" count="246" uniqueCount="191">
  <si>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</si>
  <si>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</si>
  <si>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</si>
  <si>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</si>
  <si>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</si>
  <si>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</si>
  <si>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</si>
  <si>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</si>
  <si>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</si>
  <si>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</si>
  <si>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</si>
  <si>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</si>
  <si>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</si>
  <si>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</si>
  <si>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</si>
  <si>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</si>
  <si>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</si>
  <si>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</si>
  <si>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</si>
  <si>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</si>
  <si>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</si>
  <si>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</si>
  <si>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</si>
  <si>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</si>
  <si>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</si>
  <si>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</si>
  <si>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</si>
  <si>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</si>
  <si>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</si>
  <si>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</si>
  <si>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</si>
  <si>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</si>
  <si>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</si>
  <si>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</si>
  <si>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</si>
  <si>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</si>
  <si>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</si>
  <si>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</si>
  <si>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</si>
  <si>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</si>
  <si>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</si>
  <si>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</si>
  <si>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</si>
  <si>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</si>
  <si>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</si>
  <si>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</si>
  <si>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</si>
  <si>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</si>
  <si>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</si>
  <si>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</si>
  <si>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</si>
  <si>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</si>
  <si>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</si>
  <si>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</si>
  <si>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</si>
  <si>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</si>
  <si>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</si>
  <si>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</si>
  <si>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</si>
  <si>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</si>
  <si>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</si>
  <si>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</si>
  <si>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</si>
  <si>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</si>
  <si>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</si>
  <si>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</si>
  <si>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</si>
  <si>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</si>
  <si>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</si>
  <si>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</si>
  <si>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</si>
  <si>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</si>
  <si>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</si>
  <si>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</si>
  <si>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</si>
  <si>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</si>
  <si>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</si>
  <si>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</si>
  <si>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</si>
  <si>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</si>
  <si>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</si>
  <si>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</si>
  <si>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</si>
  <si>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</si>
  <si>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</si>
  <si>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</si>
  <si>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</si>
  <si>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</si>
  <si>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</si>
  <si>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</si>
  <si>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</si>
  <si>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</si>
  <si>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</si>
  <si>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</si>
  <si>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</si>
  <si>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</si>
  <si>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</si>
  <si>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</si>
  <si>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</si>
  <si>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</si>
  <si>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</si>
  <si>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</si>
  <si>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</si>
  <si>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</si>
  <si>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</si>
  <si>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</si>
  <si>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</si>
  <si>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</si>
  <si>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</si>
  <si>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</si>
  <si>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</si>
  <si>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</si>
  <si>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</si>
  <si>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</si>
  <si>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</si>
  <si>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</si>
  <si>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</si>
  <si>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</si>
  <si>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</si>
  <si>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</si>
  <si>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</si>
  <si>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</si>
  <si>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</si>
  <si>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</si>
  <si>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</si>
  <si>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</si>
  <si>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</si>
  <si>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</si>
  <si>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</si>
  <si>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</si>
  <si>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</si>
  <si>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</si>
  <si>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</si>
  <si>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</si>
  <si>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</si>
  <si>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</si>
  <si>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</si>
  <si>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</si>
  <si>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</si>
  <si>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</si>
  <si>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</si>
  <si>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</si>
  <si>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</si>
  <si>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</si>
  <si>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</si>
  <si>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</si>
  <si>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</si>
  <si>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</si>
  <si>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</si>
  <si>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</si>
  <si>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</si>
  <si>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</si>
  <si>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</si>
  <si>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</si>
  <si>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</si>
  <si>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</si>
  <si>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</si>
  <si>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</si>
  <si>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</si>
  <si>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</si>
  <si>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</si>
  <si>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</si>
  <si>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</si>
  <si>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</si>
  <si>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</si>
  <si>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</si>
  <si>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</si>
  <si>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</si>
  <si>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</si>
  <si>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</si>
  <si>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</si>
  <si>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</si>
  <si>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</si>
  <si>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</si>
  <si>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</si>
  <si>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</si>
  <si>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</si>
  <si>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</si>
  <si>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</si>
  <si>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</si>
  <si>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</si>
  <si>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</si>
  <si>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</si>
  <si>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</si>
  <si>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</si>
  <si>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</si>
  <si>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</si>
  <si>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</si>
  <si>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</si>
  <si>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</si>
  <si>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 عيسى راشد ثاني الشميلي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</si>
</sst>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337619</xdr:colOff>
      <xdr:row>20</xdr:row>
      <xdr:rowOff>139108</xdr:rowOff>
    </xdr:from>
    <xdr:to>
      <xdr:col>7</xdr:col>
      <xdr:colOff>264527</xdr:colOff>
      <xdr:row>20</xdr:row>
      <xdr:rowOff>509908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1D8771C-46E4-7ACD-FC67-D8C73A0331F8}"/>
                </a:ext>
              </a:extLst>
            </xdr14:cNvPr>
            <xdr14:cNvContentPartPr/>
          </xdr14:nvContentPartPr>
          <xdr14:nvPr macro=""/>
          <xdr14:xfrm>
            <a:off x="10399638473" y="9052200"/>
            <a:ext cx="585000" cy="370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1D8771C-46E4-7ACD-FC67-D8C73A0331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32353" y="9046080"/>
              <a:ext cx="597240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141767</xdr:colOff>
      <xdr:row>19</xdr:row>
      <xdr:rowOff>522240</xdr:rowOff>
    </xdr:from>
    <xdr:to>
      <xdr:col>9</xdr:col>
      <xdr:colOff>619465</xdr:colOff>
      <xdr:row>20</xdr:row>
      <xdr:rowOff>559948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31C2D12-F270-1A4E-51FF-7A0F0ADA8460}"/>
                </a:ext>
              </a:extLst>
            </xdr14:cNvPr>
            <xdr14:cNvContentPartPr/>
          </xdr14:nvContentPartPr>
          <xdr14:nvPr macro=""/>
          <xdr14:xfrm>
            <a:off x="10397967353" y="8904240"/>
            <a:ext cx="1793880" cy="568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31C2D12-F270-1A4E-51FF-7A0F0ADA846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61233" y="8898120"/>
              <a:ext cx="1806120" cy="581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8:04:3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1529 249 8,'0'0'0,"5"12"16,-3-1 32,-2-11-48,0 13 80,5-9 32,-5 9 48,0-13 128,0 0-288,0 0 440,0-2 240,0 0 64,0 0-56,0 2-688,0-1 472,0-1-264,0 1-40,-3-1-112,3 2-56,-2-1 32,2 0-16,-2-1 40,-3 1 8,5 1-64,-4-2 104,2 1 32,-11-2 17,6 0-1,7 3-152,-11-4 208,6 1-24,-9-1-96,3 0 72,11 4-160,-12-5 128,1 1-8,-4 0 32,0 0-96,15 4-56,-17-6 8,-1 0 32,-4-5 8,4 7 16,18 4-64,-19-6 40,-5-6-16,9 8-40,-4-1 0,19 5 16,-17-12-32,4 8 24,-1-7 0,9 6 40,5 5-32,-11-14 96,8 10 16,1-9 48,0 9-48,2 4-112,0-14 112,0 9-32,2-9-40,5 10-8,-7 4-32,11-13-8,-6 7-8,11-7 24,-2 9 24,-14 4-32,12-11 24,7 7 0,-1-2 24,1-5-16,-19 11-32,16-3 32,1-2 24,-1 1-40,-4 1 48,-12 3-64,11-1 32,-9-1-40,12 2 48,-9 0-88,-5 0 48,14 3-16,-12 2 0,15 6 16,-13-7-32,-4-4 32,14 17-24,-4-3-8,3 5 16,-1 1 40,-12-20-24,11 23 24,1 2 0,2 4-72,-5 0 40,-9-29 8,12 30-16,-9 2-8,8-3-16,-9 3 24,-2-32 16,5 30-64,-5-1 40,0 3 48,0-2-48,0-30 24,0 31 8,0 0-24,-5-1 16,0 2 64,5-32-64,-4 31 32,-7-3 72,3 1-32,-7-2 48,15-27-120,-22 28 208,4 1-96,-3-1 32,-7-1-16,28-27-128,-28 24 96,-7-2 0,-5-1-72,0-1-8,40-20-16,-46 18-8,-12-3 32,2-4 24,-4 0-96,60-11 48,-58 5-40,-5 10 24,-3-11-48,4 9 40,62-13 24,-67 3-24,-1 1-16,-2 1-40,5-3-184,65-2 264,-63 5-704,4 6-824,1-7-257,7 11 289,51-15 1496,-46 2-976,-1 3 488,1-5 264,-3-2 80,49 2 144,-49-13-112,5 8 32,4-11 40,40 16 40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8:04:42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4607 462 16,'0'0'0,"0"0"32,-2 0 40,2 0 32,0 0-104,0-3 200,2 3 80,3-1 88,7-2 40,-12 3-408,2-5 312,2 1-112,1 1-96,-2 0-16,-3 3-88,12-4 64,-7 1 0,9-1-40,-1 0-24,-13 4 0,12-4 0,3-2 32,-4 0 64,6-5 72,-17 11-168,12-4 392,1-9 128,4 7 128,-5-10 49,-12 16-697,17-11 568,-4-1 72,2-1-104,-3 0-16,-12 13-520,2-14 488,12 1-256,-14-1-8,7 0-88,-7 14-136,2-17 96,1 1 16,-3 0-104,0 1-40,0 15 32,0-16-40,0 0-40,0 1 48,-3 1-16,3 14 48,0-15-40,-2 2 40,-5 0-32,4 1 48,3 12-16,0-11-24,-5 5-16,3-6 16,1 7 16,1 5 8,-3-12 8,3 7 24,0 1 0,-2-2-40,2 6 8,-3-4-64,1 0-8,0 1-48,-3 0 0,5 3 120,-8-1-56,-4 1-32,8 0 16,-10 2 24,14-2 48,-5 5-88,-4-2 16,4-1 24,0 3-8,5-5 56,-7 4 0,5 0-96,-5 1-16,5-1 8,2-4 104,-5 13-128,0-11 64,3 3 8,-1 9 40,3-14 16,-4 3-88,4 10 40,-5-9-16,5 11-24,0-15 88,0 14 0,-3-1-16,3 3 56,0 1-56,0-17 16,0 20-24,3 0 16,-3 1-56,0 2 88,0-23-24,0 22 24,0 0-24,0-2 16,-3-1-56,3-19 40,-2 21-88,-3-1 88,3 2-8,2-1 64,0-21-56,-4 20 80,-1 1-88,3 2-24,2 0 32,0-23 0,-3 24-32,1 0 32,0 0 48,-1 0-80,3-24 32,-2 23 16,2 1-24,-3-2-16,3 1 16,0-23 8,0 22-32,-2 0-16,-3 1 48,5 0-96,0-23 96,-2 24-64,-1-3 104,-1-1-64,-1 0 112,5-20-88,-4 17 40,-6 1 8,6-1-32,-9 0 32,13-17-48,-12 17 80,8-2-48,-10-1 0,9 0 8,5-14-40,-12 13 24,8 0-64,-8 0 120,10 0-64,2-13-16,-7 14-40,2 1 88,-2-1-64,4 1 40,3-15-24,-7 15 72,2 0-56,3 2-16,-3 0-16,5-17 16,-4 18 40,-8-3-40,8-1 48,-11-1-32,15-13-16,-14 12-32,0 0 56,2-8-128,0 10 128,12-14-24,-13 5-32,3 10 32,-2-10 72,0 7-64,12-12-8,-11 5 96,-1 6-56,0-8-40,-2 1 8,14-4-8,-9 4-80,-3 1 72,7-1 24,-12 0-16,17-4 0,-11 3 48,-3 0-32,2 0 24,0 0-16,12-3-24,-11 2 0,-6-2 24,3 0 0,9 0-80,5 0 56,-14 0 40,9 0-16,-9 0-40,9 0 112,5 0-96,-12-2 80,8-3 0,0 2 32,1-1 40,3 4-152,-5-3 232,1 0-40,4-1 24,-5 1 0,5 3-216,0-2 184,0-1 32,0 0-8,0-1-72,0 4-136,0-3 72,2-2-16,1 1-56,1 0 8,-4 4-8,12-11-16,-9 8 24,1-3 32,5-5-56,-9 11 16,0-5 24,12-6-24,-9 7-32,-1-2 80,-2 6-48,5-12 0,-3 7 24,1-6 0,-1 7-40,-2 4 16,5-12 24,-4 8-24,-1-2 0,3-5 56,-3 11-56,2-4 17,-2-8-34,0 10-23,3-1 8,-3 3 32,0-3-40,0 0 16,0 2 0,0-1-56,0 2 80,0 0-96,-3 0 0,1 0-32,2 3 72,0-3 56,-4 3-24,-8 1 8,7 0 16,0 8-16,5-12 16,-7 3-32,-5 1 8,10 10 40,-5-11-64,7-3 48,-12 13-24,8-10 48,-8 8-40,9-8 8,3-3 8,-13 11-8,5-7-40,-4 7 16,0-8 24,12-3 8,-12 5 32,1-1-56,-1 7 24,0-11-40,12 0 40,-4 4 0,-12-1 8,11 0 32,-7 0 16,12-3-56,-12 3 16,5-3-8,-7 0-16,9 0 8,5 0 0,-14 0 0,12 0 8,-1 0 48,-4 0 56,7 0-112,-2-2 104,0 1 48,0-3 40,-1-1-88,3 5-104,-2-5 137,2-7 31,0 8-24,2-2 16,-2 6-160,5-13 128,-1 8-48,6 0-16,-6-8 24,-4 13-88,5-4 96,7-2-48,-9-5-40,4 9 8,-7 2-16,2-4 32,0 0-16,2 2-16,-1 1-40,-3 1 40,0-2-128,0 2-96,0 0-24,0 0 24,0 0 224,-3 0-192,3 3 63,-4 0 89,2 1 8,2-4 32,-5 5-64,-11 6 56,1-8 40,-1 8-96,16-11 64,-17 3 8,3 10 0,3-8-96,-3 8 160,14-13-72,-20 4-24,4 12 16,-3-12 32,-4 10-64,23-14 40,-19 4 16,-3 9-48,2-10 24,-2 1 16,22-4-8,-16 12 0,-3-9 0,4-1-8,4 1-8,11-3 16,-12 0 8,5 3 40,2-3 8,1 0 40,4 0-96,0 0 137,-3 0 55,1-1 64,2-1 32,0 2-288,0-4 200,0 0-56,5-2-56,-1 0-80,-4 6-8,15-11 24,-10 7-24,8-2-24,-11-5 16,-2 11 8,12-5 0,-9 1 8,2-7 8,9 9-32,-14 2 16,3-4 32,-3 0-40,4 1-24,-4 0 40,0 3-8,3-1 0,-3-1-16,0 1 24,0-1-32,0 2 24,0-1-104,0 1-24,0 0-8,0 0-8,0 0 144,-7 0-80,-3 0 48,-5 0 16,1 0 0,14 0 16,-18 3 0,-6-3 0,3 0 0,-5 0 0,26 0 0,-26 0 0,-4 0-8,-1 0 0,-7 0 16,38 0-8,-42 0 24,-3 0-16,-4 0-8,-6 0 16,55 0-16,-58 0 0,-6 0 16,-4 0-8,-5-2 0,73 2-8,-82-1 56,-3-1 24,-11 0 16,-6-1-32,102 3-64,-106-1 40,-2 0 32,-8 1-24,6 0 16,110 0-64,-116 0 24,-1 0-64,-6 2 16,1-2-88,122 0 112,-118 3-72,1 1 8,2-1-56,60-3 160,55 0-40,-71 3 64,3-3 16,-14 3 16,-1-3-120,83 0 24,-94 0-72,4 0 8,-11 0 56,5-2 96,96 2-88,-89-4 128,3-1 64,44 2 200,0 0 56,42 3-448,-38-3 448,-2 2-72,5-2-128,-5 0-192,40 3-56,-33-3 128,0 0-32,5 0-8,-1 2 152,29 1-240,-20-1 256,-4-2 144,9 1-160,2 0-7,13 2-233,-5-3 144,0 0-144,5-1 144,12-1-240,-12 5 96,35-12-120,15 6 80,14-10-64,11 3 224,-75 13-120,82-14 184,15 0-64,4 1 48,-4-1-80,-97 14-88,102-13 0,31-4-152,102-7-288,-13-1-337,-222 25 777,206-19-1240,-38 5-248,11-2-241,5-1-7,-184 17 1736,188-18-1536,2-2 343,3 2 465,5 0 352,-198 18 376,193-17-32,4 5 216,-8 0 192,-6 8 320,-183 4-696,179-4 921,-9 1 175,-8 3 32,-11 0-184,-151 0-944,137 14 737,-17-10-241,-21 15-216,-17-8-136,-82-11-144,61 13 40,-14 1-40,-14-1-152,-9-2-8,-24-11 160,16 12-336,-11-8-281,-3 7 1,-7-11 80,5 0 536,-18 3-336,-12-3 304,-13 0 200,-16-3 80,59 3-248,-78-12 328,-16-1 0,-11-1 16,-14-2-23,119 16-321,-129-16 176,-12 2-24,-10-2-72,-16 1-56,167 15-24,-181-16 80,-5 2-16,-7-1-64,-2 3-40,195 12 40,-198-5 0,2-8-24,-2 10 24,1-3 32,197 6-32,-200-5 8,2-1 0,1 2 24,105 2-104,92 2 72,-116-1-8,6-1-32,-16 2 0,7 0-64,119 0 104,-134 0-128,13 0-48,-11 0-17,15 0 129,117 0 64,-52 3-8,3-3 144,9 0 33,-5 0 255,45 0-424,-29 3 488,1-3-192,-4 0 64,29 0-208,3 0-152,21 3 80,31 0 128,24 0 24,22 1-112,-98-4-120,125 3 88,40 1-72,124 9-72,-4-9-32,-285-4 88,259 4-256,-56 8-88,8-9-136,-3 2-288,-208-5 768,207 4-745,-7-1 113,-5 1 136,-18-1 344,-177-3 152,157 3-24,-20 0 48,-21-3 24,-17 0-16,-99 0-32,80 0-24,-21 0-184,-17-2-296,-14-1-360,-28 3 864,5-5-944,-5-8-1,-24 1 177,-14-4 304,38 16 464,-57-18-352,-22-2 216,-11-3 152,-14-1 112,104 24-128,-115-24 208,-7-2 64,-10 0 32,-9 1 40,141 25-344,-143-25 432,-3 2 49,-3 0 71,5 0 0,144 23-552,-139-20 504,3 1 8,4 0-8,10 3 8,122 16-512,-118-14 496,14 3-48,17 0-119,12 6-25,75 5-304,-57-11 168,13 9-8,11-2-48,18 1-8,15 3-104,-4-1 368,4 0-8,4-2-8,23-2-72,-27 5-280,30-5 40,13-1-80,13 1-32,3 0 0,-59 5 72,71-4-88,1 0-64,9 0 40,-1-8-56,-80 12 168,77-5-152,1-10 112,-5 3-8,2-1 8,-75 13 40,74-13-80,-7 2 16,2 5-104,-8-7 24,-61 13 144,59-4-184,-5 0-24,-7-2 32,0 3-32,-47 3 208,45-1-201,-12 1-47,-7 4-32,-10 13 0,-16-17 280,12 16-296,-7 6 72,-3 5 112,1 8 16,-3-35 96,0 40 56,-3 4-16,-9 6 8,12-50-48,-12 54 40,12-54-40,-16 60-72,-1 3 96,-1 4-40,-11 3 16,29-70 0,-25 71 8,1 1 32,-2 2-32,5 4 8,21-78-16,-11 79-8,8 2-280,1 0-968,2-6-1081,0-75 2337,0 70-1920,0-8 616,-3-12 752,1-16 416,2-34 136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B1" zoomScale="130" zoomScaleNormal="100" zoomScaleSheetLayoutView="13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189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40</v>
      </c>
      <c r="D2" s="65"/>
      <c r="E2" s="12" t="s">
        <v>7</v>
      </c>
      <c r="F2" s="60">
        <v>45945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190</v>
      </c>
      <c r="D3" s="65"/>
      <c r="E3" s="12" t="s">
        <v>6</v>
      </c>
      <c r="F3" s="65" t="s">
        <v>160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180</v>
      </c>
      <c r="C8" s="58"/>
      <c r="D8" s="58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5"/>
      <c r="J8" s="56"/>
    </row>
    <row r="9" spans="1:10" ht="39.9" customHeight="1" x14ac:dyDescent="0.3">
      <c r="A9" s="10"/>
      <c r="B9" s="39" t="s">
        <v>181</v>
      </c>
      <c r="C9" s="40"/>
      <c r="D9" s="40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" customHeight="1" x14ac:dyDescent="0.3">
      <c r="A10" s="10"/>
      <c r="B10" s="39" t="s">
        <v>182</v>
      </c>
      <c r="C10" s="40"/>
      <c r="D10" s="40"/>
      <c r="E10" s="9">
        <v>5</v>
      </c>
      <c r="F10" s="26">
        <v>3.5</v>
      </c>
      <c r="G10" s="30">
        <f t="shared" ref="G10:G16" si="0">IFERROR(F10/E10,"")</f>
        <v>0.7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9.9" customHeight="1" x14ac:dyDescent="0.3">
      <c r="A11" s="10"/>
      <c r="B11" s="39" t="s">
        <v>183</v>
      </c>
      <c r="C11" s="40"/>
      <c r="D11" s="40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1"/>
      <c r="J11" s="42"/>
    </row>
    <row r="12" spans="1:10" ht="39.9" customHeight="1" x14ac:dyDescent="0.3">
      <c r="A12" s="10"/>
      <c r="B12" s="39" t="s">
        <v>184</v>
      </c>
      <c r="C12" s="40"/>
      <c r="D12" s="40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1"/>
      <c r="J12" s="42"/>
    </row>
    <row r="13" spans="1:10" ht="39.9" customHeight="1" x14ac:dyDescent="0.3">
      <c r="A13" s="10"/>
      <c r="B13" s="39" t="s">
        <v>185</v>
      </c>
      <c r="C13" s="40"/>
      <c r="D13" s="40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1"/>
      <c r="J13" s="42"/>
    </row>
    <row r="14" spans="1:10" ht="39.9" customHeight="1" x14ac:dyDescent="0.3">
      <c r="A14" s="10"/>
      <c r="B14" s="39" t="s">
        <v>186</v>
      </c>
      <c r="C14" s="40"/>
      <c r="D14" s="4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1"/>
      <c r="J14" s="42"/>
    </row>
    <row r="15" spans="1:10" ht="39.9" customHeight="1" x14ac:dyDescent="0.3">
      <c r="A15" s="10"/>
      <c r="B15" s="39" t="s">
        <v>187</v>
      </c>
      <c r="C15" s="40"/>
      <c r="D15" s="40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1"/>
      <c r="J15" s="42"/>
    </row>
    <row r="16" spans="1:10" ht="39.9" customHeight="1" thickBot="1" x14ac:dyDescent="0.35">
      <c r="A16" s="10"/>
      <c r="B16" s="45" t="s">
        <v>188</v>
      </c>
      <c r="C16" s="46"/>
      <c r="D16" s="46"/>
      <c r="E16" s="36">
        <v>5</v>
      </c>
      <c r="F16" s="27">
        <v>3.75</v>
      </c>
      <c r="G16" s="37">
        <f t="shared" si="0"/>
        <v>0.75</v>
      </c>
      <c r="H16" s="38" t="str">
        <f t="shared" si="1"/>
        <v>جيد</v>
      </c>
      <c r="I16" s="43"/>
      <c r="J16" s="44"/>
    </row>
    <row r="17" spans="1:10" ht="30" customHeight="1" thickBot="1" x14ac:dyDescent="0.35">
      <c r="A17" s="4"/>
      <c r="B17" s="79" t="s">
        <v>5</v>
      </c>
      <c r="C17" s="80"/>
      <c r="D17" s="80"/>
      <c r="E17" s="29">
        <f>SUM(E8:E16)</f>
        <v>45</v>
      </c>
      <c r="F17" s="29">
        <f>SUM(F8:F16)</f>
        <v>33</v>
      </c>
      <c r="G17" s="68"/>
      <c r="H17" s="69"/>
      <c r="I17" s="69"/>
      <c r="J17" s="70"/>
    </row>
    <row r="18" spans="1:10" ht="30" customHeight="1" thickBot="1" x14ac:dyDescent="0.35">
      <c r="A18" s="4"/>
      <c r="B18" s="81" t="s">
        <v>52</v>
      </c>
      <c r="C18" s="82"/>
      <c r="D18" s="82"/>
      <c r="E18" s="77">
        <f>F17/E17/100*100</f>
        <v>0.73333333333333328</v>
      </c>
      <c r="F18" s="77"/>
      <c r="G18" s="77"/>
      <c r="H18" s="77"/>
      <c r="I18" s="77"/>
      <c r="J18" s="78"/>
    </row>
    <row r="19" spans="1:10" ht="30" customHeight="1" thickBot="1" x14ac:dyDescent="0.35">
      <c r="A19" s="4"/>
      <c r="B19" s="81" t="s">
        <v>53</v>
      </c>
      <c r="C19" s="82"/>
      <c r="D19" s="82"/>
      <c r="E19" s="75" t="str">
        <f>_xlfn.IFS(E18&gt;=90%,"ممتاز",E18&gt;=80%,"جيد جداً",E18&gt;=70%,"جيد",E18&gt;=60%,"مقبول",E18&lt;60%,"راسب")</f>
        <v>جيد</v>
      </c>
      <c r="F19" s="75"/>
      <c r="G19" s="75"/>
      <c r="H19" s="75"/>
      <c r="I19" s="75"/>
      <c r="J19" s="76"/>
    </row>
    <row r="20" spans="1:10" ht="42" customHeight="1" x14ac:dyDescent="0.3">
      <c r="B20" s="71" t="s">
        <v>172</v>
      </c>
      <c r="C20" s="71"/>
      <c r="D20" s="71"/>
      <c r="E20" s="66" t="s">
        <v>50</v>
      </c>
      <c r="F20" s="66"/>
      <c r="G20" s="73" t="s">
        <v>160</v>
      </c>
      <c r="H20" s="73"/>
      <c r="I20" s="73"/>
      <c r="J20" s="73"/>
    </row>
    <row r="21" spans="1:10" ht="51" customHeight="1" x14ac:dyDescent="0.3">
      <c r="A21" s="5"/>
      <c r="B21" s="72"/>
      <c r="C21" s="72"/>
      <c r="D21" s="72"/>
      <c r="E21" s="67" t="s">
        <v>51</v>
      </c>
      <c r="F21" s="67"/>
      <c r="G21" s="74"/>
      <c r="H21" s="74"/>
      <c r="I21" s="74"/>
      <c r="J21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2025-10-15T21:44:46Z</dcterms:modified>
</cp:coreProperties>
</file>