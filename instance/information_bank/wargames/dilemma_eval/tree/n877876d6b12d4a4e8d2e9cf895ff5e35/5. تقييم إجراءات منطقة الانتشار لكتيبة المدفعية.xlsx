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C89490E7-8897-6D44-B1FB-8F16D9E0B469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8" i="2"/>
  <c r="H28" i="2"/>
  <c r="G29" i="2"/>
  <c r="H29" i="2"/>
  <c r="G30" i="2"/>
  <c r="H30" i="2"/>
  <c r="G31" i="2"/>
  <c r="H31" i="2"/>
  <c r="F32" i="2"/>
  <c r="E32" i="2"/>
  <c r="E33" i="2"/>
  <c r="E34" i="2"/>
</calcChain>
</file>

<file path=xl/sharedStrings.xml><?xml version="1.0" encoding="utf-8"?>
<sst xmlns="http://schemas.openxmlformats.org/spreadsheetml/2006/main" count="261" uniqueCount="205">
  <si>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</si>
  <si>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</si>
  <si>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</si>
  <si>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</si>
  <si>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</si>
  <si>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</si>
  <si>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</si>
  <si>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</si>
  <si>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</si>
  <si>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</si>
  <si>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</si>
  <si>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</si>
  <si>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</si>
  <si>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</si>
  <si>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</si>
  <si>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</si>
  <si>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</si>
  <si>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</si>
  <si>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</si>
  <si>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</si>
  <si>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</si>
  <si>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</si>
  <si>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</si>
  <si>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</si>
  <si>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</si>
  <si>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</si>
  <si>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</si>
  <si>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</si>
  <si>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</si>
  <si>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</si>
  <si>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</si>
  <si>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</si>
  <si>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</si>
  <si>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</si>
  <si>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</si>
  <si>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</si>
  <si>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</si>
  <si>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</si>
  <si>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</si>
  <si>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</si>
  <si>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</si>
  <si>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</si>
  <si>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</si>
  <si>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</si>
  <si>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</si>
  <si>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</si>
  <si>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</si>
  <si>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</si>
  <si>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</si>
  <si>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</si>
  <si>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</si>
  <si>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</si>
  <si>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</si>
  <si>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</si>
  <si>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</si>
  <si>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</si>
  <si>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</si>
  <si>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</si>
  <si>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</si>
  <si>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</si>
  <si>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</si>
  <si>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</si>
  <si>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</si>
  <si>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</si>
  <si>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</si>
  <si>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</si>
  <si>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</si>
  <si>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</si>
  <si>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</si>
  <si>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</si>
  <si>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</si>
  <si>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</si>
  <si>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</si>
  <si>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</si>
  <si>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</si>
  <si>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</si>
  <si>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</si>
  <si>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</si>
  <si>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</si>
  <si>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</si>
  <si>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</si>
  <si>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</si>
  <si>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</si>
  <si>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</si>
  <si>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</si>
  <si>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</si>
  <si>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</si>
  <si>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</si>
  <si>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</si>
  <si>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</si>
  <si>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</si>
  <si>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</si>
  <si>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</si>
  <si>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</si>
  <si>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</si>
  <si>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</si>
  <si>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</si>
  <si>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</si>
  <si>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</si>
  <si>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</si>
  <si>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</si>
  <si>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</si>
  <si>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</si>
  <si>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</si>
  <si>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</si>
  <si>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</si>
  <si>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</si>
  <si>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</si>
  <si>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</si>
  <si>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</si>
  <si>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</si>
  <si>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</si>
  <si>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</si>
  <si>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</si>
  <si>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</si>
  <si>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</si>
  <si>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</si>
  <si>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</si>
  <si>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</si>
  <si>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</si>
  <si>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</si>
  <si>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</si>
  <si>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</si>
  <si>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</si>
  <si>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</si>
  <si>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</si>
  <si>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</si>
  <si>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</si>
  <si>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</si>
  <si>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</si>
  <si>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</si>
  <si>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</si>
  <si>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</si>
  <si>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</si>
  <si>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</si>
  <si>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</si>
  <si>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</si>
  <si>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</si>
  <si>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</si>
  <si>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</si>
  <si>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</si>
  <si>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</si>
  <si>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</si>
  <si>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</si>
  <si>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</si>
  <si>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</si>
  <si>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</si>
  <si>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</si>
  <si>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</si>
  <si>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</si>
  <si>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</si>
  <si>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</si>
  <si>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</si>
  <si>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</si>
  <si>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</si>
  <si>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</si>
  <si>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</si>
  <si>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</si>
  <si>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</si>
  <si>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</si>
  <si>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</si>
  <si>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</si>
  <si>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</si>
  <si>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</si>
  <si>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</si>
  <si>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</si>
  <si>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</si>
  <si>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</si>
  <si>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</si>
  <si>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</si>
  <si>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</si>
  <si>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</si>
  <si>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</si>
  <si>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</si>
  <si>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</si>
  <si>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</si>
  <si>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</si>
  <si>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</si>
  <si>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</si>
  <si>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</si>
  <si>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</t>
  </si>
  <si>
    <t>1. إبلاغ المرؤوسين بالبدء بتنفيذ خطة التحرك لمناطق الانتشار.</t>
  </si>
  <si>
    <t>2. إرسال مجموعات الحماية والاستطلاع والأدلاء إلى مناطق الانتشار.</t>
  </si>
  <si>
    <t>3. تحميل وثائق العمليات.</t>
  </si>
  <si>
    <t>4. يبدأ الضابط المسؤول عن مجموعة المؤخرة في تنفيذ التعليمات.</t>
  </si>
  <si>
    <t>إجراءات القادة والقوات أثناء التحرك لمناطق الانتشار</t>
  </si>
  <si>
    <t>5. التقيد بتنفيذ إجراءات التحرك حسب أمر / جدول التنقل.</t>
  </si>
  <si>
    <t>6. سيطرة القادة على قواتهم أثناء التحرك.</t>
  </si>
  <si>
    <t>7. توفر الحماية للقوات أثناء التحرك.</t>
  </si>
  <si>
    <t>8. تحقيـق الاتصال بالمستـوى الأعلى والادنى.</t>
  </si>
  <si>
    <t>تجهيز وإعداد مناطق الانتشار والإجراءات المتخذة فيها</t>
  </si>
  <si>
    <t>9. التأكد من توزيع المعدات بالطريقة الصحيحة مع تقسيم منطقة الانتشار إلى قطاعات.</t>
  </si>
  <si>
    <t>10. مدى جاهزية القوة للقيام بالدفاع عن منطقة الانتشار حسب خطة الدفاع والحراسة.</t>
  </si>
  <si>
    <t>11. وجود خطة النيـــران.</t>
  </si>
  <si>
    <t>12. التأكد من الإخفاء والتمويه.</t>
  </si>
  <si>
    <t>13. التأكد من فتح وإدامة مراكز القيادة والاتصالات والسيطرة.</t>
  </si>
  <si>
    <t>14. وجود خطة التأمين الكيميائي.</t>
  </si>
  <si>
    <t>15. التأكد من تأمين مناطق الانتشار بالاتصالات.</t>
  </si>
  <si>
    <t>16. وجود تعليمات الإنـــذار.</t>
  </si>
  <si>
    <t>إجراءات الإسناد الإداري</t>
  </si>
  <si>
    <t>17. التزويد (الوقود / الأرزاق / المياه، الخ..).</t>
  </si>
  <si>
    <t>18. الإخـلاء.</t>
  </si>
  <si>
    <t>19. الإنقـاذ.</t>
  </si>
  <si>
    <t>20. الطرق الرئيسة والتبادلية المؤديـة إلى ومن مناطق الانتشــار.</t>
  </si>
  <si>
    <r>
      <rPr>
        <b/>
        <sz val="14"/>
        <color rgb="FF000000"/>
        <rFont val="Arial"/>
        <family val="2"/>
      </rPr>
      <t>تقييم إجراءات منطقة الانتشار لكتيبة المدفعية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</si>
</sst>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 applyProtection="1">
      <alignment horizontal="right" vertical="center" wrapText="1" readingOrder="2"/>
    </xf>
    <xf numFmtId="0" fontId="12" fillId="0" borderId="12" xfId="0" applyFont="1" applyBorder="1" applyAlignment="1" applyProtection="1">
      <alignment horizontal="right" vertical="center" wrapText="1" readingOrder="2"/>
    </xf>
    <xf numFmtId="0" fontId="14" fillId="0" borderId="11" xfId="0" applyFont="1" applyBorder="1" applyAlignment="1" applyProtection="1">
      <alignment horizontal="right" vertical="center" wrapText="1" readingOrder="2"/>
    </xf>
    <xf numFmtId="0" fontId="14" fillId="0" borderId="12" xfId="0" applyFont="1" applyBorder="1" applyAlignment="1" applyProtection="1">
      <alignment horizontal="right" vertical="center" wrapText="1" readingOrder="2"/>
    </xf>
    <xf numFmtId="0" fontId="13" fillId="0" borderId="5" xfId="0" applyFont="1" applyBorder="1" applyAlignment="1" applyProtection="1">
      <alignment horizontal="right" vertical="center" wrapText="1" readingOrder="2"/>
    </xf>
    <xf numFmtId="0" fontId="13" fillId="0" borderId="4" xfId="0" applyFont="1" applyBorder="1" applyAlignment="1" applyProtection="1">
      <alignment horizontal="right" vertical="center" wrapText="1" readingOrder="2"/>
    </xf>
    <xf numFmtId="0" fontId="12" fillId="0" borderId="23" xfId="0" applyFont="1" applyBorder="1" applyAlignment="1" applyProtection="1">
      <alignment horizontal="right" vertical="center" wrapText="1" readingOrder="2"/>
    </xf>
    <xf numFmtId="0" fontId="12" fillId="0" borderId="3" xfId="0" applyFont="1" applyBorder="1" applyAlignment="1" applyProtection="1">
      <alignment horizontal="right" vertical="center" wrapText="1" readingOrder="2"/>
    </xf>
    <xf numFmtId="0" fontId="1" fillId="0" borderId="5" xfId="0" applyFont="1" applyBorder="1" applyAlignment="1" applyProtection="1">
      <alignment horizontal="right" vertical="center" wrapText="1" readingOrder="2"/>
    </xf>
    <xf numFmtId="0" fontId="1" fillId="0" borderId="4" xfId="0" applyFont="1" applyBorder="1" applyAlignment="1" applyProtection="1">
      <alignment horizontal="right" vertical="center" wrapText="1" readingOrder="2"/>
    </xf>
    <xf numFmtId="0" fontId="14" fillId="0" borderId="23" xfId="0" applyFont="1" applyBorder="1" applyAlignment="1" applyProtection="1">
      <alignment horizontal="right" vertical="center" wrapText="1" readingOrder="2"/>
    </xf>
    <xf numFmtId="0" fontId="14" fillId="0" borderId="3" xfId="0" applyFont="1" applyBorder="1" applyAlignment="1" applyProtection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34322</xdr:colOff>
      <xdr:row>34</xdr:row>
      <xdr:rowOff>404890</xdr:rowOff>
    </xdr:from>
    <xdr:to>
      <xdr:col>9</xdr:col>
      <xdr:colOff>346408</xdr:colOff>
      <xdr:row>35</xdr:row>
      <xdr:rowOff>533530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8FCD6EB-A2F8-D4EA-2EDD-A0FD0164EC55}"/>
                </a:ext>
              </a:extLst>
            </xdr14:cNvPr>
            <xdr14:cNvContentPartPr/>
          </xdr14:nvContentPartPr>
          <xdr14:nvPr macro=""/>
          <xdr14:xfrm>
            <a:off x="10436047156" y="13615200"/>
            <a:ext cx="2286360" cy="6620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8FCD6EB-A2F8-D4EA-2EDD-A0FD0164EC5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038156" y="13606560"/>
              <a:ext cx="2304000" cy="67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581522</xdr:colOff>
      <xdr:row>36</xdr:row>
      <xdr:rowOff>145168</xdr:rowOff>
    </xdr:from>
    <xdr:to>
      <xdr:col>6</xdr:col>
      <xdr:colOff>581882</xdr:colOff>
      <xdr:row>36</xdr:row>
      <xdr:rowOff>145528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90A7407-C21F-8055-3809-1DF3CEEC19FC}"/>
                </a:ext>
              </a:extLst>
            </xdr14:cNvPr>
            <xdr14:cNvContentPartPr/>
          </xdr14:nvContentPartPr>
          <xdr14:nvPr macro=""/>
          <xdr14:xfrm>
            <a:off x="10437785956" y="1454004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90A7407-C21F-8055-3809-1DF3CEEC19F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7776956" y="145314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9T06:38:45.1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6350 723,'0'0,"0"0,0 0,0 0,0 0,0 0,-19 0,-19 0,18 9,1 1,-58-10,7 10,5-1,-108 10,75-9,4 0,-137 28,115-28,1-1,-154 30,121-20,7 0,-205 20,171-10,3-1,-174 30,161-19,4-1,-165 39,174-39,-2 1,-134 19,153-19,2-1,-194 39,201-48,4-1,-89 30,153-38,2-1,-20 19,47-28,2-1,-30 11,57-11,1 1,-19 9,18-19,1 0,0 0,9 10,1-1,-11-9,11 0,38 20,-20-20,1 0,67 0,-12-10,5 0,103-9,-50 10,4-1,142-29,-156 11,5-1,94-10,-119 21,6-2,382-96,-242 49,3 0,105-30,-164 40,-1-1,184-19,-190 28,-6 2,157-30,-181 48,-3 0,88-29,-144 49,-1-1,30-28,-68 38,0 0,10-20,-49 20,1 0,9 20,-9-20,-1 0,11 0,-30 0,0 0,-28 0,-1 9,1 1,-78-10,28 10,3-1,-146 10,104-9,4 0,-185 9,141-9,7-1,-186 10,170 1,5-1,-175 19,163-9,0 0,-201 29,191-20,1 1,-212 38,219-38,4-1,-185 58,191-57,4-1,-79 39,161-58,5 0,-32 20,87-29,1-1,8-9,30 0,0 0,47 0,-37 0,-1 0,154-19,-55-1,-5 1,195-38,-122 17,-7 3,245-60,-197 48,-12 2,209-49,-208 47,-9 2,216-50,-211 59,0 0,172-39,-190 38,-3 1,136-20,-180 38,-5 1,31-19,-114 28,-2 1,39-11,-67 20,0 0,-1 0,-76 0,20 0,-1 0,-125 39,37-29,3-1,-194 49,124-39,2 0,-222 39,179-19,8-1,-207 39,212-48,1 0,-193 48,219-58,4 0,-127 39,193-48,-1-1,-18-9,85-10,2 1,8-10,39 9,0 0,39-9,-20-10,0 0,116-48,-37 18,-4 3,137-79,-102 66,-8 4,168-89,-140 74,-9 6,52-22,-124 66,-1 2,48-11,-85 20,-2 0,30 0,-30 9,-37 39,19-29,-1 0,10 19,-9 1,0-1,-10 19,9 1,1-1,9 58,-10-41,1 6,-10-61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9T06:38:45.5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1,'0'0,"0"0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6"/>
  <sheetViews>
    <sheetView rightToLeft="1" tabSelected="1" view="pageBreakPreview" topLeftCell="A19" zoomScale="130" zoomScaleNormal="100" zoomScaleSheetLayoutView="130" workbookViewId="0">
      <selection activeCell="F21" sqref="F21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9" t="s">
        <v>204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2">
      <c r="B2" s="12" t="s">
        <v>8</v>
      </c>
      <c r="C2" s="75" t="s">
        <v>48</v>
      </c>
      <c r="D2" s="75"/>
      <c r="E2" s="12" t="s">
        <v>7</v>
      </c>
      <c r="F2" s="70">
        <v>45934</v>
      </c>
      <c r="G2" s="70"/>
      <c r="H2" s="70"/>
      <c r="I2" s="70"/>
      <c r="J2" s="70"/>
    </row>
    <row r="3" spans="1:10" ht="30" customHeight="1" x14ac:dyDescent="0.2">
      <c r="B3" s="12" t="s">
        <v>9</v>
      </c>
      <c r="C3" s="75" t="s">
        <v>68</v>
      </c>
      <c r="D3" s="75"/>
      <c r="E3" s="12" t="s">
        <v>6</v>
      </c>
      <c r="F3" s="75" t="s">
        <v>97</v>
      </c>
      <c r="G3" s="75"/>
      <c r="H3" s="75"/>
      <c r="I3" s="75"/>
      <c r="J3" s="75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1" t="s">
        <v>0</v>
      </c>
      <c r="C5" s="72"/>
      <c r="D5" s="72"/>
      <c r="E5" s="80" t="s">
        <v>1</v>
      </c>
      <c r="F5" s="80"/>
      <c r="G5" s="80"/>
      <c r="H5" s="80"/>
      <c r="I5" s="80" t="s">
        <v>2</v>
      </c>
      <c r="J5" s="81"/>
    </row>
    <row r="6" spans="1:10" ht="24.95" customHeight="1" thickBot="1" x14ac:dyDescent="0.25">
      <c r="A6" s="10"/>
      <c r="B6" s="73"/>
      <c r="C6" s="74"/>
      <c r="D6" s="74"/>
      <c r="E6" s="11" t="s">
        <v>3</v>
      </c>
      <c r="F6" s="11" t="s">
        <v>4</v>
      </c>
      <c r="G6" s="11" t="s">
        <v>23</v>
      </c>
      <c r="H6" s="11" t="s">
        <v>24</v>
      </c>
      <c r="I6" s="82"/>
      <c r="J6" s="83"/>
    </row>
    <row r="7" spans="1:10" ht="24.95" customHeight="1" thickBot="1" x14ac:dyDescent="0.25">
      <c r="A7" s="10"/>
      <c r="B7" s="78" t="s">
        <v>21</v>
      </c>
      <c r="C7" s="79"/>
      <c r="D7" s="79"/>
      <c r="E7" s="28" t="s">
        <v>18</v>
      </c>
      <c r="F7" s="28" t="s">
        <v>19</v>
      </c>
      <c r="G7" s="28" t="s">
        <v>22</v>
      </c>
      <c r="H7" s="28" t="s">
        <v>20</v>
      </c>
      <c r="I7" s="84" t="s">
        <v>25</v>
      </c>
      <c r="J7" s="85"/>
    </row>
    <row r="8" spans="1:10" ht="30" customHeight="1" x14ac:dyDescent="0.2">
      <c r="A8" s="10"/>
      <c r="B8" s="45" t="s">
        <v>180</v>
      </c>
      <c r="C8" s="46"/>
      <c r="D8" s="46"/>
      <c r="E8" s="32"/>
      <c r="F8" s="33"/>
      <c r="G8" s="34"/>
      <c r="H8" s="35"/>
      <c r="I8" s="53"/>
      <c r="J8" s="54"/>
    </row>
    <row r="9" spans="1:10" ht="30" customHeight="1" x14ac:dyDescent="0.2">
      <c r="A9" s="10"/>
      <c r="B9" s="51" t="s">
        <v>181</v>
      </c>
      <c r="C9" s="52"/>
      <c r="D9" s="52"/>
      <c r="E9" s="9">
        <v>5</v>
      </c>
      <c r="F9" s="26">
        <v>4.25</v>
      </c>
      <c r="G9" s="30">
        <f>IFERROR(F9/E9,"")</f>
        <v>0.85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9"/>
      <c r="J9" s="60"/>
    </row>
    <row r="10" spans="1:10" ht="30" customHeight="1" x14ac:dyDescent="0.2">
      <c r="A10" s="10"/>
      <c r="B10" s="51" t="s">
        <v>182</v>
      </c>
      <c r="C10" s="52"/>
      <c r="D10" s="52"/>
      <c r="E10" s="9">
        <v>5</v>
      </c>
      <c r="F10" s="26">
        <v>3.5</v>
      </c>
      <c r="G10" s="30">
        <f t="shared" ref="G10:G31" si="0">IFERROR(F10/E10,"")</f>
        <v>0.7</v>
      </c>
      <c r="H10" s="31" t="str">
        <f t="shared" ref="H10:H31" si="1">_xlfn.IFS(F10="أدخل العلامة","",F10="لا ينطبق","تم الإلغاء",G10&gt;=90%,"ممتاز",G10&gt;=80%,"جيد جداً",G10&gt;=70%,"جيد",G10&gt;=60%,"مقبول",G10&lt;60%,"راسب")</f>
        <v>جيد</v>
      </c>
      <c r="I10" s="59"/>
      <c r="J10" s="60"/>
    </row>
    <row r="11" spans="1:10" ht="30" customHeight="1" x14ac:dyDescent="0.2">
      <c r="A11" s="10"/>
      <c r="B11" s="51" t="s">
        <v>183</v>
      </c>
      <c r="C11" s="52"/>
      <c r="D11" s="52"/>
      <c r="E11" s="9">
        <v>5</v>
      </c>
      <c r="F11" s="26">
        <v>4</v>
      </c>
      <c r="G11" s="30">
        <f t="shared" si="0"/>
        <v>0.8</v>
      </c>
      <c r="H11" s="31" t="str">
        <f t="shared" si="1"/>
        <v>جيد جداً</v>
      </c>
      <c r="I11" s="59"/>
      <c r="J11" s="60"/>
    </row>
    <row r="12" spans="1:10" ht="30" customHeight="1" thickBot="1" x14ac:dyDescent="0.25">
      <c r="A12" s="10"/>
      <c r="B12" s="43" t="s">
        <v>184</v>
      </c>
      <c r="C12" s="44"/>
      <c r="D12" s="44"/>
      <c r="E12" s="36">
        <v>5</v>
      </c>
      <c r="F12" s="27">
        <v>3.5</v>
      </c>
      <c r="G12" s="37">
        <f t="shared" si="0"/>
        <v>0.7</v>
      </c>
      <c r="H12" s="38" t="str">
        <f t="shared" si="1"/>
        <v>جيد</v>
      </c>
      <c r="I12" s="61"/>
      <c r="J12" s="62"/>
    </row>
    <row r="13" spans="1:10" ht="30" customHeight="1" x14ac:dyDescent="0.2">
      <c r="A13" s="10"/>
      <c r="B13" s="45" t="s">
        <v>185</v>
      </c>
      <c r="C13" s="46"/>
      <c r="D13" s="46"/>
      <c r="E13" s="32"/>
      <c r="F13" s="33"/>
      <c r="G13" s="34"/>
      <c r="H13" s="35"/>
      <c r="I13" s="53"/>
      <c r="J13" s="54"/>
    </row>
    <row r="14" spans="1:10" ht="30" customHeight="1" x14ac:dyDescent="0.2">
      <c r="A14" s="10"/>
      <c r="B14" s="51" t="s">
        <v>186</v>
      </c>
      <c r="C14" s="52"/>
      <c r="D14" s="52"/>
      <c r="E14" s="9">
        <v>5</v>
      </c>
      <c r="F14" s="26">
        <v>4</v>
      </c>
      <c r="G14" s="30">
        <f t="shared" si="0"/>
        <v>0.8</v>
      </c>
      <c r="H14" s="31" t="str">
        <f t="shared" si="1"/>
        <v>جيد جداً</v>
      </c>
      <c r="I14" s="59"/>
      <c r="J14" s="60"/>
    </row>
    <row r="15" spans="1:10" ht="30" customHeight="1" x14ac:dyDescent="0.2">
      <c r="A15" s="10"/>
      <c r="B15" s="51" t="s">
        <v>187</v>
      </c>
      <c r="C15" s="52"/>
      <c r="D15" s="52"/>
      <c r="E15" s="9">
        <v>5</v>
      </c>
      <c r="F15" s="39">
        <v>4.5</v>
      </c>
      <c r="G15" s="30">
        <f t="shared" si="0"/>
        <v>0.9</v>
      </c>
      <c r="H15" s="31" t="str">
        <f t="shared" si="1"/>
        <v>ممتاز</v>
      </c>
      <c r="I15" s="59"/>
      <c r="J15" s="60"/>
    </row>
    <row r="16" spans="1:10" ht="30" customHeight="1" x14ac:dyDescent="0.2">
      <c r="A16" s="10"/>
      <c r="B16" s="51" t="s">
        <v>188</v>
      </c>
      <c r="C16" s="52"/>
      <c r="D16" s="52"/>
      <c r="E16" s="9">
        <v>5</v>
      </c>
      <c r="F16" s="39">
        <v>4</v>
      </c>
      <c r="G16" s="30">
        <f t="shared" si="0"/>
        <v>0.8</v>
      </c>
      <c r="H16" s="31" t="str">
        <f t="shared" si="1"/>
        <v>جيد جداً</v>
      </c>
      <c r="I16" s="59"/>
      <c r="J16" s="60"/>
    </row>
    <row r="17" spans="1:10" ht="30" customHeight="1" thickBot="1" x14ac:dyDescent="0.25">
      <c r="A17" s="10"/>
      <c r="B17" s="43" t="s">
        <v>189</v>
      </c>
      <c r="C17" s="44"/>
      <c r="D17" s="44"/>
      <c r="E17" s="36">
        <v>5</v>
      </c>
      <c r="F17" s="39">
        <v>3</v>
      </c>
      <c r="G17" s="37">
        <f t="shared" si="0"/>
        <v>0.6</v>
      </c>
      <c r="H17" s="38" t="str">
        <f t="shared" si="1"/>
        <v>مقبول</v>
      </c>
      <c r="I17" s="61"/>
      <c r="J17" s="62"/>
    </row>
    <row r="18" spans="1:10" ht="30" customHeight="1" x14ac:dyDescent="0.2">
      <c r="A18" s="10"/>
      <c r="B18" s="45" t="s">
        <v>190</v>
      </c>
      <c r="C18" s="46"/>
      <c r="D18" s="46"/>
      <c r="E18" s="32"/>
      <c r="F18" s="33"/>
      <c r="G18" s="34"/>
      <c r="H18" s="35"/>
      <c r="I18" s="53"/>
      <c r="J18" s="54"/>
    </row>
    <row r="19" spans="1:10" ht="39.950000000000003" customHeight="1" x14ac:dyDescent="0.2">
      <c r="A19" s="10"/>
      <c r="B19" s="47" t="s">
        <v>191</v>
      </c>
      <c r="C19" s="48"/>
      <c r="D19" s="48"/>
      <c r="E19" s="9">
        <v>5</v>
      </c>
      <c r="F19" s="26">
        <v>4</v>
      </c>
      <c r="G19" s="30">
        <f t="shared" si="0"/>
        <v>0.8</v>
      </c>
      <c r="H19" s="31" t="str">
        <f t="shared" si="1"/>
        <v>جيد جداً</v>
      </c>
      <c r="I19" s="59"/>
      <c r="J19" s="60"/>
    </row>
    <row r="20" spans="1:10" ht="39.950000000000003" customHeight="1" x14ac:dyDescent="0.2">
      <c r="A20" s="10"/>
      <c r="B20" s="47" t="s">
        <v>192</v>
      </c>
      <c r="C20" s="48"/>
      <c r="D20" s="48"/>
      <c r="E20" s="9">
        <v>5</v>
      </c>
      <c r="F20" s="26">
        <v>4</v>
      </c>
      <c r="G20" s="30">
        <f t="shared" si="0"/>
        <v>0.8</v>
      </c>
      <c r="H20" s="31" t="str">
        <f t="shared" si="1"/>
        <v>جيد جداً</v>
      </c>
      <c r="I20" s="59"/>
      <c r="J20" s="60"/>
    </row>
    <row r="21" spans="1:10" ht="30" customHeight="1" x14ac:dyDescent="0.2">
      <c r="A21" s="10"/>
      <c r="B21" s="47" t="s">
        <v>193</v>
      </c>
      <c r="C21" s="48"/>
      <c r="D21" s="48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59"/>
      <c r="J21" s="60"/>
    </row>
    <row r="22" spans="1:10" ht="30" customHeight="1" x14ac:dyDescent="0.2">
      <c r="A22" s="10"/>
      <c r="B22" s="47" t="s">
        <v>194</v>
      </c>
      <c r="C22" s="48"/>
      <c r="D22" s="48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59"/>
      <c r="J22" s="60"/>
    </row>
    <row r="23" spans="1:10" ht="30" customHeight="1" x14ac:dyDescent="0.2">
      <c r="A23" s="10"/>
      <c r="B23" s="47" t="s">
        <v>195</v>
      </c>
      <c r="C23" s="48"/>
      <c r="D23" s="48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59"/>
      <c r="J23" s="60"/>
    </row>
    <row r="24" spans="1:10" ht="30" customHeight="1" x14ac:dyDescent="0.2">
      <c r="A24" s="10"/>
      <c r="B24" s="47" t="s">
        <v>196</v>
      </c>
      <c r="C24" s="48"/>
      <c r="D24" s="48"/>
      <c r="E24" s="9">
        <v>5</v>
      </c>
      <c r="F24" s="26">
        <v>4</v>
      </c>
      <c r="G24" s="30">
        <f t="shared" si="0"/>
        <v>0.8</v>
      </c>
      <c r="H24" s="31" t="str">
        <f t="shared" si="1"/>
        <v>جيد جداً</v>
      </c>
      <c r="I24" s="59"/>
      <c r="J24" s="60"/>
    </row>
    <row r="25" spans="1:10" ht="30" customHeight="1" x14ac:dyDescent="0.2">
      <c r="A25" s="10"/>
      <c r="B25" s="47" t="s">
        <v>197</v>
      </c>
      <c r="C25" s="48"/>
      <c r="D25" s="48"/>
      <c r="E25" s="9">
        <v>5</v>
      </c>
      <c r="F25" s="26">
        <v>4</v>
      </c>
      <c r="G25" s="30">
        <f t="shared" si="0"/>
        <v>0.8</v>
      </c>
      <c r="H25" s="31" t="str">
        <f t="shared" si="1"/>
        <v>جيد جداً</v>
      </c>
      <c r="I25" s="59"/>
      <c r="J25" s="60"/>
    </row>
    <row r="26" spans="1:10" ht="30" customHeight="1" thickBot="1" x14ac:dyDescent="0.25">
      <c r="A26" s="10"/>
      <c r="B26" s="43" t="s">
        <v>198</v>
      </c>
      <c r="C26" s="44"/>
      <c r="D26" s="44"/>
      <c r="E26" s="36">
        <v>5</v>
      </c>
      <c r="F26" s="27">
        <v>3.25</v>
      </c>
      <c r="G26" s="37">
        <f t="shared" si="0"/>
        <v>0.65</v>
      </c>
      <c r="H26" s="38" t="str">
        <f t="shared" si="1"/>
        <v>مقبول</v>
      </c>
      <c r="I26" s="61"/>
      <c r="J26" s="62"/>
    </row>
    <row r="27" spans="1:10" ht="30" customHeight="1" x14ac:dyDescent="0.2">
      <c r="A27" s="10"/>
      <c r="B27" s="49" t="s">
        <v>199</v>
      </c>
      <c r="C27" s="50"/>
      <c r="D27" s="50"/>
      <c r="E27" s="32"/>
      <c r="F27" s="33"/>
      <c r="G27" s="34"/>
      <c r="H27" s="35"/>
      <c r="I27" s="53"/>
      <c r="J27" s="54"/>
    </row>
    <row r="28" spans="1:10" ht="30" customHeight="1" x14ac:dyDescent="0.2">
      <c r="A28" s="10"/>
      <c r="B28" s="47" t="s">
        <v>200</v>
      </c>
      <c r="C28" s="48"/>
      <c r="D28" s="48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59"/>
      <c r="J28" s="60"/>
    </row>
    <row r="29" spans="1:10" ht="30" customHeight="1" x14ac:dyDescent="0.2">
      <c r="A29" s="10"/>
      <c r="B29" s="47" t="s">
        <v>201</v>
      </c>
      <c r="C29" s="48"/>
      <c r="D29" s="48"/>
      <c r="E29" s="9">
        <v>5</v>
      </c>
      <c r="F29" s="40">
        <v>3.25</v>
      </c>
      <c r="G29" s="30">
        <f t="shared" si="0"/>
        <v>0.65</v>
      </c>
      <c r="H29" s="31" t="str">
        <f t="shared" si="1"/>
        <v>مقبول</v>
      </c>
      <c r="I29" s="59"/>
      <c r="J29" s="60"/>
    </row>
    <row r="30" spans="1:10" ht="30" customHeight="1" x14ac:dyDescent="0.2">
      <c r="A30" s="10"/>
      <c r="B30" s="47" t="s">
        <v>202</v>
      </c>
      <c r="C30" s="48"/>
      <c r="D30" s="48"/>
      <c r="E30" s="9">
        <v>5</v>
      </c>
      <c r="F30" s="40">
        <v>3.25</v>
      </c>
      <c r="G30" s="30">
        <f t="shared" si="0"/>
        <v>0.65</v>
      </c>
      <c r="H30" s="31" t="str">
        <f t="shared" si="1"/>
        <v>مقبول</v>
      </c>
      <c r="I30" s="59"/>
      <c r="J30" s="60"/>
    </row>
    <row r="31" spans="1:10" ht="30" customHeight="1" thickBot="1" x14ac:dyDescent="0.25">
      <c r="A31" s="10"/>
      <c r="B31" s="41" t="s">
        <v>203</v>
      </c>
      <c r="C31" s="42"/>
      <c r="D31" s="42"/>
      <c r="E31" s="36">
        <v>5</v>
      </c>
      <c r="F31" s="40">
        <v>4</v>
      </c>
      <c r="G31" s="37">
        <f t="shared" si="0"/>
        <v>0.8</v>
      </c>
      <c r="H31" s="38" t="str">
        <f t="shared" si="1"/>
        <v>جيد جداً</v>
      </c>
      <c r="I31" s="61"/>
      <c r="J31" s="62"/>
    </row>
    <row r="32" spans="1:10" ht="30" customHeight="1" thickBot="1" x14ac:dyDescent="0.25">
      <c r="A32" s="4"/>
      <c r="B32" s="55" t="s">
        <v>5</v>
      </c>
      <c r="C32" s="56"/>
      <c r="D32" s="56"/>
      <c r="E32" s="29">
        <f>SUM(E8:E31)</f>
        <v>100</v>
      </c>
      <c r="F32" s="29">
        <f>SUM(F8:F31)</f>
        <v>74.75</v>
      </c>
      <c r="G32" s="88"/>
      <c r="H32" s="89"/>
      <c r="I32" s="89"/>
      <c r="J32" s="90"/>
    </row>
    <row r="33" spans="1:10" ht="30" customHeight="1" thickBot="1" x14ac:dyDescent="0.25">
      <c r="A33" s="4"/>
      <c r="B33" s="57" t="s">
        <v>54</v>
      </c>
      <c r="C33" s="58"/>
      <c r="D33" s="58"/>
      <c r="E33" s="76">
        <f>F32/E32/100*100</f>
        <v>0.74750000000000005</v>
      </c>
      <c r="F33" s="76"/>
      <c r="G33" s="76"/>
      <c r="H33" s="76"/>
      <c r="I33" s="76"/>
      <c r="J33" s="77"/>
    </row>
    <row r="34" spans="1:10" ht="30" customHeight="1" thickBot="1" x14ac:dyDescent="0.25">
      <c r="A34" s="4"/>
      <c r="B34" s="57" t="s">
        <v>55</v>
      </c>
      <c r="C34" s="58"/>
      <c r="D34" s="58"/>
      <c r="E34" s="67" t="str">
        <f>_xlfn.IFS(E33&gt;=90%,"ممتاز",E33&gt;=80%,"جيد جداً",E33&gt;=70%,"جيد",E33&gt;=60%,"مقبول",E33&lt;60%,"راسب")</f>
        <v>جيد</v>
      </c>
      <c r="F34" s="67"/>
      <c r="G34" s="67"/>
      <c r="H34" s="67"/>
      <c r="I34" s="67"/>
      <c r="J34" s="68"/>
    </row>
    <row r="35" spans="1:10" ht="42" customHeight="1" x14ac:dyDescent="0.2">
      <c r="B35" s="63" t="s">
        <v>174</v>
      </c>
      <c r="C35" s="63"/>
      <c r="D35" s="63"/>
      <c r="E35" s="86" t="s">
        <v>52</v>
      </c>
      <c r="F35" s="86"/>
      <c r="G35" s="65" t="s">
        <v>97</v>
      </c>
      <c r="H35" s="65"/>
      <c r="I35" s="65"/>
      <c r="J35" s="65"/>
    </row>
    <row r="36" spans="1:10" ht="51" customHeight="1" x14ac:dyDescent="0.2">
      <c r="A36" s="5"/>
      <c r="B36" s="64"/>
      <c r="C36" s="64"/>
      <c r="D36" s="64"/>
      <c r="E36" s="87" t="s">
        <v>53</v>
      </c>
      <c r="F36" s="87"/>
      <c r="G36" s="66"/>
      <c r="H36" s="66"/>
      <c r="I36" s="66"/>
      <c r="J36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9">
    <mergeCell ref="I25:J25"/>
    <mergeCell ref="I26:J26"/>
    <mergeCell ref="I27:J27"/>
    <mergeCell ref="E35:F35"/>
    <mergeCell ref="E36:F36"/>
    <mergeCell ref="G32:J32"/>
    <mergeCell ref="I7:J7"/>
    <mergeCell ref="I10:J10"/>
    <mergeCell ref="I19:J19"/>
    <mergeCell ref="I20:J20"/>
    <mergeCell ref="I21:J21"/>
    <mergeCell ref="I9:J9"/>
    <mergeCell ref="B35:D36"/>
    <mergeCell ref="G35:J35"/>
    <mergeCell ref="G36:J36"/>
    <mergeCell ref="E34:J34"/>
    <mergeCell ref="B1:J1"/>
    <mergeCell ref="F2:J2"/>
    <mergeCell ref="B5:D6"/>
    <mergeCell ref="C2:D2"/>
    <mergeCell ref="C3:D3"/>
    <mergeCell ref="F3:J3"/>
    <mergeCell ref="E33:J33"/>
    <mergeCell ref="B7:D7"/>
    <mergeCell ref="I30:J30"/>
    <mergeCell ref="I31:J31"/>
    <mergeCell ref="E5:H5"/>
    <mergeCell ref="I5:J6"/>
    <mergeCell ref="B32:D32"/>
    <mergeCell ref="B33:D33"/>
    <mergeCell ref="B34:D34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I23:J23"/>
    <mergeCell ref="I24:J24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  <mergeCell ref="B31:D31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4">
    <cfRule type="expression" dxfId="14" priority="57">
      <formula>$E34="راسب"</formula>
    </cfRule>
  </conditionalFormatting>
  <conditionalFormatting sqref="E34:J34">
    <cfRule type="expression" dxfId="13" priority="58">
      <formula>$E34="مقبول"</formula>
    </cfRule>
    <cfRule type="expression" dxfId="12" priority="59">
      <formula>$E34="جيد"</formula>
    </cfRule>
    <cfRule type="expression" dxfId="11" priority="60">
      <formula>$E34="جيد جداً"</formula>
    </cfRule>
    <cfRule type="expression" dxfId="10" priority="61">
      <formula>$E34="ممتاز"</formula>
    </cfRule>
  </conditionalFormatting>
  <conditionalFormatting sqref="F8:F31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5:J35">
    <cfRule type="containsText" dxfId="6" priority="15" operator="containsText" text="أدخل اسم المحكم">
      <formula>NOT(ISERROR(SEARCH("أدخل اسم المحكم",G35)))</formula>
    </cfRule>
  </conditionalFormatting>
  <conditionalFormatting sqref="H8:H3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F28:F31 F19:F26 F14:F17 F9:F12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G35:J35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2025-09-25T08:10:04Z</dcterms:modified>
</cp:coreProperties>
</file>