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50C54619-818D-448E-8F66-2D08C2831E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 s="1"/>
  <c r="G16" i="2"/>
  <c r="H16" i="2" s="1"/>
  <c r="G17" i="2"/>
  <c r="H17" i="2" s="1"/>
  <c r="G19" i="2"/>
  <c r="H19" i="2" s="1"/>
  <c r="G20" i="2"/>
  <c r="H20" i="2" s="1"/>
  <c r="G21" i="2"/>
  <c r="H21" i="2" s="1"/>
  <c r="G22" i="2"/>
  <c r="H22" i="2"/>
  <c r="G24" i="2"/>
  <c r="H24" i="2"/>
  <c r="G25" i="2"/>
  <c r="H25" i="2" s="1"/>
  <c r="G26" i="2"/>
  <c r="H26" i="2"/>
  <c r="G27" i="2"/>
  <c r="H27" i="2"/>
  <c r="G28" i="2"/>
  <c r="H28" i="2" s="1"/>
  <c r="G29" i="2"/>
  <c r="H29" i="2" s="1"/>
  <c r="G31" i="2"/>
  <c r="H31" i="2"/>
  <c r="G32" i="2"/>
  <c r="H32" i="2" s="1"/>
  <c r="G34" i="2"/>
  <c r="H34" i="2"/>
  <c r="G35" i="2"/>
  <c r="H35" i="2"/>
  <c r="G36" i="2"/>
  <c r="H36" i="2" s="1"/>
  <c r="G37" i="2"/>
  <c r="H37" i="2"/>
  <c r="F38" i="2"/>
  <c r="E39" i="2" s="1"/>
  <c r="E40" i="2" s="1"/>
  <c r="E38" i="2"/>
</calcChain>
</file>

<file path=xl/sharedStrings.xml><?xml version="1.0" encoding="utf-8"?>
<sst xmlns="http://schemas.openxmlformats.org/spreadsheetml/2006/main" count="271" uniqueCount="211">
  <si>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</si>
  <si>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</si>
  <si>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</si>
  <si>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</si>
  <si>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</si>
  <si>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</si>
  <si>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</si>
  <si>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</si>
  <si>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</si>
  <si>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</si>
  <si>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</si>
  <si>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</si>
  <si>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</si>
  <si>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</si>
  <si>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</si>
  <si>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</si>
  <si>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</si>
  <si>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</si>
  <si>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</si>
  <si>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</si>
  <si>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</si>
  <si>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</si>
  <si>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</si>
  <si>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</si>
  <si>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</si>
  <si>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</si>
  <si>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</si>
  <si>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</si>
  <si>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</si>
  <si>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</si>
  <si>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</si>
  <si>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</si>
  <si>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</si>
  <si>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</si>
  <si>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</si>
  <si>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</si>
  <si>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</si>
  <si>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</si>
  <si>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</si>
  <si>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</si>
  <si>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</si>
  <si>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</si>
  <si>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</si>
  <si>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</si>
  <si>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</si>
  <si>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</si>
  <si>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</si>
  <si>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</si>
  <si>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</si>
  <si>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</si>
  <si>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</si>
  <si>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</si>
  <si>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</si>
  <si>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</si>
  <si>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</si>
  <si>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</si>
  <si>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</si>
  <si>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</si>
  <si>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</si>
  <si>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</si>
  <si>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</si>
  <si>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</si>
  <si>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</si>
  <si>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</si>
  <si>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</si>
  <si>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</si>
  <si>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</si>
  <si>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</si>
  <si>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</si>
  <si>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</si>
  <si>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</si>
  <si>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</si>
  <si>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</si>
  <si>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</si>
  <si>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</si>
  <si>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</si>
  <si>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</si>
  <si>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</si>
  <si>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</si>
  <si>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</si>
  <si>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</si>
  <si>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</si>
  <si>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</si>
  <si>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</si>
  <si>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</si>
  <si>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</si>
  <si>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</si>
  <si>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</si>
  <si>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</si>
  <si>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</si>
  <si>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</si>
  <si>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</si>
  <si>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</si>
  <si>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</si>
  <si>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</si>
  <si>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</si>
  <si>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</si>
  <si>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</si>
  <si>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</si>
  <si>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</si>
  <si>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</si>
  <si>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</si>
  <si>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</si>
  <si>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</si>
  <si>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</si>
  <si>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</si>
  <si>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</si>
  <si>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</si>
  <si>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</si>
  <si>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</si>
  <si>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</si>
  <si>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</si>
  <si>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</si>
  <si>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</si>
  <si>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</si>
  <si>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</si>
  <si>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</si>
  <si>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</si>
  <si>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</si>
  <si>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</si>
  <si>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</si>
  <si>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</si>
  <si>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</si>
  <si>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</si>
  <si>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</si>
  <si>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</si>
  <si>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</si>
  <si>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</si>
  <si>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</si>
  <si>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</si>
  <si>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</si>
  <si>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</si>
  <si>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</si>
  <si>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</si>
  <si>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</si>
  <si>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</si>
  <si>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</si>
  <si>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</si>
  <si>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</si>
  <si>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</si>
  <si>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</si>
  <si>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</si>
  <si>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</si>
  <si>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</si>
  <si>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</si>
  <si>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</si>
  <si>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</si>
  <si>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</si>
  <si>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</si>
  <si>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</si>
  <si>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</si>
  <si>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</si>
  <si>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</si>
  <si>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</si>
  <si>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</si>
  <si>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</si>
  <si>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</si>
  <si>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</si>
  <si>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</si>
  <si>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</si>
  <si>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</si>
  <si>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</si>
  <si>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</si>
  <si>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</si>
  <si>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</si>
  <si>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</si>
  <si>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</si>
  <si>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</si>
  <si>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</si>
  <si>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</si>
  <si>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</si>
  <si>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</si>
  <si>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</si>
  <si>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</si>
  <si>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</si>
  <si>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</si>
  <si>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</si>
  <si>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</si>
  <si>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</si>
  <si>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</si>
  <si>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التنقل الإداري لسرية الدفاع الكيميائي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</si>
  <si>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توفر التعليمات والأوامر الضرورية للتنقـل مع قائـد القافلة، وتشمل:</t>
  </si>
  <si>
    <t>1. وجود الأمر / برقية إعطاء الموافقة بالتحرك من المستوى الأعلـى.</t>
  </si>
  <si>
    <t>2. وجود أمـر التنقل ودقة البيانات الواردة به.</t>
  </si>
  <si>
    <t>3. وجود جدول التنقل ودقة البيانات الواردة به.</t>
  </si>
  <si>
    <t>4. وجود يومية التحرك ودقة البيانات الواردة بها.</t>
  </si>
  <si>
    <t>5. مدى التقيد بالتوقيتات، الوقفات، السرعة، الكثافة، الطرق ونقاط السيطرة).</t>
  </si>
  <si>
    <t>6. مدى إلمام قائد القافلة (بالأوامر الصادرة في أمر / جدول / يومية التحرك مخطط / التنقل، المواقف الطارئة مثل إلغاء أو تأخير حركة القافلة).</t>
  </si>
  <si>
    <t>7. التأكد من جاهزيـة الضباط والأفــراد من حيث (الأسلحـة الشخصيـة، اللبـاس، البطاقة والرخـص العسكرية، بطاقة الطريق لكل قائد آلية، وسيلة إضاءة مع كل سائق، القلادة المعدنيـة).</t>
  </si>
  <si>
    <t>8. وجود أفراد حراسة مع القافلة حسب التعليمات.</t>
  </si>
  <si>
    <t>9. التأكد من التنسيـق مـع الشرطـة العسكرية.</t>
  </si>
  <si>
    <t>الشـرطة العسكرية</t>
  </si>
  <si>
    <t>1. وجود برقية إخطار الشرطة العسكرية بالتحرك صادرة من المستوى الأعلى.</t>
  </si>
  <si>
    <t>2. التأكد من التنسيق مع الشرطة المدينة حول التحرك من قبل الشرطة العسكرية.</t>
  </si>
  <si>
    <t>3. التأكد من عدم السماح للسيارة المدينة بالدخول بين آليات القافلة العسكرية.</t>
  </si>
  <si>
    <t>4. التأكد من جاهزية الأفراد والآليات من حيث (عدد الأفراد / الآليات، التسليح، الاتصالات، اللباس).</t>
  </si>
  <si>
    <t>1. وجود الأعلام الضرورية (علم أزرق في بداية ونهاية كل مجموعة، علم أصفر في حالة عطل الآليـة، عدم وضع أعلام حمراء على الآليات التي تحمل ذخائر أو متفجرات).</t>
  </si>
  <si>
    <t>2. وجود عدة الآلية، جدول التحميل / الركوب لكل آلية.</t>
  </si>
  <si>
    <t>3. مدى صلاحية وجاهزية الآليات من حيث (الوقود، المياه، الإطار الاحتياطي، غطاء التمويه مع الركائز).</t>
  </si>
  <si>
    <t>4. التأكد من عدم تحميل الآليات أكثر من حمولتها أو وضع حمولة غير مرتبة بحيث توحي بأنها محملة أكثر من حمولتها.</t>
  </si>
  <si>
    <t>5. التأكد من تحميل ثلث ذخيرة الخط الأول لجميع الأصناف في صناديق (أثناء التنقل لتنفيذ التمارين الخارجية) مع وجود سند صرف لاستلام الذخائر.</t>
  </si>
  <si>
    <t>6. التأكد من تغطية حمولة الآليات (الأسلحة، الذخائر، معدات عسكرية) ومدى صلاحية الأغطية وتثبيتها.</t>
  </si>
  <si>
    <t>1. وجود سيارة إطفاء والتأكد من جاهزيتها وصلاحيتها وكفاءة طاقمها.</t>
  </si>
  <si>
    <t>2. وجود أفراد حراسة مع السلاح الشخصي والذخيرة المقررة للحراسة وملمين بواجباتهم وموزعين على القافلة.</t>
  </si>
  <si>
    <t>الشؤون الإدارية</t>
  </si>
  <si>
    <t>1. توفر الإعاشة أثناء التنقـل.</t>
  </si>
  <si>
    <t>2. وجود سيارة إسعاف مع طبيب / ممرضة أو ممرض قانوني بكامل التجهيزات.</t>
  </si>
  <si>
    <t>3. وجود آلية إنقاذ مع فريق (ميكانيكي، كهربائي حسب نوع الآليات المتنقلة) وإلمام الفريق بتشغيل وسيلة الإنقـاذ.</t>
  </si>
  <si>
    <t>4. وجود آلية قطر احتياط لأليات النقل الثقيلة.</t>
  </si>
  <si>
    <r>
      <t>جاهزية آليات القافلة</t>
    </r>
    <r>
      <rPr>
        <b/>
        <sz val="12"/>
        <color rgb="FF000000"/>
        <rFont val="Arial"/>
        <family val="2"/>
      </rPr>
      <t xml:space="preserve">، </t>
    </r>
    <r>
      <rPr>
        <sz val="12"/>
        <color rgb="FF000000"/>
        <rFont val="Arial"/>
        <family val="2"/>
      </rPr>
      <t>من حيـث:</t>
    </r>
  </si>
  <si>
    <r>
      <t>عند تحميل أي ذخيرة في القافلة</t>
    </r>
    <r>
      <rPr>
        <b/>
        <sz val="12"/>
        <color rgb="FF000000"/>
        <rFont val="Arial"/>
        <family val="2"/>
      </rPr>
      <t xml:space="preserve">، </t>
    </r>
    <r>
      <rPr>
        <sz val="12"/>
        <color rgb="FF000000"/>
        <rFont val="Arial"/>
        <family val="2"/>
      </rPr>
      <t>يتم توفير الآتي: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</si>
</sst>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left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21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369105</xdr:colOff>
      <xdr:row>41</xdr:row>
      <xdr:rowOff>109955</xdr:rowOff>
    </xdr:from>
    <xdr:to>
      <xdr:col>8</xdr:col>
      <xdr:colOff>108084</xdr:colOff>
      <xdr:row>41</xdr:row>
      <xdr:rowOff>446555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1B33401-7FCB-5988-70EF-B382D608B617}"/>
                </a:ext>
              </a:extLst>
            </xdr14:cNvPr>
            <xdr14:cNvContentPartPr/>
          </xdr14:nvContentPartPr>
          <xdr14:nvPr macro=""/>
          <xdr14:xfrm>
            <a:off x="10399136825" y="20124000"/>
            <a:ext cx="1055160" cy="3366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1B33401-7FCB-5988-70EF-B382D608B61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127825" y="20115000"/>
              <a:ext cx="1072800" cy="354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55:32.2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531 929 3720,'0'0'0,"0"0"0,16 0 400,1 0-248,8 2-8,-2 1-24,-23-3-120,28 0 145,5 0-17,1 0-32,8-1 56,-42 1-152,44-2 168,7 0-24,2-3-32,8 0-40,-61 5-72,63-12 80,4 9-8,3-8 16,-1 7 16,-69 4-104,67-6-32,-4-5 88,-3 7 0,-7-1 8,-53 5-64,56-5 152,-12 0-88,-2 1 8,-8 0-96,-34 4 24,28-4 24,-10-1 72,-3 1 8,-10 0 128,-5 4-232,2-5 344,-2 3 8,0 0 56,-5-1-16,5 3-392,-14-4 192,-2 0-72,-5 0-72,-7-2-48,28 6 0,-32-6 40,-7 1 8,-3-1-24,-5 0 8,47 6-32,-46-4 56,-5-2-16,-3 2 24,3 0-8,51 4-56,-53-3 88,-3 0-48,-1 0 40,1 2-16,56 1-64,-51-2 32,0 1 32,2-1-39,-2 0 7,51 2-32,-46-2 8,2-2-32,2 1 8,3-1-41,39 4 57,-38-4-32,6-1 72,6 1 1,3-2 47,23 6-88,-13-11 24,8 8 40,0-3-80,5-6-72,0 12 88,12-12-8,11-1-137,8-1 89,15 0 16,-46 14 40,51-13 40,7-1-32,4 1 24,5-1 0,-67 14-32,70-14-24,0 1 16,-3 7-32,0-8 16,-67 14 24,60-4-112,-4-2 56,-12 2 24,-7 0-8,-37 4 40,30-2 16,-9 2-32,-5 0 0,-11 0-24,-5 0 40,2 3-16,-2 0 32,0 1 24,-2 0 24,2-4-64,-12 13 80,0-10-40,-6 8-32,0-6 32,18-5-40,-21 11 40,2-8-40,1 1 8,-5 8 0,23-12-8,-23 0-48,-1 4 40,-1 0-8,0-1-16,25-3 32,-28 4-16,0-1 16,2 0 8,1-3 16,25 0-24,-22 3 24,6-3-8,4 0 16,6 0-32,6 0 0,-5 0 0,1 0 16,1 0-64,3-2 64,0 2-16,3-1-16,12-2-32,-3-1 8,9-1-24,-21 5 64,23-11-24,5 8-16,5-2 48,4-7-48,-37 12 40,44-4-48,-5-9 32,5 7 0,0-8 24,-44 14-8,45-11 40,-1 5-32,-6-8 8,-2 10 40,-36 4-56,37-13 0,-7 9 16,-4-2 64,-8 2-24,-18 4-56,13-5 120,-10 1-7,2 1-57,-1 0 32,-4 3-88,-2-2 80,-8-1-88,-10 0-24,-1 0 16,21 3 16,-28-4-104,-4 1 88,-3 0 8,-9-1-8,44 4 16,-42-4 40,0-1-32,-4 0-8,0-7 40,46 12-40,-46-4 8,-1-2 8,1-6 0,0 6-48,46 6 32,-47-13 24,3 2 16,7 5-40,0-8 24,37 14-24,-33-13 16,3 0-16,4-1 40,11-2 48,15 16-88,-15-14 16,13-1 0,0-3-40,2 3-48,0 15 72,19-17-48,-6-2-24,9 2 0,3-1 48,-25 18 24,23-19-89,7 2 17,-2 2 16,-5 2-96,-23 13 152,23-13-64,5 2 0,-2 5 8,2-7 8,-28 13 48,23-4-48,9 0 16,-1-1-8,7 1 64,-38 4-24,40-3-16,11 2 0,7-1 0,7 2 16,-65 0 0,79 0 48,4 0-24,8 3 16,4 0-48,-95-3 8,94 11-32,7-8 0,-7 9-32,3-8-16,-97-4 80,96 11-56,-8-6 24,2 9 0,-11-10-8,-79-4 40,79 16-88,-16-5 80,-8 2 24,-11 2 8,-44-15-24,33 18 56,-13 0-56,-15 1 48,-5-1 0,0-18-48,-18 20 80,-10 3 8,-12-1-48,-11 3-8,51-25-32,-64 24 48,-4-3-40,-8 2 24,2 0-32,74-23 0,-81 21 8,-5 0 24,2 0-40,-6-2 16,90-19-8,-88 18-64,-8 0 80,2 0-32,-1-1-80,95-17 96,-93 19-64,0-2-88,-2 0 32,0 0 80,95-17 40,-100 17-64,-2-2 16,-2 4 88,0-2-72,104-17 32,-102 17 8,2 0 0,0-1-112,5-4 64,95-12 40,-86 13-48,3-8-8,9 9-8,7-11 32,67-3 32,-56 4-32,14 0 0,8 0 0,8-1-80,26-3 112,-19 5-320,3-1-224,14 7-224,-1-7-104,3-4 872,0 16-793,12-12 137,-1 1 120,4-5-24,-15 0 560,16 0-600,0-5-96,5 2-256,-21 3 952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2"/>
  <sheetViews>
    <sheetView rightToLeft="1" tabSelected="1" view="pageBreakPreview" topLeftCell="A38" zoomScale="130" zoomScaleNormal="100" zoomScaleSheetLayoutView="130" workbookViewId="0">
      <selection activeCell="G41" sqref="G41:J41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0" t="s">
        <v>180</v>
      </c>
      <c r="C1" s="60"/>
      <c r="D1" s="60"/>
      <c r="E1" s="60"/>
      <c r="F1" s="60"/>
      <c r="G1" s="60"/>
      <c r="H1" s="60"/>
      <c r="I1" s="60"/>
      <c r="J1" s="60"/>
    </row>
    <row r="2" spans="1:10" ht="30" customHeight="1" x14ac:dyDescent="0.3">
      <c r="B2" s="13" t="s">
        <v>8</v>
      </c>
      <c r="C2" s="66" t="s">
        <v>13</v>
      </c>
      <c r="D2" s="66"/>
      <c r="E2" s="13" t="s">
        <v>7</v>
      </c>
      <c r="F2" s="61">
        <v>45931</v>
      </c>
      <c r="G2" s="61"/>
      <c r="H2" s="61"/>
      <c r="I2" s="61"/>
      <c r="J2" s="61"/>
    </row>
    <row r="3" spans="1:10" ht="30" customHeight="1" x14ac:dyDescent="0.3">
      <c r="B3" s="13" t="s">
        <v>9</v>
      </c>
      <c r="C3" s="66" t="s">
        <v>71</v>
      </c>
      <c r="D3" s="66"/>
      <c r="E3" s="13" t="s">
        <v>6</v>
      </c>
      <c r="F3" s="66" t="s">
        <v>135</v>
      </c>
      <c r="G3" s="66"/>
      <c r="H3" s="66"/>
      <c r="I3" s="66"/>
      <c r="J3" s="66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62" t="s">
        <v>0</v>
      </c>
      <c r="C5" s="63"/>
      <c r="D5" s="63"/>
      <c r="E5" s="48" t="s">
        <v>1</v>
      </c>
      <c r="F5" s="48"/>
      <c r="G5" s="48"/>
      <c r="H5" s="48"/>
      <c r="I5" s="48" t="s">
        <v>2</v>
      </c>
      <c r="J5" s="49"/>
    </row>
    <row r="6" spans="1:10" ht="24.9" customHeight="1" thickBot="1" x14ac:dyDescent="0.35">
      <c r="A6" s="11"/>
      <c r="B6" s="64"/>
      <c r="C6" s="65"/>
      <c r="D6" s="65"/>
      <c r="E6" s="12" t="s">
        <v>3</v>
      </c>
      <c r="F6" s="12" t="s">
        <v>4</v>
      </c>
      <c r="G6" s="12" t="s">
        <v>23</v>
      </c>
      <c r="H6" s="12" t="s">
        <v>24</v>
      </c>
      <c r="I6" s="50"/>
      <c r="J6" s="51"/>
    </row>
    <row r="7" spans="1:10" ht="24.9" customHeight="1" thickBot="1" x14ac:dyDescent="0.35">
      <c r="A7" s="11"/>
      <c r="B7" s="69" t="s">
        <v>21</v>
      </c>
      <c r="C7" s="70"/>
      <c r="D7" s="70"/>
      <c r="E7" s="29" t="s">
        <v>18</v>
      </c>
      <c r="F7" s="29" t="s">
        <v>19</v>
      </c>
      <c r="G7" s="29" t="s">
        <v>22</v>
      </c>
      <c r="H7" s="29" t="s">
        <v>20</v>
      </c>
      <c r="I7" s="52" t="s">
        <v>25</v>
      </c>
      <c r="J7" s="53"/>
    </row>
    <row r="8" spans="1:10" ht="39.9" customHeight="1" x14ac:dyDescent="0.3">
      <c r="A8" s="11"/>
      <c r="B8" s="75" t="s">
        <v>181</v>
      </c>
      <c r="C8" s="76"/>
      <c r="D8" s="76"/>
      <c r="E8" s="37"/>
      <c r="F8" s="32"/>
      <c r="G8" s="33"/>
      <c r="H8" s="34"/>
      <c r="I8" s="46"/>
      <c r="J8" s="47"/>
    </row>
    <row r="9" spans="1:10" ht="39.9" customHeight="1" x14ac:dyDescent="0.3">
      <c r="A9" s="11"/>
      <c r="B9" s="77" t="s">
        <v>182</v>
      </c>
      <c r="C9" s="78"/>
      <c r="D9" s="78"/>
      <c r="E9" s="9">
        <v>5</v>
      </c>
      <c r="F9" s="27">
        <v>4</v>
      </c>
      <c r="G9" s="30">
        <f>IFERROR(F9/E9,"")</f>
        <v>0.8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4"/>
      <c r="J9" s="45"/>
    </row>
    <row r="10" spans="1:10" ht="39.9" customHeight="1" x14ac:dyDescent="0.3">
      <c r="A10" s="11"/>
      <c r="B10" s="77" t="s">
        <v>183</v>
      </c>
      <c r="C10" s="78"/>
      <c r="D10" s="78"/>
      <c r="E10" s="9">
        <v>5</v>
      </c>
      <c r="F10" s="27">
        <v>4</v>
      </c>
      <c r="G10" s="30">
        <f t="shared" ref="G10:G37" si="0">IFERROR(F10/E10,"")</f>
        <v>0.8</v>
      </c>
      <c r="H10" s="31" t="str">
        <f t="shared" ref="H10:H37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4"/>
      <c r="J10" s="45"/>
    </row>
    <row r="11" spans="1:10" ht="39.9" customHeight="1" x14ac:dyDescent="0.3">
      <c r="A11" s="11"/>
      <c r="B11" s="77" t="s">
        <v>184</v>
      </c>
      <c r="C11" s="78"/>
      <c r="D11" s="78"/>
      <c r="E11" s="9">
        <v>5</v>
      </c>
      <c r="F11" s="27">
        <v>4</v>
      </c>
      <c r="G11" s="30">
        <f t="shared" si="0"/>
        <v>0.8</v>
      </c>
      <c r="H11" s="31" t="str">
        <f t="shared" si="1"/>
        <v>جيد جداً</v>
      </c>
      <c r="I11" s="44"/>
      <c r="J11" s="45"/>
    </row>
    <row r="12" spans="1:10" ht="39.9" customHeight="1" x14ac:dyDescent="0.3">
      <c r="A12" s="11"/>
      <c r="B12" s="77" t="s">
        <v>185</v>
      </c>
      <c r="C12" s="78"/>
      <c r="D12" s="78"/>
      <c r="E12" s="9">
        <v>5</v>
      </c>
      <c r="F12" s="27">
        <v>4</v>
      </c>
      <c r="G12" s="30">
        <f t="shared" si="0"/>
        <v>0.8</v>
      </c>
      <c r="H12" s="31" t="str">
        <f t="shared" si="1"/>
        <v>جيد جداً</v>
      </c>
      <c r="I12" s="44"/>
      <c r="J12" s="45"/>
    </row>
    <row r="13" spans="1:10" ht="39.9" customHeight="1" x14ac:dyDescent="0.3">
      <c r="A13" s="11"/>
      <c r="B13" s="77" t="s">
        <v>186</v>
      </c>
      <c r="C13" s="78"/>
      <c r="D13" s="78"/>
      <c r="E13" s="9">
        <v>20</v>
      </c>
      <c r="F13" s="27">
        <v>15</v>
      </c>
      <c r="G13" s="30">
        <f t="shared" si="0"/>
        <v>0.75</v>
      </c>
      <c r="H13" s="31" t="str">
        <f t="shared" si="1"/>
        <v>جيد</v>
      </c>
      <c r="I13" s="44"/>
      <c r="J13" s="45"/>
    </row>
    <row r="14" spans="1:10" ht="39.9" customHeight="1" x14ac:dyDescent="0.3">
      <c r="A14" s="11"/>
      <c r="B14" s="77" t="s">
        <v>187</v>
      </c>
      <c r="C14" s="78"/>
      <c r="D14" s="78"/>
      <c r="E14" s="9">
        <v>10</v>
      </c>
      <c r="F14" s="27">
        <v>8</v>
      </c>
      <c r="G14" s="30">
        <f t="shared" si="0"/>
        <v>0.8</v>
      </c>
      <c r="H14" s="31" t="str">
        <f t="shared" si="1"/>
        <v>جيد جداً</v>
      </c>
      <c r="I14" s="44"/>
      <c r="J14" s="45"/>
    </row>
    <row r="15" spans="1:10" ht="56.25" customHeight="1" x14ac:dyDescent="0.3">
      <c r="A15" s="11"/>
      <c r="B15" s="77" t="s">
        <v>188</v>
      </c>
      <c r="C15" s="78"/>
      <c r="D15" s="78"/>
      <c r="E15" s="9">
        <v>10</v>
      </c>
      <c r="F15" s="27">
        <v>7</v>
      </c>
      <c r="G15" s="30">
        <f t="shared" si="0"/>
        <v>0.7</v>
      </c>
      <c r="H15" s="31" t="str">
        <f t="shared" si="1"/>
        <v>جيد</v>
      </c>
      <c r="I15" s="44"/>
      <c r="J15" s="45"/>
    </row>
    <row r="16" spans="1:10" ht="39.9" customHeight="1" x14ac:dyDescent="0.3">
      <c r="A16" s="11"/>
      <c r="B16" s="77" t="s">
        <v>189</v>
      </c>
      <c r="C16" s="78"/>
      <c r="D16" s="78"/>
      <c r="E16" s="9">
        <v>10</v>
      </c>
      <c r="F16" s="27">
        <v>7</v>
      </c>
      <c r="G16" s="30">
        <f t="shared" si="0"/>
        <v>0.7</v>
      </c>
      <c r="H16" s="31" t="str">
        <f t="shared" si="1"/>
        <v>جيد</v>
      </c>
      <c r="I16" s="44"/>
      <c r="J16" s="45"/>
    </row>
    <row r="17" spans="1:10" ht="39.9" customHeight="1" thickBot="1" x14ac:dyDescent="0.35">
      <c r="A17" s="11"/>
      <c r="B17" s="79" t="s">
        <v>190</v>
      </c>
      <c r="C17" s="80"/>
      <c r="D17" s="80"/>
      <c r="E17" s="38">
        <v>5</v>
      </c>
      <c r="F17" s="28">
        <v>3.75</v>
      </c>
      <c r="G17" s="35">
        <f t="shared" si="0"/>
        <v>0.75</v>
      </c>
      <c r="H17" s="36" t="str">
        <f t="shared" si="1"/>
        <v>جيد</v>
      </c>
      <c r="I17" s="71"/>
      <c r="J17" s="72"/>
    </row>
    <row r="18" spans="1:10" ht="39.9" customHeight="1" x14ac:dyDescent="0.3">
      <c r="A18" s="11"/>
      <c r="B18" s="75" t="s">
        <v>191</v>
      </c>
      <c r="C18" s="76"/>
      <c r="D18" s="76"/>
      <c r="E18" s="37"/>
      <c r="F18" s="32"/>
      <c r="G18" s="33"/>
      <c r="H18" s="34"/>
      <c r="I18" s="46"/>
      <c r="J18" s="47"/>
    </row>
    <row r="19" spans="1:10" ht="39.9" customHeight="1" x14ac:dyDescent="0.3">
      <c r="A19" s="11"/>
      <c r="B19" s="77" t="s">
        <v>192</v>
      </c>
      <c r="C19" s="78"/>
      <c r="D19" s="78"/>
      <c r="E19" s="9">
        <v>0</v>
      </c>
      <c r="F19" s="27" t="s">
        <v>17</v>
      </c>
      <c r="G19" s="30" t="str">
        <f t="shared" si="0"/>
        <v/>
      </c>
      <c r="H19" s="31" t="str">
        <f t="shared" si="1"/>
        <v>تم الإلغاء</v>
      </c>
      <c r="I19" s="44"/>
      <c r="J19" s="45"/>
    </row>
    <row r="20" spans="1:10" ht="39.9" customHeight="1" x14ac:dyDescent="0.3">
      <c r="A20" s="11"/>
      <c r="B20" s="77" t="s">
        <v>193</v>
      </c>
      <c r="C20" s="78"/>
      <c r="D20" s="78"/>
      <c r="E20" s="9">
        <v>0</v>
      </c>
      <c r="F20" s="27" t="s">
        <v>17</v>
      </c>
      <c r="G20" s="30" t="str">
        <f t="shared" si="0"/>
        <v/>
      </c>
      <c r="H20" s="31" t="str">
        <f t="shared" si="1"/>
        <v>تم الإلغاء</v>
      </c>
      <c r="I20" s="44"/>
      <c r="J20" s="45"/>
    </row>
    <row r="21" spans="1:10" ht="39.9" customHeight="1" x14ac:dyDescent="0.3">
      <c r="A21" s="11"/>
      <c r="B21" s="77" t="s">
        <v>194</v>
      </c>
      <c r="C21" s="78"/>
      <c r="D21" s="78"/>
      <c r="E21" s="9">
        <v>0</v>
      </c>
      <c r="F21" s="27" t="s">
        <v>17</v>
      </c>
      <c r="G21" s="30" t="str">
        <f t="shared" si="0"/>
        <v/>
      </c>
      <c r="H21" s="31" t="str">
        <f t="shared" si="1"/>
        <v>تم الإلغاء</v>
      </c>
      <c r="I21" s="44"/>
      <c r="J21" s="45"/>
    </row>
    <row r="22" spans="1:10" ht="39.9" customHeight="1" thickBot="1" x14ac:dyDescent="0.35">
      <c r="A22" s="11"/>
      <c r="B22" s="79" t="s">
        <v>195</v>
      </c>
      <c r="C22" s="80"/>
      <c r="D22" s="80"/>
      <c r="E22" s="38">
        <v>0</v>
      </c>
      <c r="F22" s="28" t="s">
        <v>17</v>
      </c>
      <c r="G22" s="35" t="str">
        <f t="shared" si="0"/>
        <v/>
      </c>
      <c r="H22" s="36" t="str">
        <f t="shared" si="1"/>
        <v>تم الإلغاء</v>
      </c>
      <c r="I22" s="71"/>
      <c r="J22" s="72"/>
    </row>
    <row r="23" spans="1:10" ht="39.9" customHeight="1" x14ac:dyDescent="0.3">
      <c r="A23" s="11"/>
      <c r="B23" s="75" t="s">
        <v>209</v>
      </c>
      <c r="C23" s="76"/>
      <c r="D23" s="76"/>
      <c r="E23" s="37"/>
      <c r="F23" s="32"/>
      <c r="G23" s="33"/>
      <c r="H23" s="34"/>
      <c r="I23" s="46"/>
      <c r="J23" s="47"/>
    </row>
    <row r="24" spans="1:10" ht="57.75" customHeight="1" x14ac:dyDescent="0.3">
      <c r="A24" s="11"/>
      <c r="B24" s="77" t="s">
        <v>196</v>
      </c>
      <c r="C24" s="78"/>
      <c r="D24" s="78"/>
      <c r="E24" s="9">
        <v>5</v>
      </c>
      <c r="F24" s="27">
        <v>4</v>
      </c>
      <c r="G24" s="30">
        <f t="shared" si="0"/>
        <v>0.8</v>
      </c>
      <c r="H24" s="31" t="str">
        <f t="shared" si="1"/>
        <v>جيد جداً</v>
      </c>
      <c r="I24" s="44"/>
      <c r="J24" s="45"/>
    </row>
    <row r="25" spans="1:10" ht="39.9" customHeight="1" x14ac:dyDescent="0.3">
      <c r="A25" s="11"/>
      <c r="B25" s="77" t="s">
        <v>197</v>
      </c>
      <c r="C25" s="78"/>
      <c r="D25" s="78"/>
      <c r="E25" s="9">
        <v>5</v>
      </c>
      <c r="F25" s="27">
        <v>3.5</v>
      </c>
      <c r="G25" s="30">
        <f t="shared" si="0"/>
        <v>0.7</v>
      </c>
      <c r="H25" s="31" t="str">
        <f t="shared" si="1"/>
        <v>جيد</v>
      </c>
      <c r="I25" s="44"/>
      <c r="J25" s="45"/>
    </row>
    <row r="26" spans="1:10" ht="39.9" customHeight="1" x14ac:dyDescent="0.3">
      <c r="A26" s="11"/>
      <c r="B26" s="77" t="s">
        <v>198</v>
      </c>
      <c r="C26" s="78"/>
      <c r="D26" s="78"/>
      <c r="E26" s="9">
        <v>5</v>
      </c>
      <c r="F26" s="27">
        <v>3.5</v>
      </c>
      <c r="G26" s="30">
        <f t="shared" si="0"/>
        <v>0.7</v>
      </c>
      <c r="H26" s="31" t="str">
        <f t="shared" si="1"/>
        <v>جيد</v>
      </c>
      <c r="I26" s="44"/>
      <c r="J26" s="45"/>
    </row>
    <row r="27" spans="1:10" ht="39.9" customHeight="1" x14ac:dyDescent="0.3">
      <c r="A27" s="11"/>
      <c r="B27" s="77" t="s">
        <v>199</v>
      </c>
      <c r="C27" s="78"/>
      <c r="D27" s="78"/>
      <c r="E27" s="9">
        <v>5</v>
      </c>
      <c r="F27" s="27">
        <v>4</v>
      </c>
      <c r="G27" s="30">
        <f t="shared" si="0"/>
        <v>0.8</v>
      </c>
      <c r="H27" s="31" t="str">
        <f t="shared" si="1"/>
        <v>جيد جداً</v>
      </c>
      <c r="I27" s="44"/>
      <c r="J27" s="45"/>
    </row>
    <row r="28" spans="1:10" ht="39.9" customHeight="1" x14ac:dyDescent="0.3">
      <c r="A28" s="11"/>
      <c r="B28" s="77" t="s">
        <v>200</v>
      </c>
      <c r="C28" s="78"/>
      <c r="D28" s="78"/>
      <c r="E28" s="9">
        <v>10</v>
      </c>
      <c r="F28" s="27">
        <v>8.25</v>
      </c>
      <c r="G28" s="30">
        <f t="shared" si="0"/>
        <v>0.82499999999999996</v>
      </c>
      <c r="H28" s="31" t="str">
        <f t="shared" si="1"/>
        <v>جيد جداً</v>
      </c>
      <c r="I28" s="44"/>
      <c r="J28" s="45"/>
    </row>
    <row r="29" spans="1:10" ht="39.9" customHeight="1" thickBot="1" x14ac:dyDescent="0.35">
      <c r="A29" s="11"/>
      <c r="B29" s="79" t="s">
        <v>201</v>
      </c>
      <c r="C29" s="80"/>
      <c r="D29" s="80"/>
      <c r="E29" s="38">
        <v>5</v>
      </c>
      <c r="F29" s="28">
        <v>3.75</v>
      </c>
      <c r="G29" s="35">
        <f t="shared" si="0"/>
        <v>0.75</v>
      </c>
      <c r="H29" s="36" t="str">
        <f t="shared" si="1"/>
        <v>جيد</v>
      </c>
      <c r="I29" s="71"/>
      <c r="J29" s="72"/>
    </row>
    <row r="30" spans="1:10" ht="39.9" customHeight="1" x14ac:dyDescent="0.3">
      <c r="A30" s="11"/>
      <c r="B30" s="75" t="s">
        <v>210</v>
      </c>
      <c r="C30" s="76"/>
      <c r="D30" s="76"/>
      <c r="E30" s="37"/>
      <c r="F30" s="32"/>
      <c r="G30" s="33"/>
      <c r="H30" s="34"/>
      <c r="I30" s="46"/>
      <c r="J30" s="47"/>
    </row>
    <row r="31" spans="1:10" ht="39.9" customHeight="1" x14ac:dyDescent="0.3">
      <c r="A31" s="11"/>
      <c r="B31" s="77" t="s">
        <v>202</v>
      </c>
      <c r="C31" s="78"/>
      <c r="D31" s="78"/>
      <c r="E31" s="9">
        <v>8</v>
      </c>
      <c r="F31" s="27">
        <v>7</v>
      </c>
      <c r="G31" s="30">
        <f t="shared" si="0"/>
        <v>0.875</v>
      </c>
      <c r="H31" s="31" t="str">
        <f t="shared" si="1"/>
        <v>جيد جداً</v>
      </c>
      <c r="I31" s="44"/>
      <c r="J31" s="45"/>
    </row>
    <row r="32" spans="1:10" ht="39.9" customHeight="1" thickBot="1" x14ac:dyDescent="0.35">
      <c r="A32" s="11"/>
      <c r="B32" s="79" t="s">
        <v>203</v>
      </c>
      <c r="C32" s="80"/>
      <c r="D32" s="80"/>
      <c r="E32" s="38">
        <v>12</v>
      </c>
      <c r="F32" s="28">
        <v>9</v>
      </c>
      <c r="G32" s="35">
        <f t="shared" si="0"/>
        <v>0.75</v>
      </c>
      <c r="H32" s="36" t="str">
        <f t="shared" si="1"/>
        <v>جيد</v>
      </c>
      <c r="I32" s="71"/>
      <c r="J32" s="72"/>
    </row>
    <row r="33" spans="1:10" ht="39.9" customHeight="1" x14ac:dyDescent="0.3">
      <c r="A33" s="11"/>
      <c r="B33" s="75" t="s">
        <v>204</v>
      </c>
      <c r="C33" s="76"/>
      <c r="D33" s="76"/>
      <c r="E33" s="37"/>
      <c r="F33" s="32"/>
      <c r="G33" s="33"/>
      <c r="H33" s="34"/>
      <c r="I33" s="46"/>
      <c r="J33" s="47"/>
    </row>
    <row r="34" spans="1:10" ht="39.9" customHeight="1" x14ac:dyDescent="0.3">
      <c r="A34" s="11"/>
      <c r="B34" s="77" t="s">
        <v>205</v>
      </c>
      <c r="C34" s="78"/>
      <c r="D34" s="78"/>
      <c r="E34" s="9">
        <v>5</v>
      </c>
      <c r="F34" s="27">
        <v>3.5</v>
      </c>
      <c r="G34" s="30">
        <f t="shared" si="0"/>
        <v>0.7</v>
      </c>
      <c r="H34" s="31" t="str">
        <f t="shared" si="1"/>
        <v>جيد</v>
      </c>
      <c r="I34" s="44"/>
      <c r="J34" s="45"/>
    </row>
    <row r="35" spans="1:10" ht="39.9" customHeight="1" x14ac:dyDescent="0.3">
      <c r="A35" s="11"/>
      <c r="B35" s="77" t="s">
        <v>206</v>
      </c>
      <c r="C35" s="78"/>
      <c r="D35" s="78"/>
      <c r="E35" s="9">
        <v>5</v>
      </c>
      <c r="F35" s="27">
        <v>3.5</v>
      </c>
      <c r="G35" s="30">
        <f t="shared" si="0"/>
        <v>0.7</v>
      </c>
      <c r="H35" s="31" t="str">
        <f t="shared" si="1"/>
        <v>جيد</v>
      </c>
      <c r="I35" s="44"/>
      <c r="J35" s="45"/>
    </row>
    <row r="36" spans="1:10" ht="39.9" customHeight="1" x14ac:dyDescent="0.3">
      <c r="A36" s="11"/>
      <c r="B36" s="77" t="s">
        <v>207</v>
      </c>
      <c r="C36" s="78"/>
      <c r="D36" s="78"/>
      <c r="E36" s="9">
        <v>5</v>
      </c>
      <c r="F36" s="27">
        <v>3.5</v>
      </c>
      <c r="G36" s="30">
        <f t="shared" si="0"/>
        <v>0.7</v>
      </c>
      <c r="H36" s="31" t="str">
        <f t="shared" si="1"/>
        <v>جيد</v>
      </c>
      <c r="I36" s="44"/>
      <c r="J36" s="45"/>
    </row>
    <row r="37" spans="1:10" ht="39.9" customHeight="1" thickBot="1" x14ac:dyDescent="0.35">
      <c r="A37" s="11"/>
      <c r="B37" s="79" t="s">
        <v>208</v>
      </c>
      <c r="C37" s="80"/>
      <c r="D37" s="80"/>
      <c r="E37" s="38">
        <v>5</v>
      </c>
      <c r="F37" s="28">
        <v>4</v>
      </c>
      <c r="G37" s="35">
        <f t="shared" si="0"/>
        <v>0.8</v>
      </c>
      <c r="H37" s="36" t="str">
        <f t="shared" si="1"/>
        <v>جيد جداً</v>
      </c>
      <c r="I37" s="71"/>
      <c r="J37" s="72"/>
    </row>
    <row r="38" spans="1:10" ht="30" customHeight="1" thickBot="1" x14ac:dyDescent="0.35">
      <c r="A38" s="4"/>
      <c r="B38" s="73" t="s">
        <v>5</v>
      </c>
      <c r="C38" s="74"/>
      <c r="D38" s="74"/>
      <c r="E38" s="10">
        <f>SUM(E8:E37)</f>
        <v>150</v>
      </c>
      <c r="F38" s="10">
        <f>SUM(F8:F37)</f>
        <v>114.25</v>
      </c>
      <c r="G38" s="41"/>
      <c r="H38" s="42"/>
      <c r="I38" s="42"/>
      <c r="J38" s="43"/>
    </row>
    <row r="39" spans="1:10" ht="30" customHeight="1" thickBot="1" x14ac:dyDescent="0.35">
      <c r="A39" s="4"/>
      <c r="B39" s="73" t="s">
        <v>54</v>
      </c>
      <c r="C39" s="74"/>
      <c r="D39" s="74"/>
      <c r="E39" s="67">
        <f>F38/E38/100*100</f>
        <v>0.76166666666666671</v>
      </c>
      <c r="F39" s="67"/>
      <c r="G39" s="67"/>
      <c r="H39" s="67"/>
      <c r="I39" s="67"/>
      <c r="J39" s="68"/>
    </row>
    <row r="40" spans="1:10" ht="30" customHeight="1" thickBot="1" x14ac:dyDescent="0.35">
      <c r="A40" s="4"/>
      <c r="B40" s="73" t="s">
        <v>55</v>
      </c>
      <c r="C40" s="74"/>
      <c r="D40" s="74"/>
      <c r="E40" s="58" t="str">
        <f>_xlfn.IFS(E39&gt;=90%,"ممتاز",E39&gt;=80%,"جيد جداً",E39&gt;=70%,"جيد",E39&gt;=60%,"مقبول",E39&lt;60%,"راسب")</f>
        <v>جيد</v>
      </c>
      <c r="F40" s="58"/>
      <c r="G40" s="58"/>
      <c r="H40" s="58"/>
      <c r="I40" s="58"/>
      <c r="J40" s="59"/>
    </row>
    <row r="41" spans="1:10" ht="42" customHeight="1" x14ac:dyDescent="0.3">
      <c r="B41" s="54" t="s">
        <v>174</v>
      </c>
      <c r="C41" s="54"/>
      <c r="D41" s="54"/>
      <c r="E41" s="39" t="s">
        <v>52</v>
      </c>
      <c r="F41" s="39"/>
      <c r="G41" s="56" t="s">
        <v>135</v>
      </c>
      <c r="H41" s="56"/>
      <c r="I41" s="56"/>
      <c r="J41" s="56"/>
    </row>
    <row r="42" spans="1:10" ht="51" customHeight="1" x14ac:dyDescent="0.3">
      <c r="A42" s="5"/>
      <c r="B42" s="55"/>
      <c r="C42" s="55"/>
      <c r="D42" s="55"/>
      <c r="E42" s="40" t="s">
        <v>53</v>
      </c>
      <c r="F42" s="40"/>
      <c r="G42" s="57"/>
      <c r="H42" s="57"/>
      <c r="I42" s="57"/>
      <c r="J42" s="57"/>
    </row>
  </sheetData>
  <sheetProtection formatCells="0" formatColumns="0" formatRows="0" insertColumns="0" insertRows="0" insertHyperlinks="0" deleteColumns="0" deleteRows="0" selectLockedCells="1" sort="0" autoFilter="0" pivotTables="0"/>
  <mergeCells count="81">
    <mergeCell ref="B33:D33"/>
    <mergeCell ref="B34:D34"/>
    <mergeCell ref="B24:D24"/>
    <mergeCell ref="B25:D25"/>
    <mergeCell ref="B28:D28"/>
    <mergeCell ref="B29:D29"/>
    <mergeCell ref="B30:D30"/>
    <mergeCell ref="B31:D31"/>
    <mergeCell ref="B32:D32"/>
    <mergeCell ref="B8:D8"/>
    <mergeCell ref="B9:D9"/>
    <mergeCell ref="B10:D10"/>
    <mergeCell ref="B11:D11"/>
    <mergeCell ref="B12:D12"/>
    <mergeCell ref="B19:D19"/>
    <mergeCell ref="B20:D20"/>
    <mergeCell ref="B21:D21"/>
    <mergeCell ref="B38:D38"/>
    <mergeCell ref="B13:D13"/>
    <mergeCell ref="B14:D14"/>
    <mergeCell ref="B15:D15"/>
    <mergeCell ref="B16:D16"/>
    <mergeCell ref="B17:D17"/>
    <mergeCell ref="B22:D22"/>
    <mergeCell ref="B23:D23"/>
    <mergeCell ref="B35:D35"/>
    <mergeCell ref="B36:D36"/>
    <mergeCell ref="B37:D37"/>
    <mergeCell ref="B26:D26"/>
    <mergeCell ref="B27:D27"/>
    <mergeCell ref="B39:D39"/>
    <mergeCell ref="B40:D4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1:J21"/>
    <mergeCell ref="I22:J22"/>
    <mergeCell ref="I32:J32"/>
    <mergeCell ref="B18:D18"/>
    <mergeCell ref="B41:D42"/>
    <mergeCell ref="G41:J41"/>
    <mergeCell ref="G42:J42"/>
    <mergeCell ref="E40:J40"/>
    <mergeCell ref="B1:J1"/>
    <mergeCell ref="F2:J2"/>
    <mergeCell ref="B5:D6"/>
    <mergeCell ref="C2:D2"/>
    <mergeCell ref="C3:D3"/>
    <mergeCell ref="F3:J3"/>
    <mergeCell ref="E39:J39"/>
    <mergeCell ref="B7:D7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8:J8"/>
    <mergeCell ref="E41:F41"/>
    <mergeCell ref="E42:F42"/>
    <mergeCell ref="G38:J38"/>
    <mergeCell ref="I9:J9"/>
    <mergeCell ref="I23:J23"/>
    <mergeCell ref="I24:J24"/>
    <mergeCell ref="I25:J25"/>
    <mergeCell ref="I26:J26"/>
    <mergeCell ref="I27:J27"/>
    <mergeCell ref="I33:J33"/>
    <mergeCell ref="I34:J34"/>
    <mergeCell ref="I35:J35"/>
    <mergeCell ref="I36:J3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0">
    <cfRule type="expression" dxfId="14" priority="57">
      <formula>$E40="راسب"</formula>
    </cfRule>
  </conditionalFormatting>
  <conditionalFormatting sqref="E40:J40">
    <cfRule type="expression" dxfId="13" priority="58">
      <formula>$E40="مقبول"</formula>
    </cfRule>
    <cfRule type="expression" dxfId="12" priority="59">
      <formula>$E40="جيد"</formula>
    </cfRule>
    <cfRule type="expression" dxfId="11" priority="60">
      <formula>$E40="جيد جداً"</formula>
    </cfRule>
    <cfRule type="expression" dxfId="10" priority="61">
      <formula>$E40="ممتاز"</formula>
    </cfRule>
  </conditionalFormatting>
  <conditionalFormatting sqref="F8:F3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1:J41">
    <cfRule type="containsText" dxfId="6" priority="15" operator="containsText" text="أدخل اسم المحكم">
      <formula>NOT(ISERROR(SEARCH("أدخل اسم المحكم",G41)))</formula>
    </cfRule>
  </conditionalFormatting>
  <conditionalFormatting sqref="H8:H37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F34:F37 F9:F12 F29 F19:F22 F24:F27 F17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G41:J41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CD6617D2-18A5-4A01-9061-51F2522DD1E0}">
          <x14:formula1>
            <xm:f>'بيانات التقييم'!$A$111:$A$153</xm:f>
          </x14:formula1>
          <xm:sqref>F14:F16 F28</xm:sqref>
        </x14:dataValidation>
        <x14:dataValidation type="list" allowBlank="1" showInputMessage="1" showErrorMessage="1" xr:uid="{8E05A75E-BDA9-433F-8A20-11B0B62AF516}">
          <x14:formula1>
            <xm:f>'بيانات التقييم'!$A$111:$A$193</xm:f>
          </x14:formula1>
          <xm:sqref>F13</xm:sqref>
        </x14:dataValidation>
        <x14:dataValidation type="list" allowBlank="1" showInputMessage="1" showErrorMessage="1" xr:uid="{DC8AEA6D-F91B-40B6-AE59-1AEAD172E0D9}">
          <x14:formula1>
            <xm:f>'بيانات التقييم'!$A$111:$A$145</xm:f>
          </x14:formula1>
          <xm:sqref>F31</xm:sqref>
        </x14:dataValidation>
        <x14:dataValidation type="list" allowBlank="1" showInputMessage="1" showErrorMessage="1" xr:uid="{0354C563-C59E-49A5-9733-A96A69373955}">
          <x14:formula1>
            <xm:f>'بيانات التقييم'!$A$111:$A$161</xm:f>
          </x14:formula1>
          <xm:sqref>F32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3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2025-10-08T06:10:15Z</dcterms:modified>
</cp:coreProperties>
</file>