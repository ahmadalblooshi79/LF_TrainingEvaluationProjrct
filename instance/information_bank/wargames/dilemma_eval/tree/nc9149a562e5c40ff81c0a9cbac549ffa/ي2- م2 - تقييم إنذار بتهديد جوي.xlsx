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F64B3081-5758-DD49-95C2-5B00F64AD563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التقييم'!$A$1:$J$26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2" l="1"/>
  <c r="H17" i="2"/>
  <c r="G9" i="2"/>
  <c r="H9" i="2"/>
  <c r="G15" i="2"/>
  <c r="H15" i="2"/>
  <c r="G14" i="2"/>
  <c r="H14" i="2"/>
  <c r="G10" i="2"/>
  <c r="H10" i="2"/>
  <c r="G12" i="2"/>
  <c r="H12" i="2"/>
  <c r="G11" i="2"/>
  <c r="H11" i="2"/>
  <c r="G13" i="2"/>
  <c r="H13" i="2"/>
  <c r="G16" i="2"/>
  <c r="H16" i="2"/>
  <c r="G18" i="2"/>
  <c r="H18" i="2"/>
  <c r="G8" i="2"/>
  <c r="H8" i="2"/>
  <c r="F19" i="2"/>
  <c r="E19" i="2"/>
  <c r="E20" i="2"/>
  <c r="E21" i="2"/>
</calcChain>
</file>

<file path=xl/sharedStrings.xml><?xml version="1.0" encoding="utf-8"?>
<sst xmlns="http://schemas.openxmlformats.org/spreadsheetml/2006/main" count="247" uniqueCount="191">
  <si>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</si>
  <si>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</si>
  <si>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</si>
  <si>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</si>
  <si>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</si>
  <si>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</si>
  <si>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</si>
  <si>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</si>
  <si>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</si>
  <si>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</si>
  <si>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</si>
  <si>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</si>
  <si>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</si>
  <si>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</si>
  <si>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</si>
  <si>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</si>
  <si>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</si>
  <si>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</si>
  <si>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</si>
  <si>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</si>
  <si>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</si>
  <si>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</si>
  <si>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</si>
  <si>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</si>
  <si>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</si>
  <si>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</si>
  <si>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</si>
  <si>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</si>
  <si>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</si>
  <si>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</si>
  <si>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</si>
  <si>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</si>
  <si>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</si>
  <si>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</si>
  <si>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</si>
  <si>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</si>
  <si>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</si>
  <si>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</si>
  <si>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</si>
  <si>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</si>
  <si>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</si>
  <si>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</si>
  <si>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</si>
  <si>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</si>
  <si>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</si>
  <si>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</si>
  <si>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</si>
  <si>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</si>
  <si>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</si>
  <si>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</si>
  <si>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</si>
  <si>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</si>
  <si>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</si>
  <si>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</si>
  <si>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</si>
  <si>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</si>
  <si>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</si>
  <si>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</si>
  <si>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</si>
  <si>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</si>
  <si>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</si>
  <si>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</si>
  <si>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</si>
  <si>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</si>
  <si>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</si>
  <si>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</si>
  <si>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</si>
  <si>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</si>
  <si>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</si>
  <si>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</si>
  <si>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</si>
  <si>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</si>
  <si>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</si>
  <si>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</si>
  <si>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</si>
  <si>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</si>
  <si>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</si>
  <si>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</si>
  <si>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</si>
  <si>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</si>
  <si>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</si>
  <si>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</si>
  <si>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</si>
  <si>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</si>
  <si>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</si>
  <si>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</si>
  <si>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</si>
  <si>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</si>
  <si>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</si>
  <si>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</si>
  <si>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</si>
  <si>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</si>
  <si>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</si>
  <si>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</si>
  <si>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</si>
  <si>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</si>
  <si>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</si>
  <si>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</si>
  <si>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</si>
  <si>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</si>
  <si>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</si>
  <si>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</si>
  <si>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</si>
  <si>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</si>
  <si>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</si>
  <si>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</si>
  <si>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</si>
  <si>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</si>
  <si>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</si>
  <si>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</si>
  <si>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</si>
  <si>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</si>
  <si>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</si>
  <si>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</si>
  <si>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</si>
  <si>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</si>
  <si>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</si>
  <si>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</si>
  <si>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</si>
  <si>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</si>
  <si>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</si>
  <si>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</si>
  <si>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</si>
  <si>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</si>
  <si>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</si>
  <si>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</si>
  <si>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</si>
  <si>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</si>
  <si>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</si>
  <si>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</si>
  <si>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</si>
  <si>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</si>
  <si>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</si>
  <si>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</si>
  <si>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</si>
  <si>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</si>
  <si>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</si>
  <si>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</si>
  <si>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</si>
  <si>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</si>
  <si>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</si>
  <si>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</si>
  <si>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</si>
  <si>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</si>
  <si>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</si>
  <si>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</si>
  <si>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</si>
  <si>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</si>
  <si>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</si>
  <si>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</si>
  <si>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</si>
  <si>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</si>
  <si>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</si>
  <si>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</si>
  <si>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</si>
  <si>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</si>
  <si>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</si>
  <si>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</si>
  <si>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</si>
  <si>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</si>
  <si>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</si>
  <si>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</si>
  <si>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</si>
  <si>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</si>
  <si>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</si>
  <si>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</si>
  <si>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</si>
  <si>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</si>
  <si>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</si>
  <si>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</si>
  <si>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</si>
  <si>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</si>
  <si>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</si>
  <si>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</si>
  <si>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</si>
  <si>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</si>
  <si>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</si>
  <si>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</si>
  <si>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4.</t>
    </r>
    <r>
      <rPr>
        <sz val="14"/>
        <color rgb="FF000000"/>
        <rFont val="Times New Roman"/>
        <family val="1"/>
      </rPr>
      <t>     تنفيذ إجراءات الانتشار والدفاع الجوي السلبي</t>
    </r>
    <r>
      <rPr>
        <sz val="14"/>
        <color rgb="FF000000"/>
        <rFont val="Arial"/>
        <family val="2"/>
      </rPr>
      <t>.</t>
    </r>
  </si>
  <si>
    <r>
      <t>5.</t>
    </r>
    <r>
      <rPr>
        <sz val="14"/>
        <color rgb="FF000000"/>
        <rFont val="Times New Roman"/>
        <family val="1"/>
      </rPr>
      <t>     التحول إلى إجراءات السيطرة اللامركزية</t>
    </r>
    <r>
      <rPr>
        <sz val="14"/>
        <color rgb="FF000000"/>
        <rFont val="Arial"/>
        <family val="2"/>
      </rPr>
      <t>.</t>
    </r>
  </si>
  <si>
    <t>2.    استخدام الكلمة الرمزية للإشارة إلى التهديد الجوي المعادي (تُكرر الكلمة الرمزية ثلاث مرات).</t>
  </si>
  <si>
    <t>11.    إذا نجح التهديد الجوي في إصابة إحدى الوحدات الصديقة، تُصدر الوحدة المتأثرة بالهجوم إنذار حسب إجراءات الإنذار المحددة مسبقاً.</t>
  </si>
  <si>
    <t>3.    إصدار الإنذار على شبكات القيادة والعمليات والاستخبارات والإدارة والإمداد ويحدد الإنذار اتجاه التهديد المعادي.</t>
  </si>
  <si>
    <t>7.    تمرير الأهداف الى وحدات الدفاع الجوي المجاورة.</t>
  </si>
  <si>
    <t>8.    تمرير بيانات الأهداف إلى وحدات الدفاع الجوي الأمامية (الكتف).</t>
  </si>
  <si>
    <t>9.    تغيير وضعية أسلحة الدفاع الجوي إذا تواجدت طائرات صديقة في منطقة العمليات، ويتخذ القائد هذا القرار حسب طبيعة الموقف.</t>
  </si>
  <si>
    <t>10.    التعامل مع أخطر وأقرب هدف والذي يشكل خطورة على مجموعة اللواء.</t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</si>
  <si>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</si>
  <si>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1.    انذار الجميع بالتهديد الجوي المعادي وذلك على اللاسلكي وحسب إجراءات الإنذار المحددة مسبقاً.</t>
  </si>
  <si>
    <t>6.    التنسيق مع القائد لحماية الأهداف ذات الأولوية.</t>
  </si>
  <si>
    <r>
      <rPr>
        <b/>
        <sz val="14"/>
        <color rgb="FF000000"/>
        <rFont val="Arial"/>
        <family val="2"/>
      </rPr>
      <t>اليوم/2 - تقييم معضلة/2 - رد الفعل على الإنذار بتهديد جوي</t>
    </r>
    <r>
      <rPr>
        <b/>
        <u/>
        <sz val="14"/>
        <color rgb="FF000000"/>
        <rFont val="Arial"/>
        <family val="2"/>
      </rPr>
      <t xml:space="preserve">
تقييم السرايا الراجلة / الآلية - 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</si>
</sst>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4"/>
      <color rgb="FF000000"/>
      <name val="Times New Roman"/>
      <family val="1"/>
    </font>
    <font>
      <sz val="14"/>
      <color rgb="FF000000"/>
      <name val="Courier New"/>
      <family val="3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14" fillId="0" borderId="3" xfId="0" applyFont="1" applyBorder="1" applyAlignment="1">
      <alignment horizontal="right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8" fillId="0" borderId="14" xfId="0" applyFont="1" applyBorder="1" applyAlignment="1">
      <alignment horizontal="right" vertical="center" wrapText="1" readingOrder="2"/>
    </xf>
    <xf numFmtId="0" fontId="8" fillId="0" borderId="24" xfId="0" applyFont="1" applyBorder="1" applyAlignment="1">
      <alignment horizontal="right" vertical="center" wrapText="1" readingOrder="2"/>
    </xf>
    <xf numFmtId="0" fontId="8" fillId="0" borderId="15" xfId="0" applyFont="1" applyBorder="1" applyAlignment="1">
      <alignment horizontal="right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0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0" fontId="3" fillId="6" borderId="14" xfId="0" applyFont="1" applyFill="1" applyBorder="1" applyAlignment="1">
      <alignment horizontal="center" vertical="center" wrapText="1" readingOrder="2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3" borderId="14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5" borderId="14" xfId="0" applyFont="1" applyFill="1" applyBorder="1" applyAlignment="1">
      <alignment horizontal="center" vertical="center" wrapText="1" readingOrder="2"/>
    </xf>
    <xf numFmtId="0" fontId="3" fillId="5" borderId="15" xfId="0" applyFont="1" applyFill="1" applyBorder="1" applyAlignment="1">
      <alignment horizontal="center" vertical="center" wrapText="1" readingOrder="2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7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</cellXfs>
  <cellStyles count="1">
    <cellStyle name="Normal" xfId="0" builtinId="0"/>
  </cellStyles>
  <dxfs count="17"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333825</xdr:colOff>
      <xdr:row>21</xdr:row>
      <xdr:rowOff>508720</xdr:rowOff>
    </xdr:from>
    <xdr:to>
      <xdr:col>8</xdr:col>
      <xdr:colOff>524604</xdr:colOff>
      <xdr:row>22</xdr:row>
      <xdr:rowOff>496028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554AACE7-6B7E-DD38-D2DA-33E4C2A3544B}"/>
                </a:ext>
              </a:extLst>
            </xdr14:cNvPr>
            <xdr14:cNvContentPartPr/>
          </xdr14:nvContentPartPr>
          <xdr14:nvPr macro=""/>
          <xdr14:xfrm>
            <a:off x="10398720305" y="10287720"/>
            <a:ext cx="1506960" cy="51840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554AACE7-6B7E-DD38-D2DA-33E4C2A3544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711305" y="10278720"/>
              <a:ext cx="1524600" cy="536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416985</xdr:colOff>
      <xdr:row>22</xdr:row>
      <xdr:rowOff>464708</xdr:rowOff>
    </xdr:from>
    <xdr:to>
      <xdr:col>6</xdr:col>
      <xdr:colOff>440745</xdr:colOff>
      <xdr:row>22</xdr:row>
      <xdr:rowOff>469028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999B5F24-42F1-4B84-3649-CB6051CEC9C9}"/>
                </a:ext>
              </a:extLst>
            </xdr14:cNvPr>
            <xdr14:cNvContentPartPr/>
          </xdr14:nvContentPartPr>
          <xdr14:nvPr macro=""/>
          <xdr14:xfrm>
            <a:off x="10400120345" y="10774800"/>
            <a:ext cx="23760" cy="4320"/>
          </xdr14:xfrm>
        </xdr:contentPart>
      </mc:Choice>
      <mc:Fallback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999B5F24-42F1-4B84-3649-CB6051CEC9C9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00111705" y="10765800"/>
              <a:ext cx="41400" cy="219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06:45:04.22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3993 562 15115,'0'0'0,"3"-20"88,-3 20-88,12-14 48,-7-2-40,-1 10 40,1 2-48,-5 4 0,5-1 0,5-1 8,-6 2 0,8 0 72,-12 0-80,12 3 8,0 8 8,3 1-40,2 2-8,-17-14 32,17 18-24,-5 2 48,4 2 8,-6 0-56,-10-22 24,12 25 16,-7-3-64,-3 1 40,1-4 32,-3-19-24,0 15 0,0-2 40,0-9 48,0 9 8,0-13-96,-3 0 128,-9 3 24,0 0 40,-2 0-112,14-3-80,-19 0 72,-3 0-32,-2 0-168,-3-2 128,27 2 0,-26-3-32,0-1-16,-3 1 120,0 2-104,29 1 32,-34 0 0,0 3-24,1 1-48,-6 10 16,39-14 56,-38 4-40,2 13-40,-3-4 56,-2-1 16,41-12 8,-38 14 64,-3 0-8,-5 0-32,5-1 24,41-13-48,-48 11-104,0-6 136,-7 9-16,2-11 16,53-3-32,-58 4 56,0-1-48,-2-3-8,-5 0 56,65 0-56,-67 0 72,-5-3-32,0-1 64,-5-1-48,77 5-56,-80-4 144,-9 3 32,-9 1-56,-10 0 0,108 0-120,-116 13 128,-11-2-8,-1 2 80,-4 0 8,132-13-208,-130 11 96,0 2 56,-2-1-8,-1 0-16,133-12-128,-125 4 184,5 9 8,5-13-144,6 3 152,109-3-200,-101 0 209,3-2-49,-1-2 96,13-7-88,86 11-168,-87-5 152,5-9 0,10 9-8,5-8-32,67 13-112,-56-5 264,11 1-96,9 0 8,12-2-32,24 6-144,-17-5 0,14 0 216,1 1-64,-1 1-40,3 3-112,0-4 40,13-7-152,6-1 120,12-3-136,-31 15 128,41-18-64,12-1-24,12-3-104,12-2 120,-77 24 72,86-25-88,11-2 96,4-2 32,9 2-32,-110 27-8,123-30 56,2-1-48,10 0-72,4-2 120,-139 33-56,140-34 40,-3-2-32,7-1 120,-4-2-72,-140 39-56,142-43 0,-3 0 24,-7 2-80,-9 3 32,-123 38 24,115-39 24,-16 5-24,-8 3 0,-11 2 16,-80 29-16,67-24 40,-9 3 8,-12 2 16,-10 1-64,-36 18 0,29-16 88,-10 5-48,-10 7 0,-9-1 144,0 5-184,0-2 72,0 0 32,0 2-232,0 0 112,0 0 16,-4 0-88,-1 3-24,0 1 264,-9 11-200,14-15 48,-15 14-80,3 7 40,-2 5 16,-1 6-64,15-32 88,-12 40-16,10 6 40,-10 8-96,12 7 72,0-61 0,-7 67-16,7 2 16,0-1-40,0 1 32,0-69 8,12 64 32,-8-2-56,11-3-48,-6-4 104,-9-55-32,12 50-8,1-5-16,1-4 160,-4-2-160,-10-39 24,14 35 40,-2 2 24,0-1-64,0-2-24,-12-34 24,2 33-16,18-5-48,-8-2 16,-3-1-32,-9-25 80,5 27-272,12-1-176,-12 1-520,9 0-329,-14-27 1297,3 24-1784,11-3-1553,-16 8-3920,2-29 7257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06:45:43.78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66 5 17707,'0'0'0,"0"0"0,-15-2 1417,8 1-1377,-5 1-288,5-2-97,7 2 345,-5 0-744,0 5-264,0-1-344,3-1-225,2-3 1577,-7 0-1888,7 0-536,0-3 319,2-3-3336,-2 6 5441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6"/>
  <sheetViews>
    <sheetView rightToLeft="1" tabSelected="1" view="pageBreakPreview" topLeftCell="C8" zoomScale="130" zoomScaleNormal="100" zoomScaleSheetLayoutView="130" workbookViewId="0">
      <selection activeCell="G23" sqref="G23:J23"/>
    </sheetView>
  </sheetViews>
  <sheetFormatPr defaultColWidth="9.01171875" defaultRowHeight="15"/>
  <cols>
    <col min="1" max="1" width="5.109375" style="1" customWidth="1"/>
    <col min="2" max="2" width="12.10546875" style="1" customWidth="1"/>
    <col min="3" max="3" width="9.01171875" style="1"/>
    <col min="4" max="4" width="29.054687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>
      <c r="B1" s="54" t="s">
        <v>190</v>
      </c>
      <c r="C1" s="54"/>
      <c r="D1" s="54"/>
      <c r="E1" s="54"/>
      <c r="F1" s="54"/>
      <c r="G1" s="54"/>
      <c r="H1" s="54"/>
      <c r="I1" s="54"/>
      <c r="J1" s="54"/>
    </row>
    <row r="2" spans="1:10" ht="30" customHeight="1">
      <c r="B2" s="11" t="s">
        <v>8</v>
      </c>
      <c r="C2" s="60" t="s">
        <v>37</v>
      </c>
      <c r="D2" s="60"/>
      <c r="E2" s="11" t="s">
        <v>7</v>
      </c>
      <c r="F2" s="55">
        <v>45913</v>
      </c>
      <c r="G2" s="55"/>
      <c r="H2" s="55"/>
      <c r="I2" s="55"/>
      <c r="J2" s="55"/>
    </row>
    <row r="3" spans="1:10" ht="30" customHeight="1">
      <c r="B3" s="11" t="s">
        <v>9</v>
      </c>
      <c r="C3" s="60" t="s">
        <v>78</v>
      </c>
      <c r="D3" s="60"/>
      <c r="E3" s="11" t="s">
        <v>6</v>
      </c>
      <c r="F3" s="60" t="s">
        <v>134</v>
      </c>
      <c r="G3" s="60"/>
      <c r="H3" s="60"/>
      <c r="I3" s="60"/>
      <c r="J3" s="60"/>
    </row>
    <row r="4" spans="1:10" ht="30" customHeight="1" thickBot="1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>
      <c r="A5" s="9"/>
      <c r="B5" s="56" t="s">
        <v>0</v>
      </c>
      <c r="C5" s="57"/>
      <c r="D5" s="57"/>
      <c r="E5" s="61" t="s">
        <v>1</v>
      </c>
      <c r="F5" s="61"/>
      <c r="G5" s="61"/>
      <c r="H5" s="61"/>
      <c r="I5" s="61" t="s">
        <v>2</v>
      </c>
      <c r="J5" s="62"/>
    </row>
    <row r="6" spans="1:10" ht="24.95" customHeight="1" thickBot="1">
      <c r="A6" s="9"/>
      <c r="B6" s="58"/>
      <c r="C6" s="59"/>
      <c r="D6" s="59"/>
      <c r="E6" s="10" t="s">
        <v>3</v>
      </c>
      <c r="F6" s="10" t="s">
        <v>4</v>
      </c>
      <c r="G6" s="10" t="s">
        <v>23</v>
      </c>
      <c r="H6" s="10" t="s">
        <v>24</v>
      </c>
      <c r="I6" s="63"/>
      <c r="J6" s="64"/>
    </row>
    <row r="7" spans="1:10" ht="24.95" customHeight="1">
      <c r="A7" s="9"/>
      <c r="B7" s="50" t="s">
        <v>21</v>
      </c>
      <c r="C7" s="51"/>
      <c r="D7" s="51"/>
      <c r="E7" s="30" t="s">
        <v>18</v>
      </c>
      <c r="F7" s="30" t="s">
        <v>19</v>
      </c>
      <c r="G7" s="30" t="s">
        <v>22</v>
      </c>
      <c r="H7" s="30" t="s">
        <v>20</v>
      </c>
      <c r="I7" s="52" t="s">
        <v>25</v>
      </c>
      <c r="J7" s="53"/>
    </row>
    <row r="8" spans="1:10" ht="60" customHeight="1">
      <c r="A8" s="9"/>
      <c r="B8" s="39" t="s">
        <v>188</v>
      </c>
      <c r="C8" s="39"/>
      <c r="D8" s="39"/>
      <c r="E8" s="32">
        <v>3</v>
      </c>
      <c r="F8" s="25">
        <v>2.25</v>
      </c>
      <c r="G8" s="33">
        <f>IFERROR(F8/E8,"")</f>
        <v>0.75</v>
      </c>
      <c r="H8" s="34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40"/>
      <c r="J8" s="40"/>
    </row>
    <row r="9" spans="1:10" ht="39.950000000000003" customHeight="1">
      <c r="A9" s="9"/>
      <c r="B9" s="39" t="s">
        <v>180</v>
      </c>
      <c r="C9" s="39"/>
      <c r="D9" s="39"/>
      <c r="E9" s="32">
        <v>3</v>
      </c>
      <c r="F9" s="25">
        <v>2.25</v>
      </c>
      <c r="G9" s="33">
        <f t="shared" ref="G9" si="0">IFERROR(F9/E9,"")</f>
        <v>0.75</v>
      </c>
      <c r="H9" s="34" t="str">
        <f t="shared" ref="H9" si="1">_xlfn.IFS(F9="أدخل العلامة","",F9="لا ينطبق","تم الإلغاء",G9&gt;=90%,"ممتاز",G9&gt;=80%,"جيد جداً",G9&gt;=70%,"جيد",G9&gt;=60%,"مقبول",G9&lt;60%,"راسب")</f>
        <v>جيد</v>
      </c>
      <c r="I9" s="40"/>
      <c r="J9" s="40"/>
    </row>
    <row r="10" spans="1:10" ht="39.950000000000003" customHeight="1">
      <c r="A10" s="9"/>
      <c r="B10" s="39" t="s">
        <v>182</v>
      </c>
      <c r="C10" s="41"/>
      <c r="D10" s="41"/>
      <c r="E10" s="32">
        <v>3</v>
      </c>
      <c r="F10" s="25">
        <v>2</v>
      </c>
      <c r="G10" s="33">
        <f t="shared" ref="G10" si="2">IFERROR(F10/E10,"")</f>
        <v>0.66666666666666663</v>
      </c>
      <c r="H10" s="34" t="str">
        <f t="shared" ref="H10" si="3">_xlfn.IFS(F10="أدخل العلامة","",F10="لا ينطبق","تم الإلغاء",G10&gt;=90%,"ممتاز",G10&gt;=80%,"جيد جداً",G10&gt;=70%,"جيد",G10&gt;=60%,"مقبول",G10&lt;60%,"راسب")</f>
        <v>مقبول</v>
      </c>
      <c r="I10" s="40"/>
      <c r="J10" s="40"/>
    </row>
    <row r="11" spans="1:10" ht="30" customHeight="1">
      <c r="A11" s="9"/>
      <c r="B11" s="39" t="s">
        <v>178</v>
      </c>
      <c r="C11" s="39"/>
      <c r="D11" s="39"/>
      <c r="E11" s="32">
        <v>3</v>
      </c>
      <c r="F11" s="25">
        <v>2</v>
      </c>
      <c r="G11" s="33">
        <f>IFERROR(F11/E11,"")</f>
        <v>0.66666666666666663</v>
      </c>
      <c r="H11" s="34" t="str">
        <f>_xlfn.IFS(F11="أدخل العلامة","",F11="لا ينطبق","تم الإلغاء",G11&gt;=90%,"ممتاز",G11&gt;=80%,"جيد جداً",G11&gt;=70%,"جيد",G11&gt;=60%,"مقبول",G11&lt;60%,"راسب")</f>
        <v>مقبول</v>
      </c>
      <c r="I11" s="40"/>
      <c r="J11" s="40"/>
    </row>
    <row r="12" spans="1:10" ht="30" customHeight="1">
      <c r="A12" s="9"/>
      <c r="B12" s="39" t="s">
        <v>179</v>
      </c>
      <c r="C12" s="39"/>
      <c r="D12" s="39"/>
      <c r="E12" s="32">
        <v>3</v>
      </c>
      <c r="F12" s="25">
        <v>2</v>
      </c>
      <c r="G12" s="33">
        <f>IFERROR(F12/E12,"")</f>
        <v>0.66666666666666663</v>
      </c>
      <c r="H12" s="34" t="str">
        <f>_xlfn.IFS(F12="أدخل العلامة","",F12="لا ينطبق","تم الإلغاء",G12&gt;=90%,"ممتاز",G12&gt;=80%,"جيد جداً",G12&gt;=70%,"جيد",G12&gt;=60%,"مقبول",G12&lt;60%,"راسب")</f>
        <v>مقبول</v>
      </c>
      <c r="I12" s="40"/>
      <c r="J12" s="40"/>
    </row>
    <row r="13" spans="1:10" ht="39.950000000000003" customHeight="1">
      <c r="A13" s="9"/>
      <c r="B13" s="39" t="s">
        <v>189</v>
      </c>
      <c r="C13" s="39"/>
      <c r="D13" s="39"/>
      <c r="E13" s="32">
        <v>3</v>
      </c>
      <c r="F13" s="25">
        <v>2</v>
      </c>
      <c r="G13" s="33">
        <f t="shared" ref="G13:G18" si="4">IFERROR(F13/E13,"")</f>
        <v>0.66666666666666663</v>
      </c>
      <c r="H13" s="34" t="str">
        <f t="shared" ref="H13:H18" si="5">_xlfn.IFS(F13="أدخل العلامة","",F13="لا ينطبق","تم الإلغاء",G13&gt;=90%,"ممتاز",G13&gt;=80%,"جيد جداً",G13&gt;=70%,"جيد",G13&gt;=60%,"مقبول",G13&lt;60%,"راسب")</f>
        <v>مقبول</v>
      </c>
      <c r="I13" s="40"/>
      <c r="J13" s="40"/>
    </row>
    <row r="14" spans="1:10" ht="30" customHeight="1">
      <c r="A14" s="9"/>
      <c r="B14" s="39" t="s">
        <v>183</v>
      </c>
      <c r="C14" s="39"/>
      <c r="D14" s="39"/>
      <c r="E14" s="32">
        <v>3</v>
      </c>
      <c r="F14" s="25">
        <v>2.25</v>
      </c>
      <c r="G14" s="33">
        <f t="shared" ref="G14" si="6">IFERROR(F14/E14,"")</f>
        <v>0.75</v>
      </c>
      <c r="H14" s="34" t="str">
        <f t="shared" ref="H14" si="7">_xlfn.IFS(F14="أدخل العلامة","",F14="لا ينطبق","تم الإلغاء",G14&gt;=90%,"ممتاز",G14&gt;=80%,"جيد جداً",G14&gt;=70%,"جيد",G14&gt;=60%,"مقبول",G14&lt;60%,"راسب")</f>
        <v>جيد</v>
      </c>
      <c r="I14" s="40"/>
      <c r="J14" s="40"/>
    </row>
    <row r="15" spans="1:10" ht="39.950000000000003" customHeight="1">
      <c r="A15" s="9"/>
      <c r="B15" s="39" t="s">
        <v>184</v>
      </c>
      <c r="C15" s="39"/>
      <c r="D15" s="39"/>
      <c r="E15" s="32">
        <v>3</v>
      </c>
      <c r="F15" s="25">
        <v>2.25</v>
      </c>
      <c r="G15" s="33">
        <f t="shared" ref="G15" si="8">IFERROR(F15/E15,"")</f>
        <v>0.75</v>
      </c>
      <c r="H15" s="34" t="str">
        <f t="shared" ref="H15" si="9">_xlfn.IFS(F15="أدخل العلامة","",F15="لا ينطبق","تم الإلغاء",G15&gt;=90%,"ممتاز",G15&gt;=80%,"جيد جداً",G15&gt;=70%,"جيد",G15&gt;=60%,"مقبول",G15&lt;60%,"راسب")</f>
        <v>جيد</v>
      </c>
      <c r="I15" s="40"/>
      <c r="J15" s="40"/>
    </row>
    <row r="16" spans="1:10" ht="60" customHeight="1">
      <c r="A16" s="9"/>
      <c r="B16" s="47" t="s">
        <v>185</v>
      </c>
      <c r="C16" s="48"/>
      <c r="D16" s="49"/>
      <c r="E16" s="32">
        <v>3</v>
      </c>
      <c r="F16" s="25">
        <v>2.25</v>
      </c>
      <c r="G16" s="33">
        <f t="shared" si="4"/>
        <v>0.75</v>
      </c>
      <c r="H16" s="34" t="str">
        <f t="shared" si="5"/>
        <v>جيد</v>
      </c>
      <c r="I16" s="40"/>
      <c r="J16" s="40"/>
    </row>
    <row r="17" spans="1:10" ht="39.950000000000003" customHeight="1">
      <c r="A17" s="9"/>
      <c r="B17" s="39" t="s">
        <v>186</v>
      </c>
      <c r="C17" s="41"/>
      <c r="D17" s="41"/>
      <c r="E17" s="32">
        <v>3</v>
      </c>
      <c r="F17" s="29">
        <v>2</v>
      </c>
      <c r="G17" s="33">
        <f>IFERROR(F17/E17,"")</f>
        <v>0.66666666666666663</v>
      </c>
      <c r="H17" s="34" t="str">
        <f>_xlfn.IFS(F17="أدخل العلامة","",F17="لا ينطبق","تم الإلغاء",G17&gt;=90%,"ممتاز",G17&gt;=80%,"جيد جداً",G17&gt;=70%,"جيد",G17&gt;=60%,"مقبول",G17&lt;60%,"راسب")</f>
        <v>مقبول</v>
      </c>
      <c r="I17" s="40"/>
      <c r="J17" s="40"/>
    </row>
    <row r="18" spans="1:10" ht="60" customHeight="1">
      <c r="A18" s="9"/>
      <c r="B18" s="39" t="s">
        <v>181</v>
      </c>
      <c r="C18" s="39"/>
      <c r="D18" s="39"/>
      <c r="E18" s="32">
        <v>3</v>
      </c>
      <c r="F18" s="25">
        <v>2</v>
      </c>
      <c r="G18" s="33">
        <f t="shared" si="4"/>
        <v>0.66666666666666663</v>
      </c>
      <c r="H18" s="34" t="str">
        <f t="shared" si="5"/>
        <v>مقبول</v>
      </c>
      <c r="I18" s="40"/>
      <c r="J18" s="40"/>
    </row>
    <row r="19" spans="1:10" ht="30" customHeight="1" thickBot="1">
      <c r="A19" s="4"/>
      <c r="B19" s="73" t="s">
        <v>5</v>
      </c>
      <c r="C19" s="74"/>
      <c r="D19" s="74"/>
      <c r="E19" s="31">
        <f>SUM(E8:E18)</f>
        <v>33</v>
      </c>
      <c r="F19" s="31">
        <f>SUM(F8:F18)</f>
        <v>23.25</v>
      </c>
      <c r="G19" s="42"/>
      <c r="H19" s="43"/>
      <c r="I19" s="43"/>
      <c r="J19" s="44"/>
    </row>
    <row r="20" spans="1:10" ht="30" customHeight="1" thickBot="1">
      <c r="A20" s="4"/>
      <c r="B20" s="75" t="s">
        <v>54</v>
      </c>
      <c r="C20" s="76"/>
      <c r="D20" s="76"/>
      <c r="E20" s="45">
        <f>F19/E19/100*100</f>
        <v>0.70454545454545459</v>
      </c>
      <c r="F20" s="45"/>
      <c r="G20" s="45"/>
      <c r="H20" s="45"/>
      <c r="I20" s="45"/>
      <c r="J20" s="46"/>
    </row>
    <row r="21" spans="1:10" ht="30" customHeight="1" thickBot="1">
      <c r="A21" s="4"/>
      <c r="B21" s="75" t="s">
        <v>55</v>
      </c>
      <c r="C21" s="76"/>
      <c r="D21" s="76"/>
      <c r="E21" s="65" t="str">
        <f>_xlfn.IFS(E20&gt;=90%,"ممتاز",E20&gt;=80%,"جيد جداً",E20&gt;=70%,"جيد",E20&gt;=60%,"مقبول",E20&lt;60%,"راسب")</f>
        <v>جيد</v>
      </c>
      <c r="F21" s="65"/>
      <c r="G21" s="65"/>
      <c r="H21" s="65"/>
      <c r="I21" s="65"/>
      <c r="J21" s="66"/>
    </row>
    <row r="22" spans="1:10" ht="42" customHeight="1">
      <c r="B22" s="35" t="s">
        <v>187</v>
      </c>
      <c r="C22" s="35"/>
      <c r="D22" s="35"/>
      <c r="E22" s="77" t="s">
        <v>52</v>
      </c>
      <c r="F22" s="77"/>
      <c r="G22" s="37" t="s">
        <v>134</v>
      </c>
      <c r="H22" s="37"/>
      <c r="I22" s="37"/>
      <c r="J22" s="37"/>
    </row>
    <row r="23" spans="1:10" ht="51" customHeight="1">
      <c r="A23" s="5"/>
      <c r="B23" s="36"/>
      <c r="C23" s="36"/>
      <c r="D23" s="36"/>
      <c r="E23" s="78" t="s">
        <v>53</v>
      </c>
      <c r="F23" s="78"/>
      <c r="G23" s="38"/>
      <c r="H23" s="38"/>
      <c r="I23" s="38"/>
      <c r="J23" s="38"/>
    </row>
    <row r="24" spans="1:10">
      <c r="A24" s="26">
        <v>3</v>
      </c>
      <c r="B24" s="67" t="s">
        <v>175</v>
      </c>
      <c r="C24" s="68"/>
    </row>
    <row r="25" spans="1:10">
      <c r="A25" s="27">
        <v>2</v>
      </c>
      <c r="B25" s="69" t="s">
        <v>176</v>
      </c>
      <c r="C25" s="70"/>
    </row>
    <row r="26" spans="1:10">
      <c r="A26" s="28">
        <v>1</v>
      </c>
      <c r="B26" s="71" t="s">
        <v>177</v>
      </c>
      <c r="C26" s="72"/>
    </row>
  </sheetData>
  <sheetProtection formatCells="0" formatColumns="0" formatRows="0" insertColumns="0" insertRows="0" insertHyperlinks="0" deleteColumns="0" deleteRows="0" selectLockedCells="1" sort="0" autoFilter="0" pivotTables="0"/>
  <mergeCells count="46">
    <mergeCell ref="E21:J21"/>
    <mergeCell ref="B24:C24"/>
    <mergeCell ref="B25:C25"/>
    <mergeCell ref="B26:C26"/>
    <mergeCell ref="I8:J8"/>
    <mergeCell ref="B19:D19"/>
    <mergeCell ref="B20:D20"/>
    <mergeCell ref="B21:D21"/>
    <mergeCell ref="I16:J16"/>
    <mergeCell ref="I18:J18"/>
    <mergeCell ref="I14:J14"/>
    <mergeCell ref="I15:J15"/>
    <mergeCell ref="B17:D17"/>
    <mergeCell ref="I17:J17"/>
    <mergeCell ref="E22:F22"/>
    <mergeCell ref="E23:F23"/>
    <mergeCell ref="B1:J1"/>
    <mergeCell ref="F2:J2"/>
    <mergeCell ref="B5:D6"/>
    <mergeCell ref="C2:D2"/>
    <mergeCell ref="C3:D3"/>
    <mergeCell ref="F3:J3"/>
    <mergeCell ref="E5:H5"/>
    <mergeCell ref="I5:J6"/>
    <mergeCell ref="B7:D7"/>
    <mergeCell ref="I7:J7"/>
    <mergeCell ref="I13:J13"/>
    <mergeCell ref="B8:D8"/>
    <mergeCell ref="B13:D13"/>
    <mergeCell ref="B11:D11"/>
    <mergeCell ref="B22:D23"/>
    <mergeCell ref="G22:J22"/>
    <mergeCell ref="G23:J23"/>
    <mergeCell ref="B15:D15"/>
    <mergeCell ref="B9:D9"/>
    <mergeCell ref="I9:J9"/>
    <mergeCell ref="I11:J11"/>
    <mergeCell ref="B12:D12"/>
    <mergeCell ref="I12:J12"/>
    <mergeCell ref="B10:D10"/>
    <mergeCell ref="I10:J10"/>
    <mergeCell ref="B14:D14"/>
    <mergeCell ref="G19:J19"/>
    <mergeCell ref="E20:J20"/>
    <mergeCell ref="B16:D16"/>
    <mergeCell ref="B18:D18"/>
  </mergeCells>
  <conditionalFormatting sqref="C2:D2">
    <cfRule type="containsText" dxfId="16" priority="67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66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1">
    <cfRule type="expression" dxfId="14" priority="106">
      <formula>$E21="راسب"</formula>
    </cfRule>
  </conditionalFormatting>
  <conditionalFormatting sqref="E21:J21">
    <cfRule type="expression" dxfId="13" priority="110">
      <formula>$E21="ممتاز"</formula>
    </cfRule>
    <cfRule type="expression" dxfId="12" priority="109">
      <formula>$E21="جيد جداً"</formula>
    </cfRule>
    <cfRule type="expression" dxfId="11" priority="108">
      <formula>$E21="جيد"</formula>
    </cfRule>
    <cfRule type="expression" dxfId="10" priority="107">
      <formula>$E21="مقبول"</formula>
    </cfRule>
  </conditionalFormatting>
  <conditionalFormatting sqref="F8:F18">
    <cfRule type="containsText" dxfId="9" priority="7" operator="containsText" text="أدخل العلامة">
      <formula>NOT(ISERROR(SEARCH("أدخل العلامة",F8)))</formula>
    </cfRule>
  </conditionalFormatting>
  <conditionalFormatting sqref="F2:J2">
    <cfRule type="containsText" dxfId="8" priority="68" operator="containsText" text="أدخل التاريخ">
      <formula>NOT(ISERROR(SEARCH("أدخل التاريخ",F2)))</formula>
    </cfRule>
  </conditionalFormatting>
  <conditionalFormatting sqref="F3:J3">
    <cfRule type="containsText" dxfId="7" priority="65" operator="containsText" text="أدخل أسم المحكم">
      <formula>NOT(ISERROR(SEARCH("أدخل أسم المحكم",F3)))</formula>
    </cfRule>
  </conditionalFormatting>
  <conditionalFormatting sqref="G22:J22">
    <cfRule type="containsText" dxfId="6" priority="64" operator="containsText" text="أدخل اسم المحكم">
      <formula>NOT(ISERROR(SEARCH("أدخل اسم المحكم",G22)))</formula>
    </cfRule>
  </conditionalFormatting>
  <conditionalFormatting sqref="H8:H18">
    <cfRule type="containsText" dxfId="5" priority="1" operator="containsText" text="أدخل العلامة">
      <formula>NOT(ISERROR(SEARCH("أدخل العلامة",H8)))</formula>
    </cfRule>
    <cfRule type="containsText" dxfId="4" priority="6" operator="containsText" text="راسب">
      <formula>NOT(ISERROR(SEARCH("راسب",H8)))</formula>
    </cfRule>
    <cfRule type="containsText" dxfId="3" priority="2" operator="containsText" text="ممتاز">
      <formula>NOT(ISERROR(SEARCH("ممتاز",H8)))</formula>
    </cfRule>
    <cfRule type="containsText" dxfId="2" priority="3" operator="containsText" text="جيد جداً">
      <formula>NOT(ISERROR(SEARCH("جيد جداً",H8)))</formula>
    </cfRule>
    <cfRule type="containsText" dxfId="1" priority="4" operator="containsText" text="جيد">
      <formula>NOT(ISERROR(SEARCH("جيد",H8)))</formula>
    </cfRule>
    <cfRule type="containsText" dxfId="0" priority="5" operator="containsText" text="مقبول">
      <formula>NOT(ISERROR(SEARCH("مقبول",H8)))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8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G22:J22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  <x14:dataValidation type="list" allowBlank="1" showInputMessage="1" showErrorMessage="1" xr:uid="{36ED5D87-B8CE-48D5-8C3F-AD190A97274B}">
          <x14:formula1>
            <xm:f>'بيانات التقييم'!$A$111:$A$125</xm:f>
          </x14:formula1>
          <xm:sqref>F8:F18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111" workbookViewId="0">
      <selection activeCell="A199" sqref="A199:A285"/>
    </sheetView>
  </sheetViews>
  <sheetFormatPr defaultRowHeight="20.100000000000001" customHeight="1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>
      <c r="A1" s="2" t="s">
        <v>57</v>
      </c>
      <c r="C1" s="2" t="s">
        <v>60</v>
      </c>
    </row>
    <row r="2" spans="1:3" ht="20.100000000000001" customHeight="1" thickBot="1">
      <c r="A2" s="2" t="s">
        <v>35</v>
      </c>
      <c r="C2" s="18" t="s">
        <v>62</v>
      </c>
    </row>
    <row r="3" spans="1:3" ht="20.100000000000001" customHeight="1" thickBot="1">
      <c r="A3" s="2" t="s">
        <v>26</v>
      </c>
      <c r="C3" s="18" t="s">
        <v>63</v>
      </c>
    </row>
    <row r="4" spans="1:3" ht="20.100000000000001" customHeight="1" thickBot="1">
      <c r="A4" s="2" t="s">
        <v>36</v>
      </c>
      <c r="C4" s="18" t="s">
        <v>64</v>
      </c>
    </row>
    <row r="5" spans="1:3" ht="20.100000000000001" customHeight="1" thickBot="1">
      <c r="A5" s="2" t="s">
        <v>37</v>
      </c>
      <c r="C5" s="18" t="s">
        <v>65</v>
      </c>
    </row>
    <row r="6" spans="1:3" ht="20.100000000000001" customHeight="1" thickBot="1">
      <c r="A6" s="2" t="s">
        <v>38</v>
      </c>
      <c r="C6" s="18" t="s">
        <v>66</v>
      </c>
    </row>
    <row r="7" spans="1:3" ht="20.100000000000001" customHeight="1" thickBot="1">
      <c r="A7" s="2" t="s">
        <v>39</v>
      </c>
      <c r="C7" s="18" t="s">
        <v>67</v>
      </c>
    </row>
    <row r="8" spans="1:3" ht="20.100000000000001" customHeight="1" thickBot="1">
      <c r="A8" s="2" t="s">
        <v>40</v>
      </c>
      <c r="C8" s="18" t="s">
        <v>68</v>
      </c>
    </row>
    <row r="9" spans="1:3" ht="20.100000000000001" customHeight="1" thickBot="1">
      <c r="A9" s="2" t="s">
        <v>41</v>
      </c>
      <c r="C9" s="18" t="s">
        <v>69</v>
      </c>
    </row>
    <row r="10" spans="1:3" ht="20.100000000000001" customHeight="1" thickBot="1">
      <c r="A10" s="2" t="s">
        <v>42</v>
      </c>
      <c r="C10" s="18" t="s">
        <v>70</v>
      </c>
    </row>
    <row r="11" spans="1:3" ht="20.100000000000001" customHeight="1" thickBot="1">
      <c r="A11" s="2" t="s">
        <v>43</v>
      </c>
      <c r="C11" s="18" t="s">
        <v>71</v>
      </c>
    </row>
    <row r="12" spans="1:3" ht="20.100000000000001" customHeight="1" thickBot="1">
      <c r="A12" s="2" t="s">
        <v>44</v>
      </c>
      <c r="C12" s="18" t="s">
        <v>72</v>
      </c>
    </row>
    <row r="13" spans="1:3" ht="20.100000000000001" customHeight="1" thickBot="1">
      <c r="A13" s="2" t="s">
        <v>45</v>
      </c>
      <c r="C13" s="18" t="s">
        <v>73</v>
      </c>
    </row>
    <row r="14" spans="1:3" ht="20.100000000000001" customHeight="1" thickBot="1">
      <c r="A14" s="2" t="s">
        <v>46</v>
      </c>
      <c r="C14" s="18" t="s">
        <v>74</v>
      </c>
    </row>
    <row r="15" spans="1:3" ht="20.100000000000001" customHeight="1" thickBot="1">
      <c r="A15" s="2" t="s">
        <v>47</v>
      </c>
      <c r="C15" s="18" t="s">
        <v>75</v>
      </c>
    </row>
    <row r="16" spans="1:3" ht="20.100000000000001" customHeight="1" thickBot="1">
      <c r="A16" s="2" t="s">
        <v>10</v>
      </c>
      <c r="C16" s="18" t="s">
        <v>76</v>
      </c>
    </row>
    <row r="17" spans="1:3" ht="20.100000000000001" customHeight="1" thickBot="1">
      <c r="A17" s="2" t="s">
        <v>27</v>
      </c>
      <c r="C17" s="18" t="s">
        <v>77</v>
      </c>
    </row>
    <row r="18" spans="1:3" ht="20.100000000000001" customHeight="1" thickBot="1">
      <c r="A18" s="2" t="s">
        <v>48</v>
      </c>
      <c r="C18" s="18" t="s">
        <v>78</v>
      </c>
    </row>
    <row r="19" spans="1:3" ht="20.100000000000001" customHeight="1" thickBot="1">
      <c r="A19" s="2" t="s">
        <v>49</v>
      </c>
      <c r="C19" s="18" t="s">
        <v>79</v>
      </c>
    </row>
    <row r="20" spans="1:3" ht="20.100000000000001" customHeight="1" thickBot="1">
      <c r="A20" s="2" t="s">
        <v>50</v>
      </c>
      <c r="C20" s="18" t="s">
        <v>80</v>
      </c>
    </row>
    <row r="21" spans="1:3" ht="20.100000000000001" customHeight="1" thickBot="1">
      <c r="A21" s="2" t="s">
        <v>51</v>
      </c>
      <c r="C21" s="18" t="s">
        <v>81</v>
      </c>
    </row>
    <row r="22" spans="1:3" ht="20.100000000000001" customHeight="1" thickBot="1">
      <c r="A22" s="2" t="s">
        <v>11</v>
      </c>
      <c r="C22" s="18" t="s">
        <v>82</v>
      </c>
    </row>
    <row r="23" spans="1:3" ht="20.100000000000001" customHeight="1" thickBot="1">
      <c r="A23" s="2" t="s">
        <v>12</v>
      </c>
      <c r="C23" s="18" t="s">
        <v>83</v>
      </c>
    </row>
    <row r="24" spans="1:3" ht="20.100000000000001" customHeight="1" thickBot="1">
      <c r="A24" s="2" t="s">
        <v>15</v>
      </c>
      <c r="C24" s="18" t="s">
        <v>84</v>
      </c>
    </row>
    <row r="25" spans="1:3" ht="20.100000000000001" customHeight="1" thickBot="1">
      <c r="A25" s="2" t="s">
        <v>28</v>
      </c>
      <c r="C25" s="18" t="s">
        <v>85</v>
      </c>
    </row>
    <row r="26" spans="1:3" ht="20.100000000000001" customHeight="1" thickBot="1">
      <c r="A26" s="2" t="s">
        <v>29</v>
      </c>
      <c r="C26" s="18" t="s">
        <v>86</v>
      </c>
    </row>
    <row r="27" spans="1:3" ht="20.100000000000001" customHeight="1" thickBot="1">
      <c r="A27" s="2" t="s">
        <v>13</v>
      </c>
      <c r="C27" s="18" t="s">
        <v>87</v>
      </c>
    </row>
    <row r="28" spans="1:3" ht="20.100000000000001" customHeight="1" thickBot="1">
      <c r="A28" s="2" t="s">
        <v>30</v>
      </c>
      <c r="C28" s="18" t="s">
        <v>88</v>
      </c>
    </row>
    <row r="29" spans="1:3" ht="20.100000000000001" customHeight="1" thickBot="1">
      <c r="A29" s="2" t="s">
        <v>31</v>
      </c>
      <c r="C29" s="2"/>
    </row>
    <row r="30" spans="1:3" ht="20.100000000000001" customHeight="1" thickBot="1">
      <c r="A30" s="2" t="s">
        <v>32</v>
      </c>
      <c r="C30" s="2"/>
    </row>
    <row r="31" spans="1:3" ht="20.100000000000001" customHeight="1" thickBot="1">
      <c r="A31" s="2" t="s">
        <v>33</v>
      </c>
      <c r="C31" s="2"/>
    </row>
    <row r="32" spans="1:3" ht="20.100000000000001" customHeight="1" thickBot="1">
      <c r="A32" s="2" t="s">
        <v>16</v>
      </c>
      <c r="C32" s="2"/>
    </row>
    <row r="33" spans="1:9" ht="20.100000000000001" customHeight="1" thickBot="1">
      <c r="A33" s="2" t="s">
        <v>14</v>
      </c>
      <c r="C33" s="2"/>
    </row>
    <row r="34" spans="1:9" ht="20.100000000000001" customHeight="1" thickBot="1">
      <c r="A34" s="2" t="s">
        <v>34</v>
      </c>
      <c r="C34" s="2"/>
    </row>
    <row r="35" spans="1:9" ht="20.100000000000001" customHeight="1">
      <c r="A35" s="17"/>
    </row>
    <row r="36" spans="1:9" s="16" customFormat="1" ht="20.100000000000001" customHeight="1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/>
    <row r="38" spans="1:9" ht="20.100000000000001" customHeight="1" thickBot="1">
      <c r="A38" s="2" t="s">
        <v>56</v>
      </c>
    </row>
    <row r="39" spans="1:9" ht="20.100000000000001" customHeight="1" thickBot="1">
      <c r="A39" s="12">
        <v>45901</v>
      </c>
    </row>
    <row r="40" spans="1:9" ht="20.100000000000001" customHeight="1" thickBot="1">
      <c r="A40" s="12">
        <v>45902</v>
      </c>
    </row>
    <row r="41" spans="1:9" ht="20.100000000000001" customHeight="1" thickBot="1">
      <c r="A41" s="12">
        <v>45903</v>
      </c>
    </row>
    <row r="42" spans="1:9" ht="20.100000000000001" customHeight="1" thickBot="1">
      <c r="A42" s="12">
        <v>45904</v>
      </c>
    </row>
    <row r="43" spans="1:9" ht="20.100000000000001" customHeight="1" thickBot="1">
      <c r="A43" s="12">
        <v>45905</v>
      </c>
    </row>
    <row r="44" spans="1:9" ht="20.100000000000001" customHeight="1" thickBot="1">
      <c r="A44" s="12">
        <v>45906</v>
      </c>
    </row>
    <row r="45" spans="1:9" ht="20.100000000000001" customHeight="1" thickBot="1">
      <c r="A45" s="12">
        <v>45907</v>
      </c>
    </row>
    <row r="46" spans="1:9" ht="20.100000000000001" customHeight="1" thickBot="1">
      <c r="A46" s="12">
        <v>45908</v>
      </c>
    </row>
    <row r="47" spans="1:9" ht="20.100000000000001" customHeight="1" thickBot="1">
      <c r="A47" s="12">
        <v>45909</v>
      </c>
    </row>
    <row r="48" spans="1:9" ht="20.100000000000001" customHeight="1" thickBot="1">
      <c r="A48" s="12">
        <v>45910</v>
      </c>
    </row>
    <row r="49" spans="1:1" ht="20.100000000000001" customHeight="1" thickBot="1">
      <c r="A49" s="12">
        <v>45911</v>
      </c>
    </row>
    <row r="50" spans="1:1" ht="20.100000000000001" customHeight="1" thickBot="1">
      <c r="A50" s="12">
        <v>45912</v>
      </c>
    </row>
    <row r="51" spans="1:1" ht="20.100000000000001" customHeight="1" thickBot="1">
      <c r="A51" s="12">
        <v>45913</v>
      </c>
    </row>
    <row r="52" spans="1:1" ht="20.100000000000001" customHeight="1" thickBot="1">
      <c r="A52" s="12">
        <v>45914</v>
      </c>
    </row>
    <row r="53" spans="1:1" ht="20.100000000000001" customHeight="1" thickBot="1">
      <c r="A53" s="12">
        <v>45915</v>
      </c>
    </row>
    <row r="54" spans="1:1" ht="20.100000000000001" customHeight="1" thickBot="1">
      <c r="A54" s="12">
        <v>45916</v>
      </c>
    </row>
    <row r="55" spans="1:1" ht="20.100000000000001" customHeight="1" thickBot="1">
      <c r="A55" s="12">
        <v>45917</v>
      </c>
    </row>
    <row r="56" spans="1:1" ht="20.100000000000001" customHeight="1" thickBot="1">
      <c r="A56" s="12">
        <v>45918</v>
      </c>
    </row>
    <row r="57" spans="1:1" ht="20.100000000000001" customHeight="1" thickBot="1">
      <c r="A57" s="12">
        <v>45919</v>
      </c>
    </row>
    <row r="58" spans="1:1" ht="20.100000000000001" customHeight="1" thickBot="1">
      <c r="A58" s="12">
        <v>45920</v>
      </c>
    </row>
    <row r="59" spans="1:1" ht="20.100000000000001" customHeight="1" thickBot="1">
      <c r="A59" s="12">
        <v>45921</v>
      </c>
    </row>
    <row r="60" spans="1:1" ht="20.100000000000001" customHeight="1" thickBot="1">
      <c r="A60" s="12">
        <v>45922</v>
      </c>
    </row>
    <row r="61" spans="1:1" ht="20.100000000000001" customHeight="1" thickBot="1">
      <c r="A61" s="12">
        <v>45923</v>
      </c>
    </row>
    <row r="62" spans="1:1" ht="20.100000000000001" customHeight="1" thickBot="1">
      <c r="A62" s="12">
        <v>45924</v>
      </c>
    </row>
    <row r="63" spans="1:1" ht="20.100000000000001" customHeight="1" thickBot="1">
      <c r="A63" s="12">
        <v>45925</v>
      </c>
    </row>
    <row r="64" spans="1:1" ht="20.100000000000001" customHeight="1" thickBot="1">
      <c r="A64" s="12">
        <v>45926</v>
      </c>
    </row>
    <row r="65" spans="1:1" ht="20.100000000000001" customHeight="1" thickBot="1">
      <c r="A65" s="12">
        <v>45927</v>
      </c>
    </row>
    <row r="66" spans="1:1" ht="20.100000000000001" customHeight="1" thickBot="1">
      <c r="A66" s="12">
        <v>45928</v>
      </c>
    </row>
    <row r="67" spans="1:1" ht="20.100000000000001" customHeight="1" thickBot="1">
      <c r="A67" s="12">
        <v>45929</v>
      </c>
    </row>
    <row r="68" spans="1:1" ht="20.100000000000001" customHeight="1" thickBot="1">
      <c r="A68" s="12">
        <v>45930</v>
      </c>
    </row>
    <row r="69" spans="1:1" ht="20.100000000000001" customHeight="1" thickBot="1">
      <c r="A69" s="12">
        <v>45931</v>
      </c>
    </row>
    <row r="70" spans="1:1" ht="20.100000000000001" customHeight="1" thickBot="1">
      <c r="A70" s="12">
        <v>45932</v>
      </c>
    </row>
    <row r="71" spans="1:1" ht="20.100000000000001" customHeight="1" thickBot="1">
      <c r="A71" s="12">
        <v>45933</v>
      </c>
    </row>
    <row r="72" spans="1:1" ht="20.100000000000001" customHeight="1" thickBot="1">
      <c r="A72" s="12">
        <v>45934</v>
      </c>
    </row>
    <row r="73" spans="1:1" ht="20.100000000000001" customHeight="1" thickBot="1">
      <c r="A73" s="12">
        <v>45935</v>
      </c>
    </row>
    <row r="74" spans="1:1" ht="20.100000000000001" customHeight="1" thickBot="1">
      <c r="A74" s="12">
        <v>45936</v>
      </c>
    </row>
    <row r="75" spans="1:1" ht="20.100000000000001" customHeight="1" thickBot="1">
      <c r="A75" s="12">
        <v>45937</v>
      </c>
    </row>
    <row r="76" spans="1:1" ht="20.100000000000001" customHeight="1" thickBot="1">
      <c r="A76" s="12">
        <v>45938</v>
      </c>
    </row>
    <row r="77" spans="1:1" ht="20.100000000000001" customHeight="1" thickBot="1">
      <c r="A77" s="12">
        <v>45939</v>
      </c>
    </row>
    <row r="78" spans="1:1" ht="20.100000000000001" customHeight="1" thickBot="1">
      <c r="A78" s="12">
        <v>45940</v>
      </c>
    </row>
    <row r="79" spans="1:1" ht="20.100000000000001" customHeight="1" thickBot="1">
      <c r="A79" s="12">
        <v>45941</v>
      </c>
    </row>
    <row r="80" spans="1:1" ht="20.100000000000001" customHeight="1" thickBot="1">
      <c r="A80" s="12">
        <v>45942</v>
      </c>
    </row>
    <row r="81" spans="1:1" ht="20.100000000000001" customHeight="1" thickBot="1">
      <c r="A81" s="12">
        <v>45943</v>
      </c>
    </row>
    <row r="82" spans="1:1" ht="20.100000000000001" customHeight="1" thickBot="1">
      <c r="A82" s="12">
        <v>45944</v>
      </c>
    </row>
    <row r="83" spans="1:1" ht="20.100000000000001" customHeight="1" thickBot="1">
      <c r="A83" s="12">
        <v>45945</v>
      </c>
    </row>
    <row r="84" spans="1:1" ht="20.100000000000001" customHeight="1" thickBot="1">
      <c r="A84" s="12">
        <v>45946</v>
      </c>
    </row>
    <row r="85" spans="1:1" ht="20.100000000000001" customHeight="1" thickBot="1">
      <c r="A85" s="12">
        <v>45947</v>
      </c>
    </row>
    <row r="86" spans="1:1" ht="20.100000000000001" customHeight="1" thickBot="1">
      <c r="A86" s="12">
        <v>45948</v>
      </c>
    </row>
    <row r="87" spans="1:1" ht="20.100000000000001" customHeight="1" thickBot="1">
      <c r="A87" s="12">
        <v>45949</v>
      </c>
    </row>
    <row r="88" spans="1:1" ht="20.100000000000001" customHeight="1" thickBot="1">
      <c r="A88" s="12">
        <v>45950</v>
      </c>
    </row>
    <row r="89" spans="1:1" ht="20.100000000000001" customHeight="1" thickBot="1">
      <c r="A89" s="12">
        <v>45951</v>
      </c>
    </row>
    <row r="90" spans="1:1" ht="20.100000000000001" customHeight="1" thickBot="1">
      <c r="A90" s="12">
        <v>45952</v>
      </c>
    </row>
    <row r="91" spans="1:1" ht="20.100000000000001" customHeight="1" thickBot="1">
      <c r="A91" s="12">
        <v>45953</v>
      </c>
    </row>
    <row r="92" spans="1:1" ht="20.100000000000001" customHeight="1" thickBot="1">
      <c r="A92" s="12">
        <v>45954</v>
      </c>
    </row>
    <row r="93" spans="1:1" ht="20.100000000000001" customHeight="1" thickBot="1">
      <c r="A93" s="12">
        <v>45955</v>
      </c>
    </row>
    <row r="94" spans="1:1" ht="20.100000000000001" customHeight="1" thickBot="1">
      <c r="A94" s="12">
        <v>45956</v>
      </c>
    </row>
    <row r="95" spans="1:1" ht="20.100000000000001" customHeight="1" thickBot="1">
      <c r="A95" s="12">
        <v>45957</v>
      </c>
    </row>
    <row r="96" spans="1:1" ht="20.100000000000001" customHeight="1" thickBot="1">
      <c r="A96" s="12">
        <v>45958</v>
      </c>
    </row>
    <row r="97" spans="1:9" ht="20.100000000000001" customHeight="1" thickBot="1">
      <c r="A97" s="12">
        <v>45959</v>
      </c>
    </row>
    <row r="98" spans="1:9" ht="20.100000000000001" customHeight="1" thickBot="1">
      <c r="A98" s="12">
        <v>45960</v>
      </c>
    </row>
    <row r="99" spans="1:9" ht="20.100000000000001" customHeight="1" thickBot="1">
      <c r="A99" s="12">
        <v>45961</v>
      </c>
    </row>
    <row r="100" spans="1:9" ht="20.100000000000001" customHeight="1" thickBot="1">
      <c r="A100" s="12">
        <v>45962</v>
      </c>
    </row>
    <row r="101" spans="1:9" ht="20.100000000000001" customHeight="1" thickBot="1">
      <c r="A101" s="12">
        <v>45963</v>
      </c>
    </row>
    <row r="102" spans="1:9" ht="20.100000000000001" customHeight="1" thickBot="1">
      <c r="A102" s="12">
        <v>45964</v>
      </c>
    </row>
    <row r="103" spans="1:9" ht="20.100000000000001" customHeight="1" thickBot="1">
      <c r="A103" s="12">
        <v>45965</v>
      </c>
    </row>
    <row r="104" spans="1:9" ht="20.100000000000001" customHeight="1" thickBot="1">
      <c r="A104" s="12">
        <v>45966</v>
      </c>
    </row>
    <row r="105" spans="1:9" ht="20.100000000000001" customHeight="1" thickBot="1">
      <c r="A105" s="12">
        <v>45967</v>
      </c>
    </row>
    <row r="106" spans="1:9" ht="20.100000000000001" customHeight="1" thickBot="1">
      <c r="A106" s="12">
        <v>45968</v>
      </c>
    </row>
    <row r="107" spans="1:9" ht="20.100000000000001" customHeight="1">
      <c r="A107" s="13"/>
    </row>
    <row r="108" spans="1:9" ht="20.100000000000001" customHeight="1">
      <c r="A108" s="13"/>
    </row>
    <row r="109" spans="1:9" s="16" customFormat="1" ht="20.100000000000001" customHeight="1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/>
    <row r="111" spans="1:9" ht="20.100000000000001" customHeight="1" thickBot="1">
      <c r="A111" s="2" t="s">
        <v>61</v>
      </c>
    </row>
    <row r="112" spans="1:9" ht="20.100000000000001" customHeight="1" thickBot="1">
      <c r="A112" s="2" t="s">
        <v>17</v>
      </c>
    </row>
    <row r="113" spans="1:1" ht="20.100000000000001" customHeight="1" thickBot="1">
      <c r="A113" s="2">
        <v>0</v>
      </c>
    </row>
    <row r="114" spans="1:1" ht="20.100000000000001" customHeight="1" thickBot="1">
      <c r="A114" s="2">
        <v>0.25</v>
      </c>
    </row>
    <row r="115" spans="1:1" ht="20.100000000000001" customHeight="1" thickBot="1">
      <c r="A115" s="2">
        <v>0.5</v>
      </c>
    </row>
    <row r="116" spans="1:1" ht="20.100000000000001" customHeight="1" thickBot="1">
      <c r="A116" s="2">
        <v>0.75</v>
      </c>
    </row>
    <row r="117" spans="1:1" ht="20.100000000000001" customHeight="1" thickBot="1">
      <c r="A117" s="2">
        <v>1</v>
      </c>
    </row>
    <row r="118" spans="1:1" ht="20.100000000000001" customHeight="1" thickBot="1">
      <c r="A118" s="2">
        <v>1.25</v>
      </c>
    </row>
    <row r="119" spans="1:1" ht="20.100000000000001" customHeight="1" thickBot="1">
      <c r="A119" s="2">
        <v>1.5</v>
      </c>
    </row>
    <row r="120" spans="1:1" ht="20.100000000000001" customHeight="1" thickBot="1">
      <c r="A120" s="2">
        <v>1.75</v>
      </c>
    </row>
    <row r="121" spans="1:1" ht="20.100000000000001" customHeight="1" thickBot="1">
      <c r="A121" s="2">
        <v>2</v>
      </c>
    </row>
    <row r="122" spans="1:1" ht="20.100000000000001" customHeight="1" thickBot="1">
      <c r="A122" s="2">
        <v>2.25</v>
      </c>
    </row>
    <row r="123" spans="1:1" ht="20.100000000000001" customHeight="1" thickBot="1">
      <c r="A123" s="2">
        <v>2.5</v>
      </c>
    </row>
    <row r="124" spans="1:1" ht="20.100000000000001" customHeight="1" thickBot="1">
      <c r="A124" s="2">
        <v>2.75</v>
      </c>
    </row>
    <row r="125" spans="1:1" ht="20.100000000000001" customHeight="1" thickBot="1">
      <c r="A125" s="2">
        <v>3</v>
      </c>
    </row>
    <row r="126" spans="1:1" ht="20.100000000000001" customHeight="1" thickBot="1">
      <c r="A126" s="2">
        <v>3.25</v>
      </c>
    </row>
    <row r="127" spans="1:1" ht="20.100000000000001" customHeight="1" thickBot="1">
      <c r="A127" s="2">
        <v>3.5</v>
      </c>
    </row>
    <row r="128" spans="1:1" ht="20.100000000000001" customHeight="1" thickBot="1">
      <c r="A128" s="2">
        <v>3.75</v>
      </c>
    </row>
    <row r="129" spans="1:1" ht="20.100000000000001" customHeight="1" thickBot="1">
      <c r="A129" s="2">
        <v>4</v>
      </c>
    </row>
    <row r="130" spans="1:1" ht="20.100000000000001" customHeight="1" thickBot="1">
      <c r="A130" s="2">
        <v>4.25</v>
      </c>
    </row>
    <row r="131" spans="1:1" ht="20.100000000000001" customHeight="1" thickBot="1">
      <c r="A131" s="2">
        <v>4.5</v>
      </c>
    </row>
    <row r="132" spans="1:1" ht="20.100000000000001" customHeight="1" thickBot="1">
      <c r="A132" s="2">
        <v>4.75</v>
      </c>
    </row>
    <row r="133" spans="1:1" ht="20.100000000000001" customHeight="1" thickBot="1">
      <c r="A133" s="2">
        <v>5</v>
      </c>
    </row>
    <row r="134" spans="1:1" ht="20.100000000000001" customHeight="1" thickBot="1">
      <c r="A134" s="2">
        <v>5.25</v>
      </c>
    </row>
    <row r="135" spans="1:1" ht="20.100000000000001" customHeight="1" thickBot="1">
      <c r="A135" s="2">
        <v>5.5</v>
      </c>
    </row>
    <row r="136" spans="1:1" ht="20.100000000000001" customHeight="1" thickBot="1">
      <c r="A136" s="2">
        <v>5.75</v>
      </c>
    </row>
    <row r="137" spans="1:1" ht="20.100000000000001" customHeight="1" thickBot="1">
      <c r="A137" s="2">
        <v>6</v>
      </c>
    </row>
    <row r="138" spans="1:1" ht="20.100000000000001" customHeight="1" thickBot="1">
      <c r="A138" s="2">
        <v>6.25</v>
      </c>
    </row>
    <row r="139" spans="1:1" ht="20.100000000000001" customHeight="1" thickBot="1">
      <c r="A139" s="2">
        <v>6.5</v>
      </c>
    </row>
    <row r="140" spans="1:1" ht="20.100000000000001" customHeight="1" thickBot="1">
      <c r="A140" s="2">
        <v>6.75</v>
      </c>
    </row>
    <row r="141" spans="1:1" ht="20.100000000000001" customHeight="1" thickBot="1">
      <c r="A141" s="2">
        <v>7</v>
      </c>
    </row>
    <row r="142" spans="1:1" ht="20.100000000000001" customHeight="1" thickBot="1">
      <c r="A142" s="2">
        <v>7.25</v>
      </c>
    </row>
    <row r="143" spans="1:1" ht="20.100000000000001" customHeight="1" thickBot="1">
      <c r="A143" s="2">
        <v>7.5</v>
      </c>
    </row>
    <row r="144" spans="1:1" ht="20.100000000000001" customHeight="1" thickBot="1">
      <c r="A144" s="2">
        <v>7.75</v>
      </c>
    </row>
    <row r="145" spans="1:1" ht="20.100000000000001" customHeight="1" thickBot="1">
      <c r="A145" s="2">
        <v>8</v>
      </c>
    </row>
    <row r="146" spans="1:1" ht="20.100000000000001" customHeight="1" thickBot="1">
      <c r="A146" s="2">
        <v>8.25</v>
      </c>
    </row>
    <row r="147" spans="1:1" ht="20.100000000000001" customHeight="1" thickBot="1">
      <c r="A147" s="2">
        <v>8.5</v>
      </c>
    </row>
    <row r="148" spans="1:1" ht="20.100000000000001" customHeight="1" thickBot="1">
      <c r="A148" s="2">
        <v>8.75</v>
      </c>
    </row>
    <row r="149" spans="1:1" ht="20.100000000000001" customHeight="1" thickBot="1">
      <c r="A149" s="2">
        <v>9</v>
      </c>
    </row>
    <row r="150" spans="1:1" ht="20.100000000000001" customHeight="1" thickBot="1">
      <c r="A150" s="2">
        <v>9.25</v>
      </c>
    </row>
    <row r="151" spans="1:1" ht="20.100000000000001" customHeight="1" thickBot="1">
      <c r="A151" s="2">
        <v>9.5</v>
      </c>
    </row>
    <row r="152" spans="1:1" ht="20.100000000000001" customHeight="1" thickBot="1">
      <c r="A152" s="2">
        <v>9.75</v>
      </c>
    </row>
    <row r="153" spans="1:1" ht="20.100000000000001" customHeight="1" thickBot="1">
      <c r="A153" s="2">
        <v>10</v>
      </c>
    </row>
    <row r="154" spans="1:1" ht="20.100000000000001" customHeight="1" thickBot="1">
      <c r="A154" s="2">
        <v>10.25</v>
      </c>
    </row>
    <row r="155" spans="1:1" ht="20.100000000000001" customHeight="1" thickBot="1">
      <c r="A155" s="2">
        <v>10.5</v>
      </c>
    </row>
    <row r="156" spans="1:1" ht="20.100000000000001" customHeight="1" thickBot="1">
      <c r="A156" s="2">
        <v>10.75</v>
      </c>
    </row>
    <row r="157" spans="1:1" ht="20.100000000000001" customHeight="1" thickBot="1">
      <c r="A157" s="2">
        <v>11</v>
      </c>
    </row>
    <row r="158" spans="1:1" ht="20.100000000000001" customHeight="1" thickBot="1">
      <c r="A158" s="2">
        <v>11.25</v>
      </c>
    </row>
    <row r="159" spans="1:1" ht="20.100000000000001" customHeight="1" thickBot="1">
      <c r="A159" s="2">
        <v>11.5</v>
      </c>
    </row>
    <row r="160" spans="1:1" ht="20.100000000000001" customHeight="1" thickBot="1">
      <c r="A160" s="2">
        <v>11.75</v>
      </c>
    </row>
    <row r="161" spans="1:1" ht="20.100000000000001" customHeight="1" thickBot="1">
      <c r="A161" s="2">
        <v>12</v>
      </c>
    </row>
    <row r="162" spans="1:1" ht="20.100000000000001" customHeight="1" thickBot="1">
      <c r="A162" s="2">
        <v>12.25</v>
      </c>
    </row>
    <row r="163" spans="1:1" ht="20.100000000000001" customHeight="1" thickBot="1">
      <c r="A163" s="2">
        <v>12.5</v>
      </c>
    </row>
    <row r="164" spans="1:1" ht="20.100000000000001" customHeight="1" thickBot="1">
      <c r="A164" s="2">
        <v>12.75</v>
      </c>
    </row>
    <row r="165" spans="1:1" ht="20.100000000000001" customHeight="1" thickBot="1">
      <c r="A165" s="2">
        <v>13</v>
      </c>
    </row>
    <row r="166" spans="1:1" ht="20.100000000000001" customHeight="1" thickBot="1">
      <c r="A166" s="2">
        <v>13.25</v>
      </c>
    </row>
    <row r="167" spans="1:1" ht="20.100000000000001" customHeight="1" thickBot="1">
      <c r="A167" s="2">
        <v>13.5</v>
      </c>
    </row>
    <row r="168" spans="1:1" ht="20.100000000000001" customHeight="1" thickBot="1">
      <c r="A168" s="2">
        <v>13.75</v>
      </c>
    </row>
    <row r="169" spans="1:1" ht="20.100000000000001" customHeight="1" thickBot="1">
      <c r="A169" s="2">
        <v>14</v>
      </c>
    </row>
    <row r="170" spans="1:1" ht="20.100000000000001" customHeight="1" thickBot="1">
      <c r="A170" s="2">
        <v>14.25</v>
      </c>
    </row>
    <row r="171" spans="1:1" ht="20.100000000000001" customHeight="1" thickBot="1">
      <c r="A171" s="2">
        <v>14.5</v>
      </c>
    </row>
    <row r="172" spans="1:1" ht="20.100000000000001" customHeight="1" thickBot="1">
      <c r="A172" s="2">
        <v>14.75</v>
      </c>
    </row>
    <row r="173" spans="1:1" ht="20.100000000000001" customHeight="1" thickBot="1">
      <c r="A173" s="2">
        <v>15</v>
      </c>
    </row>
    <row r="174" spans="1:1" ht="20.100000000000001" customHeight="1" thickBot="1">
      <c r="A174" s="2">
        <v>15.25</v>
      </c>
    </row>
    <row r="175" spans="1:1" ht="20.100000000000001" customHeight="1" thickBot="1">
      <c r="A175" s="2">
        <v>15.5</v>
      </c>
    </row>
    <row r="176" spans="1:1" ht="20.100000000000001" customHeight="1" thickBot="1">
      <c r="A176" s="2">
        <v>15.75</v>
      </c>
    </row>
    <row r="177" spans="1:1" ht="20.100000000000001" customHeight="1" thickBot="1">
      <c r="A177" s="2">
        <v>16</v>
      </c>
    </row>
    <row r="178" spans="1:1" ht="20.100000000000001" customHeight="1" thickBot="1">
      <c r="A178" s="2">
        <v>16.25</v>
      </c>
    </row>
    <row r="179" spans="1:1" ht="20.100000000000001" customHeight="1" thickBot="1">
      <c r="A179" s="2">
        <v>16.5</v>
      </c>
    </row>
    <row r="180" spans="1:1" ht="20.100000000000001" customHeight="1" thickBot="1">
      <c r="A180" s="2">
        <v>16.75</v>
      </c>
    </row>
    <row r="181" spans="1:1" ht="20.100000000000001" customHeight="1" thickBot="1">
      <c r="A181" s="2">
        <v>17</v>
      </c>
    </row>
    <row r="182" spans="1:1" ht="20.100000000000001" customHeight="1" thickBot="1">
      <c r="A182" s="2">
        <v>17.25</v>
      </c>
    </row>
    <row r="183" spans="1:1" ht="20.100000000000001" customHeight="1" thickBot="1">
      <c r="A183" s="2">
        <v>17.5</v>
      </c>
    </row>
    <row r="184" spans="1:1" ht="20.100000000000001" customHeight="1" thickBot="1">
      <c r="A184" s="2">
        <v>17.75</v>
      </c>
    </row>
    <row r="185" spans="1:1" ht="20.100000000000001" customHeight="1" thickBot="1">
      <c r="A185" s="2">
        <v>18</v>
      </c>
    </row>
    <row r="186" spans="1:1" ht="20.100000000000001" customHeight="1" thickBot="1">
      <c r="A186" s="2">
        <v>18.25</v>
      </c>
    </row>
    <row r="187" spans="1:1" ht="20.100000000000001" customHeight="1" thickBot="1">
      <c r="A187" s="2">
        <v>18.5</v>
      </c>
    </row>
    <row r="188" spans="1:1" ht="20.100000000000001" customHeight="1" thickBot="1">
      <c r="A188" s="2">
        <v>18.75</v>
      </c>
    </row>
    <row r="189" spans="1:1" ht="20.100000000000001" customHeight="1" thickBot="1">
      <c r="A189" s="2">
        <v>19</v>
      </c>
    </row>
    <row r="190" spans="1:1" ht="20.100000000000001" customHeight="1" thickBot="1">
      <c r="A190" s="2">
        <v>19.25</v>
      </c>
    </row>
    <row r="191" spans="1:1" ht="20.100000000000001" customHeight="1" thickBot="1">
      <c r="A191" s="2">
        <v>19.5</v>
      </c>
    </row>
    <row r="192" spans="1:1" ht="20.100000000000001" customHeight="1" thickBot="1">
      <c r="A192" s="2">
        <v>19.75</v>
      </c>
    </row>
    <row r="193" spans="1:1" ht="20.100000000000001" customHeight="1" thickBot="1">
      <c r="A193" s="2">
        <v>20</v>
      </c>
    </row>
    <row r="197" spans="1:1" ht="20.100000000000001" customHeight="1" thickBot="1"/>
    <row r="198" spans="1:1" ht="20.100000000000001" customHeight="1" thickBot="1">
      <c r="A198" s="2" t="s">
        <v>59</v>
      </c>
    </row>
    <row r="199" spans="1:1" ht="20.100000000000001" customHeight="1">
      <c r="A199" s="19" t="s">
        <v>89</v>
      </c>
    </row>
    <row r="200" spans="1:1" ht="20.100000000000001" customHeight="1">
      <c r="A200" s="19" t="s">
        <v>90</v>
      </c>
    </row>
    <row r="201" spans="1:1" ht="20.100000000000001" customHeight="1">
      <c r="A201" s="19" t="s">
        <v>91</v>
      </c>
    </row>
    <row r="202" spans="1:1" ht="20.100000000000001" customHeight="1">
      <c r="A202" s="19" t="s">
        <v>92</v>
      </c>
    </row>
    <row r="203" spans="1:1" ht="20.100000000000001" customHeight="1">
      <c r="A203" s="19" t="s">
        <v>93</v>
      </c>
    </row>
    <row r="204" spans="1:1" ht="20.100000000000001" customHeight="1">
      <c r="A204" s="19" t="s">
        <v>94</v>
      </c>
    </row>
    <row r="205" spans="1:1" ht="20.100000000000001" customHeight="1">
      <c r="A205" s="19" t="s">
        <v>95</v>
      </c>
    </row>
    <row r="206" spans="1:1" ht="20.100000000000001" customHeight="1">
      <c r="A206" s="19" t="s">
        <v>96</v>
      </c>
    </row>
    <row r="207" spans="1:1" ht="20.100000000000001" customHeight="1">
      <c r="A207" s="19" t="s">
        <v>97</v>
      </c>
    </row>
    <row r="208" spans="1:1" ht="20.100000000000001" customHeight="1">
      <c r="A208" s="20" t="s">
        <v>98</v>
      </c>
    </row>
    <row r="209" spans="1:1" ht="20.100000000000001" customHeight="1">
      <c r="A209" s="20" t="s">
        <v>99</v>
      </c>
    </row>
    <row r="210" spans="1:1" ht="20.100000000000001" customHeight="1">
      <c r="A210" s="19" t="s">
        <v>100</v>
      </c>
    </row>
    <row r="211" spans="1:1" ht="20.100000000000001" customHeight="1">
      <c r="A211" s="19" t="s">
        <v>101</v>
      </c>
    </row>
    <row r="212" spans="1:1" ht="20.100000000000001" customHeight="1">
      <c r="A212" s="19" t="s">
        <v>102</v>
      </c>
    </row>
    <row r="213" spans="1:1" ht="20.100000000000001" customHeight="1">
      <c r="A213" s="19" t="s">
        <v>103</v>
      </c>
    </row>
    <row r="214" spans="1:1" ht="20.100000000000001" customHeight="1">
      <c r="A214" s="19" t="s">
        <v>104</v>
      </c>
    </row>
    <row r="215" spans="1:1" ht="20.100000000000001" customHeight="1">
      <c r="A215" s="19" t="s">
        <v>105</v>
      </c>
    </row>
    <row r="216" spans="1:1" ht="20.100000000000001" customHeight="1">
      <c r="A216" s="19" t="s">
        <v>106</v>
      </c>
    </row>
    <row r="217" spans="1:1" ht="20.100000000000001" customHeight="1">
      <c r="A217" s="19" t="s">
        <v>107</v>
      </c>
    </row>
    <row r="218" spans="1:1" ht="20.100000000000001" customHeight="1">
      <c r="A218" s="19" t="s">
        <v>108</v>
      </c>
    </row>
    <row r="219" spans="1:1" ht="20.100000000000001" customHeight="1">
      <c r="A219" s="19" t="s">
        <v>109</v>
      </c>
    </row>
    <row r="220" spans="1:1" ht="20.100000000000001" customHeight="1">
      <c r="A220" s="19" t="s">
        <v>110</v>
      </c>
    </row>
    <row r="221" spans="1:1" ht="20.100000000000001" customHeight="1">
      <c r="A221" s="19" t="s">
        <v>111</v>
      </c>
    </row>
    <row r="222" spans="1:1" ht="20.100000000000001" customHeight="1">
      <c r="A222" s="19" t="s">
        <v>112</v>
      </c>
    </row>
    <row r="223" spans="1:1" ht="20.100000000000001" customHeight="1">
      <c r="A223" s="19" t="s">
        <v>113</v>
      </c>
    </row>
    <row r="224" spans="1:1" ht="20.100000000000001" customHeight="1">
      <c r="A224" s="19" t="s">
        <v>114</v>
      </c>
    </row>
    <row r="225" spans="1:1" ht="20.100000000000001" customHeight="1">
      <c r="A225" s="19" t="s">
        <v>115</v>
      </c>
    </row>
    <row r="226" spans="1:1" ht="20.100000000000001" customHeight="1">
      <c r="A226" s="19" t="s">
        <v>116</v>
      </c>
    </row>
    <row r="227" spans="1:1" ht="20.100000000000001" customHeight="1">
      <c r="A227" s="19" t="s">
        <v>117</v>
      </c>
    </row>
    <row r="228" spans="1:1" ht="20.100000000000001" customHeight="1">
      <c r="A228" s="19" t="s">
        <v>118</v>
      </c>
    </row>
    <row r="229" spans="1:1" ht="20.100000000000001" customHeight="1">
      <c r="A229" s="19" t="s">
        <v>119</v>
      </c>
    </row>
    <row r="230" spans="1:1" ht="20.100000000000001" customHeight="1">
      <c r="A230" s="19" t="s">
        <v>120</v>
      </c>
    </row>
    <row r="231" spans="1:1" ht="20.100000000000001" customHeight="1">
      <c r="A231" s="19" t="s">
        <v>121</v>
      </c>
    </row>
    <row r="232" spans="1:1" ht="20.100000000000001" customHeight="1">
      <c r="A232" s="19" t="s">
        <v>122</v>
      </c>
    </row>
    <row r="233" spans="1:1" ht="20.100000000000001" customHeight="1">
      <c r="A233" s="19" t="s">
        <v>123</v>
      </c>
    </row>
    <row r="234" spans="1:1" ht="20.100000000000001" customHeight="1">
      <c r="A234" s="19" t="s">
        <v>124</v>
      </c>
    </row>
    <row r="235" spans="1:1" ht="20.100000000000001" customHeight="1">
      <c r="A235" s="21" t="s">
        <v>125</v>
      </c>
    </row>
    <row r="236" spans="1:1" ht="20.100000000000001" customHeight="1">
      <c r="A236" s="19" t="s">
        <v>126</v>
      </c>
    </row>
    <row r="237" spans="1:1" ht="20.100000000000001" customHeight="1">
      <c r="A237" s="19" t="s">
        <v>127</v>
      </c>
    </row>
    <row r="238" spans="1:1" ht="20.100000000000001" customHeight="1">
      <c r="A238" s="19" t="s">
        <v>128</v>
      </c>
    </row>
    <row r="239" spans="1:1" ht="20.100000000000001" customHeight="1">
      <c r="A239" s="19" t="s">
        <v>129</v>
      </c>
    </row>
    <row r="240" spans="1:1" ht="20.100000000000001" customHeight="1">
      <c r="A240" s="19" t="s">
        <v>130</v>
      </c>
    </row>
    <row r="241" spans="1:1" ht="20.100000000000001" customHeight="1">
      <c r="A241" s="19" t="s">
        <v>131</v>
      </c>
    </row>
    <row r="242" spans="1:1" ht="20.100000000000001" customHeight="1">
      <c r="A242" s="19" t="s">
        <v>132</v>
      </c>
    </row>
    <row r="243" spans="1:1" ht="20.100000000000001" customHeight="1">
      <c r="A243" s="19" t="s">
        <v>133</v>
      </c>
    </row>
    <row r="244" spans="1:1" ht="20.100000000000001" customHeight="1">
      <c r="A244" s="19" t="s">
        <v>134</v>
      </c>
    </row>
    <row r="245" spans="1:1" ht="20.100000000000001" customHeight="1">
      <c r="A245" s="19" t="s">
        <v>135</v>
      </c>
    </row>
    <row r="246" spans="1:1" ht="20.100000000000001" customHeight="1">
      <c r="A246" s="19" t="s">
        <v>136</v>
      </c>
    </row>
    <row r="247" spans="1:1" ht="20.100000000000001" customHeight="1">
      <c r="A247" s="19" t="s">
        <v>127</v>
      </c>
    </row>
    <row r="248" spans="1:1" ht="20.100000000000001" customHeight="1">
      <c r="A248" s="19" t="s">
        <v>137</v>
      </c>
    </row>
    <row r="249" spans="1:1" ht="20.100000000000001" customHeight="1">
      <c r="A249" s="19" t="s">
        <v>138</v>
      </c>
    </row>
    <row r="250" spans="1:1" ht="20.100000000000001" customHeight="1">
      <c r="A250" s="21" t="s">
        <v>139</v>
      </c>
    </row>
    <row r="251" spans="1:1" ht="20.100000000000001" customHeight="1">
      <c r="A251" s="22" t="s">
        <v>140</v>
      </c>
    </row>
    <row r="252" spans="1:1" ht="20.100000000000001" customHeight="1">
      <c r="A252" s="19" t="s">
        <v>141</v>
      </c>
    </row>
    <row r="253" spans="1:1" ht="20.100000000000001" customHeight="1">
      <c r="A253" s="19" t="s">
        <v>142</v>
      </c>
    </row>
    <row r="254" spans="1:1" ht="20.100000000000001" customHeight="1">
      <c r="A254" s="23" t="s">
        <v>143</v>
      </c>
    </row>
    <row r="255" spans="1:1" ht="20.100000000000001" customHeight="1">
      <c r="A255" s="23" t="s">
        <v>144</v>
      </c>
    </row>
    <row r="256" spans="1:1" ht="20.100000000000001" customHeight="1">
      <c r="A256" s="24" t="s">
        <v>145</v>
      </c>
    </row>
    <row r="257" spans="1:1" ht="20.100000000000001" customHeight="1">
      <c r="A257" s="19" t="s">
        <v>146</v>
      </c>
    </row>
    <row r="258" spans="1:1" ht="20.100000000000001" customHeight="1">
      <c r="A258" s="24" t="s">
        <v>147</v>
      </c>
    </row>
    <row r="259" spans="1:1" ht="20.100000000000001" customHeight="1">
      <c r="A259" s="19" t="s">
        <v>148</v>
      </c>
    </row>
    <row r="260" spans="1:1" ht="20.100000000000001" customHeight="1">
      <c r="A260" s="24" t="s">
        <v>149</v>
      </c>
    </row>
    <row r="261" spans="1:1" ht="20.100000000000001" customHeight="1">
      <c r="A261" s="19" t="s">
        <v>150</v>
      </c>
    </row>
    <row r="262" spans="1:1" ht="20.100000000000001" customHeight="1">
      <c r="A262" s="19" t="s">
        <v>151</v>
      </c>
    </row>
    <row r="263" spans="1:1" ht="20.100000000000001" customHeight="1">
      <c r="A263" s="24" t="s">
        <v>152</v>
      </c>
    </row>
    <row r="264" spans="1:1" ht="20.100000000000001" customHeight="1">
      <c r="A264" s="24" t="s">
        <v>153</v>
      </c>
    </row>
    <row r="265" spans="1:1" ht="20.100000000000001" customHeight="1">
      <c r="A265" s="24" t="s">
        <v>154</v>
      </c>
    </row>
    <row r="266" spans="1:1" ht="20.100000000000001" customHeight="1">
      <c r="A266" s="19" t="s">
        <v>155</v>
      </c>
    </row>
    <row r="267" spans="1:1" ht="20.100000000000001" customHeight="1">
      <c r="A267" s="19" t="s">
        <v>156</v>
      </c>
    </row>
    <row r="268" spans="1:1" ht="20.100000000000001" customHeight="1">
      <c r="A268" s="19" t="s">
        <v>157</v>
      </c>
    </row>
    <row r="269" spans="1:1" ht="20.100000000000001" customHeight="1">
      <c r="A269" s="19" t="s">
        <v>158</v>
      </c>
    </row>
    <row r="270" spans="1:1" ht="20.100000000000001" customHeight="1">
      <c r="A270" s="24" t="s">
        <v>159</v>
      </c>
    </row>
    <row r="271" spans="1:1" ht="20.100000000000001" customHeight="1">
      <c r="A271" s="24" t="s">
        <v>160</v>
      </c>
    </row>
    <row r="272" spans="1:1" ht="20.100000000000001" customHeight="1">
      <c r="A272" s="19" t="s">
        <v>161</v>
      </c>
    </row>
    <row r="273" spans="1:1" ht="20.100000000000001" customHeight="1">
      <c r="A273" s="24" t="s">
        <v>162</v>
      </c>
    </row>
    <row r="274" spans="1:1" ht="20.100000000000001" customHeight="1">
      <c r="A274" s="24" t="s">
        <v>163</v>
      </c>
    </row>
    <row r="275" spans="1:1" ht="20.100000000000001" customHeight="1">
      <c r="A275" s="19" t="s">
        <v>164</v>
      </c>
    </row>
    <row r="276" spans="1:1" ht="20.100000000000001" customHeight="1">
      <c r="A276" s="19" t="s">
        <v>165</v>
      </c>
    </row>
    <row r="277" spans="1:1" ht="20.100000000000001" customHeight="1">
      <c r="A277" s="24" t="s">
        <v>166</v>
      </c>
    </row>
    <row r="278" spans="1:1" ht="20.100000000000001" customHeight="1">
      <c r="A278" s="19" t="s">
        <v>167</v>
      </c>
    </row>
    <row r="279" spans="1:1" ht="20.100000000000001" customHeight="1">
      <c r="A279" s="19" t="s">
        <v>168</v>
      </c>
    </row>
    <row r="280" spans="1:1" ht="20.100000000000001" customHeight="1">
      <c r="A280" s="19" t="s">
        <v>169</v>
      </c>
    </row>
    <row r="281" spans="1:1" ht="20.100000000000001" customHeight="1">
      <c r="A281" s="19" t="s">
        <v>170</v>
      </c>
    </row>
    <row r="282" spans="1:1" ht="20.100000000000001" customHeight="1">
      <c r="A282" s="24" t="s">
        <v>171</v>
      </c>
    </row>
    <row r="283" spans="1:1" ht="20.100000000000001" customHeight="1">
      <c r="A283" s="24" t="s">
        <v>172</v>
      </c>
    </row>
    <row r="284" spans="1:1" ht="20.100000000000001" customHeight="1">
      <c r="A284" s="24" t="s">
        <v>173</v>
      </c>
    </row>
    <row r="285" spans="1:1" ht="20.100000000000001" customHeight="1" thickBot="1">
      <c r="A285" s="19" t="s">
        <v>174</v>
      </c>
    </row>
    <row r="286" spans="1:1" ht="20.100000000000001" customHeight="1" thickBot="1">
      <c r="A286" s="2" t="s">
        <v>58</v>
      </c>
    </row>
    <row r="287" spans="1:1" ht="20.100000000000001" customHeight="1" thickBot="1">
      <c r="A287" s="2" t="s">
        <v>58</v>
      </c>
    </row>
    <row r="288" spans="1:1" ht="20.100000000000001" customHeight="1" thickBot="1">
      <c r="A288" s="2" t="s">
        <v>58</v>
      </c>
    </row>
    <row r="289" spans="1:1" ht="20.100000000000001" customHeight="1" thickBot="1">
      <c r="A289" s="2" t="s">
        <v>58</v>
      </c>
    </row>
    <row r="290" spans="1:1" ht="20.100000000000001" customHeight="1" thickBot="1">
      <c r="A290" s="2" t="s">
        <v>58</v>
      </c>
    </row>
    <row r="291" spans="1:1" ht="20.100000000000001" customHeight="1" thickBot="1">
      <c r="A291" s="2" t="s">
        <v>58</v>
      </c>
    </row>
    <row r="292" spans="1:1" ht="20.100000000000001" customHeight="1" thickBot="1">
      <c r="A292" s="2" t="s">
        <v>58</v>
      </c>
    </row>
    <row r="293" spans="1:1" ht="20.100000000000001" customHeight="1" thickBot="1">
      <c r="A293" s="2" t="s">
        <v>58</v>
      </c>
    </row>
    <row r="294" spans="1:1" ht="20.100000000000001" customHeight="1" thickBot="1">
      <c r="A294" s="2" t="s">
        <v>58</v>
      </c>
    </row>
    <row r="295" spans="1:1" ht="20.100000000000001" customHeight="1" thickBot="1">
      <c r="A295" s="2" t="s">
        <v>58</v>
      </c>
    </row>
    <row r="296" spans="1:1" ht="20.100000000000001" customHeight="1" thickBot="1">
      <c r="A296" s="2" t="s">
        <v>58</v>
      </c>
    </row>
    <row r="297" spans="1:1" ht="20.100000000000001" customHeight="1" thickBot="1">
      <c r="A297" s="2" t="s">
        <v>58</v>
      </c>
    </row>
    <row r="298" spans="1:1" ht="20.100000000000001" customHeight="1" thickBot="1">
      <c r="A298" s="2" t="s">
        <v>58</v>
      </c>
    </row>
    <row r="299" spans="1:1" ht="20.100000000000001" customHeight="1" thickBot="1">
      <c r="A299" s="2" t="s">
        <v>58</v>
      </c>
    </row>
    <row r="300" spans="1:1" ht="20.100000000000001" customHeight="1" thickBot="1">
      <c r="A300" s="2" t="s">
        <v>58</v>
      </c>
    </row>
    <row r="301" spans="1:1" ht="20.100000000000001" customHeight="1" thickBot="1">
      <c r="A301" s="2" t="s">
        <v>58</v>
      </c>
    </row>
    <row r="302" spans="1:1" ht="20.100000000000001" customHeight="1" thickBot="1">
      <c r="A302" s="2" t="s">
        <v>58</v>
      </c>
    </row>
    <row r="303" spans="1:1" ht="20.100000000000001" customHeight="1" thickBot="1">
      <c r="A303" s="2" t="s">
        <v>58</v>
      </c>
    </row>
    <row r="304" spans="1:1" ht="20.100000000000001" customHeight="1" thickBot="1">
      <c r="A304" s="2" t="s">
        <v>58</v>
      </c>
    </row>
    <row r="305" spans="1:1" ht="20.100000000000001" customHeight="1" thickBot="1">
      <c r="A305" s="2" t="s">
        <v>58</v>
      </c>
    </row>
    <row r="306" spans="1:1" ht="20.100000000000001" customHeight="1" thickBot="1">
      <c r="A306" s="2" t="s">
        <v>58</v>
      </c>
    </row>
    <row r="307" spans="1:1" ht="20.100000000000001" customHeight="1" thickBot="1">
      <c r="A307" s="2" t="s">
        <v>58</v>
      </c>
    </row>
    <row r="308" spans="1:1" ht="20.100000000000001" customHeight="1" thickBot="1">
      <c r="A308" s="2" t="s">
        <v>58</v>
      </c>
    </row>
    <row r="309" spans="1:1" ht="20.100000000000001" customHeight="1" thickBot="1">
      <c r="A309" s="2" t="s">
        <v>58</v>
      </c>
    </row>
    <row r="310" spans="1:1" ht="20.100000000000001" customHeight="1" thickBot="1">
      <c r="A310" s="2" t="s">
        <v>58</v>
      </c>
    </row>
    <row r="311" spans="1:1" ht="20.100000000000001" customHeight="1" thickBot="1">
      <c r="A311" s="2" t="s">
        <v>58</v>
      </c>
    </row>
    <row r="312" spans="1:1" ht="20.100000000000001" customHeight="1" thickBot="1">
      <c r="A312" s="2" t="s">
        <v>58</v>
      </c>
    </row>
    <row r="313" spans="1:1" ht="20.100000000000001" customHeight="1" thickBot="1">
      <c r="A313" s="2" t="s">
        <v>58</v>
      </c>
    </row>
    <row r="314" spans="1:1" ht="20.100000000000001" customHeight="1" thickBot="1">
      <c r="A314" s="2" t="s">
        <v>58</v>
      </c>
    </row>
    <row r="315" spans="1:1" ht="20.100000000000001" customHeight="1" thickBot="1">
      <c r="A315" s="2" t="s">
        <v>58</v>
      </c>
    </row>
    <row r="316" spans="1:1" ht="20.100000000000001" customHeight="1" thickBot="1">
      <c r="A316" s="2" t="s">
        <v>58</v>
      </c>
    </row>
    <row r="317" spans="1:1" ht="20.100000000000001" customHeight="1" thickBot="1">
      <c r="A317" s="2" t="s">
        <v>58</v>
      </c>
    </row>
    <row r="318" spans="1:1" ht="20.100000000000001" customHeight="1" thickBot="1">
      <c r="A318" s="2" t="s">
        <v>58</v>
      </c>
    </row>
    <row r="319" spans="1:1" ht="20.100000000000001" customHeight="1" thickBot="1">
      <c r="A319" s="2" t="s">
        <v>58</v>
      </c>
    </row>
    <row r="320" spans="1:1" ht="20.100000000000001" customHeight="1" thickBot="1">
      <c r="A320" s="2" t="s">
        <v>58</v>
      </c>
    </row>
    <row r="321" spans="1:1" ht="20.100000000000001" customHeight="1" thickBot="1">
      <c r="A321" s="2" t="s">
        <v>58</v>
      </c>
    </row>
    <row r="322" spans="1:1" ht="20.100000000000001" customHeight="1" thickBot="1">
      <c r="A322" s="2" t="s">
        <v>58</v>
      </c>
    </row>
    <row r="323" spans="1:1" ht="20.100000000000001" customHeight="1" thickBot="1">
      <c r="A323" s="2" t="s">
        <v>58</v>
      </c>
    </row>
    <row r="324" spans="1:1" ht="20.100000000000001" customHeight="1" thickBot="1">
      <c r="A324" s="2" t="s">
        <v>58</v>
      </c>
    </row>
    <row r="325" spans="1:1" ht="20.100000000000001" customHeight="1" thickBot="1">
      <c r="A325" s="2" t="s">
        <v>58</v>
      </c>
    </row>
    <row r="326" spans="1:1" ht="20.100000000000001" customHeight="1" thickBot="1">
      <c r="A326" s="2" t="s">
        <v>58</v>
      </c>
    </row>
    <row r="327" spans="1:1" ht="20.100000000000001" customHeight="1" thickBot="1">
      <c r="A327" s="2" t="s">
        <v>58</v>
      </c>
    </row>
    <row r="328" spans="1:1" ht="20.100000000000001" customHeight="1" thickBot="1">
      <c r="A328" s="2" t="s">
        <v>58</v>
      </c>
    </row>
    <row r="329" spans="1:1" ht="20.100000000000001" customHeight="1" thickBot="1">
      <c r="A329" s="2" t="s">
        <v>58</v>
      </c>
    </row>
    <row r="330" spans="1:1" ht="20.100000000000001" customHeight="1" thickBot="1">
      <c r="A330" s="2" t="s">
        <v>58</v>
      </c>
    </row>
    <row r="331" spans="1:1" ht="20.100000000000001" customHeight="1" thickBot="1">
      <c r="A331" s="2" t="s">
        <v>58</v>
      </c>
    </row>
    <row r="332" spans="1:1" ht="20.100000000000001" customHeight="1" thickBot="1">
      <c r="A332" s="2" t="s">
        <v>58</v>
      </c>
    </row>
    <row r="333" spans="1:1" ht="20.100000000000001" customHeight="1" thickBot="1">
      <c r="A333" s="2" t="s">
        <v>58</v>
      </c>
    </row>
    <row r="334" spans="1:1" ht="20.100000000000001" customHeight="1" thickBot="1">
      <c r="A334" s="2" t="s">
        <v>58</v>
      </c>
    </row>
    <row r="335" spans="1:1" ht="20.100000000000001" customHeight="1" thickBot="1">
      <c r="A335" s="2" t="s">
        <v>58</v>
      </c>
    </row>
    <row r="336" spans="1:1" ht="20.100000000000001" customHeight="1" thickBot="1">
      <c r="A336" s="2" t="s">
        <v>58</v>
      </c>
    </row>
    <row r="337" spans="1:1" ht="20.100000000000001" customHeight="1" thickBot="1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2025-10-09T10:05:09Z</dcterms:modified>
</cp:coreProperties>
</file>