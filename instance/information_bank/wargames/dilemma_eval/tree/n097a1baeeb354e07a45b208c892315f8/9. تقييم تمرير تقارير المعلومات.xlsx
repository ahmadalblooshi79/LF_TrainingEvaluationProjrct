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7"/>
  <workbookPr filterPrivacy="1" codeName="ThisWorkbook"/>
  <xr:revisionPtr revIDLastSave="0" documentId="13_ncr:1_{2AE2D8A8-2CE1-4849-9BA5-06720400DB16}" xr6:coauthVersionLast="36" xr6:coauthVersionMax="36"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2" l="1"/>
  <c r="H9" i="2" s="1"/>
  <c r="G10" i="2" l="1"/>
  <c r="H10" i="2" s="1"/>
  <c r="G12" i="2"/>
  <c r="H12" i="2" s="1"/>
  <c r="G13" i="2"/>
  <c r="H13" i="2" s="1"/>
  <c r="G14" i="2"/>
  <c r="H14" i="2" s="1"/>
  <c r="G15" i="2"/>
  <c r="H15" i="2" s="1"/>
  <c r="G16" i="2"/>
  <c r="H16" i="2" s="1"/>
  <c r="G17" i="2"/>
  <c r="H17" i="2" s="1"/>
  <c r="G19" i="2"/>
  <c r="H19" i="2" s="1"/>
  <c r="G20" i="2"/>
  <c r="H20" i="2" s="1"/>
  <c r="G21" i="2"/>
  <c r="H21" i="2" s="1"/>
  <c r="G22" i="2"/>
  <c r="H22" i="2" s="1"/>
  <c r="G23" i="2"/>
  <c r="H23" i="2" s="1"/>
  <c r="G24" i="2"/>
  <c r="H24" i="2" s="1"/>
  <c r="G25" i="2"/>
  <c r="H25" i="2" s="1"/>
  <c r="G26" i="2"/>
  <c r="H26" i="2" s="1"/>
  <c r="G28" i="2"/>
  <c r="H28" i="2" s="1"/>
  <c r="G29" i="2"/>
  <c r="H29" i="2" s="1"/>
  <c r="G30" i="2"/>
  <c r="H30" i="2" s="1"/>
  <c r="G31" i="2"/>
  <c r="H31" i="2" s="1"/>
  <c r="G32" i="2"/>
  <c r="H32" i="2" s="1"/>
  <c r="G8" i="2" l="1"/>
  <c r="H8" i="2" s="1"/>
  <c r="F33" i="2" l="1"/>
  <c r="E33" i="2" l="1"/>
  <c r="E34" i="2" l="1"/>
  <c r="E35" i="2" s="1"/>
</calcChain>
</file>

<file path=xl/sharedStrings.xml><?xml version="1.0" encoding="utf-8"?>
<sst xmlns="http://schemas.openxmlformats.org/spreadsheetml/2006/main" count="281" uniqueCount="202">
  <si>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</si>
  <si>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</si>
  <si>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</si>
  <si>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</si>
  <si>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</si>
  <si>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</si>
  <si>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</si>
  <si>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</si>
  <si>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</si>
  <si>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</si>
  <si>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</si>
  <si>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</si>
  <si>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</si>
  <si>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</si>
  <si>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</si>
  <si>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</si>
  <si>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</si>
  <si>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</si>
  <si>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</si>
  <si>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</si>
  <si>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</si>
  <si>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</si>
  <si>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</si>
  <si>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</si>
  <si>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</si>
  <si>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</si>
  <si>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</si>
  <si>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</si>
  <si>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</si>
  <si>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</si>
  <si>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</si>
  <si>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</si>
  <si>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</si>
  <si>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</si>
  <si>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</si>
  <si>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</si>
  <si>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</si>
  <si>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</si>
  <si>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</si>
  <si>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</si>
  <si>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</si>
  <si>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</si>
  <si>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</si>
  <si>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</si>
  <si>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</si>
  <si>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</si>
  <si>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</si>
  <si>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</si>
  <si>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</si>
  <si>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</si>
  <si>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</si>
  <si>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</si>
  <si>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</si>
  <si>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</si>
  <si>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</si>
  <si>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</si>
  <si>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</si>
  <si>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</si>
  <si>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</si>
  <si>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</si>
  <si>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</si>
  <si>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</si>
  <si>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</si>
  <si>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</si>
  <si>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</si>
  <si>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</si>
  <si>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</si>
  <si>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</si>
  <si>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</si>
  <si>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</si>
  <si>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</si>
  <si>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</si>
  <si>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</si>
  <si>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</si>
  <si>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</si>
  <si>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</si>
  <si>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</si>
  <si>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</si>
  <si>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</si>
  <si>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</si>
  <si>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</si>
  <si>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</si>
  <si>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</si>
  <si>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</si>
  <si>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</si>
  <si>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</si>
  <si>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</si>
  <si>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</si>
  <si>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</si>
  <si>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</si>
  <si>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</si>
  <si>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</si>
  <si>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</si>
  <si>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</si>
  <si>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</si>
  <si>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</si>
  <si>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</si>
  <si>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</si>
  <si>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</si>
  <si>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</si>
  <si>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</si>
  <si>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</si>
  <si>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</si>
  <si>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</si>
  <si>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</si>
  <si>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</si>
  <si>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</si>
  <si>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</si>
  <si>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</si>
  <si>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</si>
  <si>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</si>
  <si>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</si>
  <si>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</si>
  <si>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</si>
  <si>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</si>
  <si>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</si>
  <si>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</si>
  <si>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</si>
  <si>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</si>
  <si>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</si>
  <si>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</si>
  <si>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</si>
  <si>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</si>
  <si>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</si>
  <si>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</si>
  <si>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</si>
  <si>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</si>
  <si>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</si>
  <si>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</si>
  <si>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</si>
  <si>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</si>
  <si>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</si>
  <si>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</si>
  <si>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</si>
  <si>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</si>
  <si>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</si>
  <si>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</si>
  <si>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</si>
  <si>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</si>
  <si>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</si>
  <si>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</si>
  <si>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</si>
  <si>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</si>
  <si>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</si>
  <si>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</si>
  <si>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</si>
  <si>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</si>
  <si>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</si>
  <si>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</si>
  <si>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</si>
  <si>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</si>
  <si>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</si>
  <si>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</si>
  <si>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</si>
  <si>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</si>
  <si>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</si>
  <si>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</si>
  <si>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</si>
  <si>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</si>
  <si>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</si>
  <si>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</si>
  <si>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</si>
  <si>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</si>
  <si>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</si>
  <si>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</si>
  <si>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</si>
  <si>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</si>
  <si>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</si>
  <si>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</si>
  <si>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</si>
  <si>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</si>
  <si>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</si>
  <si>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</si>
  <si>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</si>
  <si>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</si>
  <si>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</si>
  <si>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</si>
  <si>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</si>
  <si>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</si>
  <si>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</si>
  <si>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</si>
  <si>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</si>
  <si>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</si>
  <si>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</si>
  <si>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</si>
  <si>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</si>
  <si>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</si>
  <si>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</si>
  <si>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</si>
  <si>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</si>
  <si>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</si>
  <si>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</si>
  <si>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</si>
  <si>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</si>
  <si>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</si>
  <si>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</si>
  <si>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</si>
  <si>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</si>
  <si>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</si>
  <si>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</si>
  <si>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</si>
  <si>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مشاة راجلة في تمرير تقارير المعلومات</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</si>
</sst>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Arial"/>
      <family val="2"/>
      <scheme val="minor"/>
    </font>
    <font>
      <b/>
      <u/>
      <sz val="12"/>
      <color rgb="FF000000"/>
      <name val="Arial"/>
      <family val="2"/>
    </font>
    <font>
      <b/>
      <sz val="12"/>
      <color rgb="FF000000"/>
      <name val="Arial"/>
      <family val="2"/>
    </font>
    <font>
      <b/>
      <sz val="12"/>
      <color theme="1"/>
      <name val="Arial"/>
      <family val="2"/>
    </font>
    <font>
      <sz val="14"/>
      <color rgb="FF000000"/>
      <name val="Arial"/>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Arial"/>
      <family val="2"/>
      <scheme val="minor"/>
    </font>
    <font>
      <b/>
      <sz val="12"/>
      <name val="Arial"/>
      <family val="2"/>
    </font>
    <font>
      <b/>
      <sz val="12"/>
      <name val="Arial"/>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cellXfs>
  <cellStyles count="1">
    <cellStyle name="Normal" xfId="0" builtinId="0"/>
  </cellStyles>
  <dxfs count="24">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A25" zoomScale="130" zoomScaleNormal="100" zoomScaleSheetLayoutView="130" workbookViewId="0">
      <selection activeCell="F22" sqref="F22"/>
    </sheetView>
  </sheetViews>
  <sheetFormatPr defaultColWidth="9" defaultRowHeight="14.25" x14ac:dyDescent="0.2"/>
  <cols>
    <col min="1" max="1" width="5.125" style="1" customWidth="1"/>
    <col min="2" max="2" width="12.125" style="1" customWidth="1"/>
    <col min="3" max="3" width="9" style="1"/>
    <col min="4" max="4" width="28.125" style="1" customWidth="1"/>
    <col min="5" max="7" width="9.25" style="1" customWidth="1"/>
    <col min="8" max="8" width="9.25" style="3" customWidth="1"/>
    <col min="9" max="9" width="9.25" style="1" customWidth="1"/>
    <col min="10" max="10" width="15.5" style="1" customWidth="1"/>
    <col min="11" max="16384" width="9" style="1"/>
  </cols>
  <sheetData>
    <row r="1" spans="1:10" ht="45" customHeight="1" x14ac:dyDescent="0.2">
      <c r="B1" s="60" t="s">
        <v>201</v>
      </c>
      <c r="C1" s="60"/>
      <c r="D1" s="60"/>
      <c r="E1" s="60"/>
      <c r="F1" s="60"/>
      <c r="G1" s="60"/>
      <c r="H1" s="60"/>
      <c r="I1" s="60"/>
      <c r="J1" s="60"/>
    </row>
    <row r="2" spans="1:10" ht="30" customHeight="1" x14ac:dyDescent="0.2">
      <c r="B2" s="13" t="s">
        <v>8</v>
      </c>
      <c r="C2" s="66" t="s">
        <v>57</v>
      </c>
      <c r="D2" s="66"/>
      <c r="E2" s="13" t="s">
        <v>7</v>
      </c>
      <c r="F2" s="61" t="s">
        <v>56</v>
      </c>
      <c r="G2" s="61"/>
      <c r="H2" s="61"/>
      <c r="I2" s="61"/>
      <c r="J2" s="61"/>
    </row>
    <row r="3" spans="1:10" ht="30" customHeight="1" x14ac:dyDescent="0.2">
      <c r="B3" s="13" t="s">
        <v>9</v>
      </c>
      <c r="C3" s="66" t="s">
        <v>60</v>
      </c>
      <c r="D3" s="66"/>
      <c r="E3" s="13" t="s">
        <v>6</v>
      </c>
      <c r="F3" s="66" t="s">
        <v>59</v>
      </c>
      <c r="G3" s="66"/>
      <c r="H3" s="66"/>
      <c r="I3" s="66"/>
      <c r="J3" s="66"/>
    </row>
    <row r="4" spans="1:10" ht="30" customHeight="1" thickBot="1" x14ac:dyDescent="0.25">
      <c r="B4" s="6"/>
      <c r="C4" s="7"/>
      <c r="D4" s="7"/>
      <c r="E4" s="6"/>
      <c r="F4" s="7"/>
      <c r="G4" s="7"/>
      <c r="H4" s="8"/>
      <c r="I4" s="7"/>
      <c r="J4" s="7"/>
    </row>
    <row r="5" spans="1:10" ht="24.95" customHeight="1" x14ac:dyDescent="0.2">
      <c r="A5" s="11"/>
      <c r="B5" s="62" t="s">
        <v>0</v>
      </c>
      <c r="C5" s="63"/>
      <c r="D5" s="63"/>
      <c r="E5" s="71" t="s">
        <v>1</v>
      </c>
      <c r="F5" s="71"/>
      <c r="G5" s="71"/>
      <c r="H5" s="71"/>
      <c r="I5" s="71" t="s">
        <v>2</v>
      </c>
      <c r="J5" s="72"/>
    </row>
    <row r="6" spans="1:10" ht="24.95" customHeight="1" thickBot="1" x14ac:dyDescent="0.25">
      <c r="A6" s="11"/>
      <c r="B6" s="64"/>
      <c r="C6" s="65"/>
      <c r="D6" s="65"/>
      <c r="E6" s="12" t="s">
        <v>3</v>
      </c>
      <c r="F6" s="12" t="s">
        <v>4</v>
      </c>
      <c r="G6" s="12" t="s">
        <v>23</v>
      </c>
      <c r="H6" s="12" t="s">
        <v>24</v>
      </c>
      <c r="I6" s="73"/>
      <c r="J6" s="74"/>
    </row>
    <row r="7" spans="1:10" ht="24.95" customHeight="1" thickBot="1" x14ac:dyDescent="0.25">
      <c r="A7" s="11"/>
      <c r="B7" s="69" t="s">
        <v>21</v>
      </c>
      <c r="C7" s="70"/>
      <c r="D7" s="70"/>
      <c r="E7" s="30" t="s">
        <v>18</v>
      </c>
      <c r="F7" s="30" t="s">
        <v>19</v>
      </c>
      <c r="G7" s="30" t="s">
        <v>22</v>
      </c>
      <c r="H7" s="30" t="s">
        <v>20</v>
      </c>
      <c r="I7" s="50" t="s">
        <v>25</v>
      </c>
      <c r="J7" s="51"/>
    </row>
    <row r="8" spans="1:10" ht="39.950000000000003" customHeight="1" thickBot="1" x14ac:dyDescent="0.25">
      <c r="A8" s="11"/>
      <c r="B8" s="89" t="s">
        <v>195</v>
      </c>
      <c r="C8" s="90"/>
      <c r="D8" s="90"/>
      <c r="E8" s="10">
        <v>5</v>
      </c>
      <c r="F8" s="41" t="s">
        <v>61</v>
      </c>
      <c r="G8" s="42" t="str">
        <f>IFERROR(F8/E8,"")</f>
        <v/>
      </c>
      <c r="H8" s="28" t="str">
        <f>_xlfn.IFS(F8="أدخل العلامة","",F8="لا ينطبق","تم الإلغاء",G8&gt;=90%,"ممتاز",G8&gt;=80%,"جيد جداً",G8&gt;=70%,"جيد",G8&gt;=60%,"مقبول",G8&lt;60%,"راسب")</f>
        <v/>
      </c>
      <c r="I8" s="48"/>
      <c r="J8" s="49"/>
    </row>
    <row r="9" spans="1:10" ht="39.950000000000003" customHeight="1" thickBot="1" x14ac:dyDescent="0.25">
      <c r="A9" s="11"/>
      <c r="B9" s="91" t="s">
        <v>196</v>
      </c>
      <c r="C9" s="92"/>
      <c r="D9" s="92"/>
      <c r="E9" s="10">
        <v>5</v>
      </c>
      <c r="F9" s="41" t="s">
        <v>61</v>
      </c>
      <c r="G9" s="42" t="str">
        <f>IFERROR(F9/E9,"")</f>
        <v/>
      </c>
      <c r="H9" s="28" t="str">
        <f>_xlfn.IFS(F9="أدخل العلامة","",F9="لا ينطبق","تم الإلغاء",G9&gt;=90%,"ممتاز",G9&gt;=80%,"جيد جداً",G9&gt;=70%,"جيد",G9&gt;=60%,"مقبول",G9&lt;60%,"راسب")</f>
        <v/>
      </c>
      <c r="I9" s="48"/>
      <c r="J9" s="49"/>
    </row>
    <row r="10" spans="1:10" ht="39.950000000000003" customHeight="1" thickBot="1" x14ac:dyDescent="0.25">
      <c r="A10" s="11"/>
      <c r="B10" s="91" t="s">
        <v>197</v>
      </c>
      <c r="C10" s="92"/>
      <c r="D10" s="92"/>
      <c r="E10" s="10">
        <v>5</v>
      </c>
      <c r="F10" s="41" t="s">
        <v>61</v>
      </c>
      <c r="G10" s="42" t="str">
        <f t="shared" ref="G10:G32" si="0">IFERROR(F10/E10,"")</f>
        <v/>
      </c>
      <c r="H10" s="28" t="str">
        <f t="shared" ref="H10:H32" si="1">_xlfn.IFS(F10="أدخل العلامة","",F10="لا ينطبق","تم الإلغاء",G10&gt;=90%,"ممتاز",G10&gt;=80%,"جيد جداً",G10&gt;=70%,"جيد",G10&gt;=60%,"مقبول",G10&lt;60%,"راسب")</f>
        <v/>
      </c>
      <c r="I10" s="48"/>
      <c r="J10" s="49"/>
    </row>
    <row r="11" spans="1:10" ht="39.950000000000003" customHeight="1" x14ac:dyDescent="0.2">
      <c r="A11" s="11"/>
      <c r="B11" s="93" t="s">
        <v>198</v>
      </c>
      <c r="C11" s="94"/>
      <c r="D11" s="94"/>
      <c r="E11" s="40"/>
      <c r="F11" s="34"/>
      <c r="G11" s="35"/>
      <c r="H11" s="36"/>
      <c r="I11" s="79"/>
      <c r="J11" s="80"/>
    </row>
    <row r="12" spans="1:10" ht="39.950000000000003" customHeight="1" x14ac:dyDescent="0.2">
      <c r="A12" s="11"/>
      <c r="B12" s="83" t="s">
        <v>176</v>
      </c>
      <c r="C12" s="84"/>
      <c r="D12" s="84"/>
      <c r="E12" s="9">
        <v>5</v>
      </c>
      <c r="F12" s="27" t="s">
        <v>61</v>
      </c>
      <c r="G12" s="32" t="str">
        <f t="shared" si="0"/>
        <v/>
      </c>
      <c r="H12" s="33" t="str">
        <f t="shared" si="1"/>
        <v/>
      </c>
      <c r="I12" s="52"/>
      <c r="J12" s="53"/>
    </row>
    <row r="13" spans="1:10" ht="54.95" customHeight="1" x14ac:dyDescent="0.2">
      <c r="A13" s="11"/>
      <c r="B13" s="83" t="s">
        <v>177</v>
      </c>
      <c r="C13" s="84"/>
      <c r="D13" s="84"/>
      <c r="E13" s="9">
        <v>5</v>
      </c>
      <c r="F13" s="27" t="s">
        <v>61</v>
      </c>
      <c r="G13" s="32" t="str">
        <f t="shared" si="0"/>
        <v/>
      </c>
      <c r="H13" s="33" t="str">
        <f t="shared" si="1"/>
        <v/>
      </c>
      <c r="I13" s="52"/>
      <c r="J13" s="53"/>
    </row>
    <row r="14" spans="1:10" ht="71.25" customHeight="1" x14ac:dyDescent="0.2">
      <c r="A14" s="11"/>
      <c r="B14" s="83" t="s">
        <v>178</v>
      </c>
      <c r="C14" s="84"/>
      <c r="D14" s="84"/>
      <c r="E14" s="9">
        <v>5</v>
      </c>
      <c r="F14" s="27" t="s">
        <v>61</v>
      </c>
      <c r="G14" s="32" t="str">
        <f t="shared" si="0"/>
        <v/>
      </c>
      <c r="H14" s="33" t="str">
        <f t="shared" si="1"/>
        <v/>
      </c>
      <c r="I14" s="52"/>
      <c r="J14" s="53"/>
    </row>
    <row r="15" spans="1:10" ht="39.950000000000003" customHeight="1" x14ac:dyDescent="0.2">
      <c r="A15" s="11"/>
      <c r="B15" s="83" t="s">
        <v>179</v>
      </c>
      <c r="C15" s="84"/>
      <c r="D15" s="84"/>
      <c r="E15" s="9">
        <v>5</v>
      </c>
      <c r="F15" s="27" t="s">
        <v>61</v>
      </c>
      <c r="G15" s="32" t="str">
        <f t="shared" si="0"/>
        <v/>
      </c>
      <c r="H15" s="33" t="str">
        <f t="shared" si="1"/>
        <v/>
      </c>
      <c r="I15" s="52"/>
      <c r="J15" s="53"/>
    </row>
    <row r="16" spans="1:10" ht="68.25" customHeight="1" x14ac:dyDescent="0.2">
      <c r="A16" s="11"/>
      <c r="B16" s="83" t="s">
        <v>180</v>
      </c>
      <c r="C16" s="84"/>
      <c r="D16" s="84"/>
      <c r="E16" s="9">
        <v>5</v>
      </c>
      <c r="F16" s="27" t="s">
        <v>61</v>
      </c>
      <c r="G16" s="32" t="str">
        <f t="shared" si="0"/>
        <v/>
      </c>
      <c r="H16" s="33" t="str">
        <f t="shared" si="1"/>
        <v/>
      </c>
      <c r="I16" s="52"/>
      <c r="J16" s="53"/>
    </row>
    <row r="17" spans="1:10" ht="65.099999999999994" customHeight="1" thickBot="1" x14ac:dyDescent="0.25">
      <c r="A17" s="11"/>
      <c r="B17" s="85" t="s">
        <v>181</v>
      </c>
      <c r="C17" s="86"/>
      <c r="D17" s="86"/>
      <c r="E17" s="37">
        <v>5</v>
      </c>
      <c r="F17" s="29" t="s">
        <v>61</v>
      </c>
      <c r="G17" s="38" t="str">
        <f t="shared" si="0"/>
        <v/>
      </c>
      <c r="H17" s="39" t="str">
        <f t="shared" si="1"/>
        <v/>
      </c>
      <c r="I17" s="81"/>
      <c r="J17" s="82"/>
    </row>
    <row r="18" spans="1:10" ht="39.950000000000003" customHeight="1" x14ac:dyDescent="0.2">
      <c r="A18" s="11"/>
      <c r="B18" s="87" t="s">
        <v>199</v>
      </c>
      <c r="C18" s="88"/>
      <c r="D18" s="88"/>
      <c r="E18" s="40"/>
      <c r="F18" s="34"/>
      <c r="G18" s="35"/>
      <c r="H18" s="36"/>
      <c r="I18" s="79"/>
      <c r="J18" s="80"/>
    </row>
    <row r="19" spans="1:10" ht="39.950000000000003" customHeight="1" x14ac:dyDescent="0.2">
      <c r="A19" s="11"/>
      <c r="B19" s="83" t="s">
        <v>182</v>
      </c>
      <c r="C19" s="84"/>
      <c r="D19" s="84"/>
      <c r="E19" s="9">
        <v>5</v>
      </c>
      <c r="F19" s="27" t="s">
        <v>61</v>
      </c>
      <c r="G19" s="32" t="str">
        <f t="shared" si="0"/>
        <v/>
      </c>
      <c r="H19" s="33" t="str">
        <f t="shared" si="1"/>
        <v/>
      </c>
      <c r="I19" s="52"/>
      <c r="J19" s="53"/>
    </row>
    <row r="20" spans="1:10" ht="39.950000000000003" customHeight="1" x14ac:dyDescent="0.2">
      <c r="A20" s="11"/>
      <c r="B20" s="83" t="s">
        <v>183</v>
      </c>
      <c r="C20" s="84"/>
      <c r="D20" s="84"/>
      <c r="E20" s="9">
        <v>5</v>
      </c>
      <c r="F20" s="27" t="s">
        <v>61</v>
      </c>
      <c r="G20" s="32" t="str">
        <f t="shared" si="0"/>
        <v/>
      </c>
      <c r="H20" s="33" t="str">
        <f t="shared" si="1"/>
        <v/>
      </c>
      <c r="I20" s="52"/>
      <c r="J20" s="53"/>
    </row>
    <row r="21" spans="1:10" ht="39.950000000000003" customHeight="1" x14ac:dyDescent="0.2">
      <c r="A21" s="11"/>
      <c r="B21" s="83" t="s">
        <v>184</v>
      </c>
      <c r="C21" s="84"/>
      <c r="D21" s="84"/>
      <c r="E21" s="9">
        <v>5</v>
      </c>
      <c r="F21" s="27" t="s">
        <v>61</v>
      </c>
      <c r="G21" s="32" t="str">
        <f t="shared" si="0"/>
        <v/>
      </c>
      <c r="H21" s="33" t="str">
        <f t="shared" si="1"/>
        <v/>
      </c>
      <c r="I21" s="52"/>
      <c r="J21" s="53"/>
    </row>
    <row r="22" spans="1:10" ht="39.950000000000003" customHeight="1" x14ac:dyDescent="0.2">
      <c r="A22" s="11"/>
      <c r="B22" s="83" t="s">
        <v>185</v>
      </c>
      <c r="C22" s="84"/>
      <c r="D22" s="84"/>
      <c r="E22" s="9">
        <v>5</v>
      </c>
      <c r="F22" s="27" t="s">
        <v>61</v>
      </c>
      <c r="G22" s="32" t="str">
        <f t="shared" si="0"/>
        <v/>
      </c>
      <c r="H22" s="33" t="str">
        <f t="shared" si="1"/>
        <v/>
      </c>
      <c r="I22" s="52"/>
      <c r="J22" s="53"/>
    </row>
    <row r="23" spans="1:10" ht="39.950000000000003" customHeight="1" x14ac:dyDescent="0.2">
      <c r="A23" s="11"/>
      <c r="B23" s="83" t="s">
        <v>186</v>
      </c>
      <c r="C23" s="84"/>
      <c r="D23" s="84"/>
      <c r="E23" s="9">
        <v>5</v>
      </c>
      <c r="F23" s="27" t="s">
        <v>61</v>
      </c>
      <c r="G23" s="32" t="str">
        <f t="shared" si="0"/>
        <v/>
      </c>
      <c r="H23" s="33" t="str">
        <f t="shared" si="1"/>
        <v/>
      </c>
      <c r="I23" s="52"/>
      <c r="J23" s="53"/>
    </row>
    <row r="24" spans="1:10" ht="39.950000000000003" customHeight="1" x14ac:dyDescent="0.2">
      <c r="A24" s="11"/>
      <c r="B24" s="83" t="s">
        <v>187</v>
      </c>
      <c r="C24" s="84"/>
      <c r="D24" s="84"/>
      <c r="E24" s="9">
        <v>5</v>
      </c>
      <c r="F24" s="27" t="s">
        <v>61</v>
      </c>
      <c r="G24" s="32" t="str">
        <f t="shared" si="0"/>
        <v/>
      </c>
      <c r="H24" s="33" t="str">
        <f t="shared" si="1"/>
        <v/>
      </c>
      <c r="I24" s="52"/>
      <c r="J24" s="53"/>
    </row>
    <row r="25" spans="1:10" ht="39.950000000000003" customHeight="1" x14ac:dyDescent="0.2">
      <c r="A25" s="11"/>
      <c r="B25" s="83" t="s">
        <v>188</v>
      </c>
      <c r="C25" s="84"/>
      <c r="D25" s="84"/>
      <c r="E25" s="9">
        <v>5</v>
      </c>
      <c r="F25" s="27" t="s">
        <v>61</v>
      </c>
      <c r="G25" s="32" t="str">
        <f t="shared" si="0"/>
        <v/>
      </c>
      <c r="H25" s="33" t="str">
        <f t="shared" si="1"/>
        <v/>
      </c>
      <c r="I25" s="52"/>
      <c r="J25" s="53"/>
    </row>
    <row r="26" spans="1:10" ht="39.950000000000003" customHeight="1" thickBot="1" x14ac:dyDescent="0.25">
      <c r="A26" s="11"/>
      <c r="B26" s="85" t="s">
        <v>189</v>
      </c>
      <c r="C26" s="86"/>
      <c r="D26" s="86"/>
      <c r="E26" s="37">
        <v>5</v>
      </c>
      <c r="F26" s="29" t="s">
        <v>61</v>
      </c>
      <c r="G26" s="38" t="str">
        <f t="shared" si="0"/>
        <v/>
      </c>
      <c r="H26" s="39" t="str">
        <f t="shared" si="1"/>
        <v/>
      </c>
      <c r="I26" s="81"/>
      <c r="J26" s="82"/>
    </row>
    <row r="27" spans="1:10" ht="39.950000000000003" customHeight="1" x14ac:dyDescent="0.2">
      <c r="A27" s="11"/>
      <c r="B27" s="93" t="s">
        <v>200</v>
      </c>
      <c r="C27" s="94"/>
      <c r="D27" s="94"/>
      <c r="E27" s="40"/>
      <c r="F27" s="34"/>
      <c r="G27" s="35"/>
      <c r="H27" s="36"/>
      <c r="I27" s="79"/>
      <c r="J27" s="80"/>
    </row>
    <row r="28" spans="1:10" ht="39.950000000000003" customHeight="1" x14ac:dyDescent="0.2">
      <c r="A28" s="11"/>
      <c r="B28" s="83" t="s">
        <v>190</v>
      </c>
      <c r="C28" s="84"/>
      <c r="D28" s="84"/>
      <c r="E28" s="9">
        <v>5</v>
      </c>
      <c r="F28" s="27" t="s">
        <v>61</v>
      </c>
      <c r="G28" s="32" t="str">
        <f t="shared" si="0"/>
        <v/>
      </c>
      <c r="H28" s="33" t="str">
        <f t="shared" si="1"/>
        <v/>
      </c>
      <c r="I28" s="52"/>
      <c r="J28" s="53"/>
    </row>
    <row r="29" spans="1:10" ht="39.950000000000003" customHeight="1" x14ac:dyDescent="0.2">
      <c r="A29" s="11"/>
      <c r="B29" s="83" t="s">
        <v>191</v>
      </c>
      <c r="C29" s="84"/>
      <c r="D29" s="84"/>
      <c r="E29" s="9">
        <v>5</v>
      </c>
      <c r="F29" s="27" t="s">
        <v>61</v>
      </c>
      <c r="G29" s="32" t="str">
        <f t="shared" si="0"/>
        <v/>
      </c>
      <c r="H29" s="33" t="str">
        <f t="shared" si="1"/>
        <v/>
      </c>
      <c r="I29" s="52"/>
      <c r="J29" s="53"/>
    </row>
    <row r="30" spans="1:10" ht="39.950000000000003" customHeight="1" x14ac:dyDescent="0.2">
      <c r="A30" s="11"/>
      <c r="B30" s="83" t="s">
        <v>192</v>
      </c>
      <c r="C30" s="84"/>
      <c r="D30" s="84"/>
      <c r="E30" s="9">
        <v>5</v>
      </c>
      <c r="F30" s="27" t="s">
        <v>61</v>
      </c>
      <c r="G30" s="32" t="str">
        <f t="shared" si="0"/>
        <v/>
      </c>
      <c r="H30" s="33" t="str">
        <f t="shared" si="1"/>
        <v/>
      </c>
      <c r="I30" s="52"/>
      <c r="J30" s="53"/>
    </row>
    <row r="31" spans="1:10" ht="39.950000000000003" customHeight="1" x14ac:dyDescent="0.2">
      <c r="A31" s="11"/>
      <c r="B31" s="83" t="s">
        <v>193</v>
      </c>
      <c r="C31" s="84"/>
      <c r="D31" s="84"/>
      <c r="E31" s="9">
        <v>5</v>
      </c>
      <c r="F31" s="27" t="s">
        <v>61</v>
      </c>
      <c r="G31" s="32" t="str">
        <f t="shared" si="0"/>
        <v/>
      </c>
      <c r="H31" s="33" t="str">
        <f t="shared" si="1"/>
        <v/>
      </c>
      <c r="I31" s="52"/>
      <c r="J31" s="53"/>
    </row>
    <row r="32" spans="1:10" ht="39.950000000000003" customHeight="1" thickBot="1" x14ac:dyDescent="0.25">
      <c r="A32" s="11"/>
      <c r="B32" s="85" t="s">
        <v>194</v>
      </c>
      <c r="C32" s="86"/>
      <c r="D32" s="86"/>
      <c r="E32" s="37">
        <v>5</v>
      </c>
      <c r="F32" s="29" t="s">
        <v>61</v>
      </c>
      <c r="G32" s="38" t="str">
        <f t="shared" si="0"/>
        <v/>
      </c>
      <c r="H32" s="39" t="str">
        <f t="shared" si="1"/>
        <v/>
      </c>
      <c r="I32" s="81"/>
      <c r="J32" s="82"/>
    </row>
    <row r="33" spans="1:10" ht="30" customHeight="1" thickBot="1" x14ac:dyDescent="0.25">
      <c r="A33" s="4"/>
      <c r="B33" s="75" t="s">
        <v>5</v>
      </c>
      <c r="C33" s="76"/>
      <c r="D33" s="76"/>
      <c r="E33" s="31">
        <f>SUM(E8:E32)</f>
        <v>110</v>
      </c>
      <c r="F33" s="31">
        <f>SUM(F8:F32)</f>
        <v>0</v>
      </c>
      <c r="G33" s="45"/>
      <c r="H33" s="46"/>
      <c r="I33" s="46"/>
      <c r="J33" s="47"/>
    </row>
    <row r="34" spans="1:10" ht="30" customHeight="1" thickBot="1" x14ac:dyDescent="0.25">
      <c r="A34" s="4"/>
      <c r="B34" s="77" t="s">
        <v>54</v>
      </c>
      <c r="C34" s="78"/>
      <c r="D34" s="78"/>
      <c r="E34" s="67">
        <f>F33/E33/100*100</f>
        <v>0</v>
      </c>
      <c r="F34" s="67"/>
      <c r="G34" s="67"/>
      <c r="H34" s="67"/>
      <c r="I34" s="67"/>
      <c r="J34" s="68"/>
    </row>
    <row r="35" spans="1:10" ht="30" customHeight="1" thickBot="1" x14ac:dyDescent="0.25">
      <c r="A35" s="4"/>
      <c r="B35" s="77" t="s">
        <v>55</v>
      </c>
      <c r="C35" s="78"/>
      <c r="D35" s="78"/>
      <c r="E35" s="58" t="str">
        <f>_xlfn.IFS(E34&gt;=90%,"ممتاز",E34&gt;=80%,"جيد جداً",E34&gt;=70%,"جيد",E34&gt;=60%,"مقبول",E34&lt;60%,"راسب")</f>
        <v>راسب</v>
      </c>
      <c r="F35" s="58"/>
      <c r="G35" s="58"/>
      <c r="H35" s="58"/>
      <c r="I35" s="58"/>
      <c r="J35" s="59"/>
    </row>
    <row r="36" spans="1:10" ht="42" customHeight="1" x14ac:dyDescent="0.2">
      <c r="B36" s="54" t="s">
        <v>175</v>
      </c>
      <c r="C36" s="54"/>
      <c r="D36" s="54"/>
      <c r="E36" s="43" t="s">
        <v>52</v>
      </c>
      <c r="F36" s="43"/>
      <c r="G36" s="56" t="s">
        <v>59</v>
      </c>
      <c r="H36" s="56"/>
      <c r="I36" s="56"/>
      <c r="J36" s="56"/>
    </row>
    <row r="37" spans="1:10" ht="51" customHeight="1" x14ac:dyDescent="0.2">
      <c r="A37" s="5"/>
      <c r="B37" s="55"/>
      <c r="C37" s="55"/>
      <c r="D37" s="55"/>
      <c r="E37" s="44" t="s">
        <v>53</v>
      </c>
      <c r="F37" s="44"/>
      <c r="G37" s="57"/>
      <c r="H37" s="57"/>
      <c r="I37" s="57"/>
      <c r="J37" s="57"/>
    </row>
  </sheetData>
  <sheetProtection sheet="1" formatCells="0" formatColumns="0" formatRows="0" insertColumns="0" insertRows="0" insertHyperlinks="0" deleteColumns="0" deleteRows="0" selectLockedCells="1" sort="0" autoFilter="0" pivotTables="0"/>
  <mergeCells count="71">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E35">
    <cfRule type="expression" dxfId="23" priority="57">
      <formula>$E35="راسب"</formula>
    </cfRule>
  </conditionalFormatting>
  <conditionalFormatting sqref="E35:J35">
    <cfRule type="expression" dxfId="22" priority="58">
      <formula>$E35="مقبول"</formula>
    </cfRule>
    <cfRule type="expression" dxfId="21" priority="59">
      <formula>$E35="جيد"</formula>
    </cfRule>
    <cfRule type="expression" dxfId="20" priority="60">
      <formula>$E35="جيد جداً"</formula>
    </cfRule>
    <cfRule type="expression" dxfId="19" priority="61">
      <formula>$E35="ممتاز"</formula>
    </cfRule>
  </conditionalFormatting>
  <conditionalFormatting sqref="H8 H10:H32">
    <cfRule type="containsText" dxfId="18" priority="39" operator="containsText" text="ممتاز">
      <formula>NOT(ISERROR(SEARCH("ممتاز",H8)))</formula>
    </cfRule>
    <cfRule type="containsText" dxfId="17" priority="40" operator="containsText" text="جيد جداً">
      <formula>NOT(ISERROR(SEARCH("جيد جداً",H8)))</formula>
    </cfRule>
    <cfRule type="containsText" dxfId="16" priority="41" operator="containsText" text="جيد">
      <formula>NOT(ISERROR(SEARCH("جيد",H8)))</formula>
    </cfRule>
    <cfRule type="containsText" dxfId="15" priority="42" operator="containsText" text="مقبول">
      <formula>NOT(ISERROR(SEARCH("مقبول",H8)))</formula>
    </cfRule>
    <cfRule type="containsText" dxfId="14" priority="43" operator="containsText" text="راسب">
      <formula>NOT(ISERROR(SEARCH("راسب",H8)))</formula>
    </cfRule>
  </conditionalFormatting>
  <conditionalFormatting sqref="H8 H10:H32">
    <cfRule type="containsText" dxfId="13" priority="38" operator="containsText" text="أدخل العلامة">
      <formula>NOT(ISERROR(SEARCH("أدخل العلامة",H8)))</formula>
    </cfRule>
  </conditionalFormatting>
  <conditionalFormatting sqref="F2:J2">
    <cfRule type="containsText" dxfId="12" priority="19" operator="containsText" text="أدخل التاريخ">
      <formula>NOT(ISERROR(SEARCH("أدخل التاريخ",F2)))</formula>
    </cfRule>
  </conditionalFormatting>
  <conditionalFormatting sqref="C2:D2">
    <cfRule type="containsText" dxfId="11" priority="18" operator="containsText" text="أدخل الوحدة الخاضعة للتقييم">
      <formula>NOT(ISERROR(SEARCH("أدخل الوحدة الخاضعة للتقييم",C2)))</formula>
    </cfRule>
  </conditionalFormatting>
  <conditionalFormatting sqref="C3:D3">
    <cfRule type="containsText" dxfId="10" priority="17" operator="containsText" text="أدخل أسم قائد الوحدة الخاضعة للتقييم">
      <formula>NOT(ISERROR(SEARCH("أدخل أسم قائد الوحدة الخاضعة للتقييم",C3)))</formula>
    </cfRule>
  </conditionalFormatting>
  <conditionalFormatting sqref="F3:J3">
    <cfRule type="containsText" dxfId="9" priority="16" operator="containsText" text="أدخل أسم المحكم">
      <formula>NOT(ISERROR(SEARCH("أدخل أسم المحكم",F3)))</formula>
    </cfRule>
  </conditionalFormatting>
  <conditionalFormatting sqref="G36:J36">
    <cfRule type="containsText" dxfId="8" priority="15" operator="containsText" text="أدخل اسم المحكم">
      <formula>NOT(ISERROR(SEARCH("أدخل اسم المحكم",G36)))</formula>
    </cfRule>
  </conditionalFormatting>
  <conditionalFormatting sqref="F8 F10:F32">
    <cfRule type="containsText" dxfId="7" priority="14" operator="containsText" text="أدخل العلامة">
      <formula>NOT(ISERROR(SEARCH("أدخل العلامة",F8)))</formula>
    </cfRule>
  </conditionalFormatting>
  <conditionalFormatting sqref="H9">
    <cfRule type="containsText" dxfId="6" priority="6" operator="containsText" text="ممتاز">
      <formula>NOT(ISERROR(SEARCH("ممتاز",H9)))</formula>
    </cfRule>
    <cfRule type="containsText" dxfId="5" priority="7" operator="containsText" text="جيد جداً">
      <formula>NOT(ISERROR(SEARCH("جيد جداً",H9)))</formula>
    </cfRule>
    <cfRule type="containsText" dxfId="4" priority="8" operator="containsText" text="جيد">
      <formula>NOT(ISERROR(SEARCH("جيد",H9)))</formula>
    </cfRule>
    <cfRule type="containsText" dxfId="3" priority="9" operator="containsText" text="مقبول">
      <formula>NOT(ISERROR(SEARCH("مقبول",H9)))</formula>
    </cfRule>
    <cfRule type="containsText" dxfId="2" priority="10" operator="containsText" text="راسب">
      <formula>NOT(ISERROR(SEARCH("راسب",H9)))</formula>
    </cfRule>
  </conditionalFormatting>
  <conditionalFormatting sqref="H9">
    <cfRule type="containsText" dxfId="1" priority="5" operator="containsText" text="أدخل العلامة">
      <formula>NOT(ISERROR(SEARCH("أدخل العلامة",H9)))</formula>
    </cfRule>
  </conditionalFormatting>
  <conditionalFormatting sqref="F9">
    <cfRule type="containsText" dxfId="0" priority="4" operator="containsText" text="أدخل العلامة">
      <formula>NOT(ISERROR(SEARCH("أدخل العلامة",F9)))</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 style="1" customWidth="1"/>
    <col min="2" max="2" width="24.875" style="1" customWidth="1"/>
    <col min="3" max="3" width="59.875" style="1" customWidth="1"/>
    <col min="4" max="9" width="9" style="1"/>
  </cols>
  <sheetData>
    <row r="1" spans="1:3" ht="20.100000000000001" customHeight="1" thickBot="1" x14ac:dyDescent="0.25">
      <c r="A1" s="2" t="s">
        <v>57</v>
      </c>
      <c r="C1" s="2" t="s">
        <v>60</v>
      </c>
    </row>
    <row r="2" spans="1:3" ht="20.100000000000001" customHeight="1" thickBot="1" x14ac:dyDescent="0.25">
      <c r="A2" s="2" t="s">
        <v>35</v>
      </c>
      <c r="C2" s="20" t="s">
        <v>62</v>
      </c>
    </row>
    <row r="3" spans="1:3" ht="20.100000000000001" customHeight="1" thickBot="1" x14ac:dyDescent="0.25">
      <c r="A3" s="2" t="s">
        <v>26</v>
      </c>
      <c r="C3" s="20" t="s">
        <v>63</v>
      </c>
    </row>
    <row r="4" spans="1:3" ht="20.100000000000001" customHeight="1" thickBot="1" x14ac:dyDescent="0.25">
      <c r="A4" s="2" t="s">
        <v>36</v>
      </c>
      <c r="C4" s="20" t="s">
        <v>64</v>
      </c>
    </row>
    <row r="5" spans="1:3" ht="20.100000000000001" customHeight="1" thickBot="1" x14ac:dyDescent="0.25">
      <c r="A5" s="2" t="s">
        <v>37</v>
      </c>
      <c r="C5" s="20" t="s">
        <v>65</v>
      </c>
    </row>
    <row r="6" spans="1:3" ht="20.100000000000001" customHeight="1" thickBot="1" x14ac:dyDescent="0.25">
      <c r="A6" s="2" t="s">
        <v>38</v>
      </c>
      <c r="C6" s="20" t="s">
        <v>66</v>
      </c>
    </row>
    <row r="7" spans="1:3" ht="20.100000000000001" customHeight="1" thickBot="1" x14ac:dyDescent="0.25">
      <c r="A7" s="2" t="s">
        <v>39</v>
      </c>
      <c r="C7" s="20" t="s">
        <v>67</v>
      </c>
    </row>
    <row r="8" spans="1:3" ht="20.100000000000001" customHeight="1" thickBot="1" x14ac:dyDescent="0.25">
      <c r="A8" s="2" t="s">
        <v>40</v>
      </c>
      <c r="C8" s="20" t="s">
        <v>68</v>
      </c>
    </row>
    <row r="9" spans="1:3" ht="20.100000000000001" customHeight="1" thickBot="1" x14ac:dyDescent="0.25">
      <c r="A9" s="2" t="s">
        <v>41</v>
      </c>
      <c r="C9" s="20" t="s">
        <v>69</v>
      </c>
    </row>
    <row r="10" spans="1:3" ht="20.100000000000001" customHeight="1" thickBot="1" x14ac:dyDescent="0.25">
      <c r="A10" s="2" t="s">
        <v>42</v>
      </c>
      <c r="C10" s="20" t="s">
        <v>70</v>
      </c>
    </row>
    <row r="11" spans="1:3" ht="20.100000000000001" customHeight="1" thickBot="1" x14ac:dyDescent="0.25">
      <c r="A11" s="2" t="s">
        <v>43</v>
      </c>
      <c r="C11" s="20" t="s">
        <v>71</v>
      </c>
    </row>
    <row r="12" spans="1:3" ht="20.100000000000001" customHeight="1" thickBot="1" x14ac:dyDescent="0.25">
      <c r="A12" s="2" t="s">
        <v>44</v>
      </c>
      <c r="C12" s="20" t="s">
        <v>72</v>
      </c>
    </row>
    <row r="13" spans="1:3" ht="20.100000000000001" customHeight="1" thickBot="1" x14ac:dyDescent="0.25">
      <c r="A13" s="2" t="s">
        <v>45</v>
      </c>
      <c r="C13" s="20" t="s">
        <v>73</v>
      </c>
    </row>
    <row r="14" spans="1:3" ht="20.100000000000001" customHeight="1" thickBot="1" x14ac:dyDescent="0.25">
      <c r="A14" s="2" t="s">
        <v>46</v>
      </c>
      <c r="C14" s="20" t="s">
        <v>74</v>
      </c>
    </row>
    <row r="15" spans="1:3" ht="20.100000000000001" customHeight="1" thickBot="1" x14ac:dyDescent="0.25">
      <c r="A15" s="2" t="s">
        <v>47</v>
      </c>
      <c r="C15" s="20" t="s">
        <v>75</v>
      </c>
    </row>
    <row r="16" spans="1:3" ht="20.100000000000001" customHeight="1" thickBot="1" x14ac:dyDescent="0.25">
      <c r="A16" s="2" t="s">
        <v>10</v>
      </c>
      <c r="C16" s="20" t="s">
        <v>76</v>
      </c>
    </row>
    <row r="17" spans="1:3" ht="20.100000000000001" customHeight="1" thickBot="1" x14ac:dyDescent="0.25">
      <c r="A17" s="2" t="s">
        <v>27</v>
      </c>
      <c r="C17" s="20" t="s">
        <v>77</v>
      </c>
    </row>
    <row r="18" spans="1:3" ht="20.100000000000001" customHeight="1" thickBot="1" x14ac:dyDescent="0.25">
      <c r="A18" s="2" t="s">
        <v>48</v>
      </c>
      <c r="C18" s="20" t="s">
        <v>78</v>
      </c>
    </row>
    <row r="19" spans="1:3" ht="20.100000000000001" customHeight="1" thickBot="1" x14ac:dyDescent="0.25">
      <c r="A19" s="2" t="s">
        <v>49</v>
      </c>
      <c r="C19" s="20" t="s">
        <v>79</v>
      </c>
    </row>
    <row r="20" spans="1:3" ht="20.100000000000001" customHeight="1" thickBot="1" x14ac:dyDescent="0.25">
      <c r="A20" s="2" t="s">
        <v>50</v>
      </c>
      <c r="C20" s="20" t="s">
        <v>80</v>
      </c>
    </row>
    <row r="21" spans="1:3" ht="20.100000000000001" customHeight="1" thickBot="1" x14ac:dyDescent="0.25">
      <c r="A21" s="2" t="s">
        <v>51</v>
      </c>
      <c r="C21" s="20" t="s">
        <v>81</v>
      </c>
    </row>
    <row r="22" spans="1:3" ht="20.100000000000001" customHeight="1" thickBot="1" x14ac:dyDescent="0.25">
      <c r="A22" s="2" t="s">
        <v>11</v>
      </c>
      <c r="C22" s="20" t="s">
        <v>82</v>
      </c>
    </row>
    <row r="23" spans="1:3" ht="20.100000000000001" customHeight="1" thickBot="1" x14ac:dyDescent="0.25">
      <c r="A23" s="2" t="s">
        <v>12</v>
      </c>
      <c r="C23" s="20" t="s">
        <v>83</v>
      </c>
    </row>
    <row r="24" spans="1:3" ht="20.100000000000001" customHeight="1" thickBot="1" x14ac:dyDescent="0.25">
      <c r="A24" s="2" t="s">
        <v>15</v>
      </c>
      <c r="C24" s="20" t="s">
        <v>84</v>
      </c>
    </row>
    <row r="25" spans="1:3" ht="20.100000000000001" customHeight="1" thickBot="1" x14ac:dyDescent="0.25">
      <c r="A25" s="2" t="s">
        <v>28</v>
      </c>
      <c r="C25" s="20" t="s">
        <v>85</v>
      </c>
    </row>
    <row r="26" spans="1:3" ht="20.100000000000001" customHeight="1" thickBot="1" x14ac:dyDescent="0.25">
      <c r="A26" s="2" t="s">
        <v>29</v>
      </c>
      <c r="C26" s="20" t="s">
        <v>86</v>
      </c>
    </row>
    <row r="27" spans="1:3" ht="20.100000000000001" customHeight="1" thickBot="1" x14ac:dyDescent="0.25">
      <c r="A27" s="2" t="s">
        <v>13</v>
      </c>
      <c r="C27" s="20" t="s">
        <v>87</v>
      </c>
    </row>
    <row r="28" spans="1:3" ht="20.100000000000001" customHeight="1" thickBot="1" x14ac:dyDescent="0.25">
      <c r="A28" s="2" t="s">
        <v>30</v>
      </c>
      <c r="C28" s="20" t="s">
        <v>88</v>
      </c>
    </row>
    <row r="29" spans="1:3" ht="20.100000000000001" customHeight="1" thickBot="1" x14ac:dyDescent="0.25">
      <c r="A29" s="2" t="s">
        <v>31</v>
      </c>
      <c r="C29" s="2"/>
    </row>
    <row r="30" spans="1:3" ht="20.100000000000001" customHeight="1" thickBot="1" x14ac:dyDescent="0.25">
      <c r="A30" s="2" t="s">
        <v>32</v>
      </c>
      <c r="C30" s="2"/>
    </row>
    <row r="31" spans="1:3" ht="20.100000000000001" customHeight="1" thickBot="1" x14ac:dyDescent="0.25">
      <c r="A31" s="2" t="s">
        <v>33</v>
      </c>
      <c r="C31" s="2"/>
    </row>
    <row r="32" spans="1:3" ht="20.100000000000001" customHeight="1" thickBot="1" x14ac:dyDescent="0.25">
      <c r="A32" s="2" t="s">
        <v>16</v>
      </c>
      <c r="C32" s="2"/>
    </row>
    <row r="33" spans="1:9" ht="20.100000000000001" customHeight="1" thickBot="1" x14ac:dyDescent="0.25">
      <c r="A33" s="2" t="s">
        <v>14</v>
      </c>
      <c r="C33" s="2"/>
    </row>
    <row r="34" spans="1:9" ht="20.100000000000001" customHeight="1" thickBot="1" x14ac:dyDescent="0.25">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25">
      <c r="A38" s="2" t="s">
        <v>56</v>
      </c>
    </row>
    <row r="39" spans="1:9" ht="20.100000000000001" customHeight="1" thickBot="1" x14ac:dyDescent="0.25">
      <c r="A39" s="14">
        <v>45901</v>
      </c>
    </row>
    <row r="40" spans="1:9" ht="20.100000000000001" customHeight="1" thickBot="1" x14ac:dyDescent="0.25">
      <c r="A40" s="14">
        <v>45902</v>
      </c>
    </row>
    <row r="41" spans="1:9" ht="20.100000000000001" customHeight="1" thickBot="1" x14ac:dyDescent="0.25">
      <c r="A41" s="14">
        <v>45903</v>
      </c>
    </row>
    <row r="42" spans="1:9" ht="20.100000000000001" customHeight="1" thickBot="1" x14ac:dyDescent="0.25">
      <c r="A42" s="14">
        <v>45904</v>
      </c>
    </row>
    <row r="43" spans="1:9" ht="20.100000000000001" customHeight="1" thickBot="1" x14ac:dyDescent="0.25">
      <c r="A43" s="14">
        <v>45905</v>
      </c>
    </row>
    <row r="44" spans="1:9" ht="20.100000000000001" customHeight="1" thickBot="1" x14ac:dyDescent="0.25">
      <c r="A44" s="14">
        <v>45906</v>
      </c>
    </row>
    <row r="45" spans="1:9" ht="20.100000000000001" customHeight="1" thickBot="1" x14ac:dyDescent="0.25">
      <c r="A45" s="14">
        <v>45907</v>
      </c>
    </row>
    <row r="46" spans="1:9" ht="20.100000000000001" customHeight="1" thickBot="1" x14ac:dyDescent="0.25">
      <c r="A46" s="14">
        <v>45908</v>
      </c>
    </row>
    <row r="47" spans="1:9" ht="20.100000000000001" customHeight="1" thickBot="1" x14ac:dyDescent="0.25">
      <c r="A47" s="14">
        <v>45909</v>
      </c>
    </row>
    <row r="48" spans="1:9" ht="20.100000000000001" customHeight="1" thickBot="1" x14ac:dyDescent="0.25">
      <c r="A48" s="14">
        <v>45910</v>
      </c>
    </row>
    <row r="49" spans="1:1" ht="20.100000000000001" customHeight="1" thickBot="1" x14ac:dyDescent="0.25">
      <c r="A49" s="14">
        <v>45911</v>
      </c>
    </row>
    <row r="50" spans="1:1" ht="20.100000000000001" customHeight="1" thickBot="1" x14ac:dyDescent="0.25">
      <c r="A50" s="14">
        <v>45912</v>
      </c>
    </row>
    <row r="51" spans="1:1" ht="20.100000000000001" customHeight="1" thickBot="1" x14ac:dyDescent="0.25">
      <c r="A51" s="14">
        <v>45913</v>
      </c>
    </row>
    <row r="52" spans="1:1" ht="20.100000000000001" customHeight="1" thickBot="1" x14ac:dyDescent="0.25">
      <c r="A52" s="14">
        <v>45914</v>
      </c>
    </row>
    <row r="53" spans="1:1" ht="20.100000000000001" customHeight="1" thickBot="1" x14ac:dyDescent="0.25">
      <c r="A53" s="14">
        <v>45915</v>
      </c>
    </row>
    <row r="54" spans="1:1" ht="20.100000000000001" customHeight="1" thickBot="1" x14ac:dyDescent="0.25">
      <c r="A54" s="14">
        <v>45916</v>
      </c>
    </row>
    <row r="55" spans="1:1" ht="20.100000000000001" customHeight="1" thickBot="1" x14ac:dyDescent="0.25">
      <c r="A55" s="14">
        <v>45917</v>
      </c>
    </row>
    <row r="56" spans="1:1" ht="20.100000000000001" customHeight="1" thickBot="1" x14ac:dyDescent="0.25">
      <c r="A56" s="14">
        <v>45918</v>
      </c>
    </row>
    <row r="57" spans="1:1" ht="20.100000000000001" customHeight="1" thickBot="1" x14ac:dyDescent="0.25">
      <c r="A57" s="14">
        <v>45919</v>
      </c>
    </row>
    <row r="58" spans="1:1" ht="20.100000000000001" customHeight="1" thickBot="1" x14ac:dyDescent="0.25">
      <c r="A58" s="14">
        <v>45920</v>
      </c>
    </row>
    <row r="59" spans="1:1" ht="20.100000000000001" customHeight="1" thickBot="1" x14ac:dyDescent="0.25">
      <c r="A59" s="14">
        <v>45921</v>
      </c>
    </row>
    <row r="60" spans="1:1" ht="20.100000000000001" customHeight="1" thickBot="1" x14ac:dyDescent="0.25">
      <c r="A60" s="14">
        <v>45922</v>
      </c>
    </row>
    <row r="61" spans="1:1" ht="20.100000000000001" customHeight="1" thickBot="1" x14ac:dyDescent="0.25">
      <c r="A61" s="14">
        <v>45923</v>
      </c>
    </row>
    <row r="62" spans="1:1" ht="20.100000000000001" customHeight="1" thickBot="1" x14ac:dyDescent="0.25">
      <c r="A62" s="14">
        <v>45924</v>
      </c>
    </row>
    <row r="63" spans="1:1" ht="20.100000000000001" customHeight="1" thickBot="1" x14ac:dyDescent="0.25">
      <c r="A63" s="14">
        <v>45925</v>
      </c>
    </row>
    <row r="64" spans="1:1" ht="20.100000000000001" customHeight="1" thickBot="1" x14ac:dyDescent="0.25">
      <c r="A64" s="14">
        <v>45926</v>
      </c>
    </row>
    <row r="65" spans="1:1" ht="20.100000000000001" customHeight="1" thickBot="1" x14ac:dyDescent="0.25">
      <c r="A65" s="14">
        <v>45927</v>
      </c>
    </row>
    <row r="66" spans="1:1" ht="20.100000000000001" customHeight="1" thickBot="1" x14ac:dyDescent="0.25">
      <c r="A66" s="14">
        <v>45928</v>
      </c>
    </row>
    <row r="67" spans="1:1" ht="20.100000000000001" customHeight="1" thickBot="1" x14ac:dyDescent="0.25">
      <c r="A67" s="14">
        <v>45929</v>
      </c>
    </row>
    <row r="68" spans="1:1" ht="20.100000000000001" customHeight="1" thickBot="1" x14ac:dyDescent="0.25">
      <c r="A68" s="14">
        <v>45930</v>
      </c>
    </row>
    <row r="69" spans="1:1" ht="20.100000000000001" customHeight="1" thickBot="1" x14ac:dyDescent="0.25">
      <c r="A69" s="14">
        <v>45931</v>
      </c>
    </row>
    <row r="70" spans="1:1" ht="20.100000000000001" customHeight="1" thickBot="1" x14ac:dyDescent="0.25">
      <c r="A70" s="14">
        <v>45932</v>
      </c>
    </row>
    <row r="71" spans="1:1" ht="20.100000000000001" customHeight="1" thickBot="1" x14ac:dyDescent="0.25">
      <c r="A71" s="14">
        <v>45933</v>
      </c>
    </row>
    <row r="72" spans="1:1" ht="20.100000000000001" customHeight="1" thickBot="1" x14ac:dyDescent="0.25">
      <c r="A72" s="14">
        <v>45934</v>
      </c>
    </row>
    <row r="73" spans="1:1" ht="20.100000000000001" customHeight="1" thickBot="1" x14ac:dyDescent="0.25">
      <c r="A73" s="14">
        <v>45935</v>
      </c>
    </row>
    <row r="74" spans="1:1" ht="20.100000000000001" customHeight="1" thickBot="1" x14ac:dyDescent="0.25">
      <c r="A74" s="14">
        <v>45936</v>
      </c>
    </row>
    <row r="75" spans="1:1" ht="20.100000000000001" customHeight="1" thickBot="1" x14ac:dyDescent="0.25">
      <c r="A75" s="14">
        <v>45937</v>
      </c>
    </row>
    <row r="76" spans="1:1" ht="20.100000000000001" customHeight="1" thickBot="1" x14ac:dyDescent="0.25">
      <c r="A76" s="14">
        <v>45938</v>
      </c>
    </row>
    <row r="77" spans="1:1" ht="20.100000000000001" customHeight="1" thickBot="1" x14ac:dyDescent="0.25">
      <c r="A77" s="14">
        <v>45939</v>
      </c>
    </row>
    <row r="78" spans="1:1" ht="20.100000000000001" customHeight="1" thickBot="1" x14ac:dyDescent="0.25">
      <c r="A78" s="14">
        <v>45940</v>
      </c>
    </row>
    <row r="79" spans="1:1" ht="20.100000000000001" customHeight="1" thickBot="1" x14ac:dyDescent="0.25">
      <c r="A79" s="14">
        <v>45941</v>
      </c>
    </row>
    <row r="80" spans="1:1" ht="20.100000000000001" customHeight="1" thickBot="1" x14ac:dyDescent="0.25">
      <c r="A80" s="14">
        <v>45942</v>
      </c>
    </row>
    <row r="81" spans="1:1" ht="20.100000000000001" customHeight="1" thickBot="1" x14ac:dyDescent="0.25">
      <c r="A81" s="14">
        <v>45943</v>
      </c>
    </row>
    <row r="82" spans="1:1" ht="20.100000000000001" customHeight="1" thickBot="1" x14ac:dyDescent="0.25">
      <c r="A82" s="14">
        <v>45944</v>
      </c>
    </row>
    <row r="83" spans="1:1" ht="20.100000000000001" customHeight="1" thickBot="1" x14ac:dyDescent="0.25">
      <c r="A83" s="14">
        <v>45945</v>
      </c>
    </row>
    <row r="84" spans="1:1" ht="20.100000000000001" customHeight="1" thickBot="1" x14ac:dyDescent="0.25">
      <c r="A84" s="14">
        <v>45946</v>
      </c>
    </row>
    <row r="85" spans="1:1" ht="20.100000000000001" customHeight="1" thickBot="1" x14ac:dyDescent="0.25">
      <c r="A85" s="14">
        <v>45947</v>
      </c>
    </row>
    <row r="86" spans="1:1" ht="20.100000000000001" customHeight="1" thickBot="1" x14ac:dyDescent="0.25">
      <c r="A86" s="14">
        <v>45948</v>
      </c>
    </row>
    <row r="87" spans="1:1" ht="20.100000000000001" customHeight="1" thickBot="1" x14ac:dyDescent="0.25">
      <c r="A87" s="14">
        <v>45949</v>
      </c>
    </row>
    <row r="88" spans="1:1" ht="20.100000000000001" customHeight="1" thickBot="1" x14ac:dyDescent="0.25">
      <c r="A88" s="14">
        <v>45950</v>
      </c>
    </row>
    <row r="89" spans="1:1" ht="20.100000000000001" customHeight="1" thickBot="1" x14ac:dyDescent="0.25">
      <c r="A89" s="14">
        <v>45951</v>
      </c>
    </row>
    <row r="90" spans="1:1" ht="20.100000000000001" customHeight="1" thickBot="1" x14ac:dyDescent="0.25">
      <c r="A90" s="14">
        <v>45952</v>
      </c>
    </row>
    <row r="91" spans="1:1" ht="20.100000000000001" customHeight="1" thickBot="1" x14ac:dyDescent="0.25">
      <c r="A91" s="14">
        <v>45953</v>
      </c>
    </row>
    <row r="92" spans="1:1" ht="20.100000000000001" customHeight="1" thickBot="1" x14ac:dyDescent="0.25">
      <c r="A92" s="14">
        <v>45954</v>
      </c>
    </row>
    <row r="93" spans="1:1" ht="20.100000000000001" customHeight="1" thickBot="1" x14ac:dyDescent="0.25">
      <c r="A93" s="14">
        <v>45955</v>
      </c>
    </row>
    <row r="94" spans="1:1" ht="20.100000000000001" customHeight="1" thickBot="1" x14ac:dyDescent="0.25">
      <c r="A94" s="14">
        <v>45956</v>
      </c>
    </row>
    <row r="95" spans="1:1" ht="20.100000000000001" customHeight="1" thickBot="1" x14ac:dyDescent="0.25">
      <c r="A95" s="14">
        <v>45957</v>
      </c>
    </row>
    <row r="96" spans="1:1" ht="20.100000000000001" customHeight="1" thickBot="1" x14ac:dyDescent="0.25">
      <c r="A96" s="14">
        <v>45958</v>
      </c>
    </row>
    <row r="97" spans="1:9" ht="20.100000000000001" customHeight="1" thickBot="1" x14ac:dyDescent="0.25">
      <c r="A97" s="14">
        <v>45959</v>
      </c>
    </row>
    <row r="98" spans="1:9" ht="20.100000000000001" customHeight="1" thickBot="1" x14ac:dyDescent="0.25">
      <c r="A98" s="14">
        <v>45960</v>
      </c>
    </row>
    <row r="99" spans="1:9" ht="20.100000000000001" customHeight="1" thickBot="1" x14ac:dyDescent="0.25">
      <c r="A99" s="14">
        <v>45961</v>
      </c>
    </row>
    <row r="100" spans="1:9" ht="20.100000000000001" customHeight="1" thickBot="1" x14ac:dyDescent="0.25">
      <c r="A100" s="14">
        <v>45962</v>
      </c>
    </row>
    <row r="101" spans="1:9" ht="20.100000000000001" customHeight="1" thickBot="1" x14ac:dyDescent="0.25">
      <c r="A101" s="14">
        <v>45963</v>
      </c>
    </row>
    <row r="102" spans="1:9" ht="20.100000000000001" customHeight="1" thickBot="1" x14ac:dyDescent="0.25">
      <c r="A102" s="14">
        <v>45964</v>
      </c>
    </row>
    <row r="103" spans="1:9" ht="20.100000000000001" customHeight="1" thickBot="1" x14ac:dyDescent="0.25">
      <c r="A103" s="14">
        <v>45965</v>
      </c>
    </row>
    <row r="104" spans="1:9" ht="20.100000000000001" customHeight="1" thickBot="1" x14ac:dyDescent="0.25">
      <c r="A104" s="14">
        <v>45966</v>
      </c>
    </row>
    <row r="105" spans="1:9" ht="20.100000000000001" customHeight="1" thickBot="1" x14ac:dyDescent="0.25">
      <c r="A105" s="14">
        <v>45967</v>
      </c>
    </row>
    <row r="106" spans="1:9" ht="20.100000000000001" customHeight="1" thickBot="1" x14ac:dyDescent="0.25">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25">
      <c r="A111" s="2" t="s">
        <v>61</v>
      </c>
    </row>
    <row r="112" spans="1:9" ht="20.100000000000001" customHeight="1" thickBot="1" x14ac:dyDescent="0.25">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25">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2025-10-22T03:44:03Z</dcterms:modified>
</cp:coreProperties>
</file>