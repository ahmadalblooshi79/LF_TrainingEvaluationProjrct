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9802050-5093-5E4D-8800-DA59EA38522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<sst xmlns="http://schemas.openxmlformats.org/spreadsheetml/2006/main" count="247" uniqueCount="191">
  <si>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</si>
  <si>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</si>
  <si>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</si>
  <si>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</si>
  <si>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</si>
  <si>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</si>
  <si>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</si>
  <si>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</si>
  <si>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</si>
  <si>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</si>
  <si>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</si>
  <si>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</si>
  <si>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</si>
  <si>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</si>
  <si>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</si>
  <si>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</si>
  <si>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</si>
  <si>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</si>
  <si>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</si>
  <si>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</si>
  <si>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</si>
  <si>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</si>
  <si>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</si>
  <si>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</si>
  <si>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</si>
  <si>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</si>
  <si>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</si>
  <si>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</si>
  <si>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</si>
  <si>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</si>
  <si>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</si>
  <si>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</si>
  <si>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</si>
  <si>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</si>
  <si>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</si>
  <si>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</si>
  <si>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</si>
  <si>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</si>
  <si>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</si>
  <si>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</si>
  <si>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</si>
  <si>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</si>
  <si>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</si>
  <si>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</si>
  <si>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</si>
  <si>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</si>
  <si>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</si>
  <si>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</si>
  <si>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</si>
  <si>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</si>
  <si>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</si>
  <si>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</si>
  <si>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</si>
  <si>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</si>
  <si>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</si>
  <si>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</si>
  <si>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</si>
  <si>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</si>
  <si>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</si>
  <si>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</si>
  <si>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</si>
  <si>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</si>
  <si>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</si>
  <si>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</si>
  <si>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</si>
  <si>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</si>
  <si>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</si>
  <si>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</si>
  <si>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</si>
  <si>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</si>
  <si>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</si>
  <si>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</si>
  <si>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</si>
  <si>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</si>
  <si>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</si>
  <si>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</si>
  <si>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</si>
  <si>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</si>
  <si>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</si>
  <si>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</si>
  <si>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</si>
  <si>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</si>
  <si>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</si>
  <si>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</si>
  <si>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</si>
  <si>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</si>
  <si>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</si>
  <si>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</si>
  <si>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</si>
  <si>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</si>
  <si>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</si>
  <si>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</si>
  <si>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</si>
  <si>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</si>
  <si>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</si>
  <si>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</si>
  <si>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</si>
  <si>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</si>
  <si>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</si>
  <si>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</si>
  <si>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</si>
  <si>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</si>
  <si>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</si>
  <si>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</si>
  <si>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</si>
  <si>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</si>
  <si>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</si>
  <si>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</si>
  <si>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</si>
  <si>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</si>
  <si>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</si>
  <si>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</si>
  <si>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</si>
  <si>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</si>
  <si>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</si>
  <si>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</si>
  <si>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</si>
  <si>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</si>
  <si>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</si>
  <si>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</si>
  <si>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</si>
  <si>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</si>
  <si>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</si>
  <si>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</si>
  <si>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</si>
  <si>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</si>
  <si>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</si>
  <si>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</si>
  <si>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</si>
  <si>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</si>
  <si>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</si>
  <si>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</si>
  <si>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</si>
  <si>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</si>
  <si>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</si>
  <si>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</si>
  <si>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</si>
  <si>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</si>
  <si>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</si>
  <si>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</si>
  <si>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</si>
  <si>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</si>
  <si>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</si>
  <si>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</si>
  <si>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</si>
  <si>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</si>
  <si>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</si>
  <si>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</si>
  <si>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</si>
  <si>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</si>
  <si>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</si>
  <si>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</si>
  <si>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</si>
  <si>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</si>
  <si>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</si>
  <si>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</si>
  <si>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</si>
  <si>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</si>
  <si>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</si>
  <si>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</si>
  <si>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</si>
  <si>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</si>
  <si>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</si>
  <si>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</si>
  <si>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</si>
  <si>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</si>
  <si>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</si>
  <si>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</si>
  <si>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</si>
  <si>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</si>
  <si>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</si>
  <si>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</si>
  <si>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</si>
  <si>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</si>
  <si>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</si>
  <si>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</si>
  <si>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</si>
  <si>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</si>
  <si>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</si>
  <si>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</si>
  <si>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</si>
  <si>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</si>
  <si>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</si>
  <si>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</si>
  <si>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</si>
  <si>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</si>
  <si>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</si>
  <si>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</si>
  <si>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</si>
  <si>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</si>
  <si>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معضلة/5 -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</si>
</sst>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208981</xdr:colOff>
      <xdr:row>22</xdr:row>
      <xdr:rowOff>106868</xdr:rowOff>
    </xdr:from>
    <xdr:to>
      <xdr:col>8</xdr:col>
      <xdr:colOff>398320</xdr:colOff>
      <xdr:row>22</xdr:row>
      <xdr:rowOff>571988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4F7493B-B7C1-E067-D803-972D4C2848E4}"/>
                </a:ext>
              </a:extLst>
            </xdr14:cNvPr>
            <xdr14:cNvContentPartPr/>
          </xdr14:nvContentPartPr>
          <xdr14:nvPr macro=""/>
          <xdr14:xfrm>
            <a:off x="10398846589" y="10416960"/>
            <a:ext cx="1505520" cy="465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F7493B-B7C1-E067-D803-972D4C2848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37949" y="10407960"/>
              <a:ext cx="1523160" cy="48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382861</xdr:colOff>
      <xdr:row>22</xdr:row>
      <xdr:rowOff>518708</xdr:rowOff>
    </xdr:from>
    <xdr:to>
      <xdr:col>6</xdr:col>
      <xdr:colOff>444781</xdr:colOff>
      <xdr:row>22</xdr:row>
      <xdr:rowOff>535268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3E02249-E380-E7A3-604F-0D1532DAC2C7}"/>
                </a:ext>
              </a:extLst>
            </xdr14:cNvPr>
            <xdr14:cNvContentPartPr/>
          </xdr14:nvContentPartPr>
          <xdr14:nvPr macro=""/>
          <xdr14:xfrm>
            <a:off x="10400116309" y="10828800"/>
            <a:ext cx="61920" cy="165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3E02249-E380-E7A3-604F-0D1532DAC2C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07309" y="10820160"/>
              <a:ext cx="79560" cy="3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05:06.5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3643 137 10538,'0'0'0,"-3"-15"2696,-11 11-2152,14 4-544,-5-14 449,2 14-321,3 0-312,0 0-137,0 0 321,5 0-336,15 4 48,1 9 144,6 1 56,-27-14 88,36 19-56,0 3 48,0 5-24,2 5 32,-38-32 0,41 35-80,0 7 64,-2 3-64,-1 3-88,-38-48 168,39 52-240,-11 0-264,4 2-56,-6 0-112,-26-54 672,19 48-592,-2-3 160,-5-11 63,-9-7 185,-3-27 184,4 20-24,1-6 40,-5-10 176,-5 0 217,5-4-409,-4 3 480,-11-3 80,-6 0-152,-3-1-128,24 1-280,-34-5 144,-2-7-40,-3-1 72,-9-1-160,48 14-16,-48-17 144,0-2-120,-5 1-8,-2-1 96,55 19-112,-58-17-32,5-1 88,3 2 32,1 5-120,49 11 32,-43-5-8,0 3 16,2 2-56,3 12 48,38-12 0,-34 15-80,-2 3-24,-3 2 80,3 0-64,36-20 88,-38 21 40,2 2-80,-3-2 0,1 1 72,38-22-32,-41 19 24,-3-2 16,-1 2-56,-8-1 24,53-18-8,-58 19-8,-4-1 56,-8-2-32,-5 1-16,75-17 0,-79 13 32,-8-9-32,-2 12 96,-4-13 16,93-3-112,-92 4 152,1 0 112,-10 8-48,-5-10-24,106-2-192,-108 5 208,-8 7-232,3-9 112,0 9 56,113-12-144,-111 4 80,-4 9 152,2-2-80,-5 0-8,118-11-144,-111 15 153,-4-1-9,12 2 72,-1 1-80,104-17-136,-91 17 120,4 1 48,8 1-88,9-2 88,70-17-168,-60 15 152,12 0-40,4-4 64,11-7-120,33-4-56,-22 12 120,5-12-88,15 0-208,2 0-64,0 0 240,7 2-336,12 1 72,10 1 232,10 9 88,-39-13-56,53 3 64,9 0 32,15-3-64,7-1-32,17-11 112,-101 12-112,113-17 40,10-7 16,9-9 32,-132 33-88,137-42 88,8-8-24,6-7 0,3-4 32,-154 61-96,159-67 32,-5-3-48,-7-4 8,-10-2-48,-137 76 56,132-80-112,-9 2 200,-10 0-40,-7 4 24,-20 6 72,-86 68-144,72-66-8,-12 9 8,-16 3 144,-44 54-144,38-45 168,-11 5 208,-8 10 80,-14 10 136,-5 20-592,12-13 712,-12 11-111,0 0-97,-3 2-224,3 0-280,-7 0 72,5 3-168,-10 13 80,0 5-144,12-21 160,-12 34-160,-12 13 208,4 11-80,1 8 56,19-66-24,-12 74 0,7 4-64,-7 4-8,12 5-88,0-87 160,0 82-32,0-2-80,12-10 40,-7-11-65,-5-59 137,19 52-272,-4-10-64,2-5-184,2-6-16,0-4-152,-19-27 688,27 25-736,-6-7 32,1 1-177,2-5-7,-24-14 888,14 11-1152,8 1-136,4-8-257,1 7-295,-27-11 1840,31 0-1400,5 0 71,-2 3-2191,-34-3 3520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05:06.9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171 20 16267,'0'0'0,"-36"-15"3729,36 15-3729,-34-3-952,-9 2-441,14 1-1327,7 19-1137,22-19 3857,-2 13-3353,-3 0-2488,5-13 5841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D8" zoomScale="130" zoomScaleNormal="100" zoomScaleSheetLayoutView="130" workbookViewId="0">
      <selection activeCell="G23" sqref="G23:J2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2" t="s">
        <v>190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>
      <c r="B2" s="11" t="s">
        <v>8</v>
      </c>
      <c r="C2" s="58" t="s">
        <v>37</v>
      </c>
      <c r="D2" s="58"/>
      <c r="E2" s="11" t="s">
        <v>7</v>
      </c>
      <c r="F2" s="53">
        <v>45913</v>
      </c>
      <c r="G2" s="53"/>
      <c r="H2" s="53"/>
      <c r="I2" s="53"/>
      <c r="J2" s="53"/>
    </row>
    <row r="3" spans="1:10" ht="30" customHeight="1">
      <c r="B3" s="11" t="s">
        <v>9</v>
      </c>
      <c r="C3" s="58" t="s">
        <v>78</v>
      </c>
      <c r="D3" s="58"/>
      <c r="E3" s="11" t="s">
        <v>6</v>
      </c>
      <c r="F3" s="58" t="s">
        <v>134</v>
      </c>
      <c r="G3" s="58"/>
      <c r="H3" s="58"/>
      <c r="I3" s="58"/>
      <c r="J3" s="58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>
      <c r="A6" s="9"/>
      <c r="B6" s="56"/>
      <c r="C6" s="57"/>
      <c r="D6" s="57"/>
      <c r="E6" s="10" t="s">
        <v>3</v>
      </c>
      <c r="F6" s="10" t="s">
        <v>4</v>
      </c>
      <c r="G6" s="10" t="s">
        <v>23</v>
      </c>
      <c r="H6" s="10" t="s">
        <v>24</v>
      </c>
      <c r="I6" s="61"/>
      <c r="J6" s="62"/>
    </row>
    <row r="7" spans="1:10" ht="24.95" customHeight="1">
      <c r="A7" s="9"/>
      <c r="B7" s="63" t="s">
        <v>21</v>
      </c>
      <c r="C7" s="64"/>
      <c r="D7" s="64"/>
      <c r="E7" s="30" t="s">
        <v>18</v>
      </c>
      <c r="F7" s="30" t="s">
        <v>19</v>
      </c>
      <c r="G7" s="30" t="s">
        <v>22</v>
      </c>
      <c r="H7" s="30" t="s">
        <v>20</v>
      </c>
      <c r="I7" s="65" t="s">
        <v>25</v>
      </c>
      <c r="J7" s="66"/>
    </row>
    <row r="8" spans="1:10" ht="60" customHeight="1">
      <c r="A8" s="9"/>
      <c r="B8" s="48" t="s">
        <v>188</v>
      </c>
      <c r="C8" s="48"/>
      <c r="D8" s="48"/>
      <c r="E8" s="32">
        <v>3</v>
      </c>
      <c r="F8" s="25">
        <v>2</v>
      </c>
      <c r="G8" s="33">
        <f>IFERROR(F8/E8,"")</f>
        <v>0.66666666666666663</v>
      </c>
      <c r="H8" s="34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43"/>
      <c r="J8" s="43"/>
    </row>
    <row r="9" spans="1:10" ht="39.950000000000003" customHeight="1">
      <c r="A9" s="9"/>
      <c r="B9" s="48" t="s">
        <v>180</v>
      </c>
      <c r="C9" s="48"/>
      <c r="D9" s="48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3"/>
    </row>
    <row r="10" spans="1:10" ht="39.950000000000003" customHeight="1">
      <c r="A10" s="9"/>
      <c r="B10" s="48" t="s">
        <v>182</v>
      </c>
      <c r="C10" s="49"/>
      <c r="D10" s="49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3"/>
    </row>
    <row r="11" spans="1:10" ht="30" customHeight="1">
      <c r="A11" s="9"/>
      <c r="B11" s="48" t="s">
        <v>178</v>
      </c>
      <c r="C11" s="48"/>
      <c r="D11" s="48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3"/>
      <c r="J11" s="43"/>
    </row>
    <row r="12" spans="1:10" ht="30" customHeight="1">
      <c r="A12" s="9"/>
      <c r="B12" s="48" t="s">
        <v>179</v>
      </c>
      <c r="C12" s="48"/>
      <c r="D12" s="48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3"/>
      <c r="J12" s="43"/>
    </row>
    <row r="13" spans="1:10" ht="39.950000000000003" customHeight="1">
      <c r="A13" s="9"/>
      <c r="B13" s="48" t="s">
        <v>189</v>
      </c>
      <c r="C13" s="48"/>
      <c r="D13" s="48"/>
      <c r="E13" s="32">
        <v>3</v>
      </c>
      <c r="F13" s="2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3"/>
      <c r="J13" s="43"/>
    </row>
    <row r="14" spans="1:10" ht="30" customHeight="1">
      <c r="A14" s="9"/>
      <c r="B14" s="48" t="s">
        <v>183</v>
      </c>
      <c r="C14" s="48"/>
      <c r="D14" s="48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3"/>
      <c r="J14" s="43"/>
    </row>
    <row r="15" spans="1:10" ht="39.950000000000003" customHeight="1">
      <c r="A15" s="9"/>
      <c r="B15" s="48" t="s">
        <v>184</v>
      </c>
      <c r="C15" s="48"/>
      <c r="D15" s="48"/>
      <c r="E15" s="32">
        <v>3</v>
      </c>
      <c r="F15" s="25">
        <v>2.25</v>
      </c>
      <c r="G15" s="33">
        <f t="shared" ref="G15" si="8">IFERROR(F15/E15,"")</f>
        <v>0.75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3"/>
      <c r="J15" s="43"/>
    </row>
    <row r="16" spans="1:10" ht="60" customHeight="1">
      <c r="A16" s="9"/>
      <c r="B16" s="76" t="s">
        <v>185</v>
      </c>
      <c r="C16" s="77"/>
      <c r="D16" s="78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3"/>
      <c r="J16" s="43"/>
    </row>
    <row r="17" spans="1:10" ht="39.950000000000003" customHeight="1">
      <c r="A17" s="9"/>
      <c r="B17" s="48" t="s">
        <v>186</v>
      </c>
      <c r="C17" s="49"/>
      <c r="D17" s="49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3"/>
      <c r="J17" s="43"/>
    </row>
    <row r="18" spans="1:10" ht="60" customHeight="1">
      <c r="A18" s="9"/>
      <c r="B18" s="48" t="s">
        <v>181</v>
      </c>
      <c r="C18" s="48"/>
      <c r="D18" s="48"/>
      <c r="E18" s="32">
        <v>3</v>
      </c>
      <c r="F18" s="25">
        <v>2</v>
      </c>
      <c r="G18" s="33">
        <f t="shared" si="4"/>
        <v>0.66666666666666663</v>
      </c>
      <c r="H18" s="34" t="str">
        <f t="shared" si="5"/>
        <v>مقبول</v>
      </c>
      <c r="I18" s="43"/>
      <c r="J18" s="43"/>
    </row>
    <row r="19" spans="1:10" ht="30" customHeight="1" thickBot="1">
      <c r="A19" s="4"/>
      <c r="B19" s="44" t="s">
        <v>5</v>
      </c>
      <c r="C19" s="45"/>
      <c r="D19" s="45"/>
      <c r="E19" s="31">
        <f>SUM(E8:E18)</f>
        <v>33</v>
      </c>
      <c r="F19" s="31">
        <f>SUM(F8:F18)</f>
        <v>23.75</v>
      </c>
      <c r="G19" s="71"/>
      <c r="H19" s="72"/>
      <c r="I19" s="72"/>
      <c r="J19" s="73"/>
    </row>
    <row r="20" spans="1:10" ht="30" customHeight="1" thickBot="1">
      <c r="A20" s="4"/>
      <c r="B20" s="46" t="s">
        <v>54</v>
      </c>
      <c r="C20" s="47"/>
      <c r="D20" s="47"/>
      <c r="E20" s="74">
        <f>F19/E19/100*100</f>
        <v>0.71969696969696972</v>
      </c>
      <c r="F20" s="74"/>
      <c r="G20" s="74"/>
      <c r="H20" s="74"/>
      <c r="I20" s="74"/>
      <c r="J20" s="75"/>
    </row>
    <row r="21" spans="1:10" ht="30" customHeight="1" thickBot="1">
      <c r="A21" s="4"/>
      <c r="B21" s="46" t="s">
        <v>55</v>
      </c>
      <c r="C21" s="47"/>
      <c r="D21" s="47"/>
      <c r="E21" s="35" t="str">
        <f>_xlfn.IFS(E20&gt;=90%,"ممتاز",E20&gt;=80%,"جيد جداً",E20&gt;=70%,"جيد",E20&gt;=60%,"مقبول",E20&lt;60%,"راسب")</f>
        <v>جيد</v>
      </c>
      <c r="F21" s="35"/>
      <c r="G21" s="35"/>
      <c r="H21" s="35"/>
      <c r="I21" s="35"/>
      <c r="J21" s="36"/>
    </row>
    <row r="22" spans="1:10" ht="42" customHeight="1">
      <c r="B22" s="67" t="s">
        <v>187</v>
      </c>
      <c r="C22" s="67"/>
      <c r="D22" s="67"/>
      <c r="E22" s="50" t="s">
        <v>52</v>
      </c>
      <c r="F22" s="50"/>
      <c r="G22" s="69" t="s">
        <v>134</v>
      </c>
      <c r="H22" s="69"/>
      <c r="I22" s="69"/>
      <c r="J22" s="69"/>
    </row>
    <row r="23" spans="1:10" ht="51" customHeight="1">
      <c r="A23" s="5"/>
      <c r="B23" s="68"/>
      <c r="C23" s="68"/>
      <c r="D23" s="68"/>
      <c r="E23" s="51" t="s">
        <v>53</v>
      </c>
      <c r="F23" s="51"/>
      <c r="G23" s="70"/>
      <c r="H23" s="70"/>
      <c r="I23" s="70"/>
      <c r="J23" s="70"/>
    </row>
    <row r="24" spans="1:10">
      <c r="A24" s="26">
        <v>3</v>
      </c>
      <c r="B24" s="37" t="s">
        <v>175</v>
      </c>
      <c r="C24" s="38"/>
    </row>
    <row r="25" spans="1:10">
      <c r="A25" s="27">
        <v>2</v>
      </c>
      <c r="B25" s="39" t="s">
        <v>176</v>
      </c>
      <c r="C25" s="40"/>
    </row>
    <row r="26" spans="1:10">
      <c r="A26" s="28">
        <v>1</v>
      </c>
      <c r="B26" s="41" t="s">
        <v>177</v>
      </c>
      <c r="C26" s="4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  <mergeCell ref="B7:D7"/>
    <mergeCell ref="I7:J7"/>
    <mergeCell ref="I13:J13"/>
    <mergeCell ref="B8:D8"/>
    <mergeCell ref="B13:D13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2025-10-09T10:12:27Z</dcterms:modified>
</cp:coreProperties>
</file>