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8BF6D43-2331-41CB-9FE3-E3BA66D3F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 s="1"/>
  <c r="G13" i="2"/>
  <c r="H13" i="2"/>
  <c r="G14" i="2"/>
  <c r="H14" i="2"/>
  <c r="G15" i="2"/>
  <c r="H15" i="2"/>
  <c r="G16" i="2"/>
  <c r="H16" i="2"/>
  <c r="G17" i="2"/>
  <c r="H17" i="2"/>
  <c r="G8" i="2"/>
  <c r="H8" i="2" s="1"/>
  <c r="F18" i="2"/>
  <c r="E19" i="2" s="1"/>
  <c r="E20" i="2" s="1"/>
  <c r="E18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<sst xmlns="http://schemas.openxmlformats.org/spreadsheetml/2006/main" count="114" uniqueCount="111">
  <si>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</si>
  <si>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</si>
  <si>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</si>
  <si>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</si>
  <si>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</si>
  <si>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</si>
  <si>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</si>
  <si>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</si>
  <si>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</si>
  <si>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</si>
  <si>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</si>
  <si>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</si>
  <si>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</si>
  <si>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</si>
  <si>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</si>
  <si>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</si>
  <si>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</si>
  <si>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</si>
  <si>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</si>
  <si>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</si>
  <si>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</si>
  <si>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</si>
  <si>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</si>
  <si>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</si>
  <si>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</si>
  <si>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</si>
  <si>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</si>
  <si>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</si>
  <si>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</si>
  <si>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</si>
  <si>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</si>
  <si>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</si>
  <si>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</si>
  <si>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</si>
  <si>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</si>
  <si>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</si>
  <si>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</si>
  <si>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</si>
  <si>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</si>
  <si>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</si>
  <si>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</si>
  <si>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</si>
  <si>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</si>
  <si>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</si>
  <si>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</si>
  <si>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</si>
  <si>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</si>
  <si>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</si>
  <si>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</si>
  <si>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</si>
  <si>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</si>
  <si>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</si>
  <si>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</si>
  <si>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</si>
  <si>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</si>
  <si>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</si>
  <si>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</si>
  <si>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</si>
  <si>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</si>
  <si>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</si>
  <si>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</si>
  <si>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</si>
  <si>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</si>
  <si>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</si>
  <si>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</si>
  <si>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</si>
  <si>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</si>
  <si>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</si>
  <si>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</si>
  <si>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</si>
  <si>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</si>
  <si>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</si>
  <si>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</si>
  <si>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</si>
  <si>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</si>
  <si>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</si>
  <si>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</si>
  <si>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</si>
  <si>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</si>
  <si>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</si>
  <si>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</si>
  <si>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</si>
  <si>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</si>
  <si>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</si>
  <si>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</si>
  <si>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</si>
  <si>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</si>
  <si>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</si>
  <si>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</si>
  <si>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</si>
  <si>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</si>
  <si>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</si>
  <si>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</si>
  <si>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</si>
  <si>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</si>
  <si>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</si>
  <si>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</si>
  <si>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</si>
  <si>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rPr>
        <b/>
        <sz val="14"/>
        <color rgb="FF000000"/>
        <rFont val="Arial"/>
        <family val="2"/>
      </rPr>
      <t>تقييم الكفاءة القيادية للقادة الأصاغر (سرية مشاة راجلة)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</si>
  <si>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بالنفس.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</si>
  <si>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الصوت.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</si>
  <si>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</si>
  <si>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</si>
  <si>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</si>
  <si>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</si>
  <si>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</si>
  <si>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</si>
  <si>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المرؤوسين.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</si>
  <si>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والتحمل.</t>
    </r>
  </si>
  <si>
    <t>الرائد/ محمد عبدالرحمن الطنيجي</t>
  </si>
  <si>
    <t>عقيد ركن/ حميد محمد عبيد الدرعي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</si>
</sst>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23445</xdr:colOff>
      <xdr:row>21</xdr:row>
      <xdr:rowOff>105507</xdr:rowOff>
    </xdr:from>
    <xdr:to>
      <xdr:col>8</xdr:col>
      <xdr:colOff>409027</xdr:colOff>
      <xdr:row>21</xdr:row>
      <xdr:rowOff>362187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4C623C5-2A9C-4D92-A620-DD487461F8BC}"/>
                </a:ext>
              </a:extLst>
            </xdr14:cNvPr>
            <xdr14:cNvContentPartPr/>
          </xdr14:nvContentPartPr>
          <xdr14:nvPr macro=""/>
          <xdr14:xfrm>
            <a:off x="10078858050" y="8241322"/>
            <a:ext cx="1024489" cy="256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0D9CDDC-CFC7-0149-2B31-3616D621FE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50282" y="25522200"/>
              <a:ext cx="107316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380999</xdr:colOff>
      <xdr:row>21</xdr:row>
      <xdr:rowOff>158261</xdr:rowOff>
    </xdr:from>
    <xdr:to>
      <xdr:col>9</xdr:col>
      <xdr:colOff>104992</xdr:colOff>
      <xdr:row>21</xdr:row>
      <xdr:rowOff>498461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0EADF8C-5A1B-4A3D-95C9-CCDAC1ED0E39}"/>
                </a:ext>
              </a:extLst>
            </xdr14:cNvPr>
            <xdr14:cNvContentPartPr/>
          </xdr14:nvContentPartPr>
          <xdr14:nvPr macro=""/>
          <xdr14:xfrm>
            <a:off x="10078523177" y="8294076"/>
            <a:ext cx="1001808" cy="340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83DEC59-BE42-6281-44DF-9FA10612104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1122" y="25576560"/>
              <a:ext cx="1050480" cy="35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16:36:11.0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2199 404 6489,'0'0'0,"0"0"0,-2-3 1832,-1-7-1088,1 6-496,2 2-208,0 0-112,0 1-112,0 1 184,0-2-272,1 2-24,3 0-32,0 0 8,5-1 16,-5 0-48,8 0-16,-12 1 368,9-1-368,2-1 16,1 0 24,-1 0 40,2-1 40,1 1 24,-14 2 224,13-4-184,1 2 24,0-3 39,1 2 25,1 0 24,1 0 16,-17 3 56,16-4-24,-1 2 0,1-2 24,-2 0 0,3 1-8,0-1 16,-17 4-8,17-2 8,0-2 0,-2 2-8,1-1 8,1 1-8,-1 0 24,-16 2-24,16-2 8,0 1 0,0 0 0,-2 1-8,2 0 0,-1 0-8,-15 0 8,15 0 16,-1 0-8,0 0-8,2 0 8,-3 0-16,0 2 24,-13-2-16,13 3 8,1 0 0,-2 1 8,-3 0 0,2 5 8,-6-6 0,-5-3-24,10 3 24,-7 7 0,1-8-8,-1 2-8,1 8 16,-4-12-24,1 3 32,-1 7 17,0-7-1,-2 8 24,-2-7 8,-7 9 16,11-13-96,-9 9 112,-3 2 0,-3 0-8,-2 0-32,-1-2 0,-1 1-24,19-10-48,-21 4 48,1 9-16,-3-4 0,1-5 0,-1 9 16,-2-9 0,25-4-48,-23 11 32,-1-9-8,-1 2 0,1-1 0,0 1 8,0-1 0,24-3-32,-24 3 40,-1-1-16,2-2-24,0 2 8,-2-2-8,1 0 32,24 0-32,-23-1 48,-2-1-16,2-2-8,1-5-16,0 5-16,0-8 0,22 12 8,-22-5 8,-1-8-32,-1 4 0,0-1-16,-3 0-8,1 0 24,26 10 24,-29-11 24,1 6-32,0-8 0,2 9 8,-2-8-56,-1 7 80,29 5-24,-28-10-16,-2 7 16,0 0 8,1-1-32,-1 3 48,1 0 0,29 1-24,-30-3 64,2 2-32,-2 1 8,1 0-8,2 0 0,1 0 32,26 0-64,-23 0 64,0 2-48,2-2-24,1 3-8,0-1 8,0-2 32,20 0-24,-18 3-8,0-1 8,2-2-8,-1 0-32,0 0 96,0 0-48,17 0-8,-16-1 16,2-2-16,-1 0-56,3-7 40,-1 7 16,2-10 0,11 13 0,-10-11-32,1-1-16,5 0-48,-7 0 16,9-1 40,-2 0 88,4 13-48,-3-14 64,0 1 48,3-1 16,0-1-56,0 1 64,0-1-56,0 15-80,1-15 40,3 1 0,0 1-64,4 1-24,-4-2 72,6 4-24,-10 10 0,10-12 8,0 2 24,2 0-96,1 1 24,2 4 48,3-7-32,-18 12 24,18-5-32,2-5-8,3 6-48,-1-6-16,1 7 64,1-1-24,-24 4 64,25-5-80,2 1 56,2-1-64,0 1 56,2 1 0,2 0-40,-33 3 72,33-2-80,1-1-8,1 1 32,-1 1-16,1 1 48,0-1-16,-35 1 40,34 0-72,-1 0 16,0 0 0,-2 0 16,-1 0 16,-2 2 40,-28-2-16,30 0 0,-2 0-16,-3 2 0,1-2 24,-4 3-16,-2-1 8,-20-2 0,19 3 0,-1-1-32,-2 0 64,0 1-16,-3 0 0,-1 1 8,-12-4-24,12 4-24,-1-1 0,-2 1 0,1-1 32,-6 7-8,5-6 24,-9-4-24,3 9 16,0-5-24,0 7 16,-2-8 32,-1 11 24,0-10-8,0-4-56,-4 14 56,-7-3 32,2 0-8,-4 0 40,-1 0-24,-4-1-24,18-10-72,-19 11 64,-4 1-24,-1 0 8,-4-1 0,-2 0-8,-4 1 16,34-12-56,-36 9 32,-1 1 0,-1-1 16,1 1-24,-2 0 16,-2-1-16,41-9-24,-43 11 16,-2-1-16,0 2 32,-4 0 8,0 0 8,-3 2 32,52-14-80,-52 13 40,-1 1 8,-2 2-24,-3-2 8,0 1-8,-1-1-16,59-14-8,-60 14 8,0 0 0,-1 0-8,1 0 32,2 1 32,0-2 16,58-13-80,-57 12 104,2 1-40,0-2-8,-1 2-24,3-1 0,1 1-16,52-13-16,-49 12 16,3-1 0,1 0-24,5-2 16,2 1-32,-2 0 0,40-10 24,-35 3-40,0 9 0,4-8 0,2-1 8,2 7 24,3-8-8,24-2 16,-20 3-16,3-1-24,2 0-16,2-2-104,4 0-232,6-1-328,3 1 720,-4-1-1032,2-3 119,2 0 265,4-7 264,8 0 272,0-1-2176,-12 12 2288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16:36:21.6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2783 13 4745,'0'0'0,"0"-3"2000,0 1-368,0-2-631,0 4-1001,-4-1 720,-6 0-224,7 0-288,-11 1-120,2 0-72,-2 0-80,14 0 64,-17 3 0,-2 1-8,-5 8-8,-4-3 24,-1 1-48,-4 1-16,33-11 56,-34 11 0,-2 2-16,-3 0-24,-2 2 64,-4 0-48,-1-1 48,46-14-24,-50 15 40,0 0-72,0 0-16,-1-1-16,-1-1-48,-1-2 80,53-11 32,-52 13 8,1-1 16,2 0 16,1 1 32,2-3-56,3-7 48,43-3-64,-40 12 80,3-8-80,2 6 8,3-8-80,4 2 8,4-1 72,24-3-8,-19 3 8,3-1 16,4-2-16,3 0-40,7 0-88,-2 0-48,4 0 168,0 0-312,0 0-240,0-1-113,1 0-31,2-2-72,1 1 104,-4 2 664,10-3-536,-7 0 72,7-1 192,-6 1 96,6-1 72,-6 0 56,-4 4 48,9-3-40,-7-1 40,0 3 56,0-1 88,-1 0 88,-1 1 128,0 1-360,-3 0 376,1 0-72,-6 0 64,4 0-152,-8-1-72,1 1 8,11 0-152,-10 0 40,-3 0 24,1 0 56,-1 0-40,-3 0-16,2 2 8,14-2-72,-17 0 40,0 3 16,1-1 80,2-2-104,-2 0 8,3 3-8,13-3-32,-15 0-48,4 2 88,-2-2 8,3 0-48,1 2-8,-1-2 0,10 0 8,-3 0-56,-9 0 16,8 0-8,-6 0 32,8 0-24,-8 0 40,10 0 0,-2 0 8,-8 0-32,7-1 32,-11-1-8,4-1 0,0 1 8,10 2-8,-13-4 0,-2 1 72,-2-2-72,-2 1 16,-3 1-16,-1 0-56,23 3 56,-23-2 24,-3 1 16,-1 0-32,1-1 24,-3 2 8,0 0-32,29 0-8,-30 0 56,-3 0-8,3 0-32,-1 0 8,2 3-16,0-1-24,29-2 16,-29 3 0,1 0 40,1 1-48,0-1 8,1 1 8,0-2-56,26-2 48,-27 4-16,1 0-8,0-1 24,-1 1 8,1-1-8,-1 1 8,27-4-8,-26 4 0,1-1-8,1 1 8,0-1 0,1 0-8,3-1-8,20-2 16,-22 3-24,0-1 8,2-2 0,-1 0 0,3 0 8,-1 0-16,19 0 24,-19 0-8,2 0 8,-1 0 0,4-1 16,0 0-24,3-2 16,11 3-8,-11-2 0,2-1 8,5 1 16,-5 0-16,7-1 8,-2 1-16,4 2 0,-3-3-40,1 2-48,-1-1-112,3-1-80,0 2-72,3-1-8,-3 2 360,3-3-320,2 1 40,6-2 48,0 1 24,-1-1 32,4-5 16,-14 9 160,17-4-128,0-6 8,3 7-8,0-7 8,1 8-24,1-3 16,-22 5 128,21-11-121,0 8 17,2-2 16,-3 0 0,2 0 24,0 2 8,-22 3 56,20-4-48,1 1 16,0-1 0,-1 0 8,0 1 0,-2 2 8,-18 1 16,17-2-16,2 1 0,-4 0-16,-1 1 24,0 0 0,-14 0 8,9 4-8,1-1 8,0 9 0,-7-8-32,7 9 8,-7-1-8,-3-12 32,4 12-32,0 2-8,-2 2 16,0 2-16,0-1 24,-1 1-8,-1-18 24,1 19-16,-1 0 0,0 3 8,0 0 8,-2 1 8,-1 2 0,3-25-8,-2 27 32,2 1 8,-2 4 24,2-1 32,0 2 16,0 2 64,0-35-176,0 35 216,3-1 57,6 2 7,0-1 8,5-1 8,0-3-8,-14-31-288,20 26 320,6-3 56,4-5 72,6-4 64,4-2 64,6-8 0,-46-4-576,51 4 512,4-2-31,4-2-65,2-2-96,3-8-80,5-2-128,-69 12-112,71-13 96,4-2-72,0-1-40,4-1-8,2-3-160,2-3-288,-83 23 472,87-23-881,1-2-535,2-2-448,5-1 295,1-3 473,0-5-1848,-96 36 2944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2" zoomScale="130" zoomScaleNormal="100" zoomScaleSheetLayoutView="130" workbookViewId="0">
      <selection activeCell="F8" sqref="F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98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1" t="s">
        <v>8</v>
      </c>
      <c r="C2" s="57" t="s">
        <v>41</v>
      </c>
      <c r="D2" s="57"/>
      <c r="E2" s="11" t="s">
        <v>7</v>
      </c>
      <c r="F2" s="52">
        <v>45943</v>
      </c>
      <c r="G2" s="52"/>
      <c r="H2" s="52"/>
      <c r="I2" s="52"/>
      <c r="J2" s="52"/>
    </row>
    <row r="3" spans="1:10" ht="30" customHeight="1" x14ac:dyDescent="0.3">
      <c r="B3" s="11" t="s">
        <v>9</v>
      </c>
      <c r="C3" s="57" t="s">
        <v>59</v>
      </c>
      <c r="D3" s="57"/>
      <c r="E3" s="11" t="s">
        <v>6</v>
      </c>
      <c r="F3" s="57" t="s">
        <v>58</v>
      </c>
      <c r="G3" s="57"/>
      <c r="H3" s="57"/>
      <c r="I3" s="57"/>
      <c r="J3" s="57"/>
    </row>
    <row r="4" spans="1:10" ht="30" customHeight="1" thickBot="1" x14ac:dyDescent="0.35">
      <c r="B4" s="6"/>
      <c r="C4" s="58" t="s">
        <v>109</v>
      </c>
      <c r="D4" s="58"/>
      <c r="E4" s="6"/>
      <c r="F4" s="58" t="s">
        <v>110</v>
      </c>
      <c r="G4" s="58"/>
      <c r="H4" s="58"/>
      <c r="I4" s="58"/>
      <c r="J4" s="58"/>
    </row>
    <row r="5" spans="1:10" ht="24.9" customHeight="1" x14ac:dyDescent="0.3">
      <c r="A5" s="9"/>
      <c r="B5" s="53" t="s">
        <v>0</v>
      </c>
      <c r="C5" s="54"/>
      <c r="D5" s="54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9"/>
      <c r="B6" s="55"/>
      <c r="C6" s="56"/>
      <c r="D6" s="56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" customHeight="1" thickBot="1" x14ac:dyDescent="0.35">
      <c r="A7" s="9"/>
      <c r="B7" s="59" t="s">
        <v>21</v>
      </c>
      <c r="C7" s="60"/>
      <c r="D7" s="60"/>
      <c r="E7" s="20" t="s">
        <v>18</v>
      </c>
      <c r="F7" s="20" t="s">
        <v>19</v>
      </c>
      <c r="G7" s="20" t="s">
        <v>22</v>
      </c>
      <c r="H7" s="20" t="s">
        <v>20</v>
      </c>
      <c r="I7" s="65" t="s">
        <v>25</v>
      </c>
      <c r="J7" s="66"/>
    </row>
    <row r="8" spans="1:10" ht="30" customHeight="1" x14ac:dyDescent="0.3">
      <c r="A8" s="9"/>
      <c r="B8" s="67" t="s">
        <v>99</v>
      </c>
      <c r="C8" s="68"/>
      <c r="D8" s="68"/>
      <c r="E8" s="23">
        <v>5</v>
      </c>
      <c r="F8" s="24">
        <v>3.75</v>
      </c>
      <c r="G8" s="25">
        <f>IFERROR(F8/E8,"")</f>
        <v>0.75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7"/>
    </row>
    <row r="9" spans="1:10" ht="30" customHeight="1" x14ac:dyDescent="0.3">
      <c r="A9" s="9"/>
      <c r="B9" s="69" t="s">
        <v>100</v>
      </c>
      <c r="C9" s="70"/>
      <c r="D9" s="70"/>
      <c r="E9" s="7">
        <v>5</v>
      </c>
      <c r="F9" s="18">
        <v>3.75</v>
      </c>
      <c r="G9" s="21">
        <f>IFERROR(F9/E9,"")</f>
        <v>0.75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0" customHeight="1" x14ac:dyDescent="0.3">
      <c r="A10" s="9"/>
      <c r="B10" s="69" t="s">
        <v>101</v>
      </c>
      <c r="C10" s="70"/>
      <c r="D10" s="70"/>
      <c r="E10" s="7">
        <v>5</v>
      </c>
      <c r="F10" s="18">
        <v>3.75</v>
      </c>
      <c r="G10" s="21">
        <f t="shared" ref="G10:G17" si="0">IFERROR(F10/E10,"")</f>
        <v>0.75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0" customHeight="1" x14ac:dyDescent="0.3">
      <c r="A11" s="9"/>
      <c r="B11" s="69" t="s">
        <v>102</v>
      </c>
      <c r="C11" s="70"/>
      <c r="D11" s="70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40"/>
      <c r="J11" s="41"/>
    </row>
    <row r="12" spans="1:10" ht="30" customHeight="1" x14ac:dyDescent="0.3">
      <c r="A12" s="9"/>
      <c r="B12" s="69" t="s">
        <v>103</v>
      </c>
      <c r="C12" s="70"/>
      <c r="D12" s="70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40"/>
      <c r="J12" s="41"/>
    </row>
    <row r="13" spans="1:10" ht="30" customHeight="1" x14ac:dyDescent="0.3">
      <c r="A13" s="9"/>
      <c r="B13" s="69" t="s">
        <v>104</v>
      </c>
      <c r="C13" s="70"/>
      <c r="D13" s="70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40"/>
      <c r="J13" s="41"/>
    </row>
    <row r="14" spans="1:10" ht="30" customHeight="1" x14ac:dyDescent="0.3">
      <c r="A14" s="9"/>
      <c r="B14" s="69" t="s">
        <v>105</v>
      </c>
      <c r="C14" s="70"/>
      <c r="D14" s="70"/>
      <c r="E14" s="7">
        <v>5</v>
      </c>
      <c r="F14" s="18">
        <v>3.75</v>
      </c>
      <c r="G14" s="21">
        <f t="shared" si="0"/>
        <v>0.75</v>
      </c>
      <c r="H14" s="22" t="str">
        <f t="shared" si="1"/>
        <v>جيد</v>
      </c>
      <c r="I14" s="40"/>
      <c r="J14" s="41"/>
    </row>
    <row r="15" spans="1:10" ht="30" customHeight="1" x14ac:dyDescent="0.3">
      <c r="A15" s="9"/>
      <c r="B15" s="69" t="s">
        <v>106</v>
      </c>
      <c r="C15" s="70"/>
      <c r="D15" s="70"/>
      <c r="E15" s="7">
        <v>5</v>
      </c>
      <c r="F15" s="18">
        <v>3.75</v>
      </c>
      <c r="G15" s="21">
        <f t="shared" si="0"/>
        <v>0.75</v>
      </c>
      <c r="H15" s="22" t="str">
        <f t="shared" si="1"/>
        <v>جيد</v>
      </c>
      <c r="I15" s="40"/>
      <c r="J15" s="41"/>
    </row>
    <row r="16" spans="1:10" ht="30" customHeight="1" x14ac:dyDescent="0.3">
      <c r="A16" s="9"/>
      <c r="B16" s="69" t="s">
        <v>107</v>
      </c>
      <c r="C16" s="70"/>
      <c r="D16" s="70"/>
      <c r="E16" s="7">
        <v>5</v>
      </c>
      <c r="F16" s="18">
        <v>3.75</v>
      </c>
      <c r="G16" s="21">
        <f t="shared" si="0"/>
        <v>0.75</v>
      </c>
      <c r="H16" s="22" t="str">
        <f t="shared" si="1"/>
        <v>جيد</v>
      </c>
      <c r="I16" s="40"/>
      <c r="J16" s="41"/>
    </row>
    <row r="17" spans="1:10" ht="30" customHeight="1" thickBot="1" x14ac:dyDescent="0.35">
      <c r="A17" s="9"/>
      <c r="B17" s="71" t="s">
        <v>108</v>
      </c>
      <c r="C17" s="72"/>
      <c r="D17" s="72"/>
      <c r="E17" s="27">
        <v>5</v>
      </c>
      <c r="F17" s="19">
        <v>3.75</v>
      </c>
      <c r="G17" s="28">
        <f t="shared" si="0"/>
        <v>0.75</v>
      </c>
      <c r="H17" s="29" t="str">
        <f t="shared" si="1"/>
        <v>جيد</v>
      </c>
      <c r="I17" s="42"/>
      <c r="J17" s="43"/>
    </row>
    <row r="18" spans="1:10" ht="30" customHeight="1" thickBot="1" x14ac:dyDescent="0.35">
      <c r="A18" s="4"/>
      <c r="B18" s="38" t="s">
        <v>5</v>
      </c>
      <c r="C18" s="39"/>
      <c r="D18" s="39"/>
      <c r="E18" s="8">
        <f>SUM(E8:E17)</f>
        <v>50</v>
      </c>
      <c r="F18" s="8">
        <f>SUM(F8:F17)</f>
        <v>37.5</v>
      </c>
      <c r="G18" s="46"/>
      <c r="H18" s="47"/>
      <c r="I18" s="47"/>
      <c r="J18" s="48"/>
    </row>
    <row r="19" spans="1:10" ht="30" customHeight="1" thickBot="1" x14ac:dyDescent="0.35">
      <c r="A19" s="4"/>
      <c r="B19" s="38" t="s">
        <v>54</v>
      </c>
      <c r="C19" s="39"/>
      <c r="D19" s="39"/>
      <c r="E19" s="49">
        <f>F18/E18/100*100</f>
        <v>0.75</v>
      </c>
      <c r="F19" s="49"/>
      <c r="G19" s="49"/>
      <c r="H19" s="49"/>
      <c r="I19" s="49"/>
      <c r="J19" s="50"/>
    </row>
    <row r="20" spans="1:10" ht="30" customHeight="1" thickBot="1" x14ac:dyDescent="0.35">
      <c r="A20" s="4"/>
      <c r="B20" s="38" t="s">
        <v>55</v>
      </c>
      <c r="C20" s="39"/>
      <c r="D20" s="39"/>
      <c r="E20" s="34" t="str">
        <f>_xlfn.IFS(E19&gt;=90%,"ممتاز",E19&gt;=80%,"جيد جداً",E19&gt;=70%,"جيد",E19&gt;=60%,"مقبول",E19&lt;60%,"راسب")</f>
        <v>جيد</v>
      </c>
      <c r="F20" s="34"/>
      <c r="G20" s="34"/>
      <c r="H20" s="34"/>
      <c r="I20" s="34"/>
      <c r="J20" s="35"/>
    </row>
    <row r="21" spans="1:10" ht="42" customHeight="1" x14ac:dyDescent="0.3">
      <c r="B21" s="30" t="s">
        <v>61</v>
      </c>
      <c r="C21" s="30"/>
      <c r="D21" s="30"/>
      <c r="E21" s="44" t="s">
        <v>52</v>
      </c>
      <c r="F21" s="44"/>
      <c r="G21" s="32" t="s">
        <v>58</v>
      </c>
      <c r="H21" s="32"/>
      <c r="I21" s="32"/>
      <c r="J21" s="32"/>
    </row>
    <row r="22" spans="1:10" ht="51" customHeight="1" x14ac:dyDescent="0.3">
      <c r="A22" s="5"/>
      <c r="B22" s="31"/>
      <c r="C22" s="31"/>
      <c r="D22" s="31"/>
      <c r="E22" s="45" t="s">
        <v>53</v>
      </c>
      <c r="F22" s="45"/>
      <c r="G22" s="33"/>
      <c r="H22" s="33"/>
      <c r="I22" s="33"/>
      <c r="J22" s="3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12:D12"/>
    <mergeCell ref="B17:D17"/>
    <mergeCell ref="B13:D13"/>
    <mergeCell ref="B14:D14"/>
    <mergeCell ref="B15:D15"/>
    <mergeCell ref="B16:D16"/>
    <mergeCell ref="I10:J10"/>
    <mergeCell ref="B8:D8"/>
    <mergeCell ref="B9:D9"/>
    <mergeCell ref="B10:D10"/>
    <mergeCell ref="B11:D11"/>
    <mergeCell ref="E21:F21"/>
    <mergeCell ref="E22:F22"/>
    <mergeCell ref="G18:J18"/>
    <mergeCell ref="E19:J19"/>
    <mergeCell ref="B1:J1"/>
    <mergeCell ref="F2:J2"/>
    <mergeCell ref="B5:D6"/>
    <mergeCell ref="C2:D2"/>
    <mergeCell ref="C3:D3"/>
    <mergeCell ref="F3:J3"/>
    <mergeCell ref="C4:D4"/>
    <mergeCell ref="F4:J4"/>
    <mergeCell ref="B7:D7"/>
    <mergeCell ref="E5:H5"/>
    <mergeCell ref="I5:J6"/>
    <mergeCell ref="I7:J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2025-10-15T17:00:50Z</dcterms:modified>
</cp:coreProperties>
</file>