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B2889FC-E3FF-4201-9FEA-05B2E9BC5E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8" i="2"/>
  <c r="H8" i="2"/>
  <c r="F40" i="2"/>
  <c r="E40" i="2"/>
  <c r="E41" i="2"/>
  <c r="E42" i="2"/>
</calcChain>
</file>

<file path=xl/sharedStrings.xml><?xml version="1.0" encoding="utf-8"?>
<sst xmlns="http://schemas.openxmlformats.org/spreadsheetml/2006/main" count="271" uniqueCount="214">
  <si>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</si>
  <si>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</si>
  <si>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</si>
  <si>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</si>
  <si>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</si>
  <si>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</si>
  <si>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</si>
  <si>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</si>
  <si>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</si>
  <si>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</si>
  <si>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</si>
  <si>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</si>
  <si>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</si>
  <si>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</si>
  <si>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</si>
  <si>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</si>
  <si>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</si>
  <si>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</si>
  <si>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</si>
  <si>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</si>
  <si>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</si>
  <si>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</si>
  <si>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</si>
  <si>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</si>
  <si>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</si>
  <si>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</si>
  <si>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</si>
  <si>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</si>
  <si>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</si>
  <si>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</si>
  <si>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</si>
  <si>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</si>
  <si>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</si>
  <si>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</si>
  <si>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</si>
  <si>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</si>
  <si>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</si>
  <si>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</si>
  <si>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</si>
  <si>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</si>
  <si>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</si>
  <si>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</si>
  <si>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</si>
  <si>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</si>
  <si>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</si>
  <si>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</si>
  <si>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</si>
  <si>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</si>
  <si>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</si>
  <si>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</si>
  <si>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</si>
  <si>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</si>
  <si>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</si>
  <si>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</si>
  <si>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</si>
  <si>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</si>
  <si>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</si>
  <si>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</si>
  <si>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</si>
  <si>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</si>
  <si>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</si>
  <si>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</si>
  <si>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</si>
  <si>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</si>
  <si>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</si>
  <si>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</si>
  <si>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</si>
  <si>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</si>
  <si>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</si>
  <si>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</si>
  <si>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</si>
  <si>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</si>
  <si>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</si>
  <si>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</si>
  <si>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</si>
  <si>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</si>
  <si>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</si>
  <si>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</si>
  <si>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</si>
  <si>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</si>
  <si>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</si>
  <si>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</si>
  <si>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</si>
  <si>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</si>
  <si>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</si>
  <si>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</si>
  <si>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</si>
  <si>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</si>
  <si>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</si>
  <si>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</si>
  <si>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</si>
  <si>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</si>
  <si>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</si>
  <si>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</si>
  <si>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</si>
  <si>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</si>
  <si>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</si>
  <si>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</si>
  <si>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</si>
  <si>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</si>
  <si>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</si>
  <si>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</si>
  <si>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</si>
  <si>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</si>
  <si>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</si>
  <si>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</si>
  <si>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</si>
  <si>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</si>
  <si>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</si>
  <si>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</si>
  <si>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</si>
  <si>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</si>
  <si>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</si>
  <si>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</si>
  <si>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</si>
  <si>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</si>
  <si>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</si>
  <si>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</si>
  <si>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</si>
  <si>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</si>
  <si>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</si>
  <si>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</si>
  <si>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</si>
  <si>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</si>
  <si>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</si>
  <si>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</si>
  <si>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</si>
  <si>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</si>
  <si>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</si>
  <si>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</si>
  <si>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</si>
  <si>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</si>
  <si>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</si>
  <si>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</si>
  <si>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</si>
  <si>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</si>
  <si>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</si>
  <si>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</si>
  <si>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</si>
  <si>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</si>
  <si>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</si>
  <si>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</si>
  <si>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</si>
  <si>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</si>
  <si>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</si>
  <si>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</si>
  <si>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</si>
  <si>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</si>
  <si>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</si>
  <si>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</si>
  <si>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</si>
  <si>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</si>
  <si>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</si>
  <si>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</si>
  <si>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</si>
  <si>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</si>
  <si>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</si>
  <si>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</si>
  <si>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</si>
  <si>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</si>
  <si>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</si>
  <si>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</si>
  <si>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</si>
  <si>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</si>
  <si>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</si>
  <si>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</si>
  <si>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</si>
  <si>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</si>
  <si>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</si>
  <si>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</si>
  <si>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</si>
  <si>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</si>
  <si>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</si>
  <si>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</si>
  <si>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</si>
  <si>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</si>
  <si>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</si>
  <si>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</si>
  <si>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</si>
  <si>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</si>
  <si>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تقييــــم السريــــة الطبيــــة في إســـناد العمليـــــات التعرضيــــــة
تمرين جاهزية مجموعة لواء الإمارات/1 (جندي الصحراء 2025/20)
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</si>
  <si>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 تطبيق مبادئ الرعاية التعبوية بالمصابين الأساسية لتأمين وحراسة وعلاج وإخلاء المصابين أثناء تنفيذ العمليات التعرضية.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</si>
  <si>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 إدارة المعلومات الطبية لتوثيق التهديد الصحي القائم للمحافظة على صحة القادة والجنود لضمان متابعة المرضى.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</si>
  <si>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 العناية بالمصابين وإجراء عمليات الإنعاش في المقدمة.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</si>
  <si>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 تقديم العناية الطبية للمريض على الطريق أثناء إخلائه إلى مستوى العناية الصحيح للمحافظة على حياته.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</si>
  <si>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 إمداد طبي سريع الاستجابة لتوفير اللوازم الطبية التي تساعد على إدامة معالجة الإصابات أثناء القتال.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</si>
  <si>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 تقديم العلاج اللازم للمرضى داخل عيادة السرية الطبية لكافة أنواع المرضى ضمن منطقة المهمة.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</si>
  <si>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 تقديم أول المستجيبين العلاج الأولي للعمل على استقرار حالة المصاب ومن ثم إخلائه بسرعة.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</si>
  <si>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 تقوم نقطة الإسعاف المتقدمة الموجودة مع السرية بالمساعدة في العلاج والإخلاء وفقاً للموقف.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</si>
  <si>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 تحرك نقطة الإسعاف المتقدمة مع السرية عند تقدم القوات مع العمل على علاج وإخلاء المصابين من موقع فصائل المناورة.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</si>
  <si>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عند استلام المصابين، تقوم نقطة الإسعاف المتقدمة بالعمل على استقرار الحالة (عند الضرورة) والتنسيق مع محطة إسعاف الكتيبة من أجل إخلاء المصابين.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</si>
  <si>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توضيع محطة إسعاف الكتيبة بالقرب من مركز قيادة مجموعة القتال.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</si>
  <si>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التنسيق وإخلاء المصابين من نقاط الإسعاف المتقدمة، وتلقى المصابين المزيد من العلاج في محطة إسعاف الكتيبة حتى يتم إخلاؤهم مرة أخرى.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</si>
  <si>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استخدام الإمكانيات الجوية في العمليات التعرضية  للإصابات الخطيرة جداً لإخلاء ميدان المعركة للأمام قدر الإمكان في حال سمح الموقف الأمني بذلك من منطقة فصائل وسرايا المناورة.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</si>
  <si>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توضيع سيارة الإسعاف مع قوة المناورة الأمامية (سرية أو فصيل) أو قريبة منها قدر الإمكان لضمان الإخلاء الطبي السريع.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</si>
  <si>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 إنشاء نقاط تبديل آليات الإسعاف لتنفيذ عمليات الإخلاء الطبي بفعالية.</t>
    </r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</si>
  <si>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تنفيذ السرية الطبية إخلاء المصابين من محطة إسعاف الكتيبة إلى محطة الإسعاف (المستوى الثاني) الموجودة في منطقة تجمع مجموعة اللواء.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</si>
  <si>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 جاهزية ومرونة محطة الإسعاف (المستوى الثاني) للتحرك للأمام لتوفير إسناد أفضل لمجموعة القتال.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</si>
  <si>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 التأكد من إنشاء موقع المستشفى الميداني ضمن الكتيبة الطبية.</t>
    </r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</si>
  <si>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تنفيذ الكتيبة الطبية بإخلاء المصابين من محطة إسعاف السرية إلى المستشفى الميداني (المستوى الثالث) أو مرافق الرعاية (المستوى الرابع).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</si>
  <si>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استخدام الجنود غير الطبيين في عمليات الإخلاء إذا تجاوزت أعداد الإصابات الموارد الطبية المتوفرة.</t>
    </r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</si>
  <si>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سرعة الاستجابة في التعامل في حال ازدياد أعداد الإصابات وعمليات الإخلاء.</t>
    </r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</si>
  <si>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تجهيز كافة مرافق معالجة مجموعة اللواء بشكل أولي بالقرب من القوات المساندة وبما تسمح به المهمة.</t>
    </r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</si>
  <si>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تثبيت الإصابات وإخلائها من ميدان المعركة.</t>
    </r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</si>
  <si>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إخلاء الإصابات المستقرة بأسرع ما يمكن إلى مستوى الرعاية التالي.</t>
    </r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</si>
  <si>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إدامة الاتصالات مع الوحدات المساندة لتوفير مستويات الرعاية الأعلى بعمليات الإخلاء.</t>
    </r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</si>
  <si>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الاتصال مع محطات إسعاف مجموعات القتال (مستوى الرعاية الأول) لتنفيذ الإخلاء.</t>
    </r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</si>
  <si>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استخدام قدرات الإخلاء الجوي (الطبية وغير الطبية) ضمن مجموعة اللواء للمساعدة في تسريع عملية الإخلاء للمصابين بجروح خطيرة.</t>
    </r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</si>
  <si>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توضيع كافة مرافق معالجة مجموعة اللواء بشكل أولي بالقرب من الوحدات المسندة.</t>
    </r>
  </si>
  <si>
    <r>
      <t>29.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تحرك سيارات إسعاف السرية الطبية مع الفصائل الطبية المخصصة لمجموعات قتال المناورة.</t>
    </r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</si>
  <si>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الإسناد الفعال والمستمر لعملية الإخلاء الطبي من موقع الإسعاف إلى السرية الطبية في المنطقة الإدارية لمجموعة اللواء.</t>
    </r>
  </si>
  <si>
    <r>
      <t>31.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يجب أن تحافظ السرية الطبية وفِرَق المعالجة في مواقع إسعاف القتال على مرونتها.</t>
    </r>
  </si>
  <si>
    <r>
      <t>32.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rial"/>
        <family val="2"/>
      </rPr>
      <t xml:space="preserve"> تنفيذ فِرَق المعالجة للحركة (بالأمر) إلى منطقة الهدف لتقديم الإسناد في مكان وقوع الإصابات.</t>
    </r>
  </si>
  <si>
    <t>رائد طبيب علي النقبي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</si>
</sst>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24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109175</xdr:colOff>
      <xdr:row>43</xdr:row>
      <xdr:rowOff>150517</xdr:rowOff>
    </xdr:from>
    <xdr:to>
      <xdr:col>9</xdr:col>
      <xdr:colOff>352154</xdr:colOff>
      <xdr:row>43</xdr:row>
      <xdr:rowOff>423397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0AFDEAD-3DF7-A139-57F8-7CFBDF3F1743}"/>
                </a:ext>
              </a:extLst>
            </xdr14:cNvPr>
            <xdr14:cNvContentPartPr/>
          </xdr14:nvContentPartPr>
          <xdr14:nvPr macro=""/>
          <xdr14:xfrm>
            <a:off x="10398234665" y="24626880"/>
            <a:ext cx="1559160" cy="272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0AFDEAD-3DF7-A139-57F8-7CFBDF3F17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25665" y="24617880"/>
              <a:ext cx="1576800" cy="290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15:21:57.0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0 627,'0'0,"0"0,0 0,0 0,0 0,0 0,15 0,-11 0,7 0,6 0,-14 0,41-16,64 0,-85 13,111-26,54-3,-149 26,140-36,56-22,-186 50,153-20,80-30,-226 51,247-54,25 2,-277 55,226-28,22 6,-257 28,197-24,12 12,-219 14,138-12,17-2,-163 14,126 4,-25-2,-111 0,49 16,-16-16,-40 0,19 0,-26 16,0-14,-17-4,-13 18,25-14,-38 28,-50 2,81-28,-117 56,-59 5,165-57,-141 48,-40-8,176-42,-148 52,-26-10,174-41,-273 66,3-25,266-42,-217 20,-17 6,233-27,-154 7,15-12,149 0,-31 16,-39-16,81 0,-134 0,68 0,78-2,0-12,15 14,-13 0,-4-17,34 17,-29 0,41-16,51 0,-82 14,114 20,14-18,-122 0,103 33,2-33,-105 0,72 16,-13 0,-66-14,23 12,-19 2,-13-14,8-4,6 2,-15 0,-35 16,31-15,-28-2,-17-15,39 13,-46 6,7-3,38 0,-45-16,7 16,40 0,-16 0,-10 0,33 0,-14 0,4 0,34-16,-24 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zoomScale="130" zoomScaleNormal="100" zoomScaleSheetLayoutView="130" workbookViewId="0">
      <selection activeCell="F16" sqref="F1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5" t="s">
        <v>180</v>
      </c>
      <c r="C1" s="45"/>
      <c r="D1" s="45"/>
      <c r="E1" s="45"/>
      <c r="F1" s="45"/>
      <c r="G1" s="45"/>
      <c r="H1" s="45"/>
      <c r="I1" s="45"/>
      <c r="J1" s="45"/>
    </row>
    <row r="2" spans="1:10" ht="30" customHeight="1" x14ac:dyDescent="0.3">
      <c r="B2" s="10" t="s">
        <v>8</v>
      </c>
      <c r="C2" s="51" t="s">
        <v>31</v>
      </c>
      <c r="D2" s="51"/>
      <c r="E2" s="10" t="s">
        <v>7</v>
      </c>
      <c r="F2" s="46" t="s">
        <v>56</v>
      </c>
      <c r="G2" s="46"/>
      <c r="H2" s="46"/>
      <c r="I2" s="46"/>
      <c r="J2" s="46"/>
    </row>
    <row r="3" spans="1:10" ht="30" customHeight="1" x14ac:dyDescent="0.3">
      <c r="B3" s="10" t="s">
        <v>9</v>
      </c>
      <c r="C3" s="51" t="s">
        <v>60</v>
      </c>
      <c r="D3" s="51"/>
      <c r="E3" s="10" t="s">
        <v>6</v>
      </c>
      <c r="F3" s="51" t="s">
        <v>138</v>
      </c>
      <c r="G3" s="51"/>
      <c r="H3" s="51"/>
      <c r="I3" s="51"/>
      <c r="J3" s="51"/>
    </row>
    <row r="4" spans="1:10" ht="30" customHeight="1" thickBot="1" x14ac:dyDescent="0.35">
      <c r="B4" s="6"/>
      <c r="C4" s="75" t="s">
        <v>213</v>
      </c>
      <c r="D4" s="75"/>
      <c r="E4" s="6"/>
      <c r="F4" s="75"/>
      <c r="G4" s="75"/>
      <c r="H4" s="75"/>
      <c r="I4" s="75"/>
      <c r="J4" s="75"/>
    </row>
    <row r="5" spans="1:10" ht="24.9" customHeight="1" x14ac:dyDescent="0.3">
      <c r="A5" s="8"/>
      <c r="B5" s="47" t="s">
        <v>0</v>
      </c>
      <c r="C5" s="48"/>
      <c r="D5" s="48"/>
      <c r="E5" s="60" t="s">
        <v>1</v>
      </c>
      <c r="F5" s="60"/>
      <c r="G5" s="60"/>
      <c r="H5" s="60"/>
      <c r="I5" s="60" t="s">
        <v>2</v>
      </c>
      <c r="J5" s="61"/>
    </row>
    <row r="6" spans="1:10" ht="24.9" customHeight="1" thickBot="1" x14ac:dyDescent="0.35">
      <c r="A6" s="8"/>
      <c r="B6" s="49"/>
      <c r="C6" s="50"/>
      <c r="D6" s="50"/>
      <c r="E6" s="9" t="s">
        <v>3</v>
      </c>
      <c r="F6" s="9" t="s">
        <v>4</v>
      </c>
      <c r="G6" s="9" t="s">
        <v>23</v>
      </c>
      <c r="H6" s="9" t="s">
        <v>24</v>
      </c>
      <c r="I6" s="62"/>
      <c r="J6" s="63"/>
    </row>
    <row r="7" spans="1:10" ht="24.9" customHeight="1" thickBot="1" x14ac:dyDescent="0.35">
      <c r="A7" s="8"/>
      <c r="B7" s="54" t="s">
        <v>21</v>
      </c>
      <c r="C7" s="55"/>
      <c r="D7" s="55"/>
      <c r="E7" s="26" t="s">
        <v>18</v>
      </c>
      <c r="F7" s="26" t="s">
        <v>19</v>
      </c>
      <c r="G7" s="26" t="s">
        <v>22</v>
      </c>
      <c r="H7" s="26" t="s">
        <v>20</v>
      </c>
      <c r="I7" s="64" t="s">
        <v>25</v>
      </c>
      <c r="J7" s="65"/>
    </row>
    <row r="8" spans="1:10" ht="50.1" customHeight="1" x14ac:dyDescent="0.3">
      <c r="A8" s="8"/>
      <c r="B8" s="80" t="s">
        <v>181</v>
      </c>
      <c r="C8" s="81"/>
      <c r="D8" s="81"/>
      <c r="E8" s="30">
        <v>5</v>
      </c>
      <c r="F8" s="31">
        <v>3.75</v>
      </c>
      <c r="G8" s="32">
        <f>IFERROR(F8/E8,"")</f>
        <v>0.75</v>
      </c>
      <c r="H8" s="33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6"/>
      <c r="J8" s="77"/>
    </row>
    <row r="9" spans="1:10" ht="50.1" customHeight="1" x14ac:dyDescent="0.3">
      <c r="A9" s="8"/>
      <c r="B9" s="37" t="s">
        <v>182</v>
      </c>
      <c r="C9" s="38"/>
      <c r="D9" s="38"/>
      <c r="E9" s="7">
        <v>5</v>
      </c>
      <c r="F9" s="24">
        <v>3.5</v>
      </c>
      <c r="G9" s="28">
        <f>IFERROR(F9/E9,"")</f>
        <v>0.7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50.1" customHeight="1" x14ac:dyDescent="0.3">
      <c r="A10" s="8"/>
      <c r="B10" s="37" t="s">
        <v>183</v>
      </c>
      <c r="C10" s="38"/>
      <c r="D10" s="38"/>
      <c r="E10" s="7">
        <v>5</v>
      </c>
      <c r="F10" s="24">
        <v>3.5</v>
      </c>
      <c r="G10" s="28">
        <f t="shared" ref="G10:G39" si="0">IFERROR(F10/E10,"")</f>
        <v>0.7</v>
      </c>
      <c r="H10" s="29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56"/>
      <c r="J10" s="57"/>
    </row>
    <row r="11" spans="1:10" ht="50.1" customHeight="1" x14ac:dyDescent="0.3">
      <c r="A11" s="8"/>
      <c r="B11" s="37" t="s">
        <v>184</v>
      </c>
      <c r="C11" s="38"/>
      <c r="D11" s="38"/>
      <c r="E11" s="7">
        <v>5</v>
      </c>
      <c r="F11" s="24">
        <v>3.5</v>
      </c>
      <c r="G11" s="28">
        <f t="shared" si="0"/>
        <v>0.7</v>
      </c>
      <c r="H11" s="29" t="str">
        <f t="shared" si="1"/>
        <v>جيد</v>
      </c>
      <c r="I11" s="56"/>
      <c r="J11" s="57"/>
    </row>
    <row r="12" spans="1:10" ht="50.1" customHeight="1" x14ac:dyDescent="0.3">
      <c r="A12" s="8"/>
      <c r="B12" s="37" t="s">
        <v>185</v>
      </c>
      <c r="C12" s="38"/>
      <c r="D12" s="38"/>
      <c r="E12" s="7">
        <v>5</v>
      </c>
      <c r="F12" s="24">
        <v>3.75</v>
      </c>
      <c r="G12" s="28">
        <f t="shared" si="0"/>
        <v>0.75</v>
      </c>
      <c r="H12" s="29" t="str">
        <f t="shared" si="1"/>
        <v>جيد</v>
      </c>
      <c r="I12" s="56"/>
      <c r="J12" s="57"/>
    </row>
    <row r="13" spans="1:10" ht="50.1" customHeight="1" x14ac:dyDescent="0.3">
      <c r="A13" s="8"/>
      <c r="B13" s="37" t="s">
        <v>186</v>
      </c>
      <c r="C13" s="38"/>
      <c r="D13" s="38"/>
      <c r="E13" s="7">
        <v>5</v>
      </c>
      <c r="F13" s="24">
        <v>3.5</v>
      </c>
      <c r="G13" s="28">
        <f t="shared" si="0"/>
        <v>0.7</v>
      </c>
      <c r="H13" s="29" t="str">
        <f t="shared" si="1"/>
        <v>جيد</v>
      </c>
      <c r="I13" s="56"/>
      <c r="J13" s="57"/>
    </row>
    <row r="14" spans="1:10" ht="50.1" customHeight="1" x14ac:dyDescent="0.3">
      <c r="A14" s="8"/>
      <c r="B14" s="37" t="s">
        <v>187</v>
      </c>
      <c r="C14" s="38"/>
      <c r="D14" s="38"/>
      <c r="E14" s="7">
        <v>5</v>
      </c>
      <c r="F14" s="24">
        <v>3.5</v>
      </c>
      <c r="G14" s="28">
        <f t="shared" si="0"/>
        <v>0.7</v>
      </c>
      <c r="H14" s="29" t="str">
        <f t="shared" si="1"/>
        <v>جيد</v>
      </c>
      <c r="I14" s="56"/>
      <c r="J14" s="57"/>
    </row>
    <row r="15" spans="1:10" ht="50.1" customHeight="1" x14ac:dyDescent="0.3">
      <c r="A15" s="8"/>
      <c r="B15" s="37" t="s">
        <v>188</v>
      </c>
      <c r="C15" s="38"/>
      <c r="D15" s="38"/>
      <c r="E15" s="7">
        <v>5</v>
      </c>
      <c r="F15" s="24">
        <v>3.75</v>
      </c>
      <c r="G15" s="28">
        <f t="shared" si="0"/>
        <v>0.75</v>
      </c>
      <c r="H15" s="29" t="str">
        <f t="shared" si="1"/>
        <v>جيد</v>
      </c>
      <c r="I15" s="56"/>
      <c r="J15" s="57"/>
    </row>
    <row r="16" spans="1:10" ht="50.1" customHeight="1" x14ac:dyDescent="0.3">
      <c r="A16" s="8"/>
      <c r="B16" s="37" t="s">
        <v>189</v>
      </c>
      <c r="C16" s="38"/>
      <c r="D16" s="38"/>
      <c r="E16" s="7">
        <v>5</v>
      </c>
      <c r="F16" s="24">
        <v>3.5</v>
      </c>
      <c r="G16" s="28">
        <f t="shared" si="0"/>
        <v>0.7</v>
      </c>
      <c r="H16" s="29" t="str">
        <f t="shared" si="1"/>
        <v>جيد</v>
      </c>
      <c r="I16" s="56"/>
      <c r="J16" s="57"/>
    </row>
    <row r="17" spans="1:10" ht="50.1" customHeight="1" x14ac:dyDescent="0.3">
      <c r="A17" s="8"/>
      <c r="B17" s="37" t="s">
        <v>190</v>
      </c>
      <c r="C17" s="38"/>
      <c r="D17" s="38"/>
      <c r="E17" s="7">
        <v>5</v>
      </c>
      <c r="F17" s="24">
        <v>3.75</v>
      </c>
      <c r="G17" s="28">
        <f t="shared" si="0"/>
        <v>0.75</v>
      </c>
      <c r="H17" s="29" t="str">
        <f t="shared" si="1"/>
        <v>جيد</v>
      </c>
      <c r="I17" s="56"/>
      <c r="J17" s="57"/>
    </row>
    <row r="18" spans="1:10" ht="50.1" customHeight="1" x14ac:dyDescent="0.3">
      <c r="A18" s="8"/>
      <c r="B18" s="37" t="s">
        <v>191</v>
      </c>
      <c r="C18" s="38"/>
      <c r="D18" s="38"/>
      <c r="E18" s="7">
        <v>5</v>
      </c>
      <c r="F18" s="24">
        <v>3.5</v>
      </c>
      <c r="G18" s="28">
        <f t="shared" si="0"/>
        <v>0.7</v>
      </c>
      <c r="H18" s="29" t="str">
        <f t="shared" si="1"/>
        <v>جيد</v>
      </c>
      <c r="I18" s="56"/>
      <c r="J18" s="57"/>
    </row>
    <row r="19" spans="1:10" ht="50.1" customHeight="1" x14ac:dyDescent="0.3">
      <c r="A19" s="8"/>
      <c r="B19" s="37" t="s">
        <v>192</v>
      </c>
      <c r="C19" s="38"/>
      <c r="D19" s="38"/>
      <c r="E19" s="7">
        <v>5</v>
      </c>
      <c r="F19" s="24">
        <v>3.75</v>
      </c>
      <c r="G19" s="28">
        <f t="shared" si="0"/>
        <v>0.75</v>
      </c>
      <c r="H19" s="29" t="str">
        <f t="shared" si="1"/>
        <v>جيد</v>
      </c>
      <c r="I19" s="56"/>
      <c r="J19" s="57"/>
    </row>
    <row r="20" spans="1:10" ht="50.1" customHeight="1" x14ac:dyDescent="0.3">
      <c r="A20" s="8"/>
      <c r="B20" s="37" t="s">
        <v>193</v>
      </c>
      <c r="C20" s="38"/>
      <c r="D20" s="38"/>
      <c r="E20" s="7">
        <v>5</v>
      </c>
      <c r="F20" s="24">
        <v>3.75</v>
      </c>
      <c r="G20" s="28">
        <f t="shared" si="0"/>
        <v>0.75</v>
      </c>
      <c r="H20" s="29" t="str">
        <f t="shared" si="1"/>
        <v>جيد</v>
      </c>
      <c r="I20" s="56"/>
      <c r="J20" s="57"/>
    </row>
    <row r="21" spans="1:10" ht="50.1" customHeight="1" x14ac:dyDescent="0.3">
      <c r="A21" s="8"/>
      <c r="B21" s="37" t="s">
        <v>194</v>
      </c>
      <c r="C21" s="38"/>
      <c r="D21" s="38"/>
      <c r="E21" s="7">
        <v>5</v>
      </c>
      <c r="F21" s="24">
        <v>3.5</v>
      </c>
      <c r="G21" s="28">
        <f t="shared" si="0"/>
        <v>0.7</v>
      </c>
      <c r="H21" s="29" t="str">
        <f t="shared" si="1"/>
        <v>جيد</v>
      </c>
      <c r="I21" s="56"/>
      <c r="J21" s="57"/>
    </row>
    <row r="22" spans="1:10" ht="50.1" customHeight="1" x14ac:dyDescent="0.3">
      <c r="A22" s="8"/>
      <c r="B22" s="37" t="s">
        <v>195</v>
      </c>
      <c r="C22" s="38"/>
      <c r="D22" s="38"/>
      <c r="E22" s="7">
        <v>5</v>
      </c>
      <c r="F22" s="24">
        <v>3.5</v>
      </c>
      <c r="G22" s="28">
        <f t="shared" si="0"/>
        <v>0.7</v>
      </c>
      <c r="H22" s="29" t="str">
        <f t="shared" si="1"/>
        <v>جيد</v>
      </c>
      <c r="I22" s="56"/>
      <c r="J22" s="57"/>
    </row>
    <row r="23" spans="1:10" ht="50.1" customHeight="1" x14ac:dyDescent="0.3">
      <c r="A23" s="8"/>
      <c r="B23" s="37" t="s">
        <v>196</v>
      </c>
      <c r="C23" s="38"/>
      <c r="D23" s="38"/>
      <c r="E23" s="7">
        <v>5</v>
      </c>
      <c r="F23" s="24">
        <v>3.5</v>
      </c>
      <c r="G23" s="28">
        <f t="shared" si="0"/>
        <v>0.7</v>
      </c>
      <c r="H23" s="29" t="str">
        <f t="shared" si="1"/>
        <v>جيد</v>
      </c>
      <c r="I23" s="56"/>
      <c r="J23" s="57"/>
    </row>
    <row r="24" spans="1:10" ht="50.1" customHeight="1" x14ac:dyDescent="0.3">
      <c r="A24" s="8"/>
      <c r="B24" s="37" t="s">
        <v>197</v>
      </c>
      <c r="C24" s="38"/>
      <c r="D24" s="38"/>
      <c r="E24" s="7">
        <v>5</v>
      </c>
      <c r="F24" s="24">
        <v>3.75</v>
      </c>
      <c r="G24" s="28">
        <f t="shared" si="0"/>
        <v>0.75</v>
      </c>
      <c r="H24" s="29" t="str">
        <f t="shared" si="1"/>
        <v>جيد</v>
      </c>
      <c r="I24" s="56"/>
      <c r="J24" s="57"/>
    </row>
    <row r="25" spans="1:10" ht="50.1" customHeight="1" x14ac:dyDescent="0.3">
      <c r="A25" s="8"/>
      <c r="B25" s="37" t="s">
        <v>198</v>
      </c>
      <c r="C25" s="38"/>
      <c r="D25" s="38"/>
      <c r="E25" s="7">
        <v>5</v>
      </c>
      <c r="F25" s="24">
        <v>3.75</v>
      </c>
      <c r="G25" s="28">
        <f t="shared" si="0"/>
        <v>0.75</v>
      </c>
      <c r="H25" s="29" t="str">
        <f t="shared" si="1"/>
        <v>جيد</v>
      </c>
      <c r="I25" s="56"/>
      <c r="J25" s="57"/>
    </row>
    <row r="26" spans="1:10" ht="50.1" customHeight="1" x14ac:dyDescent="0.3">
      <c r="A26" s="8"/>
      <c r="B26" s="37" t="s">
        <v>199</v>
      </c>
      <c r="C26" s="38"/>
      <c r="D26" s="38"/>
      <c r="E26" s="7">
        <v>5</v>
      </c>
      <c r="F26" s="24">
        <v>3.5</v>
      </c>
      <c r="G26" s="28">
        <f t="shared" si="0"/>
        <v>0.7</v>
      </c>
      <c r="H26" s="29" t="str">
        <f t="shared" si="1"/>
        <v>جيد</v>
      </c>
      <c r="I26" s="56"/>
      <c r="J26" s="57"/>
    </row>
    <row r="27" spans="1:10" ht="50.1" customHeight="1" x14ac:dyDescent="0.3">
      <c r="A27" s="8"/>
      <c r="B27" s="37" t="s">
        <v>200</v>
      </c>
      <c r="C27" s="38"/>
      <c r="D27" s="38"/>
      <c r="E27" s="7">
        <v>5</v>
      </c>
      <c r="F27" s="24">
        <v>3.75</v>
      </c>
      <c r="G27" s="28">
        <f t="shared" si="0"/>
        <v>0.75</v>
      </c>
      <c r="H27" s="29" t="str">
        <f t="shared" si="1"/>
        <v>جيد</v>
      </c>
      <c r="I27" s="56"/>
      <c r="J27" s="57"/>
    </row>
    <row r="28" spans="1:10" ht="50.1" customHeight="1" x14ac:dyDescent="0.3">
      <c r="A28" s="8"/>
      <c r="B28" s="37" t="s">
        <v>201</v>
      </c>
      <c r="C28" s="38"/>
      <c r="D28" s="38"/>
      <c r="E28" s="7">
        <v>5</v>
      </c>
      <c r="F28" s="24">
        <v>3.75</v>
      </c>
      <c r="G28" s="28">
        <f t="shared" si="0"/>
        <v>0.75</v>
      </c>
      <c r="H28" s="29" t="str">
        <f t="shared" si="1"/>
        <v>جيد</v>
      </c>
      <c r="I28" s="56"/>
      <c r="J28" s="57"/>
    </row>
    <row r="29" spans="1:10" ht="50.1" customHeight="1" x14ac:dyDescent="0.3">
      <c r="A29" s="8"/>
      <c r="B29" s="37" t="s">
        <v>202</v>
      </c>
      <c r="C29" s="38"/>
      <c r="D29" s="38"/>
      <c r="E29" s="7">
        <v>5</v>
      </c>
      <c r="F29" s="24">
        <v>3.75</v>
      </c>
      <c r="G29" s="28">
        <f t="shared" si="0"/>
        <v>0.75</v>
      </c>
      <c r="H29" s="29" t="str">
        <f t="shared" si="1"/>
        <v>جيد</v>
      </c>
      <c r="I29" s="56"/>
      <c r="J29" s="57"/>
    </row>
    <row r="30" spans="1:10" ht="50.1" customHeight="1" x14ac:dyDescent="0.3">
      <c r="A30" s="8"/>
      <c r="B30" s="37" t="s">
        <v>203</v>
      </c>
      <c r="C30" s="38"/>
      <c r="D30" s="38"/>
      <c r="E30" s="7">
        <v>5</v>
      </c>
      <c r="F30" s="24">
        <v>3.75</v>
      </c>
      <c r="G30" s="28">
        <f t="shared" si="0"/>
        <v>0.75</v>
      </c>
      <c r="H30" s="29" t="str">
        <f t="shared" si="1"/>
        <v>جيد</v>
      </c>
      <c r="I30" s="56"/>
      <c r="J30" s="57"/>
    </row>
    <row r="31" spans="1:10" ht="50.1" customHeight="1" x14ac:dyDescent="0.3">
      <c r="A31" s="8"/>
      <c r="B31" s="37" t="s">
        <v>204</v>
      </c>
      <c r="C31" s="38"/>
      <c r="D31" s="38"/>
      <c r="E31" s="7">
        <v>5</v>
      </c>
      <c r="F31" s="24">
        <v>3.75</v>
      </c>
      <c r="G31" s="28">
        <f t="shared" si="0"/>
        <v>0.75</v>
      </c>
      <c r="H31" s="29" t="str">
        <f t="shared" si="1"/>
        <v>جيد</v>
      </c>
      <c r="I31" s="56"/>
      <c r="J31" s="57"/>
    </row>
    <row r="32" spans="1:10" ht="50.1" customHeight="1" x14ac:dyDescent="0.3">
      <c r="A32" s="8"/>
      <c r="B32" s="37" t="s">
        <v>205</v>
      </c>
      <c r="C32" s="38"/>
      <c r="D32" s="38"/>
      <c r="E32" s="7">
        <v>5</v>
      </c>
      <c r="F32" s="24">
        <v>3.75</v>
      </c>
      <c r="G32" s="28">
        <f t="shared" si="0"/>
        <v>0.75</v>
      </c>
      <c r="H32" s="29" t="str">
        <f t="shared" si="1"/>
        <v>جيد</v>
      </c>
      <c r="I32" s="56"/>
      <c r="J32" s="57"/>
    </row>
    <row r="33" spans="1:10" ht="50.1" customHeight="1" x14ac:dyDescent="0.3">
      <c r="A33" s="8"/>
      <c r="B33" s="37" t="s">
        <v>206</v>
      </c>
      <c r="C33" s="38"/>
      <c r="D33" s="38"/>
      <c r="E33" s="7">
        <v>5</v>
      </c>
      <c r="F33" s="24">
        <v>3.75</v>
      </c>
      <c r="G33" s="28">
        <f t="shared" si="0"/>
        <v>0.75</v>
      </c>
      <c r="H33" s="29" t="str">
        <f t="shared" si="1"/>
        <v>جيد</v>
      </c>
      <c r="I33" s="56"/>
      <c r="J33" s="57"/>
    </row>
    <row r="34" spans="1:10" ht="50.1" customHeight="1" x14ac:dyDescent="0.3">
      <c r="A34" s="8"/>
      <c r="B34" s="37" t="s">
        <v>207</v>
      </c>
      <c r="C34" s="38"/>
      <c r="D34" s="38"/>
      <c r="E34" s="7">
        <v>5</v>
      </c>
      <c r="F34" s="24">
        <v>3.75</v>
      </c>
      <c r="G34" s="28">
        <f t="shared" si="0"/>
        <v>0.75</v>
      </c>
      <c r="H34" s="29" t="str">
        <f t="shared" si="1"/>
        <v>جيد</v>
      </c>
      <c r="I34" s="56"/>
      <c r="J34" s="57"/>
    </row>
    <row r="35" spans="1:10" ht="50.1" customHeight="1" x14ac:dyDescent="0.3">
      <c r="A35" s="8"/>
      <c r="B35" s="37" t="s">
        <v>208</v>
      </c>
      <c r="C35" s="38"/>
      <c r="D35" s="38"/>
      <c r="E35" s="7">
        <v>5</v>
      </c>
      <c r="F35" s="24">
        <v>3.75</v>
      </c>
      <c r="G35" s="28">
        <f t="shared" si="0"/>
        <v>0.75</v>
      </c>
      <c r="H35" s="29" t="str">
        <f t="shared" si="1"/>
        <v>جيد</v>
      </c>
      <c r="I35" s="56"/>
      <c r="J35" s="57"/>
    </row>
    <row r="36" spans="1:10" ht="50.1" customHeight="1" x14ac:dyDescent="0.3">
      <c r="A36" s="8"/>
      <c r="B36" s="37" t="s">
        <v>209</v>
      </c>
      <c r="C36" s="38"/>
      <c r="D36" s="38"/>
      <c r="E36" s="7">
        <v>5</v>
      </c>
      <c r="F36" s="24">
        <v>3.5</v>
      </c>
      <c r="G36" s="28">
        <f t="shared" si="0"/>
        <v>0.7</v>
      </c>
      <c r="H36" s="29" t="str">
        <f t="shared" si="1"/>
        <v>جيد</v>
      </c>
      <c r="I36" s="56"/>
      <c r="J36" s="57"/>
    </row>
    <row r="37" spans="1:10" ht="50.1" customHeight="1" x14ac:dyDescent="0.3">
      <c r="A37" s="8"/>
      <c r="B37" s="37" t="s">
        <v>210</v>
      </c>
      <c r="C37" s="38"/>
      <c r="D37" s="38"/>
      <c r="E37" s="7">
        <v>5</v>
      </c>
      <c r="F37" s="24">
        <v>3.75</v>
      </c>
      <c r="G37" s="28">
        <f t="shared" si="0"/>
        <v>0.75</v>
      </c>
      <c r="H37" s="29" t="str">
        <f t="shared" si="1"/>
        <v>جيد</v>
      </c>
      <c r="I37" s="56"/>
      <c r="J37" s="57"/>
    </row>
    <row r="38" spans="1:10" ht="50.1" customHeight="1" x14ac:dyDescent="0.3">
      <c r="A38" s="8"/>
      <c r="B38" s="37" t="s">
        <v>211</v>
      </c>
      <c r="C38" s="38"/>
      <c r="D38" s="38"/>
      <c r="E38" s="7">
        <v>5</v>
      </c>
      <c r="F38" s="24">
        <v>3.5</v>
      </c>
      <c r="G38" s="28">
        <f t="shared" si="0"/>
        <v>0.7</v>
      </c>
      <c r="H38" s="29" t="str">
        <f t="shared" si="1"/>
        <v>جيد</v>
      </c>
      <c r="I38" s="56"/>
      <c r="J38" s="57"/>
    </row>
    <row r="39" spans="1:10" ht="50.1" customHeight="1" thickBot="1" x14ac:dyDescent="0.35">
      <c r="A39" s="8"/>
      <c r="B39" s="39" t="s">
        <v>212</v>
      </c>
      <c r="C39" s="40"/>
      <c r="D39" s="40"/>
      <c r="E39" s="34">
        <v>5</v>
      </c>
      <c r="F39" s="25">
        <v>3.75</v>
      </c>
      <c r="G39" s="35">
        <f t="shared" si="0"/>
        <v>0.75</v>
      </c>
      <c r="H39" s="36" t="str">
        <f t="shared" si="1"/>
        <v>جيد</v>
      </c>
      <c r="I39" s="58"/>
      <c r="J39" s="59"/>
    </row>
    <row r="40" spans="1:10" ht="30" customHeight="1" thickBot="1" x14ac:dyDescent="0.35">
      <c r="A40" s="4"/>
      <c r="B40" s="78" t="s">
        <v>5</v>
      </c>
      <c r="C40" s="79"/>
      <c r="D40" s="79"/>
      <c r="E40" s="27">
        <f>SUM(E8:E39)</f>
        <v>160</v>
      </c>
      <c r="F40" s="27">
        <f>SUM(F8:F39)</f>
        <v>116.75</v>
      </c>
      <c r="G40" s="42"/>
      <c r="H40" s="43"/>
      <c r="I40" s="43"/>
      <c r="J40" s="44"/>
    </row>
    <row r="41" spans="1:10" ht="30" customHeight="1" thickBot="1" x14ac:dyDescent="0.35">
      <c r="A41" s="4"/>
      <c r="B41" s="72" t="s">
        <v>54</v>
      </c>
      <c r="C41" s="73"/>
      <c r="D41" s="73"/>
      <c r="E41" s="52">
        <f>F40/E40/100*100</f>
        <v>0.72968750000000004</v>
      </c>
      <c r="F41" s="52"/>
      <c r="G41" s="52"/>
      <c r="H41" s="52"/>
      <c r="I41" s="52"/>
      <c r="J41" s="53"/>
    </row>
    <row r="42" spans="1:10" ht="30" customHeight="1" thickBot="1" x14ac:dyDescent="0.35">
      <c r="A42" s="4"/>
      <c r="B42" s="72" t="s">
        <v>55</v>
      </c>
      <c r="C42" s="73"/>
      <c r="D42" s="73"/>
      <c r="E42" s="70" t="str">
        <f>_xlfn.IFS(E41&gt;=90%,"ممتاز",E41&gt;=80%,"جيد جداً",E41&gt;=70%,"جيد",E41&gt;=60%,"مقبول",E41&lt;60%,"راسب")</f>
        <v>جيد</v>
      </c>
      <c r="F42" s="70"/>
      <c r="G42" s="70"/>
      <c r="H42" s="70"/>
      <c r="I42" s="70"/>
      <c r="J42" s="71"/>
    </row>
    <row r="43" spans="1:10" ht="42" customHeight="1" x14ac:dyDescent="0.3">
      <c r="B43" s="66" t="s">
        <v>174</v>
      </c>
      <c r="C43" s="66"/>
      <c r="D43" s="66"/>
      <c r="E43" s="74" t="s">
        <v>52</v>
      </c>
      <c r="F43" s="74"/>
      <c r="G43" s="68" t="s">
        <v>138</v>
      </c>
      <c r="H43" s="68"/>
      <c r="I43" s="68"/>
      <c r="J43" s="68"/>
    </row>
    <row r="44" spans="1:10" ht="51" customHeight="1" x14ac:dyDescent="0.3">
      <c r="A44" s="5"/>
      <c r="B44" s="67"/>
      <c r="C44" s="67"/>
      <c r="D44" s="67"/>
      <c r="E44" s="41" t="s">
        <v>53</v>
      </c>
      <c r="F44" s="41"/>
      <c r="G44" s="69"/>
      <c r="H44" s="69"/>
      <c r="I44" s="69"/>
      <c r="J44" s="6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7">
    <mergeCell ref="B40:D40"/>
    <mergeCell ref="I26:J26"/>
    <mergeCell ref="I27:J27"/>
    <mergeCell ref="I37:J37"/>
    <mergeCell ref="B14:D14"/>
    <mergeCell ref="B15:D15"/>
    <mergeCell ref="B16:D16"/>
    <mergeCell ref="C4:D4"/>
    <mergeCell ref="I32:J32"/>
    <mergeCell ref="I33:J33"/>
    <mergeCell ref="I34:J34"/>
    <mergeCell ref="I17:J17"/>
    <mergeCell ref="I18:J18"/>
    <mergeCell ref="I28:J28"/>
    <mergeCell ref="I29:J29"/>
    <mergeCell ref="I19:J19"/>
    <mergeCell ref="I20:J20"/>
    <mergeCell ref="I21:J21"/>
    <mergeCell ref="I22:J22"/>
    <mergeCell ref="I23:J23"/>
    <mergeCell ref="I24:J24"/>
    <mergeCell ref="I25:J25"/>
    <mergeCell ref="I8:J8"/>
    <mergeCell ref="I14:J14"/>
    <mergeCell ref="I15:J15"/>
    <mergeCell ref="I16:J16"/>
    <mergeCell ref="E43:F43"/>
    <mergeCell ref="F4:J4"/>
    <mergeCell ref="I35:J35"/>
    <mergeCell ref="I36:J36"/>
    <mergeCell ref="I9:J9"/>
    <mergeCell ref="B43:D44"/>
    <mergeCell ref="G43:J43"/>
    <mergeCell ref="G44:J44"/>
    <mergeCell ref="E42:J42"/>
    <mergeCell ref="B41:D41"/>
    <mergeCell ref="B42:D42"/>
    <mergeCell ref="E5:H5"/>
    <mergeCell ref="B13:D13"/>
    <mergeCell ref="I5:J6"/>
    <mergeCell ref="I7:J7"/>
    <mergeCell ref="I10:J10"/>
    <mergeCell ref="I11:J11"/>
    <mergeCell ref="I12:J12"/>
    <mergeCell ref="I13:J13"/>
    <mergeCell ref="B8:D8"/>
    <mergeCell ref="B9:D9"/>
    <mergeCell ref="B10:D10"/>
    <mergeCell ref="B11:D11"/>
    <mergeCell ref="B12:D12"/>
    <mergeCell ref="B27:D27"/>
    <mergeCell ref="B28:D28"/>
    <mergeCell ref="E44:F44"/>
    <mergeCell ref="G40:J40"/>
    <mergeCell ref="B1:J1"/>
    <mergeCell ref="F2:J2"/>
    <mergeCell ref="B5:D6"/>
    <mergeCell ref="C2:D2"/>
    <mergeCell ref="C3:D3"/>
    <mergeCell ref="F3:J3"/>
    <mergeCell ref="E41:J41"/>
    <mergeCell ref="B7:D7"/>
    <mergeCell ref="I38:J38"/>
    <mergeCell ref="I39:J39"/>
    <mergeCell ref="I30:J30"/>
    <mergeCell ref="I31:J31"/>
    <mergeCell ref="B22:D22"/>
    <mergeCell ref="B23:D23"/>
    <mergeCell ref="B24:D24"/>
    <mergeCell ref="B25:D25"/>
    <mergeCell ref="B26:D26"/>
    <mergeCell ref="B17:D17"/>
    <mergeCell ref="B18:D18"/>
    <mergeCell ref="B19:D19"/>
    <mergeCell ref="B20:D20"/>
    <mergeCell ref="B21:D21"/>
    <mergeCell ref="B38:D38"/>
    <mergeCell ref="B39:D39"/>
    <mergeCell ref="B29:D29"/>
    <mergeCell ref="B30:D30"/>
    <mergeCell ref="B35:D35"/>
    <mergeCell ref="B36:D36"/>
    <mergeCell ref="B37:D37"/>
    <mergeCell ref="B31:D31"/>
    <mergeCell ref="B32:D32"/>
    <mergeCell ref="B33:D33"/>
    <mergeCell ref="B34:D3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2025-10-27T15:11:27Z</dcterms:modified>
</cp:coreProperties>
</file>