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F87FCC7-2F8F-47BB-AAE3-869798260C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 s="1"/>
  <c r="G27" i="2"/>
  <c r="H27" i="2" s="1"/>
  <c r="G28" i="2"/>
  <c r="H28" i="2"/>
  <c r="G29" i="2"/>
  <c r="H29" i="2"/>
  <c r="G30" i="2"/>
  <c r="H30" i="2" s="1"/>
  <c r="G32" i="2"/>
  <c r="H32" i="2"/>
  <c r="G33" i="2"/>
  <c r="H33" i="2" s="1"/>
  <c r="G34" i="2"/>
  <c r="H34" i="2"/>
  <c r="G35" i="2"/>
  <c r="H35" i="2" s="1"/>
  <c r="G37" i="2"/>
  <c r="H37" i="2"/>
  <c r="G38" i="2"/>
  <c r="H38" i="2" s="1"/>
  <c r="G39" i="2"/>
  <c r="H39" i="2"/>
  <c r="G40" i="2"/>
  <c r="H40" i="2" s="1"/>
  <c r="F41" i="2"/>
  <c r="E42" i="2" s="1"/>
  <c r="E43" i="2" s="1"/>
  <c r="E41" i="2"/>
</calcChain>
</file>

<file path=xl/sharedStrings.xml><?xml version="1.0" encoding="utf-8"?>
<sst xmlns="http://schemas.openxmlformats.org/spreadsheetml/2006/main" count="269" uniqueCount="211">
  <si>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</si>
  <si>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</si>
  <si>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</si>
  <si>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</si>
  <si>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</si>
  <si>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</si>
  <si>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</si>
  <si>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</si>
  <si>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</si>
  <si>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</si>
  <si>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</si>
  <si>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</si>
  <si>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</si>
  <si>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</si>
  <si>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</si>
  <si>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</si>
  <si>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</si>
  <si>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</si>
  <si>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</si>
  <si>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</si>
  <si>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</si>
  <si>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</si>
  <si>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</si>
  <si>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</si>
  <si>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</si>
  <si>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</si>
  <si>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</si>
  <si>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</si>
  <si>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</si>
  <si>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</si>
  <si>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</si>
  <si>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</si>
  <si>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</si>
  <si>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</si>
  <si>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</si>
  <si>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</si>
  <si>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</si>
  <si>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</si>
  <si>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</si>
  <si>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</si>
  <si>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</si>
  <si>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</si>
  <si>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</si>
  <si>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</si>
  <si>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</si>
  <si>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</si>
  <si>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</si>
  <si>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</si>
  <si>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</si>
  <si>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</si>
  <si>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</si>
  <si>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</si>
  <si>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</si>
  <si>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</si>
  <si>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</si>
  <si>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</si>
  <si>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</si>
  <si>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</si>
  <si>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</si>
  <si>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</si>
  <si>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</si>
  <si>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</si>
  <si>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</si>
  <si>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</si>
  <si>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</si>
  <si>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</si>
  <si>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</si>
  <si>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</si>
  <si>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</si>
  <si>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</si>
  <si>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</si>
  <si>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</si>
  <si>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</si>
  <si>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</si>
  <si>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</si>
  <si>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</si>
  <si>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</si>
  <si>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</si>
  <si>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</si>
  <si>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</si>
  <si>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</si>
  <si>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</si>
  <si>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</si>
  <si>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</si>
  <si>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</si>
  <si>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</si>
  <si>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</si>
  <si>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</si>
  <si>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</si>
  <si>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</si>
  <si>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</si>
  <si>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</si>
  <si>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</si>
  <si>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</si>
  <si>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</si>
  <si>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</si>
  <si>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</si>
  <si>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</si>
  <si>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</si>
  <si>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</si>
  <si>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</si>
  <si>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</si>
  <si>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</si>
  <si>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</si>
  <si>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</si>
  <si>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</si>
  <si>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</si>
  <si>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</si>
  <si>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</si>
  <si>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</si>
  <si>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</si>
  <si>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</si>
  <si>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</si>
  <si>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</si>
  <si>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</si>
  <si>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</si>
  <si>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</si>
  <si>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</si>
  <si>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</si>
  <si>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</si>
  <si>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</si>
  <si>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</si>
  <si>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</si>
  <si>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</si>
  <si>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</si>
  <si>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</si>
  <si>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</si>
  <si>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</si>
  <si>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</si>
  <si>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</si>
  <si>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</si>
  <si>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</si>
  <si>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</si>
  <si>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</si>
  <si>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</si>
  <si>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</si>
  <si>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</si>
  <si>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</si>
  <si>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</si>
  <si>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</si>
  <si>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</si>
  <si>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</si>
  <si>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</si>
  <si>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</si>
  <si>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</si>
  <si>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</si>
  <si>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</si>
  <si>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</si>
  <si>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</si>
  <si>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</si>
  <si>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</si>
  <si>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</si>
  <si>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</si>
  <si>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</si>
  <si>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</si>
  <si>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</si>
  <si>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</si>
  <si>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</si>
  <si>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</si>
  <si>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</si>
  <si>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</si>
  <si>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</si>
  <si>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</si>
  <si>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</si>
  <si>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</si>
  <si>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</si>
  <si>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</si>
  <si>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</si>
  <si>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</si>
  <si>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</si>
  <si>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</si>
  <si>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</si>
  <si>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</si>
  <si>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</si>
  <si>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</si>
  <si>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</si>
  <si>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مرحلة التخطيط</t>
  </si>
  <si>
    <t>ب. أن تكون محمية ومستورة.</t>
  </si>
  <si>
    <t xml:space="preserve">جـ. أن تكون واسعة بحيث تساعد القوات على الانفتاح والانتشار </t>
  </si>
  <si>
    <t>هـ. أن يتم وضع الإشارات والعلامات فيها بعناية وحذر.</t>
  </si>
  <si>
    <t>مرحلة التنفيذ</t>
  </si>
  <si>
    <t>ب. إنشاء دفاع محلي.</t>
  </si>
  <si>
    <t>جـ. تخصيص المواقع في منطقة التجمع.</t>
  </si>
  <si>
    <t>ب. التأكد من حالة الأسلحة وتضبيط الموجهات واختبار الرماية وأي تحضيرات أخرى ضرورية.</t>
  </si>
  <si>
    <t>جـ. تنفيذ عمليات إعادة التزويد للإمداد والوقود والذخيرة.</t>
  </si>
  <si>
    <t>2.    تطبق إجراءات الحماية أثناء الحركة.</t>
  </si>
  <si>
    <t>3.    تنظيم الدخول لمنطقة التجمع وحسب تسلسل بدء الحركة ونظام المسير لكل فصيل ويأخذ كل فصيل قطاع محدد.</t>
  </si>
  <si>
    <t>4.    السيطرة على الطرق المؤدية من وإلى منطقة التجمع.</t>
  </si>
  <si>
    <t>6.    تنفيذ إجراءات الحماية في منطقة التجمع وكما يلي:</t>
  </si>
  <si>
    <t>7.    استكمال التحضيرات والتفتيشات وسد النقص وكما يلي:</t>
  </si>
  <si>
    <t>8.    المكوث في منطقة التجمع أقل وقت ممكن لتنفيذ الواجبات والعمل بشكل متوازي للجميع لتحقيق أقل وقت ممكن في منطقة التجمع.</t>
  </si>
  <si>
    <t>أ.   أن تكون خارج مدى مراقبة العدو الأرضية من مواقعه الأمامية.</t>
  </si>
  <si>
    <t>د.  لها مداخل ومخارج جيدة.</t>
  </si>
  <si>
    <t>أ.   وصول القوة إلى منطقة التجمع.</t>
  </si>
  <si>
    <t>أ.   إدامة الآليات ومعدات الاتصال والأسلحة.</t>
  </si>
  <si>
    <t>3.    التخطيط لتأمين منطقة التجمع التي يجب أن توفر ما يلي:</t>
  </si>
  <si>
    <t xml:space="preserve">د.  توضيع نقاط الالتقاء. </t>
  </si>
  <si>
    <t>هـ. توضيع مواقع الآليات (ليلاً / نهاراً).</t>
  </si>
  <si>
    <t>و.  توضيع مواقع القيادة .</t>
  </si>
  <si>
    <t>ز. توضيع مواقع الإسناد (الصيانة - الإسناد الطبي - الأرزاق).</t>
  </si>
  <si>
    <t>أ. تأسيس الاتصالات مع الوحدات المجاورة / التنسيق مع الأجنحة.</t>
  </si>
  <si>
    <t>ب.  تحضير بطاقات المدى وخطط النيران.</t>
  </si>
  <si>
    <t>جـ. اختيار مواقع بديلة وثانوية ونقاط تجمع للآليات.</t>
  </si>
  <si>
    <t>د. تنفيذ إجراءات المعركة.</t>
  </si>
  <si>
    <t>1.    فهم قائد فصيل الاستطلاع للموقف باستخدام معدات الاتصال المتوفرة، والخرائط، وتقارير الموقف، ومصادر المعلومات المتوفرة الأخرى.</t>
  </si>
  <si>
    <t>1.    حركة فصيل الاستطلاع وتأمين منطقة التجمع حسب الخطة الموضوعة.</t>
  </si>
  <si>
    <t>2.    الاستطلاع من الخارطة أو من الأرض إذا أمكن.</t>
  </si>
  <si>
    <t>4.    يقوم فصيل الاستطلاع بتحديد موقع الجماعات في منطقة التجمع.</t>
  </si>
  <si>
    <t>5.    توزيع القوة في منطقة التجمع (الدفاع الدائري) وكما يلي:</t>
  </si>
  <si>
    <r>
      <rPr>
        <b/>
        <sz val="14"/>
        <color rgb="FF000000"/>
        <rFont val="Arial"/>
        <family val="2"/>
      </rPr>
      <t>تقييم تأمين فصيل الاستطلاع لمنطقة التجمع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</si>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</sst>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vertical="center" wrapText="1" readingOrder="2"/>
    </xf>
    <xf numFmtId="0" fontId="1" fillId="5" borderId="25" xfId="0" applyFont="1" applyFill="1" applyBorder="1" applyAlignment="1">
      <alignment vertical="center" wrapText="1" readingOrder="2"/>
    </xf>
    <xf numFmtId="0" fontId="1" fillId="5" borderId="26" xfId="0" applyFont="1" applyFill="1" applyBorder="1" applyAlignment="1">
      <alignment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328785</xdr:colOff>
      <xdr:row>44</xdr:row>
      <xdr:rowOff>52028</xdr:rowOff>
    </xdr:from>
    <xdr:to>
      <xdr:col>9</xdr:col>
      <xdr:colOff>451154</xdr:colOff>
      <xdr:row>45</xdr:row>
      <xdr:rowOff>41603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2F065F6-DAA1-B9A6-F580-AD45B2CC79AD}"/>
                </a:ext>
              </a:extLst>
            </xdr14:cNvPr>
            <xdr14:cNvContentPartPr/>
          </xdr14:nvContentPartPr>
          <xdr14:nvPr macro=""/>
          <xdr14:xfrm>
            <a:off x="10398135665" y="17601120"/>
            <a:ext cx="2096640" cy="63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2F065F6-DAA1-B9A6-F580-AD45B2CC79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127025" y="17592480"/>
              <a:ext cx="2114280" cy="653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06:29:25.1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5549 855,'0'0,"0"0,0 0,0 0,0 0,0 0,0-16,0 14,0-12,0 14,0 0,0-32,0 16,0 13,-16-26,-1-19,17 41,-13-20,-20-5,31 28,-27-40,-17 28,39 14,-49-44,-6 30,54 14,-30-28,-25 30,54 0,-29-16,-9 16,41 0,-18 0,-9 0,31 0,-9 0,-6 16,15-13,-12-6,30 19,-14-13,13 10,31-13,-39 0,33 16,6-16,-39 0,64 16,23-16,-78 0,44-16,3 16,-53 0,44 0,-8 0,-39 0,16 0,8 0,-27 0,25 0,-15 0,-12 0,-18 0,-1 16,15-13,-43 26,-18 3,54-26,-75 20,7 6,65-25,-163 68,-75 21,213-81,-66 18,-21 31,107-55,-60 14,1 9,64-27,-23 6,2-11,30 0,-55 16,11 0,38-13,-45 10,24-13,23 0,-33 16,7-16,28 0,-20 0,-5 0,25 0,-23 0,-2 0,25 0,-37 0,11 0,27 0,-39 17,-20-17,54 0,-28 16,-27 1,56-15,-77 12,25 2,50-14,-74 12,5 2,67-14,-54 12,3 2,54-14,-42-4,4 2,37 0,-28 0,6 0,29 0,-24-16,-4 0,24 13,-2-10,-7-19,16 27,0-39,16-5,-13 41,41-96,50-24,-81 108,67-122,30 14,-94 108,61-88,1 12,-65 79,37-30,-4 13,-39 29,17-6,6-5,-23 14,19-12,20-18,-39 27,17 10,7-21,-25 13,3 6,8-3,-14 0,8 0,-2 0,-2 0,-23 32,16-27,0 6,-31 37,27-40,-22 34,-37 22,54-53,-59 58,-58 27,107-80,-87 64,-50 18,133-84,-124 84,-41-2,160-81,-114 66,-15-17,132-53,-120 60,-12-23,131-41,-88 34,4-9,94-27,-75 22,-2-11,78-14,-50 12,4 2,52-14,-45-4,-23 18,62-13,-17-6,-14-13,36 13,-14 6,-6-3,25 0,-21-32,-6 16,27 13,-4-26,9-19,0 41,0-50,14-9,-12 56,28-60,18-10,-41 67,33-54,20-13,-49 67,24-54,29 1,-55 56,45-28,-8-10,-38 40,31 0,-8-24,-24 27,33-6,-10-5,-23 13,19-10,4 13,-23 0,3 0,-4 0,-12 16,-28 16,4 0,26-27,-68 38,-23 21,82-54,-100 62,-40 24,126-81,-119 66,-25 15,142-80,-99 48,-12 18,117-69,-78 6,8 29,76-41,-60 18,0-9,65-14,-55 28,6-14,51-14,-27 12,-10 18,38-27,-28 6,4 5,28-13,-20 10,8-5,17 0,17-8,-16 0,28 16,34-32,-53 14,120-12,41-18,-143 27,163-54,43-21,-197 67,190-86,54-31,-235 109,172-86,32-21,-211 108,156-90,38-18,-195 108,112-72,-27 12,-102 67,51-38,-9-15,-53 57,11-14,12-9,-29 27,22-22,-23 25,10-28,2 14,-13 14,-4-12,2-2,0 14,-15 20,-17-2,29-14,-25 28,-2 2,23-27,-49 54,-7 23,54-69,-43 70,-27 45,67-108,-54 88,4 38,52-124,-28 68,-8 22,39-95,-17 62,-6 3,25-71,-6 42,-19 11,25-55,-23 30,-3 25,27-54,-23 44,-5 10,27-54,-20 45,-22 42,40-82,-33 66,40-81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5"/>
  <sheetViews>
    <sheetView rightToLeft="1" tabSelected="1" view="pageBreakPreview" topLeftCell="A34" zoomScale="130" zoomScaleNormal="100" zoomScaleSheetLayoutView="130" workbookViewId="0">
      <selection activeCell="F35" sqref="F35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209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2" t="s">
        <v>8</v>
      </c>
      <c r="C2" s="71" t="s">
        <v>10</v>
      </c>
      <c r="D2" s="71"/>
      <c r="E2" s="12" t="s">
        <v>7</v>
      </c>
      <c r="F2" s="66">
        <v>45937</v>
      </c>
      <c r="G2" s="66"/>
      <c r="H2" s="66"/>
      <c r="I2" s="66"/>
      <c r="J2" s="66"/>
    </row>
    <row r="3" spans="1:10" ht="30" customHeight="1" x14ac:dyDescent="0.3">
      <c r="B3" s="12" t="s">
        <v>9</v>
      </c>
      <c r="C3" s="71" t="s">
        <v>65</v>
      </c>
      <c r="D3" s="71"/>
      <c r="E3" s="12" t="s">
        <v>6</v>
      </c>
      <c r="F3" s="71" t="s">
        <v>114</v>
      </c>
      <c r="G3" s="71"/>
      <c r="H3" s="71"/>
      <c r="I3" s="71"/>
      <c r="J3" s="7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7" t="s">
        <v>0</v>
      </c>
      <c r="C5" s="68"/>
      <c r="D5" s="68"/>
      <c r="E5" s="72" t="s">
        <v>1</v>
      </c>
      <c r="F5" s="72"/>
      <c r="G5" s="72"/>
      <c r="H5" s="72"/>
      <c r="I5" s="72" t="s">
        <v>2</v>
      </c>
      <c r="J5" s="73"/>
    </row>
    <row r="6" spans="1:10" ht="24.9" customHeight="1" thickBot="1" x14ac:dyDescent="0.35">
      <c r="A6" s="10"/>
      <c r="B6" s="69"/>
      <c r="C6" s="70"/>
      <c r="D6" s="70"/>
      <c r="E6" s="11" t="s">
        <v>3</v>
      </c>
      <c r="F6" s="11" t="s">
        <v>4</v>
      </c>
      <c r="G6" s="11" t="s">
        <v>23</v>
      </c>
      <c r="H6" s="11" t="s">
        <v>24</v>
      </c>
      <c r="I6" s="74"/>
      <c r="J6" s="75"/>
    </row>
    <row r="7" spans="1:10" ht="24.9" customHeight="1" thickBot="1" x14ac:dyDescent="0.35">
      <c r="A7" s="10"/>
      <c r="B7" s="76" t="s">
        <v>21</v>
      </c>
      <c r="C7" s="77"/>
      <c r="D7" s="77"/>
      <c r="E7" s="28" t="s">
        <v>18</v>
      </c>
      <c r="F7" s="28" t="s">
        <v>19</v>
      </c>
      <c r="G7" s="28" t="s">
        <v>22</v>
      </c>
      <c r="H7" s="28" t="s">
        <v>20</v>
      </c>
      <c r="I7" s="78" t="s">
        <v>25</v>
      </c>
      <c r="J7" s="79"/>
    </row>
    <row r="8" spans="1:10" ht="30" customHeight="1" x14ac:dyDescent="0.3">
      <c r="A8" s="10"/>
      <c r="B8" s="41" t="s">
        <v>176</v>
      </c>
      <c r="C8" s="42"/>
      <c r="D8" s="42"/>
      <c r="E8" s="42"/>
      <c r="F8" s="42"/>
      <c r="G8" s="42"/>
      <c r="H8" s="42"/>
      <c r="I8" s="42"/>
      <c r="J8" s="43"/>
    </row>
    <row r="9" spans="1:10" ht="39.9" customHeight="1" x14ac:dyDescent="0.3">
      <c r="A9" s="10"/>
      <c r="B9" s="37" t="s">
        <v>204</v>
      </c>
      <c r="C9" s="38"/>
      <c r="D9" s="38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6"/>
      <c r="J9" s="47"/>
    </row>
    <row r="10" spans="1:10" ht="30" customHeight="1" x14ac:dyDescent="0.3">
      <c r="A10" s="10"/>
      <c r="B10" s="37" t="s">
        <v>206</v>
      </c>
      <c r="C10" s="38"/>
      <c r="D10" s="38"/>
      <c r="E10" s="9">
        <v>5</v>
      </c>
      <c r="F10" s="26">
        <v>4.25</v>
      </c>
      <c r="G10" s="30">
        <f t="shared" ref="G10:G40" si="0">IFERROR(F10/E10,"")</f>
        <v>0.85</v>
      </c>
      <c r="H10" s="31" t="str">
        <f t="shared" ref="H10:H40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6"/>
      <c r="J10" s="47"/>
    </row>
    <row r="11" spans="1:10" ht="30" customHeight="1" x14ac:dyDescent="0.3">
      <c r="A11" s="10"/>
      <c r="B11" s="37" t="s">
        <v>195</v>
      </c>
      <c r="C11" s="38"/>
      <c r="D11" s="38"/>
      <c r="E11" s="9"/>
      <c r="F11" s="26"/>
      <c r="G11" s="30"/>
      <c r="H11" s="31"/>
      <c r="I11" s="46"/>
      <c r="J11" s="47"/>
    </row>
    <row r="12" spans="1:10" ht="30" customHeight="1" x14ac:dyDescent="0.3">
      <c r="A12" s="10"/>
      <c r="B12" s="35" t="s">
        <v>191</v>
      </c>
      <c r="C12" s="36"/>
      <c r="D12" s="36"/>
      <c r="E12" s="9">
        <v>5</v>
      </c>
      <c r="F12" s="26">
        <v>4.25</v>
      </c>
      <c r="G12" s="30">
        <f t="shared" si="0"/>
        <v>0.85</v>
      </c>
      <c r="H12" s="31" t="str">
        <f t="shared" si="1"/>
        <v>جيد جداً</v>
      </c>
      <c r="I12" s="46"/>
      <c r="J12" s="47"/>
    </row>
    <row r="13" spans="1:10" ht="30" customHeight="1" x14ac:dyDescent="0.3">
      <c r="A13" s="10"/>
      <c r="B13" s="35" t="s">
        <v>177</v>
      </c>
      <c r="C13" s="36"/>
      <c r="D13" s="36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6"/>
      <c r="J13" s="47"/>
    </row>
    <row r="14" spans="1:10" ht="30" customHeight="1" x14ac:dyDescent="0.3">
      <c r="A14" s="10"/>
      <c r="B14" s="35" t="s">
        <v>178</v>
      </c>
      <c r="C14" s="36"/>
      <c r="D14" s="36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6"/>
      <c r="J14" s="47"/>
    </row>
    <row r="15" spans="1:10" ht="30" customHeight="1" x14ac:dyDescent="0.3">
      <c r="A15" s="10"/>
      <c r="B15" s="35" t="s">
        <v>192</v>
      </c>
      <c r="C15" s="36"/>
      <c r="D15" s="36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6"/>
      <c r="J15" s="47"/>
    </row>
    <row r="16" spans="1:10" ht="30" customHeight="1" x14ac:dyDescent="0.3">
      <c r="A16" s="10"/>
      <c r="B16" s="35" t="s">
        <v>179</v>
      </c>
      <c r="C16" s="36"/>
      <c r="D16" s="36"/>
      <c r="E16" s="9">
        <v>5</v>
      </c>
      <c r="F16" s="26">
        <v>4.25</v>
      </c>
      <c r="G16" s="30">
        <f t="shared" si="0"/>
        <v>0.85</v>
      </c>
      <c r="H16" s="31" t="str">
        <f t="shared" si="1"/>
        <v>جيد جداً</v>
      </c>
      <c r="I16" s="46"/>
      <c r="J16" s="47"/>
    </row>
    <row r="17" spans="1:10" ht="30" customHeight="1" thickBot="1" x14ac:dyDescent="0.35">
      <c r="A17" s="10"/>
      <c r="B17" s="37" t="s">
        <v>207</v>
      </c>
      <c r="C17" s="38"/>
      <c r="D17" s="38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6"/>
      <c r="J17" s="47"/>
    </row>
    <row r="18" spans="1:10" ht="30" customHeight="1" x14ac:dyDescent="0.3">
      <c r="A18" s="10"/>
      <c r="B18" s="41" t="s">
        <v>180</v>
      </c>
      <c r="C18" s="42"/>
      <c r="D18" s="42"/>
      <c r="E18" s="42"/>
      <c r="F18" s="42"/>
      <c r="G18" s="42"/>
      <c r="H18" s="42"/>
      <c r="I18" s="42"/>
      <c r="J18" s="43"/>
    </row>
    <row r="19" spans="1:10" ht="39.9" customHeight="1" x14ac:dyDescent="0.3">
      <c r="A19" s="10"/>
      <c r="B19" s="37" t="s">
        <v>205</v>
      </c>
      <c r="C19" s="38"/>
      <c r="D19" s="38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6"/>
      <c r="J19" s="47"/>
    </row>
    <row r="20" spans="1:10" ht="30" customHeight="1" x14ac:dyDescent="0.3">
      <c r="A20" s="10"/>
      <c r="B20" s="37" t="s">
        <v>185</v>
      </c>
      <c r="C20" s="38"/>
      <c r="D20" s="38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6"/>
      <c r="J20" s="47"/>
    </row>
    <row r="21" spans="1:10" ht="39.9" customHeight="1" x14ac:dyDescent="0.3">
      <c r="A21" s="10"/>
      <c r="B21" s="37" t="s">
        <v>186</v>
      </c>
      <c r="C21" s="38"/>
      <c r="D21" s="38"/>
      <c r="E21" s="9">
        <v>5</v>
      </c>
      <c r="F21" s="26">
        <v>4.25</v>
      </c>
      <c r="G21" s="30">
        <f t="shared" si="0"/>
        <v>0.85</v>
      </c>
      <c r="H21" s="31" t="str">
        <f t="shared" si="1"/>
        <v>جيد جداً</v>
      </c>
      <c r="I21" s="46"/>
      <c r="J21" s="47"/>
    </row>
    <row r="22" spans="1:10" ht="30" customHeight="1" x14ac:dyDescent="0.3">
      <c r="A22" s="10"/>
      <c r="B22" s="37" t="s">
        <v>187</v>
      </c>
      <c r="C22" s="38"/>
      <c r="D22" s="38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46"/>
      <c r="J22" s="47"/>
    </row>
    <row r="23" spans="1:10" ht="30" customHeight="1" x14ac:dyDescent="0.3">
      <c r="A23" s="10"/>
      <c r="B23" s="37" t="s">
        <v>208</v>
      </c>
      <c r="C23" s="38"/>
      <c r="D23" s="38"/>
      <c r="E23" s="9"/>
      <c r="F23" s="26"/>
      <c r="G23" s="30"/>
      <c r="H23" s="31"/>
      <c r="I23" s="46"/>
      <c r="J23" s="47"/>
    </row>
    <row r="24" spans="1:10" ht="30" customHeight="1" x14ac:dyDescent="0.3">
      <c r="A24" s="10"/>
      <c r="B24" s="35" t="s">
        <v>193</v>
      </c>
      <c r="C24" s="36"/>
      <c r="D24" s="36"/>
      <c r="E24" s="9">
        <v>5</v>
      </c>
      <c r="F24" s="26">
        <v>4.25</v>
      </c>
      <c r="G24" s="30">
        <f t="shared" si="0"/>
        <v>0.85</v>
      </c>
      <c r="H24" s="31" t="str">
        <f t="shared" si="1"/>
        <v>جيد جداً</v>
      </c>
      <c r="I24" s="46"/>
      <c r="J24" s="47"/>
    </row>
    <row r="25" spans="1:10" ht="30" customHeight="1" x14ac:dyDescent="0.3">
      <c r="A25" s="10"/>
      <c r="B25" s="35" t="s">
        <v>181</v>
      </c>
      <c r="C25" s="36"/>
      <c r="D25" s="36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46"/>
      <c r="J25" s="47"/>
    </row>
    <row r="26" spans="1:10" ht="30" customHeight="1" x14ac:dyDescent="0.3">
      <c r="A26" s="10"/>
      <c r="B26" s="35" t="s">
        <v>182</v>
      </c>
      <c r="C26" s="36"/>
      <c r="D26" s="36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46"/>
      <c r="J26" s="47"/>
    </row>
    <row r="27" spans="1:10" ht="30" customHeight="1" x14ac:dyDescent="0.3">
      <c r="A27" s="10"/>
      <c r="B27" s="35" t="s">
        <v>196</v>
      </c>
      <c r="C27" s="36"/>
      <c r="D27" s="36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46"/>
      <c r="J27" s="47"/>
    </row>
    <row r="28" spans="1:10" ht="30" customHeight="1" x14ac:dyDescent="0.3">
      <c r="A28" s="10"/>
      <c r="B28" s="35" t="s">
        <v>197</v>
      </c>
      <c r="C28" s="36"/>
      <c r="D28" s="36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6"/>
      <c r="J28" s="47"/>
    </row>
    <row r="29" spans="1:10" ht="30" customHeight="1" x14ac:dyDescent="0.3">
      <c r="A29" s="10"/>
      <c r="B29" s="35" t="s">
        <v>198</v>
      </c>
      <c r="C29" s="36"/>
      <c r="D29" s="36"/>
      <c r="E29" s="9">
        <v>5</v>
      </c>
      <c r="F29" s="26">
        <v>4.25</v>
      </c>
      <c r="G29" s="30">
        <f t="shared" si="0"/>
        <v>0.85</v>
      </c>
      <c r="H29" s="31" t="str">
        <f t="shared" si="1"/>
        <v>جيد جداً</v>
      </c>
      <c r="I29" s="46"/>
      <c r="J29" s="47"/>
    </row>
    <row r="30" spans="1:10" ht="30" customHeight="1" x14ac:dyDescent="0.3">
      <c r="A30" s="10"/>
      <c r="B30" s="35" t="s">
        <v>199</v>
      </c>
      <c r="C30" s="36"/>
      <c r="D30" s="36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6"/>
      <c r="J30" s="47"/>
    </row>
    <row r="31" spans="1:10" ht="30" customHeight="1" x14ac:dyDescent="0.3">
      <c r="A31" s="10"/>
      <c r="B31" s="37" t="s">
        <v>188</v>
      </c>
      <c r="C31" s="38"/>
      <c r="D31" s="38"/>
      <c r="E31" s="9"/>
      <c r="F31" s="26"/>
      <c r="G31" s="30"/>
      <c r="H31" s="31"/>
      <c r="I31" s="46"/>
      <c r="J31" s="47"/>
    </row>
    <row r="32" spans="1:10" ht="30" customHeight="1" x14ac:dyDescent="0.3">
      <c r="A32" s="10"/>
      <c r="B32" s="35" t="s">
        <v>200</v>
      </c>
      <c r="C32" s="36"/>
      <c r="D32" s="36"/>
      <c r="E32" s="9">
        <v>5</v>
      </c>
      <c r="F32" s="26">
        <v>3.75</v>
      </c>
      <c r="G32" s="30">
        <f t="shared" si="0"/>
        <v>0.75</v>
      </c>
      <c r="H32" s="31" t="str">
        <f t="shared" si="1"/>
        <v>جيد</v>
      </c>
      <c r="I32" s="46"/>
      <c r="J32" s="47"/>
    </row>
    <row r="33" spans="1:10" ht="30" customHeight="1" x14ac:dyDescent="0.3">
      <c r="A33" s="10"/>
      <c r="B33" s="35" t="s">
        <v>201</v>
      </c>
      <c r="C33" s="36"/>
      <c r="D33" s="36"/>
      <c r="E33" s="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46"/>
      <c r="J33" s="47"/>
    </row>
    <row r="34" spans="1:10" ht="30" customHeight="1" x14ac:dyDescent="0.3">
      <c r="A34" s="10"/>
      <c r="B34" s="35" t="s">
        <v>202</v>
      </c>
      <c r="C34" s="36"/>
      <c r="D34" s="36"/>
      <c r="E34" s="9">
        <v>5</v>
      </c>
      <c r="F34" s="26">
        <v>3.75</v>
      </c>
      <c r="G34" s="30">
        <f t="shared" si="0"/>
        <v>0.75</v>
      </c>
      <c r="H34" s="31" t="str">
        <f t="shared" si="1"/>
        <v>جيد</v>
      </c>
      <c r="I34" s="46"/>
      <c r="J34" s="47"/>
    </row>
    <row r="35" spans="1:10" ht="30" customHeight="1" x14ac:dyDescent="0.3">
      <c r="A35" s="10"/>
      <c r="B35" s="35" t="s">
        <v>203</v>
      </c>
      <c r="C35" s="36"/>
      <c r="D35" s="36"/>
      <c r="E35" s="9">
        <v>5</v>
      </c>
      <c r="F35" s="26">
        <v>3.5</v>
      </c>
      <c r="G35" s="30">
        <f t="shared" si="0"/>
        <v>0.7</v>
      </c>
      <c r="H35" s="31" t="str">
        <f t="shared" si="1"/>
        <v>جيد</v>
      </c>
      <c r="I35" s="46"/>
      <c r="J35" s="47"/>
    </row>
    <row r="36" spans="1:10" ht="30" customHeight="1" x14ac:dyDescent="0.3">
      <c r="A36" s="10"/>
      <c r="B36" s="37" t="s">
        <v>189</v>
      </c>
      <c r="C36" s="38"/>
      <c r="D36" s="38"/>
      <c r="E36" s="9"/>
      <c r="F36" s="26"/>
      <c r="G36" s="30"/>
      <c r="H36" s="31"/>
      <c r="I36" s="46"/>
      <c r="J36" s="47"/>
    </row>
    <row r="37" spans="1:10" ht="30" customHeight="1" x14ac:dyDescent="0.3">
      <c r="A37" s="10"/>
      <c r="B37" s="35" t="s">
        <v>194</v>
      </c>
      <c r="C37" s="36"/>
      <c r="D37" s="36"/>
      <c r="E37" s="9">
        <v>5</v>
      </c>
      <c r="F37" s="26">
        <v>4.25</v>
      </c>
      <c r="G37" s="30">
        <f t="shared" si="0"/>
        <v>0.85</v>
      </c>
      <c r="H37" s="31" t="str">
        <f t="shared" si="1"/>
        <v>جيد جداً</v>
      </c>
      <c r="I37" s="46"/>
      <c r="J37" s="47"/>
    </row>
    <row r="38" spans="1:10" ht="39.9" customHeight="1" x14ac:dyDescent="0.3">
      <c r="A38" s="10"/>
      <c r="B38" s="35" t="s">
        <v>183</v>
      </c>
      <c r="C38" s="36"/>
      <c r="D38" s="36"/>
      <c r="E38" s="9">
        <v>0</v>
      </c>
      <c r="F38" s="26" t="s">
        <v>61</v>
      </c>
      <c r="G38" s="30" t="str">
        <f t="shared" si="0"/>
        <v/>
      </c>
      <c r="H38" s="31" t="str">
        <f t="shared" si="1"/>
        <v/>
      </c>
      <c r="I38" s="46"/>
      <c r="J38" s="47"/>
    </row>
    <row r="39" spans="1:10" ht="30" customHeight="1" x14ac:dyDescent="0.3">
      <c r="A39" s="10"/>
      <c r="B39" s="37" t="s">
        <v>184</v>
      </c>
      <c r="C39" s="38"/>
      <c r="D39" s="38"/>
      <c r="E39" s="9">
        <v>5</v>
      </c>
      <c r="F39" s="26">
        <v>4.25</v>
      </c>
      <c r="G39" s="30">
        <f t="shared" si="0"/>
        <v>0.85</v>
      </c>
      <c r="H39" s="31" t="str">
        <f t="shared" si="1"/>
        <v>جيد جداً</v>
      </c>
      <c r="I39" s="46"/>
      <c r="J39" s="47"/>
    </row>
    <row r="40" spans="1:10" ht="39.9" customHeight="1" thickBot="1" x14ac:dyDescent="0.35">
      <c r="A40" s="10"/>
      <c r="B40" s="39" t="s">
        <v>190</v>
      </c>
      <c r="C40" s="40"/>
      <c r="D40" s="40"/>
      <c r="E40" s="32">
        <v>0</v>
      </c>
      <c r="F40" s="27" t="s">
        <v>61</v>
      </c>
      <c r="G40" s="33" t="str">
        <f t="shared" si="0"/>
        <v/>
      </c>
      <c r="H40" s="34" t="str">
        <f t="shared" si="1"/>
        <v/>
      </c>
      <c r="I40" s="58"/>
      <c r="J40" s="59"/>
    </row>
    <row r="41" spans="1:10" ht="30" customHeight="1" thickBot="1" x14ac:dyDescent="0.35">
      <c r="A41" s="4"/>
      <c r="B41" s="48" t="s">
        <v>5</v>
      </c>
      <c r="C41" s="49"/>
      <c r="D41" s="49"/>
      <c r="E41" s="29">
        <f>SUM(E8:E40)</f>
        <v>125</v>
      </c>
      <c r="F41" s="29">
        <f>SUM(F8:F40)</f>
        <v>96.25</v>
      </c>
      <c r="G41" s="62"/>
      <c r="H41" s="63"/>
      <c r="I41" s="63"/>
      <c r="J41" s="64"/>
    </row>
    <row r="42" spans="1:10" ht="30" customHeight="1" thickBot="1" x14ac:dyDescent="0.35">
      <c r="A42" s="4"/>
      <c r="B42" s="44" t="s">
        <v>54</v>
      </c>
      <c r="C42" s="45"/>
      <c r="D42" s="45"/>
      <c r="E42" s="56">
        <f>F41/E41/100*100</f>
        <v>0.77</v>
      </c>
      <c r="F42" s="56"/>
      <c r="G42" s="56"/>
      <c r="H42" s="56"/>
      <c r="I42" s="56"/>
      <c r="J42" s="57"/>
    </row>
    <row r="43" spans="1:10" ht="30" customHeight="1" thickBot="1" x14ac:dyDescent="0.35">
      <c r="A43" s="4"/>
      <c r="B43" s="44" t="s">
        <v>55</v>
      </c>
      <c r="C43" s="45"/>
      <c r="D43" s="45"/>
      <c r="E43" s="54" t="str">
        <f>_xlfn.IFS(E42&gt;=90%,"ممتاز",E42&gt;=80%,"جيد جداً",E42&gt;=70%,"جيد",E42&gt;=60%,"مقبول",E42&lt;60%,"راسب")</f>
        <v>جيد</v>
      </c>
      <c r="F43" s="54"/>
      <c r="G43" s="54"/>
      <c r="H43" s="54"/>
      <c r="I43" s="54"/>
      <c r="J43" s="55"/>
    </row>
    <row r="44" spans="1:10" ht="42" customHeight="1" x14ac:dyDescent="0.3">
      <c r="B44" s="50" t="s">
        <v>175</v>
      </c>
      <c r="C44" s="50"/>
      <c r="D44" s="50"/>
      <c r="E44" s="60" t="s">
        <v>52</v>
      </c>
      <c r="F44" s="60"/>
      <c r="G44" s="52" t="s">
        <v>114</v>
      </c>
      <c r="H44" s="52"/>
      <c r="I44" s="52"/>
      <c r="J44" s="52"/>
    </row>
    <row r="45" spans="1:10" ht="51" customHeight="1" x14ac:dyDescent="0.3">
      <c r="A45" s="5"/>
      <c r="B45" s="51"/>
      <c r="C45" s="51"/>
      <c r="D45" s="51"/>
      <c r="E45" s="61" t="s">
        <v>53</v>
      </c>
      <c r="F45" s="61"/>
      <c r="G45" s="53" t="s">
        <v>210</v>
      </c>
      <c r="H45" s="53"/>
      <c r="I45" s="53"/>
      <c r="J45" s="53"/>
    </row>
  </sheetData>
  <sheetProtection formatCells="0" formatColumns="0" formatRows="0" insertColumns="0" insertRows="0" insertHyperlinks="0" deleteColumns="0" deleteRows="0" selectLockedCells="1" sort="0" autoFilter="0" pivotTables="0"/>
  <mergeCells count="85">
    <mergeCell ref="I9:J9"/>
    <mergeCell ref="B7:D7"/>
    <mergeCell ref="I32:J32"/>
    <mergeCell ref="I27:J27"/>
    <mergeCell ref="I28:J28"/>
    <mergeCell ref="I7:J7"/>
    <mergeCell ref="I10:J10"/>
    <mergeCell ref="I19:J19"/>
    <mergeCell ref="I20:J20"/>
    <mergeCell ref="I21:J21"/>
    <mergeCell ref="I22:J22"/>
    <mergeCell ref="I23:J23"/>
    <mergeCell ref="I24:J24"/>
    <mergeCell ref="I29:J29"/>
    <mergeCell ref="I30:J30"/>
    <mergeCell ref="B9:D9"/>
    <mergeCell ref="B1:J1"/>
    <mergeCell ref="F2:J2"/>
    <mergeCell ref="B5:D6"/>
    <mergeCell ref="C2:D2"/>
    <mergeCell ref="C3:D3"/>
    <mergeCell ref="F3:J3"/>
    <mergeCell ref="E5:H5"/>
    <mergeCell ref="I5:J6"/>
    <mergeCell ref="B44:D45"/>
    <mergeCell ref="G44:J44"/>
    <mergeCell ref="G45:J45"/>
    <mergeCell ref="E43:J43"/>
    <mergeCell ref="I33:J33"/>
    <mergeCell ref="I34:J34"/>
    <mergeCell ref="I35:J35"/>
    <mergeCell ref="I36:J36"/>
    <mergeCell ref="I37:J37"/>
    <mergeCell ref="E42:J42"/>
    <mergeCell ref="I38:J38"/>
    <mergeCell ref="I39:J39"/>
    <mergeCell ref="I40:J40"/>
    <mergeCell ref="E44:F44"/>
    <mergeCell ref="E45:F45"/>
    <mergeCell ref="G41:J41"/>
    <mergeCell ref="B29:D29"/>
    <mergeCell ref="B43:D43"/>
    <mergeCell ref="I11:J11"/>
    <mergeCell ref="I12:J12"/>
    <mergeCell ref="I13:J13"/>
    <mergeCell ref="I14:J14"/>
    <mergeCell ref="I15:J15"/>
    <mergeCell ref="I16:J16"/>
    <mergeCell ref="I17:J17"/>
    <mergeCell ref="I25:J25"/>
    <mergeCell ref="I26:J26"/>
    <mergeCell ref="I31:J31"/>
    <mergeCell ref="B41:D41"/>
    <mergeCell ref="B42:D42"/>
    <mergeCell ref="B14:D14"/>
    <mergeCell ref="B15:D15"/>
    <mergeCell ref="B26:D26"/>
    <mergeCell ref="B27:D27"/>
    <mergeCell ref="B28:D28"/>
    <mergeCell ref="B10:D10"/>
    <mergeCell ref="B11:D11"/>
    <mergeCell ref="B12:D12"/>
    <mergeCell ref="B13:D13"/>
    <mergeCell ref="B16:D16"/>
    <mergeCell ref="B20:D20"/>
    <mergeCell ref="B21:D21"/>
    <mergeCell ref="B22:D22"/>
    <mergeCell ref="B24:D24"/>
    <mergeCell ref="B25:D25"/>
    <mergeCell ref="B37:D37"/>
    <mergeCell ref="B38:D38"/>
    <mergeCell ref="B39:D39"/>
    <mergeCell ref="B40:D40"/>
    <mergeCell ref="B8:J8"/>
    <mergeCell ref="B18:J18"/>
    <mergeCell ref="B32:D32"/>
    <mergeCell ref="B33:D33"/>
    <mergeCell ref="B34:D34"/>
    <mergeCell ref="B35:D35"/>
    <mergeCell ref="B36:D36"/>
    <mergeCell ref="B23:D23"/>
    <mergeCell ref="B30:D30"/>
    <mergeCell ref="B31:D31"/>
    <mergeCell ref="B17:D17"/>
    <mergeCell ref="B19:D19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3">
    <cfRule type="expression" dxfId="20" priority="57">
      <formula>$E43="راسب"</formula>
    </cfRule>
  </conditionalFormatting>
  <conditionalFormatting sqref="E43:J43">
    <cfRule type="expression" dxfId="19" priority="58">
      <formula>$E43="مقبول"</formula>
    </cfRule>
    <cfRule type="expression" dxfId="18" priority="59">
      <formula>$E43="جيد"</formula>
    </cfRule>
    <cfRule type="expression" dxfId="17" priority="60">
      <formula>$E43="جيد جداً"</formula>
    </cfRule>
    <cfRule type="expression" dxfId="16" priority="61">
      <formula>$E43="ممتاز"</formula>
    </cfRule>
  </conditionalFormatting>
  <conditionalFormatting sqref="F9:F17">
    <cfRule type="containsText" dxfId="15" priority="4" operator="containsText" text="أدخل العلامة">
      <formula>NOT(ISERROR(SEARCH("أدخل العلامة",F9)))</formula>
    </cfRule>
  </conditionalFormatting>
  <conditionalFormatting sqref="F19:F40 H19:H40">
    <cfRule type="containsText" dxfId="14" priority="38" operator="containsText" text="أدخل العلامة">
      <formula>NOT(ISERROR(SEARCH("أدخل العلامة",F19)))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44:J44">
    <cfRule type="containsText" dxfId="11" priority="15" operator="containsText" text="أدخل اسم المحكم">
      <formula>NOT(ISERROR(SEARCH("أدخل اسم المحكم",G44)))</formula>
    </cfRule>
  </conditionalFormatting>
  <conditionalFormatting sqref="H9:H17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19:H40">
    <cfRule type="containsText" dxfId="4" priority="39" operator="containsText" text="ممتاز">
      <formula>NOT(ISERROR(SEARCH("ممتاز",H19)))</formula>
    </cfRule>
    <cfRule type="containsText" dxfId="3" priority="40" operator="containsText" text="جيد جداً">
      <formula>NOT(ISERROR(SEARCH("جيد جداً",H19)))</formula>
    </cfRule>
    <cfRule type="containsText" dxfId="2" priority="41" operator="containsText" text="جيد">
      <formula>NOT(ISERROR(SEARCH("جيد",H19)))</formula>
    </cfRule>
    <cfRule type="containsText" dxfId="1" priority="42" operator="containsText" text="مقبول">
      <formula>NOT(ISERROR(SEARCH("مقبول",H19)))</formula>
    </cfRule>
    <cfRule type="containsText" dxfId="0" priority="43" operator="containsText" text="راسب">
      <formula>NOT(ISERROR(SEARCH("راسب",H19)))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5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F37:F40 F24:F30 F19:F22 F9:F10 F12:F17 F32:F35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G44:J44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2025-10-07T21:00:20Z</dcterms:modified>
</cp:coreProperties>
</file>