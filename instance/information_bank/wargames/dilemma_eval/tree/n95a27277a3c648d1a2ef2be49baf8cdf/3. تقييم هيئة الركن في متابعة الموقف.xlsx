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55CF2D23-70D7-4095-B6A1-C7BC31EAA7CC}"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التقييم'!$A$1:$J$51</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s="1"/>
  <c r="G10" i="2"/>
  <c r="H10" i="2"/>
  <c r="G11" i="2"/>
  <c r="H11" i="2"/>
  <c r="G12" i="2"/>
  <c r="H12" i="2"/>
  <c r="G13" i="2"/>
  <c r="H13" i="2"/>
  <c r="G15" i="2"/>
  <c r="H15" i="2" s="1"/>
  <c r="G16" i="2"/>
  <c r="H16" i="2" s="1"/>
  <c r="G17" i="2"/>
  <c r="H17" i="2"/>
  <c r="G18" i="2"/>
  <c r="H18" i="2" s="1"/>
  <c r="G19" i="2"/>
  <c r="H19" i="2"/>
  <c r="G20" i="2"/>
  <c r="H20" i="2" s="1"/>
  <c r="G21" i="2"/>
  <c r="H21" i="2" s="1"/>
  <c r="G22" i="2"/>
  <c r="H22" i="2" s="1"/>
  <c r="G24" i="2"/>
  <c r="H24" i="2"/>
  <c r="G25" i="2"/>
  <c r="H25" i="2"/>
  <c r="G26" i="2"/>
  <c r="H26" i="2"/>
  <c r="G27" i="2"/>
  <c r="H27" i="2"/>
  <c r="G28" i="2"/>
  <c r="H28" i="2"/>
  <c r="G29" i="2"/>
  <c r="H29" i="2"/>
  <c r="G30" i="2"/>
  <c r="H30" i="2" s="1"/>
  <c r="G31" i="2"/>
  <c r="H31" i="2" s="1"/>
  <c r="G32" i="2"/>
  <c r="H32" i="2"/>
  <c r="G33" i="2"/>
  <c r="H33" i="2" s="1"/>
  <c r="G34" i="2"/>
  <c r="H34" i="2"/>
  <c r="G35" i="2"/>
  <c r="H35" i="2"/>
  <c r="G36" i="2"/>
  <c r="H36" i="2" s="1"/>
  <c r="G37" i="2"/>
  <c r="H37" i="2" s="1"/>
  <c r="G38" i="2"/>
  <c r="H38" i="2"/>
  <c r="G40" i="2"/>
  <c r="H40" i="2" s="1"/>
  <c r="G41" i="2"/>
  <c r="H41" i="2"/>
  <c r="G42" i="2"/>
  <c r="H42" i="2" s="1"/>
  <c r="G43" i="2"/>
  <c r="H43" i="2" s="1"/>
  <c r="G44" i="2"/>
  <c r="H44" i="2" s="1"/>
  <c r="G45" i="2"/>
  <c r="H45" i="2"/>
  <c r="G46" i="2"/>
  <c r="H46" i="2" s="1"/>
  <c r="F47" i="2"/>
  <c r="E48" i="2" s="1"/>
  <c r="E49" i="2" s="1"/>
  <c r="E47" i="2"/>
</calcChain>
</file>

<file path=xl/sharedStrings.xml><?xml version="1.0" encoding="utf-8"?>
<sst xmlns="http://schemas.openxmlformats.org/spreadsheetml/2006/main" count="274" uniqueCount="217">
  <si>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</si>
  <si>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</si>
  <si>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</si>
  <si>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</si>
  <si>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</si>
  <si>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</si>
  <si>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</si>
  <si>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</si>
  <si>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</si>
  <si>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</si>
  <si>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</si>
  <si>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</si>
  <si>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</si>
  <si>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</si>
  <si>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</si>
  <si>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</si>
  <si>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</si>
  <si>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</si>
  <si>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</si>
  <si>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</si>
  <si>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</si>
  <si>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</si>
  <si>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</si>
  <si>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</si>
  <si>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</si>
  <si>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</si>
  <si>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</si>
  <si>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</si>
  <si>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</si>
  <si>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</si>
  <si>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</si>
  <si>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</si>
  <si>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</si>
  <si>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</si>
  <si>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</si>
  <si>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</si>
  <si>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</si>
  <si>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</si>
  <si>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</si>
  <si>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</si>
  <si>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</si>
  <si>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</si>
  <si>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</si>
  <si>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</si>
  <si>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</si>
  <si>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</si>
  <si>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</si>
  <si>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</si>
  <si>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</si>
  <si>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</si>
  <si>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</si>
  <si>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</si>
  <si>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</si>
  <si>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</si>
  <si>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</si>
  <si>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</si>
  <si>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</si>
  <si>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</si>
  <si>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</si>
  <si>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</si>
  <si>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</si>
  <si>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</si>
  <si>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</si>
  <si>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</si>
  <si>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</si>
  <si>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</si>
  <si>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</si>
  <si>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</si>
  <si>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</si>
  <si>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</si>
  <si>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</si>
  <si>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</si>
  <si>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</si>
  <si>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</si>
  <si>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</si>
  <si>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</si>
  <si>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</si>
  <si>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</si>
  <si>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</si>
  <si>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</si>
  <si>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</si>
  <si>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</si>
  <si>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</si>
  <si>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</si>
  <si>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</si>
  <si>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</si>
  <si>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</si>
  <si>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</si>
  <si>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</si>
  <si>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</si>
  <si>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</si>
  <si>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</si>
  <si>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</si>
  <si>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</si>
  <si>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</si>
  <si>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</si>
  <si>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</si>
  <si>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</si>
  <si>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</si>
  <si>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</si>
  <si>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</si>
  <si>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</si>
  <si>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</si>
  <si>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</si>
  <si>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</si>
  <si>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</si>
  <si>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</si>
  <si>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</si>
  <si>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</si>
  <si>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</si>
  <si>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</si>
  <si>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</si>
  <si>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</si>
  <si>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</si>
  <si>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</si>
  <si>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</si>
  <si>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</si>
  <si>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</si>
  <si>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</si>
  <si>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</si>
  <si>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</si>
  <si>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</si>
  <si>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</si>
  <si>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</si>
  <si>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</si>
  <si>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</si>
  <si>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</si>
  <si>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</si>
  <si>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</si>
  <si>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</si>
  <si>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</si>
  <si>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</si>
  <si>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</si>
  <si>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</si>
  <si>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</si>
  <si>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</si>
  <si>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</si>
  <si>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</si>
  <si>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</si>
  <si>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</si>
  <si>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</si>
  <si>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</si>
  <si>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</si>
  <si>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</si>
  <si>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</si>
  <si>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</si>
  <si>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</si>
  <si>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</si>
  <si>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</si>
  <si>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</si>
  <si>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</si>
  <si>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</si>
  <si>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</si>
  <si>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</si>
  <si>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</si>
  <si>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</si>
  <si>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</si>
  <si>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</si>
  <si>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</si>
  <si>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</si>
  <si>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</si>
  <si>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</si>
  <si>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</si>
  <si>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</si>
  <si>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</si>
  <si>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</si>
  <si>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</si>
  <si>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</si>
  <si>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</si>
  <si>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</si>
  <si>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</si>
  <si>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</si>
  <si>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</si>
  <si>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</si>
  <si>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</si>
  <si>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</si>
  <si>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1.</t>
    </r>
    <r>
      <rPr>
        <sz val="7"/>
        <color rgb="FF000000"/>
        <rFont val="Times New Roman"/>
        <family val="1"/>
      </rPr>
      <t xml:space="preserve">     </t>
    </r>
    <r>
      <rPr>
        <sz val="12"/>
        <color rgb="FF000000"/>
        <rFont val="Arial"/>
        <family val="2"/>
      </rPr>
      <t>يقوم رئيس أركان مجموعة اللواء بتوضيح ما يلي لهيئة الركن:</t>
    </r>
  </si>
  <si>
    <t>أ. مهمة مجموعة اللواء.</t>
  </si>
  <si>
    <t>ب. قصد قائد مجموعة اللواء من العملية.</t>
  </si>
  <si>
    <t>جـ. متطلبات القائد من المعلومات الهامة (الحرجة).</t>
  </si>
  <si>
    <t>د. القرارات التي يجب اتخاذها عند الحصول على المعلومات المطلوبة.</t>
  </si>
  <si>
    <t>هـ. العمليات الجارية.</t>
  </si>
  <si>
    <r>
      <t>2.</t>
    </r>
    <r>
      <rPr>
        <sz val="7"/>
        <color rgb="FF000000"/>
        <rFont val="Times New Roman"/>
        <family val="1"/>
      </rPr>
      <t xml:space="preserve">     </t>
    </r>
    <r>
      <rPr>
        <sz val="12"/>
        <color rgb="FF000000"/>
        <rFont val="Arial"/>
        <family val="2"/>
      </rPr>
      <t>يقوم ركن عمليات اللواء بتنسيق وإدارة ايجازات تحديث المعركة وإيجاز تبديل/ تغيير المناوبة في مركز القيادة وحسب الأوامر التعبوية المستديمة ووتيرة المعركة لمجموعة اللواء. ويتم تقديم التحديثات التالية:</t>
    </r>
  </si>
  <si>
    <t>أ. الموقف الحالي والعمليات الجارية من قبل ضابط المعركة أو ركن عمليات اللواء.</t>
  </si>
  <si>
    <t>ب. موقف الاستخبارات خلال 12 ساعة الماضية من قبل ضابط الاستخبارات.</t>
  </si>
  <si>
    <t>جـ. موقف الإسناد الناري من قبل ضابط الإسناد الناري.</t>
  </si>
  <si>
    <t>د. موقف الحماية (الهندسة، الدفاع الجوي، الدفاع الكيميائي، الشرطة العسكرية) وحسب الحاجة.</t>
  </si>
  <si>
    <t>هـ. موقف الاتصالات.</t>
  </si>
  <si>
    <r>
      <t>3.</t>
    </r>
    <r>
      <rPr>
        <sz val="7"/>
        <color rgb="FF000000"/>
        <rFont val="Times New Roman"/>
        <family val="1"/>
      </rPr>
      <t xml:space="preserve">     </t>
    </r>
    <r>
      <rPr>
        <sz val="12"/>
        <color rgb="FF000000"/>
        <rFont val="Arial"/>
        <family val="2"/>
      </rPr>
      <t>التأكد من قيام جميع أقسام الركن بتنفيذ إيجاز تبديل/ تغيير المناوبة.</t>
    </r>
  </si>
  <si>
    <r>
      <t>4.</t>
    </r>
    <r>
      <rPr>
        <sz val="7"/>
        <color rgb="FF000000"/>
        <rFont val="Times New Roman"/>
        <family val="1"/>
      </rPr>
      <t xml:space="preserve">     </t>
    </r>
    <r>
      <rPr>
        <sz val="12"/>
        <color rgb="FF000000"/>
        <rFont val="Arial"/>
        <family val="2"/>
      </rPr>
      <t>يتأكد ضابط المعركة من أنه تم إيجاز المعنيين في مركز القيادة حول المسؤول عن متابعة التقارير الواردة لمركز القيادة والإجراءات التي يجب اتخاذها عند وصول التقارير وكيفية تحديث الخرائط والشفافات في مركز القيادة.</t>
    </r>
  </si>
  <si>
    <r>
      <t>5.</t>
    </r>
    <r>
      <rPr>
        <sz val="7"/>
        <color rgb="FF000000"/>
        <rFont val="Times New Roman"/>
        <family val="1"/>
      </rPr>
      <t xml:space="preserve">     </t>
    </r>
    <r>
      <rPr>
        <sz val="12"/>
        <color rgb="FF000000"/>
        <rFont val="Arial"/>
        <family val="2"/>
      </rPr>
      <t>التأكد من إدامة مجرى/ سجل الحوادث في مركز القيادة.</t>
    </r>
  </si>
  <si>
    <r>
      <t>6.</t>
    </r>
    <r>
      <rPr>
        <sz val="7"/>
        <color rgb="FF000000"/>
        <rFont val="Times New Roman"/>
        <family val="1"/>
      </rPr>
      <t xml:space="preserve">     </t>
    </r>
    <r>
      <rPr>
        <sz val="12"/>
        <color rgb="FF000000"/>
        <rFont val="Arial"/>
        <family val="2"/>
      </rPr>
      <t>متابعة مركز القيادة ما يلي:</t>
    </r>
  </si>
  <si>
    <t>أ. موقع الوحدات المرؤوسة وحركتها.</t>
  </si>
  <si>
    <t>ب. موقع وحدات الإسناد والوحدات المجاورة وحركتها.</t>
  </si>
  <si>
    <t>جـ. متابعة مواقع قوات العدو وحجمها وحركتها ونشاطاتها.</t>
  </si>
  <si>
    <t>د. متابعة حالة الطقس.</t>
  </si>
  <si>
    <t>هـ. متابعة موقف موانع قوات العدو.</t>
  </si>
  <si>
    <t>و. متابعة تنسيق إجراءات السيطرة على النيران غير المباشرة.</t>
  </si>
  <si>
    <t>ز. متابعة موقف مصادر الإسناد الناري.</t>
  </si>
  <si>
    <t>ح. متابعة موقف الإمداد والقوى البشرية لمجموعة اللواء.</t>
  </si>
  <si>
    <t>ط. متابعة موقف الأسلحة والأجهزة والمعدات الهامة.</t>
  </si>
  <si>
    <t>ي. متابعة إرسال التقارير للمستوى الأعلى.</t>
  </si>
  <si>
    <t>ك. متابعة التقارير الواردة من الوحدات المرؤوسة.</t>
  </si>
  <si>
    <t>ل. متابعة متطلبات القائد من المعلومات الهامة/ الحرجة.</t>
  </si>
  <si>
    <t>م. متابعة أوامر العمليات أو الأوامر المجزأة الصادرة من المستوى الأعلى.</t>
  </si>
  <si>
    <r>
      <t>7.</t>
    </r>
    <r>
      <rPr>
        <sz val="7"/>
        <color rgb="FF000000"/>
        <rFont val="Times New Roman"/>
        <family val="1"/>
      </rPr>
      <t xml:space="preserve">     </t>
    </r>
    <r>
      <rPr>
        <sz val="12"/>
        <color rgb="FF000000"/>
        <rFont val="Arial"/>
        <family val="2"/>
      </rPr>
      <t>يقوم ضباط الركن بمعالجة وتحليل المعلومات الواردة لمركز القيادة حسب الاختصاص.</t>
    </r>
  </si>
  <si>
    <r>
      <t>8.</t>
    </r>
    <r>
      <rPr>
        <sz val="7"/>
        <color rgb="FF000000"/>
        <rFont val="Times New Roman"/>
        <family val="1"/>
      </rPr>
      <t xml:space="preserve">     </t>
    </r>
    <r>
      <rPr>
        <sz val="12"/>
        <color rgb="FF000000"/>
        <rFont val="Arial"/>
        <family val="2"/>
      </rPr>
      <t>توزيع المعلومات إلى المعنيين حسب الحاجة.</t>
    </r>
  </si>
  <si>
    <r>
      <t>9.</t>
    </r>
    <r>
      <rPr>
        <sz val="7"/>
        <color rgb="FF000000"/>
        <rFont val="Times New Roman"/>
        <family val="1"/>
      </rPr>
      <t xml:space="preserve">     </t>
    </r>
    <r>
      <rPr>
        <sz val="12"/>
        <color rgb="FF000000"/>
        <rFont val="Arial"/>
        <family val="2"/>
      </rPr>
      <t>يقوم ضباط الركن بتحليل التقارير الدورية التالية والواردة لمركز القيادة:</t>
    </r>
  </si>
  <si>
    <t>أ. تقارير الاستخبارات.</t>
  </si>
  <si>
    <t>ب. تقارير الإسناد الناري.</t>
  </si>
  <si>
    <t>جـ. تقارير الدفاع الجوي.</t>
  </si>
  <si>
    <t>د. تقارير الدفاع الكيميائي.</t>
  </si>
  <si>
    <t>هـ. تقارير الاستطلاع.</t>
  </si>
  <si>
    <t>و. تقارير الإسناد الجوي.</t>
  </si>
  <si>
    <t>ز. تقارير الاتصالات.</t>
  </si>
  <si>
    <r>
      <rPr>
        <b/>
        <sz val="14"/>
        <color rgb="FF000000"/>
        <rFont val="Arial"/>
        <family val="2"/>
      </rPr>
      <t>تقييم هيئة الركن في متابعة الموقف ومراقبة سير العمليات</t>
    </r>
    <r>
      <rPr>
        <b/>
        <u/>
        <sz val="14"/>
        <color rgb="FF000000"/>
        <rFont val="Arial"/>
        <family val="2"/>
      </rPr>
      <t xml:space="preserve">
تمرين جاهزية مجموعة لواء الإمارات/1 (جندي الصحراء 2025/20)</t>
    </r>
  </si>
  <si>
    <t>العقيد الركن/ محمد حبيب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</si>
</sst>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1"/>
  <sheetViews>
    <sheetView rightToLeft="1" tabSelected="1" view="pageBreakPreview" topLeftCell="A44" zoomScale="130" zoomScaleNormal="100" zoomScaleSheetLayoutView="130" workbookViewId="0">
      <selection activeCell="F30" sqref="F30:F3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8" t="s">
        <v>215</v>
      </c>
      <c r="C1" s="78"/>
      <c r="D1" s="78"/>
      <c r="E1" s="78"/>
      <c r="F1" s="78"/>
      <c r="G1" s="78"/>
      <c r="H1" s="78"/>
      <c r="I1" s="78"/>
      <c r="J1" s="78"/>
    </row>
    <row r="2" spans="1:10" ht="30" customHeight="1" x14ac:dyDescent="0.3">
      <c r="B2" s="12" t="s">
        <v>8</v>
      </c>
      <c r="C2" s="84" t="s">
        <v>35</v>
      </c>
      <c r="D2" s="84"/>
      <c r="E2" s="12" t="s">
        <v>7</v>
      </c>
      <c r="F2" s="79" t="s">
        <v>56</v>
      </c>
      <c r="G2" s="79"/>
      <c r="H2" s="79"/>
      <c r="I2" s="79"/>
      <c r="J2" s="79"/>
    </row>
    <row r="3" spans="1:10" ht="30" customHeight="1" x14ac:dyDescent="0.3">
      <c r="B3" s="12" t="s">
        <v>9</v>
      </c>
      <c r="C3" s="84" t="s">
        <v>62</v>
      </c>
      <c r="D3" s="84"/>
      <c r="E3" s="12" t="s">
        <v>6</v>
      </c>
      <c r="F3" s="84" t="s">
        <v>59</v>
      </c>
      <c r="G3" s="84"/>
      <c r="H3" s="84"/>
      <c r="I3" s="84"/>
      <c r="J3" s="84"/>
    </row>
    <row r="4" spans="1:10" ht="30" customHeight="1" thickBot="1" x14ac:dyDescent="0.35">
      <c r="B4" s="6"/>
      <c r="C4" s="7"/>
      <c r="D4" s="7"/>
      <c r="E4" s="6"/>
      <c r="F4" s="95" t="s">
        <v>216</v>
      </c>
      <c r="G4" s="95"/>
      <c r="H4" s="95"/>
      <c r="I4" s="95"/>
      <c r="J4" s="95"/>
    </row>
    <row r="5" spans="1:10" ht="24.9" customHeight="1" x14ac:dyDescent="0.3">
      <c r="A5" s="10"/>
      <c r="B5" s="80" t="s">
        <v>0</v>
      </c>
      <c r="C5" s="81"/>
      <c r="D5" s="81"/>
      <c r="E5" s="85" t="s">
        <v>1</v>
      </c>
      <c r="F5" s="85"/>
      <c r="G5" s="85"/>
      <c r="H5" s="85"/>
      <c r="I5" s="85" t="s">
        <v>2</v>
      </c>
      <c r="J5" s="86"/>
    </row>
    <row r="6" spans="1:10" ht="24.9" customHeight="1" thickBot="1" x14ac:dyDescent="0.35">
      <c r="A6" s="10"/>
      <c r="B6" s="82"/>
      <c r="C6" s="83"/>
      <c r="D6" s="83"/>
      <c r="E6" s="11" t="s">
        <v>3</v>
      </c>
      <c r="F6" s="11" t="s">
        <v>4</v>
      </c>
      <c r="G6" s="11" t="s">
        <v>23</v>
      </c>
      <c r="H6" s="11" t="s">
        <v>24</v>
      </c>
      <c r="I6" s="87"/>
      <c r="J6" s="88"/>
    </row>
    <row r="7" spans="1:10" ht="24.9" customHeight="1" thickBot="1" x14ac:dyDescent="0.35">
      <c r="A7" s="10"/>
      <c r="B7" s="89" t="s">
        <v>21</v>
      </c>
      <c r="C7" s="90"/>
      <c r="D7" s="90"/>
      <c r="E7" s="28" t="s">
        <v>18</v>
      </c>
      <c r="F7" s="28" t="s">
        <v>19</v>
      </c>
      <c r="G7" s="28" t="s">
        <v>22</v>
      </c>
      <c r="H7" s="28" t="s">
        <v>20</v>
      </c>
      <c r="I7" s="93" t="s">
        <v>25</v>
      </c>
      <c r="J7" s="94"/>
    </row>
    <row r="8" spans="1:10" ht="40.200000000000003" customHeight="1" x14ac:dyDescent="0.3">
      <c r="A8" s="10"/>
      <c r="B8" s="49" t="s">
        <v>176</v>
      </c>
      <c r="C8" s="50"/>
      <c r="D8" s="50"/>
      <c r="E8" s="32"/>
      <c r="F8" s="33"/>
      <c r="G8" s="34"/>
      <c r="H8" s="35"/>
      <c r="I8" s="53"/>
      <c r="J8" s="54"/>
    </row>
    <row r="9" spans="1:10" ht="40.200000000000003" customHeight="1" x14ac:dyDescent="0.3">
      <c r="A9" s="10"/>
      <c r="B9" s="59" t="s">
        <v>177</v>
      </c>
      <c r="C9" s="60"/>
      <c r="D9" s="60"/>
      <c r="E9" s="8">
        <v>5</v>
      </c>
      <c r="F9" s="25">
        <v>3.75</v>
      </c>
      <c r="G9" s="30">
        <f>IFERROR(F9/E9,"")</f>
        <v>0.75</v>
      </c>
      <c r="H9" s="31" t="str">
        <f>_xlfn.IFS(F9="أدخل العلامة","",F9="لا ينطبق","تم الإلغاء",G9&gt;=90%,"ممتاز",G9&gt;=80%,"جيد جداً",G9&gt;=70%,"جيد",G9&gt;=60%,"مقبول",G9&lt;60%,"راسب")</f>
        <v>جيد</v>
      </c>
      <c r="I9" s="55"/>
      <c r="J9" s="56"/>
    </row>
    <row r="10" spans="1:10" ht="40.200000000000003" customHeight="1" x14ac:dyDescent="0.3">
      <c r="A10" s="10"/>
      <c r="B10" s="59" t="s">
        <v>178</v>
      </c>
      <c r="C10" s="60"/>
      <c r="D10" s="60"/>
      <c r="E10" s="8">
        <v>5</v>
      </c>
      <c r="F10" s="41">
        <v>3.75</v>
      </c>
      <c r="G10" s="30">
        <f t="shared" ref="G10:G46" si="0">IFERROR(F10/E10,"")</f>
        <v>0.75</v>
      </c>
      <c r="H10" s="31" t="str">
        <f t="shared" ref="H10:H46" si="1">_xlfn.IFS(F10="أدخل العلامة","",F10="لا ينطبق","تم الإلغاء",G10&gt;=90%,"ممتاز",G10&gt;=80%,"جيد جداً",G10&gt;=70%,"جيد",G10&gt;=60%,"مقبول",G10&lt;60%,"راسب")</f>
        <v>جيد</v>
      </c>
      <c r="I10" s="55"/>
      <c r="J10" s="56"/>
    </row>
    <row r="11" spans="1:10" ht="40.200000000000003" customHeight="1" x14ac:dyDescent="0.3">
      <c r="A11" s="10"/>
      <c r="B11" s="59" t="s">
        <v>179</v>
      </c>
      <c r="C11" s="60"/>
      <c r="D11" s="60"/>
      <c r="E11" s="8">
        <v>5</v>
      </c>
      <c r="F11" s="41">
        <v>3.75</v>
      </c>
      <c r="G11" s="30">
        <f t="shared" si="0"/>
        <v>0.75</v>
      </c>
      <c r="H11" s="31" t="str">
        <f t="shared" si="1"/>
        <v>جيد</v>
      </c>
      <c r="I11" s="55"/>
      <c r="J11" s="56"/>
    </row>
    <row r="12" spans="1:10" ht="40.200000000000003" customHeight="1" x14ac:dyDescent="0.3">
      <c r="A12" s="10"/>
      <c r="B12" s="59" t="s">
        <v>180</v>
      </c>
      <c r="C12" s="60"/>
      <c r="D12" s="60"/>
      <c r="E12" s="8">
        <v>5</v>
      </c>
      <c r="F12" s="41">
        <v>3.75</v>
      </c>
      <c r="G12" s="30">
        <f t="shared" si="0"/>
        <v>0.75</v>
      </c>
      <c r="H12" s="31" t="str">
        <f t="shared" si="1"/>
        <v>جيد</v>
      </c>
      <c r="I12" s="55"/>
      <c r="J12" s="56"/>
    </row>
    <row r="13" spans="1:10" ht="40.200000000000003" customHeight="1" thickBot="1" x14ac:dyDescent="0.35">
      <c r="A13" s="10"/>
      <c r="B13" s="57" t="s">
        <v>181</v>
      </c>
      <c r="C13" s="58"/>
      <c r="D13" s="58"/>
      <c r="E13" s="36">
        <v>5</v>
      </c>
      <c r="F13" s="27">
        <v>4</v>
      </c>
      <c r="G13" s="37">
        <f t="shared" si="0"/>
        <v>0.8</v>
      </c>
      <c r="H13" s="38" t="str">
        <f t="shared" si="1"/>
        <v>جيد جداً</v>
      </c>
      <c r="I13" s="51"/>
      <c r="J13" s="52"/>
    </row>
    <row r="14" spans="1:10" ht="57" customHeight="1" x14ac:dyDescent="0.3">
      <c r="A14" s="10"/>
      <c r="B14" s="49" t="s">
        <v>182</v>
      </c>
      <c r="C14" s="50"/>
      <c r="D14" s="50"/>
      <c r="E14" s="39"/>
      <c r="F14" s="33"/>
      <c r="G14" s="34"/>
      <c r="H14" s="35"/>
      <c r="I14" s="53"/>
      <c r="J14" s="54"/>
    </row>
    <row r="15" spans="1:10" ht="40.200000000000003" customHeight="1" x14ac:dyDescent="0.3">
      <c r="A15" s="10"/>
      <c r="B15" s="43" t="s">
        <v>183</v>
      </c>
      <c r="C15" s="44"/>
      <c r="D15" s="44"/>
      <c r="E15" s="8">
        <v>5</v>
      </c>
      <c r="F15" s="25">
        <v>3.5</v>
      </c>
      <c r="G15" s="30">
        <f t="shared" si="0"/>
        <v>0.7</v>
      </c>
      <c r="H15" s="31" t="str">
        <f t="shared" si="1"/>
        <v>جيد</v>
      </c>
      <c r="I15" s="55"/>
      <c r="J15" s="56"/>
    </row>
    <row r="16" spans="1:10" ht="40.200000000000003" customHeight="1" x14ac:dyDescent="0.3">
      <c r="A16" s="10"/>
      <c r="B16" s="43" t="s">
        <v>184</v>
      </c>
      <c r="C16" s="44"/>
      <c r="D16" s="44"/>
      <c r="E16" s="8">
        <v>5</v>
      </c>
      <c r="F16" s="41">
        <v>3.5</v>
      </c>
      <c r="G16" s="30">
        <f t="shared" si="0"/>
        <v>0.7</v>
      </c>
      <c r="H16" s="31" t="str">
        <f t="shared" si="1"/>
        <v>جيد</v>
      </c>
      <c r="I16" s="55"/>
      <c r="J16" s="56"/>
    </row>
    <row r="17" spans="1:10" ht="40.200000000000003" customHeight="1" x14ac:dyDescent="0.3">
      <c r="A17" s="10"/>
      <c r="B17" s="43" t="s">
        <v>185</v>
      </c>
      <c r="C17" s="44"/>
      <c r="D17" s="44"/>
      <c r="E17" s="8">
        <v>5</v>
      </c>
      <c r="F17" s="41">
        <v>3.5</v>
      </c>
      <c r="G17" s="30">
        <f t="shared" si="0"/>
        <v>0.7</v>
      </c>
      <c r="H17" s="31" t="str">
        <f t="shared" si="1"/>
        <v>جيد</v>
      </c>
      <c r="I17" s="55"/>
      <c r="J17" s="56"/>
    </row>
    <row r="18" spans="1:10" ht="40.200000000000003" customHeight="1" x14ac:dyDescent="0.3">
      <c r="A18" s="10"/>
      <c r="B18" s="43" t="s">
        <v>186</v>
      </c>
      <c r="C18" s="44"/>
      <c r="D18" s="44"/>
      <c r="E18" s="8">
        <v>5</v>
      </c>
      <c r="F18" s="25">
        <v>3.75</v>
      </c>
      <c r="G18" s="30">
        <f t="shared" si="0"/>
        <v>0.75</v>
      </c>
      <c r="H18" s="31" t="str">
        <f t="shared" si="1"/>
        <v>جيد</v>
      </c>
      <c r="I18" s="55"/>
      <c r="J18" s="56"/>
    </row>
    <row r="19" spans="1:10" ht="40.200000000000003" customHeight="1" thickBot="1" x14ac:dyDescent="0.35">
      <c r="A19" s="10"/>
      <c r="B19" s="45" t="s">
        <v>187</v>
      </c>
      <c r="C19" s="46"/>
      <c r="D19" s="46"/>
      <c r="E19" s="36">
        <v>5</v>
      </c>
      <c r="F19" s="41">
        <v>3.75</v>
      </c>
      <c r="G19" s="37">
        <f t="shared" si="0"/>
        <v>0.75</v>
      </c>
      <c r="H19" s="38" t="str">
        <f t="shared" si="1"/>
        <v>جيد</v>
      </c>
      <c r="I19" s="51"/>
      <c r="J19" s="52"/>
    </row>
    <row r="20" spans="1:10" ht="40.200000000000003" customHeight="1" thickBot="1" x14ac:dyDescent="0.35">
      <c r="A20" s="10"/>
      <c r="B20" s="47" t="s">
        <v>188</v>
      </c>
      <c r="C20" s="48"/>
      <c r="D20" s="48"/>
      <c r="E20" s="9">
        <v>5</v>
      </c>
      <c r="F20" s="41">
        <v>3.75</v>
      </c>
      <c r="G20" s="40">
        <f t="shared" si="0"/>
        <v>0.75</v>
      </c>
      <c r="H20" s="26" t="str">
        <f t="shared" si="1"/>
        <v>جيد</v>
      </c>
      <c r="I20" s="91"/>
      <c r="J20" s="92"/>
    </row>
    <row r="21" spans="1:10" ht="66.599999999999994" customHeight="1" thickBot="1" x14ac:dyDescent="0.35">
      <c r="A21" s="10"/>
      <c r="B21" s="47" t="s">
        <v>189</v>
      </c>
      <c r="C21" s="48"/>
      <c r="D21" s="48"/>
      <c r="E21" s="9">
        <v>5</v>
      </c>
      <c r="F21" s="41">
        <v>3.75</v>
      </c>
      <c r="G21" s="40">
        <f t="shared" si="0"/>
        <v>0.75</v>
      </c>
      <c r="H21" s="26" t="str">
        <f t="shared" si="1"/>
        <v>جيد</v>
      </c>
      <c r="I21" s="91"/>
      <c r="J21" s="92"/>
    </row>
    <row r="22" spans="1:10" ht="40.200000000000003" customHeight="1" thickBot="1" x14ac:dyDescent="0.35">
      <c r="A22" s="10"/>
      <c r="B22" s="47" t="s">
        <v>190</v>
      </c>
      <c r="C22" s="48"/>
      <c r="D22" s="48"/>
      <c r="E22" s="9">
        <v>5</v>
      </c>
      <c r="F22" s="41">
        <v>3.75</v>
      </c>
      <c r="G22" s="40">
        <f t="shared" si="0"/>
        <v>0.75</v>
      </c>
      <c r="H22" s="26" t="str">
        <f t="shared" si="1"/>
        <v>جيد</v>
      </c>
      <c r="I22" s="91"/>
      <c r="J22" s="92"/>
    </row>
    <row r="23" spans="1:10" ht="40.200000000000003" customHeight="1" x14ac:dyDescent="0.3">
      <c r="A23" s="10"/>
      <c r="B23" s="49" t="s">
        <v>191</v>
      </c>
      <c r="C23" s="50"/>
      <c r="D23" s="50"/>
      <c r="E23" s="39"/>
      <c r="F23" s="33"/>
      <c r="G23" s="34"/>
      <c r="H23" s="35"/>
      <c r="I23" s="53"/>
      <c r="J23" s="54"/>
    </row>
    <row r="24" spans="1:10" ht="40.200000000000003" customHeight="1" x14ac:dyDescent="0.3">
      <c r="A24" s="10"/>
      <c r="B24" s="43" t="s">
        <v>192</v>
      </c>
      <c r="C24" s="44"/>
      <c r="D24" s="44"/>
      <c r="E24" s="8">
        <v>5</v>
      </c>
      <c r="F24" s="25">
        <v>4</v>
      </c>
      <c r="G24" s="30">
        <f t="shared" si="0"/>
        <v>0.8</v>
      </c>
      <c r="H24" s="31" t="str">
        <f t="shared" si="1"/>
        <v>جيد جداً</v>
      </c>
      <c r="I24" s="55"/>
      <c r="J24" s="56"/>
    </row>
    <row r="25" spans="1:10" ht="40.200000000000003" customHeight="1" x14ac:dyDescent="0.3">
      <c r="A25" s="10"/>
      <c r="B25" s="43" t="s">
        <v>193</v>
      </c>
      <c r="C25" s="44"/>
      <c r="D25" s="44"/>
      <c r="E25" s="8">
        <v>5</v>
      </c>
      <c r="F25" s="25">
        <v>4</v>
      </c>
      <c r="G25" s="30">
        <f t="shared" si="0"/>
        <v>0.8</v>
      </c>
      <c r="H25" s="31" t="str">
        <f t="shared" si="1"/>
        <v>جيد جداً</v>
      </c>
      <c r="I25" s="55"/>
      <c r="J25" s="56"/>
    </row>
    <row r="26" spans="1:10" ht="40.200000000000003" customHeight="1" x14ac:dyDescent="0.3">
      <c r="A26" s="10"/>
      <c r="B26" s="43" t="s">
        <v>194</v>
      </c>
      <c r="C26" s="44"/>
      <c r="D26" s="44"/>
      <c r="E26" s="8">
        <v>5</v>
      </c>
      <c r="F26" s="25">
        <v>4</v>
      </c>
      <c r="G26" s="30">
        <f t="shared" si="0"/>
        <v>0.8</v>
      </c>
      <c r="H26" s="31" t="str">
        <f t="shared" si="1"/>
        <v>جيد جداً</v>
      </c>
      <c r="I26" s="55"/>
      <c r="J26" s="56"/>
    </row>
    <row r="27" spans="1:10" ht="40.200000000000003" customHeight="1" x14ac:dyDescent="0.3">
      <c r="A27" s="10"/>
      <c r="B27" s="43" t="s">
        <v>195</v>
      </c>
      <c r="C27" s="44"/>
      <c r="D27" s="44"/>
      <c r="E27" s="8">
        <v>5</v>
      </c>
      <c r="F27" s="25">
        <v>3.75</v>
      </c>
      <c r="G27" s="30">
        <f t="shared" si="0"/>
        <v>0.75</v>
      </c>
      <c r="H27" s="31" t="str">
        <f t="shared" si="1"/>
        <v>جيد</v>
      </c>
      <c r="I27" s="55"/>
      <c r="J27" s="56"/>
    </row>
    <row r="28" spans="1:10" ht="40.200000000000003" customHeight="1" x14ac:dyDescent="0.3">
      <c r="A28" s="10"/>
      <c r="B28" s="43" t="s">
        <v>196</v>
      </c>
      <c r="C28" s="44"/>
      <c r="D28" s="44"/>
      <c r="E28" s="8">
        <v>5</v>
      </c>
      <c r="F28" s="25">
        <v>3.75</v>
      </c>
      <c r="G28" s="30">
        <f t="shared" si="0"/>
        <v>0.75</v>
      </c>
      <c r="H28" s="31" t="str">
        <f t="shared" si="1"/>
        <v>جيد</v>
      </c>
      <c r="I28" s="55"/>
      <c r="J28" s="56"/>
    </row>
    <row r="29" spans="1:10" ht="40.200000000000003" customHeight="1" x14ac:dyDescent="0.3">
      <c r="A29" s="10"/>
      <c r="B29" s="43" t="s">
        <v>197</v>
      </c>
      <c r="C29" s="44"/>
      <c r="D29" s="44"/>
      <c r="E29" s="8">
        <v>5</v>
      </c>
      <c r="F29" s="25">
        <v>4</v>
      </c>
      <c r="G29" s="30">
        <f t="shared" si="0"/>
        <v>0.8</v>
      </c>
      <c r="H29" s="31" t="str">
        <f t="shared" si="1"/>
        <v>جيد جداً</v>
      </c>
      <c r="I29" s="55"/>
      <c r="J29" s="56"/>
    </row>
    <row r="30" spans="1:10" ht="40.200000000000003" customHeight="1" x14ac:dyDescent="0.3">
      <c r="A30" s="10"/>
      <c r="B30" s="43" t="s">
        <v>198</v>
      </c>
      <c r="C30" s="44"/>
      <c r="D30" s="44"/>
      <c r="E30" s="8">
        <v>5</v>
      </c>
      <c r="F30" s="25">
        <v>3.5</v>
      </c>
      <c r="G30" s="30">
        <f t="shared" si="0"/>
        <v>0.7</v>
      </c>
      <c r="H30" s="31" t="str">
        <f t="shared" si="1"/>
        <v>جيد</v>
      </c>
      <c r="I30" s="55"/>
      <c r="J30" s="56"/>
    </row>
    <row r="31" spans="1:10" ht="40.200000000000003" customHeight="1" x14ac:dyDescent="0.3">
      <c r="A31" s="10"/>
      <c r="B31" s="43" t="s">
        <v>199</v>
      </c>
      <c r="C31" s="44"/>
      <c r="D31" s="44"/>
      <c r="E31" s="8">
        <v>5</v>
      </c>
      <c r="F31" s="41">
        <v>3.5</v>
      </c>
      <c r="G31" s="30">
        <f t="shared" si="0"/>
        <v>0.7</v>
      </c>
      <c r="H31" s="31" t="str">
        <f t="shared" si="1"/>
        <v>جيد</v>
      </c>
      <c r="I31" s="55"/>
      <c r="J31" s="56"/>
    </row>
    <row r="32" spans="1:10" ht="40.200000000000003" customHeight="1" x14ac:dyDescent="0.3">
      <c r="A32" s="10"/>
      <c r="B32" s="43" t="s">
        <v>200</v>
      </c>
      <c r="C32" s="44"/>
      <c r="D32" s="44"/>
      <c r="E32" s="8">
        <v>5</v>
      </c>
      <c r="F32" s="41">
        <v>3.5</v>
      </c>
      <c r="G32" s="30">
        <f t="shared" si="0"/>
        <v>0.7</v>
      </c>
      <c r="H32" s="31" t="str">
        <f t="shared" si="1"/>
        <v>جيد</v>
      </c>
      <c r="I32" s="55"/>
      <c r="J32" s="56"/>
    </row>
    <row r="33" spans="1:10" ht="40.200000000000003" customHeight="1" x14ac:dyDescent="0.3">
      <c r="A33" s="10"/>
      <c r="B33" s="43" t="s">
        <v>201</v>
      </c>
      <c r="C33" s="44"/>
      <c r="D33" s="44"/>
      <c r="E33" s="8">
        <v>5</v>
      </c>
      <c r="F33" s="41">
        <v>3.5</v>
      </c>
      <c r="G33" s="30">
        <f t="shared" si="0"/>
        <v>0.7</v>
      </c>
      <c r="H33" s="31" t="str">
        <f t="shared" si="1"/>
        <v>جيد</v>
      </c>
      <c r="I33" s="55"/>
      <c r="J33" s="56"/>
    </row>
    <row r="34" spans="1:10" ht="40.200000000000003" customHeight="1" x14ac:dyDescent="0.3">
      <c r="A34" s="10"/>
      <c r="B34" s="43" t="s">
        <v>202</v>
      </c>
      <c r="C34" s="44"/>
      <c r="D34" s="44"/>
      <c r="E34" s="8">
        <v>5</v>
      </c>
      <c r="F34" s="25">
        <v>4</v>
      </c>
      <c r="G34" s="30">
        <f t="shared" si="0"/>
        <v>0.8</v>
      </c>
      <c r="H34" s="31" t="str">
        <f t="shared" si="1"/>
        <v>جيد جداً</v>
      </c>
      <c r="I34" s="55"/>
      <c r="J34" s="56"/>
    </row>
    <row r="35" spans="1:10" ht="40.200000000000003" customHeight="1" x14ac:dyDescent="0.3">
      <c r="A35" s="10"/>
      <c r="B35" s="43" t="s">
        <v>203</v>
      </c>
      <c r="C35" s="44"/>
      <c r="D35" s="44"/>
      <c r="E35" s="8">
        <v>5</v>
      </c>
      <c r="F35" s="25">
        <v>4</v>
      </c>
      <c r="G35" s="30">
        <f t="shared" si="0"/>
        <v>0.8</v>
      </c>
      <c r="H35" s="31" t="str">
        <f t="shared" si="1"/>
        <v>جيد جداً</v>
      </c>
      <c r="I35" s="55"/>
      <c r="J35" s="56"/>
    </row>
    <row r="36" spans="1:10" ht="40.200000000000003" customHeight="1" thickBot="1" x14ac:dyDescent="0.35">
      <c r="A36" s="10"/>
      <c r="B36" s="45" t="s">
        <v>204</v>
      </c>
      <c r="C36" s="46"/>
      <c r="D36" s="46"/>
      <c r="E36" s="36">
        <v>5</v>
      </c>
      <c r="F36" s="27">
        <v>3.75</v>
      </c>
      <c r="G36" s="37">
        <f t="shared" si="0"/>
        <v>0.75</v>
      </c>
      <c r="H36" s="38" t="str">
        <f t="shared" si="1"/>
        <v>جيد</v>
      </c>
      <c r="I36" s="51"/>
      <c r="J36" s="52"/>
    </row>
    <row r="37" spans="1:10" ht="40.200000000000003" customHeight="1" thickBot="1" x14ac:dyDescent="0.35">
      <c r="A37" s="10"/>
      <c r="B37" s="47" t="s">
        <v>205</v>
      </c>
      <c r="C37" s="48"/>
      <c r="D37" s="48"/>
      <c r="E37" s="9">
        <v>5</v>
      </c>
      <c r="F37" s="42">
        <v>3.75</v>
      </c>
      <c r="G37" s="40">
        <f t="shared" si="0"/>
        <v>0.75</v>
      </c>
      <c r="H37" s="26" t="str">
        <f t="shared" si="1"/>
        <v>جيد</v>
      </c>
      <c r="I37" s="91"/>
      <c r="J37" s="92"/>
    </row>
    <row r="38" spans="1:10" ht="40.200000000000003" customHeight="1" thickBot="1" x14ac:dyDescent="0.35">
      <c r="A38" s="10"/>
      <c r="B38" s="47" t="s">
        <v>206</v>
      </c>
      <c r="C38" s="48"/>
      <c r="D38" s="48"/>
      <c r="E38" s="9">
        <v>5</v>
      </c>
      <c r="F38" s="42">
        <v>3.75</v>
      </c>
      <c r="G38" s="40">
        <f t="shared" si="0"/>
        <v>0.75</v>
      </c>
      <c r="H38" s="26" t="str">
        <f t="shared" si="1"/>
        <v>جيد</v>
      </c>
      <c r="I38" s="91"/>
      <c r="J38" s="92"/>
    </row>
    <row r="39" spans="1:10" ht="40.200000000000003" customHeight="1" x14ac:dyDescent="0.3">
      <c r="A39" s="10"/>
      <c r="B39" s="49" t="s">
        <v>207</v>
      </c>
      <c r="C39" s="50"/>
      <c r="D39" s="50"/>
      <c r="E39" s="32"/>
      <c r="F39" s="33"/>
      <c r="G39" s="34"/>
      <c r="H39" s="35"/>
      <c r="I39" s="53"/>
      <c r="J39" s="54"/>
    </row>
    <row r="40" spans="1:10" ht="40.200000000000003" customHeight="1" x14ac:dyDescent="0.3">
      <c r="A40" s="10"/>
      <c r="B40" s="43" t="s">
        <v>208</v>
      </c>
      <c r="C40" s="44"/>
      <c r="D40" s="44"/>
      <c r="E40" s="8">
        <v>5</v>
      </c>
      <c r="F40" s="25">
        <v>3.75</v>
      </c>
      <c r="G40" s="30">
        <f t="shared" si="0"/>
        <v>0.75</v>
      </c>
      <c r="H40" s="31" t="str">
        <f t="shared" si="1"/>
        <v>جيد</v>
      </c>
      <c r="I40" s="55"/>
      <c r="J40" s="56"/>
    </row>
    <row r="41" spans="1:10" ht="40.200000000000003" customHeight="1" x14ac:dyDescent="0.3">
      <c r="A41" s="10"/>
      <c r="B41" s="43" t="s">
        <v>209</v>
      </c>
      <c r="C41" s="44"/>
      <c r="D41" s="44"/>
      <c r="E41" s="8">
        <v>5</v>
      </c>
      <c r="F41" s="41">
        <v>3.75</v>
      </c>
      <c r="G41" s="30">
        <f t="shared" si="0"/>
        <v>0.75</v>
      </c>
      <c r="H41" s="31" t="str">
        <f t="shared" si="1"/>
        <v>جيد</v>
      </c>
      <c r="I41" s="55"/>
      <c r="J41" s="56"/>
    </row>
    <row r="42" spans="1:10" ht="40.200000000000003" customHeight="1" x14ac:dyDescent="0.3">
      <c r="A42" s="10"/>
      <c r="B42" s="43" t="s">
        <v>210</v>
      </c>
      <c r="C42" s="44"/>
      <c r="D42" s="44"/>
      <c r="E42" s="8">
        <v>5</v>
      </c>
      <c r="F42" s="41">
        <v>3.75</v>
      </c>
      <c r="G42" s="30">
        <f t="shared" si="0"/>
        <v>0.75</v>
      </c>
      <c r="H42" s="31" t="str">
        <f t="shared" si="1"/>
        <v>جيد</v>
      </c>
      <c r="I42" s="55"/>
      <c r="J42" s="56"/>
    </row>
    <row r="43" spans="1:10" ht="40.200000000000003" customHeight="1" x14ac:dyDescent="0.3">
      <c r="A43" s="10"/>
      <c r="B43" s="43" t="s">
        <v>211</v>
      </c>
      <c r="C43" s="44"/>
      <c r="D43" s="44"/>
      <c r="E43" s="8">
        <v>5</v>
      </c>
      <c r="F43" s="41">
        <v>3.75</v>
      </c>
      <c r="G43" s="30">
        <f t="shared" si="0"/>
        <v>0.75</v>
      </c>
      <c r="H43" s="31" t="str">
        <f t="shared" si="1"/>
        <v>جيد</v>
      </c>
      <c r="I43" s="55"/>
      <c r="J43" s="56"/>
    </row>
    <row r="44" spans="1:10" ht="40.200000000000003" customHeight="1" x14ac:dyDescent="0.3">
      <c r="A44" s="10"/>
      <c r="B44" s="43" t="s">
        <v>212</v>
      </c>
      <c r="C44" s="44"/>
      <c r="D44" s="44"/>
      <c r="E44" s="8">
        <v>5</v>
      </c>
      <c r="F44" s="41">
        <v>3.75</v>
      </c>
      <c r="G44" s="30">
        <f t="shared" si="0"/>
        <v>0.75</v>
      </c>
      <c r="H44" s="31" t="str">
        <f t="shared" si="1"/>
        <v>جيد</v>
      </c>
      <c r="I44" s="55"/>
      <c r="J44" s="56"/>
    </row>
    <row r="45" spans="1:10" ht="40.200000000000003" customHeight="1" x14ac:dyDescent="0.3">
      <c r="A45" s="10"/>
      <c r="B45" s="43" t="s">
        <v>213</v>
      </c>
      <c r="C45" s="44"/>
      <c r="D45" s="44"/>
      <c r="E45" s="8">
        <v>5</v>
      </c>
      <c r="F45" s="25">
        <v>4</v>
      </c>
      <c r="G45" s="30">
        <f t="shared" si="0"/>
        <v>0.8</v>
      </c>
      <c r="H45" s="31" t="str">
        <f t="shared" si="1"/>
        <v>جيد جداً</v>
      </c>
      <c r="I45" s="55"/>
      <c r="J45" s="56"/>
    </row>
    <row r="46" spans="1:10" ht="40.200000000000003" customHeight="1" thickBot="1" x14ac:dyDescent="0.35">
      <c r="A46" s="10"/>
      <c r="B46" s="45" t="s">
        <v>214</v>
      </c>
      <c r="C46" s="46"/>
      <c r="D46" s="46"/>
      <c r="E46" s="36">
        <v>5</v>
      </c>
      <c r="F46" s="27">
        <v>3.5</v>
      </c>
      <c r="G46" s="37">
        <f t="shared" si="0"/>
        <v>0.7</v>
      </c>
      <c r="H46" s="38" t="str">
        <f t="shared" si="1"/>
        <v>جيد</v>
      </c>
      <c r="I46" s="51"/>
      <c r="J46" s="52"/>
    </row>
    <row r="47" spans="1:10" ht="30" customHeight="1" thickBot="1" x14ac:dyDescent="0.35">
      <c r="A47" s="4"/>
      <c r="B47" s="76" t="s">
        <v>5</v>
      </c>
      <c r="C47" s="77"/>
      <c r="D47" s="77"/>
      <c r="E47" s="29">
        <f>SUM(E8:E46)</f>
        <v>175</v>
      </c>
      <c r="F47" s="29">
        <f>SUM(F8:F46)</f>
        <v>131.25</v>
      </c>
      <c r="G47" s="73"/>
      <c r="H47" s="74"/>
      <c r="I47" s="74"/>
      <c r="J47" s="75"/>
    </row>
    <row r="48" spans="1:10" ht="30" customHeight="1" thickBot="1" x14ac:dyDescent="0.35">
      <c r="A48" s="4"/>
      <c r="B48" s="61" t="s">
        <v>54</v>
      </c>
      <c r="C48" s="62"/>
      <c r="D48" s="62"/>
      <c r="E48" s="69">
        <f>F47/E47/100*100</f>
        <v>0.75</v>
      </c>
      <c r="F48" s="69"/>
      <c r="G48" s="69"/>
      <c r="H48" s="69"/>
      <c r="I48" s="69"/>
      <c r="J48" s="70"/>
    </row>
    <row r="49" spans="1:10" ht="30" customHeight="1" thickBot="1" x14ac:dyDescent="0.35">
      <c r="A49" s="4"/>
      <c r="B49" s="61" t="s">
        <v>55</v>
      </c>
      <c r="C49" s="62"/>
      <c r="D49" s="62"/>
      <c r="E49" s="67" t="str">
        <f>_xlfn.IFS(E48&gt;=90%,"ممتاز",E48&gt;=80%,"جيد جداً",E48&gt;=70%,"جيد",E48&gt;=60%,"مقبول",E48&lt;60%,"راسب")</f>
        <v>جيد</v>
      </c>
      <c r="F49" s="67"/>
      <c r="G49" s="67"/>
      <c r="H49" s="67"/>
      <c r="I49" s="67"/>
      <c r="J49" s="68"/>
    </row>
    <row r="50" spans="1:10" ht="42" customHeight="1" x14ac:dyDescent="0.3">
      <c r="B50" s="63" t="s">
        <v>175</v>
      </c>
      <c r="C50" s="63"/>
      <c r="D50" s="63"/>
      <c r="E50" s="71" t="s">
        <v>52</v>
      </c>
      <c r="F50" s="71"/>
      <c r="G50" s="65" t="s">
        <v>59</v>
      </c>
      <c r="H50" s="65"/>
      <c r="I50" s="65"/>
      <c r="J50" s="65"/>
    </row>
    <row r="51" spans="1:10" ht="72" customHeight="1" x14ac:dyDescent="0.3">
      <c r="A51" s="5"/>
      <c r="B51" s="64"/>
      <c r="C51" s="64"/>
      <c r="D51" s="64"/>
      <c r="E51" s="72" t="s">
        <v>53</v>
      </c>
      <c r="F51" s="72"/>
      <c r="G51" s="66"/>
      <c r="H51" s="66"/>
      <c r="I51" s="66"/>
      <c r="J51" s="66"/>
    </row>
  </sheetData>
  <sheetProtection formatCells="0" formatColumns="0" formatRows="0" insertColumns="0" insertRows="0" insertHyperlinks="0" deleteColumns="0" deleteRows="0" selectLockedCells="1" sort="0" autoFilter="0" pivotTables="0"/>
  <mergeCells count="100">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F4:J4"/>
    <mergeCell ref="B50:D51"/>
    <mergeCell ref="G50:J50"/>
    <mergeCell ref="G51:J51"/>
    <mergeCell ref="E49:J49"/>
    <mergeCell ref="I40:J40"/>
    <mergeCell ref="I41:J41"/>
    <mergeCell ref="I42:J42"/>
    <mergeCell ref="I43:J43"/>
    <mergeCell ref="I44:J44"/>
    <mergeCell ref="E48:J48"/>
    <mergeCell ref="I45:J45"/>
    <mergeCell ref="I46:J46"/>
    <mergeCell ref="E50:F50"/>
    <mergeCell ref="E51:F51"/>
    <mergeCell ref="G47:J47"/>
    <mergeCell ref="B47:D47"/>
    <mergeCell ref="B48:D48"/>
    <mergeCell ref="B49:D49"/>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I8:J8"/>
    <mergeCell ref="I9:J9"/>
    <mergeCell ref="B13:D13"/>
    <mergeCell ref="B14:D14"/>
    <mergeCell ref="B15:D15"/>
    <mergeCell ref="B16:D16"/>
    <mergeCell ref="I32:J32"/>
    <mergeCell ref="B8:D8"/>
    <mergeCell ref="B9:D9"/>
    <mergeCell ref="B10:D10"/>
    <mergeCell ref="B11:D11"/>
    <mergeCell ref="B12:D12"/>
    <mergeCell ref="B31:D31"/>
    <mergeCell ref="B32:D32"/>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46:D46"/>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9">
    <cfRule type="expression" dxfId="14" priority="57">
      <formula>$E49="راسب"</formula>
    </cfRule>
  </conditionalFormatting>
  <conditionalFormatting sqref="E49:J49">
    <cfRule type="expression" dxfId="13" priority="58">
      <formula>$E49="مقبول"</formula>
    </cfRule>
    <cfRule type="expression" dxfId="12" priority="59">
      <formula>$E49="جيد"</formula>
    </cfRule>
    <cfRule type="expression" dxfId="11" priority="60">
      <formula>$E49="جيد جداً"</formula>
    </cfRule>
    <cfRule type="expression" dxfId="10" priority="61">
      <formula>$E49="ممتاز"</formula>
    </cfRule>
  </conditionalFormatting>
  <conditionalFormatting sqref="F8:F46">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50:J50">
    <cfRule type="containsText" dxfId="6" priority="15" operator="containsText" text="أدخل اسم المحكم">
      <formula>NOT(ISERROR(SEARCH("أدخل اسم المحكم",G50)))</formula>
    </cfRule>
  </conditionalFormatting>
  <conditionalFormatting sqref="H8:H46">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F40:F46 F15:F22 F9:F13 F24:F38</xm:sqref>
        </x14:dataValidation>
        <x14:dataValidation type="list" allowBlank="1" showInputMessage="1" showErrorMessage="1" xr:uid="{AE50457C-7424-4A4C-907B-8DC6AA09E7A3}">
          <x14:formula1>
            <xm:f>'بيانات التقييم'!$A$198:$A$285</xm:f>
          </x14:formula1>
          <xm:sqref>G50:J50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3" t="s">
        <v>145</v>
      </c>
    </row>
    <row r="257" spans="1:1" ht="20.100000000000001" customHeight="1" x14ac:dyDescent="0.3">
      <c r="A257" s="20" t="s">
        <v>146</v>
      </c>
    </row>
    <row r="258" spans="1:1" ht="20.100000000000001" customHeight="1" x14ac:dyDescent="0.3">
      <c r="A258" s="23" t="s">
        <v>147</v>
      </c>
    </row>
    <row r="259" spans="1:1" ht="20.100000000000001" customHeight="1" x14ac:dyDescent="0.3">
      <c r="A259" s="20" t="s">
        <v>148</v>
      </c>
    </row>
    <row r="260" spans="1:1" ht="20.100000000000001" customHeight="1" x14ac:dyDescent="0.3">
      <c r="A260" s="23"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3" t="s">
        <v>152</v>
      </c>
    </row>
    <row r="264" spans="1:1" ht="20.100000000000001" customHeight="1" x14ac:dyDescent="0.3">
      <c r="A264" s="23" t="s">
        <v>153</v>
      </c>
    </row>
    <row r="265" spans="1:1" ht="20.100000000000001" customHeight="1" x14ac:dyDescent="0.3">
      <c r="A265" s="23"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3" t="s">
        <v>159</v>
      </c>
    </row>
    <row r="271" spans="1:1" ht="20.100000000000001" customHeight="1" x14ac:dyDescent="0.3">
      <c r="A271" s="23" t="s">
        <v>160</v>
      </c>
    </row>
    <row r="272" spans="1:1" ht="20.100000000000001" customHeight="1" x14ac:dyDescent="0.3">
      <c r="A272" s="20" t="s">
        <v>161</v>
      </c>
    </row>
    <row r="273" spans="1:1" ht="20.100000000000001" customHeight="1" x14ac:dyDescent="0.3">
      <c r="A273" s="23" t="s">
        <v>162</v>
      </c>
    </row>
    <row r="274" spans="1:1" ht="20.100000000000001" customHeight="1" x14ac:dyDescent="0.3">
      <c r="A274" s="23"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3"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3" t="s">
        <v>171</v>
      </c>
    </row>
    <row r="283" spans="1:1" ht="20.100000000000001" customHeight="1" x14ac:dyDescent="0.3">
      <c r="A283" s="23" t="s">
        <v>172</v>
      </c>
    </row>
    <row r="284" spans="1:1" ht="20.100000000000001" customHeight="1" x14ac:dyDescent="0.3">
      <c r="A284" s="23"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2025-10-30T05:47:06Z</dcterms:modified>
</cp:coreProperties>
</file>