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C147C44-95B3-4C6F-9EB1-3F0A350F76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8" i="2"/>
  <c r="H8" i="2"/>
  <c r="F23" i="2"/>
  <c r="E23" i="2"/>
  <c r="E24" i="2"/>
  <c r="E25" i="2"/>
</calcChain>
</file>

<file path=xl/sharedStrings.xml><?xml version="1.0" encoding="utf-8"?>
<sst xmlns="http://schemas.openxmlformats.org/spreadsheetml/2006/main" count="253" uniqueCount="197">
  <si>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</si>
  <si>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</si>
  <si>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</si>
  <si>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</si>
  <si>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</si>
  <si>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</si>
  <si>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</si>
  <si>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</si>
  <si>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</si>
  <si>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</si>
  <si>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</si>
  <si>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</si>
  <si>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</si>
  <si>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</si>
  <si>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</si>
  <si>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</si>
  <si>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</si>
  <si>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</si>
  <si>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</si>
  <si>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</si>
  <si>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</si>
  <si>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</si>
  <si>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</si>
  <si>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</si>
  <si>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</si>
  <si>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</si>
  <si>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</si>
  <si>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</si>
  <si>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</si>
  <si>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</si>
  <si>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</si>
  <si>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</si>
  <si>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</si>
  <si>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</si>
  <si>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</si>
  <si>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</si>
  <si>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</si>
  <si>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</si>
  <si>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</si>
  <si>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</si>
  <si>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</si>
  <si>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</si>
  <si>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</si>
  <si>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</si>
  <si>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</si>
  <si>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</si>
  <si>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</si>
  <si>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</si>
  <si>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</si>
  <si>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</si>
  <si>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</si>
  <si>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</si>
  <si>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</si>
  <si>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</si>
  <si>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</si>
  <si>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</si>
  <si>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</si>
  <si>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</si>
  <si>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</si>
  <si>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</si>
  <si>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</si>
  <si>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</si>
  <si>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</si>
  <si>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</si>
  <si>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</si>
  <si>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</si>
  <si>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</si>
  <si>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</si>
  <si>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</si>
  <si>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</si>
  <si>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</si>
  <si>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</si>
  <si>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</si>
  <si>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</si>
  <si>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</si>
  <si>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</si>
  <si>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</si>
  <si>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</si>
  <si>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</si>
  <si>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</si>
  <si>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</si>
  <si>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</si>
  <si>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</si>
  <si>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</si>
  <si>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</si>
  <si>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</si>
  <si>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</si>
  <si>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</si>
  <si>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</si>
  <si>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</si>
  <si>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</si>
  <si>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</si>
  <si>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</si>
  <si>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</si>
  <si>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</si>
  <si>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</si>
  <si>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</si>
  <si>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</si>
  <si>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</si>
  <si>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</si>
  <si>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</si>
  <si>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</si>
  <si>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</si>
  <si>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</si>
  <si>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</si>
  <si>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</si>
  <si>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</si>
  <si>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</si>
  <si>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</si>
  <si>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</si>
  <si>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</si>
  <si>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</si>
  <si>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</si>
  <si>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</si>
  <si>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</si>
  <si>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</si>
  <si>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</si>
  <si>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</si>
  <si>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</si>
  <si>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</si>
  <si>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</si>
  <si>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</si>
  <si>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</si>
  <si>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</si>
  <si>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</si>
  <si>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</si>
  <si>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</si>
  <si>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</si>
  <si>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</si>
  <si>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</si>
  <si>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</si>
  <si>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</si>
  <si>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</si>
  <si>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</si>
  <si>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</si>
  <si>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</si>
  <si>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</si>
  <si>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</si>
  <si>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</si>
  <si>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</si>
  <si>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</si>
  <si>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</si>
  <si>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</si>
  <si>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</si>
  <si>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</si>
  <si>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</si>
  <si>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</si>
  <si>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</si>
  <si>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</si>
  <si>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</si>
  <si>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</si>
  <si>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</si>
  <si>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</si>
  <si>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</si>
  <si>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</si>
  <si>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</si>
  <si>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</si>
  <si>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</si>
  <si>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</si>
  <si>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</si>
  <si>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</si>
  <si>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</si>
  <si>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</si>
  <si>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</si>
  <si>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</si>
  <si>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</si>
  <si>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</si>
  <si>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</si>
  <si>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</si>
  <si>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</si>
  <si>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</si>
  <si>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</si>
  <si>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</si>
  <si>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</si>
  <si>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</si>
  <si>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</si>
  <si>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</si>
  <si>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</si>
  <si>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</si>
  <si>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</si>
  <si>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يتابع قائد السرية الموقف من مركز القيادة في مجموعة اللواء وبحد أدنى وكما يلي:</t>
    </r>
  </si>
  <si>
    <t>أ.   موقع فصائل الهندسة وحركتها.</t>
  </si>
  <si>
    <t>ب. موقع فصائل الإسناد والوحدات المجاورة وحركتها.</t>
  </si>
  <si>
    <t>جـ. متابعة مواقع قوات العدو وحجمها وحركتها ونشاطاتها.</t>
  </si>
  <si>
    <t>د.  متابعة حالة الطقس.</t>
  </si>
  <si>
    <t>هـ. متابعة موقف حقول الألغام لقواتنا.</t>
  </si>
  <si>
    <t>و.  متابعة موقف موانع قوات العدو.</t>
  </si>
  <si>
    <t>ز.  متابعة حركة المدنيين (النازحين) ضمن منطقة العمليات.</t>
  </si>
  <si>
    <t>ح.  متابعة موقف الإمداد والقوى البشرية لسرية الهندسة.</t>
  </si>
  <si>
    <t>ط. متابعة موقف الأسلحة والأجهزة والمعدات الهامة.</t>
  </si>
  <si>
    <t>ي. متابعة إرسال التقارير للمستوى الأعلى.</t>
  </si>
  <si>
    <t>ك. متابعة التقارير الواردة من الوحدات المرؤوسة.</t>
  </si>
  <si>
    <t>ل. متابعة متطلبات القائد من المعلومات الهامة/ الحرجة.</t>
  </si>
  <si>
    <t>م.  متابعة أوامر العمليات أو الأوامر المجزأة الصادرة من المستوى الأعلى.</t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</si>
  <si>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توزيع المعلومات إلى المعنيين حسب الحاجة.</t>
    </r>
  </si>
  <si>
    <r>
      <rPr>
        <b/>
        <sz val="14"/>
        <color rgb="FF000000"/>
        <rFont val="Arial"/>
        <family val="2"/>
      </rPr>
      <t>تقييم متابعة موقف سرية الهندسة ومراقبة سير العمليات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</si>
  <si>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النقيب/ مطر محمد بالهوش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</si>
</sst>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right" vertical="center" wrapText="1" indent="3" readingOrder="2"/>
    </xf>
    <xf numFmtId="0" fontId="13" fillId="0" borderId="1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0" fontId="13" fillId="0" borderId="4" xfId="0" applyFont="1" applyBorder="1" applyAlignment="1">
      <alignment horizontal="right" vertical="center" wrapText="1" readingOrder="2"/>
    </xf>
    <xf numFmtId="0" fontId="6" fillId="0" borderId="20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5484</xdr:colOff>
      <xdr:row>26</xdr:row>
      <xdr:rowOff>44948</xdr:rowOff>
    </xdr:from>
    <xdr:to>
      <xdr:col>9</xdr:col>
      <xdr:colOff>191954</xdr:colOff>
      <xdr:row>26</xdr:row>
      <xdr:rowOff>543908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90C58CA-41AF-E978-7353-F67303FD3EFF}"/>
                </a:ext>
              </a:extLst>
            </xdr14:cNvPr>
            <xdr14:cNvContentPartPr/>
          </xdr14:nvContentPartPr>
          <xdr14:nvPr macro=""/>
          <xdr14:xfrm>
            <a:off x="10398394865" y="10355040"/>
            <a:ext cx="844560" cy="498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0C58CA-41AF-E978-7353-F67303FD3E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385865" y="10346400"/>
              <a:ext cx="862200" cy="516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01:09.1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520 1298 3056,'0'0'0,"0"-1"944,-3 0-79,3 1-865,-2-2 320,2 1-264,0 1 8,0 0 8,0 0-72,0 0 104,0-2 104,2 1 80,1-1-40,-3 2-248,4-2 152,4-1-152,-8 0-48,2 0-40,-2 3 88,5-1-40,-3-2 80,0 0 32,-2-1 104,0 4-176,2-12 192,1 8 24,-3-9 112,0 9 32,0 4-360,0-17 440,0 3 8,0-5-136,0-4-8,0 23-304,0-25 337,-5-4 47,3-2 304,-5-2-112,7 33-576,-12-34 456,10 2-40,-10 0-272,4 4-32,8 28-112,-13-23 96,8 3-32,-7 3-48,10 2-80,2 15 64,-7-13 32,-4 7-64,11-5 32,-5 7-16,5 4 16,-8-5-24,8 1 48,0 1-64,0 2 48,0 1-8,0 0-104,0 0-192,0 0-144,0 4-64,0-4 504,0 11-752,0-8 160,5 9 111,0-8 145,-5-4 336,11 18-56,-8-2 64,9 2 40,-8 5 16,-4-23-64,20 27 96,-9 4-24,1 4-24,5 3-48,-17-38 0,15 38 8,0 2-16,3-3 8,1 0 48,-19-37-48,22 34 0,-4-1-56,1-5 32,2-2-8,-21-26 32,17 20-16,-1-3 64,1-3-40,-5-1-24,-12-13 16,13 4-8,-3 0-16,-6 1 16,8-3-16,-12-2 24,0 0 16,3 0-16,-1 0 24,-2 0 88,0 0-112,0 0 80,0-1 24,0-3 9,-7-8-25,7 12-88,-17-11 0,-1-5 8,-4-1-8,2-1-64,20 18 64,-27-21 0,-3-1 32,-3-1 0,1-1 16,32 24-48,-39-24 64,2-1-48,-8-1 40,0-1-16,45 27-40,-44-26 80,1 4 120,3 3 56,5 5 80,35 14-336,-30-6 328,-3 1-32,2 2 0,3 3 16,28 0-312,-26 0 368,5 3-40,7 1-120,3 0-40,11-4-168,-8 11 56,-4-8-40,10 2-40,0 6-64,2-11 88,0 3-112,0 8-104,4-7 0,13 11-120,-17-15 336,14 3-344,0 8 40,7-11 56,5 0 32,-26 0 216,28 0-240,5-3 64,-2-8-24,-3-4 96,-28 15 104,33-15-48,3-4 24,4-2-48,-1-2 72,-39 23 0,38-22 8,-1-1 8,-4 1 32,0 1-64,-33 21 16,33-21-32,-2-1 16,-1 3 8,-4 0-16,-26 19 24,31-18-32,-8 2-16,-2 2 24,-4 0-8,-17 14 32,14-12-48,-2 6 8,-10-6 0,3 10 32,-5 2 8,2-3 32,-2 2 40,-2 0 16,-3 1 128,5 0-216,-17 0 328,4 0 136,-4 4 144,0 9 8,17-13-616,-18 4 528,1 12-160,-1-2-176,-1 0-120,19-14-72,-17 18 24,3 1-16,0 4 56,2 1-64,12-24 0,-9 27 32,-3 4-16,10 2-56,-3-2 32,5-31 8,-5 31-32,5-4-8,0-4-88,3-3 72,-3-20 56,4 16-104,6-2-96,-5-10-128,6 8-200,-11-12 528,12 0-600,-3 2 0,6-2 96,-4 0 40,-11 0 464,17-4-529,1-10 25,-1 0-32,2-5-72,-19 19 608,11-18-600,1-4-128,0 1 40,-7 1 184,-5 20 504,11-18-328,-6 2 191,-3 10 145,-2-5 177,0 11-185,3-1 432,-3-1 248,0 1 136,-3-1-8,3 2-808,-2 0 640,-1 0-224,-1 3-112,0 0-112,4-3-192,-7 4 144,4 1-31,1-3-25,2 1-88,0-3 0,-3 3-16,1-3-73,2 3-135,0 0 112,0-3 112,0 0-144,0 3 32,0-1 56,-2 1 16,2-3 40,-3 3 0,3 1 0,0 9 72,0-10-48,0-3-24,0 14-16,0-10 48,0 11-56,5-11-40,-5-4 64,10 16 80,-6-12-128,1 12 88,6-12 0,-11-4-40,3 14-104,6-11 112,-4 8-128,9-8 96,-14-3 24,9 3 24,-4 0 0,9 0-32,-9-1 72,-5-2-64,16 3 0,-2-3-80,-2 0 72,7-1-24,-19 1 32,21-4-32,0-9 112,1 1-40,1-5-16,-23 17-24,24-20 64,-1-7-40,6-4 56,1-4-120,-30 35 40,28-40-40,-2-1-16,2-3 64,-4-2 80,-24 46-88,23-45 16,0-2-24,-1 2-96,-1-1 96,-21 46 8,16-48 32,-4-2 16,-4-1 40,-4-2-72,-4 53-16,0-52-56,0-2 96,0-3-56,-4-2-24,4 59 40,-17-56 64,0 2-80,-4 11 120,-3 10 8,24 33-112,-23-18 441,0 15 295,-1 3 296,-4 4 104,28-4-1136,-31 17 848,-2-1-280,3 5-432,0 6-56,30-27-80,-24 32 49,-2 3-122,5 5 57,0 0-32,21-40 48,-14 42 40,9 4-8,-7 2-24,12 6-40,0-54 32,0 58-200,0 4 80,14 2 24,-2-1-24,-12-63 120,18 65-40,2-3 56,-2-3-64,6-3-48,-24-56 96,21 52-136,0-6-200,2-5 112,-1-5 16,-22-36 208,21 28-240,-2-4 16,0-5-32,-8-5-16,-11-14 272,12 11-264,0-8 64,-7 1-32,6-1-8,-11-3 240,2 0-144,1 0 8,-1 0 40,1 0 8,-3 0 88,0 0-96,0-1 80,4 1-40,-4 0 144,0 0-88,0 0 136,0 0-104,0 0 136,-2 4-40,2-4-128,-2 3 112,-1 1-8,-2 0-16,-1 1-32,6-5-56,-2 11 64,-3-11 64,0 0-16,5 3-72,0-3-40,-2 3 8,2-3 8,-5 0 16,3 0 96,2 0-128,0 0 144,0 0 16,0 0-80,0 0 0,0 0-80,0 0 32,0-2 24,0 2-80,0-1 0,0 1 24,2-2-24,-2 2-56,5 0 72,-3 0-24,-2 0 32,0 5-24,5-1 0,-5 0 72,0 0-88,0-4 40,2 3 32,3 2-32,-5-3-64,4 1 88,-4-3-24,0 3-48,5 0 32,-3 0-48,10 1-8,-12-4 72,15 4-88,-4 8-56,10-12 48,2 4 0,-23-4 96,24 0-112,2 0-16,3-1-48,-1-12 32,-28 13 144,32-16-104,-4-7-8,8-2 104,-3-8-64,-33 33 72,35-40-144,0-2 48,0-7-32,1-2 32,-36 51 96,31-52-48,-4-1 8,-3 3 16,-1 0-16,-23 50 40,15-48 8,-10 3-48,0 0 32,-5 5 0,0 40 8,-3-39 16,-6 5 72,-6 6 24,2 7 80,13 21-192,-15-18 184,-2 6-56,-1-1-8,-4 1 8,22 12-128,-23-5 152,-1-7 144,1 10-16,-1-3 88,24 5-368,-23-4 224,-1 0-128,6 0 88,-1-8-184,19 12 0,-16-3 64,4 0 24,-3 2 56,8 0 240,7 1-384,-13 0 528,10 2 0,-6 3-167,1 9-161,8-14-200,-4 11 48,-1 9-8,1 10 16,4 8-136,0-38 80,4 49-64,8 6 24,5 4-16,-4 4-32,-13-63 88,24 61-32,2-3-41,3-2-111,3-3 104,-32-53 80,30 49-184,3-2-24,3-4-32,-5-5 8,-31-38 232,30 33-200,-1-2-112,-4-2 88,1-5 0,-26-24 224,19 21-272,-2-4 120,-4-4 56,-1-9-48,-12-4 144,5 4-120,11 1-72,-16-2-56,2-3 24,-2 0 224,3 0-160,1-2 72,-1 1 48,-3-2 48,0 3-8,0-2 64,0 0-32,0-1-16,0-1-32,0 4 16,0-13-120,0 0-120,-3-4-128,-4-6-137,7 23 505,-8-25-624,3-7-40,-7-2-40,-3-3 40,15 37 664,-11-40-416,-8 2 200,-2 2 184,-5 4 232,26 32-200,-28-27 240,-5 5 32,-3 5-24,-4 12-104,40 5-144,-42-5 224,2 5 616,-5 5-184,1 9 56,44-14-712,-45 4 561,-2 9-753,-2-10 320,2 8-48,47-11-80,-54 4 64,2 14 0,-2-6-64,2 0 0,52-12 0,-51 11-32,-8-7 64,5 12 0,-9-12-8,63-4-24,-62 12 192,-1-10 88,-1 1 104,1 0 224,63-3-608,-66 4 624,1 1 24,-7 6 8,5-8-31,67-3-625,-67 11 632,7-7-32,8 8-40,5-9-88,47-3-472,-38 4 336,14-1-16,6 0-112,13-3 0,5 0-208,0 0 192,3 0-392,17 0-728,7-5-264,-27 5 1192,37-14-1337,8 1 233,12 2 584,10-5 192,-67 16 328,75-20-192,7-2 64,13-5 40,4 0 32,-99 27 56,101-29-96,7-2 16,7-5 40,5 0-104,-120 36 144,127-42-24,2 0-48,3-3 32,7-1-16,-139 46 56,140-44-176,9 1-96,1 2-592,-2 1-1305,-148 40 2169,127-31-5025,-127 31 5025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7"/>
  <sheetViews>
    <sheetView rightToLeft="1" tabSelected="1" view="pageBreakPreview" topLeftCell="C22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2" t="s">
        <v>195</v>
      </c>
      <c r="C1" s="52"/>
      <c r="D1" s="52"/>
      <c r="E1" s="52"/>
      <c r="F1" s="52"/>
      <c r="G1" s="52"/>
      <c r="H1" s="52"/>
      <c r="I1" s="52"/>
      <c r="J1" s="52"/>
    </row>
    <row r="2" spans="1:10" ht="30" customHeight="1" x14ac:dyDescent="0.3">
      <c r="B2" s="18" t="s">
        <v>8</v>
      </c>
      <c r="C2" s="58" t="s">
        <v>12</v>
      </c>
      <c r="D2" s="58"/>
      <c r="E2" s="18" t="s">
        <v>7</v>
      </c>
      <c r="F2" s="53">
        <v>45955</v>
      </c>
      <c r="G2" s="53"/>
      <c r="H2" s="53"/>
      <c r="I2" s="53"/>
      <c r="J2" s="53"/>
    </row>
    <row r="3" spans="1:10" ht="30" customHeight="1" x14ac:dyDescent="0.3">
      <c r="B3" s="18" t="s">
        <v>9</v>
      </c>
      <c r="C3" s="58" t="s">
        <v>73</v>
      </c>
      <c r="D3" s="58"/>
      <c r="E3" s="18" t="s">
        <v>6</v>
      </c>
      <c r="F3" s="58" t="s">
        <v>59</v>
      </c>
      <c r="G3" s="58"/>
      <c r="H3" s="58"/>
      <c r="I3" s="58"/>
      <c r="J3" s="58"/>
    </row>
    <row r="4" spans="1:10" ht="30" customHeight="1" thickBot="1" x14ac:dyDescent="0.35">
      <c r="B4" s="6"/>
      <c r="C4" s="7"/>
      <c r="D4" s="7"/>
      <c r="E4" s="6"/>
      <c r="F4" s="69" t="s">
        <v>196</v>
      </c>
      <c r="G4" s="69"/>
      <c r="H4" s="69"/>
      <c r="I4" s="69"/>
      <c r="J4" s="7"/>
    </row>
    <row r="5" spans="1:10" ht="24.9" customHeight="1" x14ac:dyDescent="0.3">
      <c r="A5" s="15"/>
      <c r="B5" s="54" t="s">
        <v>0</v>
      </c>
      <c r="C5" s="55"/>
      <c r="D5" s="55"/>
      <c r="E5" s="61" t="s">
        <v>1</v>
      </c>
      <c r="F5" s="61"/>
      <c r="G5" s="61"/>
      <c r="H5" s="61"/>
      <c r="I5" s="61" t="s">
        <v>2</v>
      </c>
      <c r="J5" s="62"/>
    </row>
    <row r="6" spans="1:10" ht="24.9" customHeight="1" thickBot="1" x14ac:dyDescent="0.35">
      <c r="A6" s="15"/>
      <c r="B6" s="56"/>
      <c r="C6" s="57"/>
      <c r="D6" s="57"/>
      <c r="E6" s="16" t="s">
        <v>3</v>
      </c>
      <c r="F6" s="16" t="s">
        <v>4</v>
      </c>
      <c r="G6" s="16" t="s">
        <v>23</v>
      </c>
      <c r="H6" s="16" t="s">
        <v>24</v>
      </c>
      <c r="I6" s="63"/>
      <c r="J6" s="64"/>
    </row>
    <row r="7" spans="1:10" ht="24.9" customHeight="1" thickBot="1" x14ac:dyDescent="0.35">
      <c r="A7" s="15"/>
      <c r="B7" s="59" t="s">
        <v>21</v>
      </c>
      <c r="C7" s="60"/>
      <c r="D7" s="60"/>
      <c r="E7" s="17" t="s">
        <v>18</v>
      </c>
      <c r="F7" s="17" t="s">
        <v>19</v>
      </c>
      <c r="G7" s="17" t="s">
        <v>22</v>
      </c>
      <c r="H7" s="17" t="s">
        <v>20</v>
      </c>
      <c r="I7" s="47" t="s">
        <v>25</v>
      </c>
      <c r="J7" s="65"/>
    </row>
    <row r="8" spans="1:10" ht="39.9" customHeight="1" x14ac:dyDescent="0.3">
      <c r="A8" s="15"/>
      <c r="B8" s="68" t="s">
        <v>180</v>
      </c>
      <c r="C8" s="68"/>
      <c r="D8" s="68"/>
      <c r="E8" s="9">
        <v>5</v>
      </c>
      <c r="F8" s="10">
        <v>3.75</v>
      </c>
      <c r="G8" s="11">
        <f>IFERROR(F8/E8,"")</f>
        <v>0.75</v>
      </c>
      <c r="H8" s="8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66"/>
      <c r="J8" s="67"/>
    </row>
    <row r="9" spans="1:10" ht="30" customHeight="1" x14ac:dyDescent="0.3">
      <c r="A9" s="15"/>
      <c r="B9" s="33" t="s">
        <v>181</v>
      </c>
      <c r="C9" s="33"/>
      <c r="D9" s="33"/>
      <c r="E9" s="9">
        <v>5</v>
      </c>
      <c r="F9" s="25">
        <v>3.5</v>
      </c>
      <c r="G9" s="11">
        <f>IFERROR(F9/E9,"")</f>
        <v>0.7</v>
      </c>
      <c r="H9" s="8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6"/>
      <c r="J9" s="67"/>
    </row>
    <row r="10" spans="1:10" ht="30" customHeight="1" x14ac:dyDescent="0.3">
      <c r="A10" s="15"/>
      <c r="B10" s="33" t="s">
        <v>182</v>
      </c>
      <c r="C10" s="33"/>
      <c r="D10" s="33"/>
      <c r="E10" s="12">
        <v>5</v>
      </c>
      <c r="F10" s="14">
        <v>3.5</v>
      </c>
      <c r="G10" s="11">
        <f t="shared" ref="G10:G22" si="0">IFERROR(F10/E10,"")</f>
        <v>0.7</v>
      </c>
      <c r="H10" s="8" t="str">
        <f t="shared" ref="H10:H22" si="1">_xlfn.IFS(F10="أدخل العلامة","",F10="لا ينطبق","تم الإلغاء",G10&gt;=90%,"ممتاز",G10&gt;=80%,"جيد جداً",G10&gt;=70%,"جيد",G10&gt;=60%,"مقبول",G10&lt;60%,"راسب")</f>
        <v>جيد</v>
      </c>
      <c r="I10" s="48"/>
      <c r="J10" s="49"/>
    </row>
    <row r="11" spans="1:10" ht="30" customHeight="1" x14ac:dyDescent="0.3">
      <c r="A11" s="15"/>
      <c r="B11" s="33" t="s">
        <v>183</v>
      </c>
      <c r="C11" s="33"/>
      <c r="D11" s="33"/>
      <c r="E11" s="9">
        <v>5</v>
      </c>
      <c r="F11" s="14">
        <v>3.75</v>
      </c>
      <c r="G11" s="11">
        <f t="shared" si="0"/>
        <v>0.75</v>
      </c>
      <c r="H11" s="8" t="str">
        <f t="shared" si="1"/>
        <v>جيد</v>
      </c>
      <c r="I11" s="48"/>
      <c r="J11" s="49"/>
    </row>
    <row r="12" spans="1:10" ht="30" customHeight="1" x14ac:dyDescent="0.3">
      <c r="A12" s="15"/>
      <c r="B12" s="33" t="s">
        <v>184</v>
      </c>
      <c r="C12" s="33"/>
      <c r="D12" s="33"/>
      <c r="E12" s="12">
        <v>5</v>
      </c>
      <c r="F12" s="14">
        <v>3.75</v>
      </c>
      <c r="G12" s="11">
        <f t="shared" si="0"/>
        <v>0.75</v>
      </c>
      <c r="H12" s="8" t="str">
        <f t="shared" si="1"/>
        <v>جيد</v>
      </c>
      <c r="I12" s="48"/>
      <c r="J12" s="49"/>
    </row>
    <row r="13" spans="1:10" ht="30" customHeight="1" x14ac:dyDescent="0.3">
      <c r="A13" s="15"/>
      <c r="B13" s="33" t="s">
        <v>185</v>
      </c>
      <c r="C13" s="33"/>
      <c r="D13" s="33"/>
      <c r="E13" s="9">
        <v>5</v>
      </c>
      <c r="F13" s="14">
        <v>3.5</v>
      </c>
      <c r="G13" s="11">
        <f t="shared" si="0"/>
        <v>0.7</v>
      </c>
      <c r="H13" s="8" t="str">
        <f t="shared" si="1"/>
        <v>جيد</v>
      </c>
      <c r="I13" s="48"/>
      <c r="J13" s="49"/>
    </row>
    <row r="14" spans="1:10" ht="30" customHeight="1" x14ac:dyDescent="0.3">
      <c r="A14" s="15"/>
      <c r="B14" s="33" t="s">
        <v>186</v>
      </c>
      <c r="C14" s="33"/>
      <c r="D14" s="33"/>
      <c r="E14" s="12">
        <v>5</v>
      </c>
      <c r="F14" s="14">
        <v>3.75</v>
      </c>
      <c r="G14" s="11">
        <f t="shared" si="0"/>
        <v>0.75</v>
      </c>
      <c r="H14" s="8" t="str">
        <f t="shared" si="1"/>
        <v>جيد</v>
      </c>
      <c r="I14" s="48"/>
      <c r="J14" s="49"/>
    </row>
    <row r="15" spans="1:10" ht="30" customHeight="1" x14ac:dyDescent="0.3">
      <c r="A15" s="15"/>
      <c r="B15" s="33" t="s">
        <v>187</v>
      </c>
      <c r="C15" s="33"/>
      <c r="D15" s="33"/>
      <c r="E15" s="9">
        <v>5</v>
      </c>
      <c r="F15" s="14">
        <v>3.5</v>
      </c>
      <c r="G15" s="11">
        <f t="shared" si="0"/>
        <v>0.7</v>
      </c>
      <c r="H15" s="8" t="str">
        <f t="shared" si="1"/>
        <v>جيد</v>
      </c>
      <c r="I15" s="48"/>
      <c r="J15" s="49"/>
    </row>
    <row r="16" spans="1:10" ht="30" customHeight="1" x14ac:dyDescent="0.3">
      <c r="A16" s="15"/>
      <c r="B16" s="33" t="s">
        <v>188</v>
      </c>
      <c r="C16" s="33"/>
      <c r="D16" s="33"/>
      <c r="E16" s="12">
        <v>5</v>
      </c>
      <c r="F16" s="14">
        <v>3.75</v>
      </c>
      <c r="G16" s="11">
        <f t="shared" si="0"/>
        <v>0.75</v>
      </c>
      <c r="H16" s="8" t="str">
        <f t="shared" si="1"/>
        <v>جيد</v>
      </c>
      <c r="I16" s="48"/>
      <c r="J16" s="49"/>
    </row>
    <row r="17" spans="1:10" ht="30" customHeight="1" x14ac:dyDescent="0.3">
      <c r="A17" s="15"/>
      <c r="B17" s="33" t="s">
        <v>189</v>
      </c>
      <c r="C17" s="33"/>
      <c r="D17" s="33"/>
      <c r="E17" s="9">
        <v>5</v>
      </c>
      <c r="F17" s="14">
        <v>3.5</v>
      </c>
      <c r="G17" s="11">
        <f t="shared" si="0"/>
        <v>0.7</v>
      </c>
      <c r="H17" s="8" t="str">
        <f t="shared" si="1"/>
        <v>جيد</v>
      </c>
      <c r="I17" s="48"/>
      <c r="J17" s="49"/>
    </row>
    <row r="18" spans="1:10" ht="30" customHeight="1" x14ac:dyDescent="0.3">
      <c r="A18" s="15"/>
      <c r="B18" s="33" t="s">
        <v>190</v>
      </c>
      <c r="C18" s="33"/>
      <c r="D18" s="33"/>
      <c r="E18" s="12">
        <v>5</v>
      </c>
      <c r="F18" s="14">
        <v>3.75</v>
      </c>
      <c r="G18" s="11">
        <f t="shared" si="0"/>
        <v>0.75</v>
      </c>
      <c r="H18" s="8" t="str">
        <f t="shared" si="1"/>
        <v>جيد</v>
      </c>
      <c r="I18" s="48"/>
      <c r="J18" s="49"/>
    </row>
    <row r="19" spans="1:10" ht="30" customHeight="1" x14ac:dyDescent="0.3">
      <c r="A19" s="15"/>
      <c r="B19" s="33" t="s">
        <v>191</v>
      </c>
      <c r="C19" s="33"/>
      <c r="D19" s="33"/>
      <c r="E19" s="9">
        <v>5</v>
      </c>
      <c r="F19" s="14">
        <v>3.5</v>
      </c>
      <c r="G19" s="11">
        <f t="shared" si="0"/>
        <v>0.7</v>
      </c>
      <c r="H19" s="8" t="str">
        <f t="shared" si="1"/>
        <v>جيد</v>
      </c>
      <c r="I19" s="48"/>
      <c r="J19" s="49"/>
    </row>
    <row r="20" spans="1:10" ht="30" customHeight="1" x14ac:dyDescent="0.3">
      <c r="A20" s="15"/>
      <c r="B20" s="33" t="s">
        <v>192</v>
      </c>
      <c r="C20" s="33"/>
      <c r="D20" s="33"/>
      <c r="E20" s="12">
        <v>5</v>
      </c>
      <c r="F20" s="14">
        <v>3.5</v>
      </c>
      <c r="G20" s="11">
        <f t="shared" si="0"/>
        <v>0.7</v>
      </c>
      <c r="H20" s="8" t="str">
        <f t="shared" si="1"/>
        <v>جيد</v>
      </c>
      <c r="I20" s="48"/>
      <c r="J20" s="49"/>
    </row>
    <row r="21" spans="1:10" ht="39.9" customHeight="1" x14ac:dyDescent="0.3">
      <c r="A21" s="15"/>
      <c r="B21" s="33" t="s">
        <v>193</v>
      </c>
      <c r="C21" s="33"/>
      <c r="D21" s="33"/>
      <c r="E21" s="9">
        <v>5</v>
      </c>
      <c r="F21" s="14">
        <v>3.75</v>
      </c>
      <c r="G21" s="11">
        <f t="shared" si="0"/>
        <v>0.75</v>
      </c>
      <c r="H21" s="8" t="str">
        <f t="shared" si="1"/>
        <v>جيد</v>
      </c>
      <c r="I21" s="48"/>
      <c r="J21" s="49"/>
    </row>
    <row r="22" spans="1:10" ht="30" customHeight="1" thickBot="1" x14ac:dyDescent="0.35">
      <c r="A22" s="15"/>
      <c r="B22" s="34" t="s">
        <v>194</v>
      </c>
      <c r="C22" s="34"/>
      <c r="D22" s="34"/>
      <c r="E22" s="12">
        <v>5</v>
      </c>
      <c r="F22" s="14">
        <v>3.75</v>
      </c>
      <c r="G22" s="11">
        <f t="shared" si="0"/>
        <v>0.75</v>
      </c>
      <c r="H22" s="8" t="str">
        <f t="shared" si="1"/>
        <v>جيد</v>
      </c>
      <c r="I22" s="48"/>
      <c r="J22" s="49"/>
    </row>
    <row r="23" spans="1:10" ht="30" customHeight="1" thickBot="1" x14ac:dyDescent="0.35">
      <c r="A23" s="4"/>
      <c r="B23" s="46" t="s">
        <v>5</v>
      </c>
      <c r="C23" s="47"/>
      <c r="D23" s="47"/>
      <c r="E23" s="13">
        <f>SUM(E8:E22)</f>
        <v>75</v>
      </c>
      <c r="F23" s="13">
        <f>SUM(F8:F22)</f>
        <v>54.5</v>
      </c>
      <c r="G23" s="37"/>
      <c r="H23" s="38"/>
      <c r="I23" s="38"/>
      <c r="J23" s="39"/>
    </row>
    <row r="24" spans="1:10" ht="30" customHeight="1" thickBot="1" x14ac:dyDescent="0.35">
      <c r="A24" s="4"/>
      <c r="B24" s="46" t="s">
        <v>54</v>
      </c>
      <c r="C24" s="47"/>
      <c r="D24" s="47"/>
      <c r="E24" s="50">
        <f>F23/E23/100*100</f>
        <v>0.72666666666666668</v>
      </c>
      <c r="F24" s="50"/>
      <c r="G24" s="50"/>
      <c r="H24" s="50"/>
      <c r="I24" s="50"/>
      <c r="J24" s="51"/>
    </row>
    <row r="25" spans="1:10" ht="30" customHeight="1" thickBot="1" x14ac:dyDescent="0.35">
      <c r="A25" s="4"/>
      <c r="B25" s="46" t="s">
        <v>55</v>
      </c>
      <c r="C25" s="47"/>
      <c r="D25" s="47"/>
      <c r="E25" s="44" t="str">
        <f>_xlfn.IFS(E24&gt;=90%,"ممتاز",E24&gt;=80%,"جيد جداً",E24&gt;=70%,"جيد",E24&gt;=60%,"مقبول",E24&lt;60%,"راسب")</f>
        <v>جيد</v>
      </c>
      <c r="F25" s="44"/>
      <c r="G25" s="44"/>
      <c r="H25" s="44"/>
      <c r="I25" s="44"/>
      <c r="J25" s="45"/>
    </row>
    <row r="26" spans="1:10" ht="42" customHeight="1" x14ac:dyDescent="0.3">
      <c r="B26" s="40" t="s">
        <v>174</v>
      </c>
      <c r="C26" s="40"/>
      <c r="D26" s="40"/>
      <c r="E26" s="35" t="s">
        <v>52</v>
      </c>
      <c r="F26" s="35"/>
      <c r="G26" s="42" t="s">
        <v>59</v>
      </c>
      <c r="H26" s="42"/>
      <c r="I26" s="42"/>
      <c r="J26" s="42"/>
    </row>
    <row r="27" spans="1:10" ht="51" customHeight="1" x14ac:dyDescent="0.3">
      <c r="A27" s="5"/>
      <c r="B27" s="41"/>
      <c r="C27" s="41"/>
      <c r="D27" s="41"/>
      <c r="E27" s="36" t="s">
        <v>53</v>
      </c>
      <c r="F27" s="36"/>
      <c r="G27" s="43"/>
      <c r="H27" s="43"/>
      <c r="I27" s="43"/>
      <c r="J27" s="43"/>
    </row>
  </sheetData>
  <sheetProtection formatCells="0" formatColumns="0" formatRows="0" insertColumns="0" insertRows="0" insertHyperlinks="0" deleteColumns="0" deleteRows="0" selectLockedCells="1" sort="0" autoFilter="0" pivotTables="0"/>
  <mergeCells count="52">
    <mergeCell ref="I16:J16"/>
    <mergeCell ref="I17:J17"/>
    <mergeCell ref="I18:J18"/>
    <mergeCell ref="I11:J11"/>
    <mergeCell ref="I12:J12"/>
    <mergeCell ref="I13:J13"/>
    <mergeCell ref="I14:J14"/>
    <mergeCell ref="I15:J15"/>
    <mergeCell ref="B7:D7"/>
    <mergeCell ref="E5:H5"/>
    <mergeCell ref="I5:J6"/>
    <mergeCell ref="I7:J7"/>
    <mergeCell ref="I10:J10"/>
    <mergeCell ref="I9:J9"/>
    <mergeCell ref="B8:D8"/>
    <mergeCell ref="B9:D9"/>
    <mergeCell ref="B10:D10"/>
    <mergeCell ref="I8:J8"/>
    <mergeCell ref="B1:J1"/>
    <mergeCell ref="F2:J2"/>
    <mergeCell ref="B5:D6"/>
    <mergeCell ref="C2:D2"/>
    <mergeCell ref="C3:D3"/>
    <mergeCell ref="F3:J3"/>
    <mergeCell ref="F4:I4"/>
    <mergeCell ref="I19:J19"/>
    <mergeCell ref="I20:J20"/>
    <mergeCell ref="I21:J21"/>
    <mergeCell ref="I22:J22"/>
    <mergeCell ref="E24:J24"/>
    <mergeCell ref="B21:D21"/>
    <mergeCell ref="B22:D22"/>
    <mergeCell ref="E26:F26"/>
    <mergeCell ref="E27:F27"/>
    <mergeCell ref="G23:J23"/>
    <mergeCell ref="B26:D27"/>
    <mergeCell ref="G26:J26"/>
    <mergeCell ref="G27:J27"/>
    <mergeCell ref="E25:J25"/>
    <mergeCell ref="B23:D23"/>
    <mergeCell ref="B24:D24"/>
    <mergeCell ref="B25:D25"/>
    <mergeCell ref="B16:D16"/>
    <mergeCell ref="B17:D17"/>
    <mergeCell ref="B18:D18"/>
    <mergeCell ref="B19:D19"/>
    <mergeCell ref="B20:D20"/>
    <mergeCell ref="B11:D11"/>
    <mergeCell ref="B12:D12"/>
    <mergeCell ref="B13:D13"/>
    <mergeCell ref="B14:D14"/>
    <mergeCell ref="B15:D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5">
    <cfRule type="expression" dxfId="14" priority="57">
      <formula>$E25="راسب"</formula>
    </cfRule>
  </conditionalFormatting>
  <conditionalFormatting sqref="E25:J25">
    <cfRule type="expression" dxfId="13" priority="58">
      <formula>$E25="مقبول"</formula>
    </cfRule>
    <cfRule type="expression" dxfId="12" priority="59">
      <formula>$E25="جيد"</formula>
    </cfRule>
    <cfRule type="expression" dxfId="11" priority="60">
      <formula>$E25="جيد جداً"</formula>
    </cfRule>
    <cfRule type="expression" dxfId="10" priority="61">
      <formula>$E25="ممتاز"</formula>
    </cfRule>
  </conditionalFormatting>
  <conditionalFormatting sqref="F8:F2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6:J26">
    <cfRule type="containsText" dxfId="6" priority="15" operator="containsText" text="أدخل اسم المحكم">
      <formula>NOT(ISERROR(SEARCH("أدخل اسم المحكم",G26)))</formula>
    </cfRule>
  </conditionalFormatting>
  <conditionalFormatting sqref="H8:H2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G26:J26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6" t="s">
        <v>62</v>
      </c>
    </row>
    <row r="3" spans="1:3" ht="20.100000000000001" customHeight="1" thickBot="1" x14ac:dyDescent="0.35">
      <c r="A3" s="2" t="s">
        <v>26</v>
      </c>
      <c r="C3" s="26" t="s">
        <v>63</v>
      </c>
    </row>
    <row r="4" spans="1:3" ht="20.100000000000001" customHeight="1" thickBot="1" x14ac:dyDescent="0.35">
      <c r="A4" s="2" t="s">
        <v>36</v>
      </c>
      <c r="C4" s="26" t="s">
        <v>64</v>
      </c>
    </row>
    <row r="5" spans="1:3" ht="20.100000000000001" customHeight="1" thickBot="1" x14ac:dyDescent="0.35">
      <c r="A5" s="2" t="s">
        <v>37</v>
      </c>
      <c r="C5" s="26" t="s">
        <v>65</v>
      </c>
    </row>
    <row r="6" spans="1:3" ht="20.100000000000001" customHeight="1" thickBot="1" x14ac:dyDescent="0.35">
      <c r="A6" s="2" t="s">
        <v>38</v>
      </c>
      <c r="C6" s="26" t="s">
        <v>66</v>
      </c>
    </row>
    <row r="7" spans="1:3" ht="20.100000000000001" customHeight="1" thickBot="1" x14ac:dyDescent="0.35">
      <c r="A7" s="2" t="s">
        <v>39</v>
      </c>
      <c r="C7" s="26" t="s">
        <v>67</v>
      </c>
    </row>
    <row r="8" spans="1:3" ht="20.100000000000001" customHeight="1" thickBot="1" x14ac:dyDescent="0.35">
      <c r="A8" s="2" t="s">
        <v>40</v>
      </c>
      <c r="C8" s="26" t="s">
        <v>68</v>
      </c>
    </row>
    <row r="9" spans="1:3" ht="20.100000000000001" customHeight="1" thickBot="1" x14ac:dyDescent="0.35">
      <c r="A9" s="2" t="s">
        <v>41</v>
      </c>
      <c r="C9" s="26" t="s">
        <v>69</v>
      </c>
    </row>
    <row r="10" spans="1:3" ht="20.100000000000001" customHeight="1" thickBot="1" x14ac:dyDescent="0.35">
      <c r="A10" s="2" t="s">
        <v>42</v>
      </c>
      <c r="C10" s="26" t="s">
        <v>70</v>
      </c>
    </row>
    <row r="11" spans="1:3" ht="20.100000000000001" customHeight="1" thickBot="1" x14ac:dyDescent="0.35">
      <c r="A11" s="2" t="s">
        <v>43</v>
      </c>
      <c r="C11" s="26" t="s">
        <v>71</v>
      </c>
    </row>
    <row r="12" spans="1:3" ht="20.100000000000001" customHeight="1" thickBot="1" x14ac:dyDescent="0.35">
      <c r="A12" s="2" t="s">
        <v>44</v>
      </c>
      <c r="C12" s="26" t="s">
        <v>72</v>
      </c>
    </row>
    <row r="13" spans="1:3" ht="20.100000000000001" customHeight="1" thickBot="1" x14ac:dyDescent="0.35">
      <c r="A13" s="2" t="s">
        <v>45</v>
      </c>
      <c r="C13" s="26" t="s">
        <v>73</v>
      </c>
    </row>
    <row r="14" spans="1:3" ht="20.100000000000001" customHeight="1" thickBot="1" x14ac:dyDescent="0.35">
      <c r="A14" s="2" t="s">
        <v>46</v>
      </c>
      <c r="C14" s="26" t="s">
        <v>74</v>
      </c>
    </row>
    <row r="15" spans="1:3" ht="20.100000000000001" customHeight="1" thickBot="1" x14ac:dyDescent="0.35">
      <c r="A15" s="2" t="s">
        <v>47</v>
      </c>
      <c r="C15" s="26" t="s">
        <v>75</v>
      </c>
    </row>
    <row r="16" spans="1:3" ht="20.100000000000001" customHeight="1" thickBot="1" x14ac:dyDescent="0.35">
      <c r="A16" s="2" t="s">
        <v>10</v>
      </c>
      <c r="C16" s="26" t="s">
        <v>76</v>
      </c>
    </row>
    <row r="17" spans="1:3" ht="20.100000000000001" customHeight="1" thickBot="1" x14ac:dyDescent="0.35">
      <c r="A17" s="2" t="s">
        <v>27</v>
      </c>
      <c r="C17" s="26" t="s">
        <v>77</v>
      </c>
    </row>
    <row r="18" spans="1:3" ht="20.100000000000001" customHeight="1" thickBot="1" x14ac:dyDescent="0.35">
      <c r="A18" s="2" t="s">
        <v>48</v>
      </c>
      <c r="C18" s="26" t="s">
        <v>78</v>
      </c>
    </row>
    <row r="19" spans="1:3" ht="20.100000000000001" customHeight="1" thickBot="1" x14ac:dyDescent="0.35">
      <c r="A19" s="2" t="s">
        <v>49</v>
      </c>
      <c r="C19" s="26" t="s">
        <v>79</v>
      </c>
    </row>
    <row r="20" spans="1:3" ht="20.100000000000001" customHeight="1" thickBot="1" x14ac:dyDescent="0.35">
      <c r="A20" s="2" t="s">
        <v>50</v>
      </c>
      <c r="C20" s="26" t="s">
        <v>80</v>
      </c>
    </row>
    <row r="21" spans="1:3" ht="20.100000000000001" customHeight="1" thickBot="1" x14ac:dyDescent="0.35">
      <c r="A21" s="2" t="s">
        <v>51</v>
      </c>
      <c r="C21" s="26" t="s">
        <v>81</v>
      </c>
    </row>
    <row r="22" spans="1:3" ht="20.100000000000001" customHeight="1" thickBot="1" x14ac:dyDescent="0.35">
      <c r="A22" s="2" t="s">
        <v>11</v>
      </c>
      <c r="C22" s="26" t="s">
        <v>82</v>
      </c>
    </row>
    <row r="23" spans="1:3" ht="20.100000000000001" customHeight="1" thickBot="1" x14ac:dyDescent="0.35">
      <c r="A23" s="2" t="s">
        <v>12</v>
      </c>
      <c r="C23" s="26" t="s">
        <v>83</v>
      </c>
    </row>
    <row r="24" spans="1:3" ht="20.100000000000001" customHeight="1" thickBot="1" x14ac:dyDescent="0.35">
      <c r="A24" s="2" t="s">
        <v>15</v>
      </c>
      <c r="C24" s="26" t="s">
        <v>84</v>
      </c>
    </row>
    <row r="25" spans="1:3" ht="20.100000000000001" customHeight="1" thickBot="1" x14ac:dyDescent="0.35">
      <c r="A25" s="2" t="s">
        <v>28</v>
      </c>
      <c r="C25" s="26" t="s">
        <v>85</v>
      </c>
    </row>
    <row r="26" spans="1:3" ht="20.100000000000001" customHeight="1" thickBot="1" x14ac:dyDescent="0.35">
      <c r="A26" s="2" t="s">
        <v>29</v>
      </c>
      <c r="C26" s="26" t="s">
        <v>86</v>
      </c>
    </row>
    <row r="27" spans="1:3" ht="20.100000000000001" customHeight="1" thickBot="1" x14ac:dyDescent="0.35">
      <c r="A27" s="2" t="s">
        <v>13</v>
      </c>
      <c r="C27" s="26" t="s">
        <v>87</v>
      </c>
    </row>
    <row r="28" spans="1:3" ht="20.100000000000001" customHeight="1" thickBot="1" x14ac:dyDescent="0.35">
      <c r="A28" s="2" t="s">
        <v>30</v>
      </c>
      <c r="C28" s="26" t="s">
        <v>88</v>
      </c>
    </row>
    <row r="29" spans="1:3" ht="20.100000000000001" customHeight="1" thickBot="1" x14ac:dyDescent="0.35">
      <c r="A29" s="2" t="s">
        <v>31</v>
      </c>
      <c r="C29" s="26" t="s">
        <v>177</v>
      </c>
    </row>
    <row r="30" spans="1:3" ht="20.100000000000001" customHeight="1" thickBot="1" x14ac:dyDescent="0.35">
      <c r="A30" s="2" t="s">
        <v>32</v>
      </c>
      <c r="C30" s="26" t="s">
        <v>178</v>
      </c>
    </row>
    <row r="31" spans="1:3" ht="20.100000000000001" customHeight="1" thickBot="1" x14ac:dyDescent="0.35">
      <c r="A31" s="2" t="s">
        <v>33</v>
      </c>
      <c r="C31" s="26" t="s">
        <v>179</v>
      </c>
    </row>
    <row r="32" spans="1:3" ht="20.100000000000001" customHeight="1" thickBot="1" x14ac:dyDescent="0.35">
      <c r="A32" s="2" t="s">
        <v>16</v>
      </c>
      <c r="C32" s="26"/>
    </row>
    <row r="33" spans="1:9" ht="20.100000000000001" customHeight="1" thickBot="1" x14ac:dyDescent="0.35">
      <c r="A33" s="2" t="s">
        <v>14</v>
      </c>
      <c r="C33" s="26"/>
    </row>
    <row r="34" spans="1:9" ht="20.100000000000001" customHeight="1" thickBot="1" x14ac:dyDescent="0.35">
      <c r="A34" s="2" t="s">
        <v>34</v>
      </c>
      <c r="C34" s="26"/>
    </row>
    <row r="35" spans="1:9" ht="20.100000000000001" customHeight="1" x14ac:dyDescent="0.3">
      <c r="A35" s="24"/>
    </row>
    <row r="36" spans="1:9" s="23" customFormat="1" ht="20.100000000000001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9">
        <v>45931</v>
      </c>
    </row>
    <row r="40" spans="1:9" ht="20.100000000000001" customHeight="1" thickBot="1" x14ac:dyDescent="0.35">
      <c r="A40" s="19">
        <v>45932</v>
      </c>
    </row>
    <row r="41" spans="1:9" ht="20.100000000000001" customHeight="1" thickBot="1" x14ac:dyDescent="0.35">
      <c r="A41" s="19">
        <v>45933</v>
      </c>
    </row>
    <row r="42" spans="1:9" ht="20.100000000000001" customHeight="1" thickBot="1" x14ac:dyDescent="0.35">
      <c r="A42" s="19">
        <v>45934</v>
      </c>
    </row>
    <row r="43" spans="1:9" ht="20.100000000000001" customHeight="1" thickBot="1" x14ac:dyDescent="0.35">
      <c r="A43" s="19">
        <v>45935</v>
      </c>
    </row>
    <row r="44" spans="1:9" ht="20.100000000000001" customHeight="1" thickBot="1" x14ac:dyDescent="0.35">
      <c r="A44" s="19">
        <v>45936</v>
      </c>
    </row>
    <row r="45" spans="1:9" ht="20.100000000000001" customHeight="1" thickBot="1" x14ac:dyDescent="0.35">
      <c r="A45" s="19">
        <v>45937</v>
      </c>
    </row>
    <row r="46" spans="1:9" ht="20.100000000000001" customHeight="1" thickBot="1" x14ac:dyDescent="0.35">
      <c r="A46" s="19">
        <v>45938</v>
      </c>
    </row>
    <row r="47" spans="1:9" ht="20.100000000000001" customHeight="1" thickBot="1" x14ac:dyDescent="0.35">
      <c r="A47" s="19">
        <v>45939</v>
      </c>
    </row>
    <row r="48" spans="1:9" ht="20.100000000000001" customHeight="1" thickBot="1" x14ac:dyDescent="0.35">
      <c r="A48" s="19">
        <v>45940</v>
      </c>
    </row>
    <row r="49" spans="1:1" ht="20.100000000000001" customHeight="1" thickBot="1" x14ac:dyDescent="0.35">
      <c r="A49" s="19">
        <v>45941</v>
      </c>
    </row>
    <row r="50" spans="1:1" ht="20.100000000000001" customHeight="1" thickBot="1" x14ac:dyDescent="0.35">
      <c r="A50" s="19">
        <v>45942</v>
      </c>
    </row>
    <row r="51" spans="1:1" ht="20.100000000000001" customHeight="1" thickBot="1" x14ac:dyDescent="0.35">
      <c r="A51" s="19">
        <v>45943</v>
      </c>
    </row>
    <row r="52" spans="1:1" ht="20.100000000000001" customHeight="1" thickBot="1" x14ac:dyDescent="0.35">
      <c r="A52" s="19">
        <v>45944</v>
      </c>
    </row>
    <row r="53" spans="1:1" ht="20.100000000000001" customHeight="1" thickBot="1" x14ac:dyDescent="0.35">
      <c r="A53" s="19">
        <v>45945</v>
      </c>
    </row>
    <row r="54" spans="1:1" ht="20.100000000000001" customHeight="1" thickBot="1" x14ac:dyDescent="0.35">
      <c r="A54" s="19">
        <v>45946</v>
      </c>
    </row>
    <row r="55" spans="1:1" ht="20.100000000000001" customHeight="1" thickBot="1" x14ac:dyDescent="0.35">
      <c r="A55" s="19">
        <v>45947</v>
      </c>
    </row>
    <row r="56" spans="1:1" ht="20.100000000000001" customHeight="1" thickBot="1" x14ac:dyDescent="0.35">
      <c r="A56" s="19">
        <v>45948</v>
      </c>
    </row>
    <row r="57" spans="1:1" ht="20.100000000000001" customHeight="1" thickBot="1" x14ac:dyDescent="0.35">
      <c r="A57" s="19">
        <v>45949</v>
      </c>
    </row>
    <row r="58" spans="1:1" ht="20.100000000000001" customHeight="1" thickBot="1" x14ac:dyDescent="0.35">
      <c r="A58" s="19">
        <v>45950</v>
      </c>
    </row>
    <row r="59" spans="1:1" ht="20.100000000000001" customHeight="1" thickBot="1" x14ac:dyDescent="0.35">
      <c r="A59" s="19">
        <v>45951</v>
      </c>
    </row>
    <row r="60" spans="1:1" ht="20.100000000000001" customHeight="1" thickBot="1" x14ac:dyDescent="0.35">
      <c r="A60" s="19">
        <v>45952</v>
      </c>
    </row>
    <row r="61" spans="1:1" ht="20.100000000000001" customHeight="1" thickBot="1" x14ac:dyDescent="0.35">
      <c r="A61" s="19">
        <v>45953</v>
      </c>
    </row>
    <row r="62" spans="1:1" ht="20.100000000000001" customHeight="1" thickBot="1" x14ac:dyDescent="0.35">
      <c r="A62" s="19">
        <v>45954</v>
      </c>
    </row>
    <row r="63" spans="1:1" ht="20.100000000000001" customHeight="1" thickBot="1" x14ac:dyDescent="0.35">
      <c r="A63" s="19">
        <v>45955</v>
      </c>
    </row>
    <row r="64" spans="1:1" ht="20.100000000000001" customHeight="1" thickBot="1" x14ac:dyDescent="0.35">
      <c r="A64" s="19">
        <v>45956</v>
      </c>
    </row>
    <row r="65" spans="1:1" ht="20.100000000000001" customHeight="1" thickBot="1" x14ac:dyDescent="0.35">
      <c r="A65" s="19">
        <v>45957</v>
      </c>
    </row>
    <row r="66" spans="1:1" ht="20.100000000000001" customHeight="1" thickBot="1" x14ac:dyDescent="0.35">
      <c r="A66" s="19">
        <v>45958</v>
      </c>
    </row>
    <row r="67" spans="1:1" ht="20.100000000000001" customHeight="1" thickBot="1" x14ac:dyDescent="0.35">
      <c r="A67" s="19">
        <v>45959</v>
      </c>
    </row>
    <row r="68" spans="1:1" ht="20.100000000000001" customHeight="1" thickBot="1" x14ac:dyDescent="0.35">
      <c r="A68" s="19">
        <v>45960</v>
      </c>
    </row>
    <row r="69" spans="1:1" ht="20.100000000000001" customHeight="1" thickBot="1" x14ac:dyDescent="0.35">
      <c r="A69" s="19">
        <v>45961</v>
      </c>
    </row>
    <row r="70" spans="1:1" ht="20.100000000000001" customHeight="1" thickBot="1" x14ac:dyDescent="0.35">
      <c r="A70" s="19"/>
    </row>
    <row r="71" spans="1:1" ht="20.100000000000001" customHeight="1" thickBot="1" x14ac:dyDescent="0.35">
      <c r="A71" s="19"/>
    </row>
    <row r="72" spans="1:1" ht="20.100000000000001" customHeight="1" thickBot="1" x14ac:dyDescent="0.35">
      <c r="A72" s="19"/>
    </row>
    <row r="73" spans="1:1" ht="20.100000000000001" customHeight="1" thickBot="1" x14ac:dyDescent="0.35">
      <c r="A73" s="19"/>
    </row>
    <row r="74" spans="1:1" ht="20.100000000000001" customHeight="1" thickBot="1" x14ac:dyDescent="0.35">
      <c r="A74" s="19"/>
    </row>
    <row r="75" spans="1:1" ht="20.100000000000001" customHeight="1" thickBot="1" x14ac:dyDescent="0.35">
      <c r="A75" s="19"/>
    </row>
    <row r="76" spans="1:1" ht="20.100000000000001" customHeight="1" thickBot="1" x14ac:dyDescent="0.35">
      <c r="A76" s="19"/>
    </row>
    <row r="77" spans="1:1" ht="20.100000000000001" customHeight="1" thickBot="1" x14ac:dyDescent="0.35">
      <c r="A77" s="19"/>
    </row>
    <row r="78" spans="1:1" ht="20.100000000000001" customHeight="1" thickBot="1" x14ac:dyDescent="0.35">
      <c r="A78" s="19"/>
    </row>
    <row r="79" spans="1:1" ht="20.100000000000001" customHeight="1" thickBot="1" x14ac:dyDescent="0.35">
      <c r="A79" s="19"/>
    </row>
    <row r="80" spans="1:1" ht="20.100000000000001" customHeight="1" thickBot="1" x14ac:dyDescent="0.35">
      <c r="A80" s="19"/>
    </row>
    <row r="81" spans="1:1" ht="20.100000000000001" customHeight="1" thickBot="1" x14ac:dyDescent="0.35">
      <c r="A81" s="19"/>
    </row>
    <row r="82" spans="1:1" ht="20.100000000000001" customHeight="1" thickBot="1" x14ac:dyDescent="0.35">
      <c r="A82" s="19"/>
    </row>
    <row r="83" spans="1:1" ht="20.100000000000001" customHeight="1" thickBot="1" x14ac:dyDescent="0.35">
      <c r="A83" s="19"/>
    </row>
    <row r="84" spans="1:1" ht="20.100000000000001" customHeight="1" thickBot="1" x14ac:dyDescent="0.35">
      <c r="A84" s="19"/>
    </row>
    <row r="85" spans="1:1" ht="20.100000000000001" customHeight="1" thickBot="1" x14ac:dyDescent="0.35">
      <c r="A85" s="19"/>
    </row>
    <row r="86" spans="1:1" ht="20.100000000000001" customHeight="1" thickBot="1" x14ac:dyDescent="0.35">
      <c r="A86" s="19"/>
    </row>
    <row r="87" spans="1:1" ht="20.100000000000001" customHeight="1" thickBot="1" x14ac:dyDescent="0.35">
      <c r="A87" s="19"/>
    </row>
    <row r="88" spans="1:1" ht="20.100000000000001" customHeight="1" thickBot="1" x14ac:dyDescent="0.35">
      <c r="A88" s="19"/>
    </row>
    <row r="89" spans="1:1" ht="20.100000000000001" customHeight="1" thickBot="1" x14ac:dyDescent="0.35">
      <c r="A89" s="19"/>
    </row>
    <row r="90" spans="1:1" ht="20.100000000000001" customHeight="1" thickBot="1" x14ac:dyDescent="0.35">
      <c r="A90" s="19"/>
    </row>
    <row r="91" spans="1:1" ht="20.100000000000001" customHeight="1" thickBot="1" x14ac:dyDescent="0.35">
      <c r="A91" s="19"/>
    </row>
    <row r="92" spans="1:1" ht="20.100000000000001" customHeight="1" thickBot="1" x14ac:dyDescent="0.35">
      <c r="A92" s="19"/>
    </row>
    <row r="93" spans="1:1" ht="20.100000000000001" customHeight="1" thickBot="1" x14ac:dyDescent="0.35">
      <c r="A93" s="19"/>
    </row>
    <row r="94" spans="1:1" ht="20.100000000000001" customHeight="1" thickBot="1" x14ac:dyDescent="0.35">
      <c r="A94" s="19"/>
    </row>
    <row r="95" spans="1:1" ht="20.100000000000001" customHeight="1" thickBot="1" x14ac:dyDescent="0.35">
      <c r="A95" s="19"/>
    </row>
    <row r="96" spans="1:1" ht="20.100000000000001" customHeight="1" thickBot="1" x14ac:dyDescent="0.35">
      <c r="A96" s="19"/>
    </row>
    <row r="97" spans="1:9" ht="20.100000000000001" customHeight="1" thickBot="1" x14ac:dyDescent="0.35">
      <c r="A97" s="19"/>
    </row>
    <row r="98" spans="1:9" ht="20.100000000000001" customHeight="1" thickBot="1" x14ac:dyDescent="0.35">
      <c r="A98" s="19"/>
    </row>
    <row r="99" spans="1:9" ht="20.100000000000001" customHeight="1" thickBot="1" x14ac:dyDescent="0.35">
      <c r="A99" s="19"/>
    </row>
    <row r="100" spans="1:9" ht="20.100000000000001" customHeight="1" thickBot="1" x14ac:dyDescent="0.35">
      <c r="A100" s="19"/>
    </row>
    <row r="101" spans="1:9" ht="20.100000000000001" customHeight="1" thickBot="1" x14ac:dyDescent="0.35">
      <c r="A101" s="19"/>
    </row>
    <row r="102" spans="1:9" ht="20.100000000000001" customHeight="1" thickBot="1" x14ac:dyDescent="0.35">
      <c r="A102" s="19"/>
    </row>
    <row r="103" spans="1:9" ht="20.100000000000001" customHeight="1" thickBot="1" x14ac:dyDescent="0.35">
      <c r="A103" s="19"/>
    </row>
    <row r="104" spans="1:9" ht="20.100000000000001" customHeight="1" thickBot="1" x14ac:dyDescent="0.35">
      <c r="A104" s="19"/>
    </row>
    <row r="105" spans="1:9" ht="20.100000000000001" customHeight="1" thickBot="1" x14ac:dyDescent="0.35">
      <c r="A105" s="19"/>
    </row>
    <row r="106" spans="1:9" ht="20.100000000000001" customHeight="1" thickBot="1" x14ac:dyDescent="0.35">
      <c r="A106" s="19"/>
    </row>
    <row r="107" spans="1:9" ht="20.100000000000001" customHeight="1" x14ac:dyDescent="0.3">
      <c r="A107" s="20"/>
    </row>
    <row r="108" spans="1:9" ht="20.100000000000001" customHeight="1" x14ac:dyDescent="0.3">
      <c r="A108" s="20"/>
    </row>
    <row r="109" spans="1:9" s="23" customFormat="1" ht="20.100000000000001" customHeight="1" x14ac:dyDescent="0.3">
      <c r="A109" s="21"/>
      <c r="B109" s="22"/>
      <c r="C109" s="22"/>
      <c r="D109" s="22"/>
      <c r="E109" s="22"/>
      <c r="F109" s="22"/>
      <c r="G109" s="22"/>
      <c r="H109" s="22"/>
      <c r="I109" s="22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7" t="s">
        <v>89</v>
      </c>
    </row>
    <row r="200" spans="1:1" ht="20.100000000000001" customHeight="1" x14ac:dyDescent="0.3">
      <c r="A200" s="27" t="s">
        <v>90</v>
      </c>
    </row>
    <row r="201" spans="1:1" ht="20.100000000000001" customHeight="1" x14ac:dyDescent="0.3">
      <c r="A201" s="27" t="s">
        <v>91</v>
      </c>
    </row>
    <row r="202" spans="1:1" ht="20.100000000000001" customHeight="1" x14ac:dyDescent="0.3">
      <c r="A202" s="27" t="s">
        <v>92</v>
      </c>
    </row>
    <row r="203" spans="1:1" ht="20.100000000000001" customHeight="1" x14ac:dyDescent="0.3">
      <c r="A203" s="27" t="s">
        <v>93</v>
      </c>
    </row>
    <row r="204" spans="1:1" ht="20.100000000000001" customHeight="1" x14ac:dyDescent="0.3">
      <c r="A204" s="27" t="s">
        <v>94</v>
      </c>
    </row>
    <row r="205" spans="1:1" ht="20.100000000000001" customHeight="1" x14ac:dyDescent="0.3">
      <c r="A205" s="27" t="s">
        <v>95</v>
      </c>
    </row>
    <row r="206" spans="1:1" ht="20.100000000000001" customHeight="1" x14ac:dyDescent="0.3">
      <c r="A206" s="27" t="s">
        <v>96</v>
      </c>
    </row>
    <row r="207" spans="1:1" ht="20.100000000000001" customHeight="1" x14ac:dyDescent="0.3">
      <c r="A207" s="27" t="s">
        <v>97</v>
      </c>
    </row>
    <row r="208" spans="1:1" ht="20.100000000000001" customHeight="1" x14ac:dyDescent="0.3">
      <c r="A208" s="28" t="s">
        <v>98</v>
      </c>
    </row>
    <row r="209" spans="1:1" ht="20.100000000000001" customHeight="1" x14ac:dyDescent="0.3">
      <c r="A209" s="28" t="s">
        <v>99</v>
      </c>
    </row>
    <row r="210" spans="1:1" ht="20.100000000000001" customHeight="1" x14ac:dyDescent="0.3">
      <c r="A210" s="27" t="s">
        <v>100</v>
      </c>
    </row>
    <row r="211" spans="1:1" ht="20.100000000000001" customHeight="1" x14ac:dyDescent="0.3">
      <c r="A211" s="27" t="s">
        <v>101</v>
      </c>
    </row>
    <row r="212" spans="1:1" ht="20.100000000000001" customHeight="1" x14ac:dyDescent="0.3">
      <c r="A212" s="27" t="s">
        <v>175</v>
      </c>
    </row>
    <row r="213" spans="1:1" ht="20.100000000000001" customHeight="1" x14ac:dyDescent="0.3">
      <c r="A213" s="27" t="s">
        <v>102</v>
      </c>
    </row>
    <row r="214" spans="1:1" ht="20.100000000000001" customHeight="1" x14ac:dyDescent="0.3">
      <c r="A214" s="27" t="s">
        <v>103</v>
      </c>
    </row>
    <row r="215" spans="1:1" ht="20.100000000000001" customHeight="1" x14ac:dyDescent="0.3">
      <c r="A215" s="27" t="s">
        <v>104</v>
      </c>
    </row>
    <row r="216" spans="1:1" ht="20.100000000000001" customHeight="1" x14ac:dyDescent="0.3">
      <c r="A216" s="27" t="s">
        <v>105</v>
      </c>
    </row>
    <row r="217" spans="1:1" ht="20.100000000000001" customHeight="1" x14ac:dyDescent="0.3">
      <c r="A217" s="27" t="s">
        <v>106</v>
      </c>
    </row>
    <row r="218" spans="1:1" ht="20.100000000000001" customHeight="1" x14ac:dyDescent="0.3">
      <c r="A218" s="27" t="s">
        <v>107</v>
      </c>
    </row>
    <row r="219" spans="1:1" ht="20.100000000000001" customHeight="1" x14ac:dyDescent="0.3">
      <c r="A219" s="27" t="s">
        <v>108</v>
      </c>
    </row>
    <row r="220" spans="1:1" ht="20.100000000000001" customHeight="1" x14ac:dyDescent="0.3">
      <c r="A220" s="27" t="s">
        <v>109</v>
      </c>
    </row>
    <row r="221" spans="1:1" ht="20.100000000000001" customHeight="1" x14ac:dyDescent="0.3">
      <c r="A221" s="27" t="s">
        <v>110</v>
      </c>
    </row>
    <row r="222" spans="1:1" ht="20.100000000000001" customHeight="1" x14ac:dyDescent="0.3">
      <c r="A222" s="27" t="s">
        <v>111</v>
      </c>
    </row>
    <row r="223" spans="1:1" ht="20.100000000000001" customHeight="1" x14ac:dyDescent="0.3">
      <c r="A223" s="27" t="s">
        <v>112</v>
      </c>
    </row>
    <row r="224" spans="1:1" ht="20.100000000000001" customHeight="1" x14ac:dyDescent="0.3">
      <c r="A224" s="27" t="s">
        <v>176</v>
      </c>
    </row>
    <row r="225" spans="1:1" ht="20.100000000000001" customHeight="1" x14ac:dyDescent="0.3">
      <c r="A225" s="27" t="s">
        <v>113</v>
      </c>
    </row>
    <row r="226" spans="1:1" ht="20.100000000000001" customHeight="1" x14ac:dyDescent="0.3">
      <c r="A226" s="27" t="s">
        <v>114</v>
      </c>
    </row>
    <row r="227" spans="1:1" ht="20.100000000000001" customHeight="1" x14ac:dyDescent="0.3">
      <c r="A227" s="27" t="s">
        <v>115</v>
      </c>
    </row>
    <row r="228" spans="1:1" ht="20.100000000000001" customHeight="1" x14ac:dyDescent="0.3">
      <c r="A228" s="27" t="s">
        <v>116</v>
      </c>
    </row>
    <row r="229" spans="1:1" ht="20.100000000000001" customHeight="1" x14ac:dyDescent="0.3">
      <c r="A229" s="27" t="s">
        <v>117</v>
      </c>
    </row>
    <row r="230" spans="1:1" ht="20.100000000000001" customHeight="1" x14ac:dyDescent="0.3">
      <c r="A230" s="27" t="s">
        <v>118</v>
      </c>
    </row>
    <row r="231" spans="1:1" ht="20.100000000000001" customHeight="1" x14ac:dyDescent="0.3">
      <c r="A231" s="27" t="s">
        <v>119</v>
      </c>
    </row>
    <row r="232" spans="1:1" ht="20.100000000000001" customHeight="1" x14ac:dyDescent="0.3">
      <c r="A232" s="27" t="s">
        <v>120</v>
      </c>
    </row>
    <row r="233" spans="1:1" ht="20.100000000000001" customHeight="1" x14ac:dyDescent="0.3">
      <c r="A233" s="27" t="s">
        <v>121</v>
      </c>
    </row>
    <row r="234" spans="1:1" ht="20.100000000000001" customHeight="1" x14ac:dyDescent="0.3">
      <c r="A234" s="27" t="s">
        <v>122</v>
      </c>
    </row>
    <row r="235" spans="1:1" ht="20.100000000000001" customHeight="1" x14ac:dyDescent="0.3">
      <c r="A235" s="27" t="s">
        <v>123</v>
      </c>
    </row>
    <row r="236" spans="1:1" ht="20.100000000000001" customHeight="1" x14ac:dyDescent="0.3">
      <c r="A236" s="29" t="s">
        <v>124</v>
      </c>
    </row>
    <row r="237" spans="1:1" ht="20.100000000000001" customHeight="1" x14ac:dyDescent="0.3">
      <c r="A237" s="27" t="s">
        <v>125</v>
      </c>
    </row>
    <row r="238" spans="1:1" ht="20.100000000000001" customHeight="1" x14ac:dyDescent="0.3">
      <c r="A238" s="27" t="s">
        <v>126</v>
      </c>
    </row>
    <row r="239" spans="1:1" ht="20.100000000000001" customHeight="1" x14ac:dyDescent="0.3">
      <c r="A239" s="27" t="s">
        <v>127</v>
      </c>
    </row>
    <row r="240" spans="1:1" ht="20.100000000000001" customHeight="1" x14ac:dyDescent="0.3">
      <c r="A240" s="27" t="s">
        <v>128</v>
      </c>
    </row>
    <row r="241" spans="1:1" ht="20.100000000000001" customHeight="1" x14ac:dyDescent="0.3">
      <c r="A241" s="27" t="s">
        <v>129</v>
      </c>
    </row>
    <row r="242" spans="1:1" ht="20.100000000000001" customHeight="1" x14ac:dyDescent="0.3">
      <c r="A242" s="27" t="s">
        <v>130</v>
      </c>
    </row>
    <row r="243" spans="1:1" ht="20.100000000000001" customHeight="1" x14ac:dyDescent="0.3">
      <c r="A243" s="27" t="s">
        <v>131</v>
      </c>
    </row>
    <row r="244" spans="1:1" ht="20.100000000000001" customHeight="1" x14ac:dyDescent="0.3">
      <c r="A244" s="27" t="s">
        <v>132</v>
      </c>
    </row>
    <row r="245" spans="1:1" ht="20.100000000000001" customHeight="1" x14ac:dyDescent="0.3">
      <c r="A245" s="27" t="s">
        <v>133</v>
      </c>
    </row>
    <row r="246" spans="1:1" ht="20.100000000000001" customHeight="1" x14ac:dyDescent="0.3">
      <c r="A246" s="27" t="s">
        <v>134</v>
      </c>
    </row>
    <row r="247" spans="1:1" ht="20.100000000000001" customHeight="1" x14ac:dyDescent="0.3">
      <c r="A247" s="27" t="s">
        <v>135</v>
      </c>
    </row>
    <row r="248" spans="1:1" ht="20.100000000000001" customHeight="1" x14ac:dyDescent="0.3">
      <c r="A248" s="27" t="s">
        <v>126</v>
      </c>
    </row>
    <row r="249" spans="1:1" ht="20.100000000000001" customHeight="1" x14ac:dyDescent="0.3">
      <c r="A249" s="27" t="s">
        <v>136</v>
      </c>
    </row>
    <row r="250" spans="1:1" ht="20.100000000000001" customHeight="1" x14ac:dyDescent="0.3">
      <c r="A250" s="27" t="s">
        <v>137</v>
      </c>
    </row>
    <row r="251" spans="1:1" ht="20.100000000000001" customHeight="1" x14ac:dyDescent="0.3">
      <c r="A251" s="29" t="s">
        <v>138</v>
      </c>
    </row>
    <row r="252" spans="1:1" ht="20.100000000000001" customHeight="1" x14ac:dyDescent="0.3">
      <c r="A252" s="30" t="s">
        <v>139</v>
      </c>
    </row>
    <row r="253" spans="1:1" ht="20.100000000000001" customHeight="1" x14ac:dyDescent="0.3">
      <c r="A253" s="27" t="s">
        <v>140</v>
      </c>
    </row>
    <row r="254" spans="1:1" ht="20.100000000000001" customHeight="1" x14ac:dyDescent="0.3">
      <c r="A254" s="27" t="s">
        <v>141</v>
      </c>
    </row>
    <row r="255" spans="1:1" ht="20.100000000000001" customHeight="1" x14ac:dyDescent="0.3">
      <c r="A255" s="31" t="s">
        <v>142</v>
      </c>
    </row>
    <row r="256" spans="1:1" ht="20.100000000000001" customHeight="1" x14ac:dyDescent="0.3">
      <c r="A256" s="31" t="s">
        <v>143</v>
      </c>
    </row>
    <row r="257" spans="1:1" ht="20.100000000000001" customHeight="1" x14ac:dyDescent="0.3">
      <c r="A257" s="32" t="s">
        <v>144</v>
      </c>
    </row>
    <row r="258" spans="1:1" ht="20.100000000000001" customHeight="1" x14ac:dyDescent="0.3">
      <c r="A258" s="27" t="s">
        <v>145</v>
      </c>
    </row>
    <row r="259" spans="1:1" ht="20.100000000000001" customHeight="1" x14ac:dyDescent="0.3">
      <c r="A259" s="32" t="s">
        <v>146</v>
      </c>
    </row>
    <row r="260" spans="1:1" ht="20.100000000000001" customHeight="1" x14ac:dyDescent="0.3">
      <c r="A260" s="27" t="s">
        <v>147</v>
      </c>
    </row>
    <row r="261" spans="1:1" ht="20.100000000000001" customHeight="1" x14ac:dyDescent="0.3">
      <c r="A261" s="32" t="s">
        <v>148</v>
      </c>
    </row>
    <row r="262" spans="1:1" ht="20.100000000000001" customHeight="1" x14ac:dyDescent="0.3">
      <c r="A262" s="27" t="s">
        <v>149</v>
      </c>
    </row>
    <row r="263" spans="1:1" ht="20.100000000000001" customHeight="1" x14ac:dyDescent="0.3">
      <c r="A263" s="27" t="s">
        <v>150</v>
      </c>
    </row>
    <row r="264" spans="1:1" ht="20.100000000000001" customHeight="1" x14ac:dyDescent="0.3">
      <c r="A264" s="32" t="s">
        <v>151</v>
      </c>
    </row>
    <row r="265" spans="1:1" ht="20.100000000000001" customHeight="1" x14ac:dyDescent="0.3">
      <c r="A265" s="32" t="s">
        <v>152</v>
      </c>
    </row>
    <row r="266" spans="1:1" ht="20.100000000000001" customHeight="1" x14ac:dyDescent="0.3">
      <c r="A266" s="32" t="s">
        <v>153</v>
      </c>
    </row>
    <row r="267" spans="1:1" ht="20.100000000000001" customHeight="1" x14ac:dyDescent="0.3">
      <c r="A267" s="27" t="s">
        <v>154</v>
      </c>
    </row>
    <row r="268" spans="1:1" ht="20.100000000000001" customHeight="1" x14ac:dyDescent="0.3">
      <c r="A268" s="27" t="s">
        <v>155</v>
      </c>
    </row>
    <row r="269" spans="1:1" ht="20.100000000000001" customHeight="1" x14ac:dyDescent="0.3">
      <c r="A269" s="27" t="s">
        <v>156</v>
      </c>
    </row>
    <row r="270" spans="1:1" ht="20.100000000000001" customHeight="1" x14ac:dyDescent="0.3">
      <c r="A270" s="27" t="s">
        <v>157</v>
      </c>
    </row>
    <row r="271" spans="1:1" ht="20.100000000000001" customHeight="1" x14ac:dyDescent="0.3">
      <c r="A271" s="32" t="s">
        <v>158</v>
      </c>
    </row>
    <row r="272" spans="1:1" ht="20.100000000000001" customHeight="1" x14ac:dyDescent="0.3">
      <c r="A272" s="32" t="s">
        <v>159</v>
      </c>
    </row>
    <row r="273" spans="1:1" ht="20.100000000000001" customHeight="1" x14ac:dyDescent="0.3">
      <c r="A273" s="27" t="s">
        <v>160</v>
      </c>
    </row>
    <row r="274" spans="1:1" ht="20.100000000000001" customHeight="1" x14ac:dyDescent="0.3">
      <c r="A274" s="32" t="s">
        <v>161</v>
      </c>
    </row>
    <row r="275" spans="1:1" ht="20.100000000000001" customHeight="1" x14ac:dyDescent="0.3">
      <c r="A275" s="32" t="s">
        <v>162</v>
      </c>
    </row>
    <row r="276" spans="1:1" ht="20.100000000000001" customHeight="1" x14ac:dyDescent="0.3">
      <c r="A276" s="27" t="s">
        <v>163</v>
      </c>
    </row>
    <row r="277" spans="1:1" ht="20.100000000000001" customHeight="1" x14ac:dyDescent="0.3">
      <c r="A277" s="27" t="s">
        <v>164</v>
      </c>
    </row>
    <row r="278" spans="1:1" ht="20.100000000000001" customHeight="1" x14ac:dyDescent="0.3">
      <c r="A278" s="32" t="s">
        <v>165</v>
      </c>
    </row>
    <row r="279" spans="1:1" ht="20.100000000000001" customHeight="1" x14ac:dyDescent="0.3">
      <c r="A279" s="27" t="s">
        <v>166</v>
      </c>
    </row>
    <row r="280" spans="1:1" ht="20.100000000000001" customHeight="1" x14ac:dyDescent="0.3">
      <c r="A280" s="27" t="s">
        <v>167</v>
      </c>
    </row>
    <row r="281" spans="1:1" ht="20.100000000000001" customHeight="1" x14ac:dyDescent="0.3">
      <c r="A281" s="27" t="s">
        <v>168</v>
      </c>
    </row>
    <row r="282" spans="1:1" ht="20.100000000000001" customHeight="1" x14ac:dyDescent="0.3">
      <c r="A282" s="27" t="s">
        <v>169</v>
      </c>
    </row>
    <row r="283" spans="1:1" ht="20.100000000000001" customHeight="1" x14ac:dyDescent="0.3">
      <c r="A283" s="32" t="s">
        <v>170</v>
      </c>
    </row>
    <row r="284" spans="1:1" ht="20.100000000000001" customHeight="1" x14ac:dyDescent="0.3">
      <c r="A284" s="32" t="s">
        <v>171</v>
      </c>
    </row>
    <row r="285" spans="1:1" ht="20.100000000000001" customHeight="1" x14ac:dyDescent="0.3">
      <c r="A285" s="32" t="s">
        <v>172</v>
      </c>
    </row>
    <row r="286" spans="1:1" ht="20.100000000000001" customHeight="1" thickBot="1" x14ac:dyDescent="0.35">
      <c r="A286" s="27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2025-10-27T21:27:53Z</dcterms:modified>
</cp:coreProperties>
</file>