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8B208F1-FA72-4B59-87BC-7E2F3500DB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/>
  <c r="G20" i="2"/>
  <c r="H20" i="2"/>
  <c r="G8" i="2"/>
  <c r="H8" i="2"/>
  <c r="F21" i="2"/>
  <c r="E22" i="2" s="1"/>
  <c r="E23" i="2" s="1"/>
  <c r="E21" i="2"/>
</calcChain>
</file>

<file path=xl/sharedStrings.xml><?xml version="1.0" encoding="utf-8"?>
<sst xmlns="http://schemas.openxmlformats.org/spreadsheetml/2006/main" count="250" uniqueCount="195">
  <si>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</si>
  <si>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</si>
  <si>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</si>
  <si>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</si>
  <si>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</si>
  <si>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</si>
  <si>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</si>
  <si>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</si>
  <si>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</si>
  <si>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</si>
  <si>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</si>
  <si>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</si>
  <si>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</si>
  <si>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</si>
  <si>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</si>
  <si>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</si>
  <si>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</si>
  <si>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</si>
  <si>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</si>
  <si>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</si>
  <si>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</si>
  <si>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</si>
  <si>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</si>
  <si>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</si>
  <si>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</si>
  <si>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</si>
  <si>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</si>
  <si>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</si>
  <si>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</si>
  <si>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</si>
  <si>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</si>
  <si>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</si>
  <si>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</si>
  <si>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</si>
  <si>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</si>
  <si>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</si>
  <si>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</si>
  <si>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</si>
  <si>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</si>
  <si>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</si>
  <si>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</si>
  <si>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</si>
  <si>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</si>
  <si>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</si>
  <si>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</si>
  <si>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</si>
  <si>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</si>
  <si>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</si>
  <si>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</si>
  <si>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</si>
  <si>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</si>
  <si>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</si>
  <si>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</si>
  <si>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</si>
  <si>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</si>
  <si>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</si>
  <si>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</si>
  <si>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</si>
  <si>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</si>
  <si>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</si>
  <si>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</si>
  <si>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</si>
  <si>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</si>
  <si>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</si>
  <si>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</si>
  <si>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</si>
  <si>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</si>
  <si>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</si>
  <si>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</si>
  <si>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</si>
  <si>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</si>
  <si>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</si>
  <si>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</si>
  <si>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</si>
  <si>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</si>
  <si>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</si>
  <si>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</si>
  <si>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</si>
  <si>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</si>
  <si>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</si>
  <si>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</si>
  <si>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</si>
  <si>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</si>
  <si>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</si>
  <si>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</si>
  <si>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</si>
  <si>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</si>
  <si>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</si>
  <si>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</si>
  <si>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</si>
  <si>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</si>
  <si>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</si>
  <si>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</si>
  <si>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</si>
  <si>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</si>
  <si>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</si>
  <si>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</si>
  <si>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</si>
  <si>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</si>
  <si>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</si>
  <si>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</si>
  <si>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</si>
  <si>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</si>
  <si>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</si>
  <si>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</si>
  <si>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</si>
  <si>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</si>
  <si>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</si>
  <si>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</si>
  <si>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</si>
  <si>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</si>
  <si>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</si>
  <si>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</si>
  <si>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</si>
  <si>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</si>
  <si>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</si>
  <si>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</si>
  <si>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</si>
  <si>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</si>
  <si>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</si>
  <si>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</si>
  <si>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</si>
  <si>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</si>
  <si>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</si>
  <si>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</si>
  <si>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</si>
  <si>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</si>
  <si>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</si>
  <si>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</si>
  <si>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</si>
  <si>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</si>
  <si>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</si>
  <si>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</si>
  <si>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</si>
  <si>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</si>
  <si>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</si>
  <si>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</si>
  <si>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</si>
  <si>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</si>
  <si>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</si>
  <si>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</si>
  <si>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</si>
  <si>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</si>
  <si>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</si>
  <si>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</si>
  <si>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</si>
  <si>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</si>
  <si>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</si>
  <si>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</si>
  <si>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</si>
  <si>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</si>
  <si>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</si>
  <si>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</si>
  <si>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</si>
  <si>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</si>
  <si>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</si>
  <si>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</si>
  <si>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</si>
  <si>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</si>
  <si>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</si>
  <si>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</si>
  <si>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</si>
  <si>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</si>
  <si>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</si>
  <si>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</si>
  <si>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</si>
  <si>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</si>
  <si>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</si>
  <si>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</si>
  <si>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</si>
  <si>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</si>
  <si>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</si>
  <si>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</si>
  <si>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</si>
  <si>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</si>
  <si>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</si>
  <si>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</si>
  <si>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</si>
  <si>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</si>
  <si>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</si>
  <si>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rPr>
        <b/>
        <sz val="14"/>
        <color rgb="FF000000"/>
        <rFont val="Arial"/>
        <family val="2"/>
      </rPr>
      <t>تقييم وكيل السرية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</si>
  <si>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</si>
  <si>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</si>
  <si>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</si>
  <si>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</si>
  <si>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</si>
  <si>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</si>
  <si>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</si>
  <si>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</si>
  <si>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</si>
  <si>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</si>
  <si>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</si>
  <si>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</si>
  <si>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</si>
  <si>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t xml:space="preserve">وكيل/ خليفة علي سالم الشحي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</si>
</sst>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218403</xdr:colOff>
      <xdr:row>24</xdr:row>
      <xdr:rowOff>107628</xdr:rowOff>
    </xdr:from>
    <xdr:to>
      <xdr:col>7</xdr:col>
      <xdr:colOff>202551</xdr:colOff>
      <xdr:row>24</xdr:row>
      <xdr:rowOff>404268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B6EAE50-C2E5-00B3-F4FE-1445EE8428C6}"/>
                </a:ext>
              </a:extLst>
            </xdr14:cNvPr>
            <xdr14:cNvContentPartPr/>
          </xdr14:nvContentPartPr>
          <xdr14:nvPr macro=""/>
          <xdr14:xfrm>
            <a:off x="10399700449" y="11052720"/>
            <a:ext cx="642240" cy="296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B6EAE50-C2E5-00B3-F4FE-1445EE8428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694329" y="11046600"/>
              <a:ext cx="65448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63591</xdr:colOff>
      <xdr:row>23</xdr:row>
      <xdr:rowOff>502640</xdr:rowOff>
    </xdr:from>
    <xdr:to>
      <xdr:col>9</xdr:col>
      <xdr:colOff>527249</xdr:colOff>
      <xdr:row>24</xdr:row>
      <xdr:rowOff>462228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131E802-8FF4-A622-959B-608E378BC4D4}"/>
                </a:ext>
              </a:extLst>
            </xdr14:cNvPr>
            <xdr14:cNvContentPartPr/>
          </xdr14:nvContentPartPr>
          <xdr14:nvPr macro=""/>
          <xdr14:xfrm>
            <a:off x="10398059569" y="10916640"/>
            <a:ext cx="1779840" cy="490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131E802-8FF4-A622-959B-608E378BC4D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53449" y="10910520"/>
              <a:ext cx="1792080" cy="502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8:38:12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1565 432 8,'0'0'0,"3"17"32,-3-17-32,4 14 64,-1-1 56,2-11 64,-5-2 88,0 0-272,2-4 312,-2 0-72,0 0-8,0-1-96,0 5-136,0-4 72,0 0-32,0 1-48,0 2 24,0 1-16,0-2 16,0 1 8,1-1 0,-1 1 0,0 1-24,0-3 32,0 2-8,0-1-16,0-1-16,0 3 8,0-1-8,0 0-16,0-2 0,0 1-8,0 2 32,-3-3-32,-5 1-8,-4-1 40,-1-2 0,13 5 0,-17-4 8,1 0 0,-3 0-16,1-1 24,18 5-16,-22-4 0,-1-2-8,5 2-16,-6-1 8,24 5 16,-23-12-8,-3 8 16,2-2 8,1-8-24,23 14 8,-23-6-8,0-8 8,-1 3 16,6 5-16,18 6 0,-17-13 24,4 9 8,8-9 24,-10 9 16,15 4-72,-5-11 152,3 6 32,-2-6 0,2 7 136,2 4-320,0-12 224,0 8-24,0-7-24,5 6-136,-5 5-40,3-12 120,10 7 0,-11-7 80,12 7 16,-14 5-216,4-13 136,11 9 8,-3-9-56,3 9 0,-15 4-88,17-13 88,-3 9-48,3-7 16,-2 6-31,-15 5-25,15-12 8,5 6 24,-5-10-16,3 5 8,-18 11-24,19-6 16,0-8 0,-5 10 0,4-8 40,-18 12-56,15-4 80,-4 0 24,-9 0 0,17-1-40,-19 5-64,11-4 48,-6 3-32,10-1-16,-4 1 0,-11 1 0,12 0-32,-3 0 0,5 3 0,0 1-24,-14-4 56,15 11-48,0-6 0,0 10 0,3-2 32,-18-13 16,17 14 0,-1 2 0,-2 1-8,-5 1-24,-9-18 32,14 20-16,-11 3 0,13 1 8,-12 2 0,-4-26 8,3 27-24,2-2 8,-3 0 16,-2 0 16,0-25-16,-2 24 64,-10-1 8,3 0-8,-3-3 0,12-20-64,-14 21 48,-2 0 0,-3-1 8,0 2-8,19-22-48,-20 21 56,-5 2 0,0-2 8,-5 0 32,30-21-96,-31 20 80,-6-3 24,0-1-8,-3 0-32,40-16-64,-44 14 80,-3 0 0,-2 0-8,-5-1 8,54-13-80,-56 13 72,-4-2-16,2 0-32,-4-6-40,62-5 16,-58 17-128,2-6-232,0-7-184,2 12-249,54-16 793,-58 4-888,0 11-176,-10-13 216,7 10 184,61-12 664,-66 0-480,3 4 248,0-1 80,0-3 64,63 0 88,-58-2-48,0-10 8,-1-1 8,6-4 16,53 17 16,0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8:38:15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4270 621 16,'0'0'0,"5"2"80,9 1 216,-14-3-296,2 3 640,13-3 472,-15-6 192,5-8-360,-5 14-944,4-4 561,8-10-345,-12 10-200,12-9 24,-12 13-40,2-5 32,15-7-32,-6 6 24,3-8-72,-14 14 48,15-12-56,-4 0 104,6-1 16,-3-1-24,-14 14-40,16-14 96,-4 0-8,0-2 72,2-1 160,-14 17-320,19-17 408,-10 0-24,6-2 16,-2 2-64,-13 17-336,2-18 224,20 1 16,-10 0-56,-8-3-72,-4 20-112,19-20 120,-7 2-48,-9-1-72,15 1 72,-18 18-72,10-17-8,2 0 24,-10 0 8,11 0 16,-13 17-40,15-17 48,-6 1-24,6-1 48,-10 3-88,-5 14 16,13-14 24,-10 1 32,-1 2-88,12-1 88,-14 12-56,0-4 72,5-9-64,-2 10 88,-3 1-88,0 2-8,2-2-64,-2 1-48,0 1-128,0 0 64,0 0 176,0 0-208,0 0 32,0 3 112,0 1-40,0-4 104,-2 4-48,2 7 24,-3-8-32,1 9 24,2-12 32,-5 4-72,3 9 48,-1-2 0,1-7-32,2-4 56,-3 19 0,1-4-24,2-1-16,-2 3 64,2-17-24,0 17 0,0 2 8,0-2-16,0 1-32,0-18 40,0 20-56,0 2 56,0-1-16,2-1-24,-2-20 40,5 21 24,-3-1-88,-2 0 104,3 1-24,-3-21-16,0 20-56,2 1 64,-2 0-32,0 1 0,0-22 24,0 21 0,0 3 0,0-3-56,0 3 56,0-24 0,0 26-40,0-2 0,0 3 32,0-1-16,0-26 24,-2 27 88,2 1-32,0 0-56,-3 1 40,3-29-40,0 28 24,-7 0-64,5 1 112,-1-1-64,3-28-8,-7 31-56,3-4 112,-8 0-144,7-4 72,5-23 16,-5 23 24,-9-2-24,9-1 64,0-2-40,5-18-24,-13 20 24,8-3 0,-7 0-8,7-1 24,5-16-40,-13 15 24,6 1-32,-5-1 40,9 0-40,3-15 8,-7 14-24,-7 0 16,12-1-48,-15 0 48,17-13 8,-9 12 0,1 2 16,-3-1-32,7 0 8,4-13 8,-12 4 24,4 13-40,-4-13 48,10 9-32,2-13 0,-11 5-16,6-1 32,-9 7 16,9-8 0,5-3-32,-18 3 24,8 0-16,-2-3-8,0 3 48,12-3-48,-5 0 88,-11 0 8,9 0 16,-5-2-16,12 2-96,-2-3 104,-3-1 48,-2 0 8,-4-1 56,11 5-216,0-4 256,-8-9-88,4 9 48,1-9-7,3 13-209,-5-5 136,3-8 88,0 7-40,2-8-56,0 14-128,0-6 128,-3-9-32,1 4 24,2 6-80,0 5-40,0-12 56,0 7 16,0-7-64,0 7 72,0 5-80,0-11 40,0 7 24,0-9-8,0 9-32,0 4-24,5-6 40,-5 0-56,4 1 40,-1-1-16,-3 6-8,2-6-8,1 0 0,-1 2-8,3 0-8,-5 4 24,2-4 0,1-1 32,-1 1-72,0 1 48,-2 3-8,0-3 0,0 2-56,0-2 72,0 2-8,0 1-8,0-2-8,0 2-8,0 0-8,0 0-160,0 0 184,0 0-208,0 0 0,-2 0-8,0 0 112,2 0 104,-3 0-88,-4 0 48,-3 3 24,6 0-40,4-3 56,-12 3-24,10 0-8,-12 0-24,6-1 56,8-2 0,-12 3-16,5 0 0,-6-3-48,10 3 24,3-3 40,-16 0-40,4 0-16,1 0 104,-2 0-40,13 0-8,-7 0-8,-5 0 16,7 0-32,2-1 32,3 1-8,-3-2 88,1 1-40,-1-1 56,1 1-16,2 1-88,0-3 96,0 0 48,2-1-80,3 1-48,-5 3-16,11-4-72,-6 1-32,14-1-40,-3-1-16,-16 5 160,19-2-136,1 0-1,-5-1 65,2 2 24,-17 1 48,17-2-56,-3 1 40,-2 1-56,-8 0 32,-4 0 40,12 0-8,-12 0-96,0 0-24,0 0 0,0 0 128,0 0-104,-4 3 72,-8 1 80,0-1-24,12-3-24,-23 4 8,-2-1 24,-10 0-56,-7-3 8,42 0 16,-49 3 8,-3-3 0,-7 0 80,-7 0-40,66 0-48,-66 0 16,-7 0 0,-7 0-72,-2 0 72,82 0-16,-90 0 40,1-2-32,-6 1 0,2 0-24,93 1 16,-97-2-32,-6 1 24,-4-1 16,0 1 32,107 1-40,-116-2 40,1 2-32,-1 0 0,1 0 16,115 0-24,-113 0-48,3 3 32,-4 2-16,4-1 24,110-4 8,-111 11-8,3-8 16,2 0-16,7 1-8,99-4 16,-94 3 8,7-3-8,7 3 16,4-3-8,13 0 24,4 0 8,10-2 32,7 1-8,42 1-64,-31-3 104,10 2-32,6-1 112,13 1 201,2 1-385,-3-2 480,3 0-8,12-3-248,5 1-312,-17 4 88,26-6-200,9-5-32,12 7 120,10-2 64,-57 6 48,64-14-72,10 10 88,9-9-24,6 8 8,-89 5 0,94-15 48,13 10-56,1-11 40,12 5-16,-120 11-16,127-12 24,9 7 32,8-11-24,9 12 8,-153 4-40,162-12 0,6 9 0,6-1 24,2 1 24,-176 3-48,174-1 8,5-1 16,-2 2-40,-1 0-16,-176 0 32,168 5 16,-11 6-64,-11-8 48,-24 1-16,-122-4 16,104 4 8,-17-1 0,-18-3 0,-17 0 16,-52 0-24,42 0 0,-9 0 24,-10-1-8,-11-1 56,-12 2-72,5-1 120,-5 0-32,0-1-16,-17 1-96,17 1 24,-26-6-80,-18-7-32,-18-1 8,-15-4 96,77 18 8,-90-20 16,-6-3-16,-15 4 48,-4-3-64,115 22 16,-118-18 32,-12-1 40,-9 1 0,-6 1-40,145 17-32,-165-17 16,3 0-24,-7 1 8,-6 2-24,175 14 24,-177-14 0,1 8 0,2-5-8,2 9 16,172 2-8,-172-2-8,0 0-8,0 2 8,-2 0-8,174 0 16,-167 3-32,2 1 0,6 9 8,5-9 48,154-4-24,-143 16-56,6-5 24,76-11 16,-12 11-56,73-11 72,-69 3 8,-6 9 0,8-8-24,-5 9 64,72-13-48,-65 4-16,1 9 8,10-9-80,14 9-96,40-13 184,-26 3-80,10 1 32,16 7 152,12-8 72,-12-3-176,30 4 176,17 8-16,80-1-80,29 2 128,-156-13-208,159 13 56,2-2-8,-2 3 24,9-1-72,-168-13 0,184 15-40,2 1-72,6-2-104,6 0-40,-198-14 256,193 13-128,-7-2 48,-17 1 64,-13-8-8,-156-4 24,132 13-40,-20-10 8,-10 1 0,-18 9 24,-84-13 8,78 3 0,-14 8-32,-15-11 64,-14 3 80,-35-3-112,22 0 176,-11 0 184,-11-3 72,-4-1 32,4 4-464,-19-14 248,-16-1-64,-22-2-160,-18-6-72,75 23 48,-92-28 144,-14 0-48,-9-2 16,-5-2 0,120 32-112,-125-29 48,-2 2 16,2-1-80,0 1 24,125 27-8,-124-26-88,2-1 104,3 2 64,7 1 32,112 24-112,-109-26 80,8 2-128,-1 0 80,13 0 72,89 24-104,-82-23 184,17 2-64,15 1 16,16 4-96,34 16-40,-20-12 200,8 0 80,12-1-95,0 1-49,0 12-136,12-15-8,5 0-152,10 1 23,13-1-15,-40 15 152,59-11-136,14 7-40,9-8 144,15 10-56,-97 2 88,94-5 48,10 1 48,-5 0-128,4 1 136,-103 3-104,101-4 0,-2 1 40,-2 1-40,-5 0 32,-92 2-32,79-3 8,-5 2 32,-4-1-8,-8 1-64,-62 1 32,55 0-16,-5 0-16,-5 0 40,-9 0-40,-36 0 32,30 3-40,-11 1 16,-3 0-8,-11 0-40,-5-4 72,2 3-128,3 1-40,-3 9-24,-2-2 56,0-11 136,0 16-32,-14 5 32,-4 5 72,-2 4-16,20-30-56,-23 35 40,-3 6 8,-2 5-48,-3 3 8,31-49-8,-26 53-40,1 5 8,1 1-16,3 7 32,21-66 16,-17 69-64,3-1-600,12-1-1248,2 0-1465,0-67 3377,0 65-3353,12-4 1209,2-5 1152,4-13 704,-18-43 288,19 31-80,-19-31 80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A20" zoomScale="130" zoomScaleNormal="100" zoomScaleSheetLayoutView="130" workbookViewId="0">
      <selection activeCell="F20" sqref="F20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178</v>
      </c>
      <c r="C2" s="65" t="s">
        <v>41</v>
      </c>
      <c r="D2" s="65"/>
      <c r="E2" s="12" t="s">
        <v>7</v>
      </c>
      <c r="F2" s="60">
        <v>45945</v>
      </c>
      <c r="G2" s="60"/>
      <c r="H2" s="60"/>
      <c r="I2" s="60"/>
      <c r="J2" s="60"/>
    </row>
    <row r="3" spans="1:10" ht="30" customHeight="1" x14ac:dyDescent="0.3">
      <c r="B3" s="12" t="s">
        <v>179</v>
      </c>
      <c r="C3" s="65" t="s">
        <v>194</v>
      </c>
      <c r="D3" s="65"/>
      <c r="E3" s="12" t="s">
        <v>6</v>
      </c>
      <c r="F3" s="65" t="s">
        <v>160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21</v>
      </c>
      <c r="H6" s="11" t="s">
        <v>22</v>
      </c>
      <c r="I6" s="51"/>
      <c r="J6" s="52"/>
    </row>
    <row r="7" spans="1:10" ht="24.9" customHeight="1" thickBot="1" x14ac:dyDescent="0.35">
      <c r="A7" s="10"/>
      <c r="B7" s="47" t="s">
        <v>19</v>
      </c>
      <c r="C7" s="48"/>
      <c r="D7" s="48"/>
      <c r="E7" s="28" t="s">
        <v>16</v>
      </c>
      <c r="F7" s="28" t="s">
        <v>17</v>
      </c>
      <c r="G7" s="28" t="s">
        <v>20</v>
      </c>
      <c r="H7" s="28" t="s">
        <v>18</v>
      </c>
      <c r="I7" s="53" t="s">
        <v>23</v>
      </c>
      <c r="J7" s="54"/>
    </row>
    <row r="8" spans="1:10" ht="39.9" customHeight="1" x14ac:dyDescent="0.3">
      <c r="A8" s="10"/>
      <c r="B8" s="57" t="s">
        <v>181</v>
      </c>
      <c r="C8" s="58"/>
      <c r="D8" s="58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5"/>
      <c r="J8" s="56"/>
    </row>
    <row r="9" spans="1:10" ht="39.9" customHeight="1" x14ac:dyDescent="0.3">
      <c r="A9" s="10"/>
      <c r="B9" s="39" t="s">
        <v>182</v>
      </c>
      <c r="C9" s="40"/>
      <c r="D9" s="40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39" t="s">
        <v>183</v>
      </c>
      <c r="C10" s="40"/>
      <c r="D10" s="40"/>
      <c r="E10" s="9">
        <v>5</v>
      </c>
      <c r="F10" s="26">
        <v>3.75</v>
      </c>
      <c r="G10" s="30">
        <f t="shared" ref="G10:G20" si="0">IFERROR(F10/E10,"")</f>
        <v>0.75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39" t="s">
        <v>184</v>
      </c>
      <c r="C11" s="40"/>
      <c r="D11" s="40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39" t="s">
        <v>185</v>
      </c>
      <c r="C12" s="40"/>
      <c r="D12" s="40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5"/>
      <c r="J12" s="46"/>
    </row>
    <row r="13" spans="1:10" ht="39.9" customHeight="1" x14ac:dyDescent="0.3">
      <c r="A13" s="10"/>
      <c r="B13" s="39" t="s">
        <v>186</v>
      </c>
      <c r="C13" s="40"/>
      <c r="D13" s="40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5"/>
      <c r="J13" s="46"/>
    </row>
    <row r="14" spans="1:10" ht="39.9" customHeight="1" x14ac:dyDescent="0.3">
      <c r="A14" s="10"/>
      <c r="B14" s="39" t="s">
        <v>187</v>
      </c>
      <c r="C14" s="40"/>
      <c r="D14" s="40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39" t="s">
        <v>188</v>
      </c>
      <c r="C15" s="40"/>
      <c r="D15" s="4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39" t="s">
        <v>189</v>
      </c>
      <c r="C16" s="40"/>
      <c r="D16" s="40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39" t="s">
        <v>193</v>
      </c>
      <c r="C17" s="40"/>
      <c r="D17" s="40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39" t="s">
        <v>190</v>
      </c>
      <c r="C18" s="40"/>
      <c r="D18" s="40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39" t="s">
        <v>191</v>
      </c>
      <c r="C19" s="40"/>
      <c r="D19" s="40"/>
      <c r="E19" s="9">
        <v>5</v>
      </c>
      <c r="F19" s="26">
        <v>4</v>
      </c>
      <c r="G19" s="30">
        <f t="shared" si="0"/>
        <v>0.8</v>
      </c>
      <c r="H19" s="31" t="str">
        <f t="shared" si="1"/>
        <v>جيد جداً</v>
      </c>
      <c r="I19" s="45"/>
      <c r="J19" s="46"/>
    </row>
    <row r="20" spans="1:10" ht="39.9" customHeight="1" thickBot="1" x14ac:dyDescent="0.35">
      <c r="A20" s="10"/>
      <c r="B20" s="43" t="s">
        <v>192</v>
      </c>
      <c r="C20" s="44"/>
      <c r="D20" s="44"/>
      <c r="E20" s="36">
        <v>5</v>
      </c>
      <c r="F20" s="27">
        <v>3.75</v>
      </c>
      <c r="G20" s="37">
        <f t="shared" si="0"/>
        <v>0.75</v>
      </c>
      <c r="H20" s="38" t="str">
        <f t="shared" si="1"/>
        <v>جيد</v>
      </c>
      <c r="I20" s="41"/>
      <c r="J20" s="42"/>
    </row>
    <row r="21" spans="1:10" ht="30" customHeight="1" thickBot="1" x14ac:dyDescent="0.35">
      <c r="A21" s="4"/>
      <c r="B21" s="79" t="s">
        <v>5</v>
      </c>
      <c r="C21" s="80"/>
      <c r="D21" s="80"/>
      <c r="E21" s="29">
        <f>SUM(E8:E20)</f>
        <v>65</v>
      </c>
      <c r="F21" s="29">
        <f>SUM(F8:F20)</f>
        <v>47.75</v>
      </c>
      <c r="G21" s="68"/>
      <c r="H21" s="69"/>
      <c r="I21" s="69"/>
      <c r="J21" s="70"/>
    </row>
    <row r="22" spans="1:10" ht="30" customHeight="1" thickBot="1" x14ac:dyDescent="0.35">
      <c r="A22" s="4"/>
      <c r="B22" s="81" t="s">
        <v>52</v>
      </c>
      <c r="C22" s="82"/>
      <c r="D22" s="82"/>
      <c r="E22" s="77">
        <f>F21/E21/100*100</f>
        <v>0.73461538461538467</v>
      </c>
      <c r="F22" s="77"/>
      <c r="G22" s="77"/>
      <c r="H22" s="77"/>
      <c r="I22" s="77"/>
      <c r="J22" s="78"/>
    </row>
    <row r="23" spans="1:10" ht="30" customHeight="1" thickBot="1" x14ac:dyDescent="0.35">
      <c r="A23" s="4"/>
      <c r="B23" s="81" t="s">
        <v>53</v>
      </c>
      <c r="C23" s="82"/>
      <c r="D23" s="82"/>
      <c r="E23" s="75" t="str">
        <f>_xlfn.IFS(E22&gt;=90%,"ممتاز",E22&gt;=80%,"جيد جداً",E22&gt;=70%,"جيد",E22&gt;=60%,"مقبول",E22&lt;60%,"راسب")</f>
        <v>جيد</v>
      </c>
      <c r="F23" s="75"/>
      <c r="G23" s="75"/>
      <c r="H23" s="75"/>
      <c r="I23" s="75"/>
      <c r="J23" s="76"/>
    </row>
    <row r="24" spans="1:10" ht="42" customHeight="1" x14ac:dyDescent="0.3">
      <c r="B24" s="71" t="s">
        <v>172</v>
      </c>
      <c r="C24" s="71"/>
      <c r="D24" s="71"/>
      <c r="E24" s="66" t="s">
        <v>50</v>
      </c>
      <c r="F24" s="66"/>
      <c r="G24" s="73" t="s">
        <v>160</v>
      </c>
      <c r="H24" s="73"/>
      <c r="I24" s="73"/>
      <c r="J24" s="73"/>
    </row>
    <row r="25" spans="1:10" ht="51" customHeight="1" x14ac:dyDescent="0.3">
      <c r="A25" s="5"/>
      <c r="B25" s="72"/>
      <c r="C25" s="72"/>
      <c r="D25" s="72"/>
      <c r="E25" s="67" t="s">
        <v>51</v>
      </c>
      <c r="F25" s="67"/>
      <c r="G25" s="74"/>
      <c r="H25" s="74"/>
      <c r="I25" s="74"/>
      <c r="J25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7"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15:J15"/>
    <mergeCell ref="I16:J16"/>
    <mergeCell ref="I17:J17"/>
    <mergeCell ref="I18:J18"/>
    <mergeCell ref="I19:J19"/>
    <mergeCell ref="I20:J20"/>
    <mergeCell ref="B17:D17"/>
    <mergeCell ref="B18:D18"/>
    <mergeCell ref="B19:D19"/>
    <mergeCell ref="B20:D20"/>
    <mergeCell ref="B16:D16"/>
    <mergeCell ref="B11:D11"/>
    <mergeCell ref="B12:D12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2025-10-15T22:00:42Z</dcterms:modified>
</cp:coreProperties>
</file>