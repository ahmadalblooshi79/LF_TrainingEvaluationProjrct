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1AC18950-9E9D-4294-AF4C-EA7725485133}"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5" i="2"/>
  <c r="H15" i="2"/>
  <c r="G16" i="2"/>
  <c r="H16" i="2"/>
  <c r="G17" i="2"/>
  <c r="H17" i="2"/>
  <c r="G18" i="2"/>
  <c r="H18" i="2"/>
  <c r="G19" i="2"/>
  <c r="H19" i="2"/>
  <c r="G20" i="2"/>
  <c r="H20" i="2"/>
  <c r="G21" i="2"/>
  <c r="H21" i="2"/>
  <c r="G22" i="2"/>
  <c r="H22" i="2"/>
  <c r="G24" i="2"/>
  <c r="H24" i="2"/>
  <c r="G25" i="2"/>
  <c r="H25" i="2"/>
  <c r="G26" i="2"/>
  <c r="H26" i="2"/>
  <c r="G27" i="2"/>
  <c r="H27" i="2"/>
  <c r="G28" i="2"/>
  <c r="H28" i="2"/>
  <c r="G29" i="2"/>
  <c r="H29" i="2"/>
  <c r="G31" i="2"/>
  <c r="H31" i="2"/>
  <c r="G32" i="2"/>
  <c r="H32" i="2"/>
  <c r="G33" i="2"/>
  <c r="H33" i="2"/>
  <c r="G34" i="2"/>
  <c r="H34" i="2"/>
  <c r="G35" i="2"/>
  <c r="H35" i="2"/>
  <c r="G36" i="2"/>
  <c r="H36" i="2"/>
  <c r="G37" i="2"/>
  <c r="H37" i="2"/>
  <c r="G38" i="2"/>
  <c r="H38" i="2"/>
  <c r="G39" i="2"/>
  <c r="H39" i="2"/>
  <c r="G40" i="2"/>
  <c r="H40" i="2"/>
  <c r="G41" i="2"/>
  <c r="H41" i="2"/>
  <c r="G42" i="2"/>
  <c r="H42" i="2"/>
  <c r="G43" i="2"/>
  <c r="H43" i="2"/>
  <c r="G44" i="2"/>
  <c r="H44" i="2"/>
  <c r="G45" i="2"/>
  <c r="H45" i="2"/>
  <c r="F46" i="2"/>
  <c r="E46" i="2"/>
  <c r="E47" i="2"/>
  <c r="E48" i="2"/>
</calcChain>
</file>

<file path=xl/sharedStrings.xml><?xml version="1.0" encoding="utf-8"?>
<sst xmlns="http://schemas.openxmlformats.org/spreadsheetml/2006/main" count="275" uniqueCount="220">
  <si>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</si>
  <si>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</si>
  <si>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</si>
  <si>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</si>
  <si>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</si>
  <si>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</si>
  <si>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</si>
  <si>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</si>
  <si>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</si>
  <si>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</si>
  <si>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</si>
  <si>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</si>
  <si>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</si>
  <si>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</si>
  <si>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</si>
  <si>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</si>
  <si>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</si>
  <si>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</si>
  <si>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</si>
  <si>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</si>
  <si>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</si>
  <si>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</si>
  <si>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</si>
  <si>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</si>
  <si>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</si>
  <si>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</si>
  <si>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</si>
  <si>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</si>
  <si>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</si>
  <si>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</si>
  <si>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</si>
  <si>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</si>
  <si>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</si>
  <si>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</si>
  <si>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</si>
  <si>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</si>
  <si>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</si>
  <si>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</si>
  <si>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</si>
  <si>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</si>
  <si>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</si>
  <si>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</si>
  <si>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</si>
  <si>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</si>
  <si>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</si>
  <si>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</si>
  <si>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</si>
  <si>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</si>
  <si>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</si>
  <si>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</si>
  <si>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</si>
  <si>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</si>
  <si>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</si>
  <si>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</si>
  <si>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</si>
  <si>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</si>
  <si>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</si>
  <si>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</si>
  <si>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</si>
  <si>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</si>
  <si>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</si>
  <si>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</si>
  <si>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</si>
  <si>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</si>
  <si>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</si>
  <si>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</si>
  <si>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</si>
  <si>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</si>
  <si>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</si>
  <si>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</si>
  <si>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</si>
  <si>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</si>
  <si>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</si>
  <si>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</si>
  <si>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</si>
  <si>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</si>
  <si>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</si>
  <si>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</si>
  <si>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</si>
  <si>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</si>
  <si>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</si>
  <si>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</si>
  <si>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</si>
  <si>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</si>
  <si>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</si>
  <si>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</si>
  <si>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</si>
  <si>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</si>
  <si>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</si>
  <si>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</si>
  <si>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</si>
  <si>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</si>
  <si>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</si>
  <si>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</si>
  <si>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</si>
  <si>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</si>
  <si>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</si>
  <si>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</si>
  <si>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</si>
  <si>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</si>
  <si>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</si>
  <si>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</si>
  <si>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</si>
  <si>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</si>
  <si>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</si>
  <si>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</si>
  <si>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</si>
  <si>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</si>
  <si>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</si>
  <si>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</si>
  <si>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</si>
  <si>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</si>
  <si>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</si>
  <si>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</si>
  <si>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</si>
  <si>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</si>
  <si>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</si>
  <si>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</si>
  <si>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</si>
  <si>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</si>
  <si>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</si>
  <si>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</si>
  <si>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</si>
  <si>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</si>
  <si>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</si>
  <si>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</si>
  <si>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</si>
  <si>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</si>
  <si>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</si>
  <si>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</si>
  <si>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</si>
  <si>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</si>
  <si>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</si>
  <si>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</si>
  <si>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</si>
  <si>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</si>
  <si>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</si>
  <si>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</si>
  <si>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</si>
  <si>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</si>
  <si>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</si>
  <si>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</si>
  <si>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</si>
  <si>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</si>
  <si>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</si>
  <si>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</si>
  <si>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</si>
  <si>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</si>
  <si>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</si>
  <si>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</si>
  <si>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</si>
  <si>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</si>
  <si>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</si>
  <si>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</si>
  <si>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</si>
  <si>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</si>
  <si>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</si>
  <si>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</si>
  <si>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</si>
  <si>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</si>
  <si>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</si>
  <si>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</si>
  <si>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</si>
  <si>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</si>
  <si>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</si>
  <si>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</si>
  <si>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</si>
  <si>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</si>
  <si>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</si>
  <si>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</si>
  <si>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</si>
  <si>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</si>
  <si>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</si>
  <si>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</si>
  <si>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</si>
  <si>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</si>
  <si>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</si>
  <si>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</si>
  <si>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</si>
  <si>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</si>
  <si>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</si>
  <si>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</si>
  <si>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</si>
  <si>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</si>
  <si>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</si>
  <si>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</si>
  <si>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</si>
  <si>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</si>
  <si>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</si>
  <si>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</si>
  <si>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</si>
  <si>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</si>
  <si>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</si>
  <si>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</si>
  <si>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</si>
  <si>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</si>
  <si>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</si>
  <si>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</si>
  <si>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</si>
  <si>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</si>
  <si>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</si>
  <si>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</si>
  <si>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</si>
  <si>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</si>
  <si>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</si>
  <si>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</si>
  <si>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</si>
  <si>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</si>
  <si>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</si>
  <si>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</si>
  <si>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</si>
  <si>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</si>
  <si>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</si>
  <si>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</si>
  <si>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</si>
  <si>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</si>
  <si>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</si>
  <si>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</si>
  <si>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r>
      <rPr>
        <b/>
        <sz val="14"/>
        <color rgb="FF000000"/>
        <rFont val="Arial"/>
        <family val="2"/>
      </rPr>
      <t>تقييم وكيل مجموعة اللواء في التنقل التعبوي</t>
    </r>
    <r>
      <rPr>
        <b/>
        <u/>
        <sz val="14"/>
        <color rgb="FF000000"/>
        <rFont val="Arial"/>
        <family val="2"/>
      </rPr>
      <t xml:space="preserve">
تمرين جاهزية مجموعة لواء الإمارات/1 (جندي الصحراء 2025/20)</t>
    </r>
  </si>
  <si>
    <t>وكيل/1 علي عبدالله المزروعي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</si>
</sst>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81">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7</xdr:col>
      <xdr:colOff>134815</xdr:colOff>
      <xdr:row>49</xdr:row>
      <xdr:rowOff>152400</xdr:rowOff>
    </xdr:from>
    <xdr:to>
      <xdr:col>9</xdr:col>
      <xdr:colOff>342873</xdr:colOff>
      <xdr:row>49</xdr:row>
      <xdr:rowOff>577429</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5E80BD7-DFB5-458F-9A7F-A24A51AB5D6F}"/>
                </a:ext>
              </a:extLst>
            </xdr14:cNvPr>
            <xdr14:cNvContentPartPr/>
          </xdr14:nvContentPartPr>
          <xdr14:nvPr macro=""/>
          <xdr14:xfrm>
            <a:off x="10078285296" y="19841308"/>
            <a:ext cx="1485873" cy="425029"/>
          </xdr14:xfrm>
        </xdr:contentPart>
      </mc:Choice>
      <mc:Fallback xmlns="">
        <xdr:pic>
          <xdr:nvPicPr>
            <xdr:cNvPr id="7" name="Ink 6">
              <a:extLst>
                <a:ext uri="{FF2B5EF4-FFF2-40B4-BE49-F238E27FC236}">
                  <a16:creationId xmlns:a16="http://schemas.microsoft.com/office/drawing/2014/main" id="{4025A273-29A6-E982-F00B-E63EDF83949A}"/>
                </a:ext>
              </a:extLst>
            </xdr:cNvPr>
            <xdr:cNvPicPr/>
          </xdr:nvPicPr>
          <xdr:blipFill>
            <a:blip xmlns:r="http://schemas.openxmlformats.org/officeDocument/2006/relationships" r:embed="rId2"/>
            <a:stretch>
              <a:fillRect/>
            </a:stretch>
          </xdr:blipFill>
          <xdr:spPr>
            <a:xfrm>
              <a:off x="10398245275" y="9899280"/>
              <a:ext cx="1536480" cy="793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1T22:27:15.656"/>
    </inkml:context>
    <inkml:brush xml:id="br0">
      <inkml:brushProperty name="width" value="0.035" units="cm"/>
      <inkml:brushProperty name="height" value="0.035" units="cm"/>
    </inkml:brush>
  </inkml:definitions>
  <inkml:trace contextRef="#ctx0" brushRef="#br0">4128 727,'0'0,"0"0,0 0,0 0,0 0,0 0,0 0,0 0,0 0,0 0,0 0,0 0,-16 0,14 0,-27 0,-49 0,63 0,-95 8,-62 1,137-7,-164 5,-83 2,226-8,-200 6,-72 11,278-16,-229 4,-81 3,316-8,-240 7,-44 1,288-8,-233 6,-9 2,250-8,-170 7,61-8,126 0,-95 8,48 1,55-8,-17-2,8 1,94-9,48-8,-116 15,183-22,103-11,-264 31,296-27,109-21,-389 46,342-32,1-6,-349 40,292-26,-21 3,-275 24,173-11,-70 5,-126 8,80-6,-49 7,-41 0,-10-9,-57 9,54 0,-156-17,-55-1,195 16,-218-13,-101-3,300 16,-321-13,-42-3,351 16,-235-13,9 6,247 8,-135-16,44 9,107 7,-26-7,27-9,15 14,83-12,138-28,-188 37,219-32,94-14,-296 44,326-37,80-7,-386 44,333-19,-58 10,-295 14,201 6,-45-3,-173 0,63 17,-16 1,-67-16,9 22,-51 10,26-29,-146 69,-68 22,187-82,-233 85,-127 24,335-105,-308 94,-87 19,386-112,-228 67,12 1,241-74,-74 18,37 12,66-36,40 21,143-10,-146-16,263 13,24-6,-270-8,339 16,198 0,-497-15,523 13,-605-15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topLeftCell="A41" zoomScale="130" zoomScaleNormal="100" zoomScaleSheetLayoutView="130" workbookViewId="0">
      <selection activeCell="D4" sqref="D4"/>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66" t="s">
        <v>218</v>
      </c>
      <c r="C1" s="66"/>
      <c r="D1" s="66"/>
      <c r="E1" s="66"/>
      <c r="F1" s="66"/>
      <c r="G1" s="66"/>
      <c r="H1" s="66"/>
      <c r="I1" s="66"/>
      <c r="J1" s="66"/>
    </row>
    <row r="2" spans="1:10" ht="30" customHeight="1" x14ac:dyDescent="0.3">
      <c r="B2" s="12" t="s">
        <v>178</v>
      </c>
      <c r="C2" s="72" t="s">
        <v>33</v>
      </c>
      <c r="D2" s="72"/>
      <c r="E2" s="12" t="s">
        <v>7</v>
      </c>
      <c r="F2" s="67">
        <v>45952</v>
      </c>
      <c r="G2" s="67"/>
      <c r="H2" s="67"/>
      <c r="I2" s="67"/>
      <c r="J2" s="67"/>
    </row>
    <row r="3" spans="1:10" ht="30" customHeight="1" x14ac:dyDescent="0.3">
      <c r="B3" s="12" t="s">
        <v>179</v>
      </c>
      <c r="C3" s="72" t="s">
        <v>219</v>
      </c>
      <c r="D3" s="72"/>
      <c r="E3" s="12" t="s">
        <v>6</v>
      </c>
      <c r="F3" s="72" t="s">
        <v>130</v>
      </c>
      <c r="G3" s="72"/>
      <c r="H3" s="72"/>
      <c r="I3" s="72"/>
      <c r="J3" s="72"/>
    </row>
    <row r="4" spans="1:10" ht="30" customHeight="1" thickBot="1" x14ac:dyDescent="0.35">
      <c r="B4" s="6"/>
      <c r="C4" s="7"/>
      <c r="D4" s="7"/>
      <c r="E4" s="6"/>
      <c r="F4" s="7"/>
      <c r="G4" s="7"/>
      <c r="H4" s="8"/>
      <c r="I4" s="7"/>
      <c r="J4" s="7"/>
    </row>
    <row r="5" spans="1:10" ht="24.9" customHeight="1" x14ac:dyDescent="0.3">
      <c r="A5" s="10"/>
      <c r="B5" s="68" t="s">
        <v>0</v>
      </c>
      <c r="C5" s="69"/>
      <c r="D5" s="69"/>
      <c r="E5" s="73" t="s">
        <v>1</v>
      </c>
      <c r="F5" s="73"/>
      <c r="G5" s="73"/>
      <c r="H5" s="73"/>
      <c r="I5" s="73" t="s">
        <v>2</v>
      </c>
      <c r="J5" s="74"/>
    </row>
    <row r="6" spans="1:10" ht="24.9" customHeight="1" thickBot="1" x14ac:dyDescent="0.35">
      <c r="A6" s="10"/>
      <c r="B6" s="70"/>
      <c r="C6" s="71"/>
      <c r="D6" s="71"/>
      <c r="E6" s="11" t="s">
        <v>3</v>
      </c>
      <c r="F6" s="11" t="s">
        <v>4</v>
      </c>
      <c r="G6" s="11" t="s">
        <v>21</v>
      </c>
      <c r="H6" s="11" t="s">
        <v>22</v>
      </c>
      <c r="I6" s="75"/>
      <c r="J6" s="76"/>
    </row>
    <row r="7" spans="1:10" ht="24.9" customHeight="1" thickBot="1" x14ac:dyDescent="0.35">
      <c r="A7" s="10"/>
      <c r="B7" s="77" t="s">
        <v>19</v>
      </c>
      <c r="C7" s="78"/>
      <c r="D7" s="78"/>
      <c r="E7" s="28" t="s">
        <v>16</v>
      </c>
      <c r="F7" s="28" t="s">
        <v>17</v>
      </c>
      <c r="G7" s="28" t="s">
        <v>20</v>
      </c>
      <c r="H7" s="28" t="s">
        <v>18</v>
      </c>
      <c r="I7" s="79" t="s">
        <v>23</v>
      </c>
      <c r="J7" s="80"/>
    </row>
    <row r="8" spans="1:10" ht="30" customHeight="1" x14ac:dyDescent="0.3">
      <c r="A8" s="10"/>
      <c r="B8" s="43" t="s">
        <v>180</v>
      </c>
      <c r="C8" s="44"/>
      <c r="D8" s="44"/>
      <c r="E8" s="32"/>
      <c r="F8" s="33"/>
      <c r="G8" s="34"/>
      <c r="H8" s="35"/>
      <c r="I8" s="47"/>
      <c r="J8" s="48"/>
    </row>
    <row r="9" spans="1:10" ht="30" customHeight="1" x14ac:dyDescent="0.3">
      <c r="A9" s="10"/>
      <c r="B9" s="39" t="s">
        <v>181</v>
      </c>
      <c r="C9" s="40"/>
      <c r="D9" s="40"/>
      <c r="E9" s="31">
        <v>5</v>
      </c>
      <c r="F9" s="26">
        <v>3.5</v>
      </c>
      <c r="G9" s="29">
        <f>IFERROR(F9/E9,"")</f>
        <v>0.7</v>
      </c>
      <c r="H9" s="30" t="str">
        <f>_xlfn.IFS(F9="أدخل العلامة","",F9="لا ينطبق","تم الإلغاء",G9&gt;=90%,"ممتاز",G9&gt;=80%,"جيد جداً",G9&gt;=70%,"جيد",G9&gt;=60%,"مقبول",G9&lt;60%,"راسب")</f>
        <v>جيد</v>
      </c>
      <c r="I9" s="45"/>
      <c r="J9" s="46"/>
    </row>
    <row r="10" spans="1:10" ht="30" customHeight="1" x14ac:dyDescent="0.3">
      <c r="A10" s="10"/>
      <c r="B10" s="39" t="s">
        <v>182</v>
      </c>
      <c r="C10" s="40"/>
      <c r="D10" s="40"/>
      <c r="E10" s="31">
        <v>5</v>
      </c>
      <c r="F10" s="26">
        <v>3.5</v>
      </c>
      <c r="G10" s="29">
        <f t="shared" ref="G10:G45" si="0">IFERROR(F10/E10,"")</f>
        <v>0.7</v>
      </c>
      <c r="H10" s="30" t="str">
        <f t="shared" ref="H10:H45" si="1">_xlfn.IFS(F10="أدخل العلامة","",F10="لا ينطبق","تم الإلغاء",G10&gt;=90%,"ممتاز",G10&gt;=80%,"جيد جداً",G10&gt;=70%,"جيد",G10&gt;=60%,"مقبول",G10&lt;60%,"راسب")</f>
        <v>جيد</v>
      </c>
      <c r="I10" s="45"/>
      <c r="J10" s="46"/>
    </row>
    <row r="11" spans="1:10" ht="39.9" customHeight="1" x14ac:dyDescent="0.3">
      <c r="A11" s="10"/>
      <c r="B11" s="39" t="s">
        <v>183</v>
      </c>
      <c r="C11" s="40"/>
      <c r="D11" s="40"/>
      <c r="E11" s="31">
        <v>5</v>
      </c>
      <c r="F11" s="26">
        <v>3.5</v>
      </c>
      <c r="G11" s="29">
        <f t="shared" si="0"/>
        <v>0.7</v>
      </c>
      <c r="H11" s="30" t="str">
        <f t="shared" si="1"/>
        <v>جيد</v>
      </c>
      <c r="I11" s="45"/>
      <c r="J11" s="46"/>
    </row>
    <row r="12" spans="1:10" ht="39.9" customHeight="1" x14ac:dyDescent="0.3">
      <c r="A12" s="10"/>
      <c r="B12" s="39" t="s">
        <v>184</v>
      </c>
      <c r="C12" s="40"/>
      <c r="D12" s="40"/>
      <c r="E12" s="31">
        <v>5</v>
      </c>
      <c r="F12" s="26">
        <v>3.5</v>
      </c>
      <c r="G12" s="29">
        <f t="shared" si="0"/>
        <v>0.7</v>
      </c>
      <c r="H12" s="30" t="str">
        <f t="shared" si="1"/>
        <v>جيد</v>
      </c>
      <c r="I12" s="45"/>
      <c r="J12" s="46"/>
    </row>
    <row r="13" spans="1:10" ht="30" customHeight="1" thickBot="1" x14ac:dyDescent="0.35">
      <c r="A13" s="10"/>
      <c r="B13" s="41" t="s">
        <v>185</v>
      </c>
      <c r="C13" s="42"/>
      <c r="D13" s="42"/>
      <c r="E13" s="36">
        <v>5</v>
      </c>
      <c r="F13" s="27">
        <v>3.75</v>
      </c>
      <c r="G13" s="37">
        <f t="shared" si="0"/>
        <v>0.75</v>
      </c>
      <c r="H13" s="38" t="str">
        <f t="shared" si="1"/>
        <v>جيد</v>
      </c>
      <c r="I13" s="51"/>
      <c r="J13" s="52"/>
    </row>
    <row r="14" spans="1:10" ht="30" customHeight="1" x14ac:dyDescent="0.3">
      <c r="A14" s="10"/>
      <c r="B14" s="43" t="s">
        <v>186</v>
      </c>
      <c r="C14" s="44"/>
      <c r="D14" s="44"/>
      <c r="E14" s="32"/>
      <c r="F14" s="33"/>
      <c r="G14" s="34"/>
      <c r="H14" s="35"/>
      <c r="I14" s="47"/>
      <c r="J14" s="48"/>
    </row>
    <row r="15" spans="1:10" ht="30" customHeight="1" x14ac:dyDescent="0.3">
      <c r="A15" s="10"/>
      <c r="B15" s="39" t="s">
        <v>187</v>
      </c>
      <c r="C15" s="40"/>
      <c r="D15" s="40"/>
      <c r="E15" s="31">
        <v>5</v>
      </c>
      <c r="F15" s="26">
        <v>3.75</v>
      </c>
      <c r="G15" s="29">
        <f t="shared" si="0"/>
        <v>0.75</v>
      </c>
      <c r="H15" s="30" t="str">
        <f t="shared" si="1"/>
        <v>جيد</v>
      </c>
      <c r="I15" s="45"/>
      <c r="J15" s="46"/>
    </row>
    <row r="16" spans="1:10" ht="51" customHeight="1" x14ac:dyDescent="0.3">
      <c r="A16" s="10"/>
      <c r="B16" s="39" t="s">
        <v>188</v>
      </c>
      <c r="C16" s="40"/>
      <c r="D16" s="40"/>
      <c r="E16" s="31">
        <v>5</v>
      </c>
      <c r="F16" s="26">
        <v>3.5</v>
      </c>
      <c r="G16" s="29">
        <f t="shared" si="0"/>
        <v>0.7</v>
      </c>
      <c r="H16" s="30" t="str">
        <f t="shared" si="1"/>
        <v>جيد</v>
      </c>
      <c r="I16" s="45"/>
      <c r="J16" s="46"/>
    </row>
    <row r="17" spans="1:10" ht="30" customHeight="1" x14ac:dyDescent="0.3">
      <c r="A17" s="10"/>
      <c r="B17" s="39" t="s">
        <v>189</v>
      </c>
      <c r="C17" s="40"/>
      <c r="D17" s="40"/>
      <c r="E17" s="31">
        <v>5</v>
      </c>
      <c r="F17" s="26">
        <v>3.5</v>
      </c>
      <c r="G17" s="29">
        <f t="shared" si="0"/>
        <v>0.7</v>
      </c>
      <c r="H17" s="30" t="str">
        <f t="shared" si="1"/>
        <v>جيد</v>
      </c>
      <c r="I17" s="45"/>
      <c r="J17" s="46"/>
    </row>
    <row r="18" spans="1:10" ht="30" customHeight="1" x14ac:dyDescent="0.3">
      <c r="A18" s="10"/>
      <c r="B18" s="39" t="s">
        <v>190</v>
      </c>
      <c r="C18" s="40"/>
      <c r="D18" s="40"/>
      <c r="E18" s="31">
        <v>5</v>
      </c>
      <c r="F18" s="26">
        <v>3.75</v>
      </c>
      <c r="G18" s="29">
        <f t="shared" si="0"/>
        <v>0.75</v>
      </c>
      <c r="H18" s="30" t="str">
        <f t="shared" si="1"/>
        <v>جيد</v>
      </c>
      <c r="I18" s="45"/>
      <c r="J18" s="46"/>
    </row>
    <row r="19" spans="1:10" ht="30" customHeight="1" x14ac:dyDescent="0.3">
      <c r="A19" s="10"/>
      <c r="B19" s="39" t="s">
        <v>191</v>
      </c>
      <c r="C19" s="40"/>
      <c r="D19" s="40"/>
      <c r="E19" s="31">
        <v>5</v>
      </c>
      <c r="F19" s="26">
        <v>3.75</v>
      </c>
      <c r="G19" s="29">
        <f t="shared" si="0"/>
        <v>0.75</v>
      </c>
      <c r="H19" s="30" t="str">
        <f t="shared" si="1"/>
        <v>جيد</v>
      </c>
      <c r="I19" s="45"/>
      <c r="J19" s="46"/>
    </row>
    <row r="20" spans="1:10" ht="39.9" customHeight="1" x14ac:dyDescent="0.3">
      <c r="A20" s="10"/>
      <c r="B20" s="39" t="s">
        <v>192</v>
      </c>
      <c r="C20" s="40"/>
      <c r="D20" s="40"/>
      <c r="E20" s="31">
        <v>5</v>
      </c>
      <c r="F20" s="26">
        <v>3.75</v>
      </c>
      <c r="G20" s="29">
        <f t="shared" si="0"/>
        <v>0.75</v>
      </c>
      <c r="H20" s="30" t="str">
        <f t="shared" si="1"/>
        <v>جيد</v>
      </c>
      <c r="I20" s="45"/>
      <c r="J20" s="46"/>
    </row>
    <row r="21" spans="1:10" ht="30" customHeight="1" x14ac:dyDescent="0.3">
      <c r="A21" s="10"/>
      <c r="B21" s="39" t="s">
        <v>193</v>
      </c>
      <c r="C21" s="40"/>
      <c r="D21" s="40"/>
      <c r="E21" s="31">
        <v>5</v>
      </c>
      <c r="F21" s="26">
        <v>3.75</v>
      </c>
      <c r="G21" s="29">
        <f t="shared" si="0"/>
        <v>0.75</v>
      </c>
      <c r="H21" s="30" t="str">
        <f t="shared" si="1"/>
        <v>جيد</v>
      </c>
      <c r="I21" s="45"/>
      <c r="J21" s="46"/>
    </row>
    <row r="22" spans="1:10" ht="39.9" customHeight="1" thickBot="1" x14ac:dyDescent="0.35">
      <c r="A22" s="10"/>
      <c r="B22" s="41" t="s">
        <v>194</v>
      </c>
      <c r="C22" s="42"/>
      <c r="D22" s="42"/>
      <c r="E22" s="36">
        <v>5</v>
      </c>
      <c r="F22" s="27">
        <v>3.5</v>
      </c>
      <c r="G22" s="37">
        <f t="shared" si="0"/>
        <v>0.7</v>
      </c>
      <c r="H22" s="38" t="str">
        <f t="shared" si="1"/>
        <v>جيد</v>
      </c>
      <c r="I22" s="51"/>
      <c r="J22" s="52"/>
    </row>
    <row r="23" spans="1:10" ht="30" customHeight="1" x14ac:dyDescent="0.3">
      <c r="A23" s="10"/>
      <c r="B23" s="43" t="s">
        <v>195</v>
      </c>
      <c r="C23" s="44"/>
      <c r="D23" s="44"/>
      <c r="E23" s="32"/>
      <c r="F23" s="33"/>
      <c r="G23" s="34"/>
      <c r="H23" s="35"/>
      <c r="I23" s="47"/>
      <c r="J23" s="48"/>
    </row>
    <row r="24" spans="1:10" ht="30" customHeight="1" x14ac:dyDescent="0.3">
      <c r="A24" s="10"/>
      <c r="B24" s="39" t="s">
        <v>196</v>
      </c>
      <c r="C24" s="40"/>
      <c r="D24" s="40"/>
      <c r="E24" s="31">
        <v>5</v>
      </c>
      <c r="F24" s="26">
        <v>3.5</v>
      </c>
      <c r="G24" s="29">
        <f t="shared" si="0"/>
        <v>0.7</v>
      </c>
      <c r="H24" s="30" t="str">
        <f t="shared" si="1"/>
        <v>جيد</v>
      </c>
      <c r="I24" s="45"/>
      <c r="J24" s="46"/>
    </row>
    <row r="25" spans="1:10" ht="30" customHeight="1" x14ac:dyDescent="0.3">
      <c r="A25" s="10"/>
      <c r="B25" s="39" t="s">
        <v>197</v>
      </c>
      <c r="C25" s="40"/>
      <c r="D25" s="40"/>
      <c r="E25" s="31">
        <v>5</v>
      </c>
      <c r="F25" s="26">
        <v>3.5</v>
      </c>
      <c r="G25" s="29">
        <f t="shared" si="0"/>
        <v>0.7</v>
      </c>
      <c r="H25" s="30" t="str">
        <f t="shared" si="1"/>
        <v>جيد</v>
      </c>
      <c r="I25" s="45"/>
      <c r="J25" s="46"/>
    </row>
    <row r="26" spans="1:10" ht="30" customHeight="1" x14ac:dyDescent="0.3">
      <c r="A26" s="10"/>
      <c r="B26" s="39" t="s">
        <v>198</v>
      </c>
      <c r="C26" s="40"/>
      <c r="D26" s="40"/>
      <c r="E26" s="31">
        <v>5</v>
      </c>
      <c r="F26" s="26">
        <v>3.5</v>
      </c>
      <c r="G26" s="29">
        <f t="shared" si="0"/>
        <v>0.7</v>
      </c>
      <c r="H26" s="30" t="str">
        <f t="shared" si="1"/>
        <v>جيد</v>
      </c>
      <c r="I26" s="45"/>
      <c r="J26" s="46"/>
    </row>
    <row r="27" spans="1:10" ht="30" customHeight="1" x14ac:dyDescent="0.3">
      <c r="A27" s="10"/>
      <c r="B27" s="39" t="s">
        <v>199</v>
      </c>
      <c r="C27" s="40"/>
      <c r="D27" s="40"/>
      <c r="E27" s="31">
        <v>5</v>
      </c>
      <c r="F27" s="26">
        <v>3.75</v>
      </c>
      <c r="G27" s="29">
        <f t="shared" si="0"/>
        <v>0.75</v>
      </c>
      <c r="H27" s="30" t="str">
        <f t="shared" si="1"/>
        <v>جيد</v>
      </c>
      <c r="I27" s="45"/>
      <c r="J27" s="46"/>
    </row>
    <row r="28" spans="1:10" ht="30" customHeight="1" x14ac:dyDescent="0.3">
      <c r="A28" s="10"/>
      <c r="B28" s="39" t="s">
        <v>200</v>
      </c>
      <c r="C28" s="40"/>
      <c r="D28" s="40"/>
      <c r="E28" s="31">
        <v>5</v>
      </c>
      <c r="F28" s="26">
        <v>3.75</v>
      </c>
      <c r="G28" s="29">
        <f t="shared" si="0"/>
        <v>0.75</v>
      </c>
      <c r="H28" s="30" t="str">
        <f t="shared" si="1"/>
        <v>جيد</v>
      </c>
      <c r="I28" s="45"/>
      <c r="J28" s="46"/>
    </row>
    <row r="29" spans="1:10" ht="30" customHeight="1" thickBot="1" x14ac:dyDescent="0.35">
      <c r="A29" s="10"/>
      <c r="B29" s="41" t="s">
        <v>201</v>
      </c>
      <c r="C29" s="42"/>
      <c r="D29" s="42"/>
      <c r="E29" s="36">
        <v>5</v>
      </c>
      <c r="F29" s="27">
        <v>3.75</v>
      </c>
      <c r="G29" s="37">
        <f t="shared" si="0"/>
        <v>0.75</v>
      </c>
      <c r="H29" s="38" t="str">
        <f t="shared" si="1"/>
        <v>جيد</v>
      </c>
      <c r="I29" s="51"/>
      <c r="J29" s="52"/>
    </row>
    <row r="30" spans="1:10" ht="30" customHeight="1" x14ac:dyDescent="0.3">
      <c r="A30" s="10"/>
      <c r="B30" s="43" t="s">
        <v>202</v>
      </c>
      <c r="C30" s="44"/>
      <c r="D30" s="44"/>
      <c r="E30" s="32"/>
      <c r="F30" s="33"/>
      <c r="G30" s="34"/>
      <c r="H30" s="35"/>
      <c r="I30" s="47"/>
      <c r="J30" s="48"/>
    </row>
    <row r="31" spans="1:10" ht="30" customHeight="1" x14ac:dyDescent="0.3">
      <c r="A31" s="10"/>
      <c r="B31" s="39" t="s">
        <v>203</v>
      </c>
      <c r="C31" s="40"/>
      <c r="D31" s="40"/>
      <c r="E31" s="31">
        <v>5</v>
      </c>
      <c r="F31" s="26">
        <v>3.75</v>
      </c>
      <c r="G31" s="29">
        <f t="shared" si="0"/>
        <v>0.75</v>
      </c>
      <c r="H31" s="30" t="str">
        <f t="shared" si="1"/>
        <v>جيد</v>
      </c>
      <c r="I31" s="45"/>
      <c r="J31" s="46"/>
    </row>
    <row r="32" spans="1:10" ht="39.9" customHeight="1" x14ac:dyDescent="0.3">
      <c r="A32" s="10"/>
      <c r="B32" s="39" t="s">
        <v>204</v>
      </c>
      <c r="C32" s="40"/>
      <c r="D32" s="40"/>
      <c r="E32" s="31">
        <v>5</v>
      </c>
      <c r="F32" s="26">
        <v>3.75</v>
      </c>
      <c r="G32" s="29">
        <f t="shared" si="0"/>
        <v>0.75</v>
      </c>
      <c r="H32" s="30" t="str">
        <f t="shared" si="1"/>
        <v>جيد</v>
      </c>
      <c r="I32" s="45"/>
      <c r="J32" s="46"/>
    </row>
    <row r="33" spans="1:10" ht="30" customHeight="1" x14ac:dyDescent="0.3">
      <c r="A33" s="10"/>
      <c r="B33" s="39" t="s">
        <v>205</v>
      </c>
      <c r="C33" s="40"/>
      <c r="D33" s="40"/>
      <c r="E33" s="31">
        <v>5</v>
      </c>
      <c r="F33" s="26">
        <v>3.75</v>
      </c>
      <c r="G33" s="29">
        <f t="shared" si="0"/>
        <v>0.75</v>
      </c>
      <c r="H33" s="30" t="str">
        <f t="shared" si="1"/>
        <v>جيد</v>
      </c>
      <c r="I33" s="45"/>
      <c r="J33" s="46"/>
    </row>
    <row r="34" spans="1:10" ht="30" customHeight="1" x14ac:dyDescent="0.3">
      <c r="A34" s="10"/>
      <c r="B34" s="39" t="s">
        <v>206</v>
      </c>
      <c r="C34" s="40"/>
      <c r="D34" s="40"/>
      <c r="E34" s="31">
        <v>5</v>
      </c>
      <c r="F34" s="26">
        <v>3.75</v>
      </c>
      <c r="G34" s="29">
        <f t="shared" si="0"/>
        <v>0.75</v>
      </c>
      <c r="H34" s="30" t="str">
        <f t="shared" si="1"/>
        <v>جيد</v>
      </c>
      <c r="I34" s="45"/>
      <c r="J34" s="46"/>
    </row>
    <row r="35" spans="1:10" ht="30" customHeight="1" x14ac:dyDescent="0.3">
      <c r="A35" s="10"/>
      <c r="B35" s="39" t="s">
        <v>207</v>
      </c>
      <c r="C35" s="40"/>
      <c r="D35" s="40"/>
      <c r="E35" s="31">
        <v>5</v>
      </c>
      <c r="F35" s="26">
        <v>3.75</v>
      </c>
      <c r="G35" s="29">
        <f t="shared" si="0"/>
        <v>0.75</v>
      </c>
      <c r="H35" s="30" t="str">
        <f t="shared" si="1"/>
        <v>جيد</v>
      </c>
      <c r="I35" s="45"/>
      <c r="J35" s="46"/>
    </row>
    <row r="36" spans="1:10" ht="30" customHeight="1" x14ac:dyDescent="0.3">
      <c r="A36" s="10"/>
      <c r="B36" s="39" t="s">
        <v>208</v>
      </c>
      <c r="C36" s="40"/>
      <c r="D36" s="40"/>
      <c r="E36" s="31">
        <v>5</v>
      </c>
      <c r="F36" s="26">
        <v>3.75</v>
      </c>
      <c r="G36" s="29">
        <f t="shared" si="0"/>
        <v>0.75</v>
      </c>
      <c r="H36" s="30" t="str">
        <f t="shared" si="1"/>
        <v>جيد</v>
      </c>
      <c r="I36" s="45"/>
      <c r="J36" s="46"/>
    </row>
    <row r="37" spans="1:10" ht="30" customHeight="1" x14ac:dyDescent="0.3">
      <c r="A37" s="10"/>
      <c r="B37" s="39" t="s">
        <v>209</v>
      </c>
      <c r="C37" s="40"/>
      <c r="D37" s="40"/>
      <c r="E37" s="31">
        <v>5</v>
      </c>
      <c r="F37" s="26">
        <v>3.75</v>
      </c>
      <c r="G37" s="29">
        <f t="shared" si="0"/>
        <v>0.75</v>
      </c>
      <c r="H37" s="30" t="str">
        <f t="shared" si="1"/>
        <v>جيد</v>
      </c>
      <c r="I37" s="45"/>
      <c r="J37" s="46"/>
    </row>
    <row r="38" spans="1:10" ht="30" customHeight="1" x14ac:dyDescent="0.3">
      <c r="A38" s="10"/>
      <c r="B38" s="39" t="s">
        <v>210</v>
      </c>
      <c r="C38" s="40"/>
      <c r="D38" s="40"/>
      <c r="E38" s="31">
        <v>5</v>
      </c>
      <c r="F38" s="26">
        <v>3.75</v>
      </c>
      <c r="G38" s="29">
        <f t="shared" si="0"/>
        <v>0.75</v>
      </c>
      <c r="H38" s="30" t="str">
        <f t="shared" si="1"/>
        <v>جيد</v>
      </c>
      <c r="I38" s="45"/>
      <c r="J38" s="46"/>
    </row>
    <row r="39" spans="1:10" ht="30" customHeight="1" x14ac:dyDescent="0.3">
      <c r="A39" s="10"/>
      <c r="B39" s="39" t="s">
        <v>211</v>
      </c>
      <c r="C39" s="40"/>
      <c r="D39" s="40"/>
      <c r="E39" s="31">
        <v>5</v>
      </c>
      <c r="F39" s="26">
        <v>3.5</v>
      </c>
      <c r="G39" s="29">
        <f t="shared" si="0"/>
        <v>0.7</v>
      </c>
      <c r="H39" s="30" t="str">
        <f t="shared" si="1"/>
        <v>جيد</v>
      </c>
      <c r="I39" s="45"/>
      <c r="J39" s="46"/>
    </row>
    <row r="40" spans="1:10" ht="30" customHeight="1" x14ac:dyDescent="0.3">
      <c r="A40" s="10"/>
      <c r="B40" s="39" t="s">
        <v>212</v>
      </c>
      <c r="C40" s="40"/>
      <c r="D40" s="40"/>
      <c r="E40" s="31">
        <v>5</v>
      </c>
      <c r="F40" s="26">
        <v>3.75</v>
      </c>
      <c r="G40" s="29">
        <f t="shared" si="0"/>
        <v>0.75</v>
      </c>
      <c r="H40" s="30" t="str">
        <f t="shared" si="1"/>
        <v>جيد</v>
      </c>
      <c r="I40" s="45"/>
      <c r="J40" s="46"/>
    </row>
    <row r="41" spans="1:10" ht="30" customHeight="1" x14ac:dyDescent="0.3">
      <c r="A41" s="10"/>
      <c r="B41" s="39" t="s">
        <v>213</v>
      </c>
      <c r="C41" s="40"/>
      <c r="D41" s="40"/>
      <c r="E41" s="31">
        <v>5</v>
      </c>
      <c r="F41" s="26">
        <v>3.75</v>
      </c>
      <c r="G41" s="29">
        <f t="shared" si="0"/>
        <v>0.75</v>
      </c>
      <c r="H41" s="30" t="str">
        <f t="shared" si="1"/>
        <v>جيد</v>
      </c>
      <c r="I41" s="45"/>
      <c r="J41" s="46"/>
    </row>
    <row r="42" spans="1:10" ht="30" customHeight="1" x14ac:dyDescent="0.3">
      <c r="A42" s="10"/>
      <c r="B42" s="39" t="s">
        <v>214</v>
      </c>
      <c r="C42" s="40"/>
      <c r="D42" s="40"/>
      <c r="E42" s="31">
        <v>5</v>
      </c>
      <c r="F42" s="26">
        <v>3.75</v>
      </c>
      <c r="G42" s="29">
        <f t="shared" si="0"/>
        <v>0.75</v>
      </c>
      <c r="H42" s="30" t="str">
        <f t="shared" si="1"/>
        <v>جيد</v>
      </c>
      <c r="I42" s="45"/>
      <c r="J42" s="46"/>
    </row>
    <row r="43" spans="1:10" ht="30" customHeight="1" x14ac:dyDescent="0.3">
      <c r="A43" s="10"/>
      <c r="B43" s="39" t="s">
        <v>215</v>
      </c>
      <c r="C43" s="40"/>
      <c r="D43" s="40"/>
      <c r="E43" s="31">
        <v>5</v>
      </c>
      <c r="F43" s="26">
        <v>3.5</v>
      </c>
      <c r="G43" s="29">
        <f t="shared" si="0"/>
        <v>0.7</v>
      </c>
      <c r="H43" s="30" t="str">
        <f t="shared" si="1"/>
        <v>جيد</v>
      </c>
      <c r="I43" s="45"/>
      <c r="J43" s="46"/>
    </row>
    <row r="44" spans="1:10" ht="30" customHeight="1" x14ac:dyDescent="0.3">
      <c r="A44" s="10"/>
      <c r="B44" s="39" t="s">
        <v>216</v>
      </c>
      <c r="C44" s="40"/>
      <c r="D44" s="40"/>
      <c r="E44" s="31">
        <v>5</v>
      </c>
      <c r="F44" s="26">
        <v>3.5</v>
      </c>
      <c r="G44" s="29">
        <f t="shared" si="0"/>
        <v>0.7</v>
      </c>
      <c r="H44" s="30" t="str">
        <f t="shared" si="1"/>
        <v>جيد</v>
      </c>
      <c r="I44" s="45"/>
      <c r="J44" s="46"/>
    </row>
    <row r="45" spans="1:10" ht="30" customHeight="1" thickBot="1" x14ac:dyDescent="0.35">
      <c r="A45" s="10"/>
      <c r="B45" s="41" t="s">
        <v>217</v>
      </c>
      <c r="C45" s="42"/>
      <c r="D45" s="42"/>
      <c r="E45" s="36">
        <v>5</v>
      </c>
      <c r="F45" s="27">
        <v>3.5</v>
      </c>
      <c r="G45" s="37">
        <f t="shared" si="0"/>
        <v>0.7</v>
      </c>
      <c r="H45" s="38" t="str">
        <f t="shared" si="1"/>
        <v>جيد</v>
      </c>
      <c r="I45" s="51"/>
      <c r="J45" s="52"/>
    </row>
    <row r="46" spans="1:10" ht="30" customHeight="1" thickBot="1" x14ac:dyDescent="0.35">
      <c r="A46" s="4"/>
      <c r="B46" s="49" t="s">
        <v>5</v>
      </c>
      <c r="C46" s="50"/>
      <c r="D46" s="50"/>
      <c r="E46" s="9">
        <f>SUM(E8:E45)</f>
        <v>170</v>
      </c>
      <c r="F46" s="9">
        <f>SUM(F8:F45)</f>
        <v>124</v>
      </c>
      <c r="G46" s="63"/>
      <c r="H46" s="64"/>
      <c r="I46" s="64"/>
      <c r="J46" s="65"/>
    </row>
    <row r="47" spans="1:10" ht="30" customHeight="1" thickBot="1" x14ac:dyDescent="0.35">
      <c r="A47" s="4"/>
      <c r="B47" s="49" t="s">
        <v>52</v>
      </c>
      <c r="C47" s="50"/>
      <c r="D47" s="50"/>
      <c r="E47" s="59">
        <f>F46/E46/100*100</f>
        <v>0.72941176470588232</v>
      </c>
      <c r="F47" s="59"/>
      <c r="G47" s="59"/>
      <c r="H47" s="59"/>
      <c r="I47" s="59"/>
      <c r="J47" s="60"/>
    </row>
    <row r="48" spans="1:10" ht="30" customHeight="1" thickBot="1" x14ac:dyDescent="0.35">
      <c r="A48" s="4"/>
      <c r="B48" s="49" t="s">
        <v>53</v>
      </c>
      <c r="C48" s="50"/>
      <c r="D48" s="50"/>
      <c r="E48" s="57" t="str">
        <f>_xlfn.IFS(E47&gt;=90%,"ممتاز",E47&gt;=80%,"جيد جداً",E47&gt;=70%,"جيد",E47&gt;=60%,"مقبول",E47&lt;60%,"راسب")</f>
        <v>جيد</v>
      </c>
      <c r="F48" s="57"/>
      <c r="G48" s="57"/>
      <c r="H48" s="57"/>
      <c r="I48" s="57"/>
      <c r="J48" s="58"/>
    </row>
    <row r="49" spans="1:10" ht="42" customHeight="1" x14ac:dyDescent="0.3">
      <c r="B49" s="53" t="s">
        <v>172</v>
      </c>
      <c r="C49" s="53"/>
      <c r="D49" s="53"/>
      <c r="E49" s="61" t="s">
        <v>50</v>
      </c>
      <c r="F49" s="61"/>
      <c r="G49" s="55" t="s">
        <v>130</v>
      </c>
      <c r="H49" s="55"/>
      <c r="I49" s="55"/>
      <c r="J49" s="55"/>
    </row>
    <row r="50" spans="1:10" ht="51" customHeight="1" x14ac:dyDescent="0.3">
      <c r="A50" s="5"/>
      <c r="B50" s="54"/>
      <c r="C50" s="54"/>
      <c r="D50" s="54"/>
      <c r="E50" s="62" t="s">
        <v>51</v>
      </c>
      <c r="F50" s="62"/>
      <c r="G50" s="56"/>
      <c r="H50" s="56"/>
      <c r="I50" s="56"/>
      <c r="J50" s="56"/>
    </row>
  </sheetData>
  <sheetProtection sheet="1" formatCells="0" formatColumns="0" formatRows="0" insertColumns="0" insertRows="0" insertHyperlinks="0" deleteColumns="0" deleteRows="0" selectLockedCells="1" sort="0" autoFilter="0" pivotTables="0"/>
  <mergeCells count="97">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 ref="B1:J1"/>
    <mergeCell ref="F2:J2"/>
    <mergeCell ref="B5:D6"/>
    <mergeCell ref="C2:D2"/>
    <mergeCell ref="C3:D3"/>
    <mergeCell ref="F3:J3"/>
    <mergeCell ref="E5:H5"/>
    <mergeCell ref="I5:J6"/>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44:D44"/>
    <mergeCell ref="B45:D45"/>
    <mergeCell ref="B35:D35"/>
    <mergeCell ref="B36:D36"/>
    <mergeCell ref="B37:D37"/>
    <mergeCell ref="B38:D38"/>
    <mergeCell ref="B39:D39"/>
    <mergeCell ref="B40:D40"/>
    <mergeCell ref="B41:D41"/>
    <mergeCell ref="B42:D42"/>
    <mergeCell ref="B43:D43"/>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2025-10-21T22:27:58Z</dcterms:modified>
</cp:coreProperties>
</file>