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D47F079-189A-4F9B-9F73-E42DA675E3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<sst xmlns="http://schemas.openxmlformats.org/spreadsheetml/2006/main" count="284" uniqueCount="228">
  <si>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</si>
  <si>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</si>
  <si>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</si>
  <si>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</si>
  <si>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</si>
  <si>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</si>
  <si>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</si>
  <si>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</si>
  <si>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</si>
  <si>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</si>
  <si>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</si>
  <si>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</si>
  <si>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</si>
  <si>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</si>
  <si>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</si>
  <si>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</si>
  <si>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</si>
  <si>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</si>
  <si>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</si>
  <si>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</si>
  <si>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</si>
  <si>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</si>
  <si>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</si>
  <si>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</si>
  <si>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</si>
  <si>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</si>
  <si>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</si>
  <si>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</si>
  <si>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</si>
  <si>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</si>
  <si>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</si>
  <si>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</si>
  <si>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</si>
  <si>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</si>
  <si>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</si>
  <si>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</si>
  <si>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</si>
  <si>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</si>
  <si>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</si>
  <si>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</si>
  <si>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</si>
  <si>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</si>
  <si>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</si>
  <si>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</si>
  <si>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</si>
  <si>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</si>
  <si>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</si>
  <si>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</si>
  <si>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</si>
  <si>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</si>
  <si>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</si>
  <si>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</si>
  <si>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</si>
  <si>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</si>
  <si>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</si>
  <si>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</si>
  <si>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</si>
  <si>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</si>
  <si>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</si>
  <si>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</si>
  <si>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</si>
  <si>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</si>
  <si>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</si>
  <si>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</si>
  <si>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</si>
  <si>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</si>
  <si>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</si>
  <si>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</si>
  <si>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</si>
  <si>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</si>
  <si>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</si>
  <si>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</si>
  <si>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</si>
  <si>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</si>
  <si>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</si>
  <si>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</si>
  <si>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</si>
  <si>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</si>
  <si>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</si>
  <si>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</si>
  <si>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</si>
  <si>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</si>
  <si>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</si>
  <si>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</si>
  <si>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</si>
  <si>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</si>
  <si>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</si>
  <si>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</si>
  <si>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</si>
  <si>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</si>
  <si>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</si>
  <si>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</si>
  <si>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</si>
  <si>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</si>
  <si>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</si>
  <si>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</si>
  <si>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</si>
  <si>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</si>
  <si>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</si>
  <si>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</si>
  <si>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</si>
  <si>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</si>
  <si>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</si>
  <si>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</si>
  <si>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</si>
  <si>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</si>
  <si>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</si>
  <si>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</si>
  <si>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</si>
  <si>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</si>
  <si>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</si>
  <si>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</si>
  <si>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</si>
  <si>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</si>
  <si>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</si>
  <si>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</si>
  <si>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</si>
  <si>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</si>
  <si>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</si>
  <si>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</si>
  <si>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</si>
  <si>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</si>
  <si>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</si>
  <si>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</si>
  <si>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</si>
  <si>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</si>
  <si>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</si>
  <si>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</si>
  <si>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</si>
  <si>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</si>
  <si>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</si>
  <si>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</si>
  <si>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</si>
  <si>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</si>
  <si>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</si>
  <si>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</si>
  <si>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</si>
  <si>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</si>
  <si>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</si>
  <si>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</si>
  <si>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</si>
  <si>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</si>
  <si>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</si>
  <si>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</si>
  <si>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</si>
  <si>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</si>
  <si>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</si>
  <si>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</si>
  <si>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</si>
  <si>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</si>
  <si>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</si>
  <si>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</si>
  <si>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</si>
  <si>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</si>
  <si>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</si>
  <si>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</si>
  <si>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</si>
  <si>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</si>
  <si>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</si>
  <si>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</si>
  <si>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</si>
  <si>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</si>
  <si>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</si>
  <si>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</si>
  <si>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</si>
  <si>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</si>
  <si>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</si>
  <si>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</si>
  <si>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</si>
  <si>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</si>
  <si>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</si>
  <si>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</si>
  <si>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</si>
  <si>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</si>
  <si>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</si>
  <si>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</si>
  <si>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</si>
  <si>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</si>
  <si>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</si>
  <si>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</si>
  <si>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</si>
  <si>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</si>
  <si>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</si>
  <si>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</si>
  <si>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</si>
  <si>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(1)  التجميع للواجب بما يتلاءم مع المهمة (حسب الواجب الرئيسي للسرية والذي قد يكون العمل كحرس مقدمة أو كجزء من الجسم الرئيسي أو احتياط للكتيبة/ مجموعة القتال).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</si>
  <si>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</si>
  <si>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</si>
  <si>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</si>
  <si>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</si>
  <si>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</si>
  <si>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</si>
  <si>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</si>
  <si>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</si>
  <si>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</si>
  <si>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</si>
  <si>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</si>
  <si>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</si>
  <si>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</si>
  <si>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</si>
  <si>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</si>
  <si>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</si>
  <si>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</si>
  <si>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</si>
  <si>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</si>
  <si>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</si>
  <si>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</si>
  <si>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</si>
  <si>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</si>
  <si>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</si>
  <si>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</si>
  <si>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</si>
  <si>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</si>
  <si>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</si>
  <si>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</si>
  <si>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</si>
  <si>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</si>
  <si>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</si>
  <si>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</si>
  <si>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>هـ. اتخاذ القرار للتعامل مع قوات العدو حسب الخيارات المتوفرة.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</si>
  <si>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</si>
  <si>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</si>
  <si>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</si>
  <si>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</si>
  <si>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</si>
  <si>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t>تقييم السرية/فريق القتال في التقدم للتماس - تمرين جاهزية مجموعة لواء الإمارات/1 (جندي الصحراء 2025/20)</t>
  </si>
  <si>
    <t>النقيب/ عبدالله سعيد النعيمي</t>
  </si>
  <si>
    <t>العقيد الركن/ سيف الراشدي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</si>
</sst>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240225</xdr:colOff>
      <xdr:row>56</xdr:row>
      <xdr:rowOff>208872</xdr:rowOff>
    </xdr:from>
    <xdr:to>
      <xdr:col>7</xdr:col>
      <xdr:colOff>243095</xdr:colOff>
      <xdr:row>56</xdr:row>
      <xdr:rowOff>428472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A3ED194-40F3-A7D4-A18D-F894C43A238D}"/>
                </a:ext>
              </a:extLst>
            </xdr14:cNvPr>
            <xdr14:cNvContentPartPr/>
          </xdr14:nvContentPartPr>
          <xdr14:nvPr macro=""/>
          <xdr14:xfrm>
            <a:off x="10399659905" y="25649280"/>
            <a:ext cx="660960" cy="219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3ED194-40F3-A7D4-A18D-F894C43A238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653785" y="25643160"/>
              <a:ext cx="67320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531105</xdr:colOff>
      <xdr:row>56</xdr:row>
      <xdr:rowOff>537912</xdr:rowOff>
    </xdr:from>
    <xdr:to>
      <xdr:col>6</xdr:col>
      <xdr:colOff>542625</xdr:colOff>
      <xdr:row>56</xdr:row>
      <xdr:rowOff>538272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07139BA-8AAB-BB8C-52EF-4B795E98F5B5}"/>
                </a:ext>
              </a:extLst>
            </xdr14:cNvPr>
            <xdr14:cNvContentPartPr/>
          </xdr14:nvContentPartPr>
          <xdr14:nvPr macro=""/>
          <xdr14:xfrm>
            <a:off x="10400018465" y="25978320"/>
            <a:ext cx="1152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07139BA-8AAB-BB8C-52EF-4B795E98F5B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12345" y="25972200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92255</xdr:colOff>
      <xdr:row>56</xdr:row>
      <xdr:rowOff>566712</xdr:rowOff>
    </xdr:from>
    <xdr:to>
      <xdr:col>7</xdr:col>
      <xdr:colOff>150575</xdr:colOff>
      <xdr:row>56</xdr:row>
      <xdr:rowOff>636192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09B7DBC-2A29-3C7A-FA7F-0D873524E52A}"/>
                </a:ext>
              </a:extLst>
            </xdr14:cNvPr>
            <xdr14:cNvContentPartPr/>
          </xdr14:nvContentPartPr>
          <xdr14:nvPr macro=""/>
          <xdr14:xfrm>
            <a:off x="10399752425" y="26007120"/>
            <a:ext cx="58320" cy="69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09B7DBC-2A29-3C7A-FA7F-0D873524E52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746305" y="26001000"/>
              <a:ext cx="7056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92985</xdr:colOff>
      <xdr:row>56</xdr:row>
      <xdr:rowOff>58752</xdr:rowOff>
    </xdr:from>
    <xdr:to>
      <xdr:col>8</xdr:col>
      <xdr:colOff>637284</xdr:colOff>
      <xdr:row>56</xdr:row>
      <xdr:rowOff>575352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BB95270-DD02-4023-8A50-815AE1F80D3D}"/>
                </a:ext>
              </a:extLst>
            </xdr14:cNvPr>
            <xdr14:cNvContentPartPr/>
          </xdr14:nvContentPartPr>
          <xdr14:nvPr macro=""/>
          <xdr14:xfrm>
            <a:off x="10398607625" y="25499160"/>
            <a:ext cx="1860480" cy="5166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BB95270-DD02-4023-8A50-815AE1F80D3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601505" y="25493040"/>
              <a:ext cx="1872720" cy="52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69585</xdr:colOff>
      <xdr:row>56</xdr:row>
      <xdr:rowOff>364752</xdr:rowOff>
    </xdr:from>
    <xdr:to>
      <xdr:col>6</xdr:col>
      <xdr:colOff>69945</xdr:colOff>
      <xdr:row>56</xdr:row>
      <xdr:rowOff>365112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06FDB55-78C2-18AA-9987-7855CC86FB1A}"/>
                </a:ext>
              </a:extLst>
            </xdr14:cNvPr>
            <xdr14:cNvContentPartPr/>
          </xdr14:nvContentPartPr>
          <xdr14:nvPr macro=""/>
          <xdr14:xfrm>
            <a:off x="10400491145" y="2580516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06FDB55-78C2-18AA-9987-7855CC86FB1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0485025" y="25799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35:11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1341 0,'0'0,"0"0,0 0,0 0,0 0,0 0,0 0,0 0,0 0,0 0,0 0,0 0,0 0,0 0,0 0,0 0,0 0,0 0,0 0,0 0,0 0,0 0,0 0,0 0,0 0,0 0,0 0,0 16,0 0,-10-1,4 2,6-1,0-2,0 5,0 13,0-19,0 6,-17 29,17-35,0 6,0 29,7-42,3 3,6 23,-11-19,4 6,7-3,-1-9,0 2,18 7,-14-16,9 0,33 16,-40-16,5 0,7-16,-22 16,8 0,11 0,-23 0,3 0,20 0,-16 0,5 0,-6 0,-6 0,-27 0,-13 0,21 0,-6 0,-29 0,21 7,-11 2,-24-9,32 0,-6 0,-28 16,45-16,-10 0,-19 0,29 0,-10 0,-19 0,35 0,-6 0,-13 0,17-7,-4-2,3-7,6 9,3-2,-11-7,12 9,-5-2,-6-7,9 9,-2-2,-5-7,5 9,1-2,-8 9,4 0,-6 0,-12 0,16 7,-5 2,-28 7,35-9,-6 2,-12 7,8-9,-3 2,-8 23,15-25,-10 2,-4 7,19-16,-4 0,1 16,2-16,-2 0,-1 0,10 0,-2 0,-5-16,4 16,4 0,-11-16,12 16,-3 0,-25 0,21 0,-7 0,-11 0,16 7,-5 2,-11-9,16 7,-3 2,-30 7,27-2,-6 4,-6-2,12-9,-8 3,-2 6,17-10,-4 4,1 6,9-16,-3 0,10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35:11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0,'0'0,"0"0,0 0,0 0,0 0,14 0,3 0,-17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35:12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0,0 0,0 0,0 0,0 0,0 0,0 0,16 17,-11-11,5 4,7 6,-10-3,3 6,38 29,-27-20,6 8,-27-36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35:13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2567 401,'0'0,"0"0,0 0,0 0,0 0,0 0,0 16,14 0,-14-2,0 4,16 14,-8-11,1 7,5 20,-7-14,3 12,6 34,-11-45,5 10,6 35,-16-52,0 9,0 43,0-52,0 8,-16 12,9-27,-1 6,-8-11,1-16,-1 0,-17 0,14 0,-9 0,-20-16,13-12,-7-8,-35-12,48 20,-6-8,-43-45,49 47,-6-12,-12-34,18 45,-6-10,5-35,30 59,0-6,0-21,7 19,3-7,3 4,2 19,4-6,11 3,-15 2,1-4,31-14,-23 25,-1-2,10-7,-12 16,6 0,3 0,-16 7,2 2,18-9,-29 7,3 2,26 7,-34-9,0 2,0 7,-15-2,-4 4,-11-2,-3-2,-11 4,-51 30,34-19,-19 7,-109 28,97-29,-21 10,-92 51,111-61,-32 10,-78 36,121-46,-22 10,-51 19,67-22,-27 12,-42 10,118-50,-15 4,-22 30,55-41,-3 2,-22 7,42-9,-7 2,-2 8,14-25,0-1,-16 26,11-11,40-12,-21 6,6 0,27-17,2 3,9-4,23 2,27-5,34-6,235-69,-224 53,40-10,215-59,-220 62,48-13,204-65,-263 72,54-16,193-40,-257 62,43-13,137-49,-213 69,31-10,84-11,-170 42,17-4,13-6,-74 17,10-3,-15 2,-16 10,-44 12,28-6,-10-16,-3 16,-3 0,-13 0,17 0,-3 0,-30 0,33 7,-4 2,-14-9,18 0,-2 0,-17 16,21-16,-7 0,2 16,6-8,-8 1,2 7,11-9,12-14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9:35:14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0,'0'0,"0"0,0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B1" zoomScale="130" zoomScaleNormal="100" zoomScaleSheetLayoutView="130" workbookViewId="0">
      <selection activeCell="F4" sqref="F4:J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3" t="s">
        <v>225</v>
      </c>
      <c r="C1" s="33"/>
      <c r="D1" s="33"/>
      <c r="E1" s="33"/>
      <c r="F1" s="33"/>
      <c r="G1" s="33"/>
      <c r="H1" s="33"/>
      <c r="I1" s="33"/>
      <c r="J1" s="33"/>
    </row>
    <row r="2" spans="1:10" ht="30" customHeight="1" x14ac:dyDescent="0.3">
      <c r="B2" s="10" t="s">
        <v>8</v>
      </c>
      <c r="C2" s="39" t="s">
        <v>45</v>
      </c>
      <c r="D2" s="39"/>
      <c r="E2" s="10" t="s">
        <v>7</v>
      </c>
      <c r="F2" s="34">
        <v>45944</v>
      </c>
      <c r="G2" s="34"/>
      <c r="H2" s="34"/>
      <c r="I2" s="34"/>
      <c r="J2" s="34"/>
    </row>
    <row r="3" spans="1:10" ht="30" customHeight="1" x14ac:dyDescent="0.3">
      <c r="B3" s="10" t="s">
        <v>9</v>
      </c>
      <c r="C3" s="39" t="s">
        <v>60</v>
      </c>
      <c r="D3" s="39"/>
      <c r="E3" s="10" t="s">
        <v>6</v>
      </c>
      <c r="F3" s="39" t="s">
        <v>59</v>
      </c>
      <c r="G3" s="39"/>
      <c r="H3" s="39"/>
      <c r="I3" s="39"/>
      <c r="J3" s="39"/>
    </row>
    <row r="4" spans="1:10" ht="30" customHeight="1" thickBot="1" x14ac:dyDescent="0.35">
      <c r="B4" s="6"/>
      <c r="C4" s="80" t="s">
        <v>226</v>
      </c>
      <c r="D4" s="80"/>
      <c r="E4" s="6"/>
      <c r="F4" s="80" t="s">
        <v>227</v>
      </c>
      <c r="G4" s="80"/>
      <c r="H4" s="80"/>
      <c r="I4" s="80"/>
      <c r="J4" s="80"/>
    </row>
    <row r="5" spans="1:10" ht="24.9" customHeight="1" x14ac:dyDescent="0.3">
      <c r="A5" s="8"/>
      <c r="B5" s="35" t="s">
        <v>0</v>
      </c>
      <c r="C5" s="36"/>
      <c r="D5" s="36"/>
      <c r="E5" s="46" t="s">
        <v>1</v>
      </c>
      <c r="F5" s="46"/>
      <c r="G5" s="46"/>
      <c r="H5" s="46"/>
      <c r="I5" s="46" t="s">
        <v>2</v>
      </c>
      <c r="J5" s="47"/>
    </row>
    <row r="6" spans="1:10" ht="24.9" customHeight="1" thickBot="1" x14ac:dyDescent="0.35">
      <c r="A6" s="8"/>
      <c r="B6" s="37"/>
      <c r="C6" s="38"/>
      <c r="D6" s="38"/>
      <c r="E6" s="9" t="s">
        <v>3</v>
      </c>
      <c r="F6" s="9" t="s">
        <v>4</v>
      </c>
      <c r="G6" s="9" t="s">
        <v>23</v>
      </c>
      <c r="H6" s="9" t="s">
        <v>24</v>
      </c>
      <c r="I6" s="48"/>
      <c r="J6" s="49"/>
    </row>
    <row r="7" spans="1:10" ht="24.9" customHeight="1" thickBot="1" x14ac:dyDescent="0.35">
      <c r="A7" s="8"/>
      <c r="B7" s="42" t="s">
        <v>21</v>
      </c>
      <c r="C7" s="43"/>
      <c r="D7" s="43"/>
      <c r="E7" s="26" t="s">
        <v>18</v>
      </c>
      <c r="F7" s="26" t="s">
        <v>19</v>
      </c>
      <c r="G7" s="26" t="s">
        <v>22</v>
      </c>
      <c r="H7" s="26" t="s">
        <v>20</v>
      </c>
      <c r="I7" s="50" t="s">
        <v>25</v>
      </c>
      <c r="J7" s="51"/>
    </row>
    <row r="8" spans="1:10" ht="30" customHeight="1" x14ac:dyDescent="0.3">
      <c r="A8" s="8"/>
      <c r="B8" s="75" t="s">
        <v>180</v>
      </c>
      <c r="C8" s="76"/>
      <c r="D8" s="76"/>
      <c r="E8" s="76"/>
      <c r="F8" s="76"/>
      <c r="G8" s="76"/>
      <c r="H8" s="76"/>
      <c r="I8" s="76"/>
      <c r="J8" s="77"/>
    </row>
    <row r="9" spans="1:10" ht="39.9" customHeight="1" x14ac:dyDescent="0.3">
      <c r="A9" s="8"/>
      <c r="B9" s="65" t="s">
        <v>181</v>
      </c>
      <c r="C9" s="66"/>
      <c r="D9" s="66"/>
      <c r="E9" s="7"/>
      <c r="F9" s="24"/>
      <c r="G9" s="28"/>
      <c r="H9" s="29"/>
      <c r="I9" s="44"/>
      <c r="J9" s="45"/>
    </row>
    <row r="10" spans="1:10" ht="72" customHeight="1" x14ac:dyDescent="0.3">
      <c r="A10" s="8"/>
      <c r="B10" s="67" t="s">
        <v>182</v>
      </c>
      <c r="C10" s="68"/>
      <c r="D10" s="68"/>
      <c r="E10" s="7">
        <v>5</v>
      </c>
      <c r="F10" s="24">
        <v>3.75</v>
      </c>
      <c r="G10" s="28">
        <f t="shared" ref="G10:G52" si="0">IFERROR(F10/E10,"")</f>
        <v>0.75</v>
      </c>
      <c r="H10" s="29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0" customHeight="1" x14ac:dyDescent="0.3">
      <c r="A11" s="8"/>
      <c r="B11" s="67" t="s">
        <v>183</v>
      </c>
      <c r="C11" s="68"/>
      <c r="D11" s="68"/>
      <c r="E11" s="7">
        <v>5</v>
      </c>
      <c r="F11" s="24">
        <v>3.75</v>
      </c>
      <c r="G11" s="28">
        <f t="shared" si="0"/>
        <v>0.75</v>
      </c>
      <c r="H11" s="29" t="str">
        <f t="shared" si="1"/>
        <v>جيد</v>
      </c>
      <c r="I11" s="44"/>
      <c r="J11" s="45"/>
    </row>
    <row r="12" spans="1:10" ht="30" customHeight="1" x14ac:dyDescent="0.3">
      <c r="A12" s="8"/>
      <c r="B12" s="67" t="s">
        <v>184</v>
      </c>
      <c r="C12" s="68"/>
      <c r="D12" s="68"/>
      <c r="E12" s="7"/>
      <c r="F12" s="24"/>
      <c r="G12" s="28"/>
      <c r="H12" s="29"/>
      <c r="I12" s="44"/>
      <c r="J12" s="45"/>
    </row>
    <row r="13" spans="1:10" ht="75" customHeight="1" x14ac:dyDescent="0.3">
      <c r="A13" s="8"/>
      <c r="B13" s="73" t="s">
        <v>185</v>
      </c>
      <c r="C13" s="74"/>
      <c r="D13" s="74"/>
      <c r="E13" s="7">
        <v>5</v>
      </c>
      <c r="F13" s="24">
        <v>3.5</v>
      </c>
      <c r="G13" s="28">
        <f t="shared" si="0"/>
        <v>0.7</v>
      </c>
      <c r="H13" s="29" t="str">
        <f t="shared" si="1"/>
        <v>جيد</v>
      </c>
      <c r="I13" s="44"/>
      <c r="J13" s="45"/>
    </row>
    <row r="14" spans="1:10" ht="39.9" customHeight="1" x14ac:dyDescent="0.3">
      <c r="A14" s="8"/>
      <c r="B14" s="73" t="s">
        <v>186</v>
      </c>
      <c r="C14" s="74"/>
      <c r="D14" s="74"/>
      <c r="E14" s="7">
        <v>5</v>
      </c>
      <c r="F14" s="24">
        <v>3.75</v>
      </c>
      <c r="G14" s="28">
        <f t="shared" si="0"/>
        <v>0.75</v>
      </c>
      <c r="H14" s="29" t="str">
        <f t="shared" si="1"/>
        <v>جيد</v>
      </c>
      <c r="I14" s="44"/>
      <c r="J14" s="45"/>
    </row>
    <row r="15" spans="1:10" ht="62.25" customHeight="1" x14ac:dyDescent="0.3">
      <c r="A15" s="8"/>
      <c r="B15" s="73" t="s">
        <v>187</v>
      </c>
      <c r="C15" s="74"/>
      <c r="D15" s="74"/>
      <c r="E15" s="7">
        <v>5</v>
      </c>
      <c r="F15" s="24">
        <v>4</v>
      </c>
      <c r="G15" s="28">
        <f t="shared" si="0"/>
        <v>0.8</v>
      </c>
      <c r="H15" s="29" t="str">
        <f t="shared" si="1"/>
        <v>جيد جداً</v>
      </c>
      <c r="I15" s="44"/>
      <c r="J15" s="45"/>
    </row>
    <row r="16" spans="1:10" ht="39.9" customHeight="1" x14ac:dyDescent="0.3">
      <c r="A16" s="8"/>
      <c r="B16" s="73" t="s">
        <v>188</v>
      </c>
      <c r="C16" s="74"/>
      <c r="D16" s="74"/>
      <c r="E16" s="7">
        <v>5</v>
      </c>
      <c r="F16" s="24">
        <v>4</v>
      </c>
      <c r="G16" s="28">
        <f t="shared" si="0"/>
        <v>0.8</v>
      </c>
      <c r="H16" s="29" t="str">
        <f t="shared" si="1"/>
        <v>جيد جداً</v>
      </c>
      <c r="I16" s="44"/>
      <c r="J16" s="45"/>
    </row>
    <row r="17" spans="1:10" ht="39.9" customHeight="1" x14ac:dyDescent="0.3">
      <c r="A17" s="8"/>
      <c r="B17" s="73" t="s">
        <v>189</v>
      </c>
      <c r="C17" s="74"/>
      <c r="D17" s="74"/>
      <c r="E17" s="7">
        <v>5</v>
      </c>
      <c r="F17" s="24">
        <v>3.75</v>
      </c>
      <c r="G17" s="28">
        <f t="shared" si="0"/>
        <v>0.75</v>
      </c>
      <c r="H17" s="29" t="str">
        <f t="shared" si="1"/>
        <v>جيد</v>
      </c>
      <c r="I17" s="44"/>
      <c r="J17" s="45"/>
    </row>
    <row r="18" spans="1:10" ht="62.25" customHeight="1" x14ac:dyDescent="0.3">
      <c r="A18" s="8"/>
      <c r="B18" s="67" t="s">
        <v>190</v>
      </c>
      <c r="C18" s="68"/>
      <c r="D18" s="68"/>
      <c r="E18" s="7">
        <v>5</v>
      </c>
      <c r="F18" s="24">
        <v>3.75</v>
      </c>
      <c r="G18" s="28">
        <f t="shared" si="0"/>
        <v>0.75</v>
      </c>
      <c r="H18" s="29" t="str">
        <f t="shared" si="1"/>
        <v>جيد</v>
      </c>
      <c r="I18" s="44"/>
      <c r="J18" s="45"/>
    </row>
    <row r="19" spans="1:10" ht="39.9" customHeight="1" x14ac:dyDescent="0.3">
      <c r="A19" s="8"/>
      <c r="B19" s="67" t="s">
        <v>191</v>
      </c>
      <c r="C19" s="68"/>
      <c r="D19" s="68"/>
      <c r="E19" s="7"/>
      <c r="F19" s="24"/>
      <c r="G19" s="28"/>
      <c r="H19" s="29"/>
      <c r="I19" s="44"/>
      <c r="J19" s="45"/>
    </row>
    <row r="20" spans="1:10" ht="30" customHeight="1" x14ac:dyDescent="0.3">
      <c r="A20" s="8"/>
      <c r="B20" s="73" t="s">
        <v>192</v>
      </c>
      <c r="C20" s="74"/>
      <c r="D20" s="74"/>
      <c r="E20" s="7">
        <v>5</v>
      </c>
      <c r="F20" s="24">
        <v>3.5</v>
      </c>
      <c r="G20" s="28">
        <f t="shared" si="0"/>
        <v>0.7</v>
      </c>
      <c r="H20" s="29" t="str">
        <f t="shared" si="1"/>
        <v>جيد</v>
      </c>
      <c r="I20" s="44"/>
      <c r="J20" s="45"/>
    </row>
    <row r="21" spans="1:10" ht="30" customHeight="1" x14ac:dyDescent="0.3">
      <c r="A21" s="8"/>
      <c r="B21" s="73" t="s">
        <v>193</v>
      </c>
      <c r="C21" s="74"/>
      <c r="D21" s="74"/>
      <c r="E21" s="7">
        <v>5</v>
      </c>
      <c r="F21" s="24">
        <v>3.5</v>
      </c>
      <c r="G21" s="28">
        <f t="shared" si="0"/>
        <v>0.7</v>
      </c>
      <c r="H21" s="29" t="str">
        <f t="shared" si="1"/>
        <v>جيد</v>
      </c>
      <c r="I21" s="44"/>
      <c r="J21" s="45"/>
    </row>
    <row r="22" spans="1:10" ht="30" customHeight="1" x14ac:dyDescent="0.3">
      <c r="A22" s="8"/>
      <c r="B22" s="73" t="s">
        <v>194</v>
      </c>
      <c r="C22" s="74"/>
      <c r="D22" s="74"/>
      <c r="E22" s="7">
        <v>5</v>
      </c>
      <c r="F22" s="24">
        <v>3.5</v>
      </c>
      <c r="G22" s="28">
        <f t="shared" si="0"/>
        <v>0.7</v>
      </c>
      <c r="H22" s="29" t="str">
        <f t="shared" si="1"/>
        <v>جيد</v>
      </c>
      <c r="I22" s="44"/>
      <c r="J22" s="45"/>
    </row>
    <row r="23" spans="1:10" ht="30" customHeight="1" thickBot="1" x14ac:dyDescent="0.35">
      <c r="A23" s="8"/>
      <c r="B23" s="78" t="s">
        <v>195</v>
      </c>
      <c r="C23" s="79"/>
      <c r="D23" s="79"/>
      <c r="E23" s="30">
        <v>5</v>
      </c>
      <c r="F23" s="25">
        <v>3.75</v>
      </c>
      <c r="G23" s="31">
        <f t="shared" si="0"/>
        <v>0.75</v>
      </c>
      <c r="H23" s="32" t="str">
        <f t="shared" si="1"/>
        <v>جيد</v>
      </c>
      <c r="I23" s="52"/>
      <c r="J23" s="53"/>
    </row>
    <row r="24" spans="1:10" ht="30" customHeight="1" x14ac:dyDescent="0.3">
      <c r="A24" s="8"/>
      <c r="B24" s="75" t="s">
        <v>196</v>
      </c>
      <c r="C24" s="76"/>
      <c r="D24" s="76"/>
      <c r="E24" s="76"/>
      <c r="F24" s="76"/>
      <c r="G24" s="76"/>
      <c r="H24" s="76"/>
      <c r="I24" s="76"/>
      <c r="J24" s="77"/>
    </row>
    <row r="25" spans="1:10" ht="30" customHeight="1" x14ac:dyDescent="0.3">
      <c r="A25" s="8"/>
      <c r="B25" s="65" t="s">
        <v>197</v>
      </c>
      <c r="C25" s="66"/>
      <c r="D25" s="66"/>
      <c r="E25" s="7"/>
      <c r="F25" s="24"/>
      <c r="G25" s="28"/>
      <c r="H25" s="29"/>
      <c r="I25" s="44"/>
      <c r="J25" s="45"/>
    </row>
    <row r="26" spans="1:10" ht="39.9" customHeight="1" x14ac:dyDescent="0.3">
      <c r="A26" s="8"/>
      <c r="B26" s="67" t="s">
        <v>198</v>
      </c>
      <c r="C26" s="68"/>
      <c r="D26" s="68"/>
      <c r="E26" s="7">
        <v>5</v>
      </c>
      <c r="F26" s="24">
        <v>3.5</v>
      </c>
      <c r="G26" s="28">
        <f t="shared" si="0"/>
        <v>0.7</v>
      </c>
      <c r="H26" s="29" t="str">
        <f t="shared" si="1"/>
        <v>جيد</v>
      </c>
      <c r="I26" s="44"/>
      <c r="J26" s="45"/>
    </row>
    <row r="27" spans="1:10" ht="30" customHeight="1" x14ac:dyDescent="0.3">
      <c r="A27" s="8"/>
      <c r="B27" s="67" t="s">
        <v>199</v>
      </c>
      <c r="C27" s="68"/>
      <c r="D27" s="68"/>
      <c r="E27" s="7">
        <v>5</v>
      </c>
      <c r="F27" s="24">
        <v>4</v>
      </c>
      <c r="G27" s="28">
        <f t="shared" si="0"/>
        <v>0.8</v>
      </c>
      <c r="H27" s="29" t="str">
        <f t="shared" si="1"/>
        <v>جيد جداً</v>
      </c>
      <c r="I27" s="44"/>
      <c r="J27" s="45"/>
    </row>
    <row r="28" spans="1:10" ht="30" customHeight="1" x14ac:dyDescent="0.3">
      <c r="A28" s="8"/>
      <c r="B28" s="67" t="s">
        <v>200</v>
      </c>
      <c r="C28" s="68"/>
      <c r="D28" s="68"/>
      <c r="E28" s="7">
        <v>5</v>
      </c>
      <c r="F28" s="24">
        <v>4</v>
      </c>
      <c r="G28" s="28">
        <f t="shared" si="0"/>
        <v>0.8</v>
      </c>
      <c r="H28" s="29" t="str">
        <f t="shared" si="1"/>
        <v>جيد جداً</v>
      </c>
      <c r="I28" s="44"/>
      <c r="J28" s="45"/>
    </row>
    <row r="29" spans="1:10" ht="30" customHeight="1" x14ac:dyDescent="0.3">
      <c r="A29" s="8"/>
      <c r="B29" s="65" t="s">
        <v>201</v>
      </c>
      <c r="C29" s="66"/>
      <c r="D29" s="66"/>
      <c r="E29" s="7"/>
      <c r="F29" s="24"/>
      <c r="G29" s="28"/>
      <c r="H29" s="29"/>
      <c r="I29" s="44"/>
      <c r="J29" s="45"/>
    </row>
    <row r="30" spans="1:10" ht="30" customHeight="1" x14ac:dyDescent="0.3">
      <c r="A30" s="8"/>
      <c r="B30" s="67" t="s">
        <v>202</v>
      </c>
      <c r="C30" s="68"/>
      <c r="D30" s="68"/>
      <c r="E30" s="7">
        <v>5</v>
      </c>
      <c r="F30" s="24">
        <v>4</v>
      </c>
      <c r="G30" s="28">
        <f t="shared" si="0"/>
        <v>0.8</v>
      </c>
      <c r="H30" s="29" t="str">
        <f t="shared" si="1"/>
        <v>جيد جداً</v>
      </c>
      <c r="I30" s="44"/>
      <c r="J30" s="45"/>
    </row>
    <row r="31" spans="1:10" ht="30" customHeight="1" x14ac:dyDescent="0.3">
      <c r="A31" s="8"/>
      <c r="B31" s="67" t="s">
        <v>203</v>
      </c>
      <c r="C31" s="68"/>
      <c r="D31" s="68"/>
      <c r="E31" s="7">
        <v>5</v>
      </c>
      <c r="F31" s="24">
        <v>3.75</v>
      </c>
      <c r="G31" s="28">
        <f t="shared" si="0"/>
        <v>0.75</v>
      </c>
      <c r="H31" s="29" t="str">
        <f t="shared" si="1"/>
        <v>جيد</v>
      </c>
      <c r="I31" s="44"/>
      <c r="J31" s="45"/>
    </row>
    <row r="32" spans="1:10" ht="30" customHeight="1" x14ac:dyDescent="0.3">
      <c r="A32" s="8"/>
      <c r="B32" s="67" t="s">
        <v>204</v>
      </c>
      <c r="C32" s="68"/>
      <c r="D32" s="68"/>
      <c r="E32" s="7">
        <v>5</v>
      </c>
      <c r="F32" s="24">
        <v>4</v>
      </c>
      <c r="G32" s="28">
        <f t="shared" si="0"/>
        <v>0.8</v>
      </c>
      <c r="H32" s="29" t="str">
        <f t="shared" si="1"/>
        <v>جيد جداً</v>
      </c>
      <c r="I32" s="44"/>
      <c r="J32" s="45"/>
    </row>
    <row r="33" spans="1:10" ht="30" customHeight="1" x14ac:dyDescent="0.3">
      <c r="A33" s="8"/>
      <c r="B33" s="67" t="s">
        <v>205</v>
      </c>
      <c r="C33" s="68"/>
      <c r="D33" s="68"/>
      <c r="E33" s="7">
        <v>5</v>
      </c>
      <c r="F33" s="24">
        <v>3.75</v>
      </c>
      <c r="G33" s="28">
        <f t="shared" si="0"/>
        <v>0.75</v>
      </c>
      <c r="H33" s="29" t="str">
        <f t="shared" si="1"/>
        <v>جيد</v>
      </c>
      <c r="I33" s="44"/>
      <c r="J33" s="45"/>
    </row>
    <row r="34" spans="1:10" ht="30" customHeight="1" thickBot="1" x14ac:dyDescent="0.35">
      <c r="A34" s="8"/>
      <c r="B34" s="78" t="s">
        <v>206</v>
      </c>
      <c r="C34" s="79"/>
      <c r="D34" s="79"/>
      <c r="E34" s="30">
        <v>5</v>
      </c>
      <c r="F34" s="25">
        <v>4</v>
      </c>
      <c r="G34" s="31">
        <f t="shared" si="0"/>
        <v>0.8</v>
      </c>
      <c r="H34" s="32" t="str">
        <f t="shared" si="1"/>
        <v>جيد جداً</v>
      </c>
      <c r="I34" s="52"/>
      <c r="J34" s="53"/>
    </row>
    <row r="35" spans="1:10" ht="30" customHeight="1" x14ac:dyDescent="0.3">
      <c r="A35" s="8"/>
      <c r="B35" s="75" t="s">
        <v>207</v>
      </c>
      <c r="C35" s="76"/>
      <c r="D35" s="76"/>
      <c r="E35" s="76"/>
      <c r="F35" s="76"/>
      <c r="G35" s="76"/>
      <c r="H35" s="76"/>
      <c r="I35" s="76"/>
      <c r="J35" s="77"/>
    </row>
    <row r="36" spans="1:10" ht="39.9" customHeight="1" x14ac:dyDescent="0.3">
      <c r="A36" s="8"/>
      <c r="B36" s="65" t="s">
        <v>208</v>
      </c>
      <c r="C36" s="66"/>
      <c r="D36" s="66"/>
      <c r="E36" s="7"/>
      <c r="F36" s="24"/>
      <c r="G36" s="28"/>
      <c r="H36" s="29"/>
      <c r="I36" s="44"/>
      <c r="J36" s="45"/>
    </row>
    <row r="37" spans="1:10" ht="39.9" customHeight="1" x14ac:dyDescent="0.3">
      <c r="A37" s="8"/>
      <c r="B37" s="67" t="s">
        <v>209</v>
      </c>
      <c r="C37" s="68"/>
      <c r="D37" s="68"/>
      <c r="E37" s="7">
        <v>5</v>
      </c>
      <c r="F37" s="24">
        <v>3.5</v>
      </c>
      <c r="G37" s="28">
        <f t="shared" si="0"/>
        <v>0.7</v>
      </c>
      <c r="H37" s="29" t="str">
        <f t="shared" si="1"/>
        <v>جيد</v>
      </c>
      <c r="I37" s="44"/>
      <c r="J37" s="45"/>
    </row>
    <row r="38" spans="1:10" ht="39.9" customHeight="1" x14ac:dyDescent="0.3">
      <c r="A38" s="8"/>
      <c r="B38" s="67" t="s">
        <v>210</v>
      </c>
      <c r="C38" s="68"/>
      <c r="D38" s="68"/>
      <c r="E38" s="7">
        <v>5</v>
      </c>
      <c r="F38" s="24">
        <v>4.25</v>
      </c>
      <c r="G38" s="28">
        <f t="shared" si="0"/>
        <v>0.85</v>
      </c>
      <c r="H38" s="29" t="str">
        <f t="shared" si="1"/>
        <v>جيد جداً</v>
      </c>
      <c r="I38" s="44"/>
      <c r="J38" s="45"/>
    </row>
    <row r="39" spans="1:10" ht="30" customHeight="1" x14ac:dyDescent="0.3">
      <c r="A39" s="8"/>
      <c r="B39" s="67" t="s">
        <v>211</v>
      </c>
      <c r="C39" s="68"/>
      <c r="D39" s="68"/>
      <c r="E39" s="7">
        <v>5</v>
      </c>
      <c r="F39" s="24">
        <v>3.5</v>
      </c>
      <c r="G39" s="28">
        <f t="shared" si="0"/>
        <v>0.7</v>
      </c>
      <c r="H39" s="29" t="str">
        <f t="shared" si="1"/>
        <v>جيد</v>
      </c>
      <c r="I39" s="44"/>
      <c r="J39" s="45"/>
    </row>
    <row r="40" spans="1:10" ht="30" customHeight="1" x14ac:dyDescent="0.3">
      <c r="A40" s="8"/>
      <c r="B40" s="67" t="s">
        <v>212</v>
      </c>
      <c r="C40" s="68"/>
      <c r="D40" s="68"/>
      <c r="E40" s="7">
        <v>5</v>
      </c>
      <c r="F40" s="24">
        <v>3.5</v>
      </c>
      <c r="G40" s="28">
        <f t="shared" si="0"/>
        <v>0.7</v>
      </c>
      <c r="H40" s="29" t="str">
        <f t="shared" si="1"/>
        <v>جيد</v>
      </c>
      <c r="I40" s="44"/>
      <c r="J40" s="45"/>
    </row>
    <row r="41" spans="1:10" ht="39.9" customHeight="1" x14ac:dyDescent="0.3">
      <c r="A41" s="8"/>
      <c r="B41" s="65" t="s">
        <v>213</v>
      </c>
      <c r="C41" s="66"/>
      <c r="D41" s="66"/>
      <c r="E41" s="7">
        <v>5</v>
      </c>
      <c r="F41" s="24">
        <v>4</v>
      </c>
      <c r="G41" s="28">
        <f t="shared" si="0"/>
        <v>0.8</v>
      </c>
      <c r="H41" s="29" t="str">
        <f t="shared" si="1"/>
        <v>جيد جداً</v>
      </c>
      <c r="I41" s="44"/>
      <c r="J41" s="45"/>
    </row>
    <row r="42" spans="1:10" ht="30" customHeight="1" x14ac:dyDescent="0.3">
      <c r="A42" s="8"/>
      <c r="B42" s="65" t="s">
        <v>214</v>
      </c>
      <c r="C42" s="66"/>
      <c r="D42" s="66"/>
      <c r="E42" s="7"/>
      <c r="F42" s="24"/>
      <c r="G42" s="28"/>
      <c r="H42" s="29"/>
      <c r="I42" s="44"/>
      <c r="J42" s="45"/>
    </row>
    <row r="43" spans="1:10" ht="30" customHeight="1" x14ac:dyDescent="0.3">
      <c r="A43" s="8"/>
      <c r="B43" s="67" t="s">
        <v>215</v>
      </c>
      <c r="C43" s="68"/>
      <c r="D43" s="68"/>
      <c r="E43" s="7">
        <v>5</v>
      </c>
      <c r="F43" s="24">
        <v>4</v>
      </c>
      <c r="G43" s="28">
        <f t="shared" si="0"/>
        <v>0.8</v>
      </c>
      <c r="H43" s="29" t="str">
        <f t="shared" si="1"/>
        <v>جيد جداً</v>
      </c>
      <c r="I43" s="44"/>
      <c r="J43" s="45"/>
    </row>
    <row r="44" spans="1:10" ht="30" customHeight="1" x14ac:dyDescent="0.3">
      <c r="A44" s="8"/>
      <c r="B44" s="67" t="s">
        <v>216</v>
      </c>
      <c r="C44" s="68"/>
      <c r="D44" s="68"/>
      <c r="E44" s="7">
        <v>5</v>
      </c>
      <c r="F44" s="24">
        <v>4</v>
      </c>
      <c r="G44" s="28">
        <f t="shared" si="0"/>
        <v>0.8</v>
      </c>
      <c r="H44" s="29" t="str">
        <f t="shared" si="1"/>
        <v>جيد جداً</v>
      </c>
      <c r="I44" s="44"/>
      <c r="J44" s="45"/>
    </row>
    <row r="45" spans="1:10" ht="30" customHeight="1" x14ac:dyDescent="0.3">
      <c r="A45" s="8"/>
      <c r="B45" s="67" t="s">
        <v>217</v>
      </c>
      <c r="C45" s="68"/>
      <c r="D45" s="68"/>
      <c r="E45" s="7">
        <v>5</v>
      </c>
      <c r="F45" s="24">
        <v>3.75</v>
      </c>
      <c r="G45" s="28">
        <f t="shared" si="0"/>
        <v>0.75</v>
      </c>
      <c r="H45" s="29" t="str">
        <f t="shared" si="1"/>
        <v>جيد</v>
      </c>
      <c r="I45" s="44"/>
      <c r="J45" s="45"/>
    </row>
    <row r="46" spans="1:10" ht="30" customHeight="1" x14ac:dyDescent="0.3">
      <c r="A46" s="8"/>
      <c r="B46" s="67" t="s">
        <v>218</v>
      </c>
      <c r="C46" s="68"/>
      <c r="D46" s="68"/>
      <c r="E46" s="7">
        <v>5</v>
      </c>
      <c r="F46" s="24">
        <v>4</v>
      </c>
      <c r="G46" s="28">
        <f t="shared" si="0"/>
        <v>0.8</v>
      </c>
      <c r="H46" s="29" t="str">
        <f t="shared" si="1"/>
        <v>جيد جداً</v>
      </c>
      <c r="I46" s="44"/>
      <c r="J46" s="45"/>
    </row>
    <row r="47" spans="1:10" ht="39.9" customHeight="1" x14ac:dyDescent="0.3">
      <c r="A47" s="8"/>
      <c r="B47" s="67" t="s">
        <v>219</v>
      </c>
      <c r="C47" s="68"/>
      <c r="D47" s="68"/>
      <c r="E47" s="7"/>
      <c r="F47" s="24"/>
      <c r="G47" s="28"/>
      <c r="H47" s="29"/>
      <c r="I47" s="44"/>
      <c r="J47" s="45"/>
    </row>
    <row r="48" spans="1:10" ht="39.9" customHeight="1" x14ac:dyDescent="0.3">
      <c r="A48" s="8"/>
      <c r="B48" s="73" t="s">
        <v>220</v>
      </c>
      <c r="C48" s="74"/>
      <c r="D48" s="74"/>
      <c r="E48" s="7">
        <v>5</v>
      </c>
      <c r="F48" s="24">
        <v>4</v>
      </c>
      <c r="G48" s="28">
        <f t="shared" si="0"/>
        <v>0.8</v>
      </c>
      <c r="H48" s="29" t="str">
        <f t="shared" si="1"/>
        <v>جيد جداً</v>
      </c>
      <c r="I48" s="44"/>
      <c r="J48" s="45"/>
    </row>
    <row r="49" spans="1:10" ht="60" customHeight="1" x14ac:dyDescent="0.3">
      <c r="A49" s="8"/>
      <c r="B49" s="73" t="s">
        <v>221</v>
      </c>
      <c r="C49" s="74"/>
      <c r="D49" s="74"/>
      <c r="E49" s="7">
        <v>5</v>
      </c>
      <c r="F49" s="24">
        <v>3.75</v>
      </c>
      <c r="G49" s="28">
        <f t="shared" si="0"/>
        <v>0.75</v>
      </c>
      <c r="H49" s="29" t="str">
        <f t="shared" si="1"/>
        <v>جيد</v>
      </c>
      <c r="I49" s="44"/>
      <c r="J49" s="45"/>
    </row>
    <row r="50" spans="1:10" ht="39.9" customHeight="1" x14ac:dyDescent="0.3">
      <c r="A50" s="8"/>
      <c r="B50" s="73" t="s">
        <v>222</v>
      </c>
      <c r="C50" s="74"/>
      <c r="D50" s="74"/>
      <c r="E50" s="7">
        <v>5</v>
      </c>
      <c r="F50" s="24">
        <v>4</v>
      </c>
      <c r="G50" s="28">
        <f t="shared" si="0"/>
        <v>0.8</v>
      </c>
      <c r="H50" s="29" t="str">
        <f t="shared" si="1"/>
        <v>جيد جداً</v>
      </c>
      <c r="I50" s="44"/>
      <c r="J50" s="45"/>
    </row>
    <row r="51" spans="1:10" ht="30" customHeight="1" x14ac:dyDescent="0.3">
      <c r="A51" s="8"/>
      <c r="B51" s="67" t="s">
        <v>223</v>
      </c>
      <c r="C51" s="68"/>
      <c r="D51" s="68"/>
      <c r="E51" s="7">
        <v>5</v>
      </c>
      <c r="F51" s="24">
        <v>3.75</v>
      </c>
      <c r="G51" s="28">
        <f t="shared" si="0"/>
        <v>0.75</v>
      </c>
      <c r="H51" s="29" t="str">
        <f t="shared" si="1"/>
        <v>جيد</v>
      </c>
      <c r="I51" s="44"/>
      <c r="J51" s="45"/>
    </row>
    <row r="52" spans="1:10" ht="30" customHeight="1" thickBot="1" x14ac:dyDescent="0.35">
      <c r="A52" s="8"/>
      <c r="B52" s="78" t="s">
        <v>224</v>
      </c>
      <c r="C52" s="79"/>
      <c r="D52" s="79"/>
      <c r="E52" s="30">
        <v>5</v>
      </c>
      <c r="F52" s="25">
        <v>4</v>
      </c>
      <c r="G52" s="31">
        <f t="shared" si="0"/>
        <v>0.8</v>
      </c>
      <c r="H52" s="32" t="str">
        <f t="shared" si="1"/>
        <v>جيد جداً</v>
      </c>
      <c r="I52" s="52"/>
      <c r="J52" s="53"/>
    </row>
    <row r="53" spans="1:10" ht="30" customHeight="1" thickBot="1" x14ac:dyDescent="0.35">
      <c r="A53" s="4"/>
      <c r="B53" s="69" t="s">
        <v>5</v>
      </c>
      <c r="C53" s="70"/>
      <c r="D53" s="70"/>
      <c r="E53" s="27">
        <f>SUM(E8:E52)</f>
        <v>170</v>
      </c>
      <c r="F53" s="27">
        <f>SUM(F8:F52)</f>
        <v>129.5</v>
      </c>
      <c r="G53" s="62"/>
      <c r="H53" s="63"/>
      <c r="I53" s="63"/>
      <c r="J53" s="64"/>
    </row>
    <row r="54" spans="1:10" ht="30" customHeight="1" thickBot="1" x14ac:dyDescent="0.35">
      <c r="A54" s="4"/>
      <c r="B54" s="71" t="s">
        <v>54</v>
      </c>
      <c r="C54" s="72"/>
      <c r="D54" s="72"/>
      <c r="E54" s="40">
        <f>F53/E53/100*100</f>
        <v>0.7617647058823529</v>
      </c>
      <c r="F54" s="40"/>
      <c r="G54" s="40"/>
      <c r="H54" s="40"/>
      <c r="I54" s="40"/>
      <c r="J54" s="41"/>
    </row>
    <row r="55" spans="1:10" ht="30" customHeight="1" thickBot="1" x14ac:dyDescent="0.35">
      <c r="A55" s="4"/>
      <c r="B55" s="71" t="s">
        <v>55</v>
      </c>
      <c r="C55" s="72"/>
      <c r="D55" s="72"/>
      <c r="E55" s="58" t="str">
        <f>_xlfn.IFS(E54&gt;=90%,"ممتاز",E54&gt;=80%,"جيد جداً",E54&gt;=70%,"جيد",E54&gt;=60%,"مقبول",E54&lt;60%,"راسب")</f>
        <v>جيد</v>
      </c>
      <c r="F55" s="58"/>
      <c r="G55" s="58"/>
      <c r="H55" s="58"/>
      <c r="I55" s="58"/>
      <c r="J55" s="59"/>
    </row>
    <row r="56" spans="1:10" ht="42" customHeight="1" x14ac:dyDescent="0.3">
      <c r="B56" s="54" t="s">
        <v>174</v>
      </c>
      <c r="C56" s="54"/>
      <c r="D56" s="54"/>
      <c r="E56" s="60" t="s">
        <v>52</v>
      </c>
      <c r="F56" s="60"/>
      <c r="G56" s="56" t="s">
        <v>59</v>
      </c>
      <c r="H56" s="56"/>
      <c r="I56" s="56"/>
      <c r="J56" s="56"/>
    </row>
    <row r="57" spans="1:10" ht="51" customHeight="1" x14ac:dyDescent="0.3">
      <c r="A57" s="5"/>
      <c r="B57" s="55"/>
      <c r="C57" s="55"/>
      <c r="D57" s="55"/>
      <c r="E57" s="61" t="s">
        <v>53</v>
      </c>
      <c r="F57" s="61"/>
      <c r="G57" s="57"/>
      <c r="H57" s="57"/>
      <c r="I57" s="57"/>
      <c r="J57" s="57"/>
    </row>
  </sheetData>
  <sheetProtection formatCells="0" formatColumns="0" formatRows="0" insertColumns="0" insertRows="0" insertHyperlinks="0" deleteColumns="0" deleteRows="0" selectLockedCells="1" sort="0" autoFilter="0" pivotTables="0"/>
  <mergeCells count="110">
    <mergeCell ref="C4:D4"/>
    <mergeCell ref="F4:J4"/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I32:J32"/>
    <mergeCell ref="I33:J33"/>
    <mergeCell ref="I34:J34"/>
    <mergeCell ref="I36:J36"/>
    <mergeCell ref="B27:D27"/>
    <mergeCell ref="B28:D28"/>
    <mergeCell ref="B29:D29"/>
    <mergeCell ref="B30:D30"/>
    <mergeCell ref="B31:D31"/>
    <mergeCell ref="B46:D46"/>
    <mergeCell ref="B47:D47"/>
    <mergeCell ref="B48:D48"/>
    <mergeCell ref="B49:D49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23:D23"/>
    <mergeCell ref="B25:D25"/>
    <mergeCell ref="B24:J24"/>
    <mergeCell ref="B26:D26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4 F36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4 H36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2025-10-15T20:18:09Z</dcterms:modified>
</cp:coreProperties>
</file>