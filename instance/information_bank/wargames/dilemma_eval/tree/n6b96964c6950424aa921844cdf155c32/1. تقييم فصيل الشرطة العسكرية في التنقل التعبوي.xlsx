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ink/ink1.xml" ContentType="application/inkml+xml"/>
  <Override PartName="/xl/ink/ink2.xml" ContentType="application/inkml+xml"/>
  <Override PartName="/xl/ink/ink3.xml" ContentType="application/inkml+xml"/>
  <Override PartName="/xl/ink/ink4.xml" ContentType="application/inkml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03"/>
  <workbookPr filterPrivacy="1" codeName="ThisWorkbook"/>
  <xr:revisionPtr revIDLastSave="0" documentId="13_ncr:1_{DC700964-5F51-4B7D-9AC5-A3D4EAC30C62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قائمة التقييم" sheetId="2" r:id="rId1"/>
    <sheet name="بيانات التقييم" sheetId="4" r:id="rId2"/>
  </sheets>
  <definedNames>
    <definedName name="_Hlk189049083" localSheetId="0">'قائمة التقييم'!#REF!</definedName>
    <definedName name="_Hlk189049123" localSheetId="0">'قائمة التقييم'!$B$3</definedName>
    <definedName name="_xlnm.Print_Area" localSheetId="0">'قائمة التقييم'!$A$1:$J$21</definedName>
    <definedName name="_xlnm.Print_Titles" localSheetId="0">'قائمة التقييم'!$7:$7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9" i="2" l="1"/>
  <c r="H9" i="2"/>
  <c r="G10" i="2"/>
  <c r="H10" i="2"/>
  <c r="G11" i="2"/>
  <c r="H11" i="2"/>
  <c r="G12" i="2"/>
  <c r="H12" i="2"/>
  <c r="G13" i="2"/>
  <c r="H13" i="2"/>
  <c r="G14" i="2"/>
  <c r="H14" i="2"/>
  <c r="G15" i="2"/>
  <c r="H15" i="2"/>
  <c r="G16" i="2"/>
  <c r="H16" i="2" s="1"/>
  <c r="G8" i="2"/>
  <c r="H8" i="2" s="1"/>
  <c r="F17" i="2"/>
  <c r="E18" i="2" s="1"/>
  <c r="E19" i="2" s="1"/>
  <c r="E17" i="2"/>
</calcChain>
</file>

<file path=xl/sharedStrings.xml><?xml version="1.0" encoding="utf-8"?>
<sst xmlns="http://schemas.openxmlformats.org/spreadsheetml/2006/main" count="247" uniqueCount="191">
  <si>
    <t>عناصــــــر التقييـــــم</t>
  </si>
  <si>
    <t>العلامـــــــات</t>
  </si>
  <si>
    <t>ملاحظــــــات</t>
  </si>
  <si>
    <t>القصوى</t>
  </si>
  <si>
    <t>المكتسبة</t>
  </si>
  <si>
    <t>إجمالي العلامـــــات</t>
  </si>
  <si>
    <t xml:space="preserve">المحكــم: </t>
  </si>
  <si>
    <t xml:space="preserve">التاريــخ: </t>
  </si>
  <si>
    <t xml:space="preserve">الوحـــــــدة: </t>
  </si>
  <si>
    <t xml:space="preserve">قائد الوحدة: </t>
  </si>
  <si>
    <t>سرية الاستطلاع</t>
  </si>
  <si>
    <t>سرية الهاون</t>
  </si>
  <si>
    <t>سرية الهندسة</t>
  </si>
  <si>
    <t>سرية الدفاع الكيميائي</t>
  </si>
  <si>
    <t>سرية الحرب الإلكترونية</t>
  </si>
  <si>
    <t>سرية الإشارة</t>
  </si>
  <si>
    <t>فصيل الشرطة العسكرية</t>
  </si>
  <si>
    <t>لا ينطبق</t>
  </si>
  <si>
    <t>(ب)</t>
  </si>
  <si>
    <t>(جـ)</t>
  </si>
  <si>
    <t>(هـ)</t>
  </si>
  <si>
    <t>( أ )</t>
  </si>
  <si>
    <t>( د )</t>
  </si>
  <si>
    <t>النسبة</t>
  </si>
  <si>
    <t>النتيجة</t>
  </si>
  <si>
    <t>( و )</t>
  </si>
  <si>
    <t>هيئة ركن مجموعة اللواء</t>
  </si>
  <si>
    <t>سرية الـ م/د</t>
  </si>
  <si>
    <t>القيادة والسيطرة</t>
  </si>
  <si>
    <t>سرية الدفاع الجوي</t>
  </si>
  <si>
    <t>كتيبة الإسناد الإداري</t>
  </si>
  <si>
    <t>السرية الطبية</t>
  </si>
  <si>
    <t>سرية الصيانة</t>
  </si>
  <si>
    <t>سرية التزويد والنقل</t>
  </si>
  <si>
    <t>ضباط الصف</t>
  </si>
  <si>
    <t>قيادة مجموعة لواء الإمارات/1</t>
  </si>
  <si>
    <t>قيادة كتيبة المشاة الآلية/12</t>
  </si>
  <si>
    <t>كتيبة المشاة الآلية/12 - السرية/1</t>
  </si>
  <si>
    <t>كتيبة المشاة الآلية/12 - السرية/2</t>
  </si>
  <si>
    <t>كتيبة المشاة الآلية/12 - السرية/3</t>
  </si>
  <si>
    <t>قيادة كتيبة المشاة الآلية/13</t>
  </si>
  <si>
    <t>كتيبة المشاة الآلية/13 - السرية/1</t>
  </si>
  <si>
    <t>كتيبة المشاة الآلية/13 - السرية/2</t>
  </si>
  <si>
    <t>كتيبة المشاة الآلية/13 - السرية/3</t>
  </si>
  <si>
    <t>قيادة كتيبة الدبابات/14</t>
  </si>
  <si>
    <t>كتيبة الدبابات/14 - السرية/1</t>
  </si>
  <si>
    <t>كتيبة الدبابات/14 - السرية/2</t>
  </si>
  <si>
    <t>كتيبة الدبابات/14 - السرية/3</t>
  </si>
  <si>
    <t>قيادة كتيبة المدفعية/72</t>
  </si>
  <si>
    <t>قيادة كتيبة المدفعية/72 - السرية/1</t>
  </si>
  <si>
    <t>قيادة كتيبة المدفعية/72 - السرية/2</t>
  </si>
  <si>
    <t>قيادة كتيبة المدفعية/72 - السرية/3</t>
  </si>
  <si>
    <t>المحكـــــــــم:</t>
  </si>
  <si>
    <t>التوقيــــــــع:</t>
  </si>
  <si>
    <t>النسبــــة العامــــــة</t>
  </si>
  <si>
    <t>التقديــــر العــــــام</t>
  </si>
  <si>
    <t>أدخل التاريخ</t>
  </si>
  <si>
    <t>أدخل الوحدة الخاضعة للتقييم</t>
  </si>
  <si>
    <t>..............................</t>
  </si>
  <si>
    <t>أدخل اسم المحكم</t>
  </si>
  <si>
    <t>أدخل اسم قائد الوحدة الخاضعة للتقييم</t>
  </si>
  <si>
    <t>أدخل العلامة</t>
  </si>
  <si>
    <t>عميد ركن / راشد حمد مفتاح النيادي</t>
  </si>
  <si>
    <t xml:space="preserve"> عقيد ركن / جمعة محمد جمعة الصريدي</t>
  </si>
  <si>
    <t xml:space="preserve"> عقيد ركن / عتيق الزفنة العفاري</t>
  </si>
  <si>
    <t>رائد / أحمد محمد الظهوري</t>
  </si>
  <si>
    <t>مقدم / عبدالله سعيد الشامسي</t>
  </si>
  <si>
    <t xml:space="preserve"> نقيب / سعيد أحمد الشحي</t>
  </si>
  <si>
    <t>عقيد ركن / محمد سعيد الكتبي</t>
  </si>
  <si>
    <t>نقيب / راشد الطيب النعيمي</t>
  </si>
  <si>
    <t>نقيب / حمدان سالمين العامري</t>
  </si>
  <si>
    <t>رائد/ عبدالله سيف الغفلي</t>
  </si>
  <si>
    <t>نقيب / حمد محمد الشامسي</t>
  </si>
  <si>
    <t>رائد/ سعيد مبارك الكتبي</t>
  </si>
  <si>
    <t>ملازم 2 / علي ابراهيم النعيمي</t>
  </si>
  <si>
    <t>رائد/ محمد عمران الكتبي</t>
  </si>
  <si>
    <t>نقيب / محمد سعيد الكعبي</t>
  </si>
  <si>
    <t>عقيد ركن / علي راشد اليماحي</t>
  </si>
  <si>
    <t>نقيب / ماجد عبدالله البلوشي</t>
  </si>
  <si>
    <t>ملازم 1 / حمد طارش الكعبي</t>
  </si>
  <si>
    <t>رائد/ سالم سلطان الكتبي</t>
  </si>
  <si>
    <t>مقدم ركن / محمد عبدالله الشحي</t>
  </si>
  <si>
    <t>رائد/ محمد عبدالرحمن الطنيجي</t>
  </si>
  <si>
    <t>رائد/ محمد راشد المزروعي</t>
  </si>
  <si>
    <t>رائد/ محمد سعيد الظنحاني</t>
  </si>
  <si>
    <t>مقدم ركن / علي حسن الحمادي</t>
  </si>
  <si>
    <t>ملازم 1 / علي ناصر المقدمي</t>
  </si>
  <si>
    <t>نقيب / حمد سعيد الشهياري</t>
  </si>
  <si>
    <t>ملازم 1 / سعود محمد الطياري</t>
  </si>
  <si>
    <t xml:space="preserve">عميد ركن / حمد علي جمعة الشحي </t>
  </si>
  <si>
    <t>عقيد ركن / خليفة بن هويدن الكتبي</t>
  </si>
  <si>
    <t>عقيد ركن / راشد محمد عبيد الظنحاني</t>
  </si>
  <si>
    <t>عقيد ركن / حميد محمد عبيد الدرعي</t>
  </si>
  <si>
    <t>عقيد ركن / سلطان راشد بالرشاد الشامسي</t>
  </si>
  <si>
    <t>عقيد ركن / احمد سليمان علي المعمري</t>
  </si>
  <si>
    <t>عقيد ركن / علي الرضه كمادي المهيري</t>
  </si>
  <si>
    <t>عقيد ركن / خليل احمد سليمان العنتلي</t>
  </si>
  <si>
    <t xml:space="preserve">عقيد ركن / سعود صالح  راشدالظاهري </t>
  </si>
  <si>
    <t>عقيد / سالم محمد سعيد العفاري</t>
  </si>
  <si>
    <t xml:space="preserve">مقدم ركن / خادم سيف المنصوري </t>
  </si>
  <si>
    <t>مقدم ركن / مصبح مفتاح علي الخاطري</t>
  </si>
  <si>
    <t>مقدم ركن / حمد راشد سليمان الزيودي</t>
  </si>
  <si>
    <t>مقدم / محمد عبدالرحمن الرميثي</t>
  </si>
  <si>
    <t xml:space="preserve">مقدم / علي سيف حامد الطنيجي </t>
  </si>
  <si>
    <t>مقدم / خليفة عبدالله سلطان السويدي</t>
  </si>
  <si>
    <t>مقدم / سالم القرين علي العامري</t>
  </si>
  <si>
    <t>مقدم / محمد عبدالرحمن جاسم الرميثي</t>
  </si>
  <si>
    <t xml:space="preserve">مقدم / سعيد محمد سالم  العامري </t>
  </si>
  <si>
    <t xml:space="preserve">مقدم / جابر محمد خاتم الشامسي </t>
  </si>
  <si>
    <t xml:space="preserve">مقدم / مصبح حارب المنصوري </t>
  </si>
  <si>
    <t>مقدم / عبدالله محمد سلطان الحبسي</t>
  </si>
  <si>
    <t>مقدم طبيب / محمد عيسى الرميثي</t>
  </si>
  <si>
    <t>رائد / احمد علي عبدالله الحوسني</t>
  </si>
  <si>
    <t xml:space="preserve">رائد / عبدالله مطر عبيد الكتبي </t>
  </si>
  <si>
    <t xml:space="preserve">رائد / خليفة مصبح الدهماني </t>
  </si>
  <si>
    <t>رائد / أحمد هلال سيف الزعابي</t>
  </si>
  <si>
    <t xml:space="preserve">رائد / سيف حمود محمد الشامسي </t>
  </si>
  <si>
    <t>رائد / عبدالناصر أحمد عبدالله  آل نصور</t>
  </si>
  <si>
    <t>رائد / حمدان محمد الكعبي</t>
  </si>
  <si>
    <t>رائد / سلطان سيف حميد بن سميط</t>
  </si>
  <si>
    <t xml:space="preserve">رائد / هلال سعيد ضبيب الدرعي </t>
  </si>
  <si>
    <t xml:space="preserve">رائد / سعيد إبراهيم المرزوقي </t>
  </si>
  <si>
    <t>رائد / أحمد عبدالكريم محمد</t>
  </si>
  <si>
    <t xml:space="preserve">رائد / جمعة محمد مسعود المزروعي </t>
  </si>
  <si>
    <t xml:space="preserve">رائد / خليفة مصبح علي الدهماني </t>
  </si>
  <si>
    <t xml:space="preserve">رائد / محمد خليفة حميد النعيمي </t>
  </si>
  <si>
    <t xml:space="preserve">نقيب / محمد سعيد الكعبي </t>
  </si>
  <si>
    <t>نقيب / ناصر حمد سليم التميمي</t>
  </si>
  <si>
    <t xml:space="preserve">نقيب / سعيد مصبح  محمد الغفلي </t>
  </si>
  <si>
    <t xml:space="preserve">نقيب / أحمد حمد حمود الدرعي </t>
  </si>
  <si>
    <t>نقيب / سالم جمعة محمد الكتبي</t>
  </si>
  <si>
    <t xml:space="preserve">نقيب / عمران راشد عبيد الكتبي </t>
  </si>
  <si>
    <t>نقيب / محمد جاسم محمد النقبي</t>
  </si>
  <si>
    <t>نقيب / بلاع سالم الدوده العامري</t>
  </si>
  <si>
    <t>نقيب / عبدالله علي سعيد الصريدي</t>
  </si>
  <si>
    <t>نقيب / عبدالله علي سليمان الزعابي</t>
  </si>
  <si>
    <t>نقيب / يوسف خليفه سعيد الكتبي</t>
  </si>
  <si>
    <t>نقيب بحري / سالم محمد جمعة الصريدي</t>
  </si>
  <si>
    <t xml:space="preserve">نقيب طبيب / حميد عبدالله خميس الكندي </t>
  </si>
  <si>
    <t xml:space="preserve">نقيب طيار / ناصر ظافر دشن الاحبابي </t>
  </si>
  <si>
    <t xml:space="preserve">ملازم 1 / مطر احمد الكلباني </t>
  </si>
  <si>
    <t>ملازم 1 / حمد هلال خليفة الكتبي</t>
  </si>
  <si>
    <t>ملازم / مايد عبدالله الزيودي</t>
  </si>
  <si>
    <t>وكيل/1 - خالد عبدالله التميمي</t>
  </si>
  <si>
    <t>وكيل/1 - سعيد راشد عبيد السدراني</t>
  </si>
  <si>
    <t xml:space="preserve">وكيل/1 - سمير إبراهيم المازمي </t>
  </si>
  <si>
    <t>وكيل/1 - فايز سعيد صالح العامري</t>
  </si>
  <si>
    <t xml:space="preserve">وكيل/1 - فهد سبت النعيمي </t>
  </si>
  <si>
    <t xml:space="preserve">وكيل/1 - مرزوق سالم مرزوق الزحمي </t>
  </si>
  <si>
    <t>وكيل/1 - سيف سعيد سالم اليماحي</t>
  </si>
  <si>
    <t xml:space="preserve">وكيل/1 - فيصل علي الاميري </t>
  </si>
  <si>
    <t>وكيل/1 - داوود درويش محمد الشحي</t>
  </si>
  <si>
    <t>وكيل/1 - محمد عبدالله سالم الزيدي</t>
  </si>
  <si>
    <t xml:space="preserve">وكيل/1 - حمد حسن علي القايدي </t>
  </si>
  <si>
    <t xml:space="preserve">وكيل/1 - خالد محمد الشحي </t>
  </si>
  <si>
    <t xml:space="preserve">وكيل/1 - عبدالله سعيد الكلباني </t>
  </si>
  <si>
    <t>وكيل/1 - علي مسلم الكتبي</t>
  </si>
  <si>
    <t xml:space="preserve">وكيل/1 - عمر أحمد مختار </t>
  </si>
  <si>
    <t xml:space="preserve">وكيل/ احمد سالمين سالم الشنيني </t>
  </si>
  <si>
    <t xml:space="preserve">وكيل/ أحمد سعيد حمد الشامسي </t>
  </si>
  <si>
    <t>وكيل/ علي عبدالله الصريدي</t>
  </si>
  <si>
    <t>وكيل/ محمد عمر سالم الخنبشي</t>
  </si>
  <si>
    <t xml:space="preserve">وكيل/ وليد مرزوق مسعود العلوي </t>
  </si>
  <si>
    <t xml:space="preserve">وكيل/ علي محمد عبدالله النقبي </t>
  </si>
  <si>
    <t>وكيل/ فهد علي سليمان الشحي</t>
  </si>
  <si>
    <t>وكيل/ محمد حميد عبيد الزعابي</t>
  </si>
  <si>
    <t xml:space="preserve">وكيل/ محمد علي الحمادي </t>
  </si>
  <si>
    <t>رقيب/1 - حامد سعيد شماريخ</t>
  </si>
  <si>
    <t xml:space="preserve">رقيب/1 - علي حميد علي الكندي </t>
  </si>
  <si>
    <t>رقيب/1 - فايز عيسى عبدالله البلوشي</t>
  </si>
  <si>
    <t xml:space="preserve">رقيب/1 - محمد جمعة محمد المنصوري </t>
  </si>
  <si>
    <t>رقيب/1 - محمد يوسف احمد ال علي</t>
  </si>
  <si>
    <t xml:space="preserve">رقيب / حسن علي سلطان ال علي </t>
  </si>
  <si>
    <t xml:space="preserve">رقيب / عوض محمد الكثيري </t>
  </si>
  <si>
    <r>
      <t>ملاحظـــات:</t>
    </r>
    <r>
      <rPr>
        <sz val="12"/>
        <color rgb="FF000000"/>
        <rFont val="Arial"/>
        <family val="2"/>
      </rPr>
      <t xml:space="preserve"> 
1. تقييم مستوى الوحدة من خلال مراقبة الآداء أو طرح الأسئلة.
2. يعتبر هذا النموذج (سري للغاية) بعد إدخال علامات التقييم.
3. نموذج التقييم قابل للتطوير والتعديل.</t>
    </r>
  </si>
  <si>
    <t>مقدم ركن / عبدالرحمن محمد الطنيجي</t>
  </si>
  <si>
    <t xml:space="preserve">رائد / راشد ضاوي  راشد الطنيجي </t>
  </si>
  <si>
    <t>نقيب / حميد سعيد مسير الظاهري</t>
  </si>
  <si>
    <t>نقيب / يوسف محمد الفلاسي</t>
  </si>
  <si>
    <t>نقيب / سعيد راشد الظنحاني</t>
  </si>
  <si>
    <r>
      <rPr>
        <b/>
        <sz val="14"/>
        <color rgb="FF000000"/>
        <rFont val="Arial"/>
        <family val="2"/>
      </rPr>
      <t>تقييم فصيل الشرطة العسكرية في التنقل التعبوي من منطقة الحشد إلى منطقة التجمع الأمامية</t>
    </r>
    <r>
      <rPr>
        <b/>
        <u/>
        <sz val="14"/>
        <color rgb="FF000000"/>
        <rFont val="Arial"/>
        <family val="2"/>
      </rPr>
      <t xml:space="preserve">
تمرين جاهزية مجموعة لواء الإمارات/1 (جندي الصحراء 2025/20)</t>
    </r>
  </si>
  <si>
    <t>1.   وجود برقية إخطار الشرطة العسكرية بالتحرك صادر من الجهات المختصة.</t>
  </si>
  <si>
    <t>2.   التأكد من جاهزية الأفراد والآليات من حيث (عدد الأفراد / الآليات / التسليح / الاتصالات / اللباس / المعدات).</t>
  </si>
  <si>
    <t>3.   استطلاع طريق التنقل.</t>
  </si>
  <si>
    <t>4.   تحديد النقاط الحرجة .</t>
  </si>
  <si>
    <t>5.   وضع علامات الدلالة والإرشاد.</t>
  </si>
  <si>
    <t>6.   فتح نقاط الضبط والسيطرة مرورية.</t>
  </si>
  <si>
    <t>7.   الاشراف على سرعة الآليات والمسافة بين الاليات حسب ما هو وارد بأمر التنقل.</t>
  </si>
  <si>
    <t>8.   التأكد من تأسيس وادامة الاتصالات مع نقاط الضبط والسيطرة مرورية ومع المستوى الأعلى.</t>
  </si>
  <si>
    <t>9.   إعطاء إيجاز بالمهمة للطاقم المشارك في عملية التأمين مع توزيع المهام (فريق الكشف / فريق المقدمة / فريق المؤخرة).</t>
  </si>
  <si>
    <t>المقدم/ سلطان سعيد المزروعي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</si>
</sst>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C0000]d\ mmmm\ yyyy;@"/>
  </numFmts>
  <fonts count="13" x14ac:knownFonts="1">
    <font>
      <sz val="11"/>
      <color theme="1"/>
      <name val="Calibri"/>
      <family val="2"/>
      <scheme val="minor"/>
    </font>
    <font>
      <b/>
      <u/>
      <sz val="12"/>
      <color rgb="FF000000"/>
      <name val="Arial"/>
      <family val="2"/>
    </font>
    <font>
      <b/>
      <sz val="12"/>
      <color rgb="FF000000"/>
      <name val="Arial"/>
      <family val="2"/>
    </font>
    <font>
      <b/>
      <sz val="12"/>
      <color theme="1"/>
      <name val="Arial"/>
      <family val="2"/>
    </font>
    <font>
      <sz val="14"/>
      <color rgb="FF000000"/>
      <name val="Calibri"/>
      <family val="2"/>
      <scheme val="minor"/>
    </font>
    <font>
      <b/>
      <u/>
      <sz val="14"/>
      <color rgb="FF000000"/>
      <name val="Arial"/>
      <family val="2"/>
    </font>
    <font>
      <b/>
      <sz val="14"/>
      <color rgb="FF000000"/>
      <name val="Arial"/>
      <family val="2"/>
    </font>
    <font>
      <b/>
      <sz val="14"/>
      <color theme="1"/>
      <name val="Arial"/>
      <family val="2"/>
    </font>
    <font>
      <sz val="16"/>
      <color theme="1"/>
      <name val="Arial"/>
      <family val="2"/>
    </font>
    <font>
      <b/>
      <sz val="12"/>
      <color theme="1"/>
      <name val="Calibri"/>
      <family val="2"/>
      <scheme val="minor"/>
    </font>
    <font>
      <b/>
      <sz val="12"/>
      <name val="Arial"/>
      <family val="2"/>
    </font>
    <font>
      <b/>
      <sz val="12"/>
      <name val="Calibri"/>
      <family val="2"/>
      <scheme val="minor"/>
    </font>
    <font>
      <sz val="12"/>
      <color rgb="FF00000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FF"/>
        <bgColor indexed="64"/>
      </patternFill>
    </fill>
  </fills>
  <borders count="21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71">
    <xf numFmtId="0" fontId="0" fillId="0" borderId="0" xfId="0"/>
    <xf numFmtId="0" fontId="0" fillId="0" borderId="0" xfId="0" applyProtection="1">
      <protection locked="0"/>
    </xf>
    <xf numFmtId="0" fontId="4" fillId="0" borderId="2" xfId="0" applyFont="1" applyBorder="1" applyAlignment="1" applyProtection="1">
      <alignment horizontal="center" vertical="center" wrapText="1" readingOrder="2"/>
      <protection locked="0"/>
    </xf>
    <xf numFmtId="0" fontId="0" fillId="0" borderId="0" xfId="0" applyAlignment="1" applyProtection="1">
      <alignment horizontal="center"/>
      <protection locked="0"/>
    </xf>
    <xf numFmtId="0" fontId="2" fillId="2" borderId="0" xfId="0" applyFont="1" applyFill="1" applyBorder="1" applyAlignment="1" applyProtection="1">
      <alignment vertical="center" wrapText="1" readingOrder="2"/>
      <protection locked="0"/>
    </xf>
    <xf numFmtId="0" fontId="1" fillId="0" borderId="0" xfId="0" applyFont="1" applyBorder="1" applyAlignment="1" applyProtection="1">
      <alignment vertical="top" wrapText="1" readingOrder="2"/>
      <protection locked="0"/>
    </xf>
    <xf numFmtId="0" fontId="6" fillId="0" borderId="0" xfId="0" applyFont="1" applyAlignment="1" applyProtection="1">
      <alignment vertical="center" wrapText="1" readingOrder="2"/>
      <protection locked="0"/>
    </xf>
    <xf numFmtId="0" fontId="6" fillId="0" borderId="0" xfId="0" applyFont="1" applyAlignment="1" applyProtection="1">
      <alignment horizontal="right" vertical="center" wrapText="1" readingOrder="2"/>
      <protection locked="0"/>
    </xf>
    <xf numFmtId="0" fontId="2" fillId="0" borderId="11" xfId="0" applyFont="1" applyBorder="1" applyAlignment="1">
      <alignment horizontal="center" vertical="center" wrapText="1" readingOrder="1"/>
    </xf>
    <xf numFmtId="0" fontId="3" fillId="0" borderId="11" xfId="0" applyFont="1" applyBorder="1" applyAlignment="1" applyProtection="1">
      <alignment horizontal="center" vertical="center" wrapText="1" readingOrder="2"/>
      <protection locked="0"/>
    </xf>
    <xf numFmtId="9" fontId="3" fillId="0" borderId="11" xfId="0" applyNumberFormat="1" applyFont="1" applyBorder="1" applyAlignment="1">
      <alignment horizontal="center" vertical="center" wrapText="1" readingOrder="2"/>
    </xf>
    <xf numFmtId="0" fontId="2" fillId="0" borderId="9" xfId="0" applyFont="1" applyBorder="1" applyAlignment="1">
      <alignment horizontal="center" vertical="center" wrapText="1" readingOrder="2"/>
    </xf>
    <xf numFmtId="0" fontId="3" fillId="0" borderId="11" xfId="0" applyFont="1" applyBorder="1" applyAlignment="1" applyProtection="1">
      <alignment horizontal="center" vertical="center" wrapText="1" readingOrder="2"/>
      <protection locked="0"/>
    </xf>
    <xf numFmtId="0" fontId="3" fillId="2" borderId="0" xfId="0" applyFont="1" applyFill="1" applyBorder="1" applyAlignment="1" applyProtection="1">
      <alignment vertical="center" wrapText="1" readingOrder="2"/>
      <protection locked="0"/>
    </xf>
    <xf numFmtId="0" fontId="6" fillId="4" borderId="13" xfId="0" applyFont="1" applyFill="1" applyBorder="1" applyAlignment="1" applyProtection="1">
      <alignment horizontal="center" vertical="center" wrapText="1" readingOrder="2"/>
      <protection locked="0"/>
    </xf>
    <xf numFmtId="0" fontId="6" fillId="4" borderId="9" xfId="0" applyFont="1" applyFill="1" applyBorder="1" applyAlignment="1" applyProtection="1">
      <alignment horizontal="center" vertical="center" wrapText="1" readingOrder="2"/>
      <protection locked="0"/>
    </xf>
    <xf numFmtId="0" fontId="6" fillId="4" borderId="3" xfId="0" applyFont="1" applyFill="1" applyBorder="1" applyAlignment="1" applyProtection="1">
      <alignment vertical="center" wrapText="1" readingOrder="2"/>
      <protection locked="0"/>
    </xf>
    <xf numFmtId="164" fontId="4" fillId="0" borderId="2" xfId="0" applyNumberFormat="1" applyFont="1" applyBorder="1" applyAlignment="1" applyProtection="1">
      <alignment horizontal="center" vertical="center" wrapText="1" readingOrder="2"/>
      <protection locked="0"/>
    </xf>
    <xf numFmtId="164" fontId="4" fillId="0" borderId="0" xfId="0" applyNumberFormat="1" applyFont="1" applyBorder="1" applyAlignment="1" applyProtection="1">
      <alignment horizontal="center" vertical="center" wrapText="1" readingOrder="2"/>
      <protection locked="0"/>
    </xf>
    <xf numFmtId="164" fontId="4" fillId="3" borderId="0" xfId="0" applyNumberFormat="1" applyFont="1" applyFill="1" applyBorder="1" applyAlignment="1" applyProtection="1">
      <alignment horizontal="center" vertical="center" wrapText="1" readingOrder="2"/>
      <protection locked="0"/>
    </xf>
    <xf numFmtId="0" fontId="0" fillId="3" borderId="0" xfId="0" applyFill="1" applyProtection="1">
      <protection locked="0"/>
    </xf>
    <xf numFmtId="0" fontId="0" fillId="3" borderId="0" xfId="0" applyFill="1"/>
    <xf numFmtId="0" fontId="4" fillId="0" borderId="0" xfId="0" applyFont="1" applyBorder="1" applyAlignment="1" applyProtection="1">
      <alignment horizontal="center" vertical="center" wrapText="1" readingOrder="2"/>
      <protection locked="0"/>
    </xf>
    <xf numFmtId="0" fontId="3" fillId="0" borderId="11" xfId="0" applyFont="1" applyBorder="1" applyAlignment="1" applyProtection="1">
      <alignment horizontal="center" vertical="center" wrapText="1" readingOrder="2"/>
      <protection locked="0"/>
    </xf>
    <xf numFmtId="0" fontId="8" fillId="0" borderId="3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9" fillId="0" borderId="19" xfId="0" applyFont="1" applyBorder="1" applyAlignment="1">
      <alignment horizontal="center" vertical="center"/>
    </xf>
    <xf numFmtId="0" fontId="10" fillId="0" borderId="3" xfId="0" applyFont="1" applyFill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2" fillId="5" borderId="4" xfId="0" applyFont="1" applyFill="1" applyBorder="1" applyAlignment="1">
      <alignment horizontal="center" vertical="center" wrapText="1" readingOrder="2"/>
    </xf>
    <xf numFmtId="0" fontId="2" fillId="5" borderId="3" xfId="0" applyFont="1" applyFill="1" applyBorder="1" applyAlignment="1">
      <alignment horizontal="center" vertical="center" wrapText="1" readingOrder="2"/>
    </xf>
    <xf numFmtId="0" fontId="2" fillId="5" borderId="13" xfId="0" applyFont="1" applyFill="1" applyBorder="1" applyAlignment="1">
      <alignment horizontal="center" vertical="center" wrapText="1" readingOrder="2"/>
    </xf>
    <xf numFmtId="0" fontId="12" fillId="5" borderId="3" xfId="0" applyFont="1" applyFill="1" applyBorder="1" applyAlignment="1">
      <alignment horizontal="right" vertical="center" wrapText="1" indent="1" readingOrder="2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3" fillId="0" borderId="7" xfId="0" applyFont="1" applyBorder="1" applyAlignment="1" applyProtection="1">
      <alignment horizontal="center" vertical="center" wrapText="1" readingOrder="2"/>
      <protection locked="0"/>
    </xf>
    <xf numFmtId="0" fontId="12" fillId="5" borderId="13" xfId="0" applyFont="1" applyFill="1" applyBorder="1" applyAlignment="1">
      <alignment horizontal="right" vertical="center" wrapText="1" indent="1" readingOrder="2"/>
    </xf>
    <xf numFmtId="0" fontId="7" fillId="4" borderId="8" xfId="0" applyFont="1" applyFill="1" applyBorder="1" applyAlignment="1" applyProtection="1">
      <alignment horizontal="center" vertical="center" wrapText="1" readingOrder="2"/>
      <protection locked="0"/>
    </xf>
    <xf numFmtId="0" fontId="7" fillId="4" borderId="9" xfId="0" applyFont="1" applyFill="1" applyBorder="1" applyAlignment="1" applyProtection="1">
      <alignment horizontal="center" vertical="center" wrapText="1" readingOrder="2"/>
      <protection locked="0"/>
    </xf>
    <xf numFmtId="0" fontId="6" fillId="4" borderId="4" xfId="0" applyFont="1" applyFill="1" applyBorder="1" applyAlignment="1" applyProtection="1">
      <alignment horizontal="center" vertical="center" wrapText="1" readingOrder="2"/>
      <protection locked="0"/>
    </xf>
    <xf numFmtId="0" fontId="6" fillId="4" borderId="6" xfId="0" applyFont="1" applyFill="1" applyBorder="1" applyAlignment="1" applyProtection="1">
      <alignment horizontal="center" vertical="center" wrapText="1" readingOrder="2"/>
      <protection locked="0"/>
    </xf>
    <xf numFmtId="0" fontId="6" fillId="4" borderId="13" xfId="0" applyFont="1" applyFill="1" applyBorder="1" applyAlignment="1" applyProtection="1">
      <alignment horizontal="center" vertical="center" wrapText="1" readingOrder="2"/>
      <protection locked="0"/>
    </xf>
    <xf numFmtId="0" fontId="6" fillId="4" borderId="14" xfId="0" applyFont="1" applyFill="1" applyBorder="1" applyAlignment="1" applyProtection="1">
      <alignment horizontal="center" vertical="center" wrapText="1" readingOrder="2"/>
      <protection locked="0"/>
    </xf>
    <xf numFmtId="0" fontId="6" fillId="4" borderId="9" xfId="0" applyFont="1" applyFill="1" applyBorder="1" applyAlignment="1" applyProtection="1">
      <alignment horizontal="center" vertical="center" wrapText="1" readingOrder="2"/>
      <protection locked="0"/>
    </xf>
    <xf numFmtId="0" fontId="6" fillId="4" borderId="10" xfId="0" applyFont="1" applyFill="1" applyBorder="1" applyAlignment="1" applyProtection="1">
      <alignment horizontal="center" vertical="center" wrapText="1" readingOrder="2"/>
      <protection locked="0"/>
    </xf>
    <xf numFmtId="0" fontId="3" fillId="0" borderId="11" xfId="0" applyFont="1" applyBorder="1" applyAlignment="1" applyProtection="1">
      <alignment horizontal="center" vertical="center" wrapText="1" readingOrder="2"/>
      <protection locked="0"/>
    </xf>
    <xf numFmtId="0" fontId="3" fillId="0" borderId="15" xfId="0" applyFont="1" applyBorder="1" applyAlignment="1" applyProtection="1">
      <alignment horizontal="center" vertical="center" wrapText="1" readingOrder="2"/>
      <protection locked="0"/>
    </xf>
    <xf numFmtId="0" fontId="12" fillId="5" borderId="4" xfId="0" applyFont="1" applyFill="1" applyBorder="1" applyAlignment="1">
      <alignment horizontal="right" vertical="center" wrapText="1" indent="1" readingOrder="2"/>
    </xf>
    <xf numFmtId="49" fontId="5" fillId="0" borderId="0" xfId="0" applyNumberFormat="1" applyFont="1" applyAlignment="1" applyProtection="1">
      <alignment horizontal="center" vertical="top" wrapText="1" readingOrder="2"/>
      <protection locked="0"/>
    </xf>
    <xf numFmtId="164" fontId="6" fillId="0" borderId="3" xfId="0" applyNumberFormat="1" applyFont="1" applyBorder="1" applyAlignment="1" applyProtection="1">
      <alignment horizontal="right" vertical="center" wrapText="1" readingOrder="2"/>
      <protection locked="0"/>
    </xf>
    <xf numFmtId="0" fontId="7" fillId="4" borderId="5" xfId="0" applyFont="1" applyFill="1" applyBorder="1" applyAlignment="1" applyProtection="1">
      <alignment horizontal="center" vertical="center" wrapText="1" readingOrder="2"/>
      <protection locked="0"/>
    </xf>
    <xf numFmtId="0" fontId="7" fillId="4" borderId="4" xfId="0" applyFont="1" applyFill="1" applyBorder="1" applyAlignment="1" applyProtection="1">
      <alignment horizontal="center" vertical="center" wrapText="1" readingOrder="2"/>
      <protection locked="0"/>
    </xf>
    <xf numFmtId="0" fontId="7" fillId="4" borderId="12" xfId="0" applyFont="1" applyFill="1" applyBorder="1" applyAlignment="1" applyProtection="1">
      <alignment horizontal="center" vertical="center" wrapText="1" readingOrder="2"/>
      <protection locked="0"/>
    </xf>
    <xf numFmtId="0" fontId="7" fillId="4" borderId="13" xfId="0" applyFont="1" applyFill="1" applyBorder="1" applyAlignment="1" applyProtection="1">
      <alignment horizontal="center" vertical="center" wrapText="1" readingOrder="2"/>
      <protection locked="0"/>
    </xf>
    <xf numFmtId="0" fontId="6" fillId="0" borderId="3" xfId="0" applyFont="1" applyBorder="1" applyAlignment="1" applyProtection="1">
      <alignment horizontal="right" vertical="center" wrapText="1" readingOrder="2"/>
      <protection locked="0"/>
    </xf>
    <xf numFmtId="0" fontId="6" fillId="0" borderId="1" xfId="0" applyFont="1" applyBorder="1" applyAlignment="1" applyProtection="1">
      <alignment horizontal="left" vertical="center" wrapText="1" readingOrder="2"/>
      <protection locked="0"/>
    </xf>
    <xf numFmtId="0" fontId="6" fillId="0" borderId="0" xfId="0" applyFont="1" applyAlignment="1" applyProtection="1">
      <alignment horizontal="left" vertical="center" wrapText="1" readingOrder="2"/>
      <protection locked="0"/>
    </xf>
    <xf numFmtId="0" fontId="2" fillId="0" borderId="16" xfId="0" applyFont="1" applyBorder="1" applyAlignment="1">
      <alignment horizontal="center" vertical="center" wrapText="1" readingOrder="2"/>
    </xf>
    <xf numFmtId="0" fontId="2" fillId="0" borderId="17" xfId="0" applyFont="1" applyBorder="1" applyAlignment="1">
      <alignment horizontal="center" vertical="center" wrapText="1" readingOrder="2"/>
    </xf>
    <xf numFmtId="0" fontId="2" fillId="0" borderId="18" xfId="0" applyFont="1" applyBorder="1" applyAlignment="1">
      <alignment horizontal="center" vertical="center" wrapText="1" readingOrder="2"/>
    </xf>
    <xf numFmtId="0" fontId="1" fillId="0" borderId="1" xfId="0" applyFont="1" applyBorder="1" applyAlignment="1" applyProtection="1">
      <alignment vertical="top" wrapText="1" readingOrder="2"/>
      <protection locked="0"/>
    </xf>
    <xf numFmtId="0" fontId="1" fillId="0" borderId="0" xfId="0" applyFont="1" applyBorder="1" applyAlignment="1" applyProtection="1">
      <alignment vertical="top" wrapText="1" readingOrder="2"/>
      <protection locked="0"/>
    </xf>
    <xf numFmtId="0" fontId="6" fillId="0" borderId="0" xfId="0" applyFont="1" applyBorder="1" applyAlignment="1" applyProtection="1">
      <alignment horizontal="right" vertical="center" wrapText="1" readingOrder="2"/>
      <protection locked="0"/>
    </xf>
    <xf numFmtId="0" fontId="6" fillId="0" borderId="0" xfId="0" applyFont="1" applyAlignment="1" applyProtection="1">
      <alignment horizontal="center" vertical="center" wrapText="1" readingOrder="2"/>
      <protection locked="0"/>
    </xf>
    <xf numFmtId="0" fontId="2" fillId="0" borderId="9" xfId="0" applyFont="1" applyBorder="1" applyAlignment="1">
      <alignment horizontal="center" vertical="center" wrapText="1" readingOrder="1"/>
    </xf>
    <xf numFmtId="0" fontId="2" fillId="0" borderId="10" xfId="0" applyFont="1" applyBorder="1" applyAlignment="1">
      <alignment horizontal="center" vertical="center" wrapText="1" readingOrder="1"/>
    </xf>
    <xf numFmtId="10" fontId="2" fillId="0" borderId="9" xfId="0" applyNumberFormat="1" applyFont="1" applyBorder="1" applyAlignment="1">
      <alignment horizontal="center" vertical="center" wrapText="1" readingOrder="2"/>
    </xf>
    <xf numFmtId="10" fontId="2" fillId="0" borderId="10" xfId="0" applyNumberFormat="1" applyFont="1" applyBorder="1" applyAlignment="1">
      <alignment horizontal="center" vertical="center" wrapText="1" readingOrder="2"/>
    </xf>
    <xf numFmtId="0" fontId="6" fillId="4" borderId="8" xfId="0" applyFont="1" applyFill="1" applyBorder="1" applyAlignment="1" applyProtection="1">
      <alignment horizontal="center" vertical="center" wrapText="1" readingOrder="2"/>
      <protection locked="0"/>
    </xf>
    <xf numFmtId="0" fontId="6" fillId="0" borderId="20" xfId="0" applyFont="1" applyBorder="1" applyAlignment="1" applyProtection="1">
      <alignment horizontal="center" vertical="center" wrapText="1" readingOrder="2"/>
      <protection locked="0"/>
    </xf>
  </cellXfs>
  <cellStyles count="1">
    <cellStyle name="Normal" xfId="0" builtinId="0"/>
  </cellStyles>
  <dxfs count="17"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theme="8"/>
        </patternFill>
      </fill>
    </dxf>
    <dxf>
      <font>
        <b/>
        <i val="0"/>
        <color theme="0"/>
      </font>
      <fill>
        <patternFill>
          <bgColor rgb="FF339933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9933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colors>
    <mruColors>
      <color rgb="FFFF9933"/>
      <color rgb="FF00CC00"/>
      <color rgb="FF339933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4.png"/><Relationship Id="rId3" Type="http://schemas.openxmlformats.org/officeDocument/2006/relationships/customXml" Target="../ink/ink2.xml"/><Relationship Id="rId7" Type="http://schemas.openxmlformats.org/officeDocument/2006/relationships/customXml" Target="../ink/ink4.xml"/><Relationship Id="rId2" Type="http://schemas.openxmlformats.org/officeDocument/2006/relationships/image" Target="../media/image1.png"/><Relationship Id="rId1" Type="http://schemas.openxmlformats.org/officeDocument/2006/relationships/customXml" Target="../ink/ink1.xml"/><Relationship Id="rId6" Type="http://schemas.openxmlformats.org/officeDocument/2006/relationships/image" Target="../media/image3.png"/><Relationship Id="rId5" Type="http://schemas.openxmlformats.org/officeDocument/2006/relationships/customXml" Target="../ink/ink3.xml"/><Relationship Id="rId4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389985</xdr:colOff>
      <xdr:row>20</xdr:row>
      <xdr:rowOff>210748</xdr:rowOff>
    </xdr:from>
    <xdr:to>
      <xdr:col>7</xdr:col>
      <xdr:colOff>633695</xdr:colOff>
      <xdr:row>20</xdr:row>
      <xdr:rowOff>483268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2" name="Ink 1">
              <a:extLst>
                <a:ext uri="{FF2B5EF4-FFF2-40B4-BE49-F238E27FC236}">
                  <a16:creationId xmlns:a16="http://schemas.microsoft.com/office/drawing/2014/main" id="{68DAA8ED-26CF-B684-98B1-9E18F0CBA732}"/>
                </a:ext>
              </a:extLst>
            </xdr14:cNvPr>
            <xdr14:cNvContentPartPr/>
          </xdr14:nvContentPartPr>
          <xdr14:nvPr macro=""/>
          <xdr14:xfrm>
            <a:off x="10399269305" y="9123840"/>
            <a:ext cx="901800" cy="27252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68DAA8ED-26CF-B684-98B1-9E18F0CBA732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0399260305" y="9114840"/>
              <a:ext cx="919440" cy="2901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369455</xdr:colOff>
      <xdr:row>20</xdr:row>
      <xdr:rowOff>84028</xdr:rowOff>
    </xdr:from>
    <xdr:to>
      <xdr:col>7</xdr:col>
      <xdr:colOff>459815</xdr:colOff>
      <xdr:row>20</xdr:row>
      <xdr:rowOff>270148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">
          <xdr14:nvContentPartPr>
            <xdr14:cNvPr id="3" name="Ink 2">
              <a:extLst>
                <a:ext uri="{FF2B5EF4-FFF2-40B4-BE49-F238E27FC236}">
                  <a16:creationId xmlns:a16="http://schemas.microsoft.com/office/drawing/2014/main" id="{73F930C7-669B-170E-3DA2-A9B083240250}"/>
                </a:ext>
              </a:extLst>
            </xdr14:cNvPr>
            <xdr14:cNvContentPartPr/>
          </xdr14:nvContentPartPr>
          <xdr14:nvPr macro=""/>
          <xdr14:xfrm>
            <a:off x="10399443185" y="8997120"/>
            <a:ext cx="90360" cy="186120"/>
          </xdr14:xfrm>
        </xdr:contentPart>
      </mc:Choice>
      <mc:Fallback xmlns="">
        <xdr:pic>
          <xdr:nvPicPr>
            <xdr:cNvPr id="3" name="Ink 2">
              <a:extLst>
                <a:ext uri="{FF2B5EF4-FFF2-40B4-BE49-F238E27FC236}">
                  <a16:creationId xmlns:a16="http://schemas.microsoft.com/office/drawing/2014/main" id="{73F930C7-669B-170E-3DA2-A9B083240250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10399434545" y="8988480"/>
              <a:ext cx="108000" cy="2037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441815</xdr:colOff>
      <xdr:row>20</xdr:row>
      <xdr:rowOff>36508</xdr:rowOff>
    </xdr:from>
    <xdr:to>
      <xdr:col>8</xdr:col>
      <xdr:colOff>24924</xdr:colOff>
      <xdr:row>20</xdr:row>
      <xdr:rowOff>404428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">
          <xdr14:nvContentPartPr>
            <xdr14:cNvPr id="4" name="Ink 3">
              <a:extLst>
                <a:ext uri="{FF2B5EF4-FFF2-40B4-BE49-F238E27FC236}">
                  <a16:creationId xmlns:a16="http://schemas.microsoft.com/office/drawing/2014/main" id="{E75F1A08-E5E6-95D8-4C74-EB1A6B7BE6B6}"/>
                </a:ext>
              </a:extLst>
            </xdr14:cNvPr>
            <xdr14:cNvContentPartPr/>
          </xdr14:nvContentPartPr>
          <xdr14:nvPr macro=""/>
          <xdr14:xfrm>
            <a:off x="10399219985" y="8949600"/>
            <a:ext cx="241200" cy="367920"/>
          </xdr14:xfrm>
        </xdr:contentPart>
      </mc:Choice>
      <mc:Fallback xmlns="">
        <xdr:pic>
          <xdr:nvPicPr>
            <xdr:cNvPr id="4" name="Ink 3">
              <a:extLst>
                <a:ext uri="{FF2B5EF4-FFF2-40B4-BE49-F238E27FC236}">
                  <a16:creationId xmlns:a16="http://schemas.microsoft.com/office/drawing/2014/main" id="{E75F1A08-E5E6-95D8-4C74-EB1A6B7BE6B6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10399210985" y="8940960"/>
              <a:ext cx="258840" cy="3855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292785</xdr:colOff>
      <xdr:row>19</xdr:row>
      <xdr:rowOff>480120</xdr:rowOff>
    </xdr:from>
    <xdr:to>
      <xdr:col>9</xdr:col>
      <xdr:colOff>227594</xdr:colOff>
      <xdr:row>20</xdr:row>
      <xdr:rowOff>488308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">
          <xdr14:nvContentPartPr>
            <xdr14:cNvPr id="5" name="Ink 4">
              <a:extLst>
                <a:ext uri="{FF2B5EF4-FFF2-40B4-BE49-F238E27FC236}">
                  <a16:creationId xmlns:a16="http://schemas.microsoft.com/office/drawing/2014/main" id="{13892AFE-2BA9-4504-EE33-C456661C20BC}"/>
                </a:ext>
              </a:extLst>
            </xdr14:cNvPr>
            <xdr14:cNvContentPartPr/>
          </xdr14:nvContentPartPr>
          <xdr14:nvPr macro=""/>
          <xdr14:xfrm>
            <a:off x="10398359225" y="8862120"/>
            <a:ext cx="1909080" cy="539280"/>
          </xdr14:xfrm>
        </xdr:contentPart>
      </mc:Choice>
      <mc:Fallback xmlns="">
        <xdr:pic>
          <xdr:nvPicPr>
            <xdr:cNvPr id="5" name="Ink 4">
              <a:extLst>
                <a:ext uri="{FF2B5EF4-FFF2-40B4-BE49-F238E27FC236}">
                  <a16:creationId xmlns:a16="http://schemas.microsoft.com/office/drawing/2014/main" id="{13892AFE-2BA9-4504-EE33-C456661C20BC}"/>
                </a:ext>
              </a:extLst>
            </xdr:cNvPr>
            <xdr:cNvPicPr/>
          </xdr:nvPicPr>
          <xdr:blipFill>
            <a:blip xmlns:r="http://schemas.openxmlformats.org/officeDocument/2006/relationships" r:embed="rId8"/>
            <a:stretch>
              <a:fillRect/>
            </a:stretch>
          </xdr:blipFill>
          <xdr:spPr>
            <a:xfrm>
              <a:off x="10398350225" y="8853480"/>
              <a:ext cx="1926720" cy="55692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22T16:55:14.331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2451 131 7809,'0'0'0,"0"0"0,0 0 1144,-2 3-904,-3-3-216,0 3-72,5-3 48,0 2-64,0-2-8,0 0 32,0 3-32,0-3 72,0 0-104,0 3 16,0 0 16,0 0 56,0-3 16,-2 0 8,2 3 96,0-3 64,0 0 56,0 0-224,0 2 273,0-2-1,0 3-112,0 0-24,0-3-136,0 0 152,0 4-80,2 1 40,3 7-24,-5-12-88,0 5 88,3 10 16,-1-3 0,-2-1 8,0-11-112,0 14 104,2 1 40,-2 0 16,0 4-24,0-19-136,0 18 96,0 2-24,0 0-8,0 0-32,0-20-32,-2 20 64,-3 0-40,0-2 16,5 2 8,0-20-48,-4 16 40,1 1 8,-1 0 8,2-2-16,2-15-40,-7 17 56,-5-2 32,9-3 0,-9 0 40,12-12-128,-7 4 184,-9 10-24,14-11 24,-17 9-24,19-12-160,-14 2 184,-3 3 0,0-1-16,2 0 24,15-4-192,-20 4 176,6 1-39,-4-2-1,1-1 0,17-2-136,-15 0 128,0 0 56,0 0 24,1-1 24,14 1-232,-11-3 224,-1-1 40,0-2 72,4-7 8,8 13-344,-9-11 376,3-2-96,-4-2-120,8-4-24,2 19-136,-12-21 120,9-2 40,-2 0-32,1 1-24,4 22-104,-3-22 88,-1 1-40,4 1 8,-2 2-24,2 18-32,0-19 16,0 3-8,0 2 64,0 0-8,0 14-64,2-13-16,2 0 16,-4 2-32,3 7 160,-3 4-128,2-12 40,-2 10-32,2-1-16,-2 0-176,0 3 184,0-2-32,5 1 8,-5 1-56,0 0-104,0 0 184,0 0-240,0 0-80,0 0 0,0 0 8,0 0 1504,0 3-2600,0 1 1240,0 0 72,0 8 184,0-12-88,3 4-32,-3 9-24,0-9 0,0 13-48,0-17 104,0 12-56,-3 0 48,-2 1-24,1 0-48,4-13 80,-12 13-64,10 2 64,-3 1-56,-7 1 40,12-17 16,-5 16-8,1 1 0,-6-2 16,4 1-40,6-16 32,-12 16 0,7-2-48,-12 0 8,12 0 64,5-14-24,-11 13 0,-1-2 32,7-6-24,-11 9-32,16-14 24,-11 3-40,8 1 16,-11-1 24,7 0 56,7-3-56,-15 3 56,14-3 24,-11 0-32,7 0 32,5 0-80,-5 0 160,3-2 48,-1-2 56,-2-2 32,5 6-296,-4-13 320,1 2-24,1-3-16,-1-3-80,3 17-200,-2-17 120,2-3-72,0 1 24,-1 1-64,1 18-8,0-19-48,0 1 40,0-1-88,0 2 40,0 17 56,0-17-16,1 2 16,-1 3 16,2 7-16,-2 5 0,0-12 0,3 9-16,-3-1-8,5 1-32,-5 3 56,0-1-56,0-1-80,0 2 48,0 0-112,0 0 200,0 0-280,0 0 8,0 0-16,0 0 80,0 0 1256,0 5-2288,2-2 1072,-2-1 8,2 1 8,-2-3 152,0 4-128,0 1 72,0 9-56,0-11 80,0-3 32,0 15 8,-2-2-80,0 0 56,-3 3 40,5-16-24,-5 15-56,-6 1 40,9 0-8,-3-1-136,5-15 160,-17 13-96,14 1-32,-5-2 0,3-8 0,5-4 128,-14 14-120,9-11 16,-7 8-57,5-11 89,7 0 72,-11 5-104,6-3 48,-7-2 56,4 0 0,8 0 0,-13 0 96,11 0 0,-10 0 81,7-4-81,5 4-96,-12-6 168,7-8 16,-6 9-32,9-10 144,2 15-296,-3-12 296,-2-3 0,3-2 88,0-1-128,2 18-256,-5-23 168,-3 0 72,6-2-56,0-5 56,2 30-240,-3-30 280,1-3-160,2-1-64,0-1 72,0 35-128,0-33 24,5 2 8,-5 2 16,2 4-128,-2 25 80,2-23 8,1 3 128,2 4-128,-3 4 40,-2 12-48,0-5 8,0-6-88,3 10 96,-3-1-80,0 2 64,0 0-176,0 0 40,0 0-184,2 0-72,-2 0 392,0 3-360,2 1-56,-2 9 192,0 0 88,0-13 136,5 17-32,-5 4 8,0 2 8,3 3 16,-3-26 0,0 28-72,0 2 40,0 0-24,-3-1 8,3-29 48,0 30 16,-2 3-16,-1-2-96,-1 1 64,4-32 32,-3 32-56,-4 0 48,-5-1-24,9-1 16,3-30 16,-13 31-40,6-3 40,-8-2 32,3-2-24,12-24-8,-11 23 80,-6-3-40,1 0 64,0-3-64,16-17-40,-19 14 32,-1-1-72,-3-2 144,4-7-80,19-4-24,-23 16 48,-1-13 80,-4 1-96,3 8 208,25-12-240,-29 0 200,6 2 56,-1-2 64,-2 0-56,26 0-264,-26-1 232,-5-3-56,4-2-72,-2-5-32,29 11-72,-28-6 96,-1-8 8,-1 2-104,-3 1 72,33 11-72,-24-13 112,-4-1-120,9 1 128,-2-1-88,21 14-32,-19-14-8,1 1 56,-4 0 32,5-3 56,17 16-136,-18-14 152,4-1-56,4-1-48,-3 0-32,13 16-16,-5-14-16,-12-1 89,5-3-97,9 3-9,3 15 33,-3-17-24,-2 0 0,5 0-96,2 0 56,-2 17 64,4-17-96,-2-2-56,11 1 104,-11-1 0,-2 19 48,19-18-96,-5-1 32,0 5 40,3 0-8,-17 14 32,13-12-96,2 7 72,-1-8 16,2 9-56,-16 4 64,17-5-8,0 1-88,-2 0 24,0 2-144,-15 2 216,12 0-208,0 0-40,-10 5-32,19 9 176,-21-14 104,12 4-192,0 12 88,-1-3-40,-11-1 8,0-12 136,12 12-64,-9 1-80,4-1 40,-5 0-16,-2-12 120,3 12-64,-3 0 32,0-1 8,0 1 40,0-12-16,-3 11-16,1 2 16,-5 1 64,-8-1-40,15-13-24,-2 13 0,-14-1 48,4 0-88,0-1 120,12-11-80,-14 11 136,0-6 8,-3 9 136,-1-11-40,18-3-240,-22 13 160,3-11 128,1 3-120,-9-1 32,27-4-200,-23 4 208,-3 8-64,-2-12 64,2 4-56,26-4-152,-28 3 272,-3 0-160,3-1-32,-3 1-40,31-3-40,-32 0-48,1 0 72,0 0 120,3 0-120,28 0-24,-33 0 32,2-1-40,3-1-88,-4 0 128,32 2-32,-24-3 24,-2-2 24,2 3-104,3-1 40,21 3 16,-24-3-24,1 0-56,2 2 8,0-1-136,21 2 208,-19-1-344,0 1-136,3 0-192,-6 0-176,22 0 848,-16 0-1064,-1 3-321,3-1-335,0 1-352,14-3 2072,-9 0-2409,4-1 89,-5-1-1585,10 2 3905</inkml:trace>
</inkml:ink>
</file>

<file path=xl/ink/ink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22T16:55:14.654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1 2 11690,'0'0'0,"0"-1"1984,0 1-1872,0 0-112,0 0-224,2 4 16,3 10 128,0-1 72,-5-13 8,2 16 40,3 4 32,0 3-24,7 2 16,-12-25-64,2 26 40,13-2 0,-3 3 0,2-2 56,-14-25-96,17 27 128,-5 0-48,5 1 49,-5-1-81,-12-27-48,14 27 24,1 0 8,-1-3-64,-11 0 0,-3-24 32,17 21-65,-5-4-87,0 2-400,-3-4-1024,-9-15 1576,15 12-3249,-13-8-3080,-2-4 6329</inkml:trace>
</inkml:ink>
</file>

<file path=xl/ink/ink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22T16:55:15.411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616 944 3088,'0'0'0,"0"0"1224,-5 0-1160,5 0-64,-4 0-56,0 3 24,0 0 16,-6 0 40,10-3-24,-4 3 8,-7-3-32,9 2 48,-12 1 96,14-3-120,-6 0 184,-7 3 97,-1 0 87,-1-3-32,15 0-336,-15 3 232,-4 0-96,2 1-104,-3 0-56,20-4 24,-22 12 24,-1-10 16,1 1 96,-2 2 96,24-5-232,-24 4 360,1 0 104,1-1 40,0 0-24,22-3-480,-24 3 392,4-3-40,2 2-16,-2-2 9,20 0-345,-18 0 432,3-1 64,-1-2 88,3-1 32,13 4-616,-15-11 624,2 6-48,2-6-24,0 5-15,11 6-537,-5-15 576,-9 3 56,6-1 0,3-4-48,5 17-584,-11-17 536,9-3-32,0-4-88,-3 0-64,5 24-352,-4-28 264,2-1-112,2-1-39,-2-2-57,2 32-56,-3-34 88,3-3-40,0-3 0,3-3 0,-3 43-48,11-43 0,-9-3 40,11-1-8,-11-1 8,-2 48-40,16-46 48,-11 2 0,6 3-24,-7 4 8,-4 37-32,13-36 48,-11 7-40,1-1 32,-1 6-16,-2 24-24,2-23-16,-2 4 16,0 5-8,0 1-32,0 13 40,0-5-72,0-7-24,-2 11-136,0-3-233,2 4 465,-3-2-736,-1 1-464,0 1-408,1 3-473,3-3 2081,-7 12-2888,6-12-2217,-18 25 864,19-25 4241</inkml:trace>
</inkml:ink>
</file>

<file path=xl/ink/ink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22T16:55:17.328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1869 1181 14451,'0'0'0,"3"0"224,-3 0-224,16 0-264,-7 0-8,3 0 23,-12 0 177,0 0 72,2 0-32,3 0-144,-2 4-48,-1-4-8,-2 0 232,4 3-240,-2 0 8,1 0 0,-1 1-8,-2-4 240,0 14-216,0-1 80,2 4 112,-2 4 8,0-21 16,0 24 32,-2 2 16,0 0-8,-12-2-32,14-24-8,-5 24 96,1-2 64,-1-3 80,-6-2 208,11-17-448,-5 13 456,-7-2 32,7 0-7,-8-6-41,13-5-440,-8 14 472,-4-11 56,1 0 112,-1-3 96,12 0-736,-12 0 696,-3 0-88,-5-5-183,4-7-193,16 12-232,-19-15 296,-4-2-40,3-1 80,0-4 16,20 22-352,-23-23 224,5-1-16,-1-1-80,-2 0-120,21 25-8,-18-29 144,1-1-248,-1-1 104,6 0-48,12 31 48,-17-34-88,1 3 112,4 0-240,-1-2-80,13 33 296,-5-30-584,-10 3-280,11 2-409,-7 2-711,11 23 1984,-5-18-2921,-2-1-1048,4 4-2624,3 15 6593</inkml:trace>
  <inkml:trace contextRef="#ctx0" brushRef="#br0" timeOffset="1">1793 652 22412,'0'0'0,"16"-4"856,-2-1-928,-1 4-88,-13 1 160,12 0-96,-4 0 72,-4 3-16,-4-3 56,0 0-16,0 3-272,0-3-224,0 0-80,-4 2-224,4-2 800,-12 0-1080,-3 3-209,2 0-423,-2 0-424,15-3 2136,-15 3-2921,3-3-768,-2 0-2368,14 0 6057</inkml:trace>
  <inkml:trace contextRef="#ctx0" brushRef="#br0" timeOffset="2">640 1253 10698,'0'0'0,"-16"0"960,1 0-1176,-5 3-216,20-3 432,-20 4-472,5 1 72,0-2 48,2-1 80,13-2 272,-12 3-201,-4-3 57,1 0 56,6 0 48,9 0 40,-14 0-16,0 0 32,3 0-32,-4 0 16,15 0 0,-12 0 16,8 0-32,-10 0 16,9 0 8,5 0-8,-12 0 16,9 0-24,-10-1 8,11 1-8,2 0 8,-12-2-48,1 2 32,-1 0 24,0 0-16,12 0 8,-13 0 32,-4 0-56,1 0-8,-1 3 0,17-3 32,-21 3-16,6 0 8,-2 1-40,-4 0 40,21-4 8,-5 3 80,-12 0 8,6-3 16,-5 3-40,16-3-64,-16 3-32,-1 0 0,3 0 24,-2-1 24,16-2-16,-16 3 16,1-3 40,6 0 40,6 3 65,3-3-161,-6 0 296,1 0 16,3 0 0,-1 0-72,3 0-240,0 0 128,0 0-32,5 0-40,6 0 72,-11 0-128,3 0 232,18 0-24,-10 0-8,16 0-136,-27 0-64,44-1 24,5-4-16,4 3 48,-6 0 24,-47 2-80,49-3 96,9 2 24,1-3 48,10-1 88,-69 5-256,83-4 248,-2 0 88,12 0 56,1-1-24,-94 5-368,104-4 329,4-2 15,6-5-88,3 8 64,-117 3-320,124-4 400,-1 0-104,5-2-64,3 0-24,-131 6-208,136-4 88,-1 0 80,5-1 40,-5 1 0,-135 4-208,138-4 208,0 2-16,-3 1-112,0 0 88,-135 1-168,138-2 160,-3 2-64,-4 0-56,0 0-8,-131 0-32,128 0 24,-7 0-16,0 0 104,-6 0-128,-115 0 16,111 3-96,-5-3 88,-3 0 0,-8 0 16,-95 0-8,91 0 8,-6 0 16,-4 0 0,1 0 0,-82 0-24,69 0 88,-1 0-104,-8 0-32,-5 0 40,-55 0 8,51 0 0,-4 0-16,-12 0 16,-5 0-72,-30 0 72,21 0-16,-2 0-24,-8 0 40,-9 0-128,-2 0 128,3-1-16,-3-1-8,0 1-112,-3 1 80,3 0 56,-12-2-304,-1 0-24,-2-1 64,-5-2 40,20 5 224,-30-2-128,-3 0 56,-5-2 48,-1 1 24,39 3 0,-38-1 0,-6-2 8,-3 2 8,1-2-64,46 3 48,-52-3-8,-1 0 16,-3-1-72,-4 0-8,60 4 72,-62-5-8,-3 1 8,-1-2 56,2 1 88,64 5-144,-73-6 24,-2-5 16,1 6 0,-5-6-32,79 11-8,-80-4 56,-4-9-104,0 9 32,-2-9 24,86 13-8,-86-11 0,1-1 0,-1-1 0,7 2-88,79 11 88,-79-11 8,-1-1 40,6 0-16,1-1 16,73 13-48,-72-15 0,6-1-40,1-1 88,5-2 64,60 19-112,-54-21 72,0-3 40,5-2 16,7-1-16,42 27-112,-35-28 136,2-4 56,8-1-64,4-1 24,21 34-152,-19-37 136,6 0-16,8-3-24,0-1-64,5 41-32,-2-40 24,2 1-32,12-1 8,-1-1 0,-11 41 0,14-42-16,4-1-8,4 2-24,-4 2-72,-18 39 120,28-37-128,-4 3 16,6 2 16,-2 3 40,-28 29 56,33-22-64,-5 3 0,2 5-64,0 8 32,-30 6 96,26-5-80,-1 2-88,-1 3 16,-3 3 8,-21-3 144,23 18-216,1 2 104,-6 7-24,3 4 48,-21-31 88,19 37-64,-1 3 40,2 1 64,-7 4-40,-13-45 0,19 47-16,-3 3 0,1-1-16,1 0 32,-18-49 0,12 45 80,2 3-40,2-1 16,-2 0 0,-14-47-56,14 50 24,0-1 64,0 2 64,1-1 48,-15-50-200,11 50 296,1-1-56,-7 2-64,6-5 0,-11-46-176,4 46 112,13-3-8,-14-2 72,8 2-104,-11-43-72,4 38 64,8-4-32,-9-4 16,10-6 48,-13-24-96,3 21 96,9-1-64,-12-2-64,5-3 32,-5-15 0,13 11-64,-11 0-16,1-6-216,2 7-624,-5-12 920,4 5-1672,-1 6-1313,15-12-1088,-18 1-2160,0 0 6233,0 0 0</inkml:trace>
</inkml: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D0DF2-5DCE-4624-B909-68D4EC5F2664}">
  <sheetPr codeName="Sheet1">
    <pageSetUpPr fitToPage="1"/>
  </sheetPr>
  <dimension ref="A1:J21"/>
  <sheetViews>
    <sheetView rightToLeft="1" tabSelected="1" view="pageBreakPreview" zoomScale="130" zoomScaleNormal="100" zoomScaleSheetLayoutView="130" workbookViewId="0">
      <selection activeCell="B16" sqref="B16:D16"/>
    </sheetView>
  </sheetViews>
  <sheetFormatPr defaultColWidth="9" defaultRowHeight="14.4" x14ac:dyDescent="0.3"/>
  <cols>
    <col min="1" max="1" width="5.109375" style="1" customWidth="1"/>
    <col min="2" max="2" width="12.109375" style="1" customWidth="1"/>
    <col min="3" max="3" width="9" style="1"/>
    <col min="4" max="4" width="28.109375" style="1" customWidth="1"/>
    <col min="5" max="7" width="9.33203125" style="1" customWidth="1"/>
    <col min="8" max="8" width="9.33203125" style="3" customWidth="1"/>
    <col min="9" max="9" width="9.33203125" style="1" customWidth="1"/>
    <col min="10" max="10" width="15.44140625" style="1" customWidth="1"/>
    <col min="11" max="16384" width="9" style="1"/>
  </cols>
  <sheetData>
    <row r="1" spans="1:10" ht="45" customHeight="1" x14ac:dyDescent="0.3">
      <c r="B1" s="49" t="s">
        <v>180</v>
      </c>
      <c r="C1" s="49"/>
      <c r="D1" s="49"/>
      <c r="E1" s="49"/>
      <c r="F1" s="49"/>
      <c r="G1" s="49"/>
      <c r="H1" s="49"/>
      <c r="I1" s="49"/>
      <c r="J1" s="49"/>
    </row>
    <row r="2" spans="1:10" ht="30" customHeight="1" x14ac:dyDescent="0.3">
      <c r="B2" s="16" t="s">
        <v>8</v>
      </c>
      <c r="C2" s="55" t="s">
        <v>16</v>
      </c>
      <c r="D2" s="55"/>
      <c r="E2" s="16" t="s">
        <v>7</v>
      </c>
      <c r="F2" s="50">
        <v>45952</v>
      </c>
      <c r="G2" s="50"/>
      <c r="H2" s="50"/>
      <c r="I2" s="50"/>
      <c r="J2" s="50"/>
    </row>
    <row r="3" spans="1:10" ht="30" customHeight="1" x14ac:dyDescent="0.3">
      <c r="B3" s="16" t="s">
        <v>9</v>
      </c>
      <c r="C3" s="55" t="s">
        <v>74</v>
      </c>
      <c r="D3" s="55"/>
      <c r="E3" s="16" t="s">
        <v>6</v>
      </c>
      <c r="F3" s="55" t="s">
        <v>59</v>
      </c>
      <c r="G3" s="55"/>
      <c r="H3" s="55"/>
      <c r="I3" s="55"/>
      <c r="J3" s="55"/>
    </row>
    <row r="4" spans="1:10" ht="30" customHeight="1" thickBot="1" x14ac:dyDescent="0.35">
      <c r="B4" s="6"/>
      <c r="C4" s="7"/>
      <c r="D4" s="7"/>
      <c r="E4" s="6"/>
      <c r="F4" s="70" t="s">
        <v>190</v>
      </c>
      <c r="G4" s="70"/>
      <c r="H4" s="70"/>
      <c r="I4" s="70"/>
      <c r="J4" s="70"/>
    </row>
    <row r="5" spans="1:10" ht="24.9" customHeight="1" x14ac:dyDescent="0.3">
      <c r="A5" s="13"/>
      <c r="B5" s="51" t="s">
        <v>0</v>
      </c>
      <c r="C5" s="52"/>
      <c r="D5" s="52"/>
      <c r="E5" s="40" t="s">
        <v>1</v>
      </c>
      <c r="F5" s="40"/>
      <c r="G5" s="40"/>
      <c r="H5" s="40"/>
      <c r="I5" s="40" t="s">
        <v>2</v>
      </c>
      <c r="J5" s="41"/>
    </row>
    <row r="6" spans="1:10" ht="24.9" customHeight="1" thickBot="1" x14ac:dyDescent="0.35">
      <c r="A6" s="13"/>
      <c r="B6" s="53"/>
      <c r="C6" s="54"/>
      <c r="D6" s="54"/>
      <c r="E6" s="14" t="s">
        <v>3</v>
      </c>
      <c r="F6" s="14" t="s">
        <v>4</v>
      </c>
      <c r="G6" s="14" t="s">
        <v>23</v>
      </c>
      <c r="H6" s="14" t="s">
        <v>24</v>
      </c>
      <c r="I6" s="42"/>
      <c r="J6" s="43"/>
    </row>
    <row r="7" spans="1:10" ht="24.9" customHeight="1" thickBot="1" x14ac:dyDescent="0.35">
      <c r="A7" s="13"/>
      <c r="B7" s="38" t="s">
        <v>21</v>
      </c>
      <c r="C7" s="39"/>
      <c r="D7" s="39"/>
      <c r="E7" s="15" t="s">
        <v>18</v>
      </c>
      <c r="F7" s="15" t="s">
        <v>19</v>
      </c>
      <c r="G7" s="15" t="s">
        <v>22</v>
      </c>
      <c r="H7" s="15" t="s">
        <v>20</v>
      </c>
      <c r="I7" s="44" t="s">
        <v>25</v>
      </c>
      <c r="J7" s="45"/>
    </row>
    <row r="8" spans="1:10" ht="39.9" customHeight="1" x14ac:dyDescent="0.3">
      <c r="A8" s="13"/>
      <c r="B8" s="48" t="s">
        <v>181</v>
      </c>
      <c r="C8" s="48"/>
      <c r="D8" s="48"/>
      <c r="E8" s="31">
        <v>10</v>
      </c>
      <c r="F8" s="9">
        <v>9.25</v>
      </c>
      <c r="G8" s="10">
        <f>IFERROR(F8/E8,"")</f>
        <v>0.92500000000000004</v>
      </c>
      <c r="H8" s="8" t="str">
        <f>_xlfn.IFS(F8="أدخل العلامة","",F8="لا ينطبق","تم الإلغاء",G8&gt;=90%,"ممتاز",G8&gt;=80%,"جيد جداً",G8&gt;=70%,"جيد",G8&gt;=60%,"مقبول",G8&lt;60%,"راسب")</f>
        <v>ممتاز</v>
      </c>
      <c r="I8" s="46"/>
      <c r="J8" s="47"/>
    </row>
    <row r="9" spans="1:10" ht="39.9" customHeight="1" x14ac:dyDescent="0.3">
      <c r="A9" s="13"/>
      <c r="B9" s="34" t="s">
        <v>182</v>
      </c>
      <c r="C9" s="34"/>
      <c r="D9" s="34"/>
      <c r="E9" s="32">
        <v>10</v>
      </c>
      <c r="F9" s="23">
        <v>6.75</v>
      </c>
      <c r="G9" s="10">
        <f>IFERROR(F9/E9,"")</f>
        <v>0.67500000000000004</v>
      </c>
      <c r="H9" s="8" t="str">
        <f>_xlfn.IFS(F9="أدخل العلامة","",F9="لا ينطبق","تم الإلغاء",G9&gt;=90%,"ممتاز",G9&gt;=80%,"جيد جداً",G9&gt;=70%,"جيد",G9&gt;=60%,"مقبول",G9&lt;60%,"راسب")</f>
        <v>مقبول</v>
      </c>
      <c r="I9" s="46"/>
      <c r="J9" s="47"/>
    </row>
    <row r="10" spans="1:10" ht="39.9" customHeight="1" x14ac:dyDescent="0.3">
      <c r="A10" s="13"/>
      <c r="B10" s="34" t="s">
        <v>183</v>
      </c>
      <c r="C10" s="34"/>
      <c r="D10" s="34"/>
      <c r="E10" s="32">
        <v>10</v>
      </c>
      <c r="F10" s="12">
        <v>7.75</v>
      </c>
      <c r="G10" s="10">
        <f t="shared" ref="G10:G16" si="0">IFERROR(F10/E10,"")</f>
        <v>0.77500000000000002</v>
      </c>
      <c r="H10" s="8" t="str">
        <f t="shared" ref="H10:H16" si="1">_xlfn.IFS(F10="أدخل العلامة","",F10="لا ينطبق","تم الإلغاء",G10&gt;=90%,"ممتاز",G10&gt;=80%,"جيد جداً",G10&gt;=70%,"جيد",G10&gt;=60%,"مقبول",G10&lt;60%,"راسب")</f>
        <v>جيد</v>
      </c>
      <c r="I10" s="35"/>
      <c r="J10" s="36"/>
    </row>
    <row r="11" spans="1:10" ht="39.9" customHeight="1" x14ac:dyDescent="0.3">
      <c r="A11" s="13"/>
      <c r="B11" s="34" t="s">
        <v>184</v>
      </c>
      <c r="C11" s="34"/>
      <c r="D11" s="34"/>
      <c r="E11" s="32">
        <v>10</v>
      </c>
      <c r="F11" s="12">
        <v>7</v>
      </c>
      <c r="G11" s="10">
        <f t="shared" si="0"/>
        <v>0.7</v>
      </c>
      <c r="H11" s="8" t="str">
        <f t="shared" si="1"/>
        <v>جيد</v>
      </c>
      <c r="I11" s="35"/>
      <c r="J11" s="36"/>
    </row>
    <row r="12" spans="1:10" ht="39.9" customHeight="1" x14ac:dyDescent="0.3">
      <c r="A12" s="13"/>
      <c r="B12" s="34" t="s">
        <v>185</v>
      </c>
      <c r="C12" s="34"/>
      <c r="D12" s="34"/>
      <c r="E12" s="32">
        <v>10</v>
      </c>
      <c r="F12" s="12">
        <v>7</v>
      </c>
      <c r="G12" s="10">
        <f t="shared" si="0"/>
        <v>0.7</v>
      </c>
      <c r="H12" s="8" t="str">
        <f t="shared" si="1"/>
        <v>جيد</v>
      </c>
      <c r="I12" s="35"/>
      <c r="J12" s="36"/>
    </row>
    <row r="13" spans="1:10" ht="39.9" customHeight="1" x14ac:dyDescent="0.3">
      <c r="A13" s="13"/>
      <c r="B13" s="34" t="s">
        <v>186</v>
      </c>
      <c r="C13" s="34"/>
      <c r="D13" s="34"/>
      <c r="E13" s="32">
        <v>10</v>
      </c>
      <c r="F13" s="12">
        <v>7</v>
      </c>
      <c r="G13" s="10">
        <f t="shared" si="0"/>
        <v>0.7</v>
      </c>
      <c r="H13" s="8" t="str">
        <f t="shared" si="1"/>
        <v>جيد</v>
      </c>
      <c r="I13" s="35"/>
      <c r="J13" s="36"/>
    </row>
    <row r="14" spans="1:10" ht="39.9" customHeight="1" x14ac:dyDescent="0.3">
      <c r="A14" s="13"/>
      <c r="B14" s="34" t="s">
        <v>187</v>
      </c>
      <c r="C14" s="34"/>
      <c r="D14" s="34"/>
      <c r="E14" s="32">
        <v>10</v>
      </c>
      <c r="F14" s="12">
        <v>7.75</v>
      </c>
      <c r="G14" s="10">
        <f t="shared" si="0"/>
        <v>0.77500000000000002</v>
      </c>
      <c r="H14" s="8" t="str">
        <f t="shared" si="1"/>
        <v>جيد</v>
      </c>
      <c r="I14" s="35"/>
      <c r="J14" s="36"/>
    </row>
    <row r="15" spans="1:10" ht="39.9" customHeight="1" x14ac:dyDescent="0.3">
      <c r="A15" s="13"/>
      <c r="B15" s="34" t="s">
        <v>188</v>
      </c>
      <c r="C15" s="34"/>
      <c r="D15" s="34"/>
      <c r="E15" s="32">
        <v>10</v>
      </c>
      <c r="F15" s="12">
        <v>7.75</v>
      </c>
      <c r="G15" s="10">
        <f t="shared" si="0"/>
        <v>0.77500000000000002</v>
      </c>
      <c r="H15" s="8" t="str">
        <f t="shared" si="1"/>
        <v>جيد</v>
      </c>
      <c r="I15" s="35"/>
      <c r="J15" s="36"/>
    </row>
    <row r="16" spans="1:10" ht="39.9" customHeight="1" thickBot="1" x14ac:dyDescent="0.35">
      <c r="A16" s="13"/>
      <c r="B16" s="37" t="s">
        <v>189</v>
      </c>
      <c r="C16" s="37"/>
      <c r="D16" s="37"/>
      <c r="E16" s="33">
        <v>10</v>
      </c>
      <c r="F16" s="12">
        <v>8.5</v>
      </c>
      <c r="G16" s="10">
        <f t="shared" si="0"/>
        <v>0.85</v>
      </c>
      <c r="H16" s="8" t="str">
        <f t="shared" si="1"/>
        <v>جيد جداً</v>
      </c>
      <c r="I16" s="35"/>
      <c r="J16" s="36"/>
    </row>
    <row r="17" spans="1:10" ht="30" customHeight="1" thickBot="1" x14ac:dyDescent="0.35">
      <c r="A17" s="4"/>
      <c r="B17" s="69" t="s">
        <v>5</v>
      </c>
      <c r="C17" s="44"/>
      <c r="D17" s="44"/>
      <c r="E17" s="11">
        <f>SUM(E8:E16)</f>
        <v>90</v>
      </c>
      <c r="F17" s="11">
        <f>SUM(F8:F16)</f>
        <v>68.75</v>
      </c>
      <c r="G17" s="58"/>
      <c r="H17" s="59"/>
      <c r="I17" s="59"/>
      <c r="J17" s="60"/>
    </row>
    <row r="18" spans="1:10" ht="30" customHeight="1" thickBot="1" x14ac:dyDescent="0.35">
      <c r="A18" s="4"/>
      <c r="B18" s="69" t="s">
        <v>54</v>
      </c>
      <c r="C18" s="44"/>
      <c r="D18" s="44"/>
      <c r="E18" s="67">
        <f>F17/E17/100*100</f>
        <v>0.76388888888888884</v>
      </c>
      <c r="F18" s="67"/>
      <c r="G18" s="67"/>
      <c r="H18" s="67"/>
      <c r="I18" s="67"/>
      <c r="J18" s="68"/>
    </row>
    <row r="19" spans="1:10" ht="30" customHeight="1" thickBot="1" x14ac:dyDescent="0.35">
      <c r="A19" s="4"/>
      <c r="B19" s="69" t="s">
        <v>55</v>
      </c>
      <c r="C19" s="44"/>
      <c r="D19" s="44"/>
      <c r="E19" s="65" t="str">
        <f>_xlfn.IFS(E18&gt;=90%,"ممتاز",E18&gt;=80%,"جيد جداً",E18&gt;=70%,"جيد",E18&gt;=60%,"مقبول",E18&lt;60%,"راسب")</f>
        <v>جيد</v>
      </c>
      <c r="F19" s="65"/>
      <c r="G19" s="65"/>
      <c r="H19" s="65"/>
      <c r="I19" s="65"/>
      <c r="J19" s="66"/>
    </row>
    <row r="20" spans="1:10" ht="42" customHeight="1" x14ac:dyDescent="0.3">
      <c r="B20" s="61" t="s">
        <v>174</v>
      </c>
      <c r="C20" s="61"/>
      <c r="D20" s="61"/>
      <c r="E20" s="56" t="s">
        <v>52</v>
      </c>
      <c r="F20" s="56"/>
      <c r="G20" s="63" t="s">
        <v>59</v>
      </c>
      <c r="H20" s="63"/>
      <c r="I20" s="63"/>
      <c r="J20" s="63"/>
    </row>
    <row r="21" spans="1:10" ht="51" customHeight="1" x14ac:dyDescent="0.3">
      <c r="A21" s="5"/>
      <c r="B21" s="62"/>
      <c r="C21" s="62"/>
      <c r="D21" s="62"/>
      <c r="E21" s="57" t="s">
        <v>53</v>
      </c>
      <c r="F21" s="57"/>
      <c r="G21" s="64"/>
      <c r="H21" s="64"/>
      <c r="I21" s="64"/>
      <c r="J21" s="64"/>
    </row>
  </sheetData>
  <sheetProtection formatCells="0" formatColumns="0" formatRows="0" insertColumns="0" insertRows="0" insertHyperlinks="0" deleteColumns="0" deleteRows="0" selectLockedCells="1" sort="0" autoFilter="0" pivotTables="0"/>
  <mergeCells count="40">
    <mergeCell ref="E20:F20"/>
    <mergeCell ref="E21:F21"/>
    <mergeCell ref="G17:J17"/>
    <mergeCell ref="I9:J9"/>
    <mergeCell ref="B20:D21"/>
    <mergeCell ref="G20:J20"/>
    <mergeCell ref="G21:J21"/>
    <mergeCell ref="E19:J19"/>
    <mergeCell ref="E18:J18"/>
    <mergeCell ref="B17:D17"/>
    <mergeCell ref="B18:D18"/>
    <mergeCell ref="B19:D19"/>
    <mergeCell ref="I11:J11"/>
    <mergeCell ref="I12:J12"/>
    <mergeCell ref="I13:J13"/>
    <mergeCell ref="I14:J14"/>
    <mergeCell ref="B1:J1"/>
    <mergeCell ref="F2:J2"/>
    <mergeCell ref="B5:D6"/>
    <mergeCell ref="C2:D2"/>
    <mergeCell ref="C3:D3"/>
    <mergeCell ref="F3:J3"/>
    <mergeCell ref="F4:J4"/>
    <mergeCell ref="B7:D7"/>
    <mergeCell ref="E5:H5"/>
    <mergeCell ref="I5:J6"/>
    <mergeCell ref="I7:J7"/>
    <mergeCell ref="I10:J10"/>
    <mergeCell ref="I8:J8"/>
    <mergeCell ref="B8:D8"/>
    <mergeCell ref="B9:D9"/>
    <mergeCell ref="B10:D10"/>
    <mergeCell ref="B11:D11"/>
    <mergeCell ref="B12:D12"/>
    <mergeCell ref="I15:J15"/>
    <mergeCell ref="I16:J16"/>
    <mergeCell ref="B13:D13"/>
    <mergeCell ref="B14:D14"/>
    <mergeCell ref="B15:D15"/>
    <mergeCell ref="B16:D16"/>
  </mergeCells>
  <conditionalFormatting sqref="C2:D2">
    <cfRule type="containsText" dxfId="16" priority="18" operator="containsText" text="أدخل الوحدة الخاضعة للتقييم">
      <formula>NOT(ISERROR(SEARCH("أدخل الوحدة الخاضعة للتقييم",C2)))</formula>
    </cfRule>
  </conditionalFormatting>
  <conditionalFormatting sqref="C3:D3">
    <cfRule type="containsText" dxfId="15" priority="17" operator="containsText" text="أدخل أسم قائد الوحدة الخاضعة للتقييم">
      <formula>NOT(ISERROR(SEARCH("أدخل أسم قائد الوحدة الخاضعة للتقييم",C3)))</formula>
    </cfRule>
  </conditionalFormatting>
  <conditionalFormatting sqref="E19">
    <cfRule type="expression" dxfId="14" priority="57">
      <formula>$E19="راسب"</formula>
    </cfRule>
  </conditionalFormatting>
  <conditionalFormatting sqref="E19:J19">
    <cfRule type="expression" dxfId="13" priority="58">
      <formula>$E19="مقبول"</formula>
    </cfRule>
    <cfRule type="expression" dxfId="12" priority="59">
      <formula>$E19="جيد"</formula>
    </cfRule>
    <cfRule type="expression" dxfId="11" priority="60">
      <formula>$E19="جيد جداً"</formula>
    </cfRule>
    <cfRule type="expression" dxfId="10" priority="61">
      <formula>$E19="ممتاز"</formula>
    </cfRule>
  </conditionalFormatting>
  <conditionalFormatting sqref="F8:F16">
    <cfRule type="containsText" dxfId="9" priority="4" operator="containsText" text="أدخل العلامة">
      <formula>NOT(ISERROR(SEARCH("أدخل العلامة",F8)))</formula>
    </cfRule>
  </conditionalFormatting>
  <conditionalFormatting sqref="F2:J2">
    <cfRule type="containsText" dxfId="8" priority="19" operator="containsText" text="أدخل التاريخ">
      <formula>NOT(ISERROR(SEARCH("أدخل التاريخ",F2)))</formula>
    </cfRule>
  </conditionalFormatting>
  <conditionalFormatting sqref="F3:J3">
    <cfRule type="containsText" dxfId="7" priority="16" operator="containsText" text="أدخل أسم المحكم">
      <formula>NOT(ISERROR(SEARCH("أدخل أسم المحكم",F3)))</formula>
    </cfRule>
  </conditionalFormatting>
  <conditionalFormatting sqref="G20:J20">
    <cfRule type="containsText" dxfId="6" priority="15" operator="containsText" text="أدخل اسم المحكم">
      <formula>NOT(ISERROR(SEARCH("أدخل اسم المحكم",G20)))</formula>
    </cfRule>
  </conditionalFormatting>
  <conditionalFormatting sqref="H8:H16">
    <cfRule type="containsText" dxfId="5" priority="5" operator="containsText" text="أدخل العلامة">
      <formula>NOT(ISERROR(SEARCH("أدخل العلامة",H8)))</formula>
    </cfRule>
    <cfRule type="containsText" dxfId="4" priority="6" operator="containsText" text="ممتاز">
      <formula>NOT(ISERROR(SEARCH("ممتاز",H8)))</formula>
    </cfRule>
    <cfRule type="containsText" dxfId="3" priority="7" operator="containsText" text="جيد جداً">
      <formula>NOT(ISERROR(SEARCH("جيد جداً",H8)))</formula>
    </cfRule>
    <cfRule type="containsText" dxfId="2" priority="8" operator="containsText" text="جيد">
      <formula>NOT(ISERROR(SEARCH("جيد",H8)))</formula>
    </cfRule>
    <cfRule type="containsText" dxfId="1" priority="9" operator="containsText" text="مقبول">
      <formula>NOT(ISERROR(SEARCH("مقبول",H8)))</formula>
    </cfRule>
    <cfRule type="containsText" dxfId="0" priority="10" operator="containsText" text="راسب">
      <formula>NOT(ISERROR(SEARCH("راسب",H8)))</formula>
    </cfRule>
  </conditionalFormatting>
  <printOptions horizontalCentered="1"/>
  <pageMargins left="0.70866141732283472" right="0.70866141732283472" top="0.74803149606299213" bottom="0.74803149606299213" header="0.31496062992125984" footer="0.31496062992125984"/>
  <pageSetup paperSize="9" scale="74" fitToHeight="0" orientation="portrait" r:id="rId1"/>
  <headerFooter>
    <oddHeader>&amp;C&amp;"-,Bold"&amp;12&amp;Uسري للغاية</oddHeader>
    <oddFooter>&amp;C&amp;"-,Bold"&amp;P&amp;"-,Regular"
&amp;"-,Bold"&amp;Uسري للغاية</oddFooter>
  </headerFooter>
  <drawing r:id="rId2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F27846E5-4775-4613-AD3F-6A647663FDD7}">
          <x14:formula1>
            <xm:f>'بيانات التقييم'!$A$38:$A$106</xm:f>
          </x14:formula1>
          <xm:sqref>F2:J2</xm:sqref>
        </x14:dataValidation>
        <x14:dataValidation type="list" allowBlank="1" showInputMessage="1" showErrorMessage="1" xr:uid="{29F5EBBB-8CF0-4EBC-9568-49582573F3A1}">
          <x14:formula1>
            <xm:f>'بيانات التقييم'!$A$1:$A$34</xm:f>
          </x14:formula1>
          <xm:sqref>C2:D2</xm:sqref>
        </x14:dataValidation>
        <x14:dataValidation type="list" allowBlank="1" showInputMessage="1" showErrorMessage="1" xr:uid="{5A7ADC9F-6098-4415-8DD4-849A148D02E3}">
          <x14:formula1>
            <xm:f>'بيانات التقييم'!$A$111:$A$153</xm:f>
          </x14:formula1>
          <xm:sqref>F8:F16</xm:sqref>
        </x14:dataValidation>
        <x14:dataValidation type="list" allowBlank="1" showInputMessage="1" showErrorMessage="1" xr:uid="{BD8CB5A2-5F32-4EAD-A63C-382D3B90B847}">
          <x14:formula1>
            <xm:f>'بيانات التقييم'!$A$198:$A$286</xm:f>
          </x14:formula1>
          <xm:sqref>G20:J20 F3:J3</xm:sqref>
        </x14:dataValidation>
        <x14:dataValidation type="list" allowBlank="1" showInputMessage="1" showErrorMessage="1" xr:uid="{132078BB-599D-4F0E-87F8-5A950BE5625D}">
          <x14:formula1>
            <xm:f>'بيانات التقييم'!$C$1:$C$31</xm:f>
          </x14:formula1>
          <xm:sqref>C3:D3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0E097-B5B4-4A62-8BA3-2420E658D743}">
  <sheetPr codeName="Sheet3"/>
  <dimension ref="A1:I338"/>
  <sheetViews>
    <sheetView rightToLeft="1" topLeftCell="A137" workbookViewId="0">
      <selection activeCell="A64" sqref="A64"/>
    </sheetView>
  </sheetViews>
  <sheetFormatPr defaultRowHeight="20.100000000000001" customHeight="1" x14ac:dyDescent="0.3"/>
  <cols>
    <col min="1" max="1" width="42.5546875" style="1" customWidth="1"/>
    <col min="2" max="2" width="24.88671875" style="1" customWidth="1"/>
    <col min="3" max="3" width="59.88671875" style="1" customWidth="1"/>
    <col min="4" max="9" width="9" style="1"/>
  </cols>
  <sheetData>
    <row r="1" spans="1:3" ht="20.100000000000001" customHeight="1" thickBot="1" x14ac:dyDescent="0.35">
      <c r="A1" s="2" t="s">
        <v>57</v>
      </c>
      <c r="C1" s="2" t="s">
        <v>60</v>
      </c>
    </row>
    <row r="2" spans="1:3" ht="20.100000000000001" customHeight="1" thickBot="1" x14ac:dyDescent="0.35">
      <c r="A2" s="2" t="s">
        <v>35</v>
      </c>
      <c r="C2" s="24" t="s">
        <v>62</v>
      </c>
    </row>
    <row r="3" spans="1:3" ht="20.100000000000001" customHeight="1" thickBot="1" x14ac:dyDescent="0.35">
      <c r="A3" s="2" t="s">
        <v>26</v>
      </c>
      <c r="C3" s="24" t="s">
        <v>63</v>
      </c>
    </row>
    <row r="4" spans="1:3" ht="20.100000000000001" customHeight="1" thickBot="1" x14ac:dyDescent="0.35">
      <c r="A4" s="2" t="s">
        <v>36</v>
      </c>
      <c r="C4" s="24" t="s">
        <v>64</v>
      </c>
    </row>
    <row r="5" spans="1:3" ht="20.100000000000001" customHeight="1" thickBot="1" x14ac:dyDescent="0.35">
      <c r="A5" s="2" t="s">
        <v>37</v>
      </c>
      <c r="C5" s="24" t="s">
        <v>65</v>
      </c>
    </row>
    <row r="6" spans="1:3" ht="20.100000000000001" customHeight="1" thickBot="1" x14ac:dyDescent="0.35">
      <c r="A6" s="2" t="s">
        <v>38</v>
      </c>
      <c r="C6" s="24" t="s">
        <v>66</v>
      </c>
    </row>
    <row r="7" spans="1:3" ht="20.100000000000001" customHeight="1" thickBot="1" x14ac:dyDescent="0.35">
      <c r="A7" s="2" t="s">
        <v>39</v>
      </c>
      <c r="C7" s="24" t="s">
        <v>67</v>
      </c>
    </row>
    <row r="8" spans="1:3" ht="20.100000000000001" customHeight="1" thickBot="1" x14ac:dyDescent="0.35">
      <c r="A8" s="2" t="s">
        <v>40</v>
      </c>
      <c r="C8" s="24" t="s">
        <v>68</v>
      </c>
    </row>
    <row r="9" spans="1:3" ht="20.100000000000001" customHeight="1" thickBot="1" x14ac:dyDescent="0.35">
      <c r="A9" s="2" t="s">
        <v>41</v>
      </c>
      <c r="C9" s="24" t="s">
        <v>69</v>
      </c>
    </row>
    <row r="10" spans="1:3" ht="20.100000000000001" customHeight="1" thickBot="1" x14ac:dyDescent="0.35">
      <c r="A10" s="2" t="s">
        <v>42</v>
      </c>
      <c r="C10" s="24" t="s">
        <v>70</v>
      </c>
    </row>
    <row r="11" spans="1:3" ht="20.100000000000001" customHeight="1" thickBot="1" x14ac:dyDescent="0.35">
      <c r="A11" s="2" t="s">
        <v>43</v>
      </c>
      <c r="C11" s="24" t="s">
        <v>71</v>
      </c>
    </row>
    <row r="12" spans="1:3" ht="20.100000000000001" customHeight="1" thickBot="1" x14ac:dyDescent="0.35">
      <c r="A12" s="2" t="s">
        <v>44</v>
      </c>
      <c r="C12" s="24" t="s">
        <v>72</v>
      </c>
    </row>
    <row r="13" spans="1:3" ht="20.100000000000001" customHeight="1" thickBot="1" x14ac:dyDescent="0.35">
      <c r="A13" s="2" t="s">
        <v>45</v>
      </c>
      <c r="C13" s="24" t="s">
        <v>73</v>
      </c>
    </row>
    <row r="14" spans="1:3" ht="20.100000000000001" customHeight="1" thickBot="1" x14ac:dyDescent="0.35">
      <c r="A14" s="2" t="s">
        <v>46</v>
      </c>
      <c r="C14" s="24" t="s">
        <v>74</v>
      </c>
    </row>
    <row r="15" spans="1:3" ht="20.100000000000001" customHeight="1" thickBot="1" x14ac:dyDescent="0.35">
      <c r="A15" s="2" t="s">
        <v>47</v>
      </c>
      <c r="C15" s="24" t="s">
        <v>75</v>
      </c>
    </row>
    <row r="16" spans="1:3" ht="20.100000000000001" customHeight="1" thickBot="1" x14ac:dyDescent="0.35">
      <c r="A16" s="2" t="s">
        <v>10</v>
      </c>
      <c r="C16" s="24" t="s">
        <v>76</v>
      </c>
    </row>
    <row r="17" spans="1:3" ht="20.100000000000001" customHeight="1" thickBot="1" x14ac:dyDescent="0.35">
      <c r="A17" s="2" t="s">
        <v>27</v>
      </c>
      <c r="C17" s="24" t="s">
        <v>77</v>
      </c>
    </row>
    <row r="18" spans="1:3" ht="20.100000000000001" customHeight="1" thickBot="1" x14ac:dyDescent="0.35">
      <c r="A18" s="2" t="s">
        <v>48</v>
      </c>
      <c r="C18" s="24" t="s">
        <v>78</v>
      </c>
    </row>
    <row r="19" spans="1:3" ht="20.100000000000001" customHeight="1" thickBot="1" x14ac:dyDescent="0.35">
      <c r="A19" s="2" t="s">
        <v>49</v>
      </c>
      <c r="C19" s="24" t="s">
        <v>79</v>
      </c>
    </row>
    <row r="20" spans="1:3" ht="20.100000000000001" customHeight="1" thickBot="1" x14ac:dyDescent="0.35">
      <c r="A20" s="2" t="s">
        <v>50</v>
      </c>
      <c r="C20" s="24" t="s">
        <v>80</v>
      </c>
    </row>
    <row r="21" spans="1:3" ht="20.100000000000001" customHeight="1" thickBot="1" x14ac:dyDescent="0.35">
      <c r="A21" s="2" t="s">
        <v>51</v>
      </c>
      <c r="C21" s="24" t="s">
        <v>81</v>
      </c>
    </row>
    <row r="22" spans="1:3" ht="20.100000000000001" customHeight="1" thickBot="1" x14ac:dyDescent="0.35">
      <c r="A22" s="2" t="s">
        <v>11</v>
      </c>
      <c r="C22" s="24" t="s">
        <v>82</v>
      </c>
    </row>
    <row r="23" spans="1:3" ht="20.100000000000001" customHeight="1" thickBot="1" x14ac:dyDescent="0.35">
      <c r="A23" s="2" t="s">
        <v>12</v>
      </c>
      <c r="C23" s="24" t="s">
        <v>83</v>
      </c>
    </row>
    <row r="24" spans="1:3" ht="20.100000000000001" customHeight="1" thickBot="1" x14ac:dyDescent="0.35">
      <c r="A24" s="2" t="s">
        <v>15</v>
      </c>
      <c r="C24" s="24" t="s">
        <v>84</v>
      </c>
    </row>
    <row r="25" spans="1:3" ht="20.100000000000001" customHeight="1" thickBot="1" x14ac:dyDescent="0.35">
      <c r="A25" s="2" t="s">
        <v>28</v>
      </c>
      <c r="C25" s="24" t="s">
        <v>85</v>
      </c>
    </row>
    <row r="26" spans="1:3" ht="20.100000000000001" customHeight="1" thickBot="1" x14ac:dyDescent="0.35">
      <c r="A26" s="2" t="s">
        <v>29</v>
      </c>
      <c r="C26" s="24" t="s">
        <v>86</v>
      </c>
    </row>
    <row r="27" spans="1:3" ht="20.100000000000001" customHeight="1" thickBot="1" x14ac:dyDescent="0.35">
      <c r="A27" s="2" t="s">
        <v>13</v>
      </c>
      <c r="C27" s="24" t="s">
        <v>87</v>
      </c>
    </row>
    <row r="28" spans="1:3" ht="20.100000000000001" customHeight="1" thickBot="1" x14ac:dyDescent="0.35">
      <c r="A28" s="2" t="s">
        <v>30</v>
      </c>
      <c r="C28" s="24" t="s">
        <v>88</v>
      </c>
    </row>
    <row r="29" spans="1:3" ht="20.100000000000001" customHeight="1" thickBot="1" x14ac:dyDescent="0.35">
      <c r="A29" s="2" t="s">
        <v>31</v>
      </c>
      <c r="C29" s="24" t="s">
        <v>177</v>
      </c>
    </row>
    <row r="30" spans="1:3" ht="20.100000000000001" customHeight="1" thickBot="1" x14ac:dyDescent="0.35">
      <c r="A30" s="2" t="s">
        <v>32</v>
      </c>
      <c r="C30" s="24" t="s">
        <v>178</v>
      </c>
    </row>
    <row r="31" spans="1:3" ht="20.100000000000001" customHeight="1" thickBot="1" x14ac:dyDescent="0.35">
      <c r="A31" s="2" t="s">
        <v>33</v>
      </c>
      <c r="C31" s="24" t="s">
        <v>179</v>
      </c>
    </row>
    <row r="32" spans="1:3" ht="20.100000000000001" customHeight="1" thickBot="1" x14ac:dyDescent="0.35">
      <c r="A32" s="2" t="s">
        <v>16</v>
      </c>
      <c r="C32" s="24"/>
    </row>
    <row r="33" spans="1:9" ht="20.100000000000001" customHeight="1" thickBot="1" x14ac:dyDescent="0.35">
      <c r="A33" s="2" t="s">
        <v>14</v>
      </c>
      <c r="C33" s="24"/>
    </row>
    <row r="34" spans="1:9" ht="20.100000000000001" customHeight="1" thickBot="1" x14ac:dyDescent="0.35">
      <c r="A34" s="2" t="s">
        <v>34</v>
      </c>
      <c r="C34" s="24"/>
    </row>
    <row r="35" spans="1:9" ht="20.100000000000001" customHeight="1" x14ac:dyDescent="0.3">
      <c r="A35" s="22"/>
    </row>
    <row r="36" spans="1:9" s="21" customFormat="1" ht="20.100000000000001" customHeight="1" x14ac:dyDescent="0.3">
      <c r="A36" s="19"/>
      <c r="B36" s="20"/>
      <c r="C36" s="20"/>
      <c r="D36" s="20"/>
      <c r="E36" s="20"/>
      <c r="F36" s="20"/>
      <c r="G36" s="20"/>
      <c r="H36" s="20"/>
      <c r="I36" s="20"/>
    </row>
    <row r="37" spans="1:9" ht="20.100000000000001" customHeight="1" thickBot="1" x14ac:dyDescent="0.35"/>
    <row r="38" spans="1:9" ht="20.100000000000001" customHeight="1" thickBot="1" x14ac:dyDescent="0.35">
      <c r="A38" s="2" t="s">
        <v>56</v>
      </c>
    </row>
    <row r="39" spans="1:9" ht="20.100000000000001" customHeight="1" thickBot="1" x14ac:dyDescent="0.35">
      <c r="A39" s="17">
        <v>45931</v>
      </c>
    </row>
    <row r="40" spans="1:9" ht="20.100000000000001" customHeight="1" thickBot="1" x14ac:dyDescent="0.35">
      <c r="A40" s="17">
        <v>45932</v>
      </c>
    </row>
    <row r="41" spans="1:9" ht="20.100000000000001" customHeight="1" thickBot="1" x14ac:dyDescent="0.35">
      <c r="A41" s="17">
        <v>45933</v>
      </c>
    </row>
    <row r="42" spans="1:9" ht="20.100000000000001" customHeight="1" thickBot="1" x14ac:dyDescent="0.35">
      <c r="A42" s="17">
        <v>45934</v>
      </c>
    </row>
    <row r="43" spans="1:9" ht="20.100000000000001" customHeight="1" thickBot="1" x14ac:dyDescent="0.35">
      <c r="A43" s="17">
        <v>45935</v>
      </c>
    </row>
    <row r="44" spans="1:9" ht="20.100000000000001" customHeight="1" thickBot="1" x14ac:dyDescent="0.35">
      <c r="A44" s="17">
        <v>45936</v>
      </c>
    </row>
    <row r="45" spans="1:9" ht="20.100000000000001" customHeight="1" thickBot="1" x14ac:dyDescent="0.35">
      <c r="A45" s="17">
        <v>45937</v>
      </c>
    </row>
    <row r="46" spans="1:9" ht="20.100000000000001" customHeight="1" thickBot="1" x14ac:dyDescent="0.35">
      <c r="A46" s="17">
        <v>45938</v>
      </c>
    </row>
    <row r="47" spans="1:9" ht="20.100000000000001" customHeight="1" thickBot="1" x14ac:dyDescent="0.35">
      <c r="A47" s="17">
        <v>45939</v>
      </c>
    </row>
    <row r="48" spans="1:9" ht="20.100000000000001" customHeight="1" thickBot="1" x14ac:dyDescent="0.35">
      <c r="A48" s="17">
        <v>45940</v>
      </c>
    </row>
    <row r="49" spans="1:1" ht="20.100000000000001" customHeight="1" thickBot="1" x14ac:dyDescent="0.35">
      <c r="A49" s="17">
        <v>45941</v>
      </c>
    </row>
    <row r="50" spans="1:1" ht="20.100000000000001" customHeight="1" thickBot="1" x14ac:dyDescent="0.35">
      <c r="A50" s="17">
        <v>45942</v>
      </c>
    </row>
    <row r="51" spans="1:1" ht="20.100000000000001" customHeight="1" thickBot="1" x14ac:dyDescent="0.35">
      <c r="A51" s="17">
        <v>45943</v>
      </c>
    </row>
    <row r="52" spans="1:1" ht="20.100000000000001" customHeight="1" thickBot="1" x14ac:dyDescent="0.35">
      <c r="A52" s="17">
        <v>45944</v>
      </c>
    </row>
    <row r="53" spans="1:1" ht="20.100000000000001" customHeight="1" thickBot="1" x14ac:dyDescent="0.35">
      <c r="A53" s="17">
        <v>45945</v>
      </c>
    </row>
    <row r="54" spans="1:1" ht="20.100000000000001" customHeight="1" thickBot="1" x14ac:dyDescent="0.35">
      <c r="A54" s="17">
        <v>45946</v>
      </c>
    </row>
    <row r="55" spans="1:1" ht="20.100000000000001" customHeight="1" thickBot="1" x14ac:dyDescent="0.35">
      <c r="A55" s="17">
        <v>45947</v>
      </c>
    </row>
    <row r="56" spans="1:1" ht="20.100000000000001" customHeight="1" thickBot="1" x14ac:dyDescent="0.35">
      <c r="A56" s="17">
        <v>45948</v>
      </c>
    </row>
    <row r="57" spans="1:1" ht="20.100000000000001" customHeight="1" thickBot="1" x14ac:dyDescent="0.35">
      <c r="A57" s="17">
        <v>45949</v>
      </c>
    </row>
    <row r="58" spans="1:1" ht="20.100000000000001" customHeight="1" thickBot="1" x14ac:dyDescent="0.35">
      <c r="A58" s="17">
        <v>45950</v>
      </c>
    </row>
    <row r="59" spans="1:1" ht="20.100000000000001" customHeight="1" thickBot="1" x14ac:dyDescent="0.35">
      <c r="A59" s="17">
        <v>45951</v>
      </c>
    </row>
    <row r="60" spans="1:1" ht="20.100000000000001" customHeight="1" thickBot="1" x14ac:dyDescent="0.35">
      <c r="A60" s="17">
        <v>45952</v>
      </c>
    </row>
    <row r="61" spans="1:1" ht="20.100000000000001" customHeight="1" thickBot="1" x14ac:dyDescent="0.35">
      <c r="A61" s="17">
        <v>45953</v>
      </c>
    </row>
    <row r="62" spans="1:1" ht="20.100000000000001" customHeight="1" thickBot="1" x14ac:dyDescent="0.35">
      <c r="A62" s="17">
        <v>45954</v>
      </c>
    </row>
    <row r="63" spans="1:1" ht="20.100000000000001" customHeight="1" thickBot="1" x14ac:dyDescent="0.35">
      <c r="A63" s="17">
        <v>45955</v>
      </c>
    </row>
    <row r="64" spans="1:1" ht="20.100000000000001" customHeight="1" thickBot="1" x14ac:dyDescent="0.35">
      <c r="A64" s="17">
        <v>45956</v>
      </c>
    </row>
    <row r="65" spans="1:1" ht="20.100000000000001" customHeight="1" thickBot="1" x14ac:dyDescent="0.35">
      <c r="A65" s="17">
        <v>45957</v>
      </c>
    </row>
    <row r="66" spans="1:1" ht="20.100000000000001" customHeight="1" thickBot="1" x14ac:dyDescent="0.35">
      <c r="A66" s="17">
        <v>45958</v>
      </c>
    </row>
    <row r="67" spans="1:1" ht="20.100000000000001" customHeight="1" thickBot="1" x14ac:dyDescent="0.35">
      <c r="A67" s="17">
        <v>45959</v>
      </c>
    </row>
    <row r="68" spans="1:1" ht="20.100000000000001" customHeight="1" thickBot="1" x14ac:dyDescent="0.35">
      <c r="A68" s="17">
        <v>45960</v>
      </c>
    </row>
    <row r="69" spans="1:1" ht="20.100000000000001" customHeight="1" thickBot="1" x14ac:dyDescent="0.35">
      <c r="A69" s="17">
        <v>45961</v>
      </c>
    </row>
    <row r="70" spans="1:1" ht="20.100000000000001" customHeight="1" thickBot="1" x14ac:dyDescent="0.35">
      <c r="A70" s="17"/>
    </row>
    <row r="71" spans="1:1" ht="20.100000000000001" customHeight="1" thickBot="1" x14ac:dyDescent="0.35">
      <c r="A71" s="17"/>
    </row>
    <row r="72" spans="1:1" ht="20.100000000000001" customHeight="1" thickBot="1" x14ac:dyDescent="0.35">
      <c r="A72" s="17"/>
    </row>
    <row r="73" spans="1:1" ht="20.100000000000001" customHeight="1" thickBot="1" x14ac:dyDescent="0.35">
      <c r="A73" s="17"/>
    </row>
    <row r="74" spans="1:1" ht="20.100000000000001" customHeight="1" thickBot="1" x14ac:dyDescent="0.35">
      <c r="A74" s="17"/>
    </row>
    <row r="75" spans="1:1" ht="20.100000000000001" customHeight="1" thickBot="1" x14ac:dyDescent="0.35">
      <c r="A75" s="17"/>
    </row>
    <row r="76" spans="1:1" ht="20.100000000000001" customHeight="1" thickBot="1" x14ac:dyDescent="0.35">
      <c r="A76" s="17"/>
    </row>
    <row r="77" spans="1:1" ht="20.100000000000001" customHeight="1" thickBot="1" x14ac:dyDescent="0.35">
      <c r="A77" s="17"/>
    </row>
    <row r="78" spans="1:1" ht="20.100000000000001" customHeight="1" thickBot="1" x14ac:dyDescent="0.35">
      <c r="A78" s="17"/>
    </row>
    <row r="79" spans="1:1" ht="20.100000000000001" customHeight="1" thickBot="1" x14ac:dyDescent="0.35">
      <c r="A79" s="17"/>
    </row>
    <row r="80" spans="1:1" ht="20.100000000000001" customHeight="1" thickBot="1" x14ac:dyDescent="0.35">
      <c r="A80" s="17"/>
    </row>
    <row r="81" spans="1:1" ht="20.100000000000001" customHeight="1" thickBot="1" x14ac:dyDescent="0.35">
      <c r="A81" s="17"/>
    </row>
    <row r="82" spans="1:1" ht="20.100000000000001" customHeight="1" thickBot="1" x14ac:dyDescent="0.35">
      <c r="A82" s="17"/>
    </row>
    <row r="83" spans="1:1" ht="20.100000000000001" customHeight="1" thickBot="1" x14ac:dyDescent="0.35">
      <c r="A83" s="17"/>
    </row>
    <row r="84" spans="1:1" ht="20.100000000000001" customHeight="1" thickBot="1" x14ac:dyDescent="0.35">
      <c r="A84" s="17"/>
    </row>
    <row r="85" spans="1:1" ht="20.100000000000001" customHeight="1" thickBot="1" x14ac:dyDescent="0.35">
      <c r="A85" s="17"/>
    </row>
    <row r="86" spans="1:1" ht="20.100000000000001" customHeight="1" thickBot="1" x14ac:dyDescent="0.35">
      <c r="A86" s="17"/>
    </row>
    <row r="87" spans="1:1" ht="20.100000000000001" customHeight="1" thickBot="1" x14ac:dyDescent="0.35">
      <c r="A87" s="17"/>
    </row>
    <row r="88" spans="1:1" ht="20.100000000000001" customHeight="1" thickBot="1" x14ac:dyDescent="0.35">
      <c r="A88" s="17"/>
    </row>
    <row r="89" spans="1:1" ht="20.100000000000001" customHeight="1" thickBot="1" x14ac:dyDescent="0.35">
      <c r="A89" s="17"/>
    </row>
    <row r="90" spans="1:1" ht="20.100000000000001" customHeight="1" thickBot="1" x14ac:dyDescent="0.35">
      <c r="A90" s="17"/>
    </row>
    <row r="91" spans="1:1" ht="20.100000000000001" customHeight="1" thickBot="1" x14ac:dyDescent="0.35">
      <c r="A91" s="17"/>
    </row>
    <row r="92" spans="1:1" ht="20.100000000000001" customHeight="1" thickBot="1" x14ac:dyDescent="0.35">
      <c r="A92" s="17"/>
    </row>
    <row r="93" spans="1:1" ht="20.100000000000001" customHeight="1" thickBot="1" x14ac:dyDescent="0.35">
      <c r="A93" s="17"/>
    </row>
    <row r="94" spans="1:1" ht="20.100000000000001" customHeight="1" thickBot="1" x14ac:dyDescent="0.35">
      <c r="A94" s="17"/>
    </row>
    <row r="95" spans="1:1" ht="20.100000000000001" customHeight="1" thickBot="1" x14ac:dyDescent="0.35">
      <c r="A95" s="17"/>
    </row>
    <row r="96" spans="1:1" ht="20.100000000000001" customHeight="1" thickBot="1" x14ac:dyDescent="0.35">
      <c r="A96" s="17"/>
    </row>
    <row r="97" spans="1:9" ht="20.100000000000001" customHeight="1" thickBot="1" x14ac:dyDescent="0.35">
      <c r="A97" s="17"/>
    </row>
    <row r="98" spans="1:9" ht="20.100000000000001" customHeight="1" thickBot="1" x14ac:dyDescent="0.35">
      <c r="A98" s="17"/>
    </row>
    <row r="99" spans="1:9" ht="20.100000000000001" customHeight="1" thickBot="1" x14ac:dyDescent="0.35">
      <c r="A99" s="17"/>
    </row>
    <row r="100" spans="1:9" ht="20.100000000000001" customHeight="1" thickBot="1" x14ac:dyDescent="0.35">
      <c r="A100" s="17"/>
    </row>
    <row r="101" spans="1:9" ht="20.100000000000001" customHeight="1" thickBot="1" x14ac:dyDescent="0.35">
      <c r="A101" s="17"/>
    </row>
    <row r="102" spans="1:9" ht="20.100000000000001" customHeight="1" thickBot="1" x14ac:dyDescent="0.35">
      <c r="A102" s="17"/>
    </row>
    <row r="103" spans="1:9" ht="20.100000000000001" customHeight="1" thickBot="1" x14ac:dyDescent="0.35">
      <c r="A103" s="17"/>
    </row>
    <row r="104" spans="1:9" ht="20.100000000000001" customHeight="1" thickBot="1" x14ac:dyDescent="0.35">
      <c r="A104" s="17"/>
    </row>
    <row r="105" spans="1:9" ht="20.100000000000001" customHeight="1" thickBot="1" x14ac:dyDescent="0.35">
      <c r="A105" s="17"/>
    </row>
    <row r="106" spans="1:9" ht="20.100000000000001" customHeight="1" thickBot="1" x14ac:dyDescent="0.35">
      <c r="A106" s="17"/>
    </row>
    <row r="107" spans="1:9" ht="20.100000000000001" customHeight="1" x14ac:dyDescent="0.3">
      <c r="A107" s="18"/>
    </row>
    <row r="108" spans="1:9" ht="20.100000000000001" customHeight="1" x14ac:dyDescent="0.3">
      <c r="A108" s="18"/>
    </row>
    <row r="109" spans="1:9" s="21" customFormat="1" ht="20.100000000000001" customHeight="1" x14ac:dyDescent="0.3">
      <c r="A109" s="19"/>
      <c r="B109" s="20"/>
      <c r="C109" s="20"/>
      <c r="D109" s="20"/>
      <c r="E109" s="20"/>
      <c r="F109" s="20"/>
      <c r="G109" s="20"/>
      <c r="H109" s="20"/>
      <c r="I109" s="20"/>
    </row>
    <row r="110" spans="1:9" ht="20.100000000000001" customHeight="1" thickBot="1" x14ac:dyDescent="0.35"/>
    <row r="111" spans="1:9" ht="20.100000000000001" customHeight="1" thickBot="1" x14ac:dyDescent="0.35">
      <c r="A111" s="2" t="s">
        <v>61</v>
      </c>
    </row>
    <row r="112" spans="1:9" ht="20.100000000000001" customHeight="1" thickBot="1" x14ac:dyDescent="0.35">
      <c r="A112" s="2" t="s">
        <v>17</v>
      </c>
    </row>
    <row r="113" spans="1:1" ht="20.100000000000001" customHeight="1" thickBot="1" x14ac:dyDescent="0.35">
      <c r="A113" s="2">
        <v>0</v>
      </c>
    </row>
    <row r="114" spans="1:1" ht="20.100000000000001" customHeight="1" thickBot="1" x14ac:dyDescent="0.35">
      <c r="A114" s="2">
        <v>0.25</v>
      </c>
    </row>
    <row r="115" spans="1:1" ht="20.100000000000001" customHeight="1" thickBot="1" x14ac:dyDescent="0.35">
      <c r="A115" s="2">
        <v>0.5</v>
      </c>
    </row>
    <row r="116" spans="1:1" ht="20.100000000000001" customHeight="1" thickBot="1" x14ac:dyDescent="0.35">
      <c r="A116" s="2">
        <v>0.75</v>
      </c>
    </row>
    <row r="117" spans="1:1" ht="20.100000000000001" customHeight="1" thickBot="1" x14ac:dyDescent="0.35">
      <c r="A117" s="2">
        <v>1</v>
      </c>
    </row>
    <row r="118" spans="1:1" ht="20.100000000000001" customHeight="1" thickBot="1" x14ac:dyDescent="0.35">
      <c r="A118" s="2">
        <v>1.25</v>
      </c>
    </row>
    <row r="119" spans="1:1" ht="20.100000000000001" customHeight="1" thickBot="1" x14ac:dyDescent="0.35">
      <c r="A119" s="2">
        <v>1.5</v>
      </c>
    </row>
    <row r="120" spans="1:1" ht="20.100000000000001" customHeight="1" thickBot="1" x14ac:dyDescent="0.35">
      <c r="A120" s="2">
        <v>1.75</v>
      </c>
    </row>
    <row r="121" spans="1:1" ht="20.100000000000001" customHeight="1" thickBot="1" x14ac:dyDescent="0.35">
      <c r="A121" s="2">
        <v>2</v>
      </c>
    </row>
    <row r="122" spans="1:1" ht="20.100000000000001" customHeight="1" thickBot="1" x14ac:dyDescent="0.35">
      <c r="A122" s="2">
        <v>2.25</v>
      </c>
    </row>
    <row r="123" spans="1:1" ht="20.100000000000001" customHeight="1" thickBot="1" x14ac:dyDescent="0.35">
      <c r="A123" s="2">
        <v>2.5</v>
      </c>
    </row>
    <row r="124" spans="1:1" ht="20.100000000000001" customHeight="1" thickBot="1" x14ac:dyDescent="0.35">
      <c r="A124" s="2">
        <v>2.75</v>
      </c>
    </row>
    <row r="125" spans="1:1" ht="20.100000000000001" customHeight="1" thickBot="1" x14ac:dyDescent="0.35">
      <c r="A125" s="2">
        <v>3</v>
      </c>
    </row>
    <row r="126" spans="1:1" ht="20.100000000000001" customHeight="1" thickBot="1" x14ac:dyDescent="0.35">
      <c r="A126" s="2">
        <v>3.25</v>
      </c>
    </row>
    <row r="127" spans="1:1" ht="20.100000000000001" customHeight="1" thickBot="1" x14ac:dyDescent="0.35">
      <c r="A127" s="2">
        <v>3.5</v>
      </c>
    </row>
    <row r="128" spans="1:1" ht="20.100000000000001" customHeight="1" thickBot="1" x14ac:dyDescent="0.35">
      <c r="A128" s="2">
        <v>3.75</v>
      </c>
    </row>
    <row r="129" spans="1:1" ht="20.100000000000001" customHeight="1" thickBot="1" x14ac:dyDescent="0.35">
      <c r="A129" s="2">
        <v>4</v>
      </c>
    </row>
    <row r="130" spans="1:1" ht="20.100000000000001" customHeight="1" thickBot="1" x14ac:dyDescent="0.35">
      <c r="A130" s="2">
        <v>4.25</v>
      </c>
    </row>
    <row r="131" spans="1:1" ht="20.100000000000001" customHeight="1" thickBot="1" x14ac:dyDescent="0.35">
      <c r="A131" s="2">
        <v>4.5</v>
      </c>
    </row>
    <row r="132" spans="1:1" ht="20.100000000000001" customHeight="1" thickBot="1" x14ac:dyDescent="0.35">
      <c r="A132" s="2">
        <v>4.75</v>
      </c>
    </row>
    <row r="133" spans="1:1" ht="20.100000000000001" customHeight="1" thickBot="1" x14ac:dyDescent="0.35">
      <c r="A133" s="2">
        <v>5</v>
      </c>
    </row>
    <row r="134" spans="1:1" ht="20.100000000000001" customHeight="1" thickBot="1" x14ac:dyDescent="0.35">
      <c r="A134" s="2">
        <v>5.25</v>
      </c>
    </row>
    <row r="135" spans="1:1" ht="20.100000000000001" customHeight="1" thickBot="1" x14ac:dyDescent="0.35">
      <c r="A135" s="2">
        <v>5.5</v>
      </c>
    </row>
    <row r="136" spans="1:1" ht="20.100000000000001" customHeight="1" thickBot="1" x14ac:dyDescent="0.35">
      <c r="A136" s="2">
        <v>5.75</v>
      </c>
    </row>
    <row r="137" spans="1:1" ht="20.100000000000001" customHeight="1" thickBot="1" x14ac:dyDescent="0.35">
      <c r="A137" s="2">
        <v>6</v>
      </c>
    </row>
    <row r="138" spans="1:1" ht="20.100000000000001" customHeight="1" thickBot="1" x14ac:dyDescent="0.35">
      <c r="A138" s="2">
        <v>6.25</v>
      </c>
    </row>
    <row r="139" spans="1:1" ht="20.100000000000001" customHeight="1" thickBot="1" x14ac:dyDescent="0.35">
      <c r="A139" s="2">
        <v>6.5</v>
      </c>
    </row>
    <row r="140" spans="1:1" ht="20.100000000000001" customHeight="1" thickBot="1" x14ac:dyDescent="0.35">
      <c r="A140" s="2">
        <v>6.75</v>
      </c>
    </row>
    <row r="141" spans="1:1" ht="20.100000000000001" customHeight="1" thickBot="1" x14ac:dyDescent="0.35">
      <c r="A141" s="2">
        <v>7</v>
      </c>
    </row>
    <row r="142" spans="1:1" ht="20.100000000000001" customHeight="1" thickBot="1" x14ac:dyDescent="0.35">
      <c r="A142" s="2">
        <v>7.25</v>
      </c>
    </row>
    <row r="143" spans="1:1" ht="20.100000000000001" customHeight="1" thickBot="1" x14ac:dyDescent="0.35">
      <c r="A143" s="2">
        <v>7.5</v>
      </c>
    </row>
    <row r="144" spans="1:1" ht="20.100000000000001" customHeight="1" thickBot="1" x14ac:dyDescent="0.35">
      <c r="A144" s="2">
        <v>7.75</v>
      </c>
    </row>
    <row r="145" spans="1:1" ht="20.100000000000001" customHeight="1" thickBot="1" x14ac:dyDescent="0.35">
      <c r="A145" s="2">
        <v>8</v>
      </c>
    </row>
    <row r="146" spans="1:1" ht="20.100000000000001" customHeight="1" thickBot="1" x14ac:dyDescent="0.35">
      <c r="A146" s="2">
        <v>8.25</v>
      </c>
    </row>
    <row r="147" spans="1:1" ht="20.100000000000001" customHeight="1" thickBot="1" x14ac:dyDescent="0.35">
      <c r="A147" s="2">
        <v>8.5</v>
      </c>
    </row>
    <row r="148" spans="1:1" ht="20.100000000000001" customHeight="1" thickBot="1" x14ac:dyDescent="0.35">
      <c r="A148" s="2">
        <v>8.75</v>
      </c>
    </row>
    <row r="149" spans="1:1" ht="20.100000000000001" customHeight="1" thickBot="1" x14ac:dyDescent="0.35">
      <c r="A149" s="2">
        <v>9</v>
      </c>
    </row>
    <row r="150" spans="1:1" ht="20.100000000000001" customHeight="1" thickBot="1" x14ac:dyDescent="0.35">
      <c r="A150" s="2">
        <v>9.25</v>
      </c>
    </row>
    <row r="151" spans="1:1" ht="20.100000000000001" customHeight="1" thickBot="1" x14ac:dyDescent="0.35">
      <c r="A151" s="2">
        <v>9.5</v>
      </c>
    </row>
    <row r="152" spans="1:1" ht="20.100000000000001" customHeight="1" thickBot="1" x14ac:dyDescent="0.35">
      <c r="A152" s="2">
        <v>9.75</v>
      </c>
    </row>
    <row r="153" spans="1:1" ht="20.100000000000001" customHeight="1" thickBot="1" x14ac:dyDescent="0.35">
      <c r="A153" s="2">
        <v>10</v>
      </c>
    </row>
    <row r="154" spans="1:1" ht="20.100000000000001" customHeight="1" thickBot="1" x14ac:dyDescent="0.35">
      <c r="A154" s="2">
        <v>10.25</v>
      </c>
    </row>
    <row r="155" spans="1:1" ht="20.100000000000001" customHeight="1" thickBot="1" x14ac:dyDescent="0.35">
      <c r="A155" s="2">
        <v>10.5</v>
      </c>
    </row>
    <row r="156" spans="1:1" ht="20.100000000000001" customHeight="1" thickBot="1" x14ac:dyDescent="0.35">
      <c r="A156" s="2">
        <v>10.75</v>
      </c>
    </row>
    <row r="157" spans="1:1" ht="20.100000000000001" customHeight="1" thickBot="1" x14ac:dyDescent="0.35">
      <c r="A157" s="2">
        <v>11</v>
      </c>
    </row>
    <row r="158" spans="1:1" ht="20.100000000000001" customHeight="1" thickBot="1" x14ac:dyDescent="0.35">
      <c r="A158" s="2">
        <v>11.25</v>
      </c>
    </row>
    <row r="159" spans="1:1" ht="20.100000000000001" customHeight="1" thickBot="1" x14ac:dyDescent="0.35">
      <c r="A159" s="2">
        <v>11.5</v>
      </c>
    </row>
    <row r="160" spans="1:1" ht="20.100000000000001" customHeight="1" thickBot="1" x14ac:dyDescent="0.35">
      <c r="A160" s="2">
        <v>11.75</v>
      </c>
    </row>
    <row r="161" spans="1:1" ht="20.100000000000001" customHeight="1" thickBot="1" x14ac:dyDescent="0.35">
      <c r="A161" s="2">
        <v>12</v>
      </c>
    </row>
    <row r="162" spans="1:1" ht="20.100000000000001" customHeight="1" thickBot="1" x14ac:dyDescent="0.35">
      <c r="A162" s="2">
        <v>12.25</v>
      </c>
    </row>
    <row r="163" spans="1:1" ht="20.100000000000001" customHeight="1" thickBot="1" x14ac:dyDescent="0.35">
      <c r="A163" s="2">
        <v>12.5</v>
      </c>
    </row>
    <row r="164" spans="1:1" ht="20.100000000000001" customHeight="1" thickBot="1" x14ac:dyDescent="0.35">
      <c r="A164" s="2">
        <v>12.75</v>
      </c>
    </row>
    <row r="165" spans="1:1" ht="20.100000000000001" customHeight="1" thickBot="1" x14ac:dyDescent="0.35">
      <c r="A165" s="2">
        <v>13</v>
      </c>
    </row>
    <row r="166" spans="1:1" ht="20.100000000000001" customHeight="1" thickBot="1" x14ac:dyDescent="0.35">
      <c r="A166" s="2">
        <v>13.25</v>
      </c>
    </row>
    <row r="167" spans="1:1" ht="20.100000000000001" customHeight="1" thickBot="1" x14ac:dyDescent="0.35">
      <c r="A167" s="2">
        <v>13.5</v>
      </c>
    </row>
    <row r="168" spans="1:1" ht="20.100000000000001" customHeight="1" thickBot="1" x14ac:dyDescent="0.35">
      <c r="A168" s="2">
        <v>13.75</v>
      </c>
    </row>
    <row r="169" spans="1:1" ht="20.100000000000001" customHeight="1" thickBot="1" x14ac:dyDescent="0.35">
      <c r="A169" s="2">
        <v>14</v>
      </c>
    </row>
    <row r="170" spans="1:1" ht="20.100000000000001" customHeight="1" thickBot="1" x14ac:dyDescent="0.35">
      <c r="A170" s="2">
        <v>14.25</v>
      </c>
    </row>
    <row r="171" spans="1:1" ht="20.100000000000001" customHeight="1" thickBot="1" x14ac:dyDescent="0.35">
      <c r="A171" s="2">
        <v>14.5</v>
      </c>
    </row>
    <row r="172" spans="1:1" ht="20.100000000000001" customHeight="1" thickBot="1" x14ac:dyDescent="0.35">
      <c r="A172" s="2">
        <v>14.75</v>
      </c>
    </row>
    <row r="173" spans="1:1" ht="20.100000000000001" customHeight="1" thickBot="1" x14ac:dyDescent="0.35">
      <c r="A173" s="2">
        <v>15</v>
      </c>
    </row>
    <row r="174" spans="1:1" ht="20.100000000000001" customHeight="1" thickBot="1" x14ac:dyDescent="0.35">
      <c r="A174" s="2">
        <v>15.25</v>
      </c>
    </row>
    <row r="175" spans="1:1" ht="20.100000000000001" customHeight="1" thickBot="1" x14ac:dyDescent="0.35">
      <c r="A175" s="2">
        <v>15.5</v>
      </c>
    </row>
    <row r="176" spans="1:1" ht="20.100000000000001" customHeight="1" thickBot="1" x14ac:dyDescent="0.35">
      <c r="A176" s="2">
        <v>15.75</v>
      </c>
    </row>
    <row r="177" spans="1:1" ht="20.100000000000001" customHeight="1" thickBot="1" x14ac:dyDescent="0.35">
      <c r="A177" s="2">
        <v>16</v>
      </c>
    </row>
    <row r="178" spans="1:1" ht="20.100000000000001" customHeight="1" thickBot="1" x14ac:dyDescent="0.35">
      <c r="A178" s="2">
        <v>16.25</v>
      </c>
    </row>
    <row r="179" spans="1:1" ht="20.100000000000001" customHeight="1" thickBot="1" x14ac:dyDescent="0.35">
      <c r="A179" s="2">
        <v>16.5</v>
      </c>
    </row>
    <row r="180" spans="1:1" ht="20.100000000000001" customHeight="1" thickBot="1" x14ac:dyDescent="0.35">
      <c r="A180" s="2">
        <v>16.75</v>
      </c>
    </row>
    <row r="181" spans="1:1" ht="20.100000000000001" customHeight="1" thickBot="1" x14ac:dyDescent="0.35">
      <c r="A181" s="2">
        <v>17</v>
      </c>
    </row>
    <row r="182" spans="1:1" ht="20.100000000000001" customHeight="1" thickBot="1" x14ac:dyDescent="0.35">
      <c r="A182" s="2">
        <v>17.25</v>
      </c>
    </row>
    <row r="183" spans="1:1" ht="20.100000000000001" customHeight="1" thickBot="1" x14ac:dyDescent="0.35">
      <c r="A183" s="2">
        <v>17.5</v>
      </c>
    </row>
    <row r="184" spans="1:1" ht="20.100000000000001" customHeight="1" thickBot="1" x14ac:dyDescent="0.35">
      <c r="A184" s="2">
        <v>17.75</v>
      </c>
    </row>
    <row r="185" spans="1:1" ht="20.100000000000001" customHeight="1" thickBot="1" x14ac:dyDescent="0.35">
      <c r="A185" s="2">
        <v>18</v>
      </c>
    </row>
    <row r="186" spans="1:1" ht="20.100000000000001" customHeight="1" thickBot="1" x14ac:dyDescent="0.35">
      <c r="A186" s="2">
        <v>18.25</v>
      </c>
    </row>
    <row r="187" spans="1:1" ht="20.100000000000001" customHeight="1" thickBot="1" x14ac:dyDescent="0.35">
      <c r="A187" s="2">
        <v>18.5</v>
      </c>
    </row>
    <row r="188" spans="1:1" ht="20.100000000000001" customHeight="1" thickBot="1" x14ac:dyDescent="0.35">
      <c r="A188" s="2">
        <v>18.75</v>
      </c>
    </row>
    <row r="189" spans="1:1" ht="20.100000000000001" customHeight="1" thickBot="1" x14ac:dyDescent="0.35">
      <c r="A189" s="2">
        <v>19</v>
      </c>
    </row>
    <row r="190" spans="1:1" ht="20.100000000000001" customHeight="1" thickBot="1" x14ac:dyDescent="0.35">
      <c r="A190" s="2">
        <v>19.25</v>
      </c>
    </row>
    <row r="191" spans="1:1" ht="20.100000000000001" customHeight="1" thickBot="1" x14ac:dyDescent="0.35">
      <c r="A191" s="2">
        <v>19.5</v>
      </c>
    </row>
    <row r="192" spans="1:1" ht="20.100000000000001" customHeight="1" thickBot="1" x14ac:dyDescent="0.35">
      <c r="A192" s="2">
        <v>19.75</v>
      </c>
    </row>
    <row r="193" spans="1:1" ht="20.100000000000001" customHeight="1" thickBot="1" x14ac:dyDescent="0.35">
      <c r="A193" s="2">
        <v>20</v>
      </c>
    </row>
    <row r="197" spans="1:1" ht="20.100000000000001" customHeight="1" thickBot="1" x14ac:dyDescent="0.35"/>
    <row r="198" spans="1:1" ht="20.100000000000001" customHeight="1" thickBot="1" x14ac:dyDescent="0.35">
      <c r="A198" s="2" t="s">
        <v>59</v>
      </c>
    </row>
    <row r="199" spans="1:1" ht="20.100000000000001" customHeight="1" x14ac:dyDescent="0.3">
      <c r="A199" s="25" t="s">
        <v>89</v>
      </c>
    </row>
    <row r="200" spans="1:1" ht="20.100000000000001" customHeight="1" x14ac:dyDescent="0.3">
      <c r="A200" s="25" t="s">
        <v>90</v>
      </c>
    </row>
    <row r="201" spans="1:1" ht="20.100000000000001" customHeight="1" x14ac:dyDescent="0.3">
      <c r="A201" s="25" t="s">
        <v>91</v>
      </c>
    </row>
    <row r="202" spans="1:1" ht="20.100000000000001" customHeight="1" x14ac:dyDescent="0.3">
      <c r="A202" s="25" t="s">
        <v>92</v>
      </c>
    </row>
    <row r="203" spans="1:1" ht="20.100000000000001" customHeight="1" x14ac:dyDescent="0.3">
      <c r="A203" s="25" t="s">
        <v>93</v>
      </c>
    </row>
    <row r="204" spans="1:1" ht="20.100000000000001" customHeight="1" x14ac:dyDescent="0.3">
      <c r="A204" s="25" t="s">
        <v>94</v>
      </c>
    </row>
    <row r="205" spans="1:1" ht="20.100000000000001" customHeight="1" x14ac:dyDescent="0.3">
      <c r="A205" s="25" t="s">
        <v>95</v>
      </c>
    </row>
    <row r="206" spans="1:1" ht="20.100000000000001" customHeight="1" x14ac:dyDescent="0.3">
      <c r="A206" s="25" t="s">
        <v>96</v>
      </c>
    </row>
    <row r="207" spans="1:1" ht="20.100000000000001" customHeight="1" x14ac:dyDescent="0.3">
      <c r="A207" s="25" t="s">
        <v>97</v>
      </c>
    </row>
    <row r="208" spans="1:1" ht="20.100000000000001" customHeight="1" x14ac:dyDescent="0.3">
      <c r="A208" s="26" t="s">
        <v>98</v>
      </c>
    </row>
    <row r="209" spans="1:1" ht="20.100000000000001" customHeight="1" x14ac:dyDescent="0.3">
      <c r="A209" s="26" t="s">
        <v>99</v>
      </c>
    </row>
    <row r="210" spans="1:1" ht="20.100000000000001" customHeight="1" x14ac:dyDescent="0.3">
      <c r="A210" s="25" t="s">
        <v>100</v>
      </c>
    </row>
    <row r="211" spans="1:1" ht="20.100000000000001" customHeight="1" x14ac:dyDescent="0.3">
      <c r="A211" s="25" t="s">
        <v>101</v>
      </c>
    </row>
    <row r="212" spans="1:1" ht="20.100000000000001" customHeight="1" x14ac:dyDescent="0.3">
      <c r="A212" s="25" t="s">
        <v>175</v>
      </c>
    </row>
    <row r="213" spans="1:1" ht="20.100000000000001" customHeight="1" x14ac:dyDescent="0.3">
      <c r="A213" s="25" t="s">
        <v>102</v>
      </c>
    </row>
    <row r="214" spans="1:1" ht="20.100000000000001" customHeight="1" x14ac:dyDescent="0.3">
      <c r="A214" s="25" t="s">
        <v>103</v>
      </c>
    </row>
    <row r="215" spans="1:1" ht="20.100000000000001" customHeight="1" x14ac:dyDescent="0.3">
      <c r="A215" s="25" t="s">
        <v>104</v>
      </c>
    </row>
    <row r="216" spans="1:1" ht="20.100000000000001" customHeight="1" x14ac:dyDescent="0.3">
      <c r="A216" s="25" t="s">
        <v>105</v>
      </c>
    </row>
    <row r="217" spans="1:1" ht="20.100000000000001" customHeight="1" x14ac:dyDescent="0.3">
      <c r="A217" s="25" t="s">
        <v>106</v>
      </c>
    </row>
    <row r="218" spans="1:1" ht="20.100000000000001" customHeight="1" x14ac:dyDescent="0.3">
      <c r="A218" s="25" t="s">
        <v>107</v>
      </c>
    </row>
    <row r="219" spans="1:1" ht="20.100000000000001" customHeight="1" x14ac:dyDescent="0.3">
      <c r="A219" s="25" t="s">
        <v>108</v>
      </c>
    </row>
    <row r="220" spans="1:1" ht="20.100000000000001" customHeight="1" x14ac:dyDescent="0.3">
      <c r="A220" s="25" t="s">
        <v>109</v>
      </c>
    </row>
    <row r="221" spans="1:1" ht="20.100000000000001" customHeight="1" x14ac:dyDescent="0.3">
      <c r="A221" s="25" t="s">
        <v>110</v>
      </c>
    </row>
    <row r="222" spans="1:1" ht="20.100000000000001" customHeight="1" x14ac:dyDescent="0.3">
      <c r="A222" s="25" t="s">
        <v>111</v>
      </c>
    </row>
    <row r="223" spans="1:1" ht="20.100000000000001" customHeight="1" x14ac:dyDescent="0.3">
      <c r="A223" s="25" t="s">
        <v>112</v>
      </c>
    </row>
    <row r="224" spans="1:1" ht="20.100000000000001" customHeight="1" x14ac:dyDescent="0.3">
      <c r="A224" s="25" t="s">
        <v>176</v>
      </c>
    </row>
    <row r="225" spans="1:1" ht="20.100000000000001" customHeight="1" x14ac:dyDescent="0.3">
      <c r="A225" s="25" t="s">
        <v>113</v>
      </c>
    </row>
    <row r="226" spans="1:1" ht="20.100000000000001" customHeight="1" x14ac:dyDescent="0.3">
      <c r="A226" s="25" t="s">
        <v>114</v>
      </c>
    </row>
    <row r="227" spans="1:1" ht="20.100000000000001" customHeight="1" x14ac:dyDescent="0.3">
      <c r="A227" s="25" t="s">
        <v>115</v>
      </c>
    </row>
    <row r="228" spans="1:1" ht="20.100000000000001" customHeight="1" x14ac:dyDescent="0.3">
      <c r="A228" s="25" t="s">
        <v>116</v>
      </c>
    </row>
    <row r="229" spans="1:1" ht="20.100000000000001" customHeight="1" x14ac:dyDescent="0.3">
      <c r="A229" s="25" t="s">
        <v>117</v>
      </c>
    </row>
    <row r="230" spans="1:1" ht="20.100000000000001" customHeight="1" x14ac:dyDescent="0.3">
      <c r="A230" s="25" t="s">
        <v>118</v>
      </c>
    </row>
    <row r="231" spans="1:1" ht="20.100000000000001" customHeight="1" x14ac:dyDescent="0.3">
      <c r="A231" s="25" t="s">
        <v>119</v>
      </c>
    </row>
    <row r="232" spans="1:1" ht="20.100000000000001" customHeight="1" x14ac:dyDescent="0.3">
      <c r="A232" s="25" t="s">
        <v>120</v>
      </c>
    </row>
    <row r="233" spans="1:1" ht="20.100000000000001" customHeight="1" x14ac:dyDescent="0.3">
      <c r="A233" s="25" t="s">
        <v>121</v>
      </c>
    </row>
    <row r="234" spans="1:1" ht="20.100000000000001" customHeight="1" x14ac:dyDescent="0.3">
      <c r="A234" s="25" t="s">
        <v>122</v>
      </c>
    </row>
    <row r="235" spans="1:1" ht="20.100000000000001" customHeight="1" x14ac:dyDescent="0.3">
      <c r="A235" s="25" t="s">
        <v>123</v>
      </c>
    </row>
    <row r="236" spans="1:1" ht="20.100000000000001" customHeight="1" x14ac:dyDescent="0.3">
      <c r="A236" s="27" t="s">
        <v>124</v>
      </c>
    </row>
    <row r="237" spans="1:1" ht="20.100000000000001" customHeight="1" x14ac:dyDescent="0.3">
      <c r="A237" s="25" t="s">
        <v>125</v>
      </c>
    </row>
    <row r="238" spans="1:1" ht="20.100000000000001" customHeight="1" x14ac:dyDescent="0.3">
      <c r="A238" s="25" t="s">
        <v>126</v>
      </c>
    </row>
    <row r="239" spans="1:1" ht="20.100000000000001" customHeight="1" x14ac:dyDescent="0.3">
      <c r="A239" s="25" t="s">
        <v>127</v>
      </c>
    </row>
    <row r="240" spans="1:1" ht="20.100000000000001" customHeight="1" x14ac:dyDescent="0.3">
      <c r="A240" s="25" t="s">
        <v>128</v>
      </c>
    </row>
    <row r="241" spans="1:1" ht="20.100000000000001" customHeight="1" x14ac:dyDescent="0.3">
      <c r="A241" s="25" t="s">
        <v>129</v>
      </c>
    </row>
    <row r="242" spans="1:1" ht="20.100000000000001" customHeight="1" x14ac:dyDescent="0.3">
      <c r="A242" s="25" t="s">
        <v>130</v>
      </c>
    </row>
    <row r="243" spans="1:1" ht="20.100000000000001" customHeight="1" x14ac:dyDescent="0.3">
      <c r="A243" s="25" t="s">
        <v>131</v>
      </c>
    </row>
    <row r="244" spans="1:1" ht="20.100000000000001" customHeight="1" x14ac:dyDescent="0.3">
      <c r="A244" s="25" t="s">
        <v>132</v>
      </c>
    </row>
    <row r="245" spans="1:1" ht="20.100000000000001" customHeight="1" x14ac:dyDescent="0.3">
      <c r="A245" s="25" t="s">
        <v>133</v>
      </c>
    </row>
    <row r="246" spans="1:1" ht="20.100000000000001" customHeight="1" x14ac:dyDescent="0.3">
      <c r="A246" s="25" t="s">
        <v>134</v>
      </c>
    </row>
    <row r="247" spans="1:1" ht="20.100000000000001" customHeight="1" x14ac:dyDescent="0.3">
      <c r="A247" s="25" t="s">
        <v>135</v>
      </c>
    </row>
    <row r="248" spans="1:1" ht="20.100000000000001" customHeight="1" x14ac:dyDescent="0.3">
      <c r="A248" s="25" t="s">
        <v>126</v>
      </c>
    </row>
    <row r="249" spans="1:1" ht="20.100000000000001" customHeight="1" x14ac:dyDescent="0.3">
      <c r="A249" s="25" t="s">
        <v>136</v>
      </c>
    </row>
    <row r="250" spans="1:1" ht="20.100000000000001" customHeight="1" x14ac:dyDescent="0.3">
      <c r="A250" s="25" t="s">
        <v>137</v>
      </c>
    </row>
    <row r="251" spans="1:1" ht="20.100000000000001" customHeight="1" x14ac:dyDescent="0.3">
      <c r="A251" s="27" t="s">
        <v>138</v>
      </c>
    </row>
    <row r="252" spans="1:1" ht="20.100000000000001" customHeight="1" x14ac:dyDescent="0.3">
      <c r="A252" s="28" t="s">
        <v>139</v>
      </c>
    </row>
    <row r="253" spans="1:1" ht="20.100000000000001" customHeight="1" x14ac:dyDescent="0.3">
      <c r="A253" s="25" t="s">
        <v>140</v>
      </c>
    </row>
    <row r="254" spans="1:1" ht="20.100000000000001" customHeight="1" x14ac:dyDescent="0.3">
      <c r="A254" s="25" t="s">
        <v>141</v>
      </c>
    </row>
    <row r="255" spans="1:1" ht="20.100000000000001" customHeight="1" x14ac:dyDescent="0.3">
      <c r="A255" s="29" t="s">
        <v>142</v>
      </c>
    </row>
    <row r="256" spans="1:1" ht="20.100000000000001" customHeight="1" x14ac:dyDescent="0.3">
      <c r="A256" s="29" t="s">
        <v>143</v>
      </c>
    </row>
    <row r="257" spans="1:1" ht="20.100000000000001" customHeight="1" x14ac:dyDescent="0.3">
      <c r="A257" s="30" t="s">
        <v>144</v>
      </c>
    </row>
    <row r="258" spans="1:1" ht="20.100000000000001" customHeight="1" x14ac:dyDescent="0.3">
      <c r="A258" s="25" t="s">
        <v>145</v>
      </c>
    </row>
    <row r="259" spans="1:1" ht="20.100000000000001" customHeight="1" x14ac:dyDescent="0.3">
      <c r="A259" s="30" t="s">
        <v>146</v>
      </c>
    </row>
    <row r="260" spans="1:1" ht="20.100000000000001" customHeight="1" x14ac:dyDescent="0.3">
      <c r="A260" s="25" t="s">
        <v>147</v>
      </c>
    </row>
    <row r="261" spans="1:1" ht="20.100000000000001" customHeight="1" x14ac:dyDescent="0.3">
      <c r="A261" s="30" t="s">
        <v>148</v>
      </c>
    </row>
    <row r="262" spans="1:1" ht="20.100000000000001" customHeight="1" x14ac:dyDescent="0.3">
      <c r="A262" s="25" t="s">
        <v>149</v>
      </c>
    </row>
    <row r="263" spans="1:1" ht="20.100000000000001" customHeight="1" x14ac:dyDescent="0.3">
      <c r="A263" s="25" t="s">
        <v>150</v>
      </c>
    </row>
    <row r="264" spans="1:1" ht="20.100000000000001" customHeight="1" x14ac:dyDescent="0.3">
      <c r="A264" s="30" t="s">
        <v>151</v>
      </c>
    </row>
    <row r="265" spans="1:1" ht="20.100000000000001" customHeight="1" x14ac:dyDescent="0.3">
      <c r="A265" s="30" t="s">
        <v>152</v>
      </c>
    </row>
    <row r="266" spans="1:1" ht="20.100000000000001" customHeight="1" x14ac:dyDescent="0.3">
      <c r="A266" s="30" t="s">
        <v>153</v>
      </c>
    </row>
    <row r="267" spans="1:1" ht="20.100000000000001" customHeight="1" x14ac:dyDescent="0.3">
      <c r="A267" s="25" t="s">
        <v>154</v>
      </c>
    </row>
    <row r="268" spans="1:1" ht="20.100000000000001" customHeight="1" x14ac:dyDescent="0.3">
      <c r="A268" s="25" t="s">
        <v>155</v>
      </c>
    </row>
    <row r="269" spans="1:1" ht="20.100000000000001" customHeight="1" x14ac:dyDescent="0.3">
      <c r="A269" s="25" t="s">
        <v>156</v>
      </c>
    </row>
    <row r="270" spans="1:1" ht="20.100000000000001" customHeight="1" x14ac:dyDescent="0.3">
      <c r="A270" s="25" t="s">
        <v>157</v>
      </c>
    </row>
    <row r="271" spans="1:1" ht="20.100000000000001" customHeight="1" x14ac:dyDescent="0.3">
      <c r="A271" s="30" t="s">
        <v>158</v>
      </c>
    </row>
    <row r="272" spans="1:1" ht="20.100000000000001" customHeight="1" x14ac:dyDescent="0.3">
      <c r="A272" s="30" t="s">
        <v>159</v>
      </c>
    </row>
    <row r="273" spans="1:1" ht="20.100000000000001" customHeight="1" x14ac:dyDescent="0.3">
      <c r="A273" s="25" t="s">
        <v>160</v>
      </c>
    </row>
    <row r="274" spans="1:1" ht="20.100000000000001" customHeight="1" x14ac:dyDescent="0.3">
      <c r="A274" s="30" t="s">
        <v>161</v>
      </c>
    </row>
    <row r="275" spans="1:1" ht="20.100000000000001" customHeight="1" x14ac:dyDescent="0.3">
      <c r="A275" s="30" t="s">
        <v>162</v>
      </c>
    </row>
    <row r="276" spans="1:1" ht="20.100000000000001" customHeight="1" x14ac:dyDescent="0.3">
      <c r="A276" s="25" t="s">
        <v>163</v>
      </c>
    </row>
    <row r="277" spans="1:1" ht="20.100000000000001" customHeight="1" x14ac:dyDescent="0.3">
      <c r="A277" s="25" t="s">
        <v>164</v>
      </c>
    </row>
    <row r="278" spans="1:1" ht="20.100000000000001" customHeight="1" x14ac:dyDescent="0.3">
      <c r="A278" s="30" t="s">
        <v>165</v>
      </c>
    </row>
    <row r="279" spans="1:1" ht="20.100000000000001" customHeight="1" x14ac:dyDescent="0.3">
      <c r="A279" s="25" t="s">
        <v>166</v>
      </c>
    </row>
    <row r="280" spans="1:1" ht="20.100000000000001" customHeight="1" x14ac:dyDescent="0.3">
      <c r="A280" s="25" t="s">
        <v>167</v>
      </c>
    </row>
    <row r="281" spans="1:1" ht="20.100000000000001" customHeight="1" x14ac:dyDescent="0.3">
      <c r="A281" s="25" t="s">
        <v>168</v>
      </c>
    </row>
    <row r="282" spans="1:1" ht="20.100000000000001" customHeight="1" x14ac:dyDescent="0.3">
      <c r="A282" s="25" t="s">
        <v>169</v>
      </c>
    </row>
    <row r="283" spans="1:1" ht="20.100000000000001" customHeight="1" x14ac:dyDescent="0.3">
      <c r="A283" s="30" t="s">
        <v>170</v>
      </c>
    </row>
    <row r="284" spans="1:1" ht="20.100000000000001" customHeight="1" x14ac:dyDescent="0.3">
      <c r="A284" s="30" t="s">
        <v>171</v>
      </c>
    </row>
    <row r="285" spans="1:1" ht="20.100000000000001" customHeight="1" x14ac:dyDescent="0.3">
      <c r="A285" s="30" t="s">
        <v>172</v>
      </c>
    </row>
    <row r="286" spans="1:1" ht="20.100000000000001" customHeight="1" thickBot="1" x14ac:dyDescent="0.35">
      <c r="A286" s="25" t="s">
        <v>173</v>
      </c>
    </row>
    <row r="287" spans="1:1" ht="20.100000000000001" customHeight="1" thickBot="1" x14ac:dyDescent="0.35">
      <c r="A287" s="2" t="s">
        <v>58</v>
      </c>
    </row>
    <row r="288" spans="1:1" ht="20.100000000000001" customHeight="1" thickBot="1" x14ac:dyDescent="0.35">
      <c r="A288" s="2" t="s">
        <v>58</v>
      </c>
    </row>
    <row r="289" spans="1:1" ht="20.100000000000001" customHeight="1" thickBot="1" x14ac:dyDescent="0.35">
      <c r="A289" s="2" t="s">
        <v>58</v>
      </c>
    </row>
    <row r="290" spans="1:1" ht="20.100000000000001" customHeight="1" thickBot="1" x14ac:dyDescent="0.35">
      <c r="A290" s="2" t="s">
        <v>58</v>
      </c>
    </row>
    <row r="291" spans="1:1" ht="20.100000000000001" customHeight="1" thickBot="1" x14ac:dyDescent="0.35">
      <c r="A291" s="2" t="s">
        <v>58</v>
      </c>
    </row>
    <row r="292" spans="1:1" ht="20.100000000000001" customHeight="1" thickBot="1" x14ac:dyDescent="0.35">
      <c r="A292" s="2" t="s">
        <v>58</v>
      </c>
    </row>
    <row r="293" spans="1:1" ht="20.100000000000001" customHeight="1" thickBot="1" x14ac:dyDescent="0.35">
      <c r="A293" s="2" t="s">
        <v>58</v>
      </c>
    </row>
    <row r="294" spans="1:1" ht="20.100000000000001" customHeight="1" thickBot="1" x14ac:dyDescent="0.35">
      <c r="A294" s="2" t="s">
        <v>58</v>
      </c>
    </row>
    <row r="295" spans="1:1" ht="20.100000000000001" customHeight="1" thickBot="1" x14ac:dyDescent="0.35">
      <c r="A295" s="2" t="s">
        <v>58</v>
      </c>
    </row>
    <row r="296" spans="1:1" ht="20.100000000000001" customHeight="1" thickBot="1" x14ac:dyDescent="0.35">
      <c r="A296" s="2" t="s">
        <v>58</v>
      </c>
    </row>
    <row r="297" spans="1:1" ht="20.100000000000001" customHeight="1" thickBot="1" x14ac:dyDescent="0.35">
      <c r="A297" s="2" t="s">
        <v>58</v>
      </c>
    </row>
    <row r="298" spans="1:1" ht="20.100000000000001" customHeight="1" thickBot="1" x14ac:dyDescent="0.35">
      <c r="A298" s="2" t="s">
        <v>58</v>
      </c>
    </row>
    <row r="299" spans="1:1" ht="20.100000000000001" customHeight="1" thickBot="1" x14ac:dyDescent="0.35">
      <c r="A299" s="2" t="s">
        <v>58</v>
      </c>
    </row>
    <row r="300" spans="1:1" ht="20.100000000000001" customHeight="1" thickBot="1" x14ac:dyDescent="0.35">
      <c r="A300" s="2" t="s">
        <v>58</v>
      </c>
    </row>
    <row r="301" spans="1:1" ht="20.100000000000001" customHeight="1" thickBot="1" x14ac:dyDescent="0.35">
      <c r="A301" s="2" t="s">
        <v>58</v>
      </c>
    </row>
    <row r="302" spans="1:1" ht="20.100000000000001" customHeight="1" thickBot="1" x14ac:dyDescent="0.35">
      <c r="A302" s="2" t="s">
        <v>58</v>
      </c>
    </row>
    <row r="303" spans="1:1" ht="20.100000000000001" customHeight="1" thickBot="1" x14ac:dyDescent="0.35">
      <c r="A303" s="2" t="s">
        <v>58</v>
      </c>
    </row>
    <row r="304" spans="1:1" ht="20.100000000000001" customHeight="1" thickBot="1" x14ac:dyDescent="0.35">
      <c r="A304" s="2" t="s">
        <v>58</v>
      </c>
    </row>
    <row r="305" spans="1:1" ht="20.100000000000001" customHeight="1" thickBot="1" x14ac:dyDescent="0.35">
      <c r="A305" s="2" t="s">
        <v>58</v>
      </c>
    </row>
    <row r="306" spans="1:1" ht="20.100000000000001" customHeight="1" thickBot="1" x14ac:dyDescent="0.35">
      <c r="A306" s="2" t="s">
        <v>58</v>
      </c>
    </row>
    <row r="307" spans="1:1" ht="20.100000000000001" customHeight="1" thickBot="1" x14ac:dyDescent="0.35">
      <c r="A307" s="2" t="s">
        <v>58</v>
      </c>
    </row>
    <row r="308" spans="1:1" ht="20.100000000000001" customHeight="1" thickBot="1" x14ac:dyDescent="0.35">
      <c r="A308" s="2" t="s">
        <v>58</v>
      </c>
    </row>
    <row r="309" spans="1:1" ht="20.100000000000001" customHeight="1" thickBot="1" x14ac:dyDescent="0.35">
      <c r="A309" s="2" t="s">
        <v>58</v>
      </c>
    </row>
    <row r="310" spans="1:1" ht="20.100000000000001" customHeight="1" thickBot="1" x14ac:dyDescent="0.35">
      <c r="A310" s="2" t="s">
        <v>58</v>
      </c>
    </row>
    <row r="311" spans="1:1" ht="20.100000000000001" customHeight="1" thickBot="1" x14ac:dyDescent="0.35">
      <c r="A311" s="2" t="s">
        <v>58</v>
      </c>
    </row>
    <row r="312" spans="1:1" ht="20.100000000000001" customHeight="1" thickBot="1" x14ac:dyDescent="0.35">
      <c r="A312" s="2" t="s">
        <v>58</v>
      </c>
    </row>
    <row r="313" spans="1:1" ht="20.100000000000001" customHeight="1" thickBot="1" x14ac:dyDescent="0.35">
      <c r="A313" s="2" t="s">
        <v>58</v>
      </c>
    </row>
    <row r="314" spans="1:1" ht="20.100000000000001" customHeight="1" thickBot="1" x14ac:dyDescent="0.35">
      <c r="A314" s="2" t="s">
        <v>58</v>
      </c>
    </row>
    <row r="315" spans="1:1" ht="20.100000000000001" customHeight="1" thickBot="1" x14ac:dyDescent="0.35">
      <c r="A315" s="2" t="s">
        <v>58</v>
      </c>
    </row>
    <row r="316" spans="1:1" ht="20.100000000000001" customHeight="1" thickBot="1" x14ac:dyDescent="0.35">
      <c r="A316" s="2" t="s">
        <v>58</v>
      </c>
    </row>
    <row r="317" spans="1:1" ht="20.100000000000001" customHeight="1" thickBot="1" x14ac:dyDescent="0.35">
      <c r="A317" s="2" t="s">
        <v>58</v>
      </c>
    </row>
    <row r="318" spans="1:1" ht="20.100000000000001" customHeight="1" thickBot="1" x14ac:dyDescent="0.35">
      <c r="A318" s="2" t="s">
        <v>58</v>
      </c>
    </row>
    <row r="319" spans="1:1" ht="20.100000000000001" customHeight="1" thickBot="1" x14ac:dyDescent="0.35">
      <c r="A319" s="2" t="s">
        <v>58</v>
      </c>
    </row>
    <row r="320" spans="1:1" ht="20.100000000000001" customHeight="1" thickBot="1" x14ac:dyDescent="0.35">
      <c r="A320" s="2" t="s">
        <v>58</v>
      </c>
    </row>
    <row r="321" spans="1:1" ht="20.100000000000001" customHeight="1" thickBot="1" x14ac:dyDescent="0.35">
      <c r="A321" s="2" t="s">
        <v>58</v>
      </c>
    </row>
    <row r="322" spans="1:1" ht="20.100000000000001" customHeight="1" thickBot="1" x14ac:dyDescent="0.35">
      <c r="A322" s="2" t="s">
        <v>58</v>
      </c>
    </row>
    <row r="323" spans="1:1" ht="20.100000000000001" customHeight="1" thickBot="1" x14ac:dyDescent="0.35">
      <c r="A323" s="2" t="s">
        <v>58</v>
      </c>
    </row>
    <row r="324" spans="1:1" ht="20.100000000000001" customHeight="1" thickBot="1" x14ac:dyDescent="0.35">
      <c r="A324" s="2" t="s">
        <v>58</v>
      </c>
    </row>
    <row r="325" spans="1:1" ht="20.100000000000001" customHeight="1" thickBot="1" x14ac:dyDescent="0.35">
      <c r="A325" s="2" t="s">
        <v>58</v>
      </c>
    </row>
    <row r="326" spans="1:1" ht="20.100000000000001" customHeight="1" thickBot="1" x14ac:dyDescent="0.35">
      <c r="A326" s="2" t="s">
        <v>58</v>
      </c>
    </row>
    <row r="327" spans="1:1" ht="20.100000000000001" customHeight="1" thickBot="1" x14ac:dyDescent="0.35">
      <c r="A327" s="2" t="s">
        <v>58</v>
      </c>
    </row>
    <row r="328" spans="1:1" ht="20.100000000000001" customHeight="1" thickBot="1" x14ac:dyDescent="0.35">
      <c r="A328" s="2" t="s">
        <v>58</v>
      </c>
    </row>
    <row r="329" spans="1:1" ht="20.100000000000001" customHeight="1" thickBot="1" x14ac:dyDescent="0.35">
      <c r="A329" s="2" t="s">
        <v>58</v>
      </c>
    </row>
    <row r="330" spans="1:1" ht="20.100000000000001" customHeight="1" thickBot="1" x14ac:dyDescent="0.35">
      <c r="A330" s="2" t="s">
        <v>58</v>
      </c>
    </row>
    <row r="331" spans="1:1" ht="20.100000000000001" customHeight="1" thickBot="1" x14ac:dyDescent="0.35">
      <c r="A331" s="2" t="s">
        <v>58</v>
      </c>
    </row>
    <row r="332" spans="1:1" ht="20.100000000000001" customHeight="1" thickBot="1" x14ac:dyDescent="0.35">
      <c r="A332" s="2" t="s">
        <v>58</v>
      </c>
    </row>
    <row r="333" spans="1:1" ht="20.100000000000001" customHeight="1" thickBot="1" x14ac:dyDescent="0.35">
      <c r="A333" s="2" t="s">
        <v>58</v>
      </c>
    </row>
    <row r="334" spans="1:1" ht="20.100000000000001" customHeight="1" thickBot="1" x14ac:dyDescent="0.35">
      <c r="A334" s="2" t="s">
        <v>58</v>
      </c>
    </row>
    <row r="335" spans="1:1" ht="20.100000000000001" customHeight="1" thickBot="1" x14ac:dyDescent="0.35">
      <c r="A335" s="2" t="s">
        <v>58</v>
      </c>
    </row>
    <row r="336" spans="1:1" ht="20.100000000000001" customHeight="1" thickBot="1" x14ac:dyDescent="0.35">
      <c r="A336" s="2" t="s">
        <v>58</v>
      </c>
    </row>
    <row r="337" spans="1:1" ht="20.100000000000001" customHeight="1" thickBot="1" x14ac:dyDescent="0.35">
      <c r="A337" s="2" t="s">
        <v>58</v>
      </c>
    </row>
    <row r="338" spans="1:1" ht="20.100000000000001" customHeight="1" thickBot="1" x14ac:dyDescent="0.35">
      <c r="A338" s="2" t="s">
        <v>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</vt:i4>
      </vt:variant>
    </vt:vector>
  </HeadingPairs>
  <TitlesOfParts>
    <vt:vector size="5" baseType="lpstr">
      <vt:lpstr>قائمة التقييم</vt:lpstr>
      <vt:lpstr>بيانات التقييم</vt:lpstr>
      <vt:lpstr>'قائمة التقييم'!_Hlk189049123</vt:lpstr>
      <vt:lpstr>'قائمة التقييم'!Print_Area</vt:lpstr>
      <vt:lpstr>'قائمة التقييم'!Print_Titles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2025-10-25T16:01:39Z</dcterms:modified>
</cp:coreProperties>
</file>