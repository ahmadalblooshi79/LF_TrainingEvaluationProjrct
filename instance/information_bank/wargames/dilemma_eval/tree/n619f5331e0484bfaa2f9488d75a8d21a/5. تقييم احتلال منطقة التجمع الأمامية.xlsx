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249ACE8-4857-8642-BB0F-5CE5083C457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5" i="2"/>
  <c r="H25" i="2"/>
  <c r="G26" i="2"/>
  <c r="H26" i="2"/>
  <c r="G27" i="2"/>
  <c r="H27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F55" i="2"/>
  <c r="E55" i="2"/>
  <c r="E56" i="2"/>
  <c r="E57" i="2"/>
</calcChain>
</file>

<file path=xl/sharedStrings.xml><?xml version="1.0" encoding="utf-8"?>
<sst xmlns="http://schemas.openxmlformats.org/spreadsheetml/2006/main" count="285" uniqueCount="228">
  <si>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</si>
  <si>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</si>
  <si>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</si>
  <si>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</si>
  <si>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</si>
  <si>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</si>
  <si>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</si>
  <si>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</si>
  <si>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</si>
  <si>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</si>
  <si>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</si>
  <si>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</si>
  <si>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</si>
  <si>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</si>
  <si>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</si>
  <si>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</si>
  <si>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</si>
  <si>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</si>
  <si>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</si>
  <si>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</si>
  <si>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</si>
  <si>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</si>
  <si>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</si>
  <si>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</si>
  <si>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</si>
  <si>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</si>
  <si>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</si>
  <si>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</si>
  <si>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</si>
  <si>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</si>
  <si>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</si>
  <si>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</si>
  <si>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</si>
  <si>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</si>
  <si>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</si>
  <si>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</si>
  <si>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</si>
  <si>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</si>
  <si>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</si>
  <si>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</si>
  <si>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</si>
  <si>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</si>
  <si>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</si>
  <si>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</si>
  <si>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</si>
  <si>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</si>
  <si>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</si>
  <si>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</si>
  <si>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</si>
  <si>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</si>
  <si>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</si>
  <si>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</si>
  <si>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</si>
  <si>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</si>
  <si>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</si>
  <si>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</si>
  <si>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</si>
  <si>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</si>
  <si>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</si>
  <si>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</si>
  <si>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</si>
  <si>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</si>
  <si>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</si>
  <si>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</si>
  <si>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</si>
  <si>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</si>
  <si>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</si>
  <si>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</si>
  <si>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</si>
  <si>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</si>
  <si>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</si>
  <si>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</si>
  <si>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</si>
  <si>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</si>
  <si>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</si>
  <si>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</si>
  <si>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</si>
  <si>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</si>
  <si>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</si>
  <si>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</si>
  <si>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</si>
  <si>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</si>
  <si>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</si>
  <si>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</si>
  <si>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</si>
  <si>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</si>
  <si>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</si>
  <si>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</si>
  <si>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</si>
  <si>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</si>
  <si>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</si>
  <si>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</si>
  <si>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</si>
  <si>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</si>
  <si>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</si>
  <si>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</si>
  <si>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</si>
  <si>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</si>
  <si>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</si>
  <si>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</si>
  <si>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</si>
  <si>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</si>
  <si>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</si>
  <si>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</si>
  <si>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</si>
  <si>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</si>
  <si>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</si>
  <si>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</si>
  <si>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</si>
  <si>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</si>
  <si>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</si>
  <si>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</si>
  <si>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</si>
  <si>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</si>
  <si>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</si>
  <si>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</si>
  <si>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</si>
  <si>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</si>
  <si>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</si>
  <si>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</si>
  <si>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</si>
  <si>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</si>
  <si>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</si>
  <si>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</si>
  <si>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</si>
  <si>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</si>
  <si>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</si>
  <si>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</si>
  <si>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</si>
  <si>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</si>
  <si>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</si>
  <si>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</si>
  <si>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</si>
  <si>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</si>
  <si>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</si>
  <si>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</si>
  <si>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</si>
  <si>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</si>
  <si>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</si>
  <si>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</si>
  <si>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</si>
  <si>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</si>
  <si>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</si>
  <si>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</si>
  <si>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</si>
  <si>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</si>
  <si>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</si>
  <si>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</si>
  <si>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</si>
  <si>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</si>
  <si>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</si>
  <si>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</si>
  <si>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</si>
  <si>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</si>
  <si>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</si>
  <si>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</si>
  <si>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</si>
  <si>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</si>
  <si>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</si>
  <si>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</si>
  <si>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</si>
  <si>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</si>
  <si>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</si>
  <si>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</si>
  <si>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</si>
  <si>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</si>
  <si>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</si>
  <si>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</si>
  <si>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</si>
  <si>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</si>
  <si>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</si>
  <si>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</si>
  <si>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</si>
  <si>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</si>
  <si>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</si>
  <si>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</si>
  <si>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</si>
  <si>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</si>
  <si>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</si>
  <si>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</si>
  <si>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احتلال منطقة التجمع الأمامية (سرية / فريق قتال)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</si>
  <si>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</t>
  </si>
  <si>
    <t>1.   يعمل القادة في السرية على فهم الموقف باستخدام كافة الوسائل المتوفرة.</t>
  </si>
  <si>
    <t>2.   تستلم السرية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</si>
  <si>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3.   يقوم قائد السرية ونائبه ووكيل السرية بالاستطلاع من الخارطة وتأشير نقاط الترجل.</t>
  </si>
  <si>
    <t>4.   تنفيذ الاستطلاع من الأرض إن أمكن للتأكد من أن منطقة التجمع المخصصة للسرية:</t>
  </si>
  <si>
    <t>أ.    محمية ومستورة.</t>
  </si>
  <si>
    <t>ب.    واسعة بحيث تساعد الوحدات المرؤوسة على الانفتاح والانتشار وبما يتوافق مع الموقف التعبوي لقوات العدو والقوات الصديقة وتكون مساحة الانتشار لسرية المشاة الالية عادة (1 كم²).</t>
  </si>
  <si>
    <t>6.   وضع الإشارات والعلامات لمنطقة تجمع السرية.</t>
  </si>
  <si>
    <t>7.   تقوم قيادة السرية بتحديد موقع لكل فصيل ضمن منطقة التجمع، وعادة تنتشر فصائل سرية المشاة الآلية ضمن (1 كم²) وتكون كثافة الانتشار (40) آلية لكل (1) كم² ومسافة 200 متر بين كل آلية وأخرى.</t>
  </si>
  <si>
    <t>8.   تحديد الأفراد الذين سيعملون ضمن جماعة المأوى للكتيبة/ مجموعة القتال.</t>
  </si>
  <si>
    <t>9.   تحديد نظام المسير الذي يساعد على الاحتلال السريع لمنطقة التجمع وحسب أوامر الكتيبة/ مجموعة القتال.</t>
  </si>
  <si>
    <t>10.   إعداد خطة للدفاع عن منطقة التجمع ضمن منطقة السرية وحسب أوامر الكتيبة/ مجموعة القتال.</t>
  </si>
  <si>
    <t>11.   تحديد أولوية العمل وتنفيذ أعمال الصيانة وإعادة التزويد.</t>
  </si>
  <si>
    <t>12.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</si>
  <si>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</si>
  <si>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التحضير</t>
  </si>
  <si>
    <t>1.   تقوم السرية بالتحضير لاحتلال منطقة التجمع كما يلي:</t>
  </si>
  <si>
    <t>أ.   تنفيذ تفقدات وتفتيشات ما قبل المعركة.</t>
  </si>
  <si>
    <t>ب.  الإشراف على إجراءات الوحدات المرؤوسة للتأكد من أن جهود التخطيط والتحضير تنفذ بما يتوافق مع قصد القائد.</t>
  </si>
  <si>
    <t>جـ.  إجراء التجارب خلال ساعات النهار وفي ظل ظروف الرؤية المحدودة إن أمكن.</t>
  </si>
  <si>
    <t>2.   تنفيذ التجارب بحيث يشمل:</t>
  </si>
  <si>
    <t>أ.   أسلوب الحركة من الموقع الحالي لمنطقة التجمع.</t>
  </si>
  <si>
    <t>ب.  إجراءات التماس مع العدو أثناء الحركة.</t>
  </si>
  <si>
    <t>3.   يصدر قائد السرية الأوامر لمعالجة أية تعديلات تطرأ على الخطة خلال التجارب وحسب الضرورة.</t>
  </si>
  <si>
    <t>4.   تحريك السرية إلى منطقة الاصطفاف المخصصة (نقطة البدء) تمهيداً لبدء الحركة.</t>
  </si>
  <si>
    <t>مرحلة التنفيذ</t>
  </si>
  <si>
    <t>1.   تغادر جماعة المأوى بالأمر نقطة الانتشار وتتحرك الى منطقة التجمع.</t>
  </si>
  <si>
    <t>2.   تحريك الجسم الرئيسي واحتلال منطقة التجمع حسب الخطة الموضوعة.</t>
  </si>
  <si>
    <t>3.   تطبق إجراءات حماية القوات أثناء الحركة.</t>
  </si>
  <si>
    <t>4.   تنظيم الدخول لمنطقة التجمع بنظام الفصائل وحسب تسلسل بدء الحركة ونظام المسير لكل فصيل ويأخذ كل فصيل قطاع محدد.</t>
  </si>
  <si>
    <t>5.   توجيه الأسلحة لتغطية قواطع المسؤولية.</t>
  </si>
  <si>
    <t>6.   إبلاغ قيادة الكتيبة/ مجموعة القتال بالوصول إلى منطقة التجمع.</t>
  </si>
  <si>
    <t>7.   توضيع مركز القيادة والنقليات في منتصف منطقة التجمع للسرية.</t>
  </si>
  <si>
    <t>8.   توضيع عناصر الإسناد القتالي وخاصة الهاون.</t>
  </si>
  <si>
    <t>9.   التنسيق مع الوحدات المجاورة في جميع الاتجاهات إن أمكن.</t>
  </si>
  <si>
    <t>10.   تنفيذ الأعمال في منطقة التجمع حسب الأولوية والأوامر المستديمة وتشمل:</t>
  </si>
  <si>
    <t>أ.   تعيين قواطع النيران المباشرة للفصائل.</t>
  </si>
  <si>
    <t>ب.  الدفاع الدائري ودفع نقاط الحراسة والمراقبة والإنذار المبكر وحسب أوامر الكتيبة/ مجموعة القتال.</t>
  </si>
  <si>
    <t>جـ.  تأكيد تفهم الأوامر وخطة العملية القادمة.</t>
  </si>
  <si>
    <t>د.   إعادة تزويد الآليات في حال كانت المسافة بعيدة بين منطقة الحشد والتجمع أو كانت الأرض وعرة وساعات تشغيل الآليات طويلة.</t>
  </si>
  <si>
    <t>11.   تنفيذ إجراءات الحماية على مستوى السرية وكما يلي:</t>
  </si>
  <si>
    <t>أ.   تعيين قواطع المسؤولية للفصائل بحيث تتقاطع أقواس الرمي فيما بينها لضمان الإسناد المتبادل وتغطية الفجوات بين القواطع بالنار والمراقبة.</t>
  </si>
  <si>
    <t>ب. إخراج الدوريات لمنع تسلل قوات العدو، وتطهير نقاط مراقبة العدو المحتملة ضمن قاطع المسؤولية (حسب الحاجة).</t>
  </si>
  <si>
    <t>جـ.  تعيين نقطة مراقبة وتعيين الافراد المعنيين بإدامتها.</t>
  </si>
  <si>
    <t>د.   التأكد من الاتصالات بين نقاط المراقبة والسرية.</t>
  </si>
  <si>
    <t>هـ.  السيطرة على الاضاءة، الضوضاء والتخلص من الفضلات.</t>
  </si>
  <si>
    <t>12.   استطلاع القادة لمواقع العدو للتأكيد على الخطة.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</si>
</sst>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2" borderId="26" xfId="0" applyFont="1" applyFill="1" applyBorder="1" applyAlignment="1">
      <alignment horizontal="right" vertical="center" wrapText="1" readingOrder="2"/>
    </xf>
    <xf numFmtId="0" fontId="14" fillId="2" borderId="3" xfId="0" applyFont="1" applyFill="1" applyBorder="1" applyAlignment="1">
      <alignment horizontal="right" vertical="center" wrapText="1" readingOrder="2"/>
    </xf>
    <xf numFmtId="0" fontId="14" fillId="2" borderId="26" xfId="0" applyFont="1" applyFill="1" applyBorder="1" applyAlignment="1">
      <alignment horizontal="right" vertical="center" wrapText="1" indent="2" readingOrder="2"/>
    </xf>
    <xf numFmtId="0" fontId="14" fillId="2" borderId="3" xfId="0" applyFont="1" applyFill="1" applyBorder="1" applyAlignment="1">
      <alignment horizontal="right" vertical="center" wrapText="1" indent="2" readingOrder="2"/>
    </xf>
    <xf numFmtId="0" fontId="14" fillId="2" borderId="11" xfId="0" applyFont="1" applyFill="1" applyBorder="1" applyAlignment="1">
      <alignment horizontal="right" vertical="center" wrapText="1" readingOrder="2"/>
    </xf>
    <xf numFmtId="0" fontId="14" fillId="2" borderId="12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25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170859</xdr:colOff>
      <xdr:row>58</xdr:row>
      <xdr:rowOff>107258</xdr:rowOff>
    </xdr:from>
    <xdr:to>
      <xdr:col>8</xdr:col>
      <xdr:colOff>56369</xdr:colOff>
      <xdr:row>58</xdr:row>
      <xdr:rowOff>372938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36BF66F-DAD0-684C-8D4D-0A148438F8AE}"/>
                </a:ext>
              </a:extLst>
            </xdr14:cNvPr>
            <xdr14:cNvContentPartPr/>
          </xdr14:nvContentPartPr>
          <xdr14:nvPr macro=""/>
          <xdr14:xfrm>
            <a:off x="10436995287" y="25883640"/>
            <a:ext cx="543600" cy="2656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36BF66F-DAD0-684C-8D4D-0A148438F8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989167" y="25877520"/>
              <a:ext cx="55584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56729</xdr:colOff>
      <xdr:row>58</xdr:row>
      <xdr:rowOff>176018</xdr:rowOff>
    </xdr:from>
    <xdr:to>
      <xdr:col>9</xdr:col>
      <xdr:colOff>331037</xdr:colOff>
      <xdr:row>58</xdr:row>
      <xdr:rowOff>631418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060B2B3-D906-1106-7E30-9C64ADBDA7D8}"/>
                </a:ext>
              </a:extLst>
            </xdr14:cNvPr>
            <xdr14:cNvContentPartPr/>
          </xdr14:nvContentPartPr>
          <xdr14:nvPr macro=""/>
          <xdr14:xfrm>
            <a:off x="10436062527" y="25952400"/>
            <a:ext cx="932400" cy="4554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060B2B3-D906-1106-7E30-9C64ADBDA7D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056407" y="25946280"/>
              <a:ext cx="944640" cy="467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3:25:15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1059 732 160,'0'0'0,"-5"2"272,5-2 240,0 0-512,0 0 776,0 0 344,0 0 416,0 0-135,0 0-6234,0 0 10898,0 0-5169,0 0-480,0 0-216,0 0-7777,0 0 15298,0 2-7553,-2-2 160,2 0 105,0 0-433,0 0 608,0 0 208,0 2 192,0-2 112,0 0-1120,0 0 1105,0 0-161,0 0-128,0 0-216,0 0-4065,0 0 7482,0 0-3489,0 0-120,0 0 16,0 0-424,0 0 409,0 0-113,0 0 56,-3 0 24,3 0-376,0 0 312,0 0-8,0 0-104,0 0-56,0 0-1104,0-4 2024,0 1-960,-2-1 56,2 1-24,0 3-136,0-5 88,0 1 80,0-1-128,-5 0 80,5 5-120,-2-5 144,-3 0-40,2 0 48,3 0 0,0 5-152,-5-14 48,3 11-16,0-3 16,-3-7-72,5 13 24,-5-4-24,3-11 72,2 10-48,-5-16 56,5 21-56,-5-13 0,0-3 0,0 3-56,1-3 48,4 16 8,-5-15 48,-12 1-88,15 1 40,-3-1 16,5 14-16,-12-5 40,12-15-16,-5 14 32,-2-12-32,7 18-24,-5-5 0,0-14 16,0 14-8,0-11-8,5 16 0,-2-5-8,-3-8 48,3 9-72,-3-1 32,5 5 0,0-14 32,-2 11-48,-3 0 0,5-3 48,0 6-32,-3-5 24,3 2 72,0-2 24,-2 1-16,2 4-104,0-3 96,0 3-56,0-3 24,0-1-16,0 4-48,0-3 48,0 3-7,0-4-49,0 1-25,0 3 33,2-3 16,1-1-16,-1 1 17,3-1 23,-5 4-40,2-3-16,1-1 32,-3 1-32,7 3 16,-7 0 0,0-3 0,2 3-24,1-4 24,2 1-41,-5 3 41,4 0 0,1-4-40,0 1 8,2 0-8,-7 3 40,5 0-24,12-4 8,-12 1-40,12-1 48,-17 4 8,7-3 0,10 0 8,-5-3-48,2 1 40,-14 5 0,15-3-88,-11-2-8,11 1 80,-10-1-64,-5 5 80,16-3-40,-4-1 16,-7 1-32,15 0 32,-20 3 24,4-4-16,11 1 16,-1-1 0,-7-1-16,-7 5 16,17-5-88,0-9-32,-2 11-104,-1-2-56,-14 5 280,14-5-192,-2 0-8,-7-9 168,12 14-88,-17 0 120,14-5-48,-6-9 16,11 11 96,-12-2 40,-7 5-104,7-5 0,8 0 40,-13 1-64,5-1 48,-7 5-24,15-3 64,-8-3-24,5 1-88,-7 0 8,-5 5 40,5-5-80,2 0-8,0 0 88,0 0-40,-7 5 40,15-5-56,-10 0-16,2-1-48,7 1-8,-14 5 128,5-3-48,0-1-104,2 1 96,-2 0-32,-5 3 88,5 0-96,0-4 104,-1 1-72,-1 3 40,-3 0 24,0-4 40,2 4 0,-2-3 24,3 3 24,-3 0-88,0 0-16,0-3 40,0 3 0,0 0 40,0 0-64,0 0 32,0 0-48,0 0-48,0 0 112,0 0-120,0 0-32,0 0-32,0 0 16,0 0 552,-5 0-1040,5 0 496,-3 1 64,-1 1-88,4-2 136,-5 2-96,0 1 64,-7 1-16,7 1 40,5-5 8,-2 5-16,-13 0-48,15 0 40,-5 0 48,5-5-24,-4 7 40,-13 7-64,14-9-16,-1 0 56,4-5-16,-17 13 0,14-7-24,-11 9 120,9-10-96,5-5 0,-22 14-40,18-9 56,-16 2-128,6 8 40,14-15 72,-5 5-40,-12 9 40,3-9 0,9 2 48,5-7-48,-17 15 56,3-10-72,9 2 0,-14 7-8,19-14 24,-5 5-48,-17 8 48,17-7 40,-9 7-128,14-13 88,-5 5 24,-12 2-24,13 7 72,-16-9 8,20-5-80,-12 7 0,7 6 0,-16-9 24,6 3 32,15-7-56,-12 6-8,8 8 8,-16-11 0,16 3 0,4-6 0,-13 13 48,9-11-88,-11 3 40,13 2 16,2-7-16,-15 7 40,11 6 56,-1-9-144,-12 3 8,17-7 40,-5 6 0,-9 1-24,9 0 40,-7 0-40,12-7 24,-5 14-32,0-13 32,-9 4 32,11 0-8,3-5-24,-4 7-40,-13-2 40,14 1 40,1-1 16,2-5-56,-5 5 64,-2 0-40,2-2-72,0 1 48,5-4 0,-5 3 16,3-1 32,-3 1 16,0-1 8,5-2-72,-4 2 0,-11-1 24,13 1-24,-3 0 16,5-2-16,-5 1 88,-12 1-16,17 0-24,-4 0 8,4-2-56,-15 0 48,15 1-8,-5-1-8,0 0 48,5 0-80,-4 2 40,-1-2 32,0 0 96,0 0-128,5 0-40,-7 0 88,-7-3-24,9-1-16,-14 1 32,19 3-80,-5-4 88,-15-1 0,8 0-48,-2-9-24,14 14-16,-14-3 72,-1-2-80,-2-10 32,1 11 16,16 4-40,-17-5-16,-3-12 32,8 14 24,-4-13 24,16 16-64,-17-5 88,5-10 16,-3 1 80,1 9 16,14 5-200,-5-20 224,-19 6-32,12 9-80,5-14-48,7 19-64,-17-5 120,12-12 40,-9 12-24,9-12-16,5 17-120,-15-4 56,13-9 0,-5 9-7,2-1-9,5 5-40,-5-5 88,0-9-40,-9 14-8,14-5 88,0 5-128,-2-5 40,-1 2 24,-2-2 64,0-1-16,5 6-112,-4-3 200,-1 0-8,0-3 16,3 3-8,2 3-200,-3-3 208,3-1-64,0 1-8,0-1 32,0 4-168,-5 0 104,3-3-24,2 3 8,0 0-16,0 0-72,-5 0-40,5 0-24,0 0-32,0 0-72,0 0 168,0 0-112,3 3 96,1 4-56,1 0 88,-5-7-16,5 15 56,2-9-88,0 11 48,1-11-40,-8-6 24,14 19-48,-11-3 48,4-10-8,0 13-80,-7-19 88,5 7-24,2 10-24,7-10 64,-9 8-16,-5-15 0,17 5 0,-10 12-16,8-12 8,-8 13 64,-7-18-56,12 6 40,-7 10 72,12-11-144,-17 10 8,0-15 24,7 5-40,-2 11-120,2-10 104,-2 10 72,-5-16-16,4 5-40,1 9 56,0-11 64,0 2-120,-5-5 40,5 7 0,0 0-32,2-2 8,-2 0-48,-5-5 72,4 3 0,-1-1-24,-1 2-48,-2-3 72,0-1 0,3 2-32,-3 0-128,2-1 104,0 1-16,-2-2 72,0 2-96,3-2 120,-3 0-176,2 0 48,-2 0 104,3 1-288,-3-1 24,0 0-129,0 0-7,0 0 400,0 0-344,0 0 64,0 0 120,0 0 80,0 0 944,-3 0-1736,1 0 752,-5 2 96,2 0-16,5-2 40,-15 2-40,11-1 120,-18 1-56,17 0-16,5-2-8,-24 3-64,5 2 128,0-1-72,-6 1 72,25-5-64,-24 5 96,-2 9-64,2-11 0,-3 4 8,27-7-40,-28 15 80,1-10-32,-2 11 32,5-11-64,24-5-16,-24 5 88,5 2-72,0-2-72,-1 2 200,20-7-144,-4 5 56,-18-2 128,17 1 72,-9-3-104,14-1-152,-5 2 88,5-2 217,-2 0-25,2 0 8,0 0-288,0 0 296,-5 0-136,5-3-32,0-1 120,0 4-248,0 0 200,0-3-128,0-1-8,0 1-72,0 3 8,0 0 96,0-4-80,0 1-48,2 3-64,-2 0 96,0-5 24,0 0-48,0 0 104,3-9 48,-3 14-128,0 0 32,2-5-88,-2-9-128,0 11-264,0 3 448,0-4-1048,-2-1-281,-3 0-543,-3 0-609,8 5 2481,-4-5-3072,-8 0-2209,7 1 536,-10 1 680,15 3 4065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3:25:16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1531 437 7721,'0'0'0,"0"0"2449,0 0-2449,0 0 1008,0-3-368,2 3-136,3 0-232,-5 0-272,5-3 184,0 3 0,-1 0 16,4 0-24,-8 0-176,14 0 216,-9 0 48,2 1 105,10 3 135,-17-4-504,14 5 656,1 0 96,2 0 24,-3 2 96,-14-7-872,17 7 824,4-1-23,1 1 119,2-2-56,-24-5-864,29 6 792,0-3-104,0 0-136,2 1-111,-31-4-441,31 1 496,5 1-24,3-2-224,-3 0 56,-36 0-304,36 0 280,2-3-96,1-1 72,-1 1-112,-38 3-144,41-5 56,-5 0 0,-2 0 72,-7-1-64,-27 6-64,26-13 56,0 9 88,-4-9-144,2 8 40,-24 5-40,19-16 16,1 13 72,-1-14 24,-2 12 8,-17 5-120,19-17 144,-2 12-128,0-16 96,-10 7 80,-7 14-192,22-5 128,-18-13-96,11 12 72,-10-12-16,-5 18-88,4-14 40,1 9 64,-2-17-112,-3 8-88,0 14 96,2-14-40,-2-3 56,0 4 160,0-3-72,0 16-104,-5-13 129,-9 8 55,11-16 8,-11 16-104,14 5-88,-5-20 208,-9 14-96,-3-12-104,2 13-32,15 5 24,-16-18 56,-1 13-56,0-10-40,-5 12 40,22 3 0,-21-6-152,-3-9 152,-3 12-16,3-1 72,24 4-56,-29-3 32,3-1-32,-3 1 16,-2 0 16,31 3-32,-32 0 56,-1 0-40,1 0 32,1 0-16,31 0-32,-31 0 24,2 1 40,0 3 24,5-1-240,24-3 152,-31 5 16,2 2-88,-5 7-16,3-9 144,31-5-56,-29 15 64,-5-8-64,-2 12-152,0-4 184,36-15-32,-33 14-168,-1 3 80,3 0-16,-3 3 72,34-20 32,-36 23-16,5 0 16,-1 5 136,1-1-80,31-27-56,-29 27 16,-4 4 16,-1 1 56,0 4-160,34-36 72,-31 36 88,-3 2-72,-7-1-120,-2 2 208,43-39-104,-48 40-64,-3 1 128,-1 1-48,1-3 88,51-39-104,-53 40-64,3-5 40,-1 1 128,5 0-184,46-36 80,-48 36 32,-5 0-136,5 0-16,-5-1 16,53-35 104,-57 36-16,4-3-16,-5-3-192,0-2-249,58-28 473,-60 27-1080,0 0-920,-7 1-1481,-10 2-3921,77-30 7402,-82 33-9250,82-33 9250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9"/>
  <sheetViews>
    <sheetView rightToLeft="1" tabSelected="1" view="pageBreakPreview" zoomScale="130" zoomScaleNormal="100" zoomScaleSheetLayoutView="130" workbookViewId="0">
      <selection activeCell="F13" sqref="F1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5" t="s">
        <v>180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2">
      <c r="B2" s="12" t="s">
        <v>8</v>
      </c>
      <c r="C2" s="41" t="s">
        <v>46</v>
      </c>
      <c r="D2" s="41"/>
      <c r="E2" s="12" t="s">
        <v>7</v>
      </c>
      <c r="F2" s="36">
        <v>45953</v>
      </c>
      <c r="G2" s="36"/>
      <c r="H2" s="36"/>
      <c r="I2" s="36"/>
      <c r="J2" s="36"/>
    </row>
    <row r="3" spans="1:10" ht="30" customHeight="1" x14ac:dyDescent="0.2">
      <c r="B3" s="12" t="s">
        <v>9</v>
      </c>
      <c r="C3" s="41" t="s">
        <v>178</v>
      </c>
      <c r="D3" s="41"/>
      <c r="E3" s="12" t="s">
        <v>6</v>
      </c>
      <c r="F3" s="41" t="s">
        <v>104</v>
      </c>
      <c r="G3" s="41"/>
      <c r="H3" s="41"/>
      <c r="I3" s="41"/>
      <c r="J3" s="4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44" t="s">
        <v>21</v>
      </c>
      <c r="C7" s="45"/>
      <c r="D7" s="45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 x14ac:dyDescent="0.2">
      <c r="A8" s="10"/>
      <c r="B8" s="77" t="s">
        <v>181</v>
      </c>
      <c r="C8" s="78"/>
      <c r="D8" s="78"/>
      <c r="E8" s="78"/>
      <c r="F8" s="78"/>
      <c r="G8" s="78"/>
      <c r="H8" s="78"/>
      <c r="I8" s="78"/>
      <c r="J8" s="79"/>
    </row>
    <row r="9" spans="1:10" ht="30" customHeight="1" x14ac:dyDescent="0.2">
      <c r="A9" s="10"/>
      <c r="B9" s="71" t="s">
        <v>182</v>
      </c>
      <c r="C9" s="72"/>
      <c r="D9" s="72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69.75" customHeight="1" x14ac:dyDescent="0.2">
      <c r="A10" s="10"/>
      <c r="B10" s="71" t="s">
        <v>183</v>
      </c>
      <c r="C10" s="72"/>
      <c r="D10" s="72"/>
      <c r="E10" s="9">
        <v>5</v>
      </c>
      <c r="F10" s="26">
        <v>4</v>
      </c>
      <c r="G10" s="30">
        <f t="shared" ref="G10:G54" si="0">IFERROR(F10/E10,"")</f>
        <v>0.8</v>
      </c>
      <c r="H10" s="31" t="str">
        <f t="shared" ref="H10:H5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9.950000000000003" customHeight="1" x14ac:dyDescent="0.2">
      <c r="A11" s="10"/>
      <c r="B11" s="71" t="s">
        <v>184</v>
      </c>
      <c r="C11" s="72"/>
      <c r="D11" s="72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6"/>
      <c r="J11" s="47"/>
    </row>
    <row r="12" spans="1:10" ht="39.950000000000003" customHeight="1" x14ac:dyDescent="0.2">
      <c r="A12" s="10"/>
      <c r="B12" s="71" t="s">
        <v>185</v>
      </c>
      <c r="C12" s="72"/>
      <c r="D12" s="72"/>
      <c r="E12" s="9"/>
      <c r="F12" s="26"/>
      <c r="G12" s="30"/>
      <c r="H12" s="31"/>
      <c r="I12" s="46"/>
      <c r="J12" s="47"/>
    </row>
    <row r="13" spans="1:10" ht="30" customHeight="1" x14ac:dyDescent="0.2">
      <c r="A13" s="10"/>
      <c r="B13" s="73" t="s">
        <v>186</v>
      </c>
      <c r="C13" s="74"/>
      <c r="D13" s="74"/>
      <c r="E13" s="9">
        <v>5</v>
      </c>
      <c r="F13" s="26">
        <v>4.25</v>
      </c>
      <c r="G13" s="30">
        <f t="shared" si="0"/>
        <v>0.85</v>
      </c>
      <c r="H13" s="31" t="str">
        <f t="shared" si="1"/>
        <v>جيد جداً</v>
      </c>
      <c r="I13" s="46"/>
      <c r="J13" s="47"/>
    </row>
    <row r="14" spans="1:10" ht="60" customHeight="1" x14ac:dyDescent="0.2">
      <c r="A14" s="10"/>
      <c r="B14" s="73" t="s">
        <v>187</v>
      </c>
      <c r="C14" s="74"/>
      <c r="D14" s="7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6"/>
      <c r="J14" s="47"/>
    </row>
    <row r="15" spans="1:10" ht="30" customHeight="1" x14ac:dyDescent="0.2">
      <c r="A15" s="10"/>
      <c r="B15" s="71" t="s">
        <v>188</v>
      </c>
      <c r="C15" s="72"/>
      <c r="D15" s="72"/>
      <c r="E15" s="9">
        <v>5</v>
      </c>
      <c r="F15" s="26">
        <v>4.25</v>
      </c>
      <c r="G15" s="30">
        <f t="shared" si="0"/>
        <v>0.85</v>
      </c>
      <c r="H15" s="31" t="str">
        <f t="shared" si="1"/>
        <v>جيد جداً</v>
      </c>
      <c r="I15" s="46"/>
      <c r="J15" s="47"/>
    </row>
    <row r="16" spans="1:10" ht="60" customHeight="1" x14ac:dyDescent="0.2">
      <c r="A16" s="10"/>
      <c r="B16" s="71" t="s">
        <v>189</v>
      </c>
      <c r="C16" s="72"/>
      <c r="D16" s="7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6"/>
      <c r="J16" s="47"/>
    </row>
    <row r="17" spans="1:10" ht="39.950000000000003" customHeight="1" x14ac:dyDescent="0.2">
      <c r="A17" s="10"/>
      <c r="B17" s="71" t="s">
        <v>190</v>
      </c>
      <c r="C17" s="72"/>
      <c r="D17" s="72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6"/>
      <c r="J17" s="47"/>
    </row>
    <row r="18" spans="1:10" ht="39.950000000000003" customHeight="1" x14ac:dyDescent="0.2">
      <c r="A18" s="10"/>
      <c r="B18" s="71" t="s">
        <v>191</v>
      </c>
      <c r="C18" s="72"/>
      <c r="D18" s="72"/>
      <c r="E18" s="9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46"/>
      <c r="J18" s="47"/>
    </row>
    <row r="19" spans="1:10" ht="39.950000000000003" customHeight="1" x14ac:dyDescent="0.2">
      <c r="A19" s="10"/>
      <c r="B19" s="71" t="s">
        <v>192</v>
      </c>
      <c r="C19" s="72"/>
      <c r="D19" s="72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6"/>
      <c r="J19" s="47"/>
    </row>
    <row r="20" spans="1:10" ht="30" customHeight="1" x14ac:dyDescent="0.2">
      <c r="A20" s="10"/>
      <c r="B20" s="71" t="s">
        <v>193</v>
      </c>
      <c r="C20" s="72"/>
      <c r="D20" s="72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6"/>
      <c r="J20" s="47"/>
    </row>
    <row r="21" spans="1:10" ht="30" customHeight="1" x14ac:dyDescent="0.2">
      <c r="A21" s="10"/>
      <c r="B21" s="71" t="s">
        <v>194</v>
      </c>
      <c r="C21" s="72"/>
      <c r="D21" s="72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6"/>
      <c r="J21" s="47"/>
    </row>
    <row r="22" spans="1:10" ht="39.950000000000003" customHeight="1" thickBot="1" x14ac:dyDescent="0.25">
      <c r="A22" s="10"/>
      <c r="B22" s="75" t="s">
        <v>195</v>
      </c>
      <c r="C22" s="76"/>
      <c r="D22" s="76"/>
      <c r="E22" s="32">
        <v>5</v>
      </c>
      <c r="F22" s="27">
        <v>3.75</v>
      </c>
      <c r="G22" s="33">
        <f t="shared" si="0"/>
        <v>0.75</v>
      </c>
      <c r="H22" s="34" t="str">
        <f t="shared" si="1"/>
        <v>جيد</v>
      </c>
      <c r="I22" s="54"/>
      <c r="J22" s="55"/>
    </row>
    <row r="23" spans="1:10" ht="30" customHeight="1" x14ac:dyDescent="0.2">
      <c r="A23" s="10"/>
      <c r="B23" s="77" t="s">
        <v>196</v>
      </c>
      <c r="C23" s="78"/>
      <c r="D23" s="78"/>
      <c r="E23" s="78"/>
      <c r="F23" s="78"/>
      <c r="G23" s="78"/>
      <c r="H23" s="78"/>
      <c r="I23" s="78"/>
      <c r="J23" s="79"/>
    </row>
    <row r="24" spans="1:10" ht="30" customHeight="1" x14ac:dyDescent="0.2">
      <c r="A24" s="10"/>
      <c r="B24" s="71" t="s">
        <v>197</v>
      </c>
      <c r="C24" s="72"/>
      <c r="D24" s="72"/>
      <c r="E24" s="9"/>
      <c r="F24" s="26"/>
      <c r="G24" s="30"/>
      <c r="H24" s="31"/>
      <c r="I24" s="46"/>
      <c r="J24" s="47"/>
    </row>
    <row r="25" spans="1:10" ht="30" customHeight="1" x14ac:dyDescent="0.2">
      <c r="A25" s="10"/>
      <c r="B25" s="73" t="s">
        <v>198</v>
      </c>
      <c r="C25" s="74"/>
      <c r="D25" s="74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6"/>
      <c r="J25" s="47"/>
    </row>
    <row r="26" spans="1:10" ht="39.950000000000003" customHeight="1" x14ac:dyDescent="0.2">
      <c r="A26" s="10"/>
      <c r="B26" s="73" t="s">
        <v>199</v>
      </c>
      <c r="C26" s="74"/>
      <c r="D26" s="74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6"/>
      <c r="J26" s="47"/>
    </row>
    <row r="27" spans="1:10" ht="39.950000000000003" customHeight="1" x14ac:dyDescent="0.2">
      <c r="A27" s="10"/>
      <c r="B27" s="73" t="s">
        <v>200</v>
      </c>
      <c r="C27" s="74"/>
      <c r="D27" s="74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6"/>
      <c r="J27" s="47"/>
    </row>
    <row r="28" spans="1:10" ht="30" customHeight="1" x14ac:dyDescent="0.2">
      <c r="A28" s="10"/>
      <c r="B28" s="71" t="s">
        <v>201</v>
      </c>
      <c r="C28" s="72"/>
      <c r="D28" s="72"/>
      <c r="E28" s="9"/>
      <c r="F28" s="26"/>
      <c r="G28" s="30"/>
      <c r="H28" s="31"/>
      <c r="I28" s="46"/>
      <c r="J28" s="47"/>
    </row>
    <row r="29" spans="1:10" ht="30" customHeight="1" x14ac:dyDescent="0.2">
      <c r="A29" s="10"/>
      <c r="B29" s="73" t="s">
        <v>202</v>
      </c>
      <c r="C29" s="74"/>
      <c r="D29" s="74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6"/>
      <c r="J29" s="47"/>
    </row>
    <row r="30" spans="1:10" ht="30" customHeight="1" x14ac:dyDescent="0.2">
      <c r="A30" s="10"/>
      <c r="B30" s="73" t="s">
        <v>203</v>
      </c>
      <c r="C30" s="74"/>
      <c r="D30" s="74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6"/>
      <c r="J30" s="47"/>
    </row>
    <row r="31" spans="1:10" ht="39.950000000000003" customHeight="1" x14ac:dyDescent="0.2">
      <c r="A31" s="10"/>
      <c r="B31" s="71" t="s">
        <v>204</v>
      </c>
      <c r="C31" s="72"/>
      <c r="D31" s="72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6"/>
      <c r="J31" s="47"/>
    </row>
    <row r="32" spans="1:10" ht="39.950000000000003" customHeight="1" thickBot="1" x14ac:dyDescent="0.25">
      <c r="A32" s="10"/>
      <c r="B32" s="75" t="s">
        <v>205</v>
      </c>
      <c r="C32" s="76"/>
      <c r="D32" s="76"/>
      <c r="E32" s="32">
        <v>5</v>
      </c>
      <c r="F32" s="27">
        <v>3.75</v>
      </c>
      <c r="G32" s="33">
        <f t="shared" si="0"/>
        <v>0.75</v>
      </c>
      <c r="H32" s="34" t="str">
        <f t="shared" si="1"/>
        <v>جيد</v>
      </c>
      <c r="I32" s="54"/>
      <c r="J32" s="55"/>
    </row>
    <row r="33" spans="1:10" ht="30" customHeight="1" x14ac:dyDescent="0.2">
      <c r="A33" s="10"/>
      <c r="B33" s="77" t="s">
        <v>206</v>
      </c>
      <c r="C33" s="78"/>
      <c r="D33" s="78"/>
      <c r="E33" s="78">
        <v>5</v>
      </c>
      <c r="F33" s="78" t="s">
        <v>61</v>
      </c>
      <c r="G33" s="78" t="str">
        <f t="shared" si="0"/>
        <v/>
      </c>
      <c r="H33" s="78" t="str">
        <f t="shared" si="1"/>
        <v/>
      </c>
      <c r="I33" s="78"/>
      <c r="J33" s="79"/>
    </row>
    <row r="34" spans="1:10" ht="30" customHeight="1" x14ac:dyDescent="0.2">
      <c r="A34" s="10"/>
      <c r="B34" s="71" t="s">
        <v>207</v>
      </c>
      <c r="C34" s="72"/>
      <c r="D34" s="72"/>
      <c r="E34" s="9">
        <v>5</v>
      </c>
      <c r="F34" s="26">
        <v>3.5</v>
      </c>
      <c r="G34" s="30">
        <f t="shared" si="0"/>
        <v>0.7</v>
      </c>
      <c r="H34" s="31" t="str">
        <f t="shared" si="1"/>
        <v>جيد</v>
      </c>
      <c r="I34" s="46"/>
      <c r="J34" s="47"/>
    </row>
    <row r="35" spans="1:10" ht="30" customHeight="1" x14ac:dyDescent="0.2">
      <c r="A35" s="10"/>
      <c r="B35" s="71" t="s">
        <v>208</v>
      </c>
      <c r="C35" s="72"/>
      <c r="D35" s="72"/>
      <c r="E35" s="9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46"/>
      <c r="J35" s="47"/>
    </row>
    <row r="36" spans="1:10" ht="30" customHeight="1" x14ac:dyDescent="0.2">
      <c r="A36" s="10"/>
      <c r="B36" s="71" t="s">
        <v>209</v>
      </c>
      <c r="C36" s="72"/>
      <c r="D36" s="72"/>
      <c r="E36" s="9">
        <v>5</v>
      </c>
      <c r="F36" s="26">
        <v>4</v>
      </c>
      <c r="G36" s="30">
        <f t="shared" si="0"/>
        <v>0.8</v>
      </c>
      <c r="H36" s="31" t="str">
        <f t="shared" si="1"/>
        <v>جيد جداً</v>
      </c>
      <c r="I36" s="46"/>
      <c r="J36" s="47"/>
    </row>
    <row r="37" spans="1:10" ht="39.950000000000003" customHeight="1" x14ac:dyDescent="0.2">
      <c r="A37" s="10"/>
      <c r="B37" s="71" t="s">
        <v>210</v>
      </c>
      <c r="C37" s="72"/>
      <c r="D37" s="72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46"/>
      <c r="J37" s="47"/>
    </row>
    <row r="38" spans="1:10" ht="30" customHeight="1" x14ac:dyDescent="0.2">
      <c r="A38" s="10"/>
      <c r="B38" s="71" t="s">
        <v>211</v>
      </c>
      <c r="C38" s="72"/>
      <c r="D38" s="72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6"/>
      <c r="J38" s="47"/>
    </row>
    <row r="39" spans="1:10" ht="30" customHeight="1" x14ac:dyDescent="0.2">
      <c r="A39" s="10"/>
      <c r="B39" s="71" t="s">
        <v>212</v>
      </c>
      <c r="C39" s="72"/>
      <c r="D39" s="72"/>
      <c r="E39" s="9">
        <v>5</v>
      </c>
      <c r="F39" s="26">
        <v>4</v>
      </c>
      <c r="G39" s="30">
        <f t="shared" si="0"/>
        <v>0.8</v>
      </c>
      <c r="H39" s="31" t="str">
        <f t="shared" si="1"/>
        <v>جيد جداً</v>
      </c>
      <c r="I39" s="46"/>
      <c r="J39" s="47"/>
    </row>
    <row r="40" spans="1:10" ht="30" customHeight="1" x14ac:dyDescent="0.2">
      <c r="A40" s="10"/>
      <c r="B40" s="71" t="s">
        <v>213</v>
      </c>
      <c r="C40" s="72"/>
      <c r="D40" s="72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46"/>
      <c r="J40" s="47"/>
    </row>
    <row r="41" spans="1:10" ht="30" customHeight="1" x14ac:dyDescent="0.2">
      <c r="A41" s="10"/>
      <c r="B41" s="71" t="s">
        <v>214</v>
      </c>
      <c r="C41" s="72"/>
      <c r="D41" s="72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46"/>
      <c r="J41" s="47"/>
    </row>
    <row r="42" spans="1:10" ht="30" customHeight="1" x14ac:dyDescent="0.2">
      <c r="A42" s="10"/>
      <c r="B42" s="71" t="s">
        <v>215</v>
      </c>
      <c r="C42" s="72"/>
      <c r="D42" s="72"/>
      <c r="E42" s="9">
        <v>5</v>
      </c>
      <c r="F42" s="26">
        <v>3.75</v>
      </c>
      <c r="G42" s="30">
        <f t="shared" si="0"/>
        <v>0.75</v>
      </c>
      <c r="H42" s="31" t="str">
        <f t="shared" si="1"/>
        <v>جيد</v>
      </c>
      <c r="I42" s="46"/>
      <c r="J42" s="47"/>
    </row>
    <row r="43" spans="1:10" ht="39.950000000000003" customHeight="1" x14ac:dyDescent="0.2">
      <c r="A43" s="10"/>
      <c r="B43" s="71" t="s">
        <v>216</v>
      </c>
      <c r="C43" s="72"/>
      <c r="D43" s="72"/>
      <c r="E43" s="9"/>
      <c r="F43" s="26"/>
      <c r="G43" s="30"/>
      <c r="H43" s="31"/>
      <c r="I43" s="46"/>
      <c r="J43" s="47"/>
    </row>
    <row r="44" spans="1:10" ht="30" customHeight="1" x14ac:dyDescent="0.2">
      <c r="A44" s="10"/>
      <c r="B44" s="73" t="s">
        <v>217</v>
      </c>
      <c r="C44" s="74"/>
      <c r="D44" s="74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46"/>
      <c r="J44" s="47"/>
    </row>
    <row r="45" spans="1:10" ht="39.950000000000003" customHeight="1" x14ac:dyDescent="0.2">
      <c r="A45" s="10"/>
      <c r="B45" s="73" t="s">
        <v>218</v>
      </c>
      <c r="C45" s="74"/>
      <c r="D45" s="74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46"/>
      <c r="J45" s="47"/>
    </row>
    <row r="46" spans="1:10" ht="30" customHeight="1" x14ac:dyDescent="0.2">
      <c r="A46" s="10"/>
      <c r="B46" s="73" t="s">
        <v>219</v>
      </c>
      <c r="C46" s="74"/>
      <c r="D46" s="74"/>
      <c r="E46" s="9">
        <v>5</v>
      </c>
      <c r="F46" s="26">
        <v>4</v>
      </c>
      <c r="G46" s="30">
        <f t="shared" si="0"/>
        <v>0.8</v>
      </c>
      <c r="H46" s="31" t="str">
        <f t="shared" si="1"/>
        <v>جيد جداً</v>
      </c>
      <c r="I46" s="46"/>
      <c r="J46" s="47"/>
    </row>
    <row r="47" spans="1:10" ht="39.950000000000003" customHeight="1" x14ac:dyDescent="0.2">
      <c r="A47" s="10"/>
      <c r="B47" s="73" t="s">
        <v>220</v>
      </c>
      <c r="C47" s="74"/>
      <c r="D47" s="74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46"/>
      <c r="J47" s="47"/>
    </row>
    <row r="48" spans="1:10" ht="30" customHeight="1" x14ac:dyDescent="0.2">
      <c r="A48" s="10"/>
      <c r="B48" s="71" t="s">
        <v>221</v>
      </c>
      <c r="C48" s="72"/>
      <c r="D48" s="72"/>
      <c r="E48" s="9"/>
      <c r="F48" s="26"/>
      <c r="G48" s="30"/>
      <c r="H48" s="31"/>
      <c r="I48" s="46"/>
      <c r="J48" s="47"/>
    </row>
    <row r="49" spans="1:10" ht="60" customHeight="1" x14ac:dyDescent="0.2">
      <c r="A49" s="10"/>
      <c r="B49" s="73" t="s">
        <v>222</v>
      </c>
      <c r="C49" s="74"/>
      <c r="D49" s="74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46"/>
      <c r="J49" s="47"/>
    </row>
    <row r="50" spans="1:10" ht="39.950000000000003" customHeight="1" x14ac:dyDescent="0.2">
      <c r="A50" s="10"/>
      <c r="B50" s="73" t="s">
        <v>223</v>
      </c>
      <c r="C50" s="74"/>
      <c r="D50" s="74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6"/>
      <c r="J50" s="47"/>
    </row>
    <row r="51" spans="1:10" ht="30" customHeight="1" x14ac:dyDescent="0.2">
      <c r="A51" s="10"/>
      <c r="B51" s="73" t="s">
        <v>224</v>
      </c>
      <c r="C51" s="74"/>
      <c r="D51" s="74"/>
      <c r="E51" s="9">
        <v>5</v>
      </c>
      <c r="F51" s="26">
        <v>3.75</v>
      </c>
      <c r="G51" s="30">
        <f t="shared" si="0"/>
        <v>0.75</v>
      </c>
      <c r="H51" s="31" t="str">
        <f t="shared" si="1"/>
        <v>جيد</v>
      </c>
      <c r="I51" s="46"/>
      <c r="J51" s="47"/>
    </row>
    <row r="52" spans="1:10" ht="30" customHeight="1" x14ac:dyDescent="0.2">
      <c r="A52" s="10"/>
      <c r="B52" s="73" t="s">
        <v>225</v>
      </c>
      <c r="C52" s="74"/>
      <c r="D52" s="74"/>
      <c r="E52" s="9">
        <v>5</v>
      </c>
      <c r="F52" s="26">
        <v>3.75</v>
      </c>
      <c r="G52" s="30">
        <f t="shared" si="0"/>
        <v>0.75</v>
      </c>
      <c r="H52" s="31" t="str">
        <f t="shared" si="1"/>
        <v>جيد</v>
      </c>
      <c r="I52" s="46"/>
      <c r="J52" s="47"/>
    </row>
    <row r="53" spans="1:10" ht="30" customHeight="1" x14ac:dyDescent="0.2">
      <c r="A53" s="10"/>
      <c r="B53" s="73" t="s">
        <v>226</v>
      </c>
      <c r="C53" s="74"/>
      <c r="D53" s="74"/>
      <c r="E53" s="9">
        <v>5</v>
      </c>
      <c r="F53" s="26">
        <v>4</v>
      </c>
      <c r="G53" s="30">
        <f t="shared" si="0"/>
        <v>0.8</v>
      </c>
      <c r="H53" s="31" t="str">
        <f t="shared" si="1"/>
        <v>جيد جداً</v>
      </c>
      <c r="I53" s="46"/>
      <c r="J53" s="47"/>
    </row>
    <row r="54" spans="1:10" ht="30" customHeight="1" thickBot="1" x14ac:dyDescent="0.25">
      <c r="A54" s="10"/>
      <c r="B54" s="75" t="s">
        <v>227</v>
      </c>
      <c r="C54" s="76"/>
      <c r="D54" s="76"/>
      <c r="E54" s="32">
        <v>5</v>
      </c>
      <c r="F54" s="27">
        <v>3.5</v>
      </c>
      <c r="G54" s="33">
        <f t="shared" si="0"/>
        <v>0.7</v>
      </c>
      <c r="H54" s="34" t="str">
        <f t="shared" si="1"/>
        <v>جيد</v>
      </c>
      <c r="I54" s="54"/>
      <c r="J54" s="55"/>
    </row>
    <row r="55" spans="1:10" ht="30" customHeight="1" thickBot="1" x14ac:dyDescent="0.25">
      <c r="A55" s="4"/>
      <c r="B55" s="67" t="s">
        <v>5</v>
      </c>
      <c r="C55" s="68"/>
      <c r="D55" s="68"/>
      <c r="E55" s="29">
        <f>SUM(E8:E54)</f>
        <v>200</v>
      </c>
      <c r="F55" s="29">
        <f>SUM(F8:F54)</f>
        <v>145.75</v>
      </c>
      <c r="G55" s="64"/>
      <c r="H55" s="65"/>
      <c r="I55" s="65"/>
      <c r="J55" s="66"/>
    </row>
    <row r="56" spans="1:10" ht="30" customHeight="1" thickBot="1" x14ac:dyDescent="0.25">
      <c r="A56" s="4"/>
      <c r="B56" s="69" t="s">
        <v>54</v>
      </c>
      <c r="C56" s="70"/>
      <c r="D56" s="70"/>
      <c r="E56" s="42">
        <f>F55/E55/100*100</f>
        <v>0.72875000000000001</v>
      </c>
      <c r="F56" s="42"/>
      <c r="G56" s="42"/>
      <c r="H56" s="42"/>
      <c r="I56" s="42"/>
      <c r="J56" s="43"/>
    </row>
    <row r="57" spans="1:10" ht="30" customHeight="1" thickBot="1" x14ac:dyDescent="0.25">
      <c r="A57" s="4"/>
      <c r="B57" s="69" t="s">
        <v>55</v>
      </c>
      <c r="C57" s="70"/>
      <c r="D57" s="70"/>
      <c r="E57" s="60" t="str">
        <f>_xlfn.IFS(E56&gt;=90%,"ممتاز",E56&gt;=80%,"جيد جداً",E56&gt;=70%,"جيد",E56&gt;=60%,"مقبول",E56&lt;60%,"راسب")</f>
        <v>جيد</v>
      </c>
      <c r="F57" s="60"/>
      <c r="G57" s="60"/>
      <c r="H57" s="60"/>
      <c r="I57" s="60"/>
      <c r="J57" s="61"/>
    </row>
    <row r="58" spans="1:10" ht="42" customHeight="1" x14ac:dyDescent="0.2">
      <c r="B58" s="56" t="s">
        <v>174</v>
      </c>
      <c r="C58" s="56"/>
      <c r="D58" s="56"/>
      <c r="E58" s="62" t="s">
        <v>52</v>
      </c>
      <c r="F58" s="62"/>
      <c r="G58" s="58" t="s">
        <v>104</v>
      </c>
      <c r="H58" s="58"/>
      <c r="I58" s="58"/>
      <c r="J58" s="58"/>
    </row>
    <row r="59" spans="1:10" ht="51" customHeight="1" x14ac:dyDescent="0.2">
      <c r="A59" s="5"/>
      <c r="B59" s="57"/>
      <c r="C59" s="57"/>
      <c r="D59" s="57"/>
      <c r="E59" s="63" t="s">
        <v>53</v>
      </c>
      <c r="F59" s="63"/>
      <c r="G59" s="59"/>
      <c r="H59" s="59"/>
      <c r="I59" s="59"/>
      <c r="J59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2">
    <mergeCell ref="B8:J8"/>
    <mergeCell ref="B23:J23"/>
    <mergeCell ref="B33:J33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7:D27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4:D24"/>
    <mergeCell ref="B25:D25"/>
    <mergeCell ref="I34:J34"/>
    <mergeCell ref="I35:J35"/>
    <mergeCell ref="I36:J36"/>
    <mergeCell ref="B55:D55"/>
    <mergeCell ref="B56:D56"/>
    <mergeCell ref="B57:D57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34:D34"/>
    <mergeCell ref="B53:D53"/>
    <mergeCell ref="B54:D54"/>
    <mergeCell ref="B50:D50"/>
    <mergeCell ref="B51:D51"/>
    <mergeCell ref="B52:D52"/>
    <mergeCell ref="B58:D59"/>
    <mergeCell ref="G58:J58"/>
    <mergeCell ref="G59:J59"/>
    <mergeCell ref="E57:J57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45:J45"/>
    <mergeCell ref="I46:J46"/>
    <mergeCell ref="I47:J47"/>
    <mergeCell ref="I48:J48"/>
    <mergeCell ref="E58:F58"/>
    <mergeCell ref="E59:F59"/>
    <mergeCell ref="G55:J55"/>
    <mergeCell ref="B1:J1"/>
    <mergeCell ref="F2:J2"/>
    <mergeCell ref="B5:D6"/>
    <mergeCell ref="C2:D2"/>
    <mergeCell ref="C3:D3"/>
    <mergeCell ref="F3:J3"/>
    <mergeCell ref="E56:J56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4:J24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7">
    <cfRule type="expression" dxfId="21" priority="57">
      <formula>$E57="راسب"</formula>
    </cfRule>
  </conditionalFormatting>
  <conditionalFormatting sqref="E57:J57">
    <cfRule type="expression" dxfId="20" priority="60">
      <formula>$E57="جيد جداً"</formula>
    </cfRule>
    <cfRule type="expression" dxfId="19" priority="59">
      <formula>$E57="جيد"</formula>
    </cfRule>
    <cfRule type="expression" dxfId="18" priority="58">
      <formula>$E57="مقبول"</formula>
    </cfRule>
    <cfRule type="expression" dxfId="17" priority="61">
      <formula>$E57="ممتاز"</formula>
    </cfRule>
  </conditionalFormatting>
  <conditionalFormatting sqref="F9:F22">
    <cfRule type="containsText" dxfId="16" priority="4" operator="containsText" text="أدخل العلامة">
      <formula>NOT(ISERROR(SEARCH("أدخل العلامة",F9)))</formula>
    </cfRule>
  </conditionalFormatting>
  <conditionalFormatting sqref="F24:F32 F34:F54">
    <cfRule type="containsText" dxfId="15" priority="14" operator="containsText" text="أدخل العلامة">
      <formula>NOT(ISERROR(SEARCH("أدخل العلامة",F24)))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8:J58">
    <cfRule type="containsText" dxfId="12" priority="15" operator="containsText" text="أدخل اسم المحكم">
      <formula>NOT(ISERROR(SEARCH("أدخل اسم المحكم",G58)))</formula>
    </cfRule>
  </conditionalFormatting>
  <conditionalFormatting sqref="H9:H22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4:H32 H34:H54">
    <cfRule type="containsText" dxfId="5" priority="38" operator="containsText" text="أدخل العلامة">
      <formula>NOT(ISERROR(SEARCH("أدخل العلامة",H24)))</formula>
    </cfRule>
    <cfRule type="containsText" dxfId="4" priority="39" operator="containsText" text="ممتاز">
      <formula>NOT(ISERROR(SEARCH("ممتاز",H24)))</formula>
    </cfRule>
    <cfRule type="containsText" dxfId="3" priority="40" operator="containsText" text="جيد جداً">
      <formula>NOT(ISERROR(SEARCH("جيد جداً",H24)))</formula>
    </cfRule>
    <cfRule type="containsText" dxfId="2" priority="41" operator="containsText" text="جيد">
      <formula>NOT(ISERROR(SEARCH("جيد",H24)))</formula>
    </cfRule>
    <cfRule type="containsText" dxfId="1" priority="42" operator="containsText" text="مقبول">
      <formula>NOT(ISERROR(SEARCH("مقبول",H24)))</formula>
    </cfRule>
    <cfRule type="containsText" dxfId="0" priority="43" operator="containsText" text="راسب">
      <formula>NOT(ISERROR(SEARCH("راسب",H24)))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F49:F54 F44:F47 F29:F42 F25:F27 F13:F22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G58:J58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2025-10-20T16:32:48Z</dcterms:modified>
</cp:coreProperties>
</file>