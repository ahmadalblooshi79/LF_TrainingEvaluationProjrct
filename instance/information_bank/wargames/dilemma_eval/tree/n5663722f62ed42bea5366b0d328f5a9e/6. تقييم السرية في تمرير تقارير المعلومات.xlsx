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8C340A60-20BA-40AA-86E7-09480004B8BB}"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<sst xmlns="http://schemas.openxmlformats.org/spreadsheetml/2006/main" count="260" uniqueCount="204">
  <si>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</si>
  <si>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</si>
  <si>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</si>
  <si>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</si>
  <si>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</si>
  <si>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</si>
  <si>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</si>
  <si>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</si>
  <si>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</si>
  <si>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</si>
  <si>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</si>
  <si>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</si>
  <si>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</si>
  <si>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</si>
  <si>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</si>
  <si>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</si>
  <si>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</si>
  <si>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</si>
  <si>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</si>
  <si>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</si>
  <si>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</si>
  <si>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</si>
  <si>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</si>
  <si>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</si>
  <si>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</si>
  <si>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</si>
  <si>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</si>
  <si>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</si>
  <si>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</si>
  <si>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</si>
  <si>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</si>
  <si>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</si>
  <si>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</si>
  <si>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</si>
  <si>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</si>
  <si>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</si>
  <si>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</si>
  <si>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</si>
  <si>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</si>
  <si>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</si>
  <si>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</si>
  <si>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</si>
  <si>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</si>
  <si>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</si>
  <si>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</si>
  <si>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</si>
  <si>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</si>
  <si>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</si>
  <si>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</si>
  <si>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</si>
  <si>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</si>
  <si>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</si>
  <si>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</si>
  <si>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</si>
  <si>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</si>
  <si>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</si>
  <si>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</si>
  <si>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</si>
  <si>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</si>
  <si>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</si>
  <si>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</si>
  <si>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</si>
  <si>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</si>
  <si>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</si>
  <si>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</si>
  <si>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</si>
  <si>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</si>
  <si>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</si>
  <si>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</si>
  <si>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</si>
  <si>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</si>
  <si>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</si>
  <si>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</si>
  <si>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</si>
  <si>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</si>
  <si>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</si>
  <si>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</si>
  <si>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</si>
  <si>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</si>
  <si>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</si>
  <si>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</si>
  <si>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</si>
  <si>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</si>
  <si>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</si>
  <si>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</si>
  <si>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</si>
  <si>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</si>
  <si>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</si>
  <si>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</si>
  <si>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</si>
  <si>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</si>
  <si>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</si>
  <si>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</si>
  <si>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</si>
  <si>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</si>
  <si>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</si>
  <si>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</si>
  <si>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</si>
  <si>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</si>
  <si>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</si>
  <si>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</si>
  <si>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</si>
  <si>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</si>
  <si>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</si>
  <si>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</si>
  <si>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</si>
  <si>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</si>
  <si>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</si>
  <si>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</si>
  <si>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</si>
  <si>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</si>
  <si>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</si>
  <si>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</si>
  <si>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</si>
  <si>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</si>
  <si>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</si>
  <si>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</si>
  <si>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</si>
  <si>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</si>
  <si>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</si>
  <si>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</si>
  <si>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</si>
  <si>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</si>
  <si>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</si>
  <si>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</si>
  <si>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</si>
  <si>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</si>
  <si>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</si>
  <si>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</si>
  <si>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</si>
  <si>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</si>
  <si>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</si>
  <si>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</si>
  <si>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</si>
  <si>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</si>
  <si>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</si>
  <si>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</si>
  <si>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</si>
  <si>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</si>
  <si>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</si>
  <si>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</si>
  <si>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</si>
  <si>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</si>
  <si>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</si>
  <si>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</si>
  <si>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</si>
  <si>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</si>
  <si>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</si>
  <si>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</si>
  <si>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</si>
  <si>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</si>
  <si>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</si>
  <si>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</si>
  <si>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</si>
  <si>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</si>
  <si>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</si>
  <si>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</si>
  <si>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</si>
  <si>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</si>
  <si>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</si>
  <si>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</si>
  <si>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</si>
  <si>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</si>
  <si>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</si>
  <si>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</si>
  <si>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</si>
  <si>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</si>
  <si>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</si>
  <si>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</si>
  <si>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</si>
  <si>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</si>
  <si>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</si>
  <si>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</si>
  <si>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</si>
  <si>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</si>
  <si>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</si>
  <si>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</si>
  <si>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</si>
  <si>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</si>
  <si>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</si>
  <si>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</si>
  <si>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</si>
  <si>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</si>
  <si>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</si>
  <si>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</si>
  <si>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</si>
  <si>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</si>
  <si>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</si>
  <si>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</si>
  <si>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</si>
  <si>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</si>
  <si>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</si>
  <si>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</si>
  <si>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</si>
  <si>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</si>
  <si>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</si>
  <si>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</si>
  <si>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</si>
  <si>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</si>
  <si>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</si>
  <si>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</si>
  <si>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t>تقييم السرية/فريق القتال في تمرير تقارير المعلومات - تمرين جاهزية مجموعة لواء الإمارات/1 (جندي الصحراء 2025/20)</t>
  </si>
  <si>
    <t>النقيب/ عبدالله سعيد النعيمي</t>
  </si>
  <si>
    <t>العقيد الركن/ سيف الراشدي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</si>
</sst>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4">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6</xdr:col>
      <xdr:colOff>107025</xdr:colOff>
      <xdr:row>36</xdr:row>
      <xdr:rowOff>154055</xdr:rowOff>
    </xdr:from>
    <xdr:to>
      <xdr:col>7</xdr:col>
      <xdr:colOff>92615</xdr:colOff>
      <xdr:row>36</xdr:row>
      <xdr:rowOff>348815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3781489-FEE9-9702-8E3B-97346B1F052E}"/>
                </a:ext>
              </a:extLst>
            </xdr14:cNvPr>
            <xdr14:cNvContentPartPr/>
          </xdr14:nvContentPartPr>
          <xdr14:nvPr macro=""/>
          <xdr14:xfrm>
            <a:off x="10399810385" y="18453600"/>
            <a:ext cx="643680" cy="194760"/>
          </xdr14:xfrm>
        </xdr:contentPart>
      </mc:Choice>
      <mc:Fallback xmlns="">
        <xdr:pic>
          <xdr:nvPicPr>
            <xdr:cNvPr id="2" name="Ink 1">
              <a:extLst>
                <a:ext uri="{FF2B5EF4-FFF2-40B4-BE49-F238E27FC236}">
                  <a16:creationId xmlns:a16="http://schemas.microsoft.com/office/drawing/2014/main" id="{93781489-FEE9-9702-8E3B-97346B1F052E}"/>
                </a:ext>
              </a:extLst>
            </xdr:cNvPr>
            <xdr:cNvPicPr/>
          </xdr:nvPicPr>
          <xdr:blipFill>
            <a:blip xmlns:r="http://schemas.openxmlformats.org/officeDocument/2006/relationships" r:embed="rId2"/>
            <a:stretch>
              <a:fillRect/>
            </a:stretch>
          </xdr:blipFill>
          <xdr:spPr>
            <a:xfrm>
              <a:off x="10399804265" y="18447480"/>
              <a:ext cx="655920" cy="207000"/>
            </a:xfrm>
            <a:prstGeom prst="rect">
              <a:avLst/>
            </a:prstGeom>
          </xdr:spPr>
        </xdr:pic>
      </mc:Fallback>
    </mc:AlternateContent>
    <xdr:clientData/>
  </xdr:twoCellAnchor>
  <xdr:twoCellAnchor editAs="oneCell">
    <xdr:from>
      <xdr:col>6</xdr:col>
      <xdr:colOff>524985</xdr:colOff>
      <xdr:row>36</xdr:row>
      <xdr:rowOff>532055</xdr:rowOff>
    </xdr:from>
    <xdr:to>
      <xdr:col>6</xdr:col>
      <xdr:colOff>537585</xdr:colOff>
      <xdr:row>36</xdr:row>
      <xdr:rowOff>532415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42593FD4-C1EB-2B76-7B94-F2F3F6C7FFF9}"/>
                </a:ext>
              </a:extLst>
            </xdr14:cNvPr>
            <xdr14:cNvContentPartPr/>
          </xdr14:nvContentPartPr>
          <xdr14:nvPr macro=""/>
          <xdr14:xfrm>
            <a:off x="10400023505" y="18831600"/>
            <a:ext cx="12600" cy="360"/>
          </xdr14:xfrm>
        </xdr:contentPart>
      </mc:Choice>
      <mc:Fallback xmlns="">
        <xdr:pic>
          <xdr:nvPicPr>
            <xdr:cNvPr id="3" name="Ink 2">
              <a:extLst>
                <a:ext uri="{FF2B5EF4-FFF2-40B4-BE49-F238E27FC236}">
                  <a16:creationId xmlns:a16="http://schemas.microsoft.com/office/drawing/2014/main" id="{42593FD4-C1EB-2B76-7B94-F2F3F6C7FFF9}"/>
                </a:ext>
              </a:extLst>
            </xdr:cNvPr>
            <xdr:cNvPicPr/>
          </xdr:nvPicPr>
          <xdr:blipFill>
            <a:blip xmlns:r="http://schemas.openxmlformats.org/officeDocument/2006/relationships" r:embed="rId4"/>
            <a:stretch>
              <a:fillRect/>
            </a:stretch>
          </xdr:blipFill>
          <xdr:spPr>
            <a:xfrm>
              <a:off x="10400017385" y="18825480"/>
              <a:ext cx="24840" cy="12600"/>
            </a:xfrm>
            <a:prstGeom prst="rect">
              <a:avLst/>
            </a:prstGeom>
          </xdr:spPr>
        </xdr:pic>
      </mc:Fallback>
    </mc:AlternateContent>
    <xdr:clientData/>
  </xdr:twoCellAnchor>
  <xdr:twoCellAnchor editAs="oneCell">
    <xdr:from>
      <xdr:col>7</xdr:col>
      <xdr:colOff>181895</xdr:colOff>
      <xdr:row>36</xdr:row>
      <xdr:rowOff>526295</xdr:rowOff>
    </xdr:from>
    <xdr:to>
      <xdr:col>7</xdr:col>
      <xdr:colOff>260375</xdr:colOff>
      <xdr:row>37</xdr:row>
      <xdr:rowOff>30588</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B3A558D-80C6-9BC3-912D-1A3D10600CEC}"/>
                </a:ext>
              </a:extLst>
            </xdr14:cNvPr>
            <xdr14:cNvContentPartPr/>
          </xdr14:nvContentPartPr>
          <xdr14:nvPr macro=""/>
          <xdr14:xfrm>
            <a:off x="10399642625" y="18825840"/>
            <a:ext cx="78480" cy="150840"/>
          </xdr14:xfrm>
        </xdr:contentPart>
      </mc:Choice>
      <mc:Fallback xmlns="">
        <xdr:pic>
          <xdr:nvPicPr>
            <xdr:cNvPr id="4" name="Ink 3">
              <a:extLst>
                <a:ext uri="{FF2B5EF4-FFF2-40B4-BE49-F238E27FC236}">
                  <a16:creationId xmlns:a16="http://schemas.microsoft.com/office/drawing/2014/main" id="{AB3A558D-80C6-9BC3-912D-1A3D10600CEC}"/>
                </a:ext>
              </a:extLst>
            </xdr:cNvPr>
            <xdr:cNvPicPr/>
          </xdr:nvPicPr>
          <xdr:blipFill>
            <a:blip xmlns:r="http://schemas.openxmlformats.org/officeDocument/2006/relationships" r:embed="rId6"/>
            <a:stretch>
              <a:fillRect/>
            </a:stretch>
          </xdr:blipFill>
          <xdr:spPr>
            <a:xfrm>
              <a:off x="10399636505" y="18819720"/>
              <a:ext cx="90720" cy="163080"/>
            </a:xfrm>
            <a:prstGeom prst="rect">
              <a:avLst/>
            </a:prstGeom>
          </xdr:spPr>
        </xdr:pic>
      </mc:Fallback>
    </mc:AlternateContent>
    <xdr:clientData/>
  </xdr:twoCellAnchor>
  <xdr:twoCellAnchor editAs="oneCell">
    <xdr:from>
      <xdr:col>6</xdr:col>
      <xdr:colOff>166425</xdr:colOff>
      <xdr:row>36</xdr:row>
      <xdr:rowOff>17255</xdr:rowOff>
    </xdr:from>
    <xdr:to>
      <xdr:col>9</xdr:col>
      <xdr:colOff>69914</xdr:colOff>
      <xdr:row>36</xdr:row>
      <xdr:rowOff>567695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9443247-9EA7-A7DB-C5DA-D458CA08EF81}"/>
                </a:ext>
              </a:extLst>
            </xdr14:cNvPr>
            <xdr14:cNvContentPartPr/>
          </xdr14:nvContentPartPr>
          <xdr14:nvPr macro=""/>
          <xdr14:xfrm>
            <a:off x="10398516905" y="18316800"/>
            <a:ext cx="1877760" cy="550440"/>
          </xdr14:xfrm>
        </xdr:contentPart>
      </mc:Choice>
      <mc:Fallback xmlns="">
        <xdr:pic>
          <xdr:nvPicPr>
            <xdr:cNvPr id="5" name="Ink 4">
              <a:extLst>
                <a:ext uri="{FF2B5EF4-FFF2-40B4-BE49-F238E27FC236}">
                  <a16:creationId xmlns:a16="http://schemas.microsoft.com/office/drawing/2014/main" id="{69443247-9EA7-A7DB-C5DA-D458CA08EF81}"/>
                </a:ext>
              </a:extLst>
            </xdr:cNvPr>
            <xdr:cNvPicPr/>
          </xdr:nvPicPr>
          <xdr:blipFill>
            <a:blip xmlns:r="http://schemas.openxmlformats.org/officeDocument/2006/relationships" r:embed="rId8"/>
            <a:stretch>
              <a:fillRect/>
            </a:stretch>
          </xdr:blipFill>
          <xdr:spPr>
            <a:xfrm>
              <a:off x="10398510785" y="18310680"/>
              <a:ext cx="1890000" cy="562680"/>
            </a:xfrm>
            <a:prstGeom prst="rect">
              <a:avLst/>
            </a:prstGeom>
          </xdr:spPr>
        </xdr:pic>
      </mc:Fallback>
    </mc:AlternateContent>
    <xdr:clientData/>
  </xdr:twoCellAnchor>
  <xdr:twoCellAnchor editAs="oneCell">
    <xdr:from>
      <xdr:col>6</xdr:col>
      <xdr:colOff>213225</xdr:colOff>
      <xdr:row>36</xdr:row>
      <xdr:rowOff>636095</xdr:rowOff>
    </xdr:from>
    <xdr:to>
      <xdr:col>6</xdr:col>
      <xdr:colOff>213585</xdr:colOff>
      <xdr:row>36</xdr:row>
      <xdr:rowOff>636455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1D4ADDC-3106-A589-C827-D8D4AE83E8BB}"/>
                </a:ext>
              </a:extLst>
            </xdr14:cNvPr>
            <xdr14:cNvContentPartPr/>
          </xdr14:nvContentPartPr>
          <xdr14:nvPr macro=""/>
          <xdr14:xfrm>
            <a:off x="10400347505" y="18935640"/>
            <a:ext cx="360" cy="360"/>
          </xdr14:xfrm>
        </xdr:contentPart>
      </mc:Choice>
      <mc:Fallback xmlns="">
        <xdr:pic>
          <xdr:nvPicPr>
            <xdr:cNvPr id="6" name="Ink 5">
              <a:extLst>
                <a:ext uri="{FF2B5EF4-FFF2-40B4-BE49-F238E27FC236}">
                  <a16:creationId xmlns:a16="http://schemas.microsoft.com/office/drawing/2014/main" id="{01D4ADDC-3106-A589-C827-D8D4AE83E8BB}"/>
                </a:ext>
              </a:extLst>
            </xdr:cNvPr>
            <xdr:cNvPicPr/>
          </xdr:nvPicPr>
          <xdr:blipFill>
            <a:blip xmlns:r="http://schemas.openxmlformats.org/officeDocument/2006/relationships" r:embed="rId10"/>
            <a:stretch>
              <a:fillRect/>
            </a:stretch>
          </xdr:blipFill>
          <xdr:spPr>
            <a:xfrm>
              <a:off x="10400341385" y="1892952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7:26.563"/>
    </inkml:context>
    <inkml:brush xml:id="br0">
      <inkml:brushProperty name="width" value="0.035" units="cm"/>
      <inkml:brushProperty name="height" value="0.035" units="cm"/>
    </inkml:brush>
  </inkml:definitions>
  <inkml:trace contextRef="#ctx0" brushRef="#br0">1104 265,'0'0,"0"0,0 0,0 0,0 0,0 0,0 0,0 0,0 0,0 0,0 0,0 0,0 0,0 0,0-16,17 0,-14 12,-6-8,3-4,0 12,14-8,-14-4,0 12,17-8,-17-21,0 28,15-6,-15-5,0 14,0-12,15-2,-13 14,-2 2,-2-14,2 12,0 2,0-14,0 12,16 4,-14-2,-4-16,2 8,0 32,0-8,17 0,-15-14,-4 12,2 18,0-28,0 41,0-13,0-28,0 24,0 4,0-28,0 24,0 4,0-28,0 24,0 4,0-28,0 24,0 4,0-27,0 6,14 21,-13-27,-2 6,17 5,-14-13,26-6,-11 19,-15-13,26-6,18 3,-36 0,13-16,24 0,-40 14,32 4,-9-18,-22 14,32-12,7-2,-41 14,18 4,9-18,-29 14,5 4,8-18,-15 13,12 6,-7-3,-30 0,6 0,17 0,-30 0,-1 0,24 0,-18 0,-21 16,38-13,-31 10,-39-13,67 0,-41 16,-24 0,64-13,-39-6,-11 19,54-13,-47-6,9 3,39 0,-16 0,-24 0,37 0,-13 0,9 0,12 0,-12-16,-3 0,17 14,-13-12,13-2,0 13,0-10,0-3,0 14,0-12,0 6,-17 0,11 0,12 0,-22 8,16 0,-30 0,13 0,17 0,-30 0,-16 0,38 0,-31 16,-8-16,40 0,-33 16,-7-16,41 0,-34 16,10-16,23 0,-19 0,-4 0,25 0,-7 0,-1 0,10 0,-11 0,11 0,-10 0,-1 0,-2-16,13 13,-26 6,-3-3,28 0,-23 0,-3 0,24 0,-34 0,7 0,29 0,-39 0,13 0,25 0,-20 0,25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7:27.014"/>
    </inkml:context>
    <inkml:brush xml:id="br0">
      <inkml:brushProperty name="width" value="0.035" units="cm"/>
      <inkml:brushProperty name="height" value="0.035" units="cm"/>
    </inkml:brush>
  </inkml:definitions>
  <inkml:trace contextRef="#ctx0" brushRef="#br0">0 1,'0'0,"0"0,0 0,0 0,0 0,0 0,0 0,17 0,-14 0,11 0,-14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7:27.623"/>
    </inkml:context>
    <inkml:brush xml:id="br0">
      <inkml:brushProperty name="width" value="0.035" units="cm"/>
      <inkml:brushProperty name="height" value="0.035" units="cm"/>
    </inkml:brush>
  </inkml:definitions>
  <inkml:trace contextRef="#ctx0" brushRef="#br0">0 0,'0'0,"0"0,0 0,0 0,0 0,0 0,0 17,17-1,-15-14,13 12,-1 34,-11-41,28 50,17 7,-41-54,17 60,24 26,-40-78,-16-36</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7:29.052"/>
    </inkml:context>
    <inkml:brush xml:id="br0">
      <inkml:brushProperty name="width" value="0.035" units="cm"/>
      <inkml:brushProperty name="height" value="0.035" units="cm"/>
    </inkml:brush>
  </inkml:definitions>
  <inkml:trace contextRef="#ctx0" brushRef="#br0">2846 276,'0'0,"0"0,0 0,0 0,0 0,0 0,0 0,0 0,0 0,0 0,0 0,0 0,0 0,0 0,16 16,-16 0,0-13,16 26,-2 3,-12-27,13 22,15 21,-24-40,4 32,7 9,-15-42,9 34,6 7,-15-41,-4 34,2 7,0-41,-17 34,4 7,10-40,-27 16,0 24,25-40,-21 16,-21 9,38-28,-29 22,-8-11,36-14,-43-4,6 2,41 0,-34 0,-23-32,53 27,-27-6,7-22,25 29,-37-40,12 12,25 27,-22-38,12-5,13 41,4-18,-2-23,0 40,0-32,15-8,-13 41,28-34,0 9,-25 27,21-39,6 12,-29 28,25-8,2-4,-25 14,36-12,-8-2,-28 14,20 4,-8-2,-15 0,26 0,-12 0,-14 0,-4 16,-14 0,14-13,-13 10,-31 35,39-40,-79 33,-38 23,105-54,-118 44,-33 10,142-54,-148 60,-70 26,206-81,-187 83,-20-2,206-80,-150 48,-29 16,186-67,-119 54,14-3,120-55,-70 31,11-8,66-27,-37 22,16-11,31-14,-27-4,13 2,49 0,-19 0,-12 0,75-32,63 0,-119 27,158-39,88-36,-225 67,242-54,56-45,-284 94,278-60,86-51,-355 110,259-74,110-35,-366 108,270-88,35-5,-318 96,216-78,-7 15,-225 68,155-56,-24 4,-144 54,58-12,9-11,-79 29,3-8,-1-4,-14 14,-35 4,31-2,-28 16,16-16,12 0,-29 0,1 0,25 0,-37 0,-5 0,41 0,-18 16,-22-16,36 0,-13 16,-7-16,25 0,-7 17,-2-1,12-14,4 12,-2 18,0-27,0-10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7:29.579"/>
    </inkml:context>
    <inkml:brush xml:id="br0">
      <inkml:brushProperty name="width" value="0.035" units="cm"/>
      <inkml:brushProperty name="height" value="0.035" units="cm"/>
    </inkml:brush>
  </inkml:definitions>
  <inkml:trace contextRef="#ctx0" brushRef="#br0">0 0,'0'0,"0"0,0 0,0 0,0 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9" t="s">
        <v>201</v>
      </c>
      <c r="C1" s="69"/>
      <c r="D1" s="69"/>
      <c r="E1" s="69"/>
      <c r="F1" s="69"/>
      <c r="G1" s="69"/>
      <c r="H1" s="69"/>
      <c r="I1" s="69"/>
      <c r="J1" s="69"/>
    </row>
    <row r="2" spans="1:10" ht="30" customHeight="1" x14ac:dyDescent="0.3">
      <c r="B2" s="11" t="s">
        <v>8</v>
      </c>
      <c r="C2" s="75" t="s">
        <v>45</v>
      </c>
      <c r="D2" s="75"/>
      <c r="E2" s="11" t="s">
        <v>7</v>
      </c>
      <c r="F2" s="70">
        <v>45944</v>
      </c>
      <c r="G2" s="70"/>
      <c r="H2" s="70"/>
      <c r="I2" s="70"/>
      <c r="J2" s="70"/>
    </row>
    <row r="3" spans="1:10" ht="30" customHeight="1" x14ac:dyDescent="0.3">
      <c r="B3" s="11" t="s">
        <v>9</v>
      </c>
      <c r="C3" s="75" t="s">
        <v>60</v>
      </c>
      <c r="D3" s="75"/>
      <c r="E3" s="11" t="s">
        <v>6</v>
      </c>
      <c r="F3" s="75" t="s">
        <v>59</v>
      </c>
      <c r="G3" s="75"/>
      <c r="H3" s="75"/>
      <c r="I3" s="75"/>
      <c r="J3" s="75"/>
    </row>
    <row r="4" spans="1:10" ht="30" customHeight="1" thickBot="1" x14ac:dyDescent="0.35">
      <c r="B4" s="6"/>
      <c r="C4" s="93" t="s">
        <v>202</v>
      </c>
      <c r="D4" s="93"/>
      <c r="E4" s="6"/>
      <c r="F4" s="93" t="s">
        <v>203</v>
      </c>
      <c r="G4" s="93"/>
      <c r="H4" s="93"/>
      <c r="I4" s="93"/>
      <c r="J4" s="93"/>
    </row>
    <row r="5" spans="1:10" ht="24.9" customHeight="1" x14ac:dyDescent="0.3">
      <c r="A5" s="9"/>
      <c r="B5" s="71" t="s">
        <v>0</v>
      </c>
      <c r="C5" s="72"/>
      <c r="D5" s="72"/>
      <c r="E5" s="80" t="s">
        <v>1</v>
      </c>
      <c r="F5" s="80"/>
      <c r="G5" s="80"/>
      <c r="H5" s="80"/>
      <c r="I5" s="80" t="s">
        <v>2</v>
      </c>
      <c r="J5" s="81"/>
    </row>
    <row r="6" spans="1:10" ht="24.9" customHeight="1" thickBot="1" x14ac:dyDescent="0.35">
      <c r="A6" s="9"/>
      <c r="B6" s="73"/>
      <c r="C6" s="74"/>
      <c r="D6" s="74"/>
      <c r="E6" s="10" t="s">
        <v>3</v>
      </c>
      <c r="F6" s="10" t="s">
        <v>4</v>
      </c>
      <c r="G6" s="10" t="s">
        <v>23</v>
      </c>
      <c r="H6" s="10" t="s">
        <v>24</v>
      </c>
      <c r="I6" s="82"/>
      <c r="J6" s="83"/>
    </row>
    <row r="7" spans="1:10" ht="24.9" customHeight="1" thickBot="1" x14ac:dyDescent="0.35">
      <c r="A7" s="9"/>
      <c r="B7" s="78" t="s">
        <v>21</v>
      </c>
      <c r="C7" s="79"/>
      <c r="D7" s="79"/>
      <c r="E7" s="28" t="s">
        <v>18</v>
      </c>
      <c r="F7" s="28" t="s">
        <v>19</v>
      </c>
      <c r="G7" s="28" t="s">
        <v>22</v>
      </c>
      <c r="H7" s="28" t="s">
        <v>20</v>
      </c>
      <c r="I7" s="91" t="s">
        <v>25</v>
      </c>
      <c r="J7" s="92"/>
    </row>
    <row r="8" spans="1:10" ht="39.9" customHeight="1" thickBot="1" x14ac:dyDescent="0.35">
      <c r="A8" s="9"/>
      <c r="B8" s="47" t="s">
        <v>195</v>
      </c>
      <c r="C8" s="48"/>
      <c r="D8" s="48"/>
      <c r="E8" s="8">
        <v>5</v>
      </c>
      <c r="F8" s="39">
        <v>4</v>
      </c>
      <c r="G8" s="40">
        <f>IFERROR(F8/E8,"")</f>
        <v>0.8</v>
      </c>
      <c r="H8" s="26" t="str">
        <f>_xlfn.IFS(F8="أدخل العلامة","",F8="لا ينطبق","تم الإلغاء",G8&gt;=90%,"ممتاز",G8&gt;=80%,"جيد جداً",G8&gt;=70%,"جيد",G8&gt;=60%,"مقبول",G8&lt;60%,"راسب")</f>
        <v>جيد جداً</v>
      </c>
      <c r="I8" s="89"/>
      <c r="J8" s="90"/>
    </row>
    <row r="9" spans="1:10" ht="39.9" customHeight="1" thickBot="1" x14ac:dyDescent="0.35">
      <c r="A9" s="9"/>
      <c r="B9" s="49" t="s">
        <v>196</v>
      </c>
      <c r="C9" s="50"/>
      <c r="D9" s="50"/>
      <c r="E9" s="8">
        <v>5</v>
      </c>
      <c r="F9" s="39">
        <v>3.75</v>
      </c>
      <c r="G9" s="40">
        <f>IFERROR(F9/E9,"")</f>
        <v>0.75</v>
      </c>
      <c r="H9" s="26" t="str">
        <f>_xlfn.IFS(F9="أدخل العلامة","",F9="لا ينطبق","تم الإلغاء",G9&gt;=90%,"ممتاز",G9&gt;=80%,"جيد جداً",G9&gt;=70%,"جيد",G9&gt;=60%,"مقبول",G9&lt;60%,"راسب")</f>
        <v>جيد</v>
      </c>
      <c r="I9" s="89"/>
      <c r="J9" s="90"/>
    </row>
    <row r="10" spans="1:10" ht="39.9" customHeight="1" thickBot="1" x14ac:dyDescent="0.35">
      <c r="A10" s="9"/>
      <c r="B10" s="49" t="s">
        <v>197</v>
      </c>
      <c r="C10" s="50"/>
      <c r="D10" s="50"/>
      <c r="E10" s="8">
        <v>5</v>
      </c>
      <c r="F10" s="39">
        <v>3.5</v>
      </c>
      <c r="G10" s="40">
        <f t="shared" ref="G10:G32" si="0">IFERROR(F10/E10,"")</f>
        <v>0.7</v>
      </c>
      <c r="H10" s="26" t="str">
        <f t="shared" ref="H10:H32" si="1">_xlfn.IFS(F10="أدخل العلامة","",F10="لا ينطبق","تم الإلغاء",G10&gt;=90%,"ممتاز",G10&gt;=80%,"جيد جداً",G10&gt;=70%,"جيد",G10&gt;=60%,"مقبول",G10&lt;60%,"راسب")</f>
        <v>جيد</v>
      </c>
      <c r="I10" s="89"/>
      <c r="J10" s="90"/>
    </row>
    <row r="11" spans="1:10" ht="39.9" customHeight="1" x14ac:dyDescent="0.3">
      <c r="A11" s="9"/>
      <c r="B11" s="45" t="s">
        <v>198</v>
      </c>
      <c r="C11" s="46"/>
      <c r="D11" s="46"/>
      <c r="E11" s="38"/>
      <c r="F11" s="32"/>
      <c r="G11" s="33"/>
      <c r="H11" s="34"/>
      <c r="I11" s="55"/>
      <c r="J11" s="56"/>
    </row>
    <row r="12" spans="1:10" ht="39.9" customHeight="1" x14ac:dyDescent="0.3">
      <c r="A12" s="9"/>
      <c r="B12" s="41" t="s">
        <v>176</v>
      </c>
      <c r="C12" s="42"/>
      <c r="D12" s="42"/>
      <c r="E12" s="7">
        <v>5</v>
      </c>
      <c r="F12" s="25">
        <v>3.75</v>
      </c>
      <c r="G12" s="30">
        <f t="shared" si="0"/>
        <v>0.75</v>
      </c>
      <c r="H12" s="31" t="str">
        <f t="shared" si="1"/>
        <v>جيد</v>
      </c>
      <c r="I12" s="53"/>
      <c r="J12" s="54"/>
    </row>
    <row r="13" spans="1:10" ht="54.9" customHeight="1" x14ac:dyDescent="0.3">
      <c r="A13" s="9"/>
      <c r="B13" s="41" t="s">
        <v>177</v>
      </c>
      <c r="C13" s="42"/>
      <c r="D13" s="42"/>
      <c r="E13" s="7">
        <v>5</v>
      </c>
      <c r="F13" s="25">
        <v>3.75</v>
      </c>
      <c r="G13" s="30">
        <f t="shared" si="0"/>
        <v>0.75</v>
      </c>
      <c r="H13" s="31" t="str">
        <f t="shared" si="1"/>
        <v>جيد</v>
      </c>
      <c r="I13" s="53"/>
      <c r="J13" s="54"/>
    </row>
    <row r="14" spans="1:10" ht="71.25" customHeight="1" x14ac:dyDescent="0.3">
      <c r="A14" s="9"/>
      <c r="B14" s="41" t="s">
        <v>178</v>
      </c>
      <c r="C14" s="42"/>
      <c r="D14" s="42"/>
      <c r="E14" s="7">
        <v>5</v>
      </c>
      <c r="F14" s="25">
        <v>3.75</v>
      </c>
      <c r="G14" s="30">
        <f t="shared" si="0"/>
        <v>0.75</v>
      </c>
      <c r="H14" s="31" t="str">
        <f t="shared" si="1"/>
        <v>جيد</v>
      </c>
      <c r="I14" s="53"/>
      <c r="J14" s="54"/>
    </row>
    <row r="15" spans="1:10" ht="39.9" customHeight="1" x14ac:dyDescent="0.3">
      <c r="A15" s="9"/>
      <c r="B15" s="41" t="s">
        <v>179</v>
      </c>
      <c r="C15" s="42"/>
      <c r="D15" s="42"/>
      <c r="E15" s="7">
        <v>5</v>
      </c>
      <c r="F15" s="25">
        <v>3.75</v>
      </c>
      <c r="G15" s="30">
        <f t="shared" si="0"/>
        <v>0.75</v>
      </c>
      <c r="H15" s="31" t="str">
        <f t="shared" si="1"/>
        <v>جيد</v>
      </c>
      <c r="I15" s="53"/>
      <c r="J15" s="54"/>
    </row>
    <row r="16" spans="1:10" ht="68.25" customHeight="1" x14ac:dyDescent="0.3">
      <c r="A16" s="9"/>
      <c r="B16" s="41" t="s">
        <v>180</v>
      </c>
      <c r="C16" s="42"/>
      <c r="D16" s="42"/>
      <c r="E16" s="7">
        <v>5</v>
      </c>
      <c r="F16" s="25">
        <v>3.75</v>
      </c>
      <c r="G16" s="30">
        <f t="shared" si="0"/>
        <v>0.75</v>
      </c>
      <c r="H16" s="31" t="str">
        <f t="shared" si="1"/>
        <v>جيد</v>
      </c>
      <c r="I16" s="53"/>
      <c r="J16" s="54"/>
    </row>
    <row r="17" spans="1:10" ht="65.099999999999994" customHeight="1" thickBot="1" x14ac:dyDescent="0.35">
      <c r="A17" s="9"/>
      <c r="B17" s="43" t="s">
        <v>181</v>
      </c>
      <c r="C17" s="44"/>
      <c r="D17" s="44"/>
      <c r="E17" s="35">
        <v>5</v>
      </c>
      <c r="F17" s="27">
        <v>3.75</v>
      </c>
      <c r="G17" s="36">
        <f t="shared" si="0"/>
        <v>0.75</v>
      </c>
      <c r="H17" s="37" t="str">
        <f t="shared" si="1"/>
        <v>جيد</v>
      </c>
      <c r="I17" s="51"/>
      <c r="J17" s="52"/>
    </row>
    <row r="18" spans="1:10" ht="39.9" customHeight="1" x14ac:dyDescent="0.3">
      <c r="A18" s="9"/>
      <c r="B18" s="57" t="s">
        <v>199</v>
      </c>
      <c r="C18" s="58"/>
      <c r="D18" s="58"/>
      <c r="E18" s="38"/>
      <c r="F18" s="32"/>
      <c r="G18" s="33"/>
      <c r="H18" s="34"/>
      <c r="I18" s="55"/>
      <c r="J18" s="56"/>
    </row>
    <row r="19" spans="1:10" ht="39.9" customHeight="1" x14ac:dyDescent="0.3">
      <c r="A19" s="9"/>
      <c r="B19" s="41" t="s">
        <v>182</v>
      </c>
      <c r="C19" s="42"/>
      <c r="D19" s="42"/>
      <c r="E19" s="7">
        <v>5</v>
      </c>
      <c r="F19" s="25">
        <v>4</v>
      </c>
      <c r="G19" s="30">
        <f t="shared" si="0"/>
        <v>0.8</v>
      </c>
      <c r="H19" s="31" t="str">
        <f t="shared" si="1"/>
        <v>جيد جداً</v>
      </c>
      <c r="I19" s="53"/>
      <c r="J19" s="54"/>
    </row>
    <row r="20" spans="1:10" ht="39.9" customHeight="1" x14ac:dyDescent="0.3">
      <c r="A20" s="9"/>
      <c r="B20" s="41" t="s">
        <v>183</v>
      </c>
      <c r="C20" s="42"/>
      <c r="D20" s="42"/>
      <c r="E20" s="7">
        <v>5</v>
      </c>
      <c r="F20" s="25">
        <v>4</v>
      </c>
      <c r="G20" s="30">
        <f t="shared" si="0"/>
        <v>0.8</v>
      </c>
      <c r="H20" s="31" t="str">
        <f t="shared" si="1"/>
        <v>جيد جداً</v>
      </c>
      <c r="I20" s="53"/>
      <c r="J20" s="54"/>
    </row>
    <row r="21" spans="1:10" ht="39.9" customHeight="1" x14ac:dyDescent="0.3">
      <c r="A21" s="9"/>
      <c r="B21" s="41" t="s">
        <v>184</v>
      </c>
      <c r="C21" s="42"/>
      <c r="D21" s="42"/>
      <c r="E21" s="7">
        <v>5</v>
      </c>
      <c r="F21" s="25">
        <v>4</v>
      </c>
      <c r="G21" s="30">
        <f t="shared" si="0"/>
        <v>0.8</v>
      </c>
      <c r="H21" s="31" t="str">
        <f t="shared" si="1"/>
        <v>جيد جداً</v>
      </c>
      <c r="I21" s="53"/>
      <c r="J21" s="54"/>
    </row>
    <row r="22" spans="1:10" ht="39.9" customHeight="1" x14ac:dyDescent="0.3">
      <c r="A22" s="9"/>
      <c r="B22" s="41" t="s">
        <v>185</v>
      </c>
      <c r="C22" s="42"/>
      <c r="D22" s="42"/>
      <c r="E22" s="7">
        <v>5</v>
      </c>
      <c r="F22" s="25">
        <v>3.75</v>
      </c>
      <c r="G22" s="30">
        <f t="shared" si="0"/>
        <v>0.75</v>
      </c>
      <c r="H22" s="31" t="str">
        <f t="shared" si="1"/>
        <v>جيد</v>
      </c>
      <c r="I22" s="53"/>
      <c r="J22" s="54"/>
    </row>
    <row r="23" spans="1:10" ht="39.9" customHeight="1" x14ac:dyDescent="0.3">
      <c r="A23" s="9"/>
      <c r="B23" s="41" t="s">
        <v>186</v>
      </c>
      <c r="C23" s="42"/>
      <c r="D23" s="42"/>
      <c r="E23" s="7">
        <v>5</v>
      </c>
      <c r="F23" s="25">
        <v>3.75</v>
      </c>
      <c r="G23" s="30">
        <f t="shared" si="0"/>
        <v>0.75</v>
      </c>
      <c r="H23" s="31" t="str">
        <f t="shared" si="1"/>
        <v>جيد</v>
      </c>
      <c r="I23" s="53"/>
      <c r="J23" s="54"/>
    </row>
    <row r="24" spans="1:10" ht="39.9" customHeight="1" x14ac:dyDescent="0.3">
      <c r="A24" s="9"/>
      <c r="B24" s="41" t="s">
        <v>187</v>
      </c>
      <c r="C24" s="42"/>
      <c r="D24" s="42"/>
      <c r="E24" s="7">
        <v>5</v>
      </c>
      <c r="F24" s="25">
        <v>4</v>
      </c>
      <c r="G24" s="30">
        <f t="shared" si="0"/>
        <v>0.8</v>
      </c>
      <c r="H24" s="31" t="str">
        <f t="shared" si="1"/>
        <v>جيد جداً</v>
      </c>
      <c r="I24" s="53"/>
      <c r="J24" s="54"/>
    </row>
    <row r="25" spans="1:10" ht="39.9" customHeight="1" x14ac:dyDescent="0.3">
      <c r="A25" s="9"/>
      <c r="B25" s="41" t="s">
        <v>188</v>
      </c>
      <c r="C25" s="42"/>
      <c r="D25" s="42"/>
      <c r="E25" s="7">
        <v>5</v>
      </c>
      <c r="F25" s="25">
        <v>4</v>
      </c>
      <c r="G25" s="30">
        <f t="shared" si="0"/>
        <v>0.8</v>
      </c>
      <c r="H25" s="31" t="str">
        <f t="shared" si="1"/>
        <v>جيد جداً</v>
      </c>
      <c r="I25" s="53"/>
      <c r="J25" s="54"/>
    </row>
    <row r="26" spans="1:10" ht="39.9" customHeight="1" thickBot="1" x14ac:dyDescent="0.35">
      <c r="A26" s="9"/>
      <c r="B26" s="43" t="s">
        <v>189</v>
      </c>
      <c r="C26" s="44"/>
      <c r="D26" s="44"/>
      <c r="E26" s="35">
        <v>5</v>
      </c>
      <c r="F26" s="27">
        <v>4.25</v>
      </c>
      <c r="G26" s="36">
        <f t="shared" si="0"/>
        <v>0.85</v>
      </c>
      <c r="H26" s="37" t="str">
        <f t="shared" si="1"/>
        <v>جيد جداً</v>
      </c>
      <c r="I26" s="51"/>
      <c r="J26" s="52"/>
    </row>
    <row r="27" spans="1:10" ht="39.9" customHeight="1" x14ac:dyDescent="0.3">
      <c r="A27" s="9"/>
      <c r="B27" s="45" t="s">
        <v>200</v>
      </c>
      <c r="C27" s="46"/>
      <c r="D27" s="46"/>
      <c r="E27" s="38"/>
      <c r="F27" s="32"/>
      <c r="G27" s="33"/>
      <c r="H27" s="34"/>
      <c r="I27" s="55"/>
      <c r="J27" s="56"/>
    </row>
    <row r="28" spans="1:10" ht="39.9" customHeight="1" x14ac:dyDescent="0.3">
      <c r="A28" s="9"/>
      <c r="B28" s="41" t="s">
        <v>190</v>
      </c>
      <c r="C28" s="42"/>
      <c r="D28" s="42"/>
      <c r="E28" s="7">
        <v>5</v>
      </c>
      <c r="F28" s="25">
        <v>3.75</v>
      </c>
      <c r="G28" s="30">
        <f t="shared" si="0"/>
        <v>0.75</v>
      </c>
      <c r="H28" s="31" t="str">
        <f t="shared" si="1"/>
        <v>جيد</v>
      </c>
      <c r="I28" s="53"/>
      <c r="J28" s="54"/>
    </row>
    <row r="29" spans="1:10" ht="39.9" customHeight="1" x14ac:dyDescent="0.3">
      <c r="A29" s="9"/>
      <c r="B29" s="41" t="s">
        <v>191</v>
      </c>
      <c r="C29" s="42"/>
      <c r="D29" s="42"/>
      <c r="E29" s="7">
        <v>5</v>
      </c>
      <c r="F29" s="25">
        <v>3.75</v>
      </c>
      <c r="G29" s="30">
        <f t="shared" si="0"/>
        <v>0.75</v>
      </c>
      <c r="H29" s="31" t="str">
        <f t="shared" si="1"/>
        <v>جيد</v>
      </c>
      <c r="I29" s="53"/>
      <c r="J29" s="54"/>
    </row>
    <row r="30" spans="1:10" ht="39.9" customHeight="1" x14ac:dyDescent="0.3">
      <c r="A30" s="9"/>
      <c r="B30" s="41" t="s">
        <v>192</v>
      </c>
      <c r="C30" s="42"/>
      <c r="D30" s="42"/>
      <c r="E30" s="7">
        <v>5</v>
      </c>
      <c r="F30" s="25">
        <v>4</v>
      </c>
      <c r="G30" s="30">
        <f t="shared" si="0"/>
        <v>0.8</v>
      </c>
      <c r="H30" s="31" t="str">
        <f t="shared" si="1"/>
        <v>جيد جداً</v>
      </c>
      <c r="I30" s="53"/>
      <c r="J30" s="54"/>
    </row>
    <row r="31" spans="1:10" ht="39.9" customHeight="1" x14ac:dyDescent="0.3">
      <c r="A31" s="9"/>
      <c r="B31" s="41" t="s">
        <v>193</v>
      </c>
      <c r="C31" s="42"/>
      <c r="D31" s="42"/>
      <c r="E31" s="7">
        <v>5</v>
      </c>
      <c r="F31" s="25">
        <v>4</v>
      </c>
      <c r="G31" s="30">
        <f t="shared" si="0"/>
        <v>0.8</v>
      </c>
      <c r="H31" s="31" t="str">
        <f t="shared" si="1"/>
        <v>جيد جداً</v>
      </c>
      <c r="I31" s="53"/>
      <c r="J31" s="54"/>
    </row>
    <row r="32" spans="1:10" ht="39.9" customHeight="1" thickBot="1" x14ac:dyDescent="0.35">
      <c r="A32" s="9"/>
      <c r="B32" s="43" t="s">
        <v>194</v>
      </c>
      <c r="C32" s="44"/>
      <c r="D32" s="44"/>
      <c r="E32" s="35">
        <v>5</v>
      </c>
      <c r="F32" s="27">
        <v>4</v>
      </c>
      <c r="G32" s="36">
        <f t="shared" si="0"/>
        <v>0.8</v>
      </c>
      <c r="H32" s="37" t="str">
        <f t="shared" si="1"/>
        <v>جيد جداً</v>
      </c>
      <c r="I32" s="51"/>
      <c r="J32" s="52"/>
    </row>
    <row r="33" spans="1:10" ht="30" customHeight="1" thickBot="1" x14ac:dyDescent="0.35">
      <c r="A33" s="4"/>
      <c r="B33" s="59" t="s">
        <v>5</v>
      </c>
      <c r="C33" s="60"/>
      <c r="D33" s="60"/>
      <c r="E33" s="29">
        <f>SUM(E8:E32)</f>
        <v>110</v>
      </c>
      <c r="F33" s="29">
        <f>SUM(F8:F32)</f>
        <v>85</v>
      </c>
      <c r="G33" s="86"/>
      <c r="H33" s="87"/>
      <c r="I33" s="87"/>
      <c r="J33" s="88"/>
    </row>
    <row r="34" spans="1:10" ht="30" customHeight="1" thickBot="1" x14ac:dyDescent="0.35">
      <c r="A34" s="4"/>
      <c r="B34" s="61" t="s">
        <v>54</v>
      </c>
      <c r="C34" s="62"/>
      <c r="D34" s="62"/>
      <c r="E34" s="76">
        <f>F33/E33/100*100</f>
        <v>0.77272727272727271</v>
      </c>
      <c r="F34" s="76"/>
      <c r="G34" s="76"/>
      <c r="H34" s="76"/>
      <c r="I34" s="76"/>
      <c r="J34" s="77"/>
    </row>
    <row r="35" spans="1:10" ht="30" customHeight="1" thickBot="1" x14ac:dyDescent="0.35">
      <c r="A35" s="4"/>
      <c r="B35" s="61" t="s">
        <v>55</v>
      </c>
      <c r="C35" s="62"/>
      <c r="D35" s="62"/>
      <c r="E35" s="67" t="str">
        <f>_xlfn.IFS(E34&gt;=90%,"ممتاز",E34&gt;=80%,"جيد جداً",E34&gt;=70%,"جيد",E34&gt;=60%,"مقبول",E34&lt;60%,"راسب")</f>
        <v>جيد</v>
      </c>
      <c r="F35" s="67"/>
      <c r="G35" s="67"/>
      <c r="H35" s="67"/>
      <c r="I35" s="67"/>
      <c r="J35" s="68"/>
    </row>
    <row r="36" spans="1:10" ht="42" customHeight="1" x14ac:dyDescent="0.3">
      <c r="B36" s="63" t="s">
        <v>175</v>
      </c>
      <c r="C36" s="63"/>
      <c r="D36" s="63"/>
      <c r="E36" s="84" t="s">
        <v>52</v>
      </c>
      <c r="F36" s="84"/>
      <c r="G36" s="65" t="s">
        <v>59</v>
      </c>
      <c r="H36" s="65"/>
      <c r="I36" s="65"/>
      <c r="J36" s="65"/>
    </row>
    <row r="37" spans="1:10" ht="51" customHeight="1" x14ac:dyDescent="0.3">
      <c r="A37" s="5"/>
      <c r="B37" s="64"/>
      <c r="C37" s="64"/>
      <c r="D37" s="64"/>
      <c r="E37" s="85" t="s">
        <v>53</v>
      </c>
      <c r="F37" s="85"/>
      <c r="G37" s="66"/>
      <c r="H37" s="66"/>
      <c r="I37" s="66"/>
      <c r="J37" s="66"/>
    </row>
  </sheetData>
  <sheetProtection formatCells="0" formatColumns="0" formatRows="0" insertColumns="0" insertRows="0" insertHyperlinks="0" deleteColumns="0" deleteRows="0" selectLockedCells="1" sort="0" autoFilter="0" pivotTables="0"/>
  <mergeCells count="73">
    <mergeCell ref="C4:D4"/>
    <mergeCell ref="F4:J4"/>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8" t="s">
        <v>62</v>
      </c>
    </row>
    <row r="3" spans="1:3" ht="20.100000000000001" customHeight="1" thickBot="1" x14ac:dyDescent="0.35">
      <c r="A3" s="2" t="s">
        <v>26</v>
      </c>
      <c r="C3" s="18" t="s">
        <v>63</v>
      </c>
    </row>
    <row r="4" spans="1:3" ht="20.100000000000001" customHeight="1" thickBot="1" x14ac:dyDescent="0.35">
      <c r="A4" s="2" t="s">
        <v>36</v>
      </c>
      <c r="C4" s="18" t="s">
        <v>64</v>
      </c>
    </row>
    <row r="5" spans="1:3" ht="20.100000000000001" customHeight="1" thickBot="1" x14ac:dyDescent="0.35">
      <c r="A5" s="2" t="s">
        <v>37</v>
      </c>
      <c r="C5" s="18" t="s">
        <v>65</v>
      </c>
    </row>
    <row r="6" spans="1:3" ht="20.100000000000001" customHeight="1" thickBot="1" x14ac:dyDescent="0.35">
      <c r="A6" s="2" t="s">
        <v>38</v>
      </c>
      <c r="C6" s="18" t="s">
        <v>66</v>
      </c>
    </row>
    <row r="7" spans="1:3" ht="20.100000000000001" customHeight="1" thickBot="1" x14ac:dyDescent="0.35">
      <c r="A7" s="2" t="s">
        <v>39</v>
      </c>
      <c r="C7" s="18" t="s">
        <v>67</v>
      </c>
    </row>
    <row r="8" spans="1:3" ht="20.100000000000001" customHeight="1" thickBot="1" x14ac:dyDescent="0.35">
      <c r="A8" s="2" t="s">
        <v>40</v>
      </c>
      <c r="C8" s="18" t="s">
        <v>68</v>
      </c>
    </row>
    <row r="9" spans="1:3" ht="20.100000000000001" customHeight="1" thickBot="1" x14ac:dyDescent="0.35">
      <c r="A9" s="2" t="s">
        <v>41</v>
      </c>
      <c r="C9" s="18" t="s">
        <v>69</v>
      </c>
    </row>
    <row r="10" spans="1:3" ht="20.100000000000001" customHeight="1" thickBot="1" x14ac:dyDescent="0.35">
      <c r="A10" s="2" t="s">
        <v>42</v>
      </c>
      <c r="C10" s="18" t="s">
        <v>70</v>
      </c>
    </row>
    <row r="11" spans="1:3" ht="20.100000000000001" customHeight="1" thickBot="1" x14ac:dyDescent="0.35">
      <c r="A11" s="2" t="s">
        <v>43</v>
      </c>
      <c r="C11" s="18" t="s">
        <v>71</v>
      </c>
    </row>
    <row r="12" spans="1:3" ht="20.100000000000001" customHeight="1" thickBot="1" x14ac:dyDescent="0.35">
      <c r="A12" s="2" t="s">
        <v>44</v>
      </c>
      <c r="C12" s="18" t="s">
        <v>72</v>
      </c>
    </row>
    <row r="13" spans="1:3" ht="20.100000000000001" customHeight="1" thickBot="1" x14ac:dyDescent="0.35">
      <c r="A13" s="2" t="s">
        <v>45</v>
      </c>
      <c r="C13" s="18" t="s">
        <v>73</v>
      </c>
    </row>
    <row r="14" spans="1:3" ht="20.100000000000001" customHeight="1" thickBot="1" x14ac:dyDescent="0.35">
      <c r="A14" s="2" t="s">
        <v>46</v>
      </c>
      <c r="C14" s="18" t="s">
        <v>74</v>
      </c>
    </row>
    <row r="15" spans="1:3" ht="20.100000000000001" customHeight="1" thickBot="1" x14ac:dyDescent="0.35">
      <c r="A15" s="2" t="s">
        <v>47</v>
      </c>
      <c r="C15" s="18" t="s">
        <v>75</v>
      </c>
    </row>
    <row r="16" spans="1:3" ht="20.100000000000001" customHeight="1" thickBot="1" x14ac:dyDescent="0.35">
      <c r="A16" s="2" t="s">
        <v>10</v>
      </c>
      <c r="C16" s="18" t="s">
        <v>76</v>
      </c>
    </row>
    <row r="17" spans="1:3" ht="20.100000000000001" customHeight="1" thickBot="1" x14ac:dyDescent="0.35">
      <c r="A17" s="2" t="s">
        <v>27</v>
      </c>
      <c r="C17" s="18" t="s">
        <v>77</v>
      </c>
    </row>
    <row r="18" spans="1:3" ht="20.100000000000001" customHeight="1" thickBot="1" x14ac:dyDescent="0.35">
      <c r="A18" s="2" t="s">
        <v>48</v>
      </c>
      <c r="C18" s="18" t="s">
        <v>78</v>
      </c>
    </row>
    <row r="19" spans="1:3" ht="20.100000000000001" customHeight="1" thickBot="1" x14ac:dyDescent="0.35">
      <c r="A19" s="2" t="s">
        <v>49</v>
      </c>
      <c r="C19" s="18" t="s">
        <v>79</v>
      </c>
    </row>
    <row r="20" spans="1:3" ht="20.100000000000001" customHeight="1" thickBot="1" x14ac:dyDescent="0.35">
      <c r="A20" s="2" t="s">
        <v>50</v>
      </c>
      <c r="C20" s="18" t="s">
        <v>80</v>
      </c>
    </row>
    <row r="21" spans="1:3" ht="20.100000000000001" customHeight="1" thickBot="1" x14ac:dyDescent="0.35">
      <c r="A21" s="2" t="s">
        <v>51</v>
      </c>
      <c r="C21" s="18" t="s">
        <v>81</v>
      </c>
    </row>
    <row r="22" spans="1:3" ht="20.100000000000001" customHeight="1" thickBot="1" x14ac:dyDescent="0.35">
      <c r="A22" s="2" t="s">
        <v>11</v>
      </c>
      <c r="C22" s="18" t="s">
        <v>82</v>
      </c>
    </row>
    <row r="23" spans="1:3" ht="20.100000000000001" customHeight="1" thickBot="1" x14ac:dyDescent="0.35">
      <c r="A23" s="2" t="s">
        <v>12</v>
      </c>
      <c r="C23" s="18" t="s">
        <v>83</v>
      </c>
    </row>
    <row r="24" spans="1:3" ht="20.100000000000001" customHeight="1" thickBot="1" x14ac:dyDescent="0.35">
      <c r="A24" s="2" t="s">
        <v>15</v>
      </c>
      <c r="C24" s="18" t="s">
        <v>84</v>
      </c>
    </row>
    <row r="25" spans="1:3" ht="20.100000000000001" customHeight="1" thickBot="1" x14ac:dyDescent="0.35">
      <c r="A25" s="2" t="s">
        <v>28</v>
      </c>
      <c r="C25" s="18" t="s">
        <v>85</v>
      </c>
    </row>
    <row r="26" spans="1:3" ht="20.100000000000001" customHeight="1" thickBot="1" x14ac:dyDescent="0.35">
      <c r="A26" s="2" t="s">
        <v>29</v>
      </c>
      <c r="C26" s="18" t="s">
        <v>86</v>
      </c>
    </row>
    <row r="27" spans="1:3" ht="20.100000000000001" customHeight="1" thickBot="1" x14ac:dyDescent="0.35">
      <c r="A27" s="2" t="s">
        <v>13</v>
      </c>
      <c r="C27" s="18" t="s">
        <v>87</v>
      </c>
    </row>
    <row r="28" spans="1:3" ht="20.100000000000001" customHeight="1" thickBot="1" x14ac:dyDescent="0.35">
      <c r="A28" s="2" t="s">
        <v>30</v>
      </c>
      <c r="C28" s="18"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7"/>
    </row>
    <row r="36" spans="1:9" s="16" customFormat="1" ht="20.100000000000001" customHeight="1" x14ac:dyDescent="0.3">
      <c r="A36" s="14"/>
      <c r="B36" s="15"/>
      <c r="C36" s="15"/>
      <c r="D36" s="15"/>
      <c r="E36" s="15"/>
      <c r="F36" s="15"/>
      <c r="G36" s="15"/>
      <c r="H36" s="15"/>
      <c r="I36" s="15"/>
    </row>
    <row r="37" spans="1:9" ht="20.100000000000001" customHeight="1" thickBot="1" x14ac:dyDescent="0.35"/>
    <row r="38" spans="1:9" ht="20.100000000000001" customHeight="1" thickBot="1" x14ac:dyDescent="0.35">
      <c r="A38" s="2" t="s">
        <v>56</v>
      </c>
    </row>
    <row r="39" spans="1:9" ht="20.100000000000001" customHeight="1" thickBot="1" x14ac:dyDescent="0.35">
      <c r="A39" s="12">
        <v>45901</v>
      </c>
    </row>
    <row r="40" spans="1:9" ht="20.100000000000001" customHeight="1" thickBot="1" x14ac:dyDescent="0.35">
      <c r="A40" s="12">
        <v>45902</v>
      </c>
    </row>
    <row r="41" spans="1:9" ht="20.100000000000001" customHeight="1" thickBot="1" x14ac:dyDescent="0.35">
      <c r="A41" s="12">
        <v>45903</v>
      </c>
    </row>
    <row r="42" spans="1:9" ht="20.100000000000001" customHeight="1" thickBot="1" x14ac:dyDescent="0.35">
      <c r="A42" s="12">
        <v>45904</v>
      </c>
    </row>
    <row r="43" spans="1:9" ht="20.100000000000001" customHeight="1" thickBot="1" x14ac:dyDescent="0.35">
      <c r="A43" s="12">
        <v>45905</v>
      </c>
    </row>
    <row r="44" spans="1:9" ht="20.100000000000001" customHeight="1" thickBot="1" x14ac:dyDescent="0.35">
      <c r="A44" s="12">
        <v>45906</v>
      </c>
    </row>
    <row r="45" spans="1:9" ht="20.100000000000001" customHeight="1" thickBot="1" x14ac:dyDescent="0.35">
      <c r="A45" s="12">
        <v>45907</v>
      </c>
    </row>
    <row r="46" spans="1:9" ht="20.100000000000001" customHeight="1" thickBot="1" x14ac:dyDescent="0.35">
      <c r="A46" s="12">
        <v>45908</v>
      </c>
    </row>
    <row r="47" spans="1:9" ht="20.100000000000001" customHeight="1" thickBot="1" x14ac:dyDescent="0.35">
      <c r="A47" s="12">
        <v>45909</v>
      </c>
    </row>
    <row r="48" spans="1:9" ht="20.100000000000001" customHeight="1" thickBot="1" x14ac:dyDescent="0.35">
      <c r="A48" s="12">
        <v>45910</v>
      </c>
    </row>
    <row r="49" spans="1:1" ht="20.100000000000001" customHeight="1" thickBot="1" x14ac:dyDescent="0.35">
      <c r="A49" s="12">
        <v>45911</v>
      </c>
    </row>
    <row r="50" spans="1:1" ht="20.100000000000001" customHeight="1" thickBot="1" x14ac:dyDescent="0.35">
      <c r="A50" s="12">
        <v>45912</v>
      </c>
    </row>
    <row r="51" spans="1:1" ht="20.100000000000001" customHeight="1" thickBot="1" x14ac:dyDescent="0.35">
      <c r="A51" s="12">
        <v>45913</v>
      </c>
    </row>
    <row r="52" spans="1:1" ht="20.100000000000001" customHeight="1" thickBot="1" x14ac:dyDescent="0.35">
      <c r="A52" s="12">
        <v>45914</v>
      </c>
    </row>
    <row r="53" spans="1:1" ht="20.100000000000001" customHeight="1" thickBot="1" x14ac:dyDescent="0.35">
      <c r="A53" s="12">
        <v>45915</v>
      </c>
    </row>
    <row r="54" spans="1:1" ht="20.100000000000001" customHeight="1" thickBot="1" x14ac:dyDescent="0.35">
      <c r="A54" s="12">
        <v>45916</v>
      </c>
    </row>
    <row r="55" spans="1:1" ht="20.100000000000001" customHeight="1" thickBot="1" x14ac:dyDescent="0.35">
      <c r="A55" s="12">
        <v>45917</v>
      </c>
    </row>
    <row r="56" spans="1:1" ht="20.100000000000001" customHeight="1" thickBot="1" x14ac:dyDescent="0.35">
      <c r="A56" s="12">
        <v>45918</v>
      </c>
    </row>
    <row r="57" spans="1:1" ht="20.100000000000001" customHeight="1" thickBot="1" x14ac:dyDescent="0.35">
      <c r="A57" s="12">
        <v>45919</v>
      </c>
    </row>
    <row r="58" spans="1:1" ht="20.100000000000001" customHeight="1" thickBot="1" x14ac:dyDescent="0.35">
      <c r="A58" s="12">
        <v>45920</v>
      </c>
    </row>
    <row r="59" spans="1:1" ht="20.100000000000001" customHeight="1" thickBot="1" x14ac:dyDescent="0.35">
      <c r="A59" s="12">
        <v>45921</v>
      </c>
    </row>
    <row r="60" spans="1:1" ht="20.100000000000001" customHeight="1" thickBot="1" x14ac:dyDescent="0.35">
      <c r="A60" s="12">
        <v>45922</v>
      </c>
    </row>
    <row r="61" spans="1:1" ht="20.100000000000001" customHeight="1" thickBot="1" x14ac:dyDescent="0.35">
      <c r="A61" s="12">
        <v>45923</v>
      </c>
    </row>
    <row r="62" spans="1:1" ht="20.100000000000001" customHeight="1" thickBot="1" x14ac:dyDescent="0.35">
      <c r="A62" s="12">
        <v>45924</v>
      </c>
    </row>
    <row r="63" spans="1:1" ht="20.100000000000001" customHeight="1" thickBot="1" x14ac:dyDescent="0.35">
      <c r="A63" s="12">
        <v>45925</v>
      </c>
    </row>
    <row r="64" spans="1:1" ht="20.100000000000001" customHeight="1" thickBot="1" x14ac:dyDescent="0.35">
      <c r="A64" s="12">
        <v>45926</v>
      </c>
    </row>
    <row r="65" spans="1:1" ht="20.100000000000001" customHeight="1" thickBot="1" x14ac:dyDescent="0.35">
      <c r="A65" s="12">
        <v>45927</v>
      </c>
    </row>
    <row r="66" spans="1:1" ht="20.100000000000001" customHeight="1" thickBot="1" x14ac:dyDescent="0.35">
      <c r="A66" s="12">
        <v>45928</v>
      </c>
    </row>
    <row r="67" spans="1:1" ht="20.100000000000001" customHeight="1" thickBot="1" x14ac:dyDescent="0.35">
      <c r="A67" s="12">
        <v>45929</v>
      </c>
    </row>
    <row r="68" spans="1:1" ht="20.100000000000001" customHeight="1" thickBot="1" x14ac:dyDescent="0.35">
      <c r="A68" s="12">
        <v>45930</v>
      </c>
    </row>
    <row r="69" spans="1:1" ht="20.100000000000001" customHeight="1" thickBot="1" x14ac:dyDescent="0.35">
      <c r="A69" s="12">
        <v>45931</v>
      </c>
    </row>
    <row r="70" spans="1:1" ht="20.100000000000001" customHeight="1" thickBot="1" x14ac:dyDescent="0.35">
      <c r="A70" s="12">
        <v>45932</v>
      </c>
    </row>
    <row r="71" spans="1:1" ht="20.100000000000001" customHeight="1" thickBot="1" x14ac:dyDescent="0.35">
      <c r="A71" s="12">
        <v>45933</v>
      </c>
    </row>
    <row r="72" spans="1:1" ht="20.100000000000001" customHeight="1" thickBot="1" x14ac:dyDescent="0.35">
      <c r="A72" s="12">
        <v>45934</v>
      </c>
    </row>
    <row r="73" spans="1:1" ht="20.100000000000001" customHeight="1" thickBot="1" x14ac:dyDescent="0.35">
      <c r="A73" s="12">
        <v>45935</v>
      </c>
    </row>
    <row r="74" spans="1:1" ht="20.100000000000001" customHeight="1" thickBot="1" x14ac:dyDescent="0.35">
      <c r="A74" s="12">
        <v>45936</v>
      </c>
    </row>
    <row r="75" spans="1:1" ht="20.100000000000001" customHeight="1" thickBot="1" x14ac:dyDescent="0.35">
      <c r="A75" s="12">
        <v>45937</v>
      </c>
    </row>
    <row r="76" spans="1:1" ht="20.100000000000001" customHeight="1" thickBot="1" x14ac:dyDescent="0.35">
      <c r="A76" s="12">
        <v>45938</v>
      </c>
    </row>
    <row r="77" spans="1:1" ht="20.100000000000001" customHeight="1" thickBot="1" x14ac:dyDescent="0.35">
      <c r="A77" s="12">
        <v>45939</v>
      </c>
    </row>
    <row r="78" spans="1:1" ht="20.100000000000001" customHeight="1" thickBot="1" x14ac:dyDescent="0.35">
      <c r="A78" s="12">
        <v>45940</v>
      </c>
    </row>
    <row r="79" spans="1:1" ht="20.100000000000001" customHeight="1" thickBot="1" x14ac:dyDescent="0.35">
      <c r="A79" s="12">
        <v>45941</v>
      </c>
    </row>
    <row r="80" spans="1:1" ht="20.100000000000001" customHeight="1" thickBot="1" x14ac:dyDescent="0.35">
      <c r="A80" s="12">
        <v>45942</v>
      </c>
    </row>
    <row r="81" spans="1:1" ht="20.100000000000001" customHeight="1" thickBot="1" x14ac:dyDescent="0.35">
      <c r="A81" s="12">
        <v>45943</v>
      </c>
    </row>
    <row r="82" spans="1:1" ht="20.100000000000001" customHeight="1" thickBot="1" x14ac:dyDescent="0.35">
      <c r="A82" s="12">
        <v>45944</v>
      </c>
    </row>
    <row r="83" spans="1:1" ht="20.100000000000001" customHeight="1" thickBot="1" x14ac:dyDescent="0.35">
      <c r="A83" s="12">
        <v>45945</v>
      </c>
    </row>
    <row r="84" spans="1:1" ht="20.100000000000001" customHeight="1" thickBot="1" x14ac:dyDescent="0.35">
      <c r="A84" s="12">
        <v>45946</v>
      </c>
    </row>
    <row r="85" spans="1:1" ht="20.100000000000001" customHeight="1" thickBot="1" x14ac:dyDescent="0.35">
      <c r="A85" s="12">
        <v>45947</v>
      </c>
    </row>
    <row r="86" spans="1:1" ht="20.100000000000001" customHeight="1" thickBot="1" x14ac:dyDescent="0.35">
      <c r="A86" s="12">
        <v>45948</v>
      </c>
    </row>
    <row r="87" spans="1:1" ht="20.100000000000001" customHeight="1" thickBot="1" x14ac:dyDescent="0.35">
      <c r="A87" s="12">
        <v>45949</v>
      </c>
    </row>
    <row r="88" spans="1:1" ht="20.100000000000001" customHeight="1" thickBot="1" x14ac:dyDescent="0.35">
      <c r="A88" s="12">
        <v>45950</v>
      </c>
    </row>
    <row r="89" spans="1:1" ht="20.100000000000001" customHeight="1" thickBot="1" x14ac:dyDescent="0.35">
      <c r="A89" s="12">
        <v>45951</v>
      </c>
    </row>
    <row r="90" spans="1:1" ht="20.100000000000001" customHeight="1" thickBot="1" x14ac:dyDescent="0.35">
      <c r="A90" s="12">
        <v>45952</v>
      </c>
    </row>
    <row r="91" spans="1:1" ht="20.100000000000001" customHeight="1" thickBot="1" x14ac:dyDescent="0.35">
      <c r="A91" s="12">
        <v>45953</v>
      </c>
    </row>
    <row r="92" spans="1:1" ht="20.100000000000001" customHeight="1" thickBot="1" x14ac:dyDescent="0.35">
      <c r="A92" s="12">
        <v>45954</v>
      </c>
    </row>
    <row r="93" spans="1:1" ht="20.100000000000001" customHeight="1" thickBot="1" x14ac:dyDescent="0.35">
      <c r="A93" s="12">
        <v>45955</v>
      </c>
    </row>
    <row r="94" spans="1:1" ht="20.100000000000001" customHeight="1" thickBot="1" x14ac:dyDescent="0.35">
      <c r="A94" s="12">
        <v>45956</v>
      </c>
    </row>
    <row r="95" spans="1:1" ht="20.100000000000001" customHeight="1" thickBot="1" x14ac:dyDescent="0.35">
      <c r="A95" s="12">
        <v>45957</v>
      </c>
    </row>
    <row r="96" spans="1:1" ht="20.100000000000001" customHeight="1" thickBot="1" x14ac:dyDescent="0.35">
      <c r="A96" s="12">
        <v>45958</v>
      </c>
    </row>
    <row r="97" spans="1:9" ht="20.100000000000001" customHeight="1" thickBot="1" x14ac:dyDescent="0.35">
      <c r="A97" s="12">
        <v>45959</v>
      </c>
    </row>
    <row r="98" spans="1:9" ht="20.100000000000001" customHeight="1" thickBot="1" x14ac:dyDescent="0.35">
      <c r="A98" s="12">
        <v>45960</v>
      </c>
    </row>
    <row r="99" spans="1:9" ht="20.100000000000001" customHeight="1" thickBot="1" x14ac:dyDescent="0.35">
      <c r="A99" s="12">
        <v>45961</v>
      </c>
    </row>
    <row r="100" spans="1:9" ht="20.100000000000001" customHeight="1" thickBot="1" x14ac:dyDescent="0.35">
      <c r="A100" s="12">
        <v>45962</v>
      </c>
    </row>
    <row r="101" spans="1:9" ht="20.100000000000001" customHeight="1" thickBot="1" x14ac:dyDescent="0.35">
      <c r="A101" s="12">
        <v>45963</v>
      </c>
    </row>
    <row r="102" spans="1:9" ht="20.100000000000001" customHeight="1" thickBot="1" x14ac:dyDescent="0.35">
      <c r="A102" s="12">
        <v>45964</v>
      </c>
    </row>
    <row r="103" spans="1:9" ht="20.100000000000001" customHeight="1" thickBot="1" x14ac:dyDescent="0.35">
      <c r="A103" s="12">
        <v>45965</v>
      </c>
    </row>
    <row r="104" spans="1:9" ht="20.100000000000001" customHeight="1" thickBot="1" x14ac:dyDescent="0.35">
      <c r="A104" s="12">
        <v>45966</v>
      </c>
    </row>
    <row r="105" spans="1:9" ht="20.100000000000001" customHeight="1" thickBot="1" x14ac:dyDescent="0.35">
      <c r="A105" s="12">
        <v>45967</v>
      </c>
    </row>
    <row r="106" spans="1:9" ht="20.100000000000001" customHeight="1" thickBot="1" x14ac:dyDescent="0.35">
      <c r="A106" s="12">
        <v>45968</v>
      </c>
    </row>
    <row r="107" spans="1:9" ht="20.100000000000001" customHeight="1" x14ac:dyDescent="0.3">
      <c r="A107" s="13"/>
    </row>
    <row r="108" spans="1:9" ht="20.100000000000001" customHeight="1" x14ac:dyDescent="0.3">
      <c r="A108" s="13"/>
    </row>
    <row r="109" spans="1:9" s="16" customFormat="1" ht="20.100000000000001" customHeight="1" x14ac:dyDescent="0.3">
      <c r="A109" s="14"/>
      <c r="B109" s="15"/>
      <c r="C109" s="15"/>
      <c r="D109" s="15"/>
      <c r="E109" s="15"/>
      <c r="F109" s="15"/>
      <c r="G109" s="15"/>
      <c r="H109" s="15"/>
      <c r="I109" s="15"/>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19" t="s">
        <v>89</v>
      </c>
    </row>
    <row r="200" spans="1:1" ht="20.100000000000001" customHeight="1" x14ac:dyDescent="0.3">
      <c r="A200" s="19" t="s">
        <v>90</v>
      </c>
    </row>
    <row r="201" spans="1:1" ht="20.100000000000001" customHeight="1" x14ac:dyDescent="0.3">
      <c r="A201" s="19" t="s">
        <v>91</v>
      </c>
    </row>
    <row r="202" spans="1:1" ht="20.100000000000001" customHeight="1" x14ac:dyDescent="0.3">
      <c r="A202" s="19" t="s">
        <v>92</v>
      </c>
    </row>
    <row r="203" spans="1:1" ht="20.100000000000001" customHeight="1" x14ac:dyDescent="0.3">
      <c r="A203" s="19" t="s">
        <v>93</v>
      </c>
    </row>
    <row r="204" spans="1:1" ht="20.100000000000001" customHeight="1" x14ac:dyDescent="0.3">
      <c r="A204" s="19" t="s">
        <v>94</v>
      </c>
    </row>
    <row r="205" spans="1:1" ht="20.100000000000001" customHeight="1" x14ac:dyDescent="0.3">
      <c r="A205" s="19" t="s">
        <v>95</v>
      </c>
    </row>
    <row r="206" spans="1:1" ht="20.100000000000001" customHeight="1" x14ac:dyDescent="0.3">
      <c r="A206" s="19" t="s">
        <v>96</v>
      </c>
    </row>
    <row r="207" spans="1:1" ht="20.100000000000001" customHeight="1" x14ac:dyDescent="0.3">
      <c r="A207" s="19" t="s">
        <v>97</v>
      </c>
    </row>
    <row r="208" spans="1:1" ht="20.100000000000001" customHeight="1" x14ac:dyDescent="0.3">
      <c r="A208" s="20" t="s">
        <v>98</v>
      </c>
    </row>
    <row r="209" spans="1:1" ht="20.100000000000001" customHeight="1" x14ac:dyDescent="0.3">
      <c r="A209" s="20" t="s">
        <v>99</v>
      </c>
    </row>
    <row r="210" spans="1:1" ht="20.100000000000001" customHeight="1" x14ac:dyDescent="0.3">
      <c r="A210" s="19" t="s">
        <v>100</v>
      </c>
    </row>
    <row r="211" spans="1:1" ht="20.100000000000001" customHeight="1" x14ac:dyDescent="0.3">
      <c r="A211" s="19" t="s">
        <v>101</v>
      </c>
    </row>
    <row r="212" spans="1:1" ht="20.100000000000001" customHeight="1" x14ac:dyDescent="0.3">
      <c r="A212" s="19" t="s">
        <v>102</v>
      </c>
    </row>
    <row r="213" spans="1:1" ht="20.100000000000001" customHeight="1" x14ac:dyDescent="0.3">
      <c r="A213" s="19" t="s">
        <v>103</v>
      </c>
    </row>
    <row r="214" spans="1:1" ht="20.100000000000001" customHeight="1" x14ac:dyDescent="0.3">
      <c r="A214" s="19" t="s">
        <v>104</v>
      </c>
    </row>
    <row r="215" spans="1:1" ht="20.100000000000001" customHeight="1" x14ac:dyDescent="0.3">
      <c r="A215" s="19" t="s">
        <v>105</v>
      </c>
    </row>
    <row r="216" spans="1:1" ht="20.100000000000001" customHeight="1" x14ac:dyDescent="0.3">
      <c r="A216" s="19" t="s">
        <v>106</v>
      </c>
    </row>
    <row r="217" spans="1:1" ht="20.100000000000001" customHeight="1" x14ac:dyDescent="0.3">
      <c r="A217" s="19" t="s">
        <v>107</v>
      </c>
    </row>
    <row r="218" spans="1:1" ht="20.100000000000001" customHeight="1" x14ac:dyDescent="0.3">
      <c r="A218" s="19" t="s">
        <v>108</v>
      </c>
    </row>
    <row r="219" spans="1:1" ht="20.100000000000001" customHeight="1" x14ac:dyDescent="0.3">
      <c r="A219" s="19" t="s">
        <v>109</v>
      </c>
    </row>
    <row r="220" spans="1:1" ht="20.100000000000001" customHeight="1" x14ac:dyDescent="0.3">
      <c r="A220" s="19" t="s">
        <v>110</v>
      </c>
    </row>
    <row r="221" spans="1:1" ht="20.100000000000001" customHeight="1" x14ac:dyDescent="0.3">
      <c r="A221" s="19" t="s">
        <v>111</v>
      </c>
    </row>
    <row r="222" spans="1:1" ht="20.100000000000001" customHeight="1" x14ac:dyDescent="0.3">
      <c r="A222" s="19" t="s">
        <v>112</v>
      </c>
    </row>
    <row r="223" spans="1:1" ht="20.100000000000001" customHeight="1" x14ac:dyDescent="0.3">
      <c r="A223" s="19" t="s">
        <v>113</v>
      </c>
    </row>
    <row r="224" spans="1:1" ht="20.100000000000001" customHeight="1" x14ac:dyDescent="0.3">
      <c r="A224" s="19" t="s">
        <v>114</v>
      </c>
    </row>
    <row r="225" spans="1:1" ht="20.100000000000001" customHeight="1" x14ac:dyDescent="0.3">
      <c r="A225" s="19" t="s">
        <v>115</v>
      </c>
    </row>
    <row r="226" spans="1:1" ht="20.100000000000001" customHeight="1" x14ac:dyDescent="0.3">
      <c r="A226" s="19" t="s">
        <v>116</v>
      </c>
    </row>
    <row r="227" spans="1:1" ht="20.100000000000001" customHeight="1" x14ac:dyDescent="0.3">
      <c r="A227" s="19" t="s">
        <v>117</v>
      </c>
    </row>
    <row r="228" spans="1:1" ht="20.100000000000001" customHeight="1" x14ac:dyDescent="0.3">
      <c r="A228" s="19" t="s">
        <v>118</v>
      </c>
    </row>
    <row r="229" spans="1:1" ht="20.100000000000001" customHeight="1" x14ac:dyDescent="0.3">
      <c r="A229" s="19" t="s">
        <v>119</v>
      </c>
    </row>
    <row r="230" spans="1:1" ht="20.100000000000001" customHeight="1" x14ac:dyDescent="0.3">
      <c r="A230" s="19" t="s">
        <v>120</v>
      </c>
    </row>
    <row r="231" spans="1:1" ht="20.100000000000001" customHeight="1" x14ac:dyDescent="0.3">
      <c r="A231" s="19" t="s">
        <v>121</v>
      </c>
    </row>
    <row r="232" spans="1:1" ht="20.100000000000001" customHeight="1" x14ac:dyDescent="0.3">
      <c r="A232" s="19" t="s">
        <v>122</v>
      </c>
    </row>
    <row r="233" spans="1:1" ht="20.100000000000001" customHeight="1" x14ac:dyDescent="0.3">
      <c r="A233" s="19" t="s">
        <v>123</v>
      </c>
    </row>
    <row r="234" spans="1:1" ht="20.100000000000001" customHeight="1" x14ac:dyDescent="0.3">
      <c r="A234" s="19" t="s">
        <v>124</v>
      </c>
    </row>
    <row r="235" spans="1:1" ht="20.100000000000001" customHeight="1" x14ac:dyDescent="0.3">
      <c r="A235" s="21" t="s">
        <v>125</v>
      </c>
    </row>
    <row r="236" spans="1:1" ht="20.100000000000001" customHeight="1" x14ac:dyDescent="0.3">
      <c r="A236" s="19" t="s">
        <v>126</v>
      </c>
    </row>
    <row r="237" spans="1:1" ht="20.100000000000001" customHeight="1" x14ac:dyDescent="0.3">
      <c r="A237" s="19" t="s">
        <v>127</v>
      </c>
    </row>
    <row r="238" spans="1:1" ht="20.100000000000001" customHeight="1" x14ac:dyDescent="0.3">
      <c r="A238" s="19" t="s">
        <v>128</v>
      </c>
    </row>
    <row r="239" spans="1:1" ht="20.100000000000001" customHeight="1" x14ac:dyDescent="0.3">
      <c r="A239" s="19" t="s">
        <v>129</v>
      </c>
    </row>
    <row r="240" spans="1:1" ht="20.100000000000001" customHeight="1" x14ac:dyDescent="0.3">
      <c r="A240" s="19" t="s">
        <v>130</v>
      </c>
    </row>
    <row r="241" spans="1:1" ht="20.100000000000001" customHeight="1" x14ac:dyDescent="0.3">
      <c r="A241" s="19" t="s">
        <v>131</v>
      </c>
    </row>
    <row r="242" spans="1:1" ht="20.100000000000001" customHeight="1" x14ac:dyDescent="0.3">
      <c r="A242" s="19" t="s">
        <v>132</v>
      </c>
    </row>
    <row r="243" spans="1:1" ht="20.100000000000001" customHeight="1" x14ac:dyDescent="0.3">
      <c r="A243" s="19" t="s">
        <v>133</v>
      </c>
    </row>
    <row r="244" spans="1:1" ht="20.100000000000001" customHeight="1" x14ac:dyDescent="0.3">
      <c r="A244" s="19" t="s">
        <v>134</v>
      </c>
    </row>
    <row r="245" spans="1:1" ht="20.100000000000001" customHeight="1" x14ac:dyDescent="0.3">
      <c r="A245" s="19" t="s">
        <v>135</v>
      </c>
    </row>
    <row r="246" spans="1:1" ht="20.100000000000001" customHeight="1" x14ac:dyDescent="0.3">
      <c r="A246" s="19" t="s">
        <v>136</v>
      </c>
    </row>
    <row r="247" spans="1:1" ht="20.100000000000001" customHeight="1" x14ac:dyDescent="0.3">
      <c r="A247" s="19" t="s">
        <v>127</v>
      </c>
    </row>
    <row r="248" spans="1:1" ht="20.100000000000001" customHeight="1" x14ac:dyDescent="0.3">
      <c r="A248" s="19" t="s">
        <v>137</v>
      </c>
    </row>
    <row r="249" spans="1:1" ht="20.100000000000001" customHeight="1" x14ac:dyDescent="0.3">
      <c r="A249" s="19" t="s">
        <v>138</v>
      </c>
    </row>
    <row r="250" spans="1:1" ht="20.100000000000001" customHeight="1" x14ac:dyDescent="0.3">
      <c r="A250" s="21" t="s">
        <v>139</v>
      </c>
    </row>
    <row r="251" spans="1:1" ht="20.100000000000001" customHeight="1" x14ac:dyDescent="0.3">
      <c r="A251" s="22" t="s">
        <v>140</v>
      </c>
    </row>
    <row r="252" spans="1:1" ht="20.100000000000001" customHeight="1" x14ac:dyDescent="0.3">
      <c r="A252" s="19" t="s">
        <v>141</v>
      </c>
    </row>
    <row r="253" spans="1:1" ht="20.100000000000001" customHeight="1" x14ac:dyDescent="0.3">
      <c r="A253" s="19" t="s">
        <v>142</v>
      </c>
    </row>
    <row r="254" spans="1:1" ht="20.100000000000001" customHeight="1" x14ac:dyDescent="0.3">
      <c r="A254" s="23" t="s">
        <v>143</v>
      </c>
    </row>
    <row r="255" spans="1:1" ht="20.100000000000001" customHeight="1" x14ac:dyDescent="0.3">
      <c r="A255" s="23" t="s">
        <v>144</v>
      </c>
    </row>
    <row r="256" spans="1:1" ht="20.100000000000001" customHeight="1" x14ac:dyDescent="0.3">
      <c r="A256" s="24" t="s">
        <v>145</v>
      </c>
    </row>
    <row r="257" spans="1:1" ht="20.100000000000001" customHeight="1" x14ac:dyDescent="0.3">
      <c r="A257" s="19" t="s">
        <v>146</v>
      </c>
    </row>
    <row r="258" spans="1:1" ht="20.100000000000001" customHeight="1" x14ac:dyDescent="0.3">
      <c r="A258" s="24" t="s">
        <v>147</v>
      </c>
    </row>
    <row r="259" spans="1:1" ht="20.100000000000001" customHeight="1" x14ac:dyDescent="0.3">
      <c r="A259" s="19" t="s">
        <v>148</v>
      </c>
    </row>
    <row r="260" spans="1:1" ht="20.100000000000001" customHeight="1" x14ac:dyDescent="0.3">
      <c r="A260" s="24" t="s">
        <v>149</v>
      </c>
    </row>
    <row r="261" spans="1:1" ht="20.100000000000001" customHeight="1" x14ac:dyDescent="0.3">
      <c r="A261" s="19" t="s">
        <v>150</v>
      </c>
    </row>
    <row r="262" spans="1:1" ht="20.100000000000001" customHeight="1" x14ac:dyDescent="0.3">
      <c r="A262" s="19" t="s">
        <v>151</v>
      </c>
    </row>
    <row r="263" spans="1:1" ht="20.100000000000001" customHeight="1" x14ac:dyDescent="0.3">
      <c r="A263" s="24" t="s">
        <v>152</v>
      </c>
    </row>
    <row r="264" spans="1:1" ht="20.100000000000001" customHeight="1" x14ac:dyDescent="0.3">
      <c r="A264" s="24" t="s">
        <v>153</v>
      </c>
    </row>
    <row r="265" spans="1:1" ht="20.100000000000001" customHeight="1" x14ac:dyDescent="0.3">
      <c r="A265" s="24" t="s">
        <v>154</v>
      </c>
    </row>
    <row r="266" spans="1:1" ht="20.100000000000001" customHeight="1" x14ac:dyDescent="0.3">
      <c r="A266" s="19" t="s">
        <v>155</v>
      </c>
    </row>
    <row r="267" spans="1:1" ht="20.100000000000001" customHeight="1" x14ac:dyDescent="0.3">
      <c r="A267" s="19" t="s">
        <v>156</v>
      </c>
    </row>
    <row r="268" spans="1:1" ht="20.100000000000001" customHeight="1" x14ac:dyDescent="0.3">
      <c r="A268" s="19" t="s">
        <v>157</v>
      </c>
    </row>
    <row r="269" spans="1:1" ht="20.100000000000001" customHeight="1" x14ac:dyDescent="0.3">
      <c r="A269" s="19" t="s">
        <v>158</v>
      </c>
    </row>
    <row r="270" spans="1:1" ht="20.100000000000001" customHeight="1" x14ac:dyDescent="0.3">
      <c r="A270" s="24" t="s">
        <v>159</v>
      </c>
    </row>
    <row r="271" spans="1:1" ht="20.100000000000001" customHeight="1" x14ac:dyDescent="0.3">
      <c r="A271" s="24" t="s">
        <v>160</v>
      </c>
    </row>
    <row r="272" spans="1:1" ht="20.100000000000001" customHeight="1" x14ac:dyDescent="0.3">
      <c r="A272" s="19" t="s">
        <v>161</v>
      </c>
    </row>
    <row r="273" spans="1:1" ht="20.100000000000001" customHeight="1" x14ac:dyDescent="0.3">
      <c r="A273" s="24" t="s">
        <v>162</v>
      </c>
    </row>
    <row r="274" spans="1:1" ht="20.100000000000001" customHeight="1" x14ac:dyDescent="0.3">
      <c r="A274" s="24" t="s">
        <v>163</v>
      </c>
    </row>
    <row r="275" spans="1:1" ht="20.100000000000001" customHeight="1" x14ac:dyDescent="0.3">
      <c r="A275" s="19" t="s">
        <v>164</v>
      </c>
    </row>
    <row r="276" spans="1:1" ht="20.100000000000001" customHeight="1" x14ac:dyDescent="0.3">
      <c r="A276" s="19" t="s">
        <v>165</v>
      </c>
    </row>
    <row r="277" spans="1:1" ht="20.100000000000001" customHeight="1" x14ac:dyDescent="0.3">
      <c r="A277" s="24" t="s">
        <v>166</v>
      </c>
    </row>
    <row r="278" spans="1:1" ht="20.100000000000001" customHeight="1" x14ac:dyDescent="0.3">
      <c r="A278" s="19" t="s">
        <v>167</v>
      </c>
    </row>
    <row r="279" spans="1:1" ht="20.100000000000001" customHeight="1" x14ac:dyDescent="0.3">
      <c r="A279" s="19" t="s">
        <v>168</v>
      </c>
    </row>
    <row r="280" spans="1:1" ht="20.100000000000001" customHeight="1" x14ac:dyDescent="0.3">
      <c r="A280" s="19" t="s">
        <v>169</v>
      </c>
    </row>
    <row r="281" spans="1:1" ht="20.100000000000001" customHeight="1" x14ac:dyDescent="0.3">
      <c r="A281" s="19" t="s">
        <v>170</v>
      </c>
    </row>
    <row r="282" spans="1:1" ht="20.100000000000001" customHeight="1" x14ac:dyDescent="0.3">
      <c r="A282" s="24" t="s">
        <v>171</v>
      </c>
    </row>
    <row r="283" spans="1:1" ht="20.100000000000001" customHeight="1" x14ac:dyDescent="0.3">
      <c r="A283" s="24" t="s">
        <v>172</v>
      </c>
    </row>
    <row r="284" spans="1:1" ht="20.100000000000001" customHeight="1" x14ac:dyDescent="0.3">
      <c r="A284" s="24" t="s">
        <v>173</v>
      </c>
    </row>
    <row r="285" spans="1:1" ht="20.100000000000001" customHeight="1" thickBot="1" x14ac:dyDescent="0.35">
      <c r="A285" s="19"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2025-10-15T20:14:52Z</dcterms:modified>
</cp:coreProperties>
</file>