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2189D4B-5E19-4493-AC0E-9D97CE949A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<sst xmlns="http://schemas.openxmlformats.org/spreadsheetml/2006/main" count="252" uniqueCount="195">
  <si>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</si>
  <si>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</si>
  <si>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</si>
  <si>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</si>
  <si>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</si>
  <si>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</si>
  <si>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</si>
  <si>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</si>
  <si>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</si>
  <si>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</si>
  <si>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</si>
  <si>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</si>
  <si>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</si>
  <si>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</si>
  <si>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</si>
  <si>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</si>
  <si>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</si>
  <si>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</si>
  <si>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</si>
  <si>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</si>
  <si>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</si>
  <si>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</si>
  <si>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</si>
  <si>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</si>
  <si>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</si>
  <si>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</si>
  <si>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</si>
  <si>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</si>
  <si>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</si>
  <si>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</si>
  <si>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</si>
  <si>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</si>
  <si>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</si>
  <si>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</si>
  <si>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</si>
  <si>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</si>
  <si>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</si>
  <si>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</si>
  <si>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</si>
  <si>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</si>
  <si>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</si>
  <si>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</si>
  <si>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</si>
  <si>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</si>
  <si>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</si>
  <si>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</si>
  <si>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</si>
  <si>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</si>
  <si>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</si>
  <si>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</si>
  <si>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</si>
  <si>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</si>
  <si>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</si>
  <si>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</si>
  <si>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</si>
  <si>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</si>
  <si>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</si>
  <si>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</si>
  <si>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</si>
  <si>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</si>
  <si>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</si>
  <si>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</si>
  <si>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</si>
  <si>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</si>
  <si>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</si>
  <si>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</si>
  <si>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</si>
  <si>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</si>
  <si>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</si>
  <si>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</si>
  <si>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</si>
  <si>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</si>
  <si>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</si>
  <si>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</si>
  <si>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</si>
  <si>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</si>
  <si>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</si>
  <si>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</si>
  <si>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</si>
  <si>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</si>
  <si>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</si>
  <si>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</si>
  <si>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</si>
  <si>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</si>
  <si>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</si>
  <si>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</si>
  <si>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</si>
  <si>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</si>
  <si>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</si>
  <si>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</si>
  <si>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</si>
  <si>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</si>
  <si>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</si>
  <si>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</si>
  <si>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</si>
  <si>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</si>
  <si>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</si>
  <si>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</si>
  <si>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</si>
  <si>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</si>
  <si>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</si>
  <si>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</si>
  <si>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</si>
  <si>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</si>
  <si>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</si>
  <si>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</si>
  <si>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</si>
  <si>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</si>
  <si>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</si>
  <si>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</si>
  <si>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</si>
  <si>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</si>
  <si>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</si>
  <si>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</si>
  <si>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</si>
  <si>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</si>
  <si>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</si>
  <si>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</si>
  <si>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</si>
  <si>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</si>
  <si>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</si>
  <si>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</si>
  <si>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</si>
  <si>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</si>
  <si>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</si>
  <si>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</si>
  <si>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</si>
  <si>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</si>
  <si>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</si>
  <si>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</si>
  <si>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</si>
  <si>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</si>
  <si>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</si>
  <si>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</si>
  <si>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</si>
  <si>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</si>
  <si>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</si>
  <si>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</si>
  <si>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</si>
  <si>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</si>
  <si>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</si>
  <si>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</si>
  <si>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</si>
  <si>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</si>
  <si>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</si>
  <si>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</si>
  <si>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</si>
  <si>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</si>
  <si>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</si>
  <si>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</si>
  <si>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</si>
  <si>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</si>
  <si>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</si>
  <si>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</si>
  <si>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</si>
  <si>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</si>
  <si>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</si>
  <si>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</si>
  <si>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</si>
  <si>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</si>
  <si>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</si>
  <si>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</si>
  <si>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</si>
  <si>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</si>
  <si>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</si>
  <si>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</si>
  <si>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</si>
  <si>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</si>
  <si>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</si>
  <si>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</si>
  <si>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</si>
  <si>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</si>
  <si>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</si>
  <si>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</si>
  <si>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</si>
  <si>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</si>
  <si>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</si>
  <si>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</si>
  <si>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</si>
  <si>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</si>
  <si>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</si>
  <si>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</si>
  <si>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</si>
  <si>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</si>
  <si>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</si>
  <si>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</si>
  <si>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</si>
  <si>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</si>
  <si>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</si>
  <si>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</si>
  <si>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</si>
  <si>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</si>
  <si>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</si>
  <si>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</si>
  <si>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 علي حسن البلوشي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</si>
</sst>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392723</xdr:colOff>
      <xdr:row>24</xdr:row>
      <xdr:rowOff>11723</xdr:rowOff>
    </xdr:from>
    <xdr:to>
      <xdr:col>8</xdr:col>
      <xdr:colOff>115862</xdr:colOff>
      <xdr:row>24</xdr:row>
      <xdr:rowOff>521677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E0BE515-A5ED-4E7D-8EE0-6AC6BC810D36}"/>
                </a:ext>
              </a:extLst>
            </xdr14:cNvPr>
            <xdr14:cNvContentPartPr/>
          </xdr14:nvContentPartPr>
          <xdr14:nvPr macro=""/>
          <xdr14:xfrm>
            <a:off x="10079151215" y="10890738"/>
            <a:ext cx="1000954" cy="509954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9B7EF8-7882-8060-B9E8-C2DC34B6518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304327" y="11159640"/>
              <a:ext cx="1051560" cy="339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20:57:27.1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0 801,'0'0,"0"0,0 0,0 0,0 0,0 0,0 0,0 0,0 0,10 0,-10-16,4 16,0 0,6 0,-6 0,2 0,2 0,-3 0,0 0,13 0,-13 8,0 0,4 5,-4-5,-1 0,6 7,-2-2,2 5,-1 11,0-17,1 6,9 13,-15-19,0 5,16 13,-16-23,0 2,15 20,-15-29,0 0,15 15,-14-15,-1 0,6-15,-6 15,1 0,4-29,-4 21,0 0,4-22,-4 22,-1 0,5-21,-9 15,0-2,10 1,-6 7,-8 0,8 16,1 0,-5 3,0-7,9 11,-9-7,0-1,10 9,-10-10,0 1,9 23,-9-22,0 0,9 8,-9-10,0 2,10-8,-6 0,0 0,1 0,0 0,5-14,-10 6,0 0,8-22,-3 22,0 0,5-21,-6 22,0-1,-4-7,5 15,0 0,4-15,-9 22,0 1,9-8,-4 8,0-1,4 8,-4-7,-1 0,5 21,-4-21,0-2,4 10,-4-8,-1 0,6 6,-1-7,0 1,1 7,-6-15,0 0,6 0,-5-8,0 1,3-22,2 5,0 2,-2-53,2 36,-1 3,9-84,-13 73,-1 4,5-61,-4 57,0 2,4-29,-9 43,0 2,9-31,-9 45,0-1,0 2,0-2,0 2,9-18,-9 19,0-3,10-14,-10 22,0 1,9-7,-9 6,0 1,0-9,0 9,9-1,-6 4,-6 23,3-3,0-9,0 1,0 6,0 9,0-1,10 23,-10-6,0-2,8 82,-3-64,0-5,5 86,-6-81,0-6,6 42,-5-45,0-1,3 29,-8-50,0-3,10 9,-10-22,0 0,0 6,0-7,0 1,0 7,0-7,0-1,7-18,-5 7,-2-11,5 7,-1 1,-4-7,0 6,0 0,10 8,-10-8,0 0,9 8,-4 0,-1 0,-4 8,0 0,10 8,-5-9,-1 0,5 23,-4-22,-1-1,6 23,-5-22,-1 0,-4 7,5-7,-1-2,-4 9,5-7,0-1,-5 5,0-9,9-3,-5 0,1 0,5 0,-10-8,0 1,8-8,-3 15,0 0,5-29,-6 29,0 0,4-13,-6 11,8 2,-6 0,0 15,1 1,0-3,4 17,-9-14,0-3,9 3,-4-1,0 0,-5 30,5-30,-1 0,5 0,-4-7,-1 0,-4 6,6-14,-2 0,5-14,-5 6,0-30,1 15,0 2,4-129,1 70,-1 8,-1-92,2 110,0 3,8-70,-13 66,0 6,3-117,2 127,-1 3,-9-8,5 36,-1 0,-4-6,0 6,0 0,-9 8,9 8,0 0,0-24,0 32,0-2,0 2,0 15,0-2,-9 76,4-43,0-4,5 107,0-94,0-8,0 102,0-110,0-4,0 25,5-37,0-3,-15-23,10 3,0-1,-8 0,12-7,0 0,-12-24,12 16,0 0,6-30,-5 14,-1 3,5-33,-4 7,0 3,4-9,-4 15,-1-1,6-12,-10 17,0 6,9-40,-4 30,-10 45,10-22,-1-1,-4 23,0-7,0-1,0 53,0-36,0-2,9 37,-9-28,0-2,0 32,5-38,0-2,-5 9,0-22,0 0,9 21,-5-14,1-30,5-1,-2 3,2-3,4-7,0 1,14-53,-18 44,-2 3,11-34,-10 31,1 3,8-16,-18 36,0 0,0-3,0 7,9 4,-9 16,0-1,10-2,-1 5,0-5,19 17,-5-14,-1-3,62 3,-31-16,-3 0,61 0,-39-23,-6 1,74-8,-62 15,-8-1,51-28,-74 29,-2-1,29-28,-50 29,-2 0,16 0,-29 7,0 0,-2-2,-5 5,-20 5,-2 18,3-5,-77-13,27 16,6-2,-106 1,60 1,9-1,-133 29,101-28,10-1,-122 14,117-14,9 0,-115 16,118-23,13-3,-85 11,97 0,9-2,-14-14,58 8,5 0,-16-8,32 7,0 0,22-18,-6 8,-12 3,6 0,8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C22" zoomScale="130" zoomScaleNormal="100" zoomScaleSheetLayoutView="130" workbookViewId="0">
      <selection activeCell="G25" sqref="G25:J25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180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55</v>
      </c>
      <c r="D2" s="65"/>
      <c r="E2" s="12" t="s">
        <v>7</v>
      </c>
      <c r="F2" s="60" t="s">
        <v>54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194</v>
      </c>
      <c r="D3" s="65"/>
      <c r="E3" s="12" t="s">
        <v>6</v>
      </c>
      <c r="F3" s="65" t="s">
        <v>57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181</v>
      </c>
      <c r="C8" s="58"/>
      <c r="D8" s="5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55"/>
      <c r="J8" s="56"/>
    </row>
    <row r="9" spans="1:10" ht="39.9" customHeight="1" x14ac:dyDescent="0.3">
      <c r="A9" s="10"/>
      <c r="B9" s="39" t="s">
        <v>182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" customHeight="1" x14ac:dyDescent="0.3">
      <c r="A10" s="10"/>
      <c r="B10" s="39" t="s">
        <v>183</v>
      </c>
      <c r="C10" s="40"/>
      <c r="D10" s="40"/>
      <c r="E10" s="9">
        <v>5</v>
      </c>
      <c r="F10" s="26">
        <v>4</v>
      </c>
      <c r="G10" s="30">
        <f t="shared" ref="G10:G20" si="0">IFERROR(F10/E10,"")</f>
        <v>0.8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5"/>
      <c r="J10" s="46"/>
    </row>
    <row r="11" spans="1:10" ht="39.9" customHeight="1" x14ac:dyDescent="0.3">
      <c r="A11" s="10"/>
      <c r="B11" s="39" t="s">
        <v>184</v>
      </c>
      <c r="C11" s="40"/>
      <c r="D11" s="40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5"/>
      <c r="J11" s="46"/>
    </row>
    <row r="12" spans="1:10" ht="39.9" customHeight="1" x14ac:dyDescent="0.3">
      <c r="A12" s="10"/>
      <c r="B12" s="39" t="s">
        <v>185</v>
      </c>
      <c r="C12" s="40"/>
      <c r="D12" s="40"/>
      <c r="E12" s="9">
        <v>5</v>
      </c>
      <c r="F12" s="26">
        <v>3.75</v>
      </c>
      <c r="G12" s="30">
        <f t="shared" si="0"/>
        <v>0.75</v>
      </c>
      <c r="H12" s="31" t="str">
        <f t="shared" si="1"/>
        <v>جيد</v>
      </c>
      <c r="I12" s="45"/>
      <c r="J12" s="46"/>
    </row>
    <row r="13" spans="1:10" ht="39.9" customHeight="1" x14ac:dyDescent="0.3">
      <c r="A13" s="10"/>
      <c r="B13" s="39" t="s">
        <v>186</v>
      </c>
      <c r="C13" s="40"/>
      <c r="D13" s="40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5"/>
      <c r="J13" s="46"/>
    </row>
    <row r="14" spans="1:10" ht="39.9" customHeight="1" x14ac:dyDescent="0.3">
      <c r="A14" s="10"/>
      <c r="B14" s="39" t="s">
        <v>187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5"/>
      <c r="J14" s="46"/>
    </row>
    <row r="15" spans="1:10" ht="39.9" customHeight="1" x14ac:dyDescent="0.3">
      <c r="A15" s="10"/>
      <c r="B15" s="39" t="s">
        <v>188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5"/>
      <c r="J15" s="46"/>
    </row>
    <row r="16" spans="1:10" ht="39.9" customHeight="1" x14ac:dyDescent="0.3">
      <c r="A16" s="10"/>
      <c r="B16" s="39" t="s">
        <v>189</v>
      </c>
      <c r="C16" s="40"/>
      <c r="D16" s="40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5"/>
      <c r="J16" s="46"/>
    </row>
    <row r="17" spans="1:10" ht="39.9" customHeight="1" x14ac:dyDescent="0.3">
      <c r="A17" s="10"/>
      <c r="B17" s="39" t="s">
        <v>193</v>
      </c>
      <c r="C17" s="40"/>
      <c r="D17" s="40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5"/>
      <c r="J17" s="46"/>
    </row>
    <row r="18" spans="1:10" ht="39.9" customHeight="1" x14ac:dyDescent="0.3">
      <c r="A18" s="10"/>
      <c r="B18" s="39" t="s">
        <v>190</v>
      </c>
      <c r="C18" s="40"/>
      <c r="D18" s="40"/>
      <c r="E18" s="9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45"/>
      <c r="J18" s="46"/>
    </row>
    <row r="19" spans="1:10" ht="39.9" customHeight="1" x14ac:dyDescent="0.3">
      <c r="A19" s="10"/>
      <c r="B19" s="39" t="s">
        <v>191</v>
      </c>
      <c r="C19" s="40"/>
      <c r="D19" s="40"/>
      <c r="E19" s="9">
        <v>5</v>
      </c>
      <c r="F19" s="26">
        <v>4</v>
      </c>
      <c r="G19" s="30">
        <f t="shared" si="0"/>
        <v>0.8</v>
      </c>
      <c r="H19" s="31" t="str">
        <f t="shared" si="1"/>
        <v>جيد جداً</v>
      </c>
      <c r="I19" s="45"/>
      <c r="J19" s="46"/>
    </row>
    <row r="20" spans="1:10" ht="39.9" customHeight="1" thickBot="1" x14ac:dyDescent="0.35">
      <c r="A20" s="10"/>
      <c r="B20" s="43" t="s">
        <v>192</v>
      </c>
      <c r="C20" s="44"/>
      <c r="D20" s="44"/>
      <c r="E20" s="36">
        <v>5</v>
      </c>
      <c r="F20" s="27" t="s">
        <v>59</v>
      </c>
      <c r="G20" s="37" t="str">
        <f t="shared" si="0"/>
        <v/>
      </c>
      <c r="H20" s="38" t="str">
        <f t="shared" si="1"/>
        <v/>
      </c>
      <c r="I20" s="41"/>
      <c r="J20" s="42"/>
    </row>
    <row r="21" spans="1:10" ht="30" customHeight="1" thickBot="1" x14ac:dyDescent="0.35">
      <c r="A21" s="4"/>
      <c r="B21" s="79" t="s">
        <v>5</v>
      </c>
      <c r="C21" s="80"/>
      <c r="D21" s="80"/>
      <c r="E21" s="29">
        <f>SUM(E8:E20)</f>
        <v>65</v>
      </c>
      <c r="F21" s="29">
        <f>SUM(F8:F20)</f>
        <v>46.25</v>
      </c>
      <c r="G21" s="68"/>
      <c r="H21" s="69"/>
      <c r="I21" s="69"/>
      <c r="J21" s="70"/>
    </row>
    <row r="22" spans="1:10" ht="30" customHeight="1" thickBot="1" x14ac:dyDescent="0.35">
      <c r="A22" s="4"/>
      <c r="B22" s="81" t="s">
        <v>52</v>
      </c>
      <c r="C22" s="82"/>
      <c r="D22" s="82"/>
      <c r="E22" s="77">
        <f>F21/E21/100*100</f>
        <v>0.71153846153846156</v>
      </c>
      <c r="F22" s="77"/>
      <c r="G22" s="77"/>
      <c r="H22" s="77"/>
      <c r="I22" s="77"/>
      <c r="J22" s="78"/>
    </row>
    <row r="23" spans="1:10" ht="30" customHeight="1" thickBot="1" x14ac:dyDescent="0.35">
      <c r="A23" s="4"/>
      <c r="B23" s="81" t="s">
        <v>53</v>
      </c>
      <c r="C23" s="82"/>
      <c r="D23" s="82"/>
      <c r="E23" s="75" t="str">
        <f>_xlfn.IFS(E22&gt;=90%,"ممتاز",E22&gt;=80%,"جيد جداً",E22&gt;=70%,"جيد",E22&gt;=60%,"مقبول",E22&lt;60%,"راسب")</f>
        <v>جيد</v>
      </c>
      <c r="F23" s="75"/>
      <c r="G23" s="75"/>
      <c r="H23" s="75"/>
      <c r="I23" s="75"/>
      <c r="J23" s="76"/>
    </row>
    <row r="24" spans="1:10" ht="42" customHeight="1" x14ac:dyDescent="0.3">
      <c r="B24" s="71" t="s">
        <v>172</v>
      </c>
      <c r="C24" s="71"/>
      <c r="D24" s="71"/>
      <c r="E24" s="66" t="s">
        <v>50</v>
      </c>
      <c r="F24" s="66"/>
      <c r="G24" s="73" t="s">
        <v>57</v>
      </c>
      <c r="H24" s="73"/>
      <c r="I24" s="73"/>
      <c r="J24" s="73"/>
    </row>
    <row r="25" spans="1:10" ht="51" customHeight="1" x14ac:dyDescent="0.3">
      <c r="A25" s="5"/>
      <c r="B25" s="72"/>
      <c r="C25" s="72"/>
      <c r="D25" s="72"/>
      <c r="E25" s="67" t="s">
        <v>51</v>
      </c>
      <c r="F25" s="67"/>
      <c r="G25" s="74"/>
      <c r="H25" s="74"/>
      <c r="I25" s="74"/>
      <c r="J25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I15:J15"/>
    <mergeCell ref="I16:J16"/>
    <mergeCell ref="I17:J17"/>
    <mergeCell ref="I18:J18"/>
    <mergeCell ref="I19:J19"/>
    <mergeCell ref="I20:J20"/>
    <mergeCell ref="B17:D17"/>
    <mergeCell ref="B18:D18"/>
    <mergeCell ref="B19:D19"/>
    <mergeCell ref="B20:D20"/>
    <mergeCell ref="B16:D16"/>
    <mergeCell ref="B11:D11"/>
    <mergeCell ref="B12:D12"/>
    <mergeCell ref="B13:D13"/>
    <mergeCell ref="B14:D14"/>
    <mergeCell ref="B15:D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2025-10-23T20:57:35Z</dcterms:modified>
</cp:coreProperties>
</file>