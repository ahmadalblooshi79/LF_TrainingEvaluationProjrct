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23B554D-C391-4924-A1E0-DAAF20D0D4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 s="1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F49" i="2"/>
  <c r="E49" i="2"/>
  <c r="E50" i="2"/>
  <c r="E51" i="2"/>
</calcChain>
</file>

<file path=xl/sharedStrings.xml><?xml version="1.0" encoding="utf-8"?>
<sst xmlns="http://schemas.openxmlformats.org/spreadsheetml/2006/main" count="282" uniqueCount="220">
  <si>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</si>
  <si>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</si>
  <si>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</si>
  <si>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</si>
  <si>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</si>
  <si>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</si>
  <si>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</si>
  <si>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</si>
  <si>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</si>
  <si>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</si>
  <si>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</si>
  <si>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</si>
  <si>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</si>
  <si>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</si>
  <si>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</si>
  <si>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</si>
  <si>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</si>
  <si>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</si>
  <si>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</si>
  <si>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</si>
  <si>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</si>
  <si>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</si>
  <si>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</si>
  <si>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</si>
  <si>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</si>
  <si>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</si>
  <si>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</si>
  <si>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</si>
  <si>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</si>
  <si>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</si>
  <si>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</si>
  <si>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</si>
  <si>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</si>
  <si>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</si>
  <si>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</si>
  <si>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</si>
  <si>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</si>
  <si>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</si>
  <si>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</si>
  <si>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</si>
  <si>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</si>
  <si>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</si>
  <si>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</si>
  <si>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</si>
  <si>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</si>
  <si>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</si>
  <si>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</si>
  <si>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</si>
  <si>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</si>
  <si>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</si>
  <si>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</si>
  <si>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</si>
  <si>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</si>
  <si>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</si>
  <si>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</si>
  <si>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</si>
  <si>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</si>
  <si>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</si>
  <si>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</si>
  <si>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</si>
  <si>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</si>
  <si>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</si>
  <si>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</si>
  <si>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</si>
  <si>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تهيئة وتحضير القوة للحركة وإصدار امر التنقل.</t>
  </si>
  <si>
    <t>أ. ينفذ القائد إجراءات قيادة القوات.</t>
  </si>
  <si>
    <t>ب. يعين القائد قائد القافلة / ويحدد تسلسل القيادة.</t>
  </si>
  <si>
    <t>جـ. يقوم قائد القافلة بتحليل المهمة وتجهيز الأمر.</t>
  </si>
  <si>
    <t>د. يعين قائد القافلة قوة الطليعة ويحدد توقيت الحركة.</t>
  </si>
  <si>
    <t>أ. نشاطات العدو المعروفة / المشتبه بها على خط المسير.</t>
  </si>
  <si>
    <t>ب. الأخطار / المناطق الحرجة.</t>
  </si>
  <si>
    <t>جـ. خط المسير التعبوي ونقاط التفقد.</t>
  </si>
  <si>
    <t>د. خط المسير البديل.</t>
  </si>
  <si>
    <t>هـ. موقع نقطة التجمع عند الوصول.</t>
  </si>
  <si>
    <t>و. توقيتات الحركة.</t>
  </si>
  <si>
    <t>ز. تنظيم القافلة.</t>
  </si>
  <si>
    <t>ح. سرعة القافلة.</t>
  </si>
  <si>
    <t>ط. المسافات الفاصلة بين الآليات.</t>
  </si>
  <si>
    <t>ي. الإمداد / التوقف للاستراحة.</t>
  </si>
  <si>
    <t>ك. الخطط الاحتياطية في حالة (تعطل آلية - فقدان آلية - حصول حادث مع آلية - انفصال آلية عن الرتل - عمل من قبل العدو).</t>
  </si>
  <si>
    <t>تنظيم جماعة المقدمة للحركة وأسلوب الحركة والتشكيل.</t>
  </si>
  <si>
    <t>حركة الجسم الرئيسي وجماعة الطليعة.</t>
  </si>
  <si>
    <t>أ. مرونة مناورة الوحدات الفرعية.</t>
  </si>
  <si>
    <t>ب. المرونة لاستغلال طبيعة الأرض.</t>
  </si>
  <si>
    <t>جـ. القدرة على عبور مناطق الخطر.</t>
  </si>
  <si>
    <t>د. القدرة على التنقل على خط المسير المحدد.</t>
  </si>
  <si>
    <t>الوصول إلى نقاط التوزيع.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</si>
  <si>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التخطيط</t>
    </r>
    <r>
      <rPr>
        <sz val="12"/>
        <color rgb="FF000000"/>
        <rFont val="Arial"/>
        <family val="2"/>
      </rPr>
      <t>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</si>
  <si>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إصدار</t>
    </r>
    <r>
      <rPr>
        <u/>
        <sz val="12"/>
        <color rgb="FF000000"/>
        <rFont val="Arial"/>
        <family val="2"/>
      </rPr>
      <t xml:space="preserve"> </t>
    </r>
    <r>
      <rPr>
        <b/>
        <u/>
        <sz val="12"/>
        <color rgb="FF000000"/>
        <rFont val="Arial"/>
        <family val="2"/>
      </rPr>
      <t>أمر التنقل</t>
    </r>
    <r>
      <rPr>
        <b/>
        <sz val="12"/>
        <color rgb="FF000000"/>
        <rFont val="Arial"/>
        <family val="2"/>
      </rPr>
      <t>.</t>
    </r>
    <r>
      <rPr>
        <sz val="12"/>
        <color rgb="FF000000"/>
        <rFont val="Arial"/>
        <family val="2"/>
      </rPr>
      <t xml:space="preserve"> مشابه لأمر العمليات إلا أنه يحتوي أيضاً على ما يلي: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</si>
  <si>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يوزع القائد الواجبات وينظم قواته حسب تحليل المهمة وطبيعة الأرض وموقف العدو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</si>
  <si>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ينظم الوحدة في التشكيل المناسب (الرتل/ السهم/ الخط/ الخط المائل).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</si>
  <si>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تحديد طريقة الحركة المناسبة.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</si>
  <si>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إلى الهدف.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</si>
  <si>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يُنظم القائد قواته حسب تحليل المهمة وطبيعة الأرض وموقف العدو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</si>
  <si>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انتخاب أسلوب الحركة مناسب يوفر ما يلي: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</si>
  <si>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العمل مع قوة الاستطلاع الأمامي للتعرف على العدو/الموانع.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</si>
  <si>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تخطيط نيران المدفعية / الهاون على محور التقدم.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</si>
  <si>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تجهيز خطط احتياطية.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</si>
  <si>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عبور نقطة البدء على التوقيت المحدد.</t>
    </r>
  </si>
  <si>
    <r>
      <t>7.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الحفاظ على السرعة المحددة.</t>
    </r>
  </si>
  <si>
    <r>
      <t>8.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الحفاظ على المسافات الفاصلة.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</si>
  <si>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أن المنطقة آمنة وجاهزة لاحتلالها من قبل الجسم الرئيسي.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</si>
  <si>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تأمين الحماية للقوات بالمصادر المتوفرة.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</si>
  <si>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</si>
  <si>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</si>
  <si>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</si>
  <si>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</si>
  <si>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</si>
  <si>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</si>
  <si>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</si>
  <si>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</si>
  <si>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</si>
  <si>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</si>
  <si>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</si>
  <si>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</si>
  <si>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</si>
  <si>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</si>
  <si>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</si>
  <si>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</si>
  <si>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</si>
  <si>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</si>
  <si>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</si>
  <si>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</si>
  <si>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</si>
  <si>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</si>
  <si>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</si>
  <si>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</si>
  <si>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</si>
  <si>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</si>
  <si>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</si>
  <si>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</si>
  <si>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</si>
  <si>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</si>
  <si>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</si>
  <si>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</si>
  <si>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</si>
  <si>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</si>
  <si>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</si>
  <si>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</si>
  <si>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</si>
  <si>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</si>
  <si>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</si>
  <si>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</si>
  <si>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</si>
  <si>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</si>
  <si>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</si>
  <si>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</si>
  <si>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</si>
  <si>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</si>
  <si>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</si>
  <si>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</si>
  <si>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</si>
  <si>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</si>
  <si>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</si>
  <si>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</si>
  <si>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</si>
  <si>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</si>
  <si>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</si>
  <si>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</si>
  <si>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</si>
  <si>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</si>
  <si>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</si>
  <si>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</si>
  <si>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</si>
  <si>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</si>
  <si>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</si>
  <si>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</si>
  <si>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</si>
  <si>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</si>
  <si>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</si>
  <si>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</si>
  <si>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</si>
  <si>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</si>
  <si>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</si>
  <si>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</si>
  <si>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</si>
  <si>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</si>
  <si>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</si>
  <si>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</si>
  <si>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</si>
  <si>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</si>
  <si>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</si>
  <si>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</si>
  <si>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</si>
  <si>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</si>
  <si>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</si>
  <si>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</si>
  <si>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</si>
  <si>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</si>
  <si>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</si>
  <si>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</si>
  <si>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</si>
  <si>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</si>
  <si>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</si>
  <si>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</si>
  <si>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</si>
  <si>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</si>
  <si>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</si>
  <si>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</si>
  <si>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</si>
  <si>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</si>
  <si>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</si>
  <si>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</si>
  <si>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</si>
  <si>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</si>
  <si>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</si>
  <si>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</si>
  <si>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</si>
  <si>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</si>
  <si>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</si>
  <si>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</si>
  <si>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</si>
  <si>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</si>
  <si>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</si>
  <si>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</si>
  <si>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</si>
  <si>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دخول جماعات المقدمة إلى منطقة التجمع التعبوية الأمامية.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</si>
  <si>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احتلال الجسم الرئيسي للمنطقة.</t>
    </r>
  </si>
  <si>
    <t>تقييم التنقل التعبوي من منطقة الحشد إلى منطقة التجمع الأمامية (قيادة مجموعة اللواء)
تمرين جاهزية مجموعة لواء الإمارات/1 (جندي الصحراء 2025/20)</t>
  </si>
  <si>
    <t>العقيد ركن/ محمد حبيب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</si>
</sst>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Times New Roman"/>
      <family val="1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9" fillId="0" borderId="22" xfId="0" applyFont="1" applyBorder="1" applyAlignment="1">
      <alignment horizontal="right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0" fontId="9" fillId="0" borderId="22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readingOrder="2"/>
    </xf>
    <xf numFmtId="0" fontId="9" fillId="0" borderId="12" xfId="0" applyFont="1" applyBorder="1" applyAlignment="1">
      <alignment horizontal="right" vertical="center" wrapText="1" readingOrder="2"/>
    </xf>
    <xf numFmtId="0" fontId="1" fillId="0" borderId="23" xfId="0" applyFont="1" applyBorder="1" applyAlignment="1">
      <alignment horizontal="right" vertical="center" wrapText="1" readingOrder="2"/>
    </xf>
    <xf numFmtId="0" fontId="1" fillId="0" borderId="24" xfId="0" applyFont="1" applyBorder="1" applyAlignment="1">
      <alignment horizontal="right" vertical="center" wrapText="1" readingOrder="2"/>
    </xf>
    <xf numFmtId="0" fontId="1" fillId="0" borderId="25" xfId="0" applyFont="1" applyBorder="1" applyAlignment="1">
      <alignment horizontal="right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11" fillId="0" borderId="23" xfId="0" applyFont="1" applyBorder="1" applyAlignment="1">
      <alignment horizontal="right" vertical="center" wrapText="1" readingOrder="2"/>
    </xf>
    <xf numFmtId="0" fontId="11" fillId="0" borderId="24" xfId="0" applyFont="1" applyBorder="1" applyAlignment="1">
      <alignment horizontal="right" vertical="center" wrapText="1" readingOrder="2"/>
    </xf>
    <xf numFmtId="0" fontId="11" fillId="0" borderId="25" xfId="0" applyFont="1" applyBorder="1" applyAlignment="1">
      <alignment horizontal="right" vertical="center" wrapText="1" readingOrder="2"/>
    </xf>
    <xf numFmtId="0" fontId="6" fillId="0" borderId="27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3"/>
  <sheetViews>
    <sheetView rightToLeft="1" tabSelected="1" view="pageBreakPreview" zoomScale="130" zoomScaleNormal="100" zoomScaleSheetLayoutView="130" workbookViewId="0">
      <selection activeCell="B50" sqref="B50:D50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6" t="s">
        <v>218</v>
      </c>
      <c r="C1" s="66"/>
      <c r="D1" s="66"/>
      <c r="E1" s="66"/>
      <c r="F1" s="66"/>
      <c r="G1" s="66"/>
      <c r="H1" s="66"/>
      <c r="I1" s="66"/>
      <c r="J1" s="66"/>
    </row>
    <row r="2" spans="1:10" ht="30" customHeight="1" x14ac:dyDescent="0.3">
      <c r="B2" s="11" t="s">
        <v>8</v>
      </c>
      <c r="C2" s="72" t="s">
        <v>35</v>
      </c>
      <c r="D2" s="72"/>
      <c r="E2" s="11" t="s">
        <v>7</v>
      </c>
      <c r="F2" s="67">
        <v>45951</v>
      </c>
      <c r="G2" s="67"/>
      <c r="H2" s="67"/>
      <c r="I2" s="67"/>
      <c r="J2" s="67"/>
    </row>
    <row r="3" spans="1:10" ht="30" customHeight="1" x14ac:dyDescent="0.3">
      <c r="B3" s="11" t="s">
        <v>9</v>
      </c>
      <c r="C3" s="72" t="s">
        <v>103</v>
      </c>
      <c r="D3" s="72"/>
      <c r="E3" s="11" t="s">
        <v>6</v>
      </c>
      <c r="F3" s="72" t="s">
        <v>59</v>
      </c>
      <c r="G3" s="72"/>
      <c r="H3" s="72"/>
      <c r="I3" s="72"/>
      <c r="J3" s="72"/>
    </row>
    <row r="4" spans="1:10" ht="30" customHeight="1" thickBot="1" x14ac:dyDescent="0.35">
      <c r="B4" s="6"/>
      <c r="C4" s="7"/>
      <c r="D4" s="7"/>
      <c r="E4" s="6"/>
      <c r="F4" s="84" t="s">
        <v>219</v>
      </c>
      <c r="G4" s="84"/>
      <c r="H4" s="84"/>
      <c r="I4" s="84"/>
      <c r="J4" s="84"/>
    </row>
    <row r="5" spans="1:10" ht="24.9" customHeight="1" x14ac:dyDescent="0.3">
      <c r="A5" s="9"/>
      <c r="B5" s="68" t="s">
        <v>0</v>
      </c>
      <c r="C5" s="69"/>
      <c r="D5" s="69"/>
      <c r="E5" s="73" t="s">
        <v>1</v>
      </c>
      <c r="F5" s="73"/>
      <c r="G5" s="73"/>
      <c r="H5" s="73"/>
      <c r="I5" s="73" t="s">
        <v>2</v>
      </c>
      <c r="J5" s="74"/>
    </row>
    <row r="6" spans="1:10" ht="24.9" customHeight="1" thickBot="1" x14ac:dyDescent="0.35">
      <c r="A6" s="9"/>
      <c r="B6" s="70"/>
      <c r="C6" s="71"/>
      <c r="D6" s="71"/>
      <c r="E6" s="10" t="s">
        <v>3</v>
      </c>
      <c r="F6" s="10" t="s">
        <v>4</v>
      </c>
      <c r="G6" s="10" t="s">
        <v>23</v>
      </c>
      <c r="H6" s="10" t="s">
        <v>24</v>
      </c>
      <c r="I6" s="75"/>
      <c r="J6" s="76"/>
    </row>
    <row r="7" spans="1:10" ht="24.9" customHeight="1" thickBot="1" x14ac:dyDescent="0.35">
      <c r="A7" s="9"/>
      <c r="B7" s="79" t="s">
        <v>21</v>
      </c>
      <c r="C7" s="80"/>
      <c r="D7" s="80"/>
      <c r="E7" s="20" t="s">
        <v>18</v>
      </c>
      <c r="F7" s="20" t="s">
        <v>19</v>
      </c>
      <c r="G7" s="20" t="s">
        <v>22</v>
      </c>
      <c r="H7" s="20" t="s">
        <v>20</v>
      </c>
      <c r="I7" s="77" t="s">
        <v>25</v>
      </c>
      <c r="J7" s="78"/>
    </row>
    <row r="8" spans="1:10" ht="30" customHeight="1" x14ac:dyDescent="0.3">
      <c r="A8" s="9"/>
      <c r="B8" s="81" t="s">
        <v>64</v>
      </c>
      <c r="C8" s="82"/>
      <c r="D8" s="82"/>
      <c r="E8" s="82"/>
      <c r="F8" s="82"/>
      <c r="G8" s="82"/>
      <c r="H8" s="82"/>
      <c r="I8" s="82"/>
      <c r="J8" s="83"/>
    </row>
    <row r="9" spans="1:10" ht="30" customHeight="1" x14ac:dyDescent="0.3">
      <c r="A9" s="9"/>
      <c r="B9" s="36" t="s">
        <v>87</v>
      </c>
      <c r="C9" s="37"/>
      <c r="D9" s="37"/>
      <c r="E9" s="8"/>
      <c r="F9" s="18"/>
      <c r="G9" s="22"/>
      <c r="H9" s="23"/>
      <c r="I9" s="49"/>
      <c r="J9" s="50"/>
    </row>
    <row r="10" spans="1:10" ht="30" customHeight="1" x14ac:dyDescent="0.3">
      <c r="A10" s="9"/>
      <c r="B10" s="38" t="s">
        <v>65</v>
      </c>
      <c r="C10" s="39"/>
      <c r="D10" s="39"/>
      <c r="E10" s="8">
        <v>5</v>
      </c>
      <c r="F10" s="18">
        <v>4</v>
      </c>
      <c r="G10" s="22">
        <f t="shared" ref="G10:G48" si="0">IFERROR(F10/E10,"")</f>
        <v>0.8</v>
      </c>
      <c r="H10" s="23" t="str">
        <f t="shared" ref="H10:H48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9"/>
      <c r="J10" s="50"/>
    </row>
    <row r="11" spans="1:10" ht="30" customHeight="1" x14ac:dyDescent="0.3">
      <c r="A11" s="9"/>
      <c r="B11" s="38" t="s">
        <v>66</v>
      </c>
      <c r="C11" s="39"/>
      <c r="D11" s="39"/>
      <c r="E11" s="8">
        <v>5</v>
      </c>
      <c r="F11" s="18">
        <v>4</v>
      </c>
      <c r="G11" s="22">
        <f t="shared" si="0"/>
        <v>0.8</v>
      </c>
      <c r="H11" s="23" t="str">
        <f t="shared" si="1"/>
        <v>جيد جداً</v>
      </c>
      <c r="I11" s="49"/>
      <c r="J11" s="50"/>
    </row>
    <row r="12" spans="1:10" ht="30" customHeight="1" x14ac:dyDescent="0.3">
      <c r="A12" s="9"/>
      <c r="B12" s="38" t="s">
        <v>67</v>
      </c>
      <c r="C12" s="39"/>
      <c r="D12" s="39"/>
      <c r="E12" s="8">
        <v>5</v>
      </c>
      <c r="F12" s="18">
        <v>4</v>
      </c>
      <c r="G12" s="22">
        <f t="shared" si="0"/>
        <v>0.8</v>
      </c>
      <c r="H12" s="23" t="str">
        <f t="shared" si="1"/>
        <v>جيد جداً</v>
      </c>
      <c r="I12" s="49"/>
      <c r="J12" s="50"/>
    </row>
    <row r="13" spans="1:10" ht="30" customHeight="1" x14ac:dyDescent="0.3">
      <c r="A13" s="9"/>
      <c r="B13" s="38" t="s">
        <v>68</v>
      </c>
      <c r="C13" s="39"/>
      <c r="D13" s="39"/>
      <c r="E13" s="8">
        <v>5</v>
      </c>
      <c r="F13" s="18">
        <v>4</v>
      </c>
      <c r="G13" s="22">
        <f t="shared" si="0"/>
        <v>0.8</v>
      </c>
      <c r="H13" s="23" t="str">
        <f t="shared" si="1"/>
        <v>جيد جداً</v>
      </c>
      <c r="I13" s="49"/>
      <c r="J13" s="50"/>
    </row>
    <row r="14" spans="1:10" ht="39.9" customHeight="1" x14ac:dyDescent="0.3">
      <c r="A14" s="9"/>
      <c r="B14" s="36" t="s">
        <v>88</v>
      </c>
      <c r="C14" s="37"/>
      <c r="D14" s="37"/>
      <c r="E14" s="8"/>
      <c r="F14" s="18"/>
      <c r="G14" s="22"/>
      <c r="H14" s="23"/>
      <c r="I14" s="49"/>
      <c r="J14" s="50"/>
    </row>
    <row r="15" spans="1:10" ht="30" customHeight="1" x14ac:dyDescent="0.3">
      <c r="A15" s="9"/>
      <c r="B15" s="38" t="s">
        <v>69</v>
      </c>
      <c r="C15" s="39"/>
      <c r="D15" s="39"/>
      <c r="E15" s="8">
        <v>5</v>
      </c>
      <c r="F15" s="18">
        <v>3.5</v>
      </c>
      <c r="G15" s="22">
        <f t="shared" si="0"/>
        <v>0.7</v>
      </c>
      <c r="H15" s="23" t="str">
        <f t="shared" si="1"/>
        <v>جيد</v>
      </c>
      <c r="I15" s="49"/>
      <c r="J15" s="50"/>
    </row>
    <row r="16" spans="1:10" ht="30" customHeight="1" x14ac:dyDescent="0.3">
      <c r="A16" s="9"/>
      <c r="B16" s="38" t="s">
        <v>70</v>
      </c>
      <c r="C16" s="39"/>
      <c r="D16" s="39"/>
      <c r="E16" s="8">
        <v>5</v>
      </c>
      <c r="F16" s="18">
        <v>4</v>
      </c>
      <c r="G16" s="22">
        <f t="shared" si="0"/>
        <v>0.8</v>
      </c>
      <c r="H16" s="23" t="str">
        <f t="shared" si="1"/>
        <v>جيد جداً</v>
      </c>
      <c r="I16" s="49"/>
      <c r="J16" s="50"/>
    </row>
    <row r="17" spans="1:10" ht="30" customHeight="1" x14ac:dyDescent="0.3">
      <c r="A17" s="9"/>
      <c r="B17" s="38" t="s">
        <v>71</v>
      </c>
      <c r="C17" s="39"/>
      <c r="D17" s="39"/>
      <c r="E17" s="8">
        <v>5</v>
      </c>
      <c r="F17" s="18">
        <v>4</v>
      </c>
      <c r="G17" s="22">
        <f t="shared" si="0"/>
        <v>0.8</v>
      </c>
      <c r="H17" s="23" t="str">
        <f t="shared" si="1"/>
        <v>جيد جداً</v>
      </c>
      <c r="I17" s="49"/>
      <c r="J17" s="50"/>
    </row>
    <row r="18" spans="1:10" ht="30" customHeight="1" x14ac:dyDescent="0.3">
      <c r="A18" s="9"/>
      <c r="B18" s="38" t="s">
        <v>72</v>
      </c>
      <c r="C18" s="39"/>
      <c r="D18" s="39"/>
      <c r="E18" s="8">
        <v>5</v>
      </c>
      <c r="F18" s="18">
        <v>3.5</v>
      </c>
      <c r="G18" s="22">
        <f t="shared" si="0"/>
        <v>0.7</v>
      </c>
      <c r="H18" s="23" t="str">
        <f t="shared" si="1"/>
        <v>جيد</v>
      </c>
      <c r="I18" s="49"/>
      <c r="J18" s="50"/>
    </row>
    <row r="19" spans="1:10" ht="30" customHeight="1" x14ac:dyDescent="0.3">
      <c r="A19" s="9"/>
      <c r="B19" s="38" t="s">
        <v>73</v>
      </c>
      <c r="C19" s="39"/>
      <c r="D19" s="39"/>
      <c r="E19" s="8">
        <v>5</v>
      </c>
      <c r="F19" s="18">
        <v>4</v>
      </c>
      <c r="G19" s="22">
        <f t="shared" si="0"/>
        <v>0.8</v>
      </c>
      <c r="H19" s="23" t="str">
        <f t="shared" si="1"/>
        <v>جيد جداً</v>
      </c>
      <c r="I19" s="49"/>
      <c r="J19" s="50"/>
    </row>
    <row r="20" spans="1:10" ht="30" customHeight="1" x14ac:dyDescent="0.3">
      <c r="A20" s="9"/>
      <c r="B20" s="38" t="s">
        <v>74</v>
      </c>
      <c r="C20" s="39"/>
      <c r="D20" s="39"/>
      <c r="E20" s="8">
        <v>5</v>
      </c>
      <c r="F20" s="18">
        <v>4</v>
      </c>
      <c r="G20" s="22">
        <f t="shared" si="0"/>
        <v>0.8</v>
      </c>
      <c r="H20" s="23" t="str">
        <f t="shared" si="1"/>
        <v>جيد جداً</v>
      </c>
      <c r="I20" s="49"/>
      <c r="J20" s="50"/>
    </row>
    <row r="21" spans="1:10" ht="30" customHeight="1" x14ac:dyDescent="0.3">
      <c r="A21" s="9"/>
      <c r="B21" s="38" t="s">
        <v>75</v>
      </c>
      <c r="C21" s="39"/>
      <c r="D21" s="39"/>
      <c r="E21" s="8">
        <v>5</v>
      </c>
      <c r="F21" s="18">
        <v>4</v>
      </c>
      <c r="G21" s="22">
        <f t="shared" si="0"/>
        <v>0.8</v>
      </c>
      <c r="H21" s="23" t="str">
        <f t="shared" si="1"/>
        <v>جيد جداً</v>
      </c>
      <c r="I21" s="49"/>
      <c r="J21" s="50"/>
    </row>
    <row r="22" spans="1:10" ht="30" customHeight="1" x14ac:dyDescent="0.3">
      <c r="A22" s="9"/>
      <c r="B22" s="38" t="s">
        <v>76</v>
      </c>
      <c r="C22" s="39"/>
      <c r="D22" s="39"/>
      <c r="E22" s="8">
        <v>5</v>
      </c>
      <c r="F22" s="18">
        <v>4</v>
      </c>
      <c r="G22" s="22">
        <f t="shared" si="0"/>
        <v>0.8</v>
      </c>
      <c r="H22" s="23" t="str">
        <f t="shared" si="1"/>
        <v>جيد جداً</v>
      </c>
      <c r="I22" s="49"/>
      <c r="J22" s="50"/>
    </row>
    <row r="23" spans="1:10" ht="30" customHeight="1" x14ac:dyDescent="0.3">
      <c r="A23" s="9"/>
      <c r="B23" s="38" t="s">
        <v>77</v>
      </c>
      <c r="C23" s="39"/>
      <c r="D23" s="39"/>
      <c r="E23" s="8">
        <v>5</v>
      </c>
      <c r="F23" s="18">
        <v>4</v>
      </c>
      <c r="G23" s="22">
        <f t="shared" si="0"/>
        <v>0.8</v>
      </c>
      <c r="H23" s="23" t="str">
        <f t="shared" si="1"/>
        <v>جيد جداً</v>
      </c>
      <c r="I23" s="49"/>
      <c r="J23" s="50"/>
    </row>
    <row r="24" spans="1:10" ht="30" customHeight="1" x14ac:dyDescent="0.3">
      <c r="A24" s="9"/>
      <c r="B24" s="38" t="s">
        <v>78</v>
      </c>
      <c r="C24" s="39"/>
      <c r="D24" s="39"/>
      <c r="E24" s="8">
        <v>5</v>
      </c>
      <c r="F24" s="18">
        <v>4</v>
      </c>
      <c r="G24" s="22">
        <f t="shared" si="0"/>
        <v>0.8</v>
      </c>
      <c r="H24" s="23" t="str">
        <f t="shared" si="1"/>
        <v>جيد جداً</v>
      </c>
      <c r="I24" s="49"/>
      <c r="J24" s="50"/>
    </row>
    <row r="25" spans="1:10" ht="39.9" customHeight="1" thickBot="1" x14ac:dyDescent="0.35">
      <c r="A25" s="9"/>
      <c r="B25" s="34" t="s">
        <v>79</v>
      </c>
      <c r="C25" s="35"/>
      <c r="D25" s="35"/>
      <c r="E25" s="24">
        <v>10</v>
      </c>
      <c r="F25" s="19">
        <v>8</v>
      </c>
      <c r="G25" s="25">
        <f t="shared" si="0"/>
        <v>0.8</v>
      </c>
      <c r="H25" s="26" t="str">
        <f t="shared" si="1"/>
        <v>جيد جداً</v>
      </c>
      <c r="I25" s="57"/>
      <c r="J25" s="58"/>
    </row>
    <row r="26" spans="1:10" ht="30" customHeight="1" x14ac:dyDescent="0.3">
      <c r="A26" s="9"/>
      <c r="B26" s="42" t="s">
        <v>80</v>
      </c>
      <c r="C26" s="43"/>
      <c r="D26" s="43"/>
      <c r="E26" s="43"/>
      <c r="F26" s="43"/>
      <c r="G26" s="43"/>
      <c r="H26" s="43"/>
      <c r="I26" s="43"/>
      <c r="J26" s="44"/>
    </row>
    <row r="27" spans="1:10" ht="39.9" customHeight="1" x14ac:dyDescent="0.3">
      <c r="A27" s="9"/>
      <c r="B27" s="36" t="s">
        <v>89</v>
      </c>
      <c r="C27" s="37"/>
      <c r="D27" s="37"/>
      <c r="E27" s="8">
        <v>5</v>
      </c>
      <c r="F27" s="18">
        <v>4</v>
      </c>
      <c r="G27" s="22">
        <f t="shared" si="0"/>
        <v>0.8</v>
      </c>
      <c r="H27" s="23" t="str">
        <f t="shared" si="1"/>
        <v>جيد جداً</v>
      </c>
      <c r="I27" s="49"/>
      <c r="J27" s="50"/>
    </row>
    <row r="28" spans="1:10" ht="30" customHeight="1" x14ac:dyDescent="0.3">
      <c r="A28" s="9"/>
      <c r="B28" s="36" t="s">
        <v>90</v>
      </c>
      <c r="C28" s="37"/>
      <c r="D28" s="37"/>
      <c r="E28" s="8">
        <v>5</v>
      </c>
      <c r="F28" s="18">
        <v>4</v>
      </c>
      <c r="G28" s="22">
        <f t="shared" si="0"/>
        <v>0.8</v>
      </c>
      <c r="H28" s="23" t="str">
        <f t="shared" si="1"/>
        <v>جيد جداً</v>
      </c>
      <c r="I28" s="49"/>
      <c r="J28" s="50"/>
    </row>
    <row r="29" spans="1:10" ht="30" customHeight="1" x14ac:dyDescent="0.3">
      <c r="A29" s="9"/>
      <c r="B29" s="36" t="s">
        <v>91</v>
      </c>
      <c r="C29" s="37"/>
      <c r="D29" s="37"/>
      <c r="E29" s="8">
        <v>5</v>
      </c>
      <c r="F29" s="18">
        <v>4</v>
      </c>
      <c r="G29" s="22">
        <f t="shared" si="0"/>
        <v>0.8</v>
      </c>
      <c r="H29" s="23" t="str">
        <f t="shared" si="1"/>
        <v>جيد جداً</v>
      </c>
      <c r="I29" s="49"/>
      <c r="J29" s="50"/>
    </row>
    <row r="30" spans="1:10" ht="30" customHeight="1" thickBot="1" x14ac:dyDescent="0.35">
      <c r="A30" s="9"/>
      <c r="B30" s="40" t="s">
        <v>92</v>
      </c>
      <c r="C30" s="41"/>
      <c r="D30" s="41"/>
      <c r="E30" s="24">
        <v>0</v>
      </c>
      <c r="F30" s="19" t="s">
        <v>17</v>
      </c>
      <c r="G30" s="25" t="str">
        <f t="shared" si="0"/>
        <v/>
      </c>
      <c r="H30" s="26" t="str">
        <f t="shared" si="1"/>
        <v>تم الإلغاء</v>
      </c>
      <c r="I30" s="57"/>
      <c r="J30" s="58"/>
    </row>
    <row r="31" spans="1:10" ht="30" customHeight="1" x14ac:dyDescent="0.3">
      <c r="A31" s="9"/>
      <c r="B31" s="42" t="s">
        <v>81</v>
      </c>
      <c r="C31" s="43"/>
      <c r="D31" s="43"/>
      <c r="E31" s="43"/>
      <c r="F31" s="43"/>
      <c r="G31" s="43"/>
      <c r="H31" s="43"/>
      <c r="I31" s="43"/>
      <c r="J31" s="44"/>
    </row>
    <row r="32" spans="1:10" ht="30" customHeight="1" x14ac:dyDescent="0.3">
      <c r="A32" s="9"/>
      <c r="B32" s="36" t="s">
        <v>93</v>
      </c>
      <c r="C32" s="37"/>
      <c r="D32" s="37"/>
      <c r="E32" s="8">
        <v>5</v>
      </c>
      <c r="F32" s="18">
        <v>4</v>
      </c>
      <c r="G32" s="22">
        <f t="shared" si="0"/>
        <v>0.8</v>
      </c>
      <c r="H32" s="23" t="str">
        <f t="shared" si="1"/>
        <v>جيد جداً</v>
      </c>
      <c r="I32" s="49"/>
      <c r="J32" s="50"/>
    </row>
    <row r="33" spans="1:10" ht="30" customHeight="1" x14ac:dyDescent="0.3">
      <c r="A33" s="9"/>
      <c r="B33" s="36" t="s">
        <v>94</v>
      </c>
      <c r="C33" s="37"/>
      <c r="D33" s="37"/>
      <c r="E33" s="8">
        <v>5</v>
      </c>
      <c r="F33" s="18">
        <v>4</v>
      </c>
      <c r="G33" s="22">
        <f t="shared" si="0"/>
        <v>0.8</v>
      </c>
      <c r="H33" s="23" t="str">
        <f t="shared" si="1"/>
        <v>جيد جداً</v>
      </c>
      <c r="I33" s="49"/>
      <c r="J33" s="50"/>
    </row>
    <row r="34" spans="1:10" ht="30" customHeight="1" x14ac:dyDescent="0.3">
      <c r="A34" s="9"/>
      <c r="B34" s="38" t="s">
        <v>82</v>
      </c>
      <c r="C34" s="39"/>
      <c r="D34" s="39"/>
      <c r="E34" s="8">
        <v>5</v>
      </c>
      <c r="F34" s="18">
        <v>4</v>
      </c>
      <c r="G34" s="22">
        <f t="shared" si="0"/>
        <v>0.8</v>
      </c>
      <c r="H34" s="23" t="str">
        <f t="shared" si="1"/>
        <v>جيد جداً</v>
      </c>
      <c r="I34" s="49"/>
      <c r="J34" s="50"/>
    </row>
    <row r="35" spans="1:10" ht="30" customHeight="1" x14ac:dyDescent="0.3">
      <c r="A35" s="9"/>
      <c r="B35" s="38" t="s">
        <v>83</v>
      </c>
      <c r="C35" s="39"/>
      <c r="D35" s="39"/>
      <c r="E35" s="8">
        <v>5</v>
      </c>
      <c r="F35" s="18">
        <v>4</v>
      </c>
      <c r="G35" s="22">
        <f t="shared" si="0"/>
        <v>0.8</v>
      </c>
      <c r="H35" s="23" t="str">
        <f t="shared" si="1"/>
        <v>جيد جداً</v>
      </c>
      <c r="I35" s="49"/>
      <c r="J35" s="50"/>
    </row>
    <row r="36" spans="1:10" ht="30" customHeight="1" x14ac:dyDescent="0.3">
      <c r="A36" s="9"/>
      <c r="B36" s="38" t="s">
        <v>84</v>
      </c>
      <c r="C36" s="39"/>
      <c r="D36" s="39"/>
      <c r="E36" s="8">
        <v>5</v>
      </c>
      <c r="F36" s="18">
        <v>4</v>
      </c>
      <c r="G36" s="22">
        <f t="shared" si="0"/>
        <v>0.8</v>
      </c>
      <c r="H36" s="23" t="str">
        <f t="shared" si="1"/>
        <v>جيد جداً</v>
      </c>
      <c r="I36" s="49"/>
      <c r="J36" s="50"/>
    </row>
    <row r="37" spans="1:10" ht="30" customHeight="1" x14ac:dyDescent="0.3">
      <c r="A37" s="9"/>
      <c r="B37" s="38" t="s">
        <v>85</v>
      </c>
      <c r="C37" s="39"/>
      <c r="D37" s="39"/>
      <c r="E37" s="8">
        <v>5</v>
      </c>
      <c r="F37" s="18">
        <v>4</v>
      </c>
      <c r="G37" s="22">
        <f t="shared" si="0"/>
        <v>0.8</v>
      </c>
      <c r="H37" s="23" t="str">
        <f t="shared" si="1"/>
        <v>جيد جداً</v>
      </c>
      <c r="I37" s="49"/>
      <c r="J37" s="50"/>
    </row>
    <row r="38" spans="1:10" ht="30" customHeight="1" x14ac:dyDescent="0.3">
      <c r="A38" s="9"/>
      <c r="B38" s="36" t="s">
        <v>95</v>
      </c>
      <c r="C38" s="37"/>
      <c r="D38" s="37"/>
      <c r="E38" s="8">
        <v>5</v>
      </c>
      <c r="F38" s="18">
        <v>4</v>
      </c>
      <c r="G38" s="22">
        <f t="shared" si="0"/>
        <v>0.8</v>
      </c>
      <c r="H38" s="23" t="str">
        <f t="shared" si="1"/>
        <v>جيد جداً</v>
      </c>
      <c r="I38" s="49"/>
      <c r="J38" s="50"/>
    </row>
    <row r="39" spans="1:10" ht="30" customHeight="1" x14ac:dyDescent="0.3">
      <c r="A39" s="9"/>
      <c r="B39" s="36" t="s">
        <v>96</v>
      </c>
      <c r="C39" s="37"/>
      <c r="D39" s="37"/>
      <c r="E39" s="8">
        <v>5</v>
      </c>
      <c r="F39" s="18">
        <v>4</v>
      </c>
      <c r="G39" s="22">
        <f t="shared" si="0"/>
        <v>0.8</v>
      </c>
      <c r="H39" s="23" t="str">
        <f t="shared" si="1"/>
        <v>جيد جداً</v>
      </c>
      <c r="I39" s="49"/>
      <c r="J39" s="50"/>
    </row>
    <row r="40" spans="1:10" ht="30" customHeight="1" x14ac:dyDescent="0.3">
      <c r="A40" s="9"/>
      <c r="B40" s="36" t="s">
        <v>97</v>
      </c>
      <c r="C40" s="37"/>
      <c r="D40" s="37"/>
      <c r="E40" s="8">
        <v>5</v>
      </c>
      <c r="F40" s="18">
        <v>4</v>
      </c>
      <c r="G40" s="22">
        <f t="shared" si="0"/>
        <v>0.8</v>
      </c>
      <c r="H40" s="23" t="str">
        <f t="shared" si="1"/>
        <v>جيد جداً</v>
      </c>
      <c r="I40" s="49"/>
      <c r="J40" s="50"/>
    </row>
    <row r="41" spans="1:10" ht="30" customHeight="1" x14ac:dyDescent="0.3">
      <c r="A41" s="9"/>
      <c r="B41" s="36" t="s">
        <v>98</v>
      </c>
      <c r="C41" s="37"/>
      <c r="D41" s="37"/>
      <c r="E41" s="8">
        <v>5</v>
      </c>
      <c r="F41" s="18">
        <v>4</v>
      </c>
      <c r="G41" s="22">
        <f t="shared" si="0"/>
        <v>0.8</v>
      </c>
      <c r="H41" s="23" t="str">
        <f t="shared" si="1"/>
        <v>جيد جداً</v>
      </c>
      <c r="I41" s="49"/>
      <c r="J41" s="50"/>
    </row>
    <row r="42" spans="1:10" ht="30" customHeight="1" x14ac:dyDescent="0.3">
      <c r="A42" s="9"/>
      <c r="B42" s="36" t="s">
        <v>99</v>
      </c>
      <c r="C42" s="37"/>
      <c r="D42" s="37"/>
      <c r="E42" s="8">
        <v>5</v>
      </c>
      <c r="F42" s="18">
        <v>4</v>
      </c>
      <c r="G42" s="22">
        <f t="shared" si="0"/>
        <v>0.8</v>
      </c>
      <c r="H42" s="23" t="str">
        <f t="shared" si="1"/>
        <v>جيد جداً</v>
      </c>
      <c r="I42" s="49"/>
      <c r="J42" s="50"/>
    </row>
    <row r="43" spans="1:10" ht="30" customHeight="1" thickBot="1" x14ac:dyDescent="0.35">
      <c r="A43" s="9"/>
      <c r="B43" s="40" t="s">
        <v>100</v>
      </c>
      <c r="C43" s="41"/>
      <c r="D43" s="41"/>
      <c r="E43" s="24">
        <v>5</v>
      </c>
      <c r="F43" s="19">
        <v>4</v>
      </c>
      <c r="G43" s="25">
        <f t="shared" si="0"/>
        <v>0.8</v>
      </c>
      <c r="H43" s="26" t="str">
        <f t="shared" si="1"/>
        <v>جيد جداً</v>
      </c>
      <c r="I43" s="57"/>
      <c r="J43" s="58"/>
    </row>
    <row r="44" spans="1:10" ht="30" customHeight="1" x14ac:dyDescent="0.3">
      <c r="A44" s="9"/>
      <c r="B44" s="42" t="s">
        <v>86</v>
      </c>
      <c r="C44" s="43"/>
      <c r="D44" s="43"/>
      <c r="E44" s="43"/>
      <c r="F44" s="43"/>
      <c r="G44" s="43"/>
      <c r="H44" s="43"/>
      <c r="I44" s="43"/>
      <c r="J44" s="44"/>
    </row>
    <row r="45" spans="1:10" ht="30" customHeight="1" x14ac:dyDescent="0.3">
      <c r="A45" s="9"/>
      <c r="B45" s="36" t="s">
        <v>216</v>
      </c>
      <c r="C45" s="37"/>
      <c r="D45" s="37"/>
      <c r="E45" s="8">
        <v>5</v>
      </c>
      <c r="F45" s="18">
        <v>4</v>
      </c>
      <c r="G45" s="22">
        <f t="shared" si="0"/>
        <v>0.8</v>
      </c>
      <c r="H45" s="23" t="str">
        <f t="shared" si="1"/>
        <v>جيد جداً</v>
      </c>
      <c r="I45" s="49"/>
      <c r="J45" s="50"/>
    </row>
    <row r="46" spans="1:10" ht="30" customHeight="1" x14ac:dyDescent="0.3">
      <c r="A46" s="9"/>
      <c r="B46" s="36" t="s">
        <v>101</v>
      </c>
      <c r="C46" s="37"/>
      <c r="D46" s="37"/>
      <c r="E46" s="8">
        <v>5</v>
      </c>
      <c r="F46" s="18">
        <v>4</v>
      </c>
      <c r="G46" s="22">
        <f t="shared" si="0"/>
        <v>0.8</v>
      </c>
      <c r="H46" s="23" t="str">
        <f t="shared" si="1"/>
        <v>جيد جداً</v>
      </c>
      <c r="I46" s="49"/>
      <c r="J46" s="50"/>
    </row>
    <row r="47" spans="1:10" ht="30" customHeight="1" x14ac:dyDescent="0.3">
      <c r="A47" s="9"/>
      <c r="B47" s="36" t="s">
        <v>102</v>
      </c>
      <c r="C47" s="37"/>
      <c r="D47" s="37"/>
      <c r="E47" s="8">
        <v>5</v>
      </c>
      <c r="F47" s="18">
        <v>4</v>
      </c>
      <c r="G47" s="22">
        <f t="shared" si="0"/>
        <v>0.8</v>
      </c>
      <c r="H47" s="23" t="str">
        <f t="shared" si="1"/>
        <v>جيد جداً</v>
      </c>
      <c r="I47" s="49"/>
      <c r="J47" s="50"/>
    </row>
    <row r="48" spans="1:10" ht="30" customHeight="1" thickBot="1" x14ac:dyDescent="0.35">
      <c r="A48" s="9"/>
      <c r="B48" s="40" t="s">
        <v>217</v>
      </c>
      <c r="C48" s="41"/>
      <c r="D48" s="41"/>
      <c r="E48" s="24">
        <v>5</v>
      </c>
      <c r="F48" s="19">
        <v>4</v>
      </c>
      <c r="G48" s="25">
        <f t="shared" si="0"/>
        <v>0.8</v>
      </c>
      <c r="H48" s="26" t="str">
        <f t="shared" si="1"/>
        <v>جيد جداً</v>
      </c>
      <c r="I48" s="57"/>
      <c r="J48" s="58"/>
    </row>
    <row r="49" spans="1:10" ht="30" customHeight="1" thickBot="1" x14ac:dyDescent="0.35">
      <c r="A49" s="4"/>
      <c r="B49" s="45" t="s">
        <v>5</v>
      </c>
      <c r="C49" s="46"/>
      <c r="D49" s="46"/>
      <c r="E49" s="21">
        <f>SUM(E8:E48)</f>
        <v>175</v>
      </c>
      <c r="F49" s="21">
        <f>SUM(F8:F48)</f>
        <v>139</v>
      </c>
      <c r="G49" s="63"/>
      <c r="H49" s="64"/>
      <c r="I49" s="64"/>
      <c r="J49" s="65"/>
    </row>
    <row r="50" spans="1:10" ht="30" customHeight="1" thickBot="1" x14ac:dyDescent="0.35">
      <c r="A50" s="4"/>
      <c r="B50" s="47" t="s">
        <v>54</v>
      </c>
      <c r="C50" s="48"/>
      <c r="D50" s="48"/>
      <c r="E50" s="59">
        <f>F49/E49/100*100</f>
        <v>0.79428571428571426</v>
      </c>
      <c r="F50" s="59"/>
      <c r="G50" s="59"/>
      <c r="H50" s="59"/>
      <c r="I50" s="59"/>
      <c r="J50" s="60"/>
    </row>
    <row r="51" spans="1:10" ht="30" customHeight="1" thickBot="1" x14ac:dyDescent="0.35">
      <c r="A51" s="4"/>
      <c r="B51" s="47" t="s">
        <v>55</v>
      </c>
      <c r="C51" s="48"/>
      <c r="D51" s="48"/>
      <c r="E51" s="55" t="str">
        <f>_xlfn.IFS(E50&gt;=90%,"ممتاز",E50&gt;=80%,"جيد جداً",E50&gt;=70%,"جيد",E50&gt;=60%,"مقبول",E50&lt;60%,"راسب")</f>
        <v>جيد</v>
      </c>
      <c r="F51" s="55"/>
      <c r="G51" s="55"/>
      <c r="H51" s="55"/>
      <c r="I51" s="55"/>
      <c r="J51" s="56"/>
    </row>
    <row r="52" spans="1:10" ht="42" customHeight="1" x14ac:dyDescent="0.3">
      <c r="B52" s="51" t="s">
        <v>63</v>
      </c>
      <c r="C52" s="51"/>
      <c r="D52" s="51"/>
      <c r="E52" s="61" t="s">
        <v>52</v>
      </c>
      <c r="F52" s="61"/>
      <c r="G52" s="53" t="s">
        <v>59</v>
      </c>
      <c r="H52" s="53"/>
      <c r="I52" s="53"/>
      <c r="J52" s="53"/>
    </row>
    <row r="53" spans="1:10" ht="51" customHeight="1" x14ac:dyDescent="0.3">
      <c r="A53" s="5"/>
      <c r="B53" s="52"/>
      <c r="C53" s="52"/>
      <c r="D53" s="52"/>
      <c r="E53" s="62" t="s">
        <v>53</v>
      </c>
      <c r="F53" s="62"/>
      <c r="G53" s="54"/>
      <c r="H53" s="54"/>
      <c r="I53" s="54"/>
      <c r="J53" s="54"/>
    </row>
  </sheetData>
  <sheetProtection formatCells="0" formatColumns="0" formatRows="0" insertColumns="0" insertRows="0" insertHyperlinks="0" deleteColumns="0" deleteRows="0" selectLockedCells="1" sort="0" autoFilter="0" pivotTables="0"/>
  <mergeCells count="100">
    <mergeCell ref="B7:D7"/>
    <mergeCell ref="I38:J38"/>
    <mergeCell ref="I39:J39"/>
    <mergeCell ref="I30:J30"/>
    <mergeCell ref="B11:D11"/>
    <mergeCell ref="B12:D12"/>
    <mergeCell ref="B13:D13"/>
    <mergeCell ref="B14:D14"/>
    <mergeCell ref="B15:D15"/>
    <mergeCell ref="B26:J26"/>
    <mergeCell ref="B8:J8"/>
    <mergeCell ref="B36:D36"/>
    <mergeCell ref="B17:D17"/>
    <mergeCell ref="B18:D18"/>
    <mergeCell ref="B19:D19"/>
    <mergeCell ref="I23:J23"/>
    <mergeCell ref="I24:J24"/>
    <mergeCell ref="I25:J25"/>
    <mergeCell ref="I36:J36"/>
    <mergeCell ref="I33:J33"/>
    <mergeCell ref="I34:J34"/>
    <mergeCell ref="I35:J35"/>
    <mergeCell ref="I7:J7"/>
    <mergeCell ref="I10:J10"/>
    <mergeCell ref="I19:J19"/>
    <mergeCell ref="I20:J20"/>
    <mergeCell ref="I21:J21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F4:J4"/>
    <mergeCell ref="B52:D53"/>
    <mergeCell ref="G52:J52"/>
    <mergeCell ref="G53:J53"/>
    <mergeCell ref="E51:J51"/>
    <mergeCell ref="I40:J40"/>
    <mergeCell ref="I41:J41"/>
    <mergeCell ref="I42:J42"/>
    <mergeCell ref="I43:J43"/>
    <mergeCell ref="E50:J50"/>
    <mergeCell ref="I45:J45"/>
    <mergeCell ref="I46:J46"/>
    <mergeCell ref="I47:J47"/>
    <mergeCell ref="I48:J48"/>
    <mergeCell ref="E52:F52"/>
    <mergeCell ref="E53:F53"/>
    <mergeCell ref="G49:J49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6:D16"/>
    <mergeCell ref="I32:J32"/>
    <mergeCell ref="I37:J37"/>
    <mergeCell ref="I22:J22"/>
    <mergeCell ref="B49:D49"/>
    <mergeCell ref="B50:D50"/>
    <mergeCell ref="B34:D34"/>
    <mergeCell ref="B37:D37"/>
    <mergeCell ref="B38:D38"/>
    <mergeCell ref="B39:D39"/>
    <mergeCell ref="B40:D40"/>
    <mergeCell ref="B47:D47"/>
    <mergeCell ref="B48:D48"/>
    <mergeCell ref="B44:J44"/>
    <mergeCell ref="B32:D32"/>
    <mergeCell ref="B33:D33"/>
    <mergeCell ref="B41:D41"/>
    <mergeCell ref="B31:J31"/>
    <mergeCell ref="B35:D35"/>
    <mergeCell ref="B25:D25"/>
    <mergeCell ref="B9:D9"/>
    <mergeCell ref="B10:D10"/>
    <mergeCell ref="B45:D45"/>
    <mergeCell ref="B46:D46"/>
    <mergeCell ref="B20:D20"/>
    <mergeCell ref="B21:D21"/>
    <mergeCell ref="B22:D22"/>
    <mergeCell ref="B23:D23"/>
    <mergeCell ref="B24:D24"/>
    <mergeCell ref="B42:D42"/>
    <mergeCell ref="B43:D43"/>
    <mergeCell ref="B27:D27"/>
    <mergeCell ref="B28:D28"/>
    <mergeCell ref="B29:D29"/>
    <mergeCell ref="B30:D3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1">
    <cfRule type="expression" dxfId="21" priority="57">
      <formula>$E51="راسب"</formula>
    </cfRule>
  </conditionalFormatting>
  <conditionalFormatting sqref="E51:J51">
    <cfRule type="expression" dxfId="20" priority="60">
      <formula>$E51="جيد جداً"</formula>
    </cfRule>
    <cfRule type="expression" dxfId="19" priority="59">
      <formula>$E51="جيد"</formula>
    </cfRule>
    <cfRule type="expression" dxfId="18" priority="58">
      <formula>$E51="مقبول"</formula>
    </cfRule>
    <cfRule type="expression" dxfId="17" priority="61">
      <formula>$E51="ممتاز"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0 F32:F43 F45:F48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12" priority="15" operator="containsText" text="أدخل اسم المحكم">
      <formula>NOT(ISERROR(SEARCH("أدخل اسم المحكم",G52)))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0 H32:H43 H45:H48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F15:F24 F45:F48 F32:F43 F27:F30 F10:F13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G52:J52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82FB0710-5BF9-4FFC-9AD7-C38F397AD48B}">
          <x14:formula1>
            <xm:f>'بيانات التقييم'!$A$111:$A$153</xm:f>
          </x14:formula1>
          <xm:sqref>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81" zoomScale="26" zoomScaleNormal="26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7" t="s">
        <v>103</v>
      </c>
    </row>
    <row r="3" spans="1:3" ht="20.100000000000001" customHeight="1" thickBot="1" x14ac:dyDescent="0.35">
      <c r="A3" s="2" t="s">
        <v>26</v>
      </c>
      <c r="C3" s="27" t="s">
        <v>104</v>
      </c>
    </row>
    <row r="4" spans="1:3" ht="20.100000000000001" customHeight="1" thickBot="1" x14ac:dyDescent="0.35">
      <c r="A4" s="2" t="s">
        <v>36</v>
      </c>
      <c r="C4" s="27" t="s">
        <v>105</v>
      </c>
    </row>
    <row r="5" spans="1:3" ht="20.100000000000001" customHeight="1" thickBot="1" x14ac:dyDescent="0.35">
      <c r="A5" s="2" t="s">
        <v>37</v>
      </c>
      <c r="C5" s="27" t="s">
        <v>106</v>
      </c>
    </row>
    <row r="6" spans="1:3" ht="20.100000000000001" customHeight="1" thickBot="1" x14ac:dyDescent="0.35">
      <c r="A6" s="2" t="s">
        <v>38</v>
      </c>
      <c r="C6" s="27" t="s">
        <v>107</v>
      </c>
    </row>
    <row r="7" spans="1:3" ht="20.100000000000001" customHeight="1" thickBot="1" x14ac:dyDescent="0.35">
      <c r="A7" s="2" t="s">
        <v>39</v>
      </c>
      <c r="C7" s="27" t="s">
        <v>108</v>
      </c>
    </row>
    <row r="8" spans="1:3" ht="20.100000000000001" customHeight="1" thickBot="1" x14ac:dyDescent="0.35">
      <c r="A8" s="2" t="s">
        <v>40</v>
      </c>
      <c r="C8" s="27" t="s">
        <v>109</v>
      </c>
    </row>
    <row r="9" spans="1:3" ht="20.100000000000001" customHeight="1" thickBot="1" x14ac:dyDescent="0.35">
      <c r="A9" s="2" t="s">
        <v>41</v>
      </c>
      <c r="C9" s="27" t="s">
        <v>110</v>
      </c>
    </row>
    <row r="10" spans="1:3" ht="20.100000000000001" customHeight="1" thickBot="1" x14ac:dyDescent="0.35">
      <c r="A10" s="2" t="s">
        <v>42</v>
      </c>
      <c r="C10" s="27" t="s">
        <v>111</v>
      </c>
    </row>
    <row r="11" spans="1:3" ht="20.100000000000001" customHeight="1" thickBot="1" x14ac:dyDescent="0.35">
      <c r="A11" s="2" t="s">
        <v>43</v>
      </c>
      <c r="C11" s="27" t="s">
        <v>112</v>
      </c>
    </row>
    <row r="12" spans="1:3" ht="20.100000000000001" customHeight="1" thickBot="1" x14ac:dyDescent="0.35">
      <c r="A12" s="2" t="s">
        <v>44</v>
      </c>
      <c r="C12" s="27" t="s">
        <v>113</v>
      </c>
    </row>
    <row r="13" spans="1:3" ht="20.100000000000001" customHeight="1" thickBot="1" x14ac:dyDescent="0.35">
      <c r="A13" s="2" t="s">
        <v>45</v>
      </c>
      <c r="C13" s="27" t="s">
        <v>114</v>
      </c>
    </row>
    <row r="14" spans="1:3" ht="20.100000000000001" customHeight="1" thickBot="1" x14ac:dyDescent="0.35">
      <c r="A14" s="2" t="s">
        <v>46</v>
      </c>
      <c r="C14" s="27" t="s">
        <v>115</v>
      </c>
    </row>
    <row r="15" spans="1:3" ht="20.100000000000001" customHeight="1" thickBot="1" x14ac:dyDescent="0.35">
      <c r="A15" s="2" t="s">
        <v>47</v>
      </c>
      <c r="C15" s="27" t="s">
        <v>116</v>
      </c>
    </row>
    <row r="16" spans="1:3" ht="20.100000000000001" customHeight="1" thickBot="1" x14ac:dyDescent="0.35">
      <c r="A16" s="2" t="s">
        <v>10</v>
      </c>
      <c r="C16" s="27" t="s">
        <v>117</v>
      </c>
    </row>
    <row r="17" spans="1:3" ht="20.100000000000001" customHeight="1" thickBot="1" x14ac:dyDescent="0.35">
      <c r="A17" s="2" t="s">
        <v>27</v>
      </c>
      <c r="C17" s="27" t="s">
        <v>118</v>
      </c>
    </row>
    <row r="18" spans="1:3" ht="20.100000000000001" customHeight="1" thickBot="1" x14ac:dyDescent="0.35">
      <c r="A18" s="2" t="s">
        <v>48</v>
      </c>
      <c r="C18" s="27" t="s">
        <v>119</v>
      </c>
    </row>
    <row r="19" spans="1:3" ht="20.100000000000001" customHeight="1" thickBot="1" x14ac:dyDescent="0.35">
      <c r="A19" s="2" t="s">
        <v>49</v>
      </c>
      <c r="C19" s="27" t="s">
        <v>120</v>
      </c>
    </row>
    <row r="20" spans="1:3" ht="20.100000000000001" customHeight="1" thickBot="1" x14ac:dyDescent="0.35">
      <c r="A20" s="2" t="s">
        <v>50</v>
      </c>
      <c r="C20" s="27" t="s">
        <v>121</v>
      </c>
    </row>
    <row r="21" spans="1:3" ht="20.100000000000001" customHeight="1" thickBot="1" x14ac:dyDescent="0.35">
      <c r="A21" s="2" t="s">
        <v>51</v>
      </c>
      <c r="C21" s="27" t="s">
        <v>122</v>
      </c>
    </row>
    <row r="22" spans="1:3" ht="20.100000000000001" customHeight="1" thickBot="1" x14ac:dyDescent="0.35">
      <c r="A22" s="2" t="s">
        <v>11</v>
      </c>
      <c r="C22" s="27" t="s">
        <v>123</v>
      </c>
    </row>
    <row r="23" spans="1:3" ht="20.100000000000001" customHeight="1" thickBot="1" x14ac:dyDescent="0.35">
      <c r="A23" s="2" t="s">
        <v>12</v>
      </c>
      <c r="C23" s="27" t="s">
        <v>124</v>
      </c>
    </row>
    <row r="24" spans="1:3" ht="20.100000000000001" customHeight="1" thickBot="1" x14ac:dyDescent="0.35">
      <c r="A24" s="2" t="s">
        <v>15</v>
      </c>
      <c r="C24" s="27" t="s">
        <v>125</v>
      </c>
    </row>
    <row r="25" spans="1:3" ht="20.100000000000001" customHeight="1" thickBot="1" x14ac:dyDescent="0.35">
      <c r="A25" s="2" t="s">
        <v>28</v>
      </c>
      <c r="C25" s="27" t="s">
        <v>126</v>
      </c>
    </row>
    <row r="26" spans="1:3" ht="20.100000000000001" customHeight="1" thickBot="1" x14ac:dyDescent="0.35">
      <c r="A26" s="2" t="s">
        <v>29</v>
      </c>
      <c r="C26" s="27" t="s">
        <v>127</v>
      </c>
    </row>
    <row r="27" spans="1:3" ht="20.100000000000001" customHeight="1" thickBot="1" x14ac:dyDescent="0.35">
      <c r="A27" s="2" t="s">
        <v>13</v>
      </c>
      <c r="C27" s="27" t="s">
        <v>128</v>
      </c>
    </row>
    <row r="28" spans="1:3" ht="20.100000000000001" customHeight="1" thickBot="1" x14ac:dyDescent="0.35">
      <c r="A28" s="2" t="s">
        <v>30</v>
      </c>
      <c r="C28" s="27" t="s">
        <v>129</v>
      </c>
    </row>
    <row r="29" spans="1:3" ht="20.100000000000001" customHeight="1" thickBot="1" x14ac:dyDescent="0.35">
      <c r="A29" s="2" t="s">
        <v>31</v>
      </c>
      <c r="C29" s="2" t="s">
        <v>61</v>
      </c>
    </row>
    <row r="30" spans="1:3" ht="20.100000000000001" customHeight="1" thickBot="1" x14ac:dyDescent="0.35">
      <c r="A30" s="2" t="s">
        <v>32</v>
      </c>
      <c r="C30" s="2" t="s">
        <v>61</v>
      </c>
    </row>
    <row r="31" spans="1:3" ht="20.100000000000001" customHeight="1" thickBot="1" x14ac:dyDescent="0.35">
      <c r="A31" s="2" t="s">
        <v>33</v>
      </c>
      <c r="C31" s="2" t="s">
        <v>61</v>
      </c>
    </row>
    <row r="32" spans="1:3" ht="20.100000000000001" customHeight="1" thickBot="1" x14ac:dyDescent="0.35">
      <c r="A32" s="2" t="s">
        <v>16</v>
      </c>
      <c r="C32" s="2" t="s">
        <v>61</v>
      </c>
    </row>
    <row r="33" spans="1:9" ht="20.100000000000001" customHeight="1" thickBot="1" x14ac:dyDescent="0.35">
      <c r="A33" s="2" t="s">
        <v>14</v>
      </c>
      <c r="C33" s="2" t="s">
        <v>61</v>
      </c>
    </row>
    <row r="34" spans="1:9" ht="20.100000000000001" customHeight="1" thickBot="1" x14ac:dyDescent="0.35">
      <c r="A34" s="2" t="s">
        <v>34</v>
      </c>
      <c r="C34" s="2" t="s">
        <v>61</v>
      </c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62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8" t="s">
        <v>130</v>
      </c>
    </row>
    <row r="200" spans="1:1" ht="20.100000000000001" customHeight="1" x14ac:dyDescent="0.3">
      <c r="A200" s="28" t="s">
        <v>131</v>
      </c>
    </row>
    <row r="201" spans="1:1" ht="20.100000000000001" customHeight="1" x14ac:dyDescent="0.3">
      <c r="A201" s="28" t="s">
        <v>132</v>
      </c>
    </row>
    <row r="202" spans="1:1" ht="20.100000000000001" customHeight="1" x14ac:dyDescent="0.3">
      <c r="A202" s="28" t="s">
        <v>133</v>
      </c>
    </row>
    <row r="203" spans="1:1" ht="20.100000000000001" customHeight="1" x14ac:dyDescent="0.3">
      <c r="A203" s="28" t="s">
        <v>134</v>
      </c>
    </row>
    <row r="204" spans="1:1" ht="20.100000000000001" customHeight="1" x14ac:dyDescent="0.3">
      <c r="A204" s="28" t="s">
        <v>135</v>
      </c>
    </row>
    <row r="205" spans="1:1" ht="20.100000000000001" customHeight="1" x14ac:dyDescent="0.3">
      <c r="A205" s="28" t="s">
        <v>136</v>
      </c>
    </row>
    <row r="206" spans="1:1" ht="20.100000000000001" customHeight="1" x14ac:dyDescent="0.3">
      <c r="A206" s="28" t="s">
        <v>137</v>
      </c>
    </row>
    <row r="207" spans="1:1" ht="20.100000000000001" customHeight="1" x14ac:dyDescent="0.3">
      <c r="A207" s="28" t="s">
        <v>138</v>
      </c>
    </row>
    <row r="208" spans="1:1" ht="20.100000000000001" customHeight="1" x14ac:dyDescent="0.3">
      <c r="A208" s="29" t="s">
        <v>139</v>
      </c>
    </row>
    <row r="209" spans="1:1" ht="20.100000000000001" customHeight="1" x14ac:dyDescent="0.3">
      <c r="A209" s="29" t="s">
        <v>140</v>
      </c>
    </row>
    <row r="210" spans="1:1" ht="20.100000000000001" customHeight="1" x14ac:dyDescent="0.3">
      <c r="A210" s="28" t="s">
        <v>141</v>
      </c>
    </row>
    <row r="211" spans="1:1" ht="20.100000000000001" customHeight="1" x14ac:dyDescent="0.3">
      <c r="A211" s="28" t="s">
        <v>142</v>
      </c>
    </row>
    <row r="212" spans="1:1" ht="20.100000000000001" customHeight="1" x14ac:dyDescent="0.3">
      <c r="A212" s="28" t="s">
        <v>143</v>
      </c>
    </row>
    <row r="213" spans="1:1" ht="20.100000000000001" customHeight="1" x14ac:dyDescent="0.3">
      <c r="A213" s="28" t="s">
        <v>144</v>
      </c>
    </row>
    <row r="214" spans="1:1" ht="20.100000000000001" customHeight="1" x14ac:dyDescent="0.3">
      <c r="A214" s="28" t="s">
        <v>145</v>
      </c>
    </row>
    <row r="215" spans="1:1" ht="20.100000000000001" customHeight="1" x14ac:dyDescent="0.3">
      <c r="A215" s="28" t="s">
        <v>146</v>
      </c>
    </row>
    <row r="216" spans="1:1" ht="20.100000000000001" customHeight="1" x14ac:dyDescent="0.3">
      <c r="A216" s="28" t="s">
        <v>147</v>
      </c>
    </row>
    <row r="217" spans="1:1" ht="20.100000000000001" customHeight="1" x14ac:dyDescent="0.3">
      <c r="A217" s="28" t="s">
        <v>148</v>
      </c>
    </row>
    <row r="218" spans="1:1" ht="20.100000000000001" customHeight="1" x14ac:dyDescent="0.3">
      <c r="A218" s="28" t="s">
        <v>149</v>
      </c>
    </row>
    <row r="219" spans="1:1" ht="20.100000000000001" customHeight="1" x14ac:dyDescent="0.3">
      <c r="A219" s="28" t="s">
        <v>150</v>
      </c>
    </row>
    <row r="220" spans="1:1" ht="20.100000000000001" customHeight="1" x14ac:dyDescent="0.3">
      <c r="A220" s="28" t="s">
        <v>151</v>
      </c>
    </row>
    <row r="221" spans="1:1" ht="20.100000000000001" customHeight="1" x14ac:dyDescent="0.3">
      <c r="A221" s="28" t="s">
        <v>152</v>
      </c>
    </row>
    <row r="222" spans="1:1" ht="20.100000000000001" customHeight="1" x14ac:dyDescent="0.3">
      <c r="A222" s="28" t="s">
        <v>153</v>
      </c>
    </row>
    <row r="223" spans="1:1" ht="20.100000000000001" customHeight="1" x14ac:dyDescent="0.3">
      <c r="A223" s="28" t="s">
        <v>154</v>
      </c>
    </row>
    <row r="224" spans="1:1" ht="20.100000000000001" customHeight="1" x14ac:dyDescent="0.3">
      <c r="A224" s="28" t="s">
        <v>155</v>
      </c>
    </row>
    <row r="225" spans="1:1" ht="20.100000000000001" customHeight="1" x14ac:dyDescent="0.3">
      <c r="A225" s="28" t="s">
        <v>156</v>
      </c>
    </row>
    <row r="226" spans="1:1" ht="20.100000000000001" customHeight="1" x14ac:dyDescent="0.3">
      <c r="A226" s="28" t="s">
        <v>157</v>
      </c>
    </row>
    <row r="227" spans="1:1" ht="20.100000000000001" customHeight="1" x14ac:dyDescent="0.3">
      <c r="A227" s="28" t="s">
        <v>158</v>
      </c>
    </row>
    <row r="228" spans="1:1" ht="20.100000000000001" customHeight="1" x14ac:dyDescent="0.3">
      <c r="A228" s="28" t="s">
        <v>159</v>
      </c>
    </row>
    <row r="229" spans="1:1" ht="20.100000000000001" customHeight="1" x14ac:dyDescent="0.3">
      <c r="A229" s="28" t="s">
        <v>160</v>
      </c>
    </row>
    <row r="230" spans="1:1" ht="20.100000000000001" customHeight="1" x14ac:dyDescent="0.3">
      <c r="A230" s="28" t="s">
        <v>161</v>
      </c>
    </row>
    <row r="231" spans="1:1" ht="20.100000000000001" customHeight="1" x14ac:dyDescent="0.3">
      <c r="A231" s="28" t="s">
        <v>162</v>
      </c>
    </row>
    <row r="232" spans="1:1" ht="20.100000000000001" customHeight="1" x14ac:dyDescent="0.3">
      <c r="A232" s="28" t="s">
        <v>163</v>
      </c>
    </row>
    <row r="233" spans="1:1" ht="20.100000000000001" customHeight="1" x14ac:dyDescent="0.3">
      <c r="A233" s="28" t="s">
        <v>164</v>
      </c>
    </row>
    <row r="234" spans="1:1" ht="20.100000000000001" customHeight="1" x14ac:dyDescent="0.3">
      <c r="A234" s="28" t="s">
        <v>165</v>
      </c>
    </row>
    <row r="235" spans="1:1" ht="20.100000000000001" customHeight="1" x14ac:dyDescent="0.3">
      <c r="A235" s="30" t="s">
        <v>166</v>
      </c>
    </row>
    <row r="236" spans="1:1" ht="20.100000000000001" customHeight="1" x14ac:dyDescent="0.3">
      <c r="A236" s="28" t="s">
        <v>167</v>
      </c>
    </row>
    <row r="237" spans="1:1" ht="20.100000000000001" customHeight="1" x14ac:dyDescent="0.3">
      <c r="A237" s="28" t="s">
        <v>168</v>
      </c>
    </row>
    <row r="238" spans="1:1" ht="20.100000000000001" customHeight="1" x14ac:dyDescent="0.3">
      <c r="A238" s="28" t="s">
        <v>169</v>
      </c>
    </row>
    <row r="239" spans="1:1" ht="20.100000000000001" customHeight="1" x14ac:dyDescent="0.3">
      <c r="A239" s="28" t="s">
        <v>170</v>
      </c>
    </row>
    <row r="240" spans="1:1" ht="20.100000000000001" customHeight="1" x14ac:dyDescent="0.3">
      <c r="A240" s="28" t="s">
        <v>171</v>
      </c>
    </row>
    <row r="241" spans="1:1" ht="20.100000000000001" customHeight="1" x14ac:dyDescent="0.3">
      <c r="A241" s="28" t="s">
        <v>172</v>
      </c>
    </row>
    <row r="242" spans="1:1" ht="20.100000000000001" customHeight="1" x14ac:dyDescent="0.3">
      <c r="A242" s="28" t="s">
        <v>173</v>
      </c>
    </row>
    <row r="243" spans="1:1" ht="20.100000000000001" customHeight="1" x14ac:dyDescent="0.3">
      <c r="A243" s="28" t="s">
        <v>174</v>
      </c>
    </row>
    <row r="244" spans="1:1" ht="20.100000000000001" customHeight="1" x14ac:dyDescent="0.3">
      <c r="A244" s="28" t="s">
        <v>175</v>
      </c>
    </row>
    <row r="245" spans="1:1" ht="20.100000000000001" customHeight="1" x14ac:dyDescent="0.3">
      <c r="A245" s="28" t="s">
        <v>176</v>
      </c>
    </row>
    <row r="246" spans="1:1" ht="20.100000000000001" customHeight="1" x14ac:dyDescent="0.3">
      <c r="A246" s="28" t="s">
        <v>177</v>
      </c>
    </row>
    <row r="247" spans="1:1" ht="20.100000000000001" customHeight="1" x14ac:dyDescent="0.3">
      <c r="A247" s="28" t="s">
        <v>168</v>
      </c>
    </row>
    <row r="248" spans="1:1" ht="20.100000000000001" customHeight="1" x14ac:dyDescent="0.3">
      <c r="A248" s="28" t="s">
        <v>178</v>
      </c>
    </row>
    <row r="249" spans="1:1" ht="20.100000000000001" customHeight="1" x14ac:dyDescent="0.3">
      <c r="A249" s="28" t="s">
        <v>179</v>
      </c>
    </row>
    <row r="250" spans="1:1" ht="20.100000000000001" customHeight="1" x14ac:dyDescent="0.3">
      <c r="A250" s="30" t="s">
        <v>180</v>
      </c>
    </row>
    <row r="251" spans="1:1" ht="20.100000000000001" customHeight="1" x14ac:dyDescent="0.3">
      <c r="A251" s="31" t="s">
        <v>181</v>
      </c>
    </row>
    <row r="252" spans="1:1" ht="20.100000000000001" customHeight="1" x14ac:dyDescent="0.3">
      <c r="A252" s="28" t="s">
        <v>182</v>
      </c>
    </row>
    <row r="253" spans="1:1" ht="20.100000000000001" customHeight="1" x14ac:dyDescent="0.3">
      <c r="A253" s="28" t="s">
        <v>183</v>
      </c>
    </row>
    <row r="254" spans="1:1" ht="20.100000000000001" customHeight="1" x14ac:dyDescent="0.3">
      <c r="A254" s="32" t="s">
        <v>184</v>
      </c>
    </row>
    <row r="255" spans="1:1" ht="20.100000000000001" customHeight="1" x14ac:dyDescent="0.3">
      <c r="A255" s="32" t="s">
        <v>185</v>
      </c>
    </row>
    <row r="256" spans="1:1" ht="20.100000000000001" customHeight="1" x14ac:dyDescent="0.3">
      <c r="A256" s="33" t="s">
        <v>186</v>
      </c>
    </row>
    <row r="257" spans="1:1" ht="20.100000000000001" customHeight="1" x14ac:dyDescent="0.3">
      <c r="A257" s="28" t="s">
        <v>187</v>
      </c>
    </row>
    <row r="258" spans="1:1" ht="20.100000000000001" customHeight="1" x14ac:dyDescent="0.3">
      <c r="A258" s="33" t="s">
        <v>188</v>
      </c>
    </row>
    <row r="259" spans="1:1" ht="20.100000000000001" customHeight="1" x14ac:dyDescent="0.3">
      <c r="A259" s="28" t="s">
        <v>189</v>
      </c>
    </row>
    <row r="260" spans="1:1" ht="20.100000000000001" customHeight="1" x14ac:dyDescent="0.3">
      <c r="A260" s="33" t="s">
        <v>190</v>
      </c>
    </row>
    <row r="261" spans="1:1" ht="20.100000000000001" customHeight="1" x14ac:dyDescent="0.3">
      <c r="A261" s="28" t="s">
        <v>191</v>
      </c>
    </row>
    <row r="262" spans="1:1" ht="20.100000000000001" customHeight="1" x14ac:dyDescent="0.3">
      <c r="A262" s="28" t="s">
        <v>192</v>
      </c>
    </row>
    <row r="263" spans="1:1" ht="20.100000000000001" customHeight="1" x14ac:dyDescent="0.3">
      <c r="A263" s="33" t="s">
        <v>193</v>
      </c>
    </row>
    <row r="264" spans="1:1" ht="20.100000000000001" customHeight="1" x14ac:dyDescent="0.3">
      <c r="A264" s="33" t="s">
        <v>194</v>
      </c>
    </row>
    <row r="265" spans="1:1" ht="20.100000000000001" customHeight="1" x14ac:dyDescent="0.3">
      <c r="A265" s="33" t="s">
        <v>195</v>
      </c>
    </row>
    <row r="266" spans="1:1" ht="20.100000000000001" customHeight="1" x14ac:dyDescent="0.3">
      <c r="A266" s="28" t="s">
        <v>196</v>
      </c>
    </row>
    <row r="267" spans="1:1" ht="20.100000000000001" customHeight="1" x14ac:dyDescent="0.3">
      <c r="A267" s="28" t="s">
        <v>197</v>
      </c>
    </row>
    <row r="268" spans="1:1" ht="20.100000000000001" customHeight="1" x14ac:dyDescent="0.3">
      <c r="A268" s="28" t="s">
        <v>198</v>
      </c>
    </row>
    <row r="269" spans="1:1" ht="20.100000000000001" customHeight="1" x14ac:dyDescent="0.3">
      <c r="A269" s="28" t="s">
        <v>199</v>
      </c>
    </row>
    <row r="270" spans="1:1" ht="20.100000000000001" customHeight="1" x14ac:dyDescent="0.3">
      <c r="A270" s="33" t="s">
        <v>200</v>
      </c>
    </row>
    <row r="271" spans="1:1" ht="20.100000000000001" customHeight="1" x14ac:dyDescent="0.3">
      <c r="A271" s="33" t="s">
        <v>201</v>
      </c>
    </row>
    <row r="272" spans="1:1" ht="20.100000000000001" customHeight="1" x14ac:dyDescent="0.3">
      <c r="A272" s="28" t="s">
        <v>202</v>
      </c>
    </row>
    <row r="273" spans="1:1" ht="20.100000000000001" customHeight="1" x14ac:dyDescent="0.3">
      <c r="A273" s="33" t="s">
        <v>203</v>
      </c>
    </row>
    <row r="274" spans="1:1" ht="20.100000000000001" customHeight="1" x14ac:dyDescent="0.3">
      <c r="A274" s="33" t="s">
        <v>204</v>
      </c>
    </row>
    <row r="275" spans="1:1" ht="20.100000000000001" customHeight="1" x14ac:dyDescent="0.3">
      <c r="A275" s="28" t="s">
        <v>205</v>
      </c>
    </row>
    <row r="276" spans="1:1" ht="20.100000000000001" customHeight="1" x14ac:dyDescent="0.3">
      <c r="A276" s="28" t="s">
        <v>206</v>
      </c>
    </row>
    <row r="277" spans="1:1" ht="20.100000000000001" customHeight="1" x14ac:dyDescent="0.3">
      <c r="A277" s="33" t="s">
        <v>207</v>
      </c>
    </row>
    <row r="278" spans="1:1" ht="20.100000000000001" customHeight="1" x14ac:dyDescent="0.3">
      <c r="A278" s="28" t="s">
        <v>208</v>
      </c>
    </row>
    <row r="279" spans="1:1" ht="20.100000000000001" customHeight="1" x14ac:dyDescent="0.3">
      <c r="A279" s="28" t="s">
        <v>209</v>
      </c>
    </row>
    <row r="280" spans="1:1" ht="20.100000000000001" customHeight="1" x14ac:dyDescent="0.3">
      <c r="A280" s="28" t="s">
        <v>210</v>
      </c>
    </row>
    <row r="281" spans="1:1" ht="20.100000000000001" customHeight="1" x14ac:dyDescent="0.3">
      <c r="A281" s="28" t="s">
        <v>211</v>
      </c>
    </row>
    <row r="282" spans="1:1" ht="20.100000000000001" customHeight="1" x14ac:dyDescent="0.3">
      <c r="A282" s="33" t="s">
        <v>212</v>
      </c>
    </row>
    <row r="283" spans="1:1" ht="20.100000000000001" customHeight="1" x14ac:dyDescent="0.3">
      <c r="A283" s="33" t="s">
        <v>213</v>
      </c>
    </row>
    <row r="284" spans="1:1" ht="20.100000000000001" customHeight="1" x14ac:dyDescent="0.3">
      <c r="A284" s="33" t="s">
        <v>214</v>
      </c>
    </row>
    <row r="285" spans="1:1" ht="20.100000000000001" customHeight="1" thickBot="1" x14ac:dyDescent="0.35">
      <c r="A285" s="28" t="s">
        <v>215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2025-10-28T04:32:34Z</dcterms:modified>
</cp:coreProperties>
</file>