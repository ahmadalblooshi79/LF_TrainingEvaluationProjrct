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4C227AD-972B-4F8E-9E99-9C33E23C41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 s="1"/>
  <c r="G17" i="2"/>
  <c r="H17" i="2" s="1"/>
  <c r="G18" i="2"/>
  <c r="H18" i="2" s="1"/>
  <c r="G19" i="2"/>
  <c r="H19" i="2" s="1"/>
  <c r="G21" i="2"/>
  <c r="H21" i="2"/>
  <c r="G22" i="2"/>
  <c r="H22" i="2" s="1"/>
  <c r="G23" i="2"/>
  <c r="H23" i="2"/>
  <c r="G24" i="2"/>
  <c r="H24" i="2" s="1"/>
  <c r="G26" i="2"/>
  <c r="H26" i="2" s="1"/>
  <c r="G27" i="2"/>
  <c r="H27" i="2" s="1"/>
  <c r="G28" i="2"/>
  <c r="H28" i="2"/>
  <c r="G29" i="2"/>
  <c r="H29" i="2" s="1"/>
  <c r="G30" i="2"/>
  <c r="H30" i="2"/>
  <c r="F31" i="2"/>
  <c r="E31" i="2"/>
  <c r="E32" i="2" s="1"/>
  <c r="E33" i="2" s="1"/>
</calcChain>
</file>

<file path=xl/sharedStrings.xml><?xml version="1.0" encoding="utf-8"?>
<sst xmlns="http://schemas.openxmlformats.org/spreadsheetml/2006/main" count="272" uniqueCount="204">
  <si>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</si>
  <si>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</si>
  <si>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</si>
  <si>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</si>
  <si>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</si>
  <si>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</si>
  <si>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</si>
  <si>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</si>
  <si>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</si>
  <si>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</si>
  <si>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</si>
  <si>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</si>
  <si>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</si>
  <si>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</si>
  <si>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</si>
  <si>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</si>
  <si>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</si>
  <si>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</si>
  <si>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</si>
  <si>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</si>
  <si>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</si>
  <si>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</si>
  <si>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</si>
  <si>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</si>
  <si>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</si>
  <si>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</si>
  <si>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</si>
  <si>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</si>
  <si>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</si>
  <si>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</si>
  <si>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</si>
  <si>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</si>
  <si>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</si>
  <si>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</si>
  <si>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</si>
  <si>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</si>
  <si>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</si>
  <si>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</si>
  <si>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</si>
  <si>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</si>
  <si>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</si>
  <si>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</si>
  <si>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</si>
  <si>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</si>
  <si>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</si>
  <si>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</si>
  <si>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</si>
  <si>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</si>
  <si>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</si>
  <si>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</si>
  <si>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</si>
  <si>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</si>
  <si>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</si>
  <si>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</si>
  <si>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</si>
  <si>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</si>
  <si>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</si>
  <si>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</si>
  <si>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</si>
  <si>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</si>
  <si>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</si>
  <si>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</si>
  <si>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</si>
  <si>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</si>
  <si>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</si>
  <si>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</si>
  <si>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</si>
  <si>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</si>
  <si>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</si>
  <si>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</si>
  <si>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</si>
  <si>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</si>
  <si>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</si>
  <si>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</si>
  <si>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</si>
  <si>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</si>
  <si>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</si>
  <si>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</si>
  <si>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</si>
  <si>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</si>
  <si>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</si>
  <si>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</si>
  <si>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</si>
  <si>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</si>
  <si>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</si>
  <si>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</si>
  <si>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</si>
  <si>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</si>
  <si>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</si>
  <si>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</si>
  <si>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</si>
  <si>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</si>
  <si>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</si>
  <si>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</si>
  <si>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</si>
  <si>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</si>
  <si>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</si>
  <si>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</si>
  <si>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</si>
  <si>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</si>
  <si>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</si>
  <si>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</si>
  <si>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</si>
  <si>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</si>
  <si>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</si>
  <si>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</si>
  <si>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</si>
  <si>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</si>
  <si>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</si>
  <si>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</si>
  <si>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</si>
  <si>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</si>
  <si>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</si>
  <si>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</si>
  <si>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</si>
  <si>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</si>
  <si>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</si>
  <si>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</si>
  <si>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</si>
  <si>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</si>
  <si>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</si>
  <si>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</si>
  <si>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</si>
  <si>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</si>
  <si>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</si>
  <si>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</si>
  <si>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</si>
  <si>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</si>
  <si>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</si>
  <si>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</si>
  <si>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</si>
  <si>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</si>
  <si>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</si>
  <si>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</si>
  <si>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</si>
  <si>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</si>
  <si>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</si>
  <si>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</si>
  <si>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</si>
  <si>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</si>
  <si>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</si>
  <si>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</si>
  <si>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</si>
  <si>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</si>
  <si>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</si>
  <si>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</si>
  <si>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</si>
  <si>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</si>
  <si>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</si>
  <si>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</si>
  <si>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</si>
  <si>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</si>
  <si>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</si>
  <si>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</si>
  <si>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</si>
  <si>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</si>
  <si>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</si>
  <si>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</si>
  <si>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</si>
  <si>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</si>
  <si>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</si>
  <si>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</si>
  <si>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</si>
  <si>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</si>
  <si>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</si>
  <si>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</si>
  <si>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</si>
  <si>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</si>
  <si>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</si>
  <si>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</si>
  <si>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</si>
  <si>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</si>
  <si>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</si>
  <si>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</si>
  <si>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</si>
  <si>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</si>
  <si>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</si>
  <si>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</si>
  <si>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</si>
  <si>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</si>
  <si>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السجلات والوثائق.</t>
    </r>
  </si>
  <si>
    <t>أ.   مدى استكمال المرتب من الآليات ونسبة الصلاحية.</t>
  </si>
  <si>
    <t>ب. وجود كشف معتمد من القائد بالمرتب والموجود ونسبة الصلاحية للآليات.</t>
  </si>
  <si>
    <t>جـ. وجود وإدامة سجلات الصيانة الدورية لكل آلية.</t>
  </si>
  <si>
    <t>د.  وجود تعليمات وإجراءات الصيانة الدورية واللوحات الإرشادية.</t>
  </si>
  <si>
    <t>هـ. وجود وإدامة السجلات الخاصة بكل آلية بواسطة الطاقم وتصديق الضابط المسئول بالإضافة لسندات الاستلام والتسليم وتصديقها وحفظها.</t>
  </si>
  <si>
    <t>و.  وجود وإدامة سجل تسليم واستلام الآليات.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</si>
  <si>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مجموعة الجسم.</t>
    </r>
  </si>
  <si>
    <t>أ.   التأكد من الفحص الداخلي والخارجي (النظافة، النواقص، الأضرار، الصبغ إلخ...).</t>
  </si>
  <si>
    <t>ب. التأكد من صلاحية الإطارات ونظام ضغط الهواء ونفخ الإطارات.</t>
  </si>
  <si>
    <t>جـ. وجود صناديق العدة ومحتوياتها وصلاحية الطفاية اليدوية.</t>
  </si>
  <si>
    <t>د.  وجود وصلاحية أجهزة الرؤية (المراقيب، المناظير).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</si>
  <si>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الزيوت / السوائل.</t>
    </r>
  </si>
  <si>
    <t>أ.   التأكد من مستـوى الزيـت / الماء (المحرك، نظام ناقل الحركـة، الفرامـل، المقــود، البطاريات، المبرد، عمود ناقل الحركة، نظام الهيدروليك).</t>
  </si>
  <si>
    <t>ب. التأكد من عدم تسرّب الزيت / الماء من الأجزاء.</t>
  </si>
  <si>
    <t>جـ. التقيد بتوقيتات تغيير الزيت / الماء.</t>
  </si>
  <si>
    <t>د.  التأكد من التشحيم والتزييت.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</si>
  <si>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الناقلة ظبيان.</t>
    </r>
  </si>
  <si>
    <t>أ.   الفحوصات ما قبل التشغيل (فحص الزيوت، فحص سائل التبريد).</t>
  </si>
  <si>
    <t>ب. مكونات الناقلة من الخارج.</t>
  </si>
  <si>
    <t>جـ. تشغيل المحرك (تشغيل مفتاح الكهرباء، دفع قاطع الوقود، الضغط على البوق مرتان، الضغط على مفتاح التشغيل).</t>
  </si>
  <si>
    <t>د.  اجراءات السياقة (تجديد اتجاه السير، الدعس على الفرامل، اختيار الغيار المناسب، الضغط على البوق للتحذير، تحريك الناقلة).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</si>
  <si>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المستوى الفني للطاقم.</t>
    </r>
    <r>
      <rPr>
        <sz val="12"/>
        <color rgb="FF000000"/>
        <rFont val="Arial"/>
        <family val="2"/>
      </rPr>
      <t xml:space="preserve"> التأكد من اكتمال الطاقم المؤهل نسبة لعدد الآليات.</t>
    </r>
  </si>
  <si>
    <t>تقييم الحالة الفنية للآليات ( أ ) لسرية هندسة الميدان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</si>
</sst>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141225</xdr:colOff>
      <xdr:row>33</xdr:row>
      <xdr:rowOff>468120</xdr:rowOff>
    </xdr:from>
    <xdr:to>
      <xdr:col>9</xdr:col>
      <xdr:colOff>46514</xdr:colOff>
      <xdr:row>34</xdr:row>
      <xdr:rowOff>581788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C470677-8098-A096-93C6-B971B4089873}"/>
                </a:ext>
              </a:extLst>
            </xdr14:cNvPr>
            <xdr14:cNvContentPartPr/>
          </xdr14:nvContentPartPr>
          <xdr14:nvPr macro=""/>
          <xdr14:xfrm>
            <a:off x="10398540305" y="16089120"/>
            <a:ext cx="1879560" cy="644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C470677-8098-A096-93C6-B971B40898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34185" y="16083000"/>
              <a:ext cx="1891800" cy="65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260015</xdr:colOff>
      <xdr:row>34</xdr:row>
      <xdr:rowOff>95428</xdr:rowOff>
    </xdr:from>
    <xdr:to>
      <xdr:col>7</xdr:col>
      <xdr:colOff>416255</xdr:colOff>
      <xdr:row>34</xdr:row>
      <xdr:rowOff>281548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4F1D2D7-AF76-358B-7BD7-6977629FD3F2}"/>
                </a:ext>
              </a:extLst>
            </xdr14:cNvPr>
            <xdr14:cNvContentPartPr/>
          </xdr14:nvContentPartPr>
          <xdr14:nvPr macro=""/>
          <xdr14:xfrm>
            <a:off x="10399486745" y="16247520"/>
            <a:ext cx="156240" cy="186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4F1D2D7-AF76-358B-7BD7-6977629FD3F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80625" y="16241400"/>
              <a:ext cx="16848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261825</xdr:colOff>
      <xdr:row>33</xdr:row>
      <xdr:rowOff>426360</xdr:rowOff>
    </xdr:from>
    <xdr:to>
      <xdr:col>8</xdr:col>
      <xdr:colOff>264684</xdr:colOff>
      <xdr:row>34</xdr:row>
      <xdr:rowOff>234388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7A00F28-0590-A959-4CF5-4152765BC3DF}"/>
                </a:ext>
              </a:extLst>
            </xdr14:cNvPr>
            <xdr14:cNvContentPartPr/>
          </xdr14:nvContentPartPr>
          <xdr14:nvPr macro=""/>
          <xdr14:xfrm>
            <a:off x="10398980225" y="16047360"/>
            <a:ext cx="1319040" cy="339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7A00F28-0590-A959-4CF5-4152765BC3D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974105" y="16041240"/>
              <a:ext cx="1331280" cy="351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07:05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4846 1020 2496,'0'0'0,"0"0"0,-2-2 1840,-3 1-543,3 0-905,-1-1-232,3 2-160,0-1 16,0-1-80,0 0 0,0-1 32,0 3 32,0-3-56,3 0-24,-1 0-48,3-1 32,-5 4 96,2-4-24,1-1-72,2 0-24,-2 0-48,-3 5 168,3-2-256,2-1 104,-1 1 72,-1 1-24,-3 1 104,7-3-49,2 2 25,-4-2 0,4 0 32,-9 3-8,3-3-24,9 0 0,-10 2-16,9-3 8,-11 4 32,5-3 0,11-2 8,-4 0 8,-8-1-8,-4 6-8,19-11 24,-7 6 0,-10-10 32,16 10-8,-18 5-48,12-15 49,-9 10 7,10-7-16,-8 9 8,-5 3-48,5-2 24,-5 0 16,5 1-16,-5 1 40,0 0-64,0 0 104,0 0-24,0 0-8,-5 0 0,5 0-72,-3 0 32,-4 0 8,-1 3 0,3-1-48,5-2 8,-15 5 16,4 7-16,2-9 0,-3 10 32,12-13-32,-14 4 64,0 12-40,-4-5 24,-2 0-32,20-11-16,-23 13-32,-5 1 72,3 3-56,-8 2 24,33-19-8,-32 18 0,1 4 0,1 0 0,-5 3 0,35-25 0,-33 27 0,-4 2-24,2 2-8,-5-1 0,40-30 32,-39 29 16,2-2 24,1-5 16,1-3 0,35-19-56,-27 15 32,-4-2-24,3-8-8,1 6 0,27-11 0,-27 0-56,4 3 96,0 1-8,5-1-16,18-3-16,-20 3 56,0 1-80,5-1-40,-3 0 64,18-3 0,-12 4 8,1-1 0,9 0 8,-6-3-8,8 0-8,-4 0 0,4 0-8,-3 0 88,3 0-8,0 0-72,0-2 96,0-2 16,0-2-40,12-9 48,-12 15-120,3-13 64,13 0 8,-4-3 48,-1 4-88,-11 12-32,14-13 104,-4 0-16,3 0-56,-1 0 32,-12 13-64,11-12 16,-6-1 8,7-1-8,-7 1 16,-5 13-32,11-13 16,-9 0 24,13-1-32,-13 3-32,-2 11 24,11-11-24,-9 6 24,10-9 8,-9 10 8,-3 4-16,12-13 8,-8 9-8,8 0-24,-10-2 48,-2 6-24,12-4 8,-9-1 0,-2 1 32,4 1-32,-5 3-8,2-1 0,-2 1 48,0 0 0,-2 0-32,2 0-16,-6 0 32,-9 0-48,3 4 8,-4 10 32,16-14-24,-19 5-16,-6 12 40,-1-5-32,-2 1 0,28-13 8,-28 14-16,3 1-40,-3 0-16,2 1 48,26-16 24,-26 15 0,-2 1 24,0 2 56,1-1-72,27-17-8,-26 17 48,-3-2-48,1-3 16,3 0 0,25-12-16,-26 4-40,6 12-8,-2-12-24,2 7 32,20-11 40,-21 3-24,2 9 16,5-10-8,0 1 32,14-3-16,-15 3 8,9 0 40,-6-3-32,12 0 8,0 0-24,0 0 56,0-4-16,0-2-16,12-11 8,-12 17-32,5-16 16,11-2 0,-2-4 24,2 0-40,-16 22 0,19-23-56,0 3 48,-6 2 8,1 1 8,-14 17-8,12-13 48,-7-1-40,6 3-16,-8 6 16,-3 5-8,12-12 16,-10 9 0,1-2 24,0 1 0,-3 4-40,3-4 16,-3 0 16,0 2 8,0 1-8,0 1-32,-14-2 8,2 2 8,-6 5-32,-4 9 0,22-14 16,-23 4-16,-2 15-16,2-7 24,-1 2 16,24-14-8,-31 13-8,4 1 8,-4-1 32,1 0 0,30-13-32,-30 13 40,4-9-24,1 10-8,1-10-24,24-4 16,-23 12-8,2-10 40,2 3-56,1-1 24,18-4 0,-19 3 24,5-3 8,4 3 0,-1-3-16,11 0-16,-2 0 88,-5 0-64,2 0 16,5-2 16,0 2-56,-2-1-16,2-3 64,0-1 16,0-7-72,0 12 8,0-5 24,0-6-48,0 5 0,2-8-16,-2 14 40,0-4 16,0-9 8,0 9 16,0-8-16,0 12-24,0-4 40,0-2-32,0 1 0,0-7 72,0 12-80,0-4 0,5-8 32,-5 9-16,0-3 16,0 6-32,0-6 40,0 2-56,2 0 16,-2 0-32,0 4 32,0-5-8,0 1 40,0 0-16,0 1-56,0 3 40,0-3-8,0-1 48,0 1-32,-2 2 8,2 1-16,-5-3 8,5 0-16,0 0 16,-2 0 48,2 3-56,0-3 40,-3-1-64,-2 0 0,3 0 8,2 4 16,-11-5-56,-1-6 16,-2 7 24,-7-2 24,21 6-8,-23-6-8,-5 1 32,-5 0-24,-7 4 8,40 1-8,-40 0 8,-6 0 0,-3 4-24,-7 13 40,56-17-24,-58 13 24,-5 4-32,-14 3 32,-2 1-72,79-21 48,-91 27-24,-2 1 16,-3 4-8,-7-1 32,103-31-16,-105 33 40,1-1-80,-9 4-32,2-1-16,111-35 88,-115 37-144,1 3 16,4-2 40,4 1 0,106-39 88,-106 38-72,3 0 40,-4 1 0,5 0 8,102-39 24,-108 36-48,6-5 40,6-6 40,3-7-56,93-18 24,-82 4-8,3-1 0,11-3-32,5-12 72,63 12-32,-56-17 8,8-4-40,1-5 24,4-2-40,43 28 48,-34-34-160,5-3-160,11-3-144,18-2-376,0 42 840,7-50-824,19-4 95,14-7 153,3-3 200,-43 64 376,61-67-392,9-6-96,12-5 48,12-3 128,-94 81 312,109-91-248,14-8 120,15-8 0,11-9-128,-149 116 256,161-119-168,14-3 24,12 1 16,20-2 56,-207 123 72,205-114-104,-205 114 104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07:06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70 105 64,'0'0'0,"10"-4"40,6-2-24,1-9-24,-17 15 8,27-13 0,-1-3 0,1 1-8,-3 2 8,-24 13 0,24-13-8,-5 9 8,-5 0-8,-2 2 8,-12 2 0,3 0-8,2 4 0,-1 11-16,-1-3 8,-3-12 16,0 16-16,0 3 8,-5-1 8,-2 3 0,7-21 0,-12 23 0,9 1 0,-9 2 0,8 1 0,4-27 0,-15 27 0,3 1 0,-2-1 0,-1 2 8,15-29-8,-21 25 8,1 1-8,-1-3 8,1-1-8,20-22 0,-19 20 0,-2 0 0,1-1-8,6-4 0,14-15 8,-15 15-8,8-11 8,5 7 0,-3-11 16,5 0-16,-5 0 32,5 0 24,-5 0 16,3-4 0,2 4-72,-5-6 56,5-9-16,0 0 0,0-3-16,0 18-24,0-21 16,0-2-8,5-1 8,0 1-8,-5 23-8,2-20 16,3 2-8,7 3 16,-12 4-24,0 11 0,5-4 8,-3-2-8,3 2-8,-3 2 0,-2 2 8,5 0 8,7 0-8,-12 0-8,12 3 0,-12-3 8,5 3-8,0 1 8,7 1-8,-12 6 8,0-11 0,0 3 0,0 1 0,0 9 16,-2-10-16,2-3 0,-5 12-16,-7-9 16,7 2-8,-7-1 0,12-4 8,-5 4 0,0 0 16,3-1 0,-3-3 8,5 0-24,0 0 32,0-1-24,5-3 0,14-8-8,-19 12 0,19-11 0,3-5-8,4-1 8,11-3 0,-37 20 0,33-21-16,1 0 16,-3 1 0,0 1-16,-31 19 16,27-17-16,-5 4 8,-6 2 0,-4 7-16,-12 4 24,5-5-8,7 1 0,-12 0 16,0 2 8,0 2-16,3-1 24,-3 1 16,0 0-32,-3 0 0,3 0-8,-5 0-8,3 4-8,-10 12 24,5-5 0,7-11-8,-17 13 0,5 3 8,-3-1-8,1 0-8,14-15 8,-12 14 8,7-1-8,0-9 8,1 7 0,4-11-8,-3 0 16,3 3-16,5-3 32,-5 0-32,5 0 0,7-1 8,0-4-8,2-7-16,-14 12 16,17-6-8,2-8 0,3 8 8,2-7-96,-24 13 96,24-4-456,-24 4 456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07:07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45 543 80,'0'0'0,"-12"-17"64,0 1 8,-2-1-32,14 17-40,-2-4 32,-3 0-16,5 1-8,0 3-16,0 0 8,0 0-8,0 0 0,2 0 16,3 0-16,-5 0 8,5 0 16,6 0-16,-8 0-48,1 0-200,-4 0 248</inkml:trace>
  <inkml:trace contextRef="#ctx0" brushRef="#br0" timeOffset="1">68 543 64,'0'0'0,"0"-1"56,0-1 8,0 2-64,-3-1 56,1-1-40,-3 0 8,3 0-8,2 2-16,-5-1 8,1-1 0,4 1-8,-5 1-16,5 0 16,-2 0-8,0 0 8,-1 0-8,3 0 16,0 0-8,0 0 16,0 3 0,0-3-16,0 3 16,5 1-32,0-1-8,-3 0-32,-2-3 56,14 0-40,-12 2 24,12 1-8,-9 0 32,-5-3-8,14 3 16,-2 0-8,4-3 0,0 0-8,-16 0 0,19 0 0,0-2-8,4-1 0,5-1 0,-28 4 8,28-5 16,9-8 0,5 1 16,8-2 8,-50 14-40,58-17 8,12-4-16,7 0-24,10-2-8,-87 23 40,93-24-40,2 0 8,11 0 16,4 0 0,-110 24 16,116-21-8,6 1 8,2 1-8,-1-2 8,-123 21 0,125-23-8,-4-2 8,-3 1 0,7-2 0,-125 26 0,128-27 8,3-1-16,-1-2-8,-4 3 8,-126 27 8,127-20-24,-6 6 16,-2 11 0,-9 3 0,-110 0 8,100 0 0,-9 12 0,-13-9 0,-8 9 0,-70-12 0,52 5 0,-13 7 0,-9-9 0,-6 9 0,-24-12 0,16 2 0,-14 11 0,3-9 0,-3 9 0,-2-13 0,0 4 0,-2 13 0,-3-1 0,5-16 0</inkml:trace>
  <inkml:trace contextRef="#ctx0" brushRef="#br0" timeOffset="2">3133 397 24,'0'0'0,"-62"21"48,-14 2 8,-22 6 8,98-29-64,-92 23 48,13-3 0,4-1-40,5-4-16,70-15 8,-65 16-8,4-2-16,3 0 24,6 2 8,6-1-16,46-15 8,-42 13 8,11-9-8,3 12 0,28-16 0,-19 3 16,5 1-16,10 0 16,4-4 8,0 3 8,0-3-32,4 0 96,13 3 16,-1 0 32,-16-3-144,24 3 112,6 0-40,2-1-72,6 1-96,-1 2-8,-37-5 104,36 4-112,-1 0 40,-5-1 72,-30-3 0,25 4 16,-6-1 8,-3 0-40,-4 0-32,-12-3 48,11 3-24,-8-1-24,-1 10 8,10-9 32,-12-3 8,0 16 0,0-2 0,-2 2 24,-10-2-16,12-14-8,-7 16-8,-7-2 16,12 2-8,-15 2-16,17-18 16,-11 23 8,4-2 64,-8 0-56,-1 3-288,16-24 272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5"/>
  <sheetViews>
    <sheetView rightToLeft="1" tabSelected="1" view="pageBreakPreview" topLeftCell="C3" zoomScale="130" zoomScaleNormal="100" zoomScaleSheetLayoutView="130" workbookViewId="0">
      <selection activeCell="E29" sqref="E2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203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3" t="s">
        <v>8</v>
      </c>
      <c r="C2" s="75" t="s">
        <v>12</v>
      </c>
      <c r="D2" s="75"/>
      <c r="E2" s="13" t="s">
        <v>7</v>
      </c>
      <c r="F2" s="70">
        <v>45929</v>
      </c>
      <c r="G2" s="70"/>
      <c r="H2" s="70"/>
      <c r="I2" s="70"/>
      <c r="J2" s="70"/>
    </row>
    <row r="3" spans="1:10" ht="30" customHeight="1" x14ac:dyDescent="0.3">
      <c r="B3" s="13" t="s">
        <v>9</v>
      </c>
      <c r="C3" s="75" t="s">
        <v>73</v>
      </c>
      <c r="D3" s="75"/>
      <c r="E3" s="13" t="s">
        <v>6</v>
      </c>
      <c r="F3" s="75" t="s">
        <v>119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1" t="s">
        <v>0</v>
      </c>
      <c r="C5" s="72"/>
      <c r="D5" s="72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3"/>
      <c r="C6" s="74"/>
      <c r="D6" s="74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78" t="s">
        <v>21</v>
      </c>
      <c r="C7" s="79"/>
      <c r="D7" s="79"/>
      <c r="E7" s="34" t="s">
        <v>18</v>
      </c>
      <c r="F7" s="34" t="s">
        <v>19</v>
      </c>
      <c r="G7" s="34" t="s">
        <v>22</v>
      </c>
      <c r="H7" s="34" t="s">
        <v>20</v>
      </c>
      <c r="I7" s="86" t="s">
        <v>25</v>
      </c>
      <c r="J7" s="87"/>
    </row>
    <row r="8" spans="1:10" ht="39.9" customHeight="1" x14ac:dyDescent="0.3">
      <c r="A8" s="11"/>
      <c r="B8" s="49" t="s">
        <v>180</v>
      </c>
      <c r="C8" s="50"/>
      <c r="D8" s="50"/>
      <c r="E8" s="30"/>
      <c r="F8" s="38"/>
      <c r="G8" s="39"/>
      <c r="H8" s="40"/>
      <c r="I8" s="51"/>
      <c r="J8" s="52"/>
    </row>
    <row r="9" spans="1:10" ht="39.9" customHeight="1" x14ac:dyDescent="0.3">
      <c r="A9" s="11"/>
      <c r="B9" s="45" t="s">
        <v>181</v>
      </c>
      <c r="C9" s="46"/>
      <c r="D9" s="46"/>
      <c r="E9" s="9">
        <v>10</v>
      </c>
      <c r="F9" s="27">
        <v>8.5</v>
      </c>
      <c r="G9" s="36">
        <f>IFERROR(F9/E9,"")</f>
        <v>0.85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9.9" customHeight="1" x14ac:dyDescent="0.3">
      <c r="A10" s="11"/>
      <c r="B10" s="45" t="s">
        <v>182</v>
      </c>
      <c r="C10" s="46"/>
      <c r="D10" s="46"/>
      <c r="E10" s="9">
        <v>5</v>
      </c>
      <c r="F10" s="27">
        <v>3.75</v>
      </c>
      <c r="G10" s="36">
        <f t="shared" ref="G10:G30" si="0">IFERROR(F10/E10,"")</f>
        <v>0.75</v>
      </c>
      <c r="H10" s="37" t="str">
        <f t="shared" ref="H10:H30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x14ac:dyDescent="0.3">
      <c r="A11" s="11"/>
      <c r="B11" s="45" t="s">
        <v>183</v>
      </c>
      <c r="C11" s="46"/>
      <c r="D11" s="46"/>
      <c r="E11" s="9">
        <v>5</v>
      </c>
      <c r="F11" s="27">
        <v>3.75</v>
      </c>
      <c r="G11" s="36">
        <f t="shared" si="0"/>
        <v>0.75</v>
      </c>
      <c r="H11" s="37" t="str">
        <f t="shared" si="1"/>
        <v>جيد</v>
      </c>
      <c r="I11" s="57"/>
      <c r="J11" s="58"/>
    </row>
    <row r="12" spans="1:10" ht="39.9" customHeight="1" x14ac:dyDescent="0.3">
      <c r="A12" s="11"/>
      <c r="B12" s="45" t="s">
        <v>184</v>
      </c>
      <c r="C12" s="46"/>
      <c r="D12" s="46"/>
      <c r="E12" s="9">
        <v>5</v>
      </c>
      <c r="F12" s="27">
        <v>4</v>
      </c>
      <c r="G12" s="36">
        <f t="shared" si="0"/>
        <v>0.8</v>
      </c>
      <c r="H12" s="37" t="str">
        <f t="shared" si="1"/>
        <v>جيد جداً</v>
      </c>
      <c r="I12" s="57"/>
      <c r="J12" s="58"/>
    </row>
    <row r="13" spans="1:10" ht="39.9" customHeight="1" x14ac:dyDescent="0.3">
      <c r="A13" s="11"/>
      <c r="B13" s="45" t="s">
        <v>185</v>
      </c>
      <c r="C13" s="46"/>
      <c r="D13" s="46"/>
      <c r="E13" s="9">
        <v>5</v>
      </c>
      <c r="F13" s="27">
        <v>3.5</v>
      </c>
      <c r="G13" s="36">
        <f t="shared" si="0"/>
        <v>0.7</v>
      </c>
      <c r="H13" s="37" t="str">
        <f t="shared" si="1"/>
        <v>جيد</v>
      </c>
      <c r="I13" s="57"/>
      <c r="J13" s="58"/>
    </row>
    <row r="14" spans="1:10" ht="39.9" customHeight="1" thickBot="1" x14ac:dyDescent="0.35">
      <c r="A14" s="11"/>
      <c r="B14" s="47" t="s">
        <v>186</v>
      </c>
      <c r="C14" s="48"/>
      <c r="D14" s="48"/>
      <c r="E14" s="31">
        <v>5</v>
      </c>
      <c r="F14" s="29">
        <v>3.5</v>
      </c>
      <c r="G14" s="41">
        <f t="shared" si="0"/>
        <v>0.7</v>
      </c>
      <c r="H14" s="42" t="str">
        <f t="shared" si="1"/>
        <v>جيد</v>
      </c>
      <c r="I14" s="59"/>
      <c r="J14" s="60"/>
    </row>
    <row r="15" spans="1:10" ht="39.9" customHeight="1" x14ac:dyDescent="0.3">
      <c r="A15" s="11"/>
      <c r="B15" s="49" t="s">
        <v>187</v>
      </c>
      <c r="C15" s="50"/>
      <c r="D15" s="50"/>
      <c r="E15" s="32"/>
      <c r="F15" s="38"/>
      <c r="G15" s="39"/>
      <c r="H15" s="40"/>
      <c r="I15" s="51"/>
      <c r="J15" s="52"/>
    </row>
    <row r="16" spans="1:10" ht="39.9" customHeight="1" x14ac:dyDescent="0.3">
      <c r="A16" s="11"/>
      <c r="B16" s="45" t="s">
        <v>188</v>
      </c>
      <c r="C16" s="46"/>
      <c r="D16" s="46"/>
      <c r="E16" s="9">
        <v>0</v>
      </c>
      <c r="F16" s="27" t="s">
        <v>17</v>
      </c>
      <c r="G16" s="36" t="str">
        <f t="shared" si="0"/>
        <v/>
      </c>
      <c r="H16" s="37" t="str">
        <f t="shared" si="1"/>
        <v>تم الإلغاء</v>
      </c>
      <c r="I16" s="57"/>
      <c r="J16" s="58"/>
    </row>
    <row r="17" spans="1:10" ht="39.9" customHeight="1" x14ac:dyDescent="0.3">
      <c r="A17" s="11"/>
      <c r="B17" s="45" t="s">
        <v>189</v>
      </c>
      <c r="C17" s="46"/>
      <c r="D17" s="46"/>
      <c r="E17" s="9">
        <v>0</v>
      </c>
      <c r="F17" s="27" t="s">
        <v>17</v>
      </c>
      <c r="G17" s="36" t="str">
        <f t="shared" si="0"/>
        <v/>
      </c>
      <c r="H17" s="37" t="str">
        <f t="shared" si="1"/>
        <v>تم الإلغاء</v>
      </c>
      <c r="I17" s="57"/>
      <c r="J17" s="58"/>
    </row>
    <row r="18" spans="1:10" ht="39.9" customHeight="1" x14ac:dyDescent="0.3">
      <c r="A18" s="11"/>
      <c r="B18" s="45" t="s">
        <v>190</v>
      </c>
      <c r="C18" s="46"/>
      <c r="D18" s="46"/>
      <c r="E18" s="9">
        <v>0</v>
      </c>
      <c r="F18" s="27" t="s">
        <v>17</v>
      </c>
      <c r="G18" s="36" t="str">
        <f t="shared" si="0"/>
        <v/>
      </c>
      <c r="H18" s="37" t="str">
        <f t="shared" si="1"/>
        <v>تم الإلغاء</v>
      </c>
      <c r="I18" s="57"/>
      <c r="J18" s="58"/>
    </row>
    <row r="19" spans="1:10" ht="39.9" customHeight="1" thickBot="1" x14ac:dyDescent="0.35">
      <c r="A19" s="11"/>
      <c r="B19" s="47" t="s">
        <v>191</v>
      </c>
      <c r="C19" s="48"/>
      <c r="D19" s="48"/>
      <c r="E19" s="31">
        <v>0</v>
      </c>
      <c r="F19" s="29" t="s">
        <v>17</v>
      </c>
      <c r="G19" s="41" t="str">
        <f t="shared" si="0"/>
        <v/>
      </c>
      <c r="H19" s="42" t="str">
        <f t="shared" si="1"/>
        <v>تم الإلغاء</v>
      </c>
      <c r="I19" s="59"/>
      <c r="J19" s="60"/>
    </row>
    <row r="20" spans="1:10" ht="39.9" customHeight="1" x14ac:dyDescent="0.3">
      <c r="A20" s="11"/>
      <c r="B20" s="49" t="s">
        <v>192</v>
      </c>
      <c r="C20" s="50"/>
      <c r="D20" s="50"/>
      <c r="E20" s="32"/>
      <c r="F20" s="38"/>
      <c r="G20" s="39"/>
      <c r="H20" s="40"/>
      <c r="I20" s="51"/>
      <c r="J20" s="52"/>
    </row>
    <row r="21" spans="1:10" ht="50.25" customHeight="1" x14ac:dyDescent="0.3">
      <c r="A21" s="11"/>
      <c r="B21" s="45" t="s">
        <v>193</v>
      </c>
      <c r="C21" s="46"/>
      <c r="D21" s="46"/>
      <c r="E21" s="9">
        <v>0</v>
      </c>
      <c r="F21" s="27" t="s">
        <v>17</v>
      </c>
      <c r="G21" s="36" t="str">
        <f t="shared" si="0"/>
        <v/>
      </c>
      <c r="H21" s="37" t="str">
        <f t="shared" si="1"/>
        <v>تم الإلغاء</v>
      </c>
      <c r="I21" s="57"/>
      <c r="J21" s="58"/>
    </row>
    <row r="22" spans="1:10" ht="39.9" customHeight="1" x14ac:dyDescent="0.3">
      <c r="A22" s="11"/>
      <c r="B22" s="45" t="s">
        <v>194</v>
      </c>
      <c r="C22" s="46"/>
      <c r="D22" s="46"/>
      <c r="E22" s="9">
        <v>0</v>
      </c>
      <c r="F22" s="27" t="s">
        <v>17</v>
      </c>
      <c r="G22" s="36" t="str">
        <f t="shared" si="0"/>
        <v/>
      </c>
      <c r="H22" s="37" t="str">
        <f t="shared" si="1"/>
        <v>تم الإلغاء</v>
      </c>
      <c r="I22" s="57"/>
      <c r="J22" s="58"/>
    </row>
    <row r="23" spans="1:10" ht="39.9" customHeight="1" x14ac:dyDescent="0.3">
      <c r="A23" s="11"/>
      <c r="B23" s="45" t="s">
        <v>195</v>
      </c>
      <c r="C23" s="46"/>
      <c r="D23" s="46"/>
      <c r="E23" s="9">
        <v>0</v>
      </c>
      <c r="F23" s="27" t="s">
        <v>17</v>
      </c>
      <c r="G23" s="36" t="str">
        <f t="shared" si="0"/>
        <v/>
      </c>
      <c r="H23" s="37" t="str">
        <f t="shared" si="1"/>
        <v>تم الإلغاء</v>
      </c>
      <c r="I23" s="57"/>
      <c r="J23" s="58"/>
    </row>
    <row r="24" spans="1:10" ht="39.9" customHeight="1" thickBot="1" x14ac:dyDescent="0.35">
      <c r="A24" s="11"/>
      <c r="B24" s="47" t="s">
        <v>196</v>
      </c>
      <c r="C24" s="48"/>
      <c r="D24" s="48"/>
      <c r="E24" s="31">
        <v>0</v>
      </c>
      <c r="F24" s="29" t="s">
        <v>17</v>
      </c>
      <c r="G24" s="41" t="str">
        <f t="shared" si="0"/>
        <v/>
      </c>
      <c r="H24" s="42" t="str">
        <f t="shared" si="1"/>
        <v>تم الإلغاء</v>
      </c>
      <c r="I24" s="59"/>
      <c r="J24" s="60"/>
    </row>
    <row r="25" spans="1:10" ht="39.9" customHeight="1" x14ac:dyDescent="0.3">
      <c r="A25" s="11"/>
      <c r="B25" s="49" t="s">
        <v>197</v>
      </c>
      <c r="C25" s="50"/>
      <c r="D25" s="50"/>
      <c r="E25" s="33"/>
      <c r="F25" s="38"/>
      <c r="G25" s="39"/>
      <c r="H25" s="40"/>
      <c r="I25" s="51"/>
      <c r="J25" s="52"/>
    </row>
    <row r="26" spans="1:10" ht="39.9" customHeight="1" x14ac:dyDescent="0.3">
      <c r="A26" s="11"/>
      <c r="B26" s="45" t="s">
        <v>198</v>
      </c>
      <c r="C26" s="46"/>
      <c r="D26" s="46"/>
      <c r="E26" s="9">
        <v>0</v>
      </c>
      <c r="F26" s="27" t="s">
        <v>17</v>
      </c>
      <c r="G26" s="36" t="str">
        <f t="shared" si="0"/>
        <v/>
      </c>
      <c r="H26" s="37" t="str">
        <f t="shared" si="1"/>
        <v>تم الإلغاء</v>
      </c>
      <c r="I26" s="57"/>
      <c r="J26" s="58"/>
    </row>
    <row r="27" spans="1:10" ht="39.9" customHeight="1" x14ac:dyDescent="0.3">
      <c r="A27" s="11"/>
      <c r="B27" s="45" t="s">
        <v>199</v>
      </c>
      <c r="C27" s="46"/>
      <c r="D27" s="46"/>
      <c r="E27" s="9">
        <v>0</v>
      </c>
      <c r="F27" s="27" t="s">
        <v>17</v>
      </c>
      <c r="G27" s="36" t="str">
        <f t="shared" si="0"/>
        <v/>
      </c>
      <c r="H27" s="37" t="str">
        <f t="shared" si="1"/>
        <v>تم الإلغاء</v>
      </c>
      <c r="I27" s="57"/>
      <c r="J27" s="58"/>
    </row>
    <row r="28" spans="1:10" ht="39.9" customHeight="1" x14ac:dyDescent="0.3">
      <c r="A28" s="11"/>
      <c r="B28" s="45" t="s">
        <v>200</v>
      </c>
      <c r="C28" s="46"/>
      <c r="D28" s="46"/>
      <c r="E28" s="9">
        <v>0</v>
      </c>
      <c r="F28" s="27" t="s">
        <v>17</v>
      </c>
      <c r="G28" s="36" t="str">
        <f t="shared" si="0"/>
        <v/>
      </c>
      <c r="H28" s="37" t="str">
        <f t="shared" si="1"/>
        <v>تم الإلغاء</v>
      </c>
      <c r="I28" s="57"/>
      <c r="J28" s="58"/>
    </row>
    <row r="29" spans="1:10" ht="39.9" customHeight="1" thickBot="1" x14ac:dyDescent="0.35">
      <c r="A29" s="11"/>
      <c r="B29" s="47" t="s">
        <v>201</v>
      </c>
      <c r="C29" s="48"/>
      <c r="D29" s="48"/>
      <c r="E29" s="31">
        <v>0</v>
      </c>
      <c r="F29" s="29" t="s">
        <v>17</v>
      </c>
      <c r="G29" s="41" t="str">
        <f t="shared" si="0"/>
        <v/>
      </c>
      <c r="H29" s="42" t="str">
        <f t="shared" si="1"/>
        <v>تم الإلغاء</v>
      </c>
      <c r="I29" s="59"/>
      <c r="J29" s="60"/>
    </row>
    <row r="30" spans="1:10" ht="39.9" customHeight="1" thickBot="1" x14ac:dyDescent="0.35">
      <c r="A30" s="11"/>
      <c r="B30" s="61" t="s">
        <v>202</v>
      </c>
      <c r="C30" s="62"/>
      <c r="D30" s="62"/>
      <c r="E30" s="10">
        <v>20</v>
      </c>
      <c r="F30" s="43">
        <v>15.75</v>
      </c>
      <c r="G30" s="44">
        <f t="shared" si="0"/>
        <v>0.78749999999999998</v>
      </c>
      <c r="H30" s="28" t="str">
        <f t="shared" si="1"/>
        <v>جيد</v>
      </c>
      <c r="I30" s="80"/>
      <c r="J30" s="81"/>
    </row>
    <row r="31" spans="1:10" ht="30" customHeight="1" thickBot="1" x14ac:dyDescent="0.35">
      <c r="A31" s="4"/>
      <c r="B31" s="53" t="s">
        <v>5</v>
      </c>
      <c r="C31" s="54"/>
      <c r="D31" s="54"/>
      <c r="E31" s="35">
        <f>SUM(E8:E30)</f>
        <v>55</v>
      </c>
      <c r="F31" s="35">
        <f>SUM(F8:F30)</f>
        <v>42.75</v>
      </c>
      <c r="G31" s="89"/>
      <c r="H31" s="90"/>
      <c r="I31" s="90"/>
      <c r="J31" s="91"/>
    </row>
    <row r="32" spans="1:10" ht="30" customHeight="1" thickBot="1" x14ac:dyDescent="0.35">
      <c r="A32" s="4"/>
      <c r="B32" s="55" t="s">
        <v>54</v>
      </c>
      <c r="C32" s="56"/>
      <c r="D32" s="56"/>
      <c r="E32" s="76">
        <f>F31/E31/100*100</f>
        <v>0.77727272727272723</v>
      </c>
      <c r="F32" s="76"/>
      <c r="G32" s="76"/>
      <c r="H32" s="76"/>
      <c r="I32" s="76"/>
      <c r="J32" s="77"/>
    </row>
    <row r="33" spans="1:10" ht="30" customHeight="1" thickBot="1" x14ac:dyDescent="0.35">
      <c r="A33" s="4"/>
      <c r="B33" s="55" t="s">
        <v>55</v>
      </c>
      <c r="C33" s="56"/>
      <c r="D33" s="56"/>
      <c r="E33" s="67" t="str">
        <f>_xlfn.IFS(E32&gt;=90%,"ممتاز",E32&gt;=80%,"جيد جداً",E32&gt;=70%,"جيد",E32&gt;=60%,"مقبول",E32&lt;60%,"راسب")</f>
        <v>جيد</v>
      </c>
      <c r="F33" s="67"/>
      <c r="G33" s="67"/>
      <c r="H33" s="67"/>
      <c r="I33" s="67"/>
      <c r="J33" s="68"/>
    </row>
    <row r="34" spans="1:10" ht="42" customHeight="1" x14ac:dyDescent="0.3">
      <c r="B34" s="63" t="s">
        <v>174</v>
      </c>
      <c r="C34" s="63"/>
      <c r="D34" s="63"/>
      <c r="E34" s="92" t="s">
        <v>52</v>
      </c>
      <c r="F34" s="92"/>
      <c r="G34" s="65" t="s">
        <v>119</v>
      </c>
      <c r="H34" s="65"/>
      <c r="I34" s="65"/>
      <c r="J34" s="65"/>
    </row>
    <row r="35" spans="1:10" ht="51" customHeight="1" x14ac:dyDescent="0.3">
      <c r="A35" s="5"/>
      <c r="B35" s="64"/>
      <c r="C35" s="64"/>
      <c r="D35" s="64"/>
      <c r="E35" s="88" t="s">
        <v>53</v>
      </c>
      <c r="F35" s="88"/>
      <c r="G35" s="66"/>
      <c r="H35" s="66"/>
      <c r="I35" s="66"/>
      <c r="J35" s="66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E35:F35"/>
    <mergeCell ref="G31:J31"/>
    <mergeCell ref="I20:J20"/>
    <mergeCell ref="I21:J21"/>
    <mergeCell ref="I22:J22"/>
    <mergeCell ref="I23:J23"/>
    <mergeCell ref="I24:J24"/>
    <mergeCell ref="I25:J25"/>
    <mergeCell ref="I26:J26"/>
    <mergeCell ref="I27:J27"/>
    <mergeCell ref="E34:F34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32:J32"/>
    <mergeCell ref="B7:D7"/>
    <mergeCell ref="I30:J30"/>
    <mergeCell ref="E5:H5"/>
    <mergeCell ref="I5:J6"/>
    <mergeCell ref="I7:J7"/>
    <mergeCell ref="B33:D3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B18:D18"/>
    <mergeCell ref="B19:D19"/>
    <mergeCell ref="B30:D30"/>
    <mergeCell ref="B20:D20"/>
    <mergeCell ref="I8:J8"/>
    <mergeCell ref="B31:D31"/>
    <mergeCell ref="B32:D32"/>
    <mergeCell ref="I10:J10"/>
    <mergeCell ref="I9:J9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B29:D29"/>
    <mergeCell ref="B21:D21"/>
    <mergeCell ref="B26:D26"/>
    <mergeCell ref="B27:D27"/>
    <mergeCell ref="B28:D28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58">
      <formula>$E33="مقبول"</formula>
    </cfRule>
    <cfRule type="expression" dxfId="12" priority="59">
      <formula>$E33="جيد"</formula>
    </cfRule>
    <cfRule type="expression" dxfId="11" priority="60">
      <formula>$E33="جيد جداً"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F10:F14 F21:F24 F16:F19 F26:F29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G34:J34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1068CC87-0ED0-42D8-9A44-7F5B7008F210}">
          <x14:formula1>
            <xm:f>'بيانات التقييم'!$A$111:$A$153</xm:f>
          </x14:formula1>
          <xm:sqref>F9</xm:sqref>
        </x14:dataValidation>
        <x14:dataValidation type="list" allowBlank="1" showInputMessage="1" showErrorMessage="1" xr:uid="{2F490D8C-9490-4FE7-8637-871DF6325C4F}">
          <x14:formula1>
            <xm:f>'بيانات التقييم'!$A$111:$A$193</xm:f>
          </x14:formula1>
          <xm:sqref>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2025-10-07T17:43:27Z</dcterms:modified>
</cp:coreProperties>
</file>