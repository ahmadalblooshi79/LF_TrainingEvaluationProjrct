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D077B745-9105-324F-9E2D-00AAFB1845C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/>
  <c r="G58" i="2"/>
  <c r="H58" i="2"/>
  <c r="G59" i="2"/>
  <c r="H59" i="2"/>
  <c r="F60" i="2"/>
  <c r="E60" i="2"/>
  <c r="E61" i="2"/>
  <c r="E62" i="2"/>
</calcChain>
</file>

<file path=xl/sharedStrings.xml><?xml version="1.0" encoding="utf-8"?>
<sst xmlns="http://schemas.openxmlformats.org/spreadsheetml/2006/main" count="289" uniqueCount="233">
  <si>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</si>
  <si>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</si>
  <si>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</si>
  <si>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</si>
  <si>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</si>
  <si>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</si>
  <si>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</si>
  <si>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</si>
  <si>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</si>
  <si>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</si>
  <si>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</si>
  <si>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</si>
  <si>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</si>
  <si>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</si>
  <si>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</si>
  <si>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</si>
  <si>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</si>
  <si>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</si>
  <si>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</si>
  <si>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</si>
  <si>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</si>
  <si>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</si>
  <si>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</si>
  <si>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</si>
  <si>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</si>
  <si>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</si>
  <si>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</si>
  <si>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</si>
  <si>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</si>
  <si>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</si>
  <si>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</si>
  <si>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</si>
  <si>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</si>
  <si>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</si>
  <si>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</si>
  <si>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</si>
  <si>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</si>
  <si>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</si>
  <si>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</si>
  <si>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</si>
  <si>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</si>
  <si>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</si>
  <si>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</si>
  <si>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</si>
  <si>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</si>
  <si>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</si>
  <si>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</si>
  <si>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</si>
  <si>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</si>
  <si>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</si>
  <si>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</si>
  <si>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</si>
  <si>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</si>
  <si>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</si>
  <si>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</si>
  <si>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</si>
  <si>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</si>
  <si>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</si>
  <si>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</si>
  <si>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</si>
  <si>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</si>
  <si>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</si>
  <si>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</si>
  <si>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</si>
  <si>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</si>
  <si>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</si>
  <si>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</si>
  <si>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</si>
  <si>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</si>
  <si>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</si>
  <si>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</si>
  <si>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</si>
  <si>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</si>
  <si>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</si>
  <si>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</si>
  <si>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</si>
  <si>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</si>
  <si>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</si>
  <si>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</si>
  <si>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</si>
  <si>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</si>
  <si>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</si>
  <si>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</si>
  <si>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</si>
  <si>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</si>
  <si>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</si>
  <si>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</si>
  <si>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</si>
  <si>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</si>
  <si>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</si>
  <si>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</si>
  <si>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</si>
  <si>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</si>
  <si>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</si>
  <si>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</si>
  <si>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</si>
  <si>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</si>
  <si>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</si>
  <si>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</si>
  <si>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</si>
  <si>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</si>
  <si>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</si>
  <si>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</si>
  <si>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</si>
  <si>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</si>
  <si>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</si>
  <si>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</si>
  <si>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</si>
  <si>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</si>
  <si>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</si>
  <si>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</si>
  <si>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</si>
  <si>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</si>
  <si>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</si>
  <si>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</si>
  <si>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</si>
  <si>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</si>
  <si>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</si>
  <si>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</si>
  <si>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</si>
  <si>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</si>
  <si>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</si>
  <si>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</si>
  <si>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</si>
  <si>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</si>
  <si>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</si>
  <si>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</si>
  <si>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</si>
  <si>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</si>
  <si>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</si>
  <si>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</si>
  <si>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</si>
  <si>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</si>
  <si>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</si>
  <si>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</si>
  <si>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</si>
  <si>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</si>
  <si>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</si>
  <si>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</si>
  <si>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</si>
  <si>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</si>
  <si>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</si>
  <si>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</si>
  <si>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</si>
  <si>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</si>
  <si>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</si>
  <si>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</si>
  <si>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</si>
  <si>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</si>
  <si>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</si>
  <si>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</si>
  <si>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</si>
  <si>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</si>
  <si>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</si>
  <si>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</si>
  <si>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</si>
  <si>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</si>
  <si>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</si>
  <si>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</si>
  <si>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</si>
  <si>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</si>
  <si>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</si>
  <si>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</si>
  <si>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</si>
  <si>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</si>
  <si>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</si>
  <si>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</si>
  <si>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</si>
  <si>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</si>
  <si>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</si>
  <si>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</si>
  <si>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</si>
  <si>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</si>
  <si>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</si>
  <si>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</si>
  <si>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</si>
  <si>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</si>
  <si>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</si>
  <si>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</si>
  <si>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</si>
  <si>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</si>
  <si>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</si>
  <si>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</si>
  <si>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</si>
  <si>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</si>
  <si>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</si>
  <si>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</si>
  <si>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</si>
  <si>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</si>
  <si>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</si>
  <si>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</si>
  <si>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</si>
  <si>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</si>
  <si>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</si>
  <si>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</si>
  <si>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</si>
  <si>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</si>
  <si>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</si>
  <si>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</si>
  <si>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</si>
  <si>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</si>
  <si>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</si>
  <si>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</si>
  <si>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</si>
  <si>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</si>
  <si>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</si>
  <si>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</si>
  <si>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</si>
  <si>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</si>
  <si>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</si>
  <si>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</si>
  <si>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</si>
  <si>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</si>
  <si>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</si>
  <si>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</si>
  <si>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</si>
  <si>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</si>
  <si>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</si>
  <si>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</si>
  <si>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</si>
  <si>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</si>
  <si>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</si>
  <si>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</si>
  <si>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</si>
  <si>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</si>
  <si>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</si>
  <si>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</si>
  <si>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</si>
  <si>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</si>
  <si>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</si>
  <si>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</si>
  <si>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مدى توفر المواقف المغطاة المخصصة للآليات ونظافتها ووجود وصلاحية طفايات الحريق بها.</t>
  </si>
  <si>
    <t>تقييم الحالة الفنية للآليات (ب)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</si>
</sst>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0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641287</xdr:colOff>
      <xdr:row>62</xdr:row>
      <xdr:rowOff>501280</xdr:rowOff>
    </xdr:from>
    <xdr:to>
      <xdr:col>9</xdr:col>
      <xdr:colOff>297826</xdr:colOff>
      <xdr:row>63</xdr:row>
      <xdr:rowOff>482828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1C5AD0E-9D8B-2AC2-5E9A-7C9AB0DB1EEF}"/>
                </a:ext>
              </a:extLst>
            </xdr14:cNvPr>
            <xdr14:cNvContentPartPr/>
          </xdr14:nvContentPartPr>
          <xdr14:nvPr macro=""/>
          <xdr14:xfrm>
            <a:off x="10398288993" y="24758280"/>
            <a:ext cx="972720" cy="5126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1C5AD0E-9D8B-2AC2-5E9A-7C9AB0DB1EE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80353" y="24749640"/>
              <a:ext cx="990360" cy="530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14:26:33.3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1372 1309 21508,'0'0'0,"-19"-5"1088,4-8-688,-2-1-248,17 14-152,-14-17 24,11-10-48,-11-6 48,4-5-40,10 38 16,-7-45 32,-10-4-64,3-2 64,-3-3-48,17 54 16,-14-58-40,-1 0 40,-6-1-136,4 0 96,17 59 40,-24-59-96,4 4 48,-1-1-32,2 4 104,19 52-24,-17-51 0,2 1 56,13 2 8,-15-1-128,17 49 64,-5-45 40,-7 1-80,7 7 80,5 5-32,0 32-8,0-27-88,0 5 32,3 3-40,-1 4 48,-2 15 48,3-5 8,-3 1 24,4 3-104,-4 1 0,0 0 72,0 0-176,0 0 8,0 0 48,0 2 0,0-2 120,5 0-88,-2 3 24,1 2-40,1-1 24,-5-4 80,12 4-96,-12 0 32,15 8-8,-11-12 8,-4 0 64,13 3 24,-9-1-64,16 1 56,-11-3-8,-9 0-8,19 3-8,-4-3 16,4 3-16,-4 1-8,-15-4 16,21 12-48,-2-10-16,1 10 24,-1-8 0,0 12-8,-19-16 48,22 12 8,-3 4-56,3-2 24,4 2-8,-26-16 32,29 17-32,7-3 56,-2 2-40,-34-16 16,38 13 16,1-1 8,2-7-104,4 9 120,1-11 80,-46-3-120,48 4 24,3-1 88,4-3-152,-2 0 8,-53 0 32,55-3-16,1-1-88,-4 0 104,-3-1-112,-49 5 112,48-4-40,-12 3-24,0-1 80,0 2-48,-36 0 32,31 0 16,-2 0 48,-5 3-24,0 0-120,-24-3 80,22 0 0,-5 0 40,-1 0-16,-11 3 272,-5-3-296,15 0 80,-10 0-56,-1 3-40,-4-3 184,0 0-168,0 2 184,0-2 216,-4 5-72,-11-1-296,15-4-32,-17 16 24,-7-5-208,-5 6-16,-4 1-8,33-18 208,-39 22-112,-4 2-48,-5 3 112,-5 3 120,53-30-72,-58 32 32,-4 1 16,-6 4-24,-4-1-8,72-36-16,-72 37 80,-5 1-80,0-1 112,0 0-288,77-37 176,-82 35-56,0-2 72,5-2 8,-7-1 168,84-30-192,-79 26 136,0 1-96,-3 0 24,0-2-56,82-25-8,-79 27-32,-1-1 56,1 1-200,4-3 168,75-24 8,-72 24 8,0 1-8,9-6 40,6 0-24,57-19-16,-58 14 24,5-10 48,3 11 72,4-13-72,46-2-72,-36 3 40,2 2-40,10-3-40,5-2 16,19 0 24,-15 3 56,13-3-16,-3 0-112,3 0-184,2 0 256,0 0-368,12 0 40,2 0 48,5-1 208,-19 1 72,27-2 8,4 1-16,8-3 56,6-1-48,-45 5 0,48-12-16,5-1 16,3-1 32,4-5-48,-60 19 16,60-18 24,7-5-8,5-4-8,5-4 96,-77 31-104,80-36 56,4-4 16,5-2 8,2-7 0,-91 49-80,97-49 88,-4-5 32,4 0-48,-4 0 8,-93 54-80,94-54 80,2 1-16,3 3 40,-3 3-88,-96 47-16,94-44 24,-5 4 16,-2 1-120,-10-1 72,-77 40 8,74-40-32,-4 0-32,-7 2 88,-1 4-24,-62 34 0,55-34 40,-4 2 16,-5 5-32,-3 3 80,-43 24-104,36-21 96,-7 5 8,-10 5 32,-7 8-48,-12 3-88,5-3 104,-5 2 48,0 1 32,0 0 88,0 0-272,-5 11 217,-12 5-97,-7 6-184,-7 10-72,31-32 136,-39 40-233,-6 4 1,-6 5 88,-2 4 80,53-53 64,-62 55-56,-3 1 56,-3-4 16,-6 4 8,74-56-24,-79 54 80,-6 3-56,-8-2 88,1-1 32,92-54-144,-96 54 152,-3-3 65,-2-1-25,0-3 8,101-47-200,-94 41 272,-4-2-8,6-5-80,-4-6-120,96-28-64,-91 27 56,7-5-56,7-4 32,5-2-24,72-16-8,-63 11 0,3 0-8,7-6-24,5 12 32,48-17 0,-43 11-24,4-7 24,8 13 40,2-12-16,29-5-24,-22 11 16,3-11 0,7 3 0,10-3-64,2 0 48,-3 0-192,3-2-128,3-9-16,13-5-8,-16 16 344,20-18-160,4-6 103,2-3-15,8 0 88,-34 27-16,36-30-16,2-1 8,8 1-24,-5 1 32,-41 29 0,43-28 0,3 1-40,-3 3 72,-2 4 16,-41 20-48,34-17-40,-5 4 80,-12 9-64,-3-2 0,-14 6 24,5-3 24,-5 3 153,0 0 119,-3 12-32,3-12-264,-16 11 328,-1 6-256,-7 6-88,0 1-16,24-24 32,-24 28-48,-3 1 16,-2 2 16,0 0 16,29-31 0,-26 33-24,2-2 8,2-1 8,3-1-48,19-29 56,-14 24-56,9 0-16,-2-3-24,4-4 40,3-17 56,0 17-64,0 0-8,3 1 72,13-1-8,-16-17 8,17 19 8,7-1 32,3-3 56,4-1 0,-31-14-96,34 13 112,7-9-40,4 11-8,6-15 8,-51 0-72,50 0 168,1-2-120,4-3 8,3-15 32,-58 20-88,58-22 168,2-9 64,0-9 176,2-7 16,-62 47-424,60-49 472,1-4 96,1 0 128,-2 2-191,-60 51-505,68-51 120,1 0 248,4-3-112,6-2-152,-79 56-104,87-58-272,11-4 352,6-7-336,16-9-128,-120 78 384,127-85-769,18-15-6296,11-13-5658,-156 113 12723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topLeftCell="D54" zoomScale="130" zoomScaleNormal="100" zoomScaleSheetLayoutView="130" workbookViewId="0">
      <selection activeCell="G64" sqref="G64:J6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4" t="s">
        <v>232</v>
      </c>
      <c r="C1" s="44"/>
      <c r="D1" s="44"/>
      <c r="E1" s="44"/>
      <c r="F1" s="44"/>
      <c r="G1" s="44"/>
      <c r="H1" s="44"/>
      <c r="I1" s="44"/>
      <c r="J1" s="44"/>
    </row>
    <row r="2" spans="1:10" ht="30" customHeight="1" x14ac:dyDescent="0.2">
      <c r="B2" s="13" t="s">
        <v>8</v>
      </c>
      <c r="C2" s="50" t="s">
        <v>40</v>
      </c>
      <c r="D2" s="50"/>
      <c r="E2" s="13" t="s">
        <v>7</v>
      </c>
      <c r="F2" s="45">
        <v>45930</v>
      </c>
      <c r="G2" s="45"/>
      <c r="H2" s="45"/>
      <c r="I2" s="45"/>
      <c r="J2" s="45"/>
    </row>
    <row r="3" spans="1:10" ht="30" customHeight="1" x14ac:dyDescent="0.2">
      <c r="B3" s="13" t="s">
        <v>9</v>
      </c>
      <c r="C3" s="50" t="s">
        <v>81</v>
      </c>
      <c r="D3" s="50"/>
      <c r="E3" s="13" t="s">
        <v>6</v>
      </c>
      <c r="F3" s="50" t="s">
        <v>105</v>
      </c>
      <c r="G3" s="50"/>
      <c r="H3" s="50"/>
      <c r="I3" s="50"/>
      <c r="J3" s="5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46" t="s">
        <v>0</v>
      </c>
      <c r="C5" s="47"/>
      <c r="D5" s="47"/>
      <c r="E5" s="59" t="s">
        <v>1</v>
      </c>
      <c r="F5" s="59"/>
      <c r="G5" s="59"/>
      <c r="H5" s="59"/>
      <c r="I5" s="59" t="s">
        <v>2</v>
      </c>
      <c r="J5" s="62"/>
    </row>
    <row r="6" spans="1:10" ht="24.95" customHeight="1" thickBot="1" x14ac:dyDescent="0.25">
      <c r="A6" s="11"/>
      <c r="B6" s="48"/>
      <c r="C6" s="49"/>
      <c r="D6" s="49"/>
      <c r="E6" s="12" t="s">
        <v>3</v>
      </c>
      <c r="F6" s="12" t="s">
        <v>4</v>
      </c>
      <c r="G6" s="12" t="s">
        <v>23</v>
      </c>
      <c r="H6" s="12" t="s">
        <v>24</v>
      </c>
      <c r="I6" s="63"/>
      <c r="J6" s="64"/>
    </row>
    <row r="7" spans="1:10" ht="24.95" customHeight="1" thickBot="1" x14ac:dyDescent="0.25">
      <c r="A7" s="11"/>
      <c r="B7" s="53" t="s">
        <v>21</v>
      </c>
      <c r="C7" s="54"/>
      <c r="D7" s="54"/>
      <c r="E7" s="33" t="s">
        <v>18</v>
      </c>
      <c r="F7" s="33" t="s">
        <v>19</v>
      </c>
      <c r="G7" s="33" t="s">
        <v>22</v>
      </c>
      <c r="H7" s="33" t="s">
        <v>20</v>
      </c>
      <c r="I7" s="65" t="s">
        <v>25</v>
      </c>
      <c r="J7" s="66"/>
    </row>
    <row r="8" spans="1:10" ht="30" customHeight="1" x14ac:dyDescent="0.2">
      <c r="A8" s="11"/>
      <c r="B8" s="92" t="s">
        <v>180</v>
      </c>
      <c r="C8" s="93"/>
      <c r="D8" s="93"/>
      <c r="E8" s="30"/>
      <c r="F8" s="37"/>
      <c r="G8" s="38"/>
      <c r="H8" s="39"/>
      <c r="I8" s="60"/>
      <c r="J8" s="61"/>
    </row>
    <row r="9" spans="1:10" ht="30" customHeight="1" x14ac:dyDescent="0.2">
      <c r="A9" s="11"/>
      <c r="B9" s="84" t="s">
        <v>181</v>
      </c>
      <c r="C9" s="85"/>
      <c r="D9" s="85"/>
      <c r="E9" s="31">
        <v>10</v>
      </c>
      <c r="F9" s="27">
        <v>8</v>
      </c>
      <c r="G9" s="35">
        <f>IFERROR(F9/E9,"")</f>
        <v>0.8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5"/>
      <c r="J9" s="56"/>
    </row>
    <row r="10" spans="1:10" ht="30" customHeight="1" x14ac:dyDescent="0.2">
      <c r="A10" s="11"/>
      <c r="B10" s="84" t="s">
        <v>182</v>
      </c>
      <c r="C10" s="85"/>
      <c r="D10" s="85"/>
      <c r="E10" s="9">
        <v>10</v>
      </c>
      <c r="F10" s="27">
        <v>7.75</v>
      </c>
      <c r="G10" s="35">
        <f t="shared" ref="G10:G59" si="0">IFERROR(F10/E10,"")</f>
        <v>0.77500000000000002</v>
      </c>
      <c r="H10" s="36" t="str">
        <f t="shared" ref="H10:H59" si="1">_xlfn.IFS(F10="أدخل العلامة","",F10="لا ينطبق","تم الإلغاء",G10&gt;=90%,"ممتاز",G10&gt;=80%,"جيد جداً",G10&gt;=70%,"جيد",G10&gt;=60%,"مقبول",G10&lt;60%,"راسب")</f>
        <v>جيد</v>
      </c>
      <c r="I10" s="55"/>
      <c r="J10" s="56"/>
    </row>
    <row r="11" spans="1:10" ht="39.950000000000003" customHeight="1" x14ac:dyDescent="0.2">
      <c r="A11" s="11"/>
      <c r="B11" s="84" t="s">
        <v>183</v>
      </c>
      <c r="C11" s="85"/>
      <c r="D11" s="85"/>
      <c r="E11" s="9">
        <v>8</v>
      </c>
      <c r="F11" s="27">
        <v>6.5</v>
      </c>
      <c r="G11" s="35">
        <f t="shared" si="0"/>
        <v>0.8125</v>
      </c>
      <c r="H11" s="36" t="str">
        <f t="shared" si="1"/>
        <v>جيد جداً</v>
      </c>
      <c r="I11" s="55"/>
      <c r="J11" s="56"/>
    </row>
    <row r="12" spans="1:10" ht="30" customHeight="1" x14ac:dyDescent="0.2">
      <c r="A12" s="11"/>
      <c r="B12" s="84" t="s">
        <v>184</v>
      </c>
      <c r="C12" s="85"/>
      <c r="D12" s="85"/>
      <c r="E12" s="9">
        <v>8</v>
      </c>
      <c r="F12" s="27">
        <v>6.5</v>
      </c>
      <c r="G12" s="35">
        <f t="shared" si="0"/>
        <v>0.8125</v>
      </c>
      <c r="H12" s="36" t="str">
        <f t="shared" si="1"/>
        <v>جيد جداً</v>
      </c>
      <c r="I12" s="55"/>
      <c r="J12" s="56"/>
    </row>
    <row r="13" spans="1:10" ht="30" customHeight="1" x14ac:dyDescent="0.2">
      <c r="A13" s="11"/>
      <c r="B13" s="84" t="s">
        <v>185</v>
      </c>
      <c r="C13" s="85"/>
      <c r="D13" s="85"/>
      <c r="E13" s="9">
        <v>5</v>
      </c>
      <c r="F13" s="27">
        <v>4</v>
      </c>
      <c r="G13" s="35">
        <f t="shared" si="0"/>
        <v>0.8</v>
      </c>
      <c r="H13" s="36" t="str">
        <f t="shared" si="1"/>
        <v>جيد جداً</v>
      </c>
      <c r="I13" s="55"/>
      <c r="J13" s="56"/>
    </row>
    <row r="14" spans="1:10" ht="30" customHeight="1" x14ac:dyDescent="0.2">
      <c r="A14" s="11"/>
      <c r="B14" s="84" t="s">
        <v>186</v>
      </c>
      <c r="C14" s="85"/>
      <c r="D14" s="85"/>
      <c r="E14" s="9">
        <v>8</v>
      </c>
      <c r="F14" s="27">
        <v>6.75</v>
      </c>
      <c r="G14" s="35">
        <f t="shared" si="0"/>
        <v>0.84375</v>
      </c>
      <c r="H14" s="36" t="str">
        <f t="shared" si="1"/>
        <v>جيد جداً</v>
      </c>
      <c r="I14" s="55"/>
      <c r="J14" s="56"/>
    </row>
    <row r="15" spans="1:10" ht="30" customHeight="1" x14ac:dyDescent="0.2">
      <c r="A15" s="11"/>
      <c r="B15" s="84" t="s">
        <v>187</v>
      </c>
      <c r="C15" s="85"/>
      <c r="D15" s="85"/>
      <c r="E15" s="9">
        <v>7</v>
      </c>
      <c r="F15" s="27">
        <v>5.75</v>
      </c>
      <c r="G15" s="35">
        <f t="shared" si="0"/>
        <v>0.8214285714285714</v>
      </c>
      <c r="H15" s="36" t="str">
        <f t="shared" si="1"/>
        <v>جيد جداً</v>
      </c>
      <c r="I15" s="55"/>
      <c r="J15" s="56"/>
    </row>
    <row r="16" spans="1:10" ht="30" customHeight="1" x14ac:dyDescent="0.2">
      <c r="A16" s="11"/>
      <c r="B16" s="84" t="s">
        <v>188</v>
      </c>
      <c r="C16" s="85"/>
      <c r="D16" s="85"/>
      <c r="E16" s="9">
        <v>8</v>
      </c>
      <c r="F16" s="27">
        <v>6.5</v>
      </c>
      <c r="G16" s="35">
        <f t="shared" si="0"/>
        <v>0.8125</v>
      </c>
      <c r="H16" s="36" t="str">
        <f t="shared" si="1"/>
        <v>جيد جداً</v>
      </c>
      <c r="I16" s="55"/>
      <c r="J16" s="56"/>
    </row>
    <row r="17" spans="1:10" ht="39.950000000000003" customHeight="1" x14ac:dyDescent="0.2">
      <c r="A17" s="11"/>
      <c r="B17" s="84" t="s">
        <v>189</v>
      </c>
      <c r="C17" s="85"/>
      <c r="D17" s="85"/>
      <c r="E17" s="9">
        <v>5</v>
      </c>
      <c r="F17" s="27">
        <v>4</v>
      </c>
      <c r="G17" s="35">
        <f t="shared" si="0"/>
        <v>0.8</v>
      </c>
      <c r="H17" s="36" t="str">
        <f t="shared" si="1"/>
        <v>جيد جداً</v>
      </c>
      <c r="I17" s="55"/>
      <c r="J17" s="56"/>
    </row>
    <row r="18" spans="1:10" ht="30" customHeight="1" x14ac:dyDescent="0.2">
      <c r="A18" s="11"/>
      <c r="B18" s="86" t="s">
        <v>190</v>
      </c>
      <c r="C18" s="87"/>
      <c r="D18" s="87"/>
      <c r="E18" s="9">
        <v>5</v>
      </c>
      <c r="F18" s="27">
        <v>4</v>
      </c>
      <c r="G18" s="35">
        <f t="shared" si="0"/>
        <v>0.8</v>
      </c>
      <c r="H18" s="36" t="str">
        <f t="shared" si="1"/>
        <v>جيد جداً</v>
      </c>
      <c r="I18" s="55"/>
      <c r="J18" s="56"/>
    </row>
    <row r="19" spans="1:10" ht="30" customHeight="1" x14ac:dyDescent="0.2">
      <c r="A19" s="11"/>
      <c r="B19" s="86" t="s">
        <v>191</v>
      </c>
      <c r="C19" s="87"/>
      <c r="D19" s="87"/>
      <c r="E19" s="9">
        <v>5</v>
      </c>
      <c r="F19" s="27">
        <v>4</v>
      </c>
      <c r="G19" s="35">
        <f t="shared" si="0"/>
        <v>0.8</v>
      </c>
      <c r="H19" s="36" t="str">
        <f t="shared" si="1"/>
        <v>جيد جداً</v>
      </c>
      <c r="I19" s="55"/>
      <c r="J19" s="56"/>
    </row>
    <row r="20" spans="1:10" ht="39.950000000000003" customHeight="1" x14ac:dyDescent="0.2">
      <c r="A20" s="11"/>
      <c r="B20" s="86" t="s">
        <v>192</v>
      </c>
      <c r="C20" s="87"/>
      <c r="D20" s="87"/>
      <c r="E20" s="9">
        <v>10</v>
      </c>
      <c r="F20" s="27">
        <v>8</v>
      </c>
      <c r="G20" s="35">
        <f t="shared" si="0"/>
        <v>0.8</v>
      </c>
      <c r="H20" s="36" t="str">
        <f t="shared" si="1"/>
        <v>جيد جداً</v>
      </c>
      <c r="I20" s="55"/>
      <c r="J20" s="56"/>
    </row>
    <row r="21" spans="1:10" ht="30" customHeight="1" x14ac:dyDescent="0.2">
      <c r="A21" s="11"/>
      <c r="B21" s="86" t="s">
        <v>193</v>
      </c>
      <c r="C21" s="87"/>
      <c r="D21" s="87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55"/>
      <c r="J21" s="56"/>
    </row>
    <row r="22" spans="1:10" ht="30" customHeight="1" x14ac:dyDescent="0.2">
      <c r="A22" s="11"/>
      <c r="B22" s="86" t="s">
        <v>194</v>
      </c>
      <c r="C22" s="87"/>
      <c r="D22" s="87"/>
      <c r="E22" s="9">
        <v>5</v>
      </c>
      <c r="F22" s="27">
        <v>4</v>
      </c>
      <c r="G22" s="35">
        <f t="shared" si="0"/>
        <v>0.8</v>
      </c>
      <c r="H22" s="36" t="str">
        <f t="shared" si="1"/>
        <v>جيد جداً</v>
      </c>
      <c r="I22" s="55"/>
      <c r="J22" s="56"/>
    </row>
    <row r="23" spans="1:10" ht="30" customHeight="1" thickBot="1" x14ac:dyDescent="0.25">
      <c r="A23" s="11"/>
      <c r="B23" s="88" t="s">
        <v>195</v>
      </c>
      <c r="C23" s="89"/>
      <c r="D23" s="89"/>
      <c r="E23" s="32">
        <v>5</v>
      </c>
      <c r="F23" s="29">
        <v>4</v>
      </c>
      <c r="G23" s="40">
        <f t="shared" si="0"/>
        <v>0.8</v>
      </c>
      <c r="H23" s="41" t="str">
        <f t="shared" si="1"/>
        <v>جيد جداً</v>
      </c>
      <c r="I23" s="57"/>
      <c r="J23" s="58"/>
    </row>
    <row r="24" spans="1:10" ht="30" customHeight="1" x14ac:dyDescent="0.2">
      <c r="A24" s="11"/>
      <c r="B24" s="90" t="s">
        <v>196</v>
      </c>
      <c r="C24" s="91"/>
      <c r="D24" s="91"/>
      <c r="E24" s="30"/>
      <c r="F24" s="37"/>
      <c r="G24" s="38"/>
      <c r="H24" s="39"/>
      <c r="I24" s="60"/>
      <c r="J24" s="61"/>
    </row>
    <row r="25" spans="1:10" ht="30" customHeight="1" x14ac:dyDescent="0.2">
      <c r="A25" s="11"/>
      <c r="B25" s="84" t="s">
        <v>197</v>
      </c>
      <c r="C25" s="85"/>
      <c r="D25" s="85"/>
      <c r="E25" s="9">
        <v>6</v>
      </c>
      <c r="F25" s="27">
        <v>4.75</v>
      </c>
      <c r="G25" s="35">
        <f t="shared" si="0"/>
        <v>0.79166666666666663</v>
      </c>
      <c r="H25" s="36" t="str">
        <f t="shared" si="1"/>
        <v>جيد</v>
      </c>
      <c r="I25" s="55"/>
      <c r="J25" s="56"/>
    </row>
    <row r="26" spans="1:10" ht="30" customHeight="1" x14ac:dyDescent="0.2">
      <c r="A26" s="11"/>
      <c r="B26" s="84" t="s">
        <v>198</v>
      </c>
      <c r="C26" s="85"/>
      <c r="D26" s="85"/>
      <c r="E26" s="9">
        <v>5</v>
      </c>
      <c r="F26" s="27">
        <v>3.75</v>
      </c>
      <c r="G26" s="35">
        <f t="shared" si="0"/>
        <v>0.75</v>
      </c>
      <c r="H26" s="36" t="str">
        <f t="shared" si="1"/>
        <v>جيد</v>
      </c>
      <c r="I26" s="55"/>
      <c r="J26" s="56"/>
    </row>
    <row r="27" spans="1:10" ht="30" customHeight="1" x14ac:dyDescent="0.2">
      <c r="A27" s="11"/>
      <c r="B27" s="84" t="s">
        <v>199</v>
      </c>
      <c r="C27" s="85"/>
      <c r="D27" s="85"/>
      <c r="E27" s="9">
        <v>5</v>
      </c>
      <c r="F27" s="27">
        <v>4</v>
      </c>
      <c r="G27" s="35">
        <f t="shared" si="0"/>
        <v>0.8</v>
      </c>
      <c r="H27" s="36" t="str">
        <f t="shared" si="1"/>
        <v>جيد جداً</v>
      </c>
      <c r="I27" s="55"/>
      <c r="J27" s="56"/>
    </row>
    <row r="28" spans="1:10" ht="30" customHeight="1" x14ac:dyDescent="0.2">
      <c r="A28" s="11"/>
      <c r="B28" s="84" t="s">
        <v>200</v>
      </c>
      <c r="C28" s="85"/>
      <c r="D28" s="85"/>
      <c r="E28" s="9">
        <v>5</v>
      </c>
      <c r="F28" s="27">
        <v>4</v>
      </c>
      <c r="G28" s="35">
        <f t="shared" si="0"/>
        <v>0.8</v>
      </c>
      <c r="H28" s="36" t="str">
        <f t="shared" si="1"/>
        <v>جيد جداً</v>
      </c>
      <c r="I28" s="55"/>
      <c r="J28" s="56"/>
    </row>
    <row r="29" spans="1:10" ht="30" customHeight="1" x14ac:dyDescent="0.2">
      <c r="A29" s="11"/>
      <c r="B29" s="84" t="s">
        <v>201</v>
      </c>
      <c r="C29" s="85"/>
      <c r="D29" s="85"/>
      <c r="E29" s="9">
        <v>5</v>
      </c>
      <c r="F29" s="27">
        <v>4</v>
      </c>
      <c r="G29" s="35">
        <f t="shared" si="0"/>
        <v>0.8</v>
      </c>
      <c r="H29" s="36" t="str">
        <f t="shared" si="1"/>
        <v>جيد جداً</v>
      </c>
      <c r="I29" s="55"/>
      <c r="J29" s="56"/>
    </row>
    <row r="30" spans="1:10" ht="30" customHeight="1" x14ac:dyDescent="0.2">
      <c r="A30" s="11"/>
      <c r="B30" s="84" t="s">
        <v>202</v>
      </c>
      <c r="C30" s="85"/>
      <c r="D30" s="85"/>
      <c r="E30" s="9">
        <v>5</v>
      </c>
      <c r="F30" s="27">
        <v>3.75</v>
      </c>
      <c r="G30" s="35">
        <f t="shared" si="0"/>
        <v>0.75</v>
      </c>
      <c r="H30" s="36" t="str">
        <f t="shared" si="1"/>
        <v>جيد</v>
      </c>
      <c r="I30" s="55"/>
      <c r="J30" s="56"/>
    </row>
    <row r="31" spans="1:10" ht="30" customHeight="1" thickBot="1" x14ac:dyDescent="0.25">
      <c r="A31" s="11"/>
      <c r="B31" s="94" t="s">
        <v>203</v>
      </c>
      <c r="C31" s="95"/>
      <c r="D31" s="95"/>
      <c r="E31" s="32">
        <v>5</v>
      </c>
      <c r="F31" s="29">
        <v>4</v>
      </c>
      <c r="G31" s="40">
        <f t="shared" si="0"/>
        <v>0.8</v>
      </c>
      <c r="H31" s="41" t="str">
        <f t="shared" si="1"/>
        <v>جيد جداً</v>
      </c>
      <c r="I31" s="57"/>
      <c r="J31" s="58"/>
    </row>
    <row r="32" spans="1:10" ht="30" customHeight="1" x14ac:dyDescent="0.2">
      <c r="A32" s="11"/>
      <c r="B32" s="90" t="s">
        <v>204</v>
      </c>
      <c r="C32" s="91"/>
      <c r="D32" s="91"/>
      <c r="E32" s="30"/>
      <c r="F32" s="37"/>
      <c r="G32" s="38"/>
      <c r="H32" s="39"/>
      <c r="I32" s="60"/>
      <c r="J32" s="61"/>
    </row>
    <row r="33" spans="1:10" ht="39.950000000000003" customHeight="1" x14ac:dyDescent="0.2">
      <c r="A33" s="11"/>
      <c r="B33" s="84" t="s">
        <v>205</v>
      </c>
      <c r="C33" s="85"/>
      <c r="D33" s="85"/>
      <c r="E33" s="31">
        <v>6</v>
      </c>
      <c r="F33" s="27">
        <v>5</v>
      </c>
      <c r="G33" s="35">
        <f t="shared" si="0"/>
        <v>0.83333333333333337</v>
      </c>
      <c r="H33" s="36" t="str">
        <f t="shared" si="1"/>
        <v>جيد جداً</v>
      </c>
      <c r="I33" s="55"/>
      <c r="J33" s="56"/>
    </row>
    <row r="34" spans="1:10" ht="30" customHeight="1" x14ac:dyDescent="0.2">
      <c r="A34" s="11"/>
      <c r="B34" s="84" t="s">
        <v>206</v>
      </c>
      <c r="C34" s="85"/>
      <c r="D34" s="85"/>
      <c r="E34" s="9">
        <v>5</v>
      </c>
      <c r="F34" s="27">
        <v>4</v>
      </c>
      <c r="G34" s="35">
        <f t="shared" si="0"/>
        <v>0.8</v>
      </c>
      <c r="H34" s="36" t="str">
        <f t="shared" si="1"/>
        <v>جيد جداً</v>
      </c>
      <c r="I34" s="55"/>
      <c r="J34" s="56"/>
    </row>
    <row r="35" spans="1:10" ht="30" customHeight="1" x14ac:dyDescent="0.2">
      <c r="A35" s="11"/>
      <c r="B35" s="84" t="s">
        <v>207</v>
      </c>
      <c r="C35" s="85"/>
      <c r="D35" s="85"/>
      <c r="E35" s="9">
        <v>5</v>
      </c>
      <c r="F35" s="27">
        <v>4</v>
      </c>
      <c r="G35" s="35">
        <f t="shared" si="0"/>
        <v>0.8</v>
      </c>
      <c r="H35" s="36" t="str">
        <f t="shared" si="1"/>
        <v>جيد جداً</v>
      </c>
      <c r="I35" s="55"/>
      <c r="J35" s="56"/>
    </row>
    <row r="36" spans="1:10" ht="30" customHeight="1" thickBot="1" x14ac:dyDescent="0.25">
      <c r="A36" s="11"/>
      <c r="B36" s="94" t="s">
        <v>208</v>
      </c>
      <c r="C36" s="95"/>
      <c r="D36" s="95"/>
      <c r="E36" s="32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57"/>
      <c r="J36" s="58"/>
    </row>
    <row r="37" spans="1:10" ht="30" customHeight="1" x14ac:dyDescent="0.2">
      <c r="A37" s="11"/>
      <c r="B37" s="92" t="s">
        <v>209</v>
      </c>
      <c r="C37" s="93"/>
      <c r="D37" s="93"/>
      <c r="E37" s="30"/>
      <c r="F37" s="37"/>
      <c r="G37" s="38"/>
      <c r="H37" s="39"/>
      <c r="I37" s="60"/>
      <c r="J37" s="61"/>
    </row>
    <row r="38" spans="1:10" ht="30" customHeight="1" x14ac:dyDescent="0.2">
      <c r="A38" s="11"/>
      <c r="B38" s="84" t="s">
        <v>210</v>
      </c>
      <c r="C38" s="85"/>
      <c r="D38" s="85"/>
      <c r="E38" s="9">
        <v>6</v>
      </c>
      <c r="F38" s="27">
        <v>5</v>
      </c>
      <c r="G38" s="35">
        <f t="shared" si="0"/>
        <v>0.83333333333333337</v>
      </c>
      <c r="H38" s="36" t="str">
        <f t="shared" si="1"/>
        <v>جيد جداً</v>
      </c>
      <c r="I38" s="55"/>
      <c r="J38" s="56"/>
    </row>
    <row r="39" spans="1:10" ht="30" customHeight="1" x14ac:dyDescent="0.2">
      <c r="A39" s="11"/>
      <c r="B39" s="84" t="s">
        <v>211</v>
      </c>
      <c r="C39" s="85"/>
      <c r="D39" s="85"/>
      <c r="E39" s="9">
        <v>5</v>
      </c>
      <c r="F39" s="27">
        <v>4</v>
      </c>
      <c r="G39" s="35">
        <f t="shared" si="0"/>
        <v>0.8</v>
      </c>
      <c r="H39" s="36" t="str">
        <f t="shared" si="1"/>
        <v>جيد جداً</v>
      </c>
      <c r="I39" s="55"/>
      <c r="J39" s="56"/>
    </row>
    <row r="40" spans="1:10" ht="30" customHeight="1" x14ac:dyDescent="0.2">
      <c r="A40" s="11"/>
      <c r="B40" s="84" t="s">
        <v>212</v>
      </c>
      <c r="C40" s="85"/>
      <c r="D40" s="85"/>
      <c r="E40" s="9">
        <v>5</v>
      </c>
      <c r="F40" s="27">
        <v>4</v>
      </c>
      <c r="G40" s="35">
        <f t="shared" si="0"/>
        <v>0.8</v>
      </c>
      <c r="H40" s="36" t="str">
        <f t="shared" si="1"/>
        <v>جيد جداً</v>
      </c>
      <c r="I40" s="55"/>
      <c r="J40" s="56"/>
    </row>
    <row r="41" spans="1:10" ht="30" customHeight="1" x14ac:dyDescent="0.2">
      <c r="A41" s="11"/>
      <c r="B41" s="84" t="s">
        <v>213</v>
      </c>
      <c r="C41" s="85"/>
      <c r="D41" s="85"/>
      <c r="E41" s="9">
        <v>5</v>
      </c>
      <c r="F41" s="27">
        <v>4</v>
      </c>
      <c r="G41" s="35">
        <f t="shared" si="0"/>
        <v>0.8</v>
      </c>
      <c r="H41" s="36" t="str">
        <f t="shared" si="1"/>
        <v>جيد جداً</v>
      </c>
      <c r="I41" s="55"/>
      <c r="J41" s="56"/>
    </row>
    <row r="42" spans="1:10" ht="30" customHeight="1" x14ac:dyDescent="0.2">
      <c r="A42" s="11"/>
      <c r="B42" s="84" t="s">
        <v>214</v>
      </c>
      <c r="C42" s="85"/>
      <c r="D42" s="85"/>
      <c r="E42" s="9">
        <v>5</v>
      </c>
      <c r="F42" s="27">
        <v>4</v>
      </c>
      <c r="G42" s="35">
        <f t="shared" si="0"/>
        <v>0.8</v>
      </c>
      <c r="H42" s="36" t="str">
        <f t="shared" si="1"/>
        <v>جيد جداً</v>
      </c>
      <c r="I42" s="55"/>
      <c r="J42" s="56"/>
    </row>
    <row r="43" spans="1:10" ht="30" customHeight="1" x14ac:dyDescent="0.2">
      <c r="A43" s="11"/>
      <c r="B43" s="84" t="s">
        <v>215</v>
      </c>
      <c r="C43" s="85"/>
      <c r="D43" s="85"/>
      <c r="E43" s="9">
        <v>5</v>
      </c>
      <c r="F43" s="27">
        <v>4</v>
      </c>
      <c r="G43" s="35">
        <f t="shared" si="0"/>
        <v>0.8</v>
      </c>
      <c r="H43" s="36" t="str">
        <f t="shared" si="1"/>
        <v>جيد جداً</v>
      </c>
      <c r="I43" s="55"/>
      <c r="J43" s="56"/>
    </row>
    <row r="44" spans="1:10" ht="30" customHeight="1" thickBot="1" x14ac:dyDescent="0.25">
      <c r="A44" s="11"/>
      <c r="B44" s="94" t="s">
        <v>216</v>
      </c>
      <c r="C44" s="95"/>
      <c r="D44" s="95"/>
      <c r="E44" s="32">
        <v>5</v>
      </c>
      <c r="F44" s="29">
        <v>4</v>
      </c>
      <c r="G44" s="40">
        <f t="shared" si="0"/>
        <v>0.8</v>
      </c>
      <c r="H44" s="41" t="str">
        <f t="shared" si="1"/>
        <v>جيد جداً</v>
      </c>
      <c r="I44" s="57"/>
      <c r="J44" s="58"/>
    </row>
    <row r="45" spans="1:10" ht="30" customHeight="1" x14ac:dyDescent="0.2">
      <c r="A45" s="11"/>
      <c r="B45" s="90" t="s">
        <v>217</v>
      </c>
      <c r="C45" s="91"/>
      <c r="D45" s="91"/>
      <c r="E45" s="30"/>
      <c r="F45" s="37"/>
      <c r="G45" s="38"/>
      <c r="H45" s="39"/>
      <c r="I45" s="60"/>
      <c r="J45" s="61"/>
    </row>
    <row r="46" spans="1:10" ht="30" customHeight="1" x14ac:dyDescent="0.2">
      <c r="A46" s="11"/>
      <c r="B46" s="84" t="s">
        <v>218</v>
      </c>
      <c r="C46" s="85"/>
      <c r="D46" s="85"/>
      <c r="E46" s="9">
        <v>5</v>
      </c>
      <c r="F46" s="27">
        <v>4</v>
      </c>
      <c r="G46" s="35">
        <f t="shared" si="0"/>
        <v>0.8</v>
      </c>
      <c r="H46" s="36" t="str">
        <f t="shared" si="1"/>
        <v>جيد جداً</v>
      </c>
      <c r="I46" s="55"/>
      <c r="J46" s="56"/>
    </row>
    <row r="47" spans="1:10" ht="30" customHeight="1" x14ac:dyDescent="0.2">
      <c r="A47" s="11"/>
      <c r="B47" s="84" t="s">
        <v>219</v>
      </c>
      <c r="C47" s="85"/>
      <c r="D47" s="85"/>
      <c r="E47" s="9">
        <v>8</v>
      </c>
      <c r="F47" s="27">
        <v>7</v>
      </c>
      <c r="G47" s="35">
        <f t="shared" si="0"/>
        <v>0.875</v>
      </c>
      <c r="H47" s="36" t="str">
        <f t="shared" si="1"/>
        <v>جيد جداً</v>
      </c>
      <c r="I47" s="55"/>
      <c r="J47" s="56"/>
    </row>
    <row r="48" spans="1:10" ht="30" customHeight="1" x14ac:dyDescent="0.2">
      <c r="A48" s="11"/>
      <c r="B48" s="84" t="s">
        <v>220</v>
      </c>
      <c r="C48" s="85"/>
      <c r="D48" s="85"/>
      <c r="E48" s="9">
        <v>5</v>
      </c>
      <c r="F48" s="27">
        <v>4</v>
      </c>
      <c r="G48" s="35">
        <f t="shared" si="0"/>
        <v>0.8</v>
      </c>
      <c r="H48" s="36" t="str">
        <f t="shared" si="1"/>
        <v>جيد جداً</v>
      </c>
      <c r="I48" s="55"/>
      <c r="J48" s="56"/>
    </row>
    <row r="49" spans="1:10" ht="30" customHeight="1" x14ac:dyDescent="0.2">
      <c r="A49" s="11"/>
      <c r="B49" s="84" t="s">
        <v>221</v>
      </c>
      <c r="C49" s="85"/>
      <c r="D49" s="85"/>
      <c r="E49" s="9">
        <v>5</v>
      </c>
      <c r="F49" s="27">
        <v>4</v>
      </c>
      <c r="G49" s="35">
        <f t="shared" si="0"/>
        <v>0.8</v>
      </c>
      <c r="H49" s="36" t="str">
        <f t="shared" si="1"/>
        <v>جيد جداً</v>
      </c>
      <c r="I49" s="55"/>
      <c r="J49" s="56"/>
    </row>
    <row r="50" spans="1:10" ht="30" customHeight="1" x14ac:dyDescent="0.2">
      <c r="A50" s="11"/>
      <c r="B50" s="84" t="s">
        <v>222</v>
      </c>
      <c r="C50" s="85"/>
      <c r="D50" s="85"/>
      <c r="E50" s="9">
        <v>5</v>
      </c>
      <c r="F50" s="27">
        <v>4</v>
      </c>
      <c r="G50" s="35">
        <f t="shared" si="0"/>
        <v>0.8</v>
      </c>
      <c r="H50" s="36" t="str">
        <f t="shared" si="1"/>
        <v>جيد جداً</v>
      </c>
      <c r="I50" s="55"/>
      <c r="J50" s="56"/>
    </row>
    <row r="51" spans="1:10" ht="30" customHeight="1" thickBot="1" x14ac:dyDescent="0.25">
      <c r="A51" s="11"/>
      <c r="B51" s="94" t="s">
        <v>223</v>
      </c>
      <c r="C51" s="95"/>
      <c r="D51" s="95"/>
      <c r="E51" s="32">
        <v>5</v>
      </c>
      <c r="F51" s="29">
        <v>4</v>
      </c>
      <c r="G51" s="40">
        <f t="shared" si="0"/>
        <v>0.8</v>
      </c>
      <c r="H51" s="41" t="str">
        <f t="shared" si="1"/>
        <v>جيد جداً</v>
      </c>
      <c r="I51" s="57"/>
      <c r="J51" s="58"/>
    </row>
    <row r="52" spans="1:10" ht="30" customHeight="1" x14ac:dyDescent="0.2">
      <c r="A52" s="11"/>
      <c r="B52" s="92" t="s">
        <v>224</v>
      </c>
      <c r="C52" s="93"/>
      <c r="D52" s="93"/>
      <c r="E52" s="30"/>
      <c r="F52" s="37"/>
      <c r="G52" s="38"/>
      <c r="H52" s="39"/>
      <c r="I52" s="60"/>
      <c r="J52" s="61"/>
    </row>
    <row r="53" spans="1:10" ht="30" customHeight="1" x14ac:dyDescent="0.2">
      <c r="A53" s="11"/>
      <c r="B53" s="84" t="s">
        <v>225</v>
      </c>
      <c r="C53" s="85"/>
      <c r="D53" s="85"/>
      <c r="E53" s="9">
        <v>10</v>
      </c>
      <c r="F53" s="27">
        <v>8</v>
      </c>
      <c r="G53" s="35">
        <f t="shared" si="0"/>
        <v>0.8</v>
      </c>
      <c r="H53" s="36" t="str">
        <f t="shared" si="1"/>
        <v>جيد جداً</v>
      </c>
      <c r="I53" s="55"/>
      <c r="J53" s="56"/>
    </row>
    <row r="54" spans="1:10" ht="30" customHeight="1" x14ac:dyDescent="0.2">
      <c r="A54" s="11"/>
      <c r="B54" s="84" t="s">
        <v>226</v>
      </c>
      <c r="C54" s="85"/>
      <c r="D54" s="85"/>
      <c r="E54" s="9">
        <v>10</v>
      </c>
      <c r="F54" s="27">
        <v>8</v>
      </c>
      <c r="G54" s="35">
        <f t="shared" si="0"/>
        <v>0.8</v>
      </c>
      <c r="H54" s="36" t="str">
        <f t="shared" si="1"/>
        <v>جيد جداً</v>
      </c>
      <c r="I54" s="55"/>
      <c r="J54" s="56"/>
    </row>
    <row r="55" spans="1:10" ht="30" customHeight="1" thickBot="1" x14ac:dyDescent="0.25">
      <c r="A55" s="11"/>
      <c r="B55" s="94" t="s">
        <v>227</v>
      </c>
      <c r="C55" s="95"/>
      <c r="D55" s="95"/>
      <c r="E55" s="32">
        <v>5</v>
      </c>
      <c r="F55" s="29">
        <v>4</v>
      </c>
      <c r="G55" s="40">
        <f t="shared" si="0"/>
        <v>0.8</v>
      </c>
      <c r="H55" s="41" t="str">
        <f t="shared" si="1"/>
        <v>جيد جداً</v>
      </c>
      <c r="I55" s="57"/>
      <c r="J55" s="58"/>
    </row>
    <row r="56" spans="1:10" ht="30" customHeight="1" x14ac:dyDescent="0.2">
      <c r="A56" s="11"/>
      <c r="B56" s="92" t="s">
        <v>228</v>
      </c>
      <c r="C56" s="93"/>
      <c r="D56" s="93"/>
      <c r="E56" s="30"/>
      <c r="F56" s="37"/>
      <c r="G56" s="38"/>
      <c r="H56" s="39"/>
      <c r="I56" s="60"/>
      <c r="J56" s="61"/>
    </row>
    <row r="57" spans="1:10" ht="30" customHeight="1" x14ac:dyDescent="0.2">
      <c r="A57" s="11"/>
      <c r="B57" s="84" t="s">
        <v>229</v>
      </c>
      <c r="C57" s="85"/>
      <c r="D57" s="85"/>
      <c r="E57" s="9">
        <v>5</v>
      </c>
      <c r="F57" s="27">
        <v>3.75</v>
      </c>
      <c r="G57" s="35">
        <f t="shared" si="0"/>
        <v>0.75</v>
      </c>
      <c r="H57" s="36" t="str">
        <f t="shared" si="1"/>
        <v>جيد</v>
      </c>
      <c r="I57" s="55"/>
      <c r="J57" s="56"/>
    </row>
    <row r="58" spans="1:10" ht="30" customHeight="1" thickBot="1" x14ac:dyDescent="0.25">
      <c r="A58" s="11"/>
      <c r="B58" s="94" t="s">
        <v>230</v>
      </c>
      <c r="C58" s="95"/>
      <c r="D58" s="95"/>
      <c r="E58" s="32">
        <v>5</v>
      </c>
      <c r="F58" s="29">
        <v>3.75</v>
      </c>
      <c r="G58" s="40">
        <f t="shared" si="0"/>
        <v>0.75</v>
      </c>
      <c r="H58" s="41" t="str">
        <f t="shared" si="1"/>
        <v>جيد</v>
      </c>
      <c r="I58" s="57"/>
      <c r="J58" s="58"/>
    </row>
    <row r="59" spans="1:10" ht="39.950000000000003" customHeight="1" thickBot="1" x14ac:dyDescent="0.25">
      <c r="A59" s="11"/>
      <c r="B59" s="96" t="s">
        <v>231</v>
      </c>
      <c r="C59" s="97"/>
      <c r="D59" s="97"/>
      <c r="E59" s="10">
        <v>5</v>
      </c>
      <c r="F59" s="42">
        <v>3.75</v>
      </c>
      <c r="G59" s="43">
        <f t="shared" si="0"/>
        <v>0.75</v>
      </c>
      <c r="H59" s="28" t="str">
        <f t="shared" si="1"/>
        <v>جيد</v>
      </c>
      <c r="I59" s="82"/>
      <c r="J59" s="83"/>
    </row>
    <row r="60" spans="1:10" ht="30" customHeight="1" thickBot="1" x14ac:dyDescent="0.25">
      <c r="A60" s="4"/>
      <c r="B60" s="78" t="s">
        <v>5</v>
      </c>
      <c r="C60" s="79"/>
      <c r="D60" s="79"/>
      <c r="E60" s="34">
        <f>SUM(E8:E59)</f>
        <v>270</v>
      </c>
      <c r="F60" s="34">
        <f>SUM(F8:F59)</f>
        <v>215.75</v>
      </c>
      <c r="G60" s="74"/>
      <c r="H60" s="75"/>
      <c r="I60" s="75"/>
      <c r="J60" s="76"/>
    </row>
    <row r="61" spans="1:10" ht="30" customHeight="1" thickBot="1" x14ac:dyDescent="0.25">
      <c r="A61" s="4"/>
      <c r="B61" s="80" t="s">
        <v>54</v>
      </c>
      <c r="C61" s="81"/>
      <c r="D61" s="81"/>
      <c r="E61" s="51">
        <f>F60/E60/100*100</f>
        <v>0.79907407407407405</v>
      </c>
      <c r="F61" s="51"/>
      <c r="G61" s="51"/>
      <c r="H61" s="51"/>
      <c r="I61" s="51"/>
      <c r="J61" s="52"/>
    </row>
    <row r="62" spans="1:10" ht="30" customHeight="1" thickBot="1" x14ac:dyDescent="0.25">
      <c r="A62" s="4"/>
      <c r="B62" s="80" t="s">
        <v>55</v>
      </c>
      <c r="C62" s="81"/>
      <c r="D62" s="81"/>
      <c r="E62" s="71" t="str">
        <f>_xlfn.IFS(E61&gt;=90%,"ممتاز",E61&gt;=80%,"جيد جداً",E61&gt;=70%,"جيد",E61&gt;=60%,"مقبول",E61&lt;60%,"راسب")</f>
        <v>جيد</v>
      </c>
      <c r="F62" s="71"/>
      <c r="G62" s="71"/>
      <c r="H62" s="71"/>
      <c r="I62" s="71"/>
      <c r="J62" s="72"/>
    </row>
    <row r="63" spans="1:10" ht="42" customHeight="1" x14ac:dyDescent="0.2">
      <c r="B63" s="67" t="s">
        <v>174</v>
      </c>
      <c r="C63" s="67"/>
      <c r="D63" s="67"/>
      <c r="E63" s="77" t="s">
        <v>52</v>
      </c>
      <c r="F63" s="77"/>
      <c r="G63" s="69" t="s">
        <v>105</v>
      </c>
      <c r="H63" s="69"/>
      <c r="I63" s="69"/>
      <c r="J63" s="69"/>
    </row>
    <row r="64" spans="1:10" ht="51" customHeight="1" x14ac:dyDescent="0.2">
      <c r="A64" s="5"/>
      <c r="B64" s="68"/>
      <c r="C64" s="68"/>
      <c r="D64" s="68"/>
      <c r="E64" s="73" t="s">
        <v>53</v>
      </c>
      <c r="F64" s="73"/>
      <c r="G64" s="70"/>
      <c r="H64" s="70"/>
      <c r="I64" s="70"/>
      <c r="J64" s="7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5">
    <mergeCell ref="B54:D54"/>
    <mergeCell ref="B55:D55"/>
    <mergeCell ref="B56:D56"/>
    <mergeCell ref="B57:D57"/>
    <mergeCell ref="B58:D58"/>
    <mergeCell ref="B59:D5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62:D6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E63:F63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3:D64"/>
    <mergeCell ref="G63:J63"/>
    <mergeCell ref="G64:J64"/>
    <mergeCell ref="E62:J6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4:F64"/>
    <mergeCell ref="G60:J60"/>
    <mergeCell ref="I47:J47"/>
    <mergeCell ref="B1:J1"/>
    <mergeCell ref="F2:J2"/>
    <mergeCell ref="B5:D6"/>
    <mergeCell ref="C2:D2"/>
    <mergeCell ref="C3:D3"/>
    <mergeCell ref="F3:J3"/>
    <mergeCell ref="E61:J6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0:D60"/>
    <mergeCell ref="B61:D6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2">
    <cfRule type="expression" dxfId="14" priority="57">
      <formula>$E62="راسب"</formula>
    </cfRule>
  </conditionalFormatting>
  <conditionalFormatting sqref="E62:J62">
    <cfRule type="expression" dxfId="13" priority="58">
      <formula>$E62="مقبول"</formula>
    </cfRule>
    <cfRule type="expression" dxfId="12" priority="59">
      <formula>$E62="جيد"</formula>
    </cfRule>
    <cfRule type="expression" dxfId="11" priority="60">
      <formula>$E62="جيد جداً"</formula>
    </cfRule>
    <cfRule type="expression" dxfId="10" priority="61">
      <formula>$E62="ممتاز"</formula>
    </cfRule>
  </conditionalFormatting>
  <conditionalFormatting sqref="F8:F5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3:J63">
    <cfRule type="containsText" dxfId="6" priority="15" operator="containsText" text="أدخل اسم المحكم">
      <formula>NOT(ISERROR(SEARCH("أدخل اسم المحكم",G63)))</formula>
    </cfRule>
  </conditionalFormatting>
  <conditionalFormatting sqref="H8:H5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F55 F34:F36 F39:F44 F13 F48:F51 F57:F59 F21:F23 F46 F17:F19 F26:F31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G63:J63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F9 F10 F20 F53 F54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F11 F12 F14 F16 F47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F15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F25 F33 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2025-09-22T05:33:45Z</dcterms:modified>
</cp:coreProperties>
</file>