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F16B90C-491E-4BD3-8B46-70B452C721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8" i="2"/>
  <c r="H38" i="2"/>
  <c r="G39" i="2"/>
  <c r="H39" i="2"/>
  <c r="G40" i="2"/>
  <c r="H40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F68" i="2"/>
  <c r="E68" i="2"/>
  <c r="E69" i="2"/>
  <c r="E70" i="2"/>
</calcChain>
</file>

<file path=xl/sharedStrings.xml><?xml version="1.0" encoding="utf-8"?>
<sst xmlns="http://schemas.openxmlformats.org/spreadsheetml/2006/main" count="293" uniqueCount="237">
  <si>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</si>
  <si>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</si>
  <si>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</si>
  <si>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</si>
  <si>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</si>
  <si>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</si>
  <si>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</si>
  <si>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</si>
  <si>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</si>
  <si>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</si>
  <si>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</si>
  <si>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</si>
  <si>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</si>
  <si>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</si>
  <si>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</si>
  <si>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</si>
  <si>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</si>
  <si>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</si>
  <si>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</si>
  <si>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</si>
  <si>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</si>
  <si>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</si>
  <si>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</si>
  <si>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</si>
  <si>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</si>
  <si>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</si>
  <si>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</si>
  <si>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</si>
  <si>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</si>
  <si>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</si>
  <si>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</si>
  <si>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</si>
  <si>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</si>
  <si>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</si>
  <si>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</si>
  <si>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</si>
  <si>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</si>
  <si>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</si>
  <si>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</si>
  <si>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</si>
  <si>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</si>
  <si>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</si>
  <si>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</si>
  <si>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</si>
  <si>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</si>
  <si>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</si>
  <si>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</si>
  <si>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</si>
  <si>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</si>
  <si>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</si>
  <si>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</si>
  <si>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</si>
  <si>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</si>
  <si>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</si>
  <si>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</si>
  <si>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</si>
  <si>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</si>
  <si>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</si>
  <si>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</si>
  <si>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</si>
  <si>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</si>
  <si>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</si>
  <si>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</si>
  <si>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</si>
  <si>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</si>
  <si>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</si>
  <si>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</si>
  <si>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</si>
  <si>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</si>
  <si>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</si>
  <si>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</si>
  <si>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</si>
  <si>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</si>
  <si>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</si>
  <si>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</si>
  <si>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</si>
  <si>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</si>
  <si>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</si>
  <si>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</si>
  <si>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</si>
  <si>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</si>
  <si>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</si>
  <si>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</si>
  <si>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</si>
  <si>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</si>
  <si>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</si>
  <si>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</si>
  <si>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</si>
  <si>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</si>
  <si>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</si>
  <si>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</si>
  <si>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</si>
  <si>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</si>
  <si>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</si>
  <si>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</si>
  <si>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</si>
  <si>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</si>
  <si>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</si>
  <si>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</si>
  <si>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</si>
  <si>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</si>
  <si>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</si>
  <si>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</si>
  <si>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</si>
  <si>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</si>
  <si>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</si>
  <si>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</si>
  <si>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</si>
  <si>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</si>
  <si>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</si>
  <si>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</si>
  <si>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</si>
  <si>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</si>
  <si>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</si>
  <si>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</si>
  <si>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</si>
  <si>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</si>
  <si>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</si>
  <si>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</si>
  <si>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</si>
  <si>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</si>
  <si>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</si>
  <si>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</si>
  <si>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</si>
  <si>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</si>
  <si>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</si>
  <si>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</si>
  <si>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</si>
  <si>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</si>
  <si>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</si>
  <si>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</si>
  <si>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</si>
  <si>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</si>
  <si>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</si>
  <si>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</si>
  <si>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</si>
  <si>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</si>
  <si>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</si>
  <si>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</si>
  <si>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</si>
  <si>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</si>
  <si>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</si>
  <si>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</si>
  <si>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</si>
  <si>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</si>
  <si>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</si>
  <si>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</si>
  <si>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</si>
  <si>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</si>
  <si>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</si>
  <si>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</si>
  <si>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</si>
  <si>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</si>
  <si>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</si>
  <si>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</si>
  <si>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</si>
  <si>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</si>
  <si>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</si>
  <si>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</si>
  <si>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</si>
  <si>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</si>
  <si>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</si>
  <si>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</si>
  <si>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</si>
  <si>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</si>
  <si>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</si>
  <si>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</si>
  <si>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</si>
  <si>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</si>
  <si>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</si>
  <si>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</si>
  <si>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</si>
  <si>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</si>
  <si>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</si>
  <si>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</si>
  <si>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</si>
  <si>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</si>
  <si>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تنفيذ مرحلة التخطيط في منطقة الحشد إذا توفر الوقت لذلك، أو يتم تنفيذها كاملة أو جزء منها في منطقة التجمع.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</si>
  <si>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 يعمل القادة في السرية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</si>
  <si>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تستلم قيادة السرية أمر العمليات من المستوى الأعلى ويتم القيام بما يلي:</t>
    </r>
  </si>
  <si>
    <r>
      <t>أ‌.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</si>
  <si>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</si>
  <si>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</si>
  <si>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</si>
  <si>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t>(3)   ممرات الحركة من منطقة التجمع وحتى الأهداف.</t>
  </si>
  <si>
    <t>(4)   خط البدء وخط الانفتاح المحتمل.</t>
  </si>
  <si>
    <t>(5)   الأماكن المحتملة لكمائن العدو على طول طرق الحركة.</t>
  </si>
  <si>
    <t>جـ.   الحصول على المعلومات الاستخبارية من المستوى الأعلى.</t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</si>
  <si>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Calibri Light"/>
        <family val="2"/>
      </rPr>
      <t xml:space="preserve">  </t>
    </r>
  </si>
  <si>
    <t>(1)   قوة الإسناد. (في حال وجود فصيل إسناد في تنظيم السرية/ الفريق، يقوم الفصيل بدور الإسناد في جميع المراحل).</t>
  </si>
  <si>
    <t>(2)   قوة فتح الثغرة (تقديم الإسناد لعناصر الهندسة في فتح الثغرة).</t>
  </si>
  <si>
    <t>(3)   قوة الاقتحام.</t>
  </si>
  <si>
    <t xml:space="preserve">(4)   واجبات عناصر الإسناد القتالي.  </t>
  </si>
  <si>
    <t>هـ.   توحيد وتنسيق الوظائف القتالية كما يلي:</t>
  </si>
  <si>
    <r>
      <t>(1)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</si>
  <si>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t>(أ)    تخطيط النيران على جميع مواقع العدو المعروفة والمحتملة ولعزل الهدف.</t>
  </si>
  <si>
    <t>(ب)   تخطيط نيران الإعماء/ الحجب عند الضرورة.</t>
  </si>
  <si>
    <t>(جـ)  تخطيط نيران لإسناد قوات فتح الثغرة في الموانع.</t>
  </si>
  <si>
    <t>(د)   تخطيط الأهداف لحماية القوات المقتحمة بواسطة إسكات وتحييد وتدمير أسلحة نيران العدو المباشرة.</t>
  </si>
  <si>
    <t>(هـ)   تخطيط النيران ضد تعزيزات العدو أثناء الهجوم ولإسناد التثبت وإعادة التنظيم للسرية فور احتلال الهدف والاستيلاء عليه والتخطيط للنيران لما بعد الأهداف.</t>
  </si>
  <si>
    <t>(2)   الإسناد الهندسي:</t>
  </si>
  <si>
    <t>(أ)   تحديد واجبات قابلية الحركة الضرورية في منطقة عمليات الكتيبة/ مجموعة القتال وعلى طول ممرات الحركة وحتى الأهداف.</t>
  </si>
  <si>
    <t>(ب)   تحديد مكان مواقع فتح الثغرة.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</si>
  <si>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</si>
  <si>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</si>
  <si>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</si>
  <si>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</si>
  <si>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</si>
  <si>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التجارب على تنفيذ الهجوم مع التركيز على ما يلي:  </t>
    </r>
  </si>
  <si>
    <t>أ.  الأعمال التي تُنفَذ عند خط الاقتحام.</t>
  </si>
  <si>
    <t>ب.  فتح الثغرة واختراق الموانع.</t>
  </si>
  <si>
    <r>
      <t>جـ.  الأعمال التي تُنفذ على الهدف (الاقتحام والتثبت وإعادة التنظيم)</t>
    </r>
    <r>
      <rPr>
        <b/>
        <sz val="12"/>
        <color rgb="FF000000"/>
        <rFont val="Arial"/>
        <family val="2"/>
      </rPr>
      <t xml:space="preserve"> .</t>
    </r>
  </si>
  <si>
    <t>د.  العمل عند التماس مع العدو أثناء الحركة مثل (الكمائن، الهجمات التخريبية، القصف المدفعي، الهجوم الجوي، ... إلخ).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</si>
  <si>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</si>
  <si>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</si>
  <si>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</si>
  <si>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مناسبة.</t>
    </r>
  </si>
  <si>
    <r>
      <t>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</si>
  <si>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</si>
  <si>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إذا كانت السرية تنفذ الهجوم كجزء من الكتيبة/ مجموعة القتال، فإنها تبدأ بالتحول من تشكيل المسير إلى تشكيل ما قبل المعركة (خط الفتح التعبوي) على مسافة (6 – 8) كم من الحد الأمامي لمنطقة معركة العدو (التحول من تشكيل ارتال كتائب الى ارتال سرايا).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</si>
  <si>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تقوم الفصائل بالانفتاح على مسافة (4 – 6) كم من الحد الأمامي لمنطقة معركة العدو والتحول من تشكيل ارتال سرايا الى ارتال فصائل. 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</si>
  <si>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عند الوصول إلى منطقة التشكيل تنفتح قوات الاقتحام وأسلحة الإسناد حسب التشكيلة النهائية للاقتحام.</t>
    </r>
  </si>
  <si>
    <r>
      <t>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تقوم القوات المقتحمة وأسلحة الإسناد بإكمال التحضيرات النهائية للهجوم.</t>
    </r>
  </si>
  <si>
    <r>
      <t>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يقوم فصيل الإسناد أو أحد الفصائل بتأسيس قاعدة الاسناد بالنيران.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</si>
  <si>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القيام بإجراءات فتح الثغرة في موانع العدو عند الضرورة.  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</si>
  <si>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خطة الإسناد الناري غير المباشر.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</si>
  <si>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يتأكد قائد السرية أن عناصر الهندسة المخصصة نجحت في فتح ثغرات في حقول الألغام وموانع العدو.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</si>
  <si>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منطقة التشكيل إلى خط البدء.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</si>
  <si>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خط البدء إلى منطقة ترجل الأفراد بأسلوب النار والحركة. (يتم تحديد أماكن ترجل عناصر المشاة بناءً على متغيرات المهمة.)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</si>
  <si>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الحركة من خط الترجل إلى خط الاقتحام.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</si>
  <si>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نقل النيران والدخان لإسكات قوات العدو وحجب قواتنا الصديقة.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</si>
  <si>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الاقتحام النهائي من خط الاقتحام إلى الأهداف.   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</si>
  <si>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استدعاء مصادر الإدامة للأمام عند الحاجة.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</si>
  <si>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التثبت وإعادة التنظيم على الهدف.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</si>
  <si>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الاستعداد للعمليات المستقبلية.</t>
    </r>
  </si>
  <si>
    <t>ملاحظة: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</si>
  <si>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المدبر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</si>
</sst>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8" fillId="0" borderId="23" xfId="0" applyFont="1" applyBorder="1" applyAlignment="1">
      <alignment horizontal="right" vertical="center" wrapText="1" readingOrder="2"/>
    </xf>
    <xf numFmtId="0" fontId="18" fillId="0" borderId="3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5" fillId="0" borderId="23" xfId="0" applyFont="1" applyBorder="1" applyAlignment="1">
      <alignment horizontal="right" vertical="center" wrapText="1" indent="4" readingOrder="2"/>
    </xf>
    <xf numFmtId="0" fontId="15" fillId="0" borderId="3" xfId="0" applyFont="1" applyBorder="1" applyAlignment="1">
      <alignment horizontal="right" vertical="center" wrapText="1" indent="4" readingOrder="2"/>
    </xf>
    <xf numFmtId="0" fontId="15" fillId="0" borderId="23" xfId="0" applyFont="1" applyBorder="1" applyAlignment="1">
      <alignment horizontal="right" vertical="center" wrapText="1" indent="6" readingOrder="2"/>
    </xf>
    <xf numFmtId="0" fontId="15" fillId="0" borderId="3" xfId="0" applyFont="1" applyBorder="1" applyAlignment="1">
      <alignment horizontal="right" vertical="center" wrapText="1" indent="6" readingOrder="2"/>
    </xf>
    <xf numFmtId="0" fontId="18" fillId="0" borderId="11" xfId="0" applyFont="1" applyBorder="1" applyAlignment="1">
      <alignment horizontal="right" vertical="center" wrapText="1" readingOrder="2"/>
    </xf>
    <xf numFmtId="0" fontId="18" fillId="0" borderId="12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539762</xdr:colOff>
      <xdr:row>71</xdr:row>
      <xdr:rowOff>255120</xdr:rowOff>
    </xdr:from>
    <xdr:to>
      <xdr:col>8</xdr:col>
      <xdr:colOff>417700</xdr:colOff>
      <xdr:row>71</xdr:row>
      <xdr:rowOff>597120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6C9CCB8-CF9B-0842-C515-2541C0E3B994}"/>
                </a:ext>
              </a:extLst>
            </xdr14:cNvPr>
            <xdr14:cNvContentPartPr/>
          </xdr14:nvContentPartPr>
          <xdr14:nvPr macro=""/>
          <xdr14:xfrm>
            <a:off x="10436633956" y="36297720"/>
            <a:ext cx="1194120" cy="342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6C9CCB8-CF9B-0842-C515-2541C0E3B9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624956" y="36289080"/>
              <a:ext cx="1211760" cy="359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25:16.7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3210 388,'0'0,"0"0,0 0,0 0,0 0,0 0,0 0,0 0,0 0,0 0,0 0,-19 0,0-19,16 16,-12 6,-23-3,32 0,-25 0,-25 0,47 0,-93 0,-29 0,111 0,-127 19,-40 20,157-33,-144 7,-68 46,201-50,-161 20,-59 29,221-49,-162 20,-21 10,188-33,-154 26,-16 7,173-33,-104 26,7-32,108 0,-71 19,18-19,63 0,-34 0,8 0,31 0,49-19,-41 18,33-36,77-21,-97 50,119-61,53-27,-162 83,173-71,63 7,-224 66,205-75,57-10,-256 82,230-49,-13 25,-223 32,150-7,-19-7,-145 18,66 4,22-2,-94 0,22 0,-2 20,-32-18,-28 15,4 2,16-16,-106 90,-2 3,93-80,-77 65,-54 15,126-81,-121 86,-42 15,157-98,-91 60,-11-1,112-66,-36 16,0 12,46-34,-2-10,11 24,0-16,38-25,17 22,-46 0,20-19,27 19,-47 0,37-20,29 1,-63 16,32 6,12-22,-47 16,19 6,-9-22,-17 16,-23 6,2-3,16 0,-12 0,-3 0,14 0,-12 0,36 0,-17 0,-6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2"/>
  <sheetViews>
    <sheetView rightToLeft="1" tabSelected="1" view="pageBreakPreview" topLeftCell="B1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236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2" t="s">
        <v>8</v>
      </c>
      <c r="C2" s="60" t="s">
        <v>43</v>
      </c>
      <c r="D2" s="60"/>
      <c r="E2" s="12" t="s">
        <v>7</v>
      </c>
      <c r="F2" s="55">
        <v>45927</v>
      </c>
      <c r="G2" s="55"/>
      <c r="H2" s="55"/>
      <c r="I2" s="55"/>
      <c r="J2" s="55"/>
    </row>
    <row r="3" spans="1:10" ht="30" customHeight="1" x14ac:dyDescent="0.3">
      <c r="B3" s="12" t="s">
        <v>9</v>
      </c>
      <c r="C3" s="60" t="s">
        <v>87</v>
      </c>
      <c r="D3" s="60"/>
      <c r="E3" s="12" t="s">
        <v>6</v>
      </c>
      <c r="F3" s="60" t="s">
        <v>131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" customHeight="1" thickBot="1" x14ac:dyDescent="0.3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7"/>
      <c r="J6" s="68"/>
    </row>
    <row r="7" spans="1:10" ht="24.9" customHeight="1" thickBot="1" x14ac:dyDescent="0.35">
      <c r="A7" s="10"/>
      <c r="B7" s="63" t="s">
        <v>21</v>
      </c>
      <c r="C7" s="64"/>
      <c r="D7" s="64"/>
      <c r="E7" s="27" t="s">
        <v>18</v>
      </c>
      <c r="F7" s="27" t="s">
        <v>19</v>
      </c>
      <c r="G7" s="27" t="s">
        <v>22</v>
      </c>
      <c r="H7" s="27" t="s">
        <v>20</v>
      </c>
      <c r="I7" s="69" t="s">
        <v>25</v>
      </c>
      <c r="J7" s="70"/>
    </row>
    <row r="8" spans="1:10" ht="39.9" customHeight="1" x14ac:dyDescent="0.3">
      <c r="A8" s="10"/>
      <c r="B8" s="81" t="s">
        <v>176</v>
      </c>
      <c r="C8" s="82"/>
      <c r="D8" s="82"/>
      <c r="E8" s="34"/>
      <c r="F8" s="35"/>
      <c r="G8" s="36"/>
      <c r="H8" s="37"/>
      <c r="I8" s="52"/>
      <c r="J8" s="53"/>
    </row>
    <row r="9" spans="1:10" ht="39.9" customHeight="1" x14ac:dyDescent="0.3">
      <c r="A9" s="10"/>
      <c r="B9" s="83" t="s">
        <v>177</v>
      </c>
      <c r="C9" s="84"/>
      <c r="D9" s="84"/>
      <c r="E9" s="9"/>
      <c r="F9" s="26"/>
      <c r="G9" s="30"/>
      <c r="H9" s="31"/>
      <c r="I9" s="43"/>
      <c r="J9" s="44"/>
    </row>
    <row r="10" spans="1:10" ht="39.9" customHeight="1" x14ac:dyDescent="0.3">
      <c r="A10" s="10"/>
      <c r="B10" s="85" t="s">
        <v>178</v>
      </c>
      <c r="C10" s="86"/>
      <c r="D10" s="86"/>
      <c r="E10" s="9">
        <v>5</v>
      </c>
      <c r="F10" s="26">
        <v>3.5</v>
      </c>
      <c r="G10" s="30">
        <f t="shared" ref="G10:G67" si="0">IFERROR(F10/E10,"")</f>
        <v>0.7</v>
      </c>
      <c r="H10" s="31" t="str">
        <f t="shared" ref="H10:H67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9.9" customHeight="1" x14ac:dyDescent="0.3">
      <c r="A11" s="10"/>
      <c r="B11" s="87" t="s">
        <v>179</v>
      </c>
      <c r="C11" s="88"/>
      <c r="D11" s="88"/>
      <c r="E11" s="29"/>
      <c r="F11" s="42">
        <v>3.5</v>
      </c>
      <c r="G11" s="30"/>
      <c r="H11" s="31"/>
      <c r="I11" s="43"/>
      <c r="J11" s="44"/>
    </row>
    <row r="12" spans="1:10" ht="51" customHeight="1" x14ac:dyDescent="0.3">
      <c r="A12" s="10"/>
      <c r="B12" s="89" t="s">
        <v>180</v>
      </c>
      <c r="C12" s="90"/>
      <c r="D12" s="90"/>
      <c r="E12" s="9">
        <v>5</v>
      </c>
      <c r="F12" s="42">
        <v>3.5</v>
      </c>
      <c r="G12" s="30">
        <f t="shared" si="0"/>
        <v>0.7</v>
      </c>
      <c r="H12" s="31" t="str">
        <f t="shared" si="1"/>
        <v>جيد</v>
      </c>
      <c r="I12" s="43"/>
      <c r="J12" s="44"/>
    </row>
    <row r="13" spans="1:10" ht="39.9" customHeight="1" x14ac:dyDescent="0.3">
      <c r="A13" s="10"/>
      <c r="B13" s="89" t="s">
        <v>181</v>
      </c>
      <c r="C13" s="90"/>
      <c r="D13" s="90"/>
      <c r="E13" s="29"/>
      <c r="F13" s="26"/>
      <c r="G13" s="30"/>
      <c r="H13" s="31"/>
      <c r="I13" s="43"/>
      <c r="J13" s="44"/>
    </row>
    <row r="14" spans="1:10" ht="39.9" customHeight="1" x14ac:dyDescent="0.3">
      <c r="A14" s="10"/>
      <c r="B14" s="91" t="s">
        <v>182</v>
      </c>
      <c r="C14" s="92"/>
      <c r="D14" s="92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3"/>
      <c r="J14" s="44"/>
    </row>
    <row r="15" spans="1:10" ht="39.9" customHeight="1" x14ac:dyDescent="0.3">
      <c r="A15" s="10"/>
      <c r="B15" s="91" t="s">
        <v>183</v>
      </c>
      <c r="C15" s="92"/>
      <c r="D15" s="92"/>
      <c r="E15" s="9">
        <v>5</v>
      </c>
      <c r="F15" s="42">
        <v>3.5</v>
      </c>
      <c r="G15" s="30">
        <f t="shared" si="0"/>
        <v>0.7</v>
      </c>
      <c r="H15" s="31" t="str">
        <f t="shared" si="1"/>
        <v>جيد</v>
      </c>
      <c r="I15" s="43"/>
      <c r="J15" s="44"/>
    </row>
    <row r="16" spans="1:10" ht="39.9" customHeight="1" x14ac:dyDescent="0.3">
      <c r="A16" s="10"/>
      <c r="B16" s="91" t="s">
        <v>184</v>
      </c>
      <c r="C16" s="92"/>
      <c r="D16" s="92"/>
      <c r="E16" s="9">
        <v>5</v>
      </c>
      <c r="F16" s="42">
        <v>3.5</v>
      </c>
      <c r="G16" s="30">
        <f t="shared" si="0"/>
        <v>0.7</v>
      </c>
      <c r="H16" s="31" t="str">
        <f t="shared" si="1"/>
        <v>جيد</v>
      </c>
      <c r="I16" s="43"/>
      <c r="J16" s="44"/>
    </row>
    <row r="17" spans="1:10" ht="39.9" customHeight="1" x14ac:dyDescent="0.3">
      <c r="A17" s="10"/>
      <c r="B17" s="91" t="s">
        <v>185</v>
      </c>
      <c r="C17" s="92"/>
      <c r="D17" s="92"/>
      <c r="E17" s="9">
        <v>5</v>
      </c>
      <c r="F17" s="42">
        <v>3.5</v>
      </c>
      <c r="G17" s="30">
        <f t="shared" si="0"/>
        <v>0.7</v>
      </c>
      <c r="H17" s="31" t="str">
        <f t="shared" si="1"/>
        <v>جيد</v>
      </c>
      <c r="I17" s="43"/>
      <c r="J17" s="44"/>
    </row>
    <row r="18" spans="1:10" ht="39.9" customHeight="1" x14ac:dyDescent="0.3">
      <c r="A18" s="10"/>
      <c r="B18" s="91" t="s">
        <v>186</v>
      </c>
      <c r="C18" s="92"/>
      <c r="D18" s="92"/>
      <c r="E18" s="9">
        <v>5</v>
      </c>
      <c r="F18" s="42">
        <v>3.5</v>
      </c>
      <c r="G18" s="30">
        <f t="shared" si="0"/>
        <v>0.7</v>
      </c>
      <c r="H18" s="31" t="str">
        <f t="shared" si="1"/>
        <v>جيد</v>
      </c>
      <c r="I18" s="43"/>
      <c r="J18" s="44"/>
    </row>
    <row r="19" spans="1:10" ht="39.9" customHeight="1" x14ac:dyDescent="0.3">
      <c r="A19" s="10"/>
      <c r="B19" s="89" t="s">
        <v>187</v>
      </c>
      <c r="C19" s="90"/>
      <c r="D19" s="90"/>
      <c r="E19" s="9">
        <v>5</v>
      </c>
      <c r="F19" s="42">
        <v>3.5</v>
      </c>
      <c r="G19" s="30">
        <f t="shared" si="0"/>
        <v>0.7</v>
      </c>
      <c r="H19" s="31" t="str">
        <f t="shared" si="1"/>
        <v>جيد</v>
      </c>
      <c r="I19" s="43"/>
      <c r="J19" s="44"/>
    </row>
    <row r="20" spans="1:10" ht="39.9" customHeight="1" x14ac:dyDescent="0.3">
      <c r="A20" s="10"/>
      <c r="B20" s="89" t="s">
        <v>188</v>
      </c>
      <c r="C20" s="90"/>
      <c r="D20" s="90"/>
      <c r="E20" s="29"/>
      <c r="F20" s="26"/>
      <c r="G20" s="30"/>
      <c r="H20" s="31"/>
      <c r="I20" s="43"/>
      <c r="J20" s="44"/>
    </row>
    <row r="21" spans="1:10" ht="39.9" customHeight="1" x14ac:dyDescent="0.3">
      <c r="A21" s="10"/>
      <c r="B21" s="91" t="s">
        <v>189</v>
      </c>
      <c r="C21" s="92"/>
      <c r="D21" s="92"/>
      <c r="E21" s="9">
        <v>5</v>
      </c>
      <c r="F21" s="26">
        <v>4</v>
      </c>
      <c r="G21" s="30">
        <f t="shared" si="0"/>
        <v>0.8</v>
      </c>
      <c r="H21" s="31" t="str">
        <f t="shared" si="1"/>
        <v>جيد جداً</v>
      </c>
      <c r="I21" s="43"/>
      <c r="J21" s="44"/>
    </row>
    <row r="22" spans="1:10" ht="39.9" customHeight="1" x14ac:dyDescent="0.3">
      <c r="A22" s="10"/>
      <c r="B22" s="91" t="s">
        <v>190</v>
      </c>
      <c r="C22" s="92"/>
      <c r="D22" s="92"/>
      <c r="E22" s="9">
        <v>5</v>
      </c>
      <c r="F22" s="42">
        <v>4</v>
      </c>
      <c r="G22" s="30">
        <f t="shared" si="0"/>
        <v>0.8</v>
      </c>
      <c r="H22" s="31" t="str">
        <f t="shared" si="1"/>
        <v>جيد جداً</v>
      </c>
      <c r="I22" s="43"/>
      <c r="J22" s="44"/>
    </row>
    <row r="23" spans="1:10" ht="39.9" customHeight="1" x14ac:dyDescent="0.3">
      <c r="A23" s="10"/>
      <c r="B23" s="91" t="s">
        <v>191</v>
      </c>
      <c r="C23" s="92"/>
      <c r="D23" s="92"/>
      <c r="E23" s="9">
        <v>5</v>
      </c>
      <c r="F23" s="42">
        <v>4</v>
      </c>
      <c r="G23" s="30">
        <f t="shared" si="0"/>
        <v>0.8</v>
      </c>
      <c r="H23" s="31" t="str">
        <f t="shared" si="1"/>
        <v>جيد جداً</v>
      </c>
      <c r="I23" s="43"/>
      <c r="J23" s="44"/>
    </row>
    <row r="24" spans="1:10" ht="39.9" customHeight="1" x14ac:dyDescent="0.3">
      <c r="A24" s="10"/>
      <c r="B24" s="91" t="s">
        <v>192</v>
      </c>
      <c r="C24" s="92"/>
      <c r="D24" s="92"/>
      <c r="E24" s="9">
        <v>5</v>
      </c>
      <c r="F24" s="42">
        <v>4</v>
      </c>
      <c r="G24" s="30">
        <f t="shared" si="0"/>
        <v>0.8</v>
      </c>
      <c r="H24" s="31" t="str">
        <f t="shared" si="1"/>
        <v>جيد جداً</v>
      </c>
      <c r="I24" s="43"/>
      <c r="J24" s="44"/>
    </row>
    <row r="25" spans="1:10" ht="39.9" customHeight="1" x14ac:dyDescent="0.3">
      <c r="A25" s="10"/>
      <c r="B25" s="89" t="s">
        <v>193</v>
      </c>
      <c r="C25" s="90"/>
      <c r="D25" s="90"/>
      <c r="E25" s="9"/>
      <c r="F25" s="26"/>
      <c r="G25" s="30"/>
      <c r="H25" s="31"/>
      <c r="I25" s="43"/>
      <c r="J25" s="44"/>
    </row>
    <row r="26" spans="1:10" ht="39.9" customHeight="1" x14ac:dyDescent="0.3">
      <c r="A26" s="10"/>
      <c r="B26" s="91" t="s">
        <v>194</v>
      </c>
      <c r="C26" s="92"/>
      <c r="D26" s="92"/>
      <c r="E26" s="29"/>
      <c r="F26" s="26"/>
      <c r="G26" s="30"/>
      <c r="H26" s="31"/>
      <c r="I26" s="43"/>
      <c r="J26" s="44"/>
    </row>
    <row r="27" spans="1:10" ht="39.9" customHeight="1" x14ac:dyDescent="0.3">
      <c r="A27" s="10"/>
      <c r="B27" s="93" t="s">
        <v>195</v>
      </c>
      <c r="C27" s="94"/>
      <c r="D27" s="94"/>
      <c r="E27" s="9">
        <v>5</v>
      </c>
      <c r="F27" s="26">
        <v>4</v>
      </c>
      <c r="G27" s="30">
        <f t="shared" si="0"/>
        <v>0.8</v>
      </c>
      <c r="H27" s="31" t="str">
        <f t="shared" si="1"/>
        <v>جيد جداً</v>
      </c>
      <c r="I27" s="43"/>
      <c r="J27" s="44"/>
    </row>
    <row r="28" spans="1:10" ht="39.9" customHeight="1" x14ac:dyDescent="0.3">
      <c r="A28" s="10"/>
      <c r="B28" s="93" t="s">
        <v>196</v>
      </c>
      <c r="C28" s="94"/>
      <c r="D28" s="94"/>
      <c r="E28" s="9">
        <v>5</v>
      </c>
      <c r="F28" s="42">
        <v>4</v>
      </c>
      <c r="G28" s="30">
        <f t="shared" si="0"/>
        <v>0.8</v>
      </c>
      <c r="H28" s="31" t="str">
        <f t="shared" si="1"/>
        <v>جيد جداً</v>
      </c>
      <c r="I28" s="43"/>
      <c r="J28" s="44"/>
    </row>
    <row r="29" spans="1:10" ht="39.9" customHeight="1" x14ac:dyDescent="0.3">
      <c r="A29" s="10"/>
      <c r="B29" s="93" t="s">
        <v>197</v>
      </c>
      <c r="C29" s="94"/>
      <c r="D29" s="94"/>
      <c r="E29" s="32">
        <v>5</v>
      </c>
      <c r="F29" s="42">
        <v>4</v>
      </c>
      <c r="G29" s="30">
        <f t="shared" si="0"/>
        <v>0.8</v>
      </c>
      <c r="H29" s="31" t="str">
        <f t="shared" si="1"/>
        <v>جيد جداً</v>
      </c>
      <c r="I29" s="43"/>
      <c r="J29" s="44"/>
    </row>
    <row r="30" spans="1:10" ht="39.9" customHeight="1" x14ac:dyDescent="0.3">
      <c r="A30" s="10"/>
      <c r="B30" s="93" t="s">
        <v>198</v>
      </c>
      <c r="C30" s="94"/>
      <c r="D30" s="94"/>
      <c r="E30" s="32">
        <v>5</v>
      </c>
      <c r="F30" s="42">
        <v>4</v>
      </c>
      <c r="G30" s="30">
        <f t="shared" si="0"/>
        <v>0.8</v>
      </c>
      <c r="H30" s="31" t="str">
        <f t="shared" si="1"/>
        <v>جيد جداً</v>
      </c>
      <c r="I30" s="43"/>
      <c r="J30" s="44"/>
    </row>
    <row r="31" spans="1:10" ht="51.75" customHeight="1" x14ac:dyDescent="0.3">
      <c r="A31" s="10"/>
      <c r="B31" s="93" t="s">
        <v>199</v>
      </c>
      <c r="C31" s="94"/>
      <c r="D31" s="94"/>
      <c r="E31" s="32">
        <v>5</v>
      </c>
      <c r="F31" s="42">
        <v>3.5</v>
      </c>
      <c r="G31" s="30">
        <f t="shared" si="0"/>
        <v>0.7</v>
      </c>
      <c r="H31" s="31" t="str">
        <f t="shared" si="1"/>
        <v>جيد</v>
      </c>
      <c r="I31" s="43"/>
      <c r="J31" s="44"/>
    </row>
    <row r="32" spans="1:10" ht="39.9" customHeight="1" x14ac:dyDescent="0.3">
      <c r="A32" s="10"/>
      <c r="B32" s="91" t="s">
        <v>200</v>
      </c>
      <c r="C32" s="92"/>
      <c r="D32" s="92"/>
      <c r="E32" s="33"/>
      <c r="F32" s="26"/>
      <c r="G32" s="30"/>
      <c r="H32" s="31"/>
      <c r="I32" s="43"/>
      <c r="J32" s="44"/>
    </row>
    <row r="33" spans="1:10" ht="50.25" customHeight="1" x14ac:dyDescent="0.3">
      <c r="A33" s="10"/>
      <c r="B33" s="93" t="s">
        <v>201</v>
      </c>
      <c r="C33" s="94"/>
      <c r="D33" s="94"/>
      <c r="E33" s="32">
        <v>5</v>
      </c>
      <c r="F33" s="26">
        <v>3.5</v>
      </c>
      <c r="G33" s="30">
        <f t="shared" si="0"/>
        <v>0.7</v>
      </c>
      <c r="H33" s="31" t="str">
        <f t="shared" si="1"/>
        <v>جيد</v>
      </c>
      <c r="I33" s="43"/>
      <c r="J33" s="44"/>
    </row>
    <row r="34" spans="1:10" ht="39.9" customHeight="1" x14ac:dyDescent="0.3">
      <c r="A34" s="10"/>
      <c r="B34" s="93" t="s">
        <v>202</v>
      </c>
      <c r="C34" s="94"/>
      <c r="D34" s="94"/>
      <c r="E34" s="32">
        <v>5</v>
      </c>
      <c r="F34" s="42">
        <v>3.5</v>
      </c>
      <c r="G34" s="30">
        <f t="shared" si="0"/>
        <v>0.7</v>
      </c>
      <c r="H34" s="31" t="str">
        <f t="shared" si="1"/>
        <v>جيد</v>
      </c>
      <c r="I34" s="43"/>
      <c r="J34" s="44"/>
    </row>
    <row r="35" spans="1:10" ht="54" customHeight="1" thickBot="1" x14ac:dyDescent="0.35">
      <c r="A35" s="10"/>
      <c r="B35" s="95" t="s">
        <v>203</v>
      </c>
      <c r="C35" s="96"/>
      <c r="D35" s="96"/>
      <c r="E35" s="38">
        <v>5</v>
      </c>
      <c r="F35" s="42">
        <v>3.5</v>
      </c>
      <c r="G35" s="39">
        <f t="shared" si="0"/>
        <v>0.7</v>
      </c>
      <c r="H35" s="40" t="str">
        <f t="shared" si="1"/>
        <v>جيد</v>
      </c>
      <c r="I35" s="45"/>
      <c r="J35" s="46"/>
    </row>
    <row r="36" spans="1:10" ht="39.9" customHeight="1" x14ac:dyDescent="0.3">
      <c r="A36" s="10"/>
      <c r="B36" s="81" t="s">
        <v>204</v>
      </c>
      <c r="C36" s="82"/>
      <c r="D36" s="82"/>
      <c r="E36" s="34"/>
      <c r="F36" s="35"/>
      <c r="G36" s="36"/>
      <c r="H36" s="37"/>
      <c r="I36" s="52"/>
      <c r="J36" s="53"/>
    </row>
    <row r="37" spans="1:10" ht="52.5" customHeight="1" x14ac:dyDescent="0.3">
      <c r="A37" s="10"/>
      <c r="B37" s="83" t="s">
        <v>235</v>
      </c>
      <c r="C37" s="84"/>
      <c r="D37" s="84"/>
      <c r="E37" s="9"/>
      <c r="F37" s="26"/>
      <c r="G37" s="30"/>
      <c r="H37" s="31"/>
      <c r="I37" s="43"/>
      <c r="J37" s="44"/>
    </row>
    <row r="38" spans="1:10" ht="39.9" customHeight="1" x14ac:dyDescent="0.3">
      <c r="A38" s="10"/>
      <c r="B38" s="85" t="s">
        <v>205</v>
      </c>
      <c r="C38" s="86"/>
      <c r="D38" s="86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43"/>
      <c r="J38" s="44"/>
    </row>
    <row r="39" spans="1:10" ht="39.9" customHeight="1" x14ac:dyDescent="0.3">
      <c r="A39" s="10"/>
      <c r="B39" s="85" t="s">
        <v>206</v>
      </c>
      <c r="C39" s="86"/>
      <c r="D39" s="86"/>
      <c r="E39" s="9">
        <v>5</v>
      </c>
      <c r="F39" s="42">
        <v>3.75</v>
      </c>
      <c r="G39" s="30">
        <f t="shared" si="0"/>
        <v>0.75</v>
      </c>
      <c r="H39" s="31" t="str">
        <f t="shared" si="1"/>
        <v>جيد</v>
      </c>
      <c r="I39" s="43"/>
      <c r="J39" s="44"/>
    </row>
    <row r="40" spans="1:10" ht="39.9" customHeight="1" x14ac:dyDescent="0.3">
      <c r="A40" s="10"/>
      <c r="B40" s="85" t="s">
        <v>207</v>
      </c>
      <c r="C40" s="86"/>
      <c r="D40" s="86"/>
      <c r="E40" s="9">
        <v>5</v>
      </c>
      <c r="F40" s="42">
        <v>3.75</v>
      </c>
      <c r="G40" s="30">
        <f t="shared" si="0"/>
        <v>0.75</v>
      </c>
      <c r="H40" s="31" t="str">
        <f t="shared" si="1"/>
        <v>جيد</v>
      </c>
      <c r="I40" s="43"/>
      <c r="J40" s="44"/>
    </row>
    <row r="41" spans="1:10" ht="39.9" customHeight="1" x14ac:dyDescent="0.3">
      <c r="A41" s="10"/>
      <c r="B41" s="87" t="s">
        <v>208</v>
      </c>
      <c r="C41" s="88"/>
      <c r="D41" s="88"/>
      <c r="E41" s="29"/>
      <c r="F41" s="26"/>
      <c r="G41" s="30"/>
      <c r="H41" s="31"/>
      <c r="I41" s="43"/>
      <c r="J41" s="44"/>
    </row>
    <row r="42" spans="1:10" ht="39.9" customHeight="1" x14ac:dyDescent="0.3">
      <c r="A42" s="10"/>
      <c r="B42" s="89" t="s">
        <v>209</v>
      </c>
      <c r="C42" s="90"/>
      <c r="D42" s="90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43"/>
      <c r="J42" s="44"/>
    </row>
    <row r="43" spans="1:10" ht="39.9" customHeight="1" x14ac:dyDescent="0.3">
      <c r="A43" s="10"/>
      <c r="B43" s="89" t="s">
        <v>210</v>
      </c>
      <c r="C43" s="90"/>
      <c r="D43" s="90"/>
      <c r="E43" s="9">
        <v>5</v>
      </c>
      <c r="F43" s="42">
        <v>3.5</v>
      </c>
      <c r="G43" s="30">
        <f t="shared" si="0"/>
        <v>0.7</v>
      </c>
      <c r="H43" s="31" t="str">
        <f t="shared" si="1"/>
        <v>جيد</v>
      </c>
      <c r="I43" s="43"/>
      <c r="J43" s="44"/>
    </row>
    <row r="44" spans="1:10" ht="39.9" customHeight="1" x14ac:dyDescent="0.3">
      <c r="A44" s="10"/>
      <c r="B44" s="89" t="s">
        <v>211</v>
      </c>
      <c r="C44" s="90"/>
      <c r="D44" s="90"/>
      <c r="E44" s="9">
        <v>5</v>
      </c>
      <c r="F44" s="42">
        <v>3.5</v>
      </c>
      <c r="G44" s="30">
        <f t="shared" si="0"/>
        <v>0.7</v>
      </c>
      <c r="H44" s="31" t="str">
        <f t="shared" si="1"/>
        <v>جيد</v>
      </c>
      <c r="I44" s="43"/>
      <c r="J44" s="44"/>
    </row>
    <row r="45" spans="1:10" ht="39.9" customHeight="1" x14ac:dyDescent="0.3">
      <c r="A45" s="10"/>
      <c r="B45" s="89" t="s">
        <v>212</v>
      </c>
      <c r="C45" s="90"/>
      <c r="D45" s="90"/>
      <c r="E45" s="9">
        <v>5</v>
      </c>
      <c r="F45" s="42">
        <v>3.5</v>
      </c>
      <c r="G45" s="30">
        <f t="shared" si="0"/>
        <v>0.7</v>
      </c>
      <c r="H45" s="31" t="str">
        <f t="shared" si="1"/>
        <v>جيد</v>
      </c>
      <c r="I45" s="43"/>
      <c r="J45" s="44"/>
    </row>
    <row r="46" spans="1:10" ht="39.9" customHeight="1" x14ac:dyDescent="0.3">
      <c r="A46" s="10"/>
      <c r="B46" s="87" t="s">
        <v>213</v>
      </c>
      <c r="C46" s="88"/>
      <c r="D46" s="88"/>
      <c r="E46" s="9">
        <v>5</v>
      </c>
      <c r="F46" s="42">
        <v>3.5</v>
      </c>
      <c r="G46" s="30">
        <f t="shared" si="0"/>
        <v>0.7</v>
      </c>
      <c r="H46" s="31" t="str">
        <f t="shared" si="1"/>
        <v>جيد</v>
      </c>
      <c r="I46" s="43"/>
      <c r="J46" s="44"/>
    </row>
    <row r="47" spans="1:10" ht="39.9" customHeight="1" thickBot="1" x14ac:dyDescent="0.35">
      <c r="A47" s="10"/>
      <c r="B47" s="95" t="s">
        <v>214</v>
      </c>
      <c r="C47" s="96"/>
      <c r="D47" s="96"/>
      <c r="E47" s="41">
        <v>5</v>
      </c>
      <c r="F47" s="42">
        <v>3.5</v>
      </c>
      <c r="G47" s="39">
        <f t="shared" si="0"/>
        <v>0.7</v>
      </c>
      <c r="H47" s="40" t="str">
        <f t="shared" si="1"/>
        <v>جيد</v>
      </c>
      <c r="I47" s="45"/>
      <c r="J47" s="46"/>
    </row>
    <row r="48" spans="1:10" ht="39.9" customHeight="1" x14ac:dyDescent="0.3">
      <c r="A48" s="10"/>
      <c r="B48" s="81" t="s">
        <v>215</v>
      </c>
      <c r="C48" s="82"/>
      <c r="D48" s="82"/>
      <c r="E48" s="34"/>
      <c r="F48" s="35"/>
      <c r="G48" s="36"/>
      <c r="H48" s="37"/>
      <c r="I48" s="52"/>
      <c r="J48" s="53"/>
    </row>
    <row r="49" spans="1:10" ht="39.9" customHeight="1" x14ac:dyDescent="0.3">
      <c r="A49" s="10"/>
      <c r="B49" s="85" t="s">
        <v>216</v>
      </c>
      <c r="C49" s="86"/>
      <c r="D49" s="86"/>
      <c r="E49" s="9">
        <v>5</v>
      </c>
      <c r="F49" s="26">
        <v>3.5</v>
      </c>
      <c r="G49" s="30">
        <f t="shared" si="0"/>
        <v>0.7</v>
      </c>
      <c r="H49" s="31" t="str">
        <f t="shared" si="1"/>
        <v>جيد</v>
      </c>
      <c r="I49" s="43"/>
      <c r="J49" s="44"/>
    </row>
    <row r="50" spans="1:10" ht="53.25" customHeight="1" x14ac:dyDescent="0.3">
      <c r="A50" s="10"/>
      <c r="B50" s="85" t="s">
        <v>217</v>
      </c>
      <c r="C50" s="86"/>
      <c r="D50" s="86"/>
      <c r="E50" s="9">
        <v>5</v>
      </c>
      <c r="F50" s="42">
        <v>3.5</v>
      </c>
      <c r="G50" s="30">
        <f t="shared" si="0"/>
        <v>0.7</v>
      </c>
      <c r="H50" s="31" t="str">
        <f t="shared" si="1"/>
        <v>جيد</v>
      </c>
      <c r="I50" s="43"/>
      <c r="J50" s="44"/>
    </row>
    <row r="51" spans="1:10" ht="39.9" customHeight="1" x14ac:dyDescent="0.3">
      <c r="A51" s="10"/>
      <c r="B51" s="85" t="s">
        <v>218</v>
      </c>
      <c r="C51" s="86"/>
      <c r="D51" s="86"/>
      <c r="E51" s="9">
        <v>5</v>
      </c>
      <c r="F51" s="42">
        <v>3.5</v>
      </c>
      <c r="G51" s="30">
        <f t="shared" si="0"/>
        <v>0.7</v>
      </c>
      <c r="H51" s="31" t="str">
        <f t="shared" si="1"/>
        <v>جيد</v>
      </c>
      <c r="I51" s="43"/>
      <c r="J51" s="44"/>
    </row>
    <row r="52" spans="1:10" ht="71.25" customHeight="1" x14ac:dyDescent="0.3">
      <c r="A52" s="10"/>
      <c r="B52" s="85" t="s">
        <v>219</v>
      </c>
      <c r="C52" s="86"/>
      <c r="D52" s="86"/>
      <c r="E52" s="9">
        <v>5</v>
      </c>
      <c r="F52" s="42">
        <v>3.5</v>
      </c>
      <c r="G52" s="30">
        <f t="shared" si="0"/>
        <v>0.7</v>
      </c>
      <c r="H52" s="31" t="str">
        <f t="shared" si="1"/>
        <v>جيد</v>
      </c>
      <c r="I52" s="43"/>
      <c r="J52" s="44"/>
    </row>
    <row r="53" spans="1:10" ht="39.9" customHeight="1" x14ac:dyDescent="0.3">
      <c r="A53" s="10"/>
      <c r="B53" s="85" t="s">
        <v>220</v>
      </c>
      <c r="C53" s="86"/>
      <c r="D53" s="86"/>
      <c r="E53" s="9">
        <v>5</v>
      </c>
      <c r="F53" s="42">
        <v>3.5</v>
      </c>
      <c r="G53" s="30">
        <f t="shared" si="0"/>
        <v>0.7</v>
      </c>
      <c r="H53" s="31" t="str">
        <f t="shared" si="1"/>
        <v>جيد</v>
      </c>
      <c r="I53" s="43"/>
      <c r="J53" s="44"/>
    </row>
    <row r="54" spans="1:10" ht="39.9" customHeight="1" x14ac:dyDescent="0.3">
      <c r="A54" s="10"/>
      <c r="B54" s="85" t="s">
        <v>221</v>
      </c>
      <c r="C54" s="86"/>
      <c r="D54" s="86"/>
      <c r="E54" s="9">
        <v>5</v>
      </c>
      <c r="F54" s="42">
        <v>3.5</v>
      </c>
      <c r="G54" s="30">
        <f t="shared" si="0"/>
        <v>0.7</v>
      </c>
      <c r="H54" s="31" t="str">
        <f t="shared" si="1"/>
        <v>جيد</v>
      </c>
      <c r="I54" s="43"/>
      <c r="J54" s="44"/>
    </row>
    <row r="55" spans="1:10" ht="39.9" customHeight="1" x14ac:dyDescent="0.3">
      <c r="A55" s="10"/>
      <c r="B55" s="85" t="s">
        <v>222</v>
      </c>
      <c r="C55" s="86"/>
      <c r="D55" s="86"/>
      <c r="E55" s="9">
        <v>5</v>
      </c>
      <c r="F55" s="42">
        <v>3.5</v>
      </c>
      <c r="G55" s="30">
        <f t="shared" si="0"/>
        <v>0.7</v>
      </c>
      <c r="H55" s="31" t="str">
        <f t="shared" si="1"/>
        <v>جيد</v>
      </c>
      <c r="I55" s="43"/>
      <c r="J55" s="44"/>
    </row>
    <row r="56" spans="1:10" ht="39.9" customHeight="1" x14ac:dyDescent="0.3">
      <c r="A56" s="10"/>
      <c r="B56" s="85" t="s">
        <v>223</v>
      </c>
      <c r="C56" s="86"/>
      <c r="D56" s="86"/>
      <c r="E56" s="9">
        <v>5</v>
      </c>
      <c r="F56" s="42">
        <v>3.5</v>
      </c>
      <c r="G56" s="30">
        <f t="shared" si="0"/>
        <v>0.7</v>
      </c>
      <c r="H56" s="31" t="str">
        <f t="shared" si="1"/>
        <v>جيد</v>
      </c>
      <c r="I56" s="43"/>
      <c r="J56" s="44"/>
    </row>
    <row r="57" spans="1:10" ht="39.9" customHeight="1" x14ac:dyDescent="0.3">
      <c r="A57" s="10"/>
      <c r="B57" s="85" t="s">
        <v>224</v>
      </c>
      <c r="C57" s="86"/>
      <c r="D57" s="86"/>
      <c r="E57" s="9">
        <v>5</v>
      </c>
      <c r="F57" s="42">
        <v>3.5</v>
      </c>
      <c r="G57" s="30">
        <f t="shared" si="0"/>
        <v>0.7</v>
      </c>
      <c r="H57" s="31" t="str">
        <f t="shared" si="1"/>
        <v>جيد</v>
      </c>
      <c r="I57" s="43"/>
      <c r="J57" s="44"/>
    </row>
    <row r="58" spans="1:10" ht="39.9" customHeight="1" x14ac:dyDescent="0.3">
      <c r="A58" s="10"/>
      <c r="B58" s="85" t="s">
        <v>225</v>
      </c>
      <c r="C58" s="86"/>
      <c r="D58" s="86"/>
      <c r="E58" s="9">
        <v>5</v>
      </c>
      <c r="F58" s="42">
        <v>3.5</v>
      </c>
      <c r="G58" s="30">
        <f t="shared" si="0"/>
        <v>0.7</v>
      </c>
      <c r="H58" s="31" t="str">
        <f t="shared" si="1"/>
        <v>جيد</v>
      </c>
      <c r="I58" s="43"/>
      <c r="J58" s="44"/>
    </row>
    <row r="59" spans="1:10" ht="39.9" customHeight="1" x14ac:dyDescent="0.3">
      <c r="A59" s="10"/>
      <c r="B59" s="85" t="s">
        <v>226</v>
      </c>
      <c r="C59" s="86"/>
      <c r="D59" s="86"/>
      <c r="E59" s="9">
        <v>5</v>
      </c>
      <c r="F59" s="42">
        <v>3.5</v>
      </c>
      <c r="G59" s="30">
        <f t="shared" si="0"/>
        <v>0.7</v>
      </c>
      <c r="H59" s="31" t="str">
        <f t="shared" si="1"/>
        <v>جيد</v>
      </c>
      <c r="I59" s="43"/>
      <c r="J59" s="44"/>
    </row>
    <row r="60" spans="1:10" ht="39.9" customHeight="1" x14ac:dyDescent="0.3">
      <c r="A60" s="10"/>
      <c r="B60" s="85" t="s">
        <v>227</v>
      </c>
      <c r="C60" s="86"/>
      <c r="D60" s="86"/>
      <c r="E60" s="9">
        <v>5</v>
      </c>
      <c r="F60" s="42">
        <v>3.5</v>
      </c>
      <c r="G60" s="30">
        <f t="shared" si="0"/>
        <v>0.7</v>
      </c>
      <c r="H60" s="31" t="str">
        <f t="shared" si="1"/>
        <v>جيد</v>
      </c>
      <c r="I60" s="43"/>
      <c r="J60" s="44"/>
    </row>
    <row r="61" spans="1:10" ht="39.9" customHeight="1" x14ac:dyDescent="0.3">
      <c r="A61" s="10"/>
      <c r="B61" s="85" t="s">
        <v>228</v>
      </c>
      <c r="C61" s="86"/>
      <c r="D61" s="86"/>
      <c r="E61" s="9">
        <v>5</v>
      </c>
      <c r="F61" s="42">
        <v>3.5</v>
      </c>
      <c r="G61" s="30">
        <f t="shared" si="0"/>
        <v>0.7</v>
      </c>
      <c r="H61" s="31" t="str">
        <f t="shared" si="1"/>
        <v>جيد</v>
      </c>
      <c r="I61" s="43"/>
      <c r="J61" s="44"/>
    </row>
    <row r="62" spans="1:10" ht="39.9" customHeight="1" x14ac:dyDescent="0.3">
      <c r="A62" s="10"/>
      <c r="B62" s="85" t="s">
        <v>229</v>
      </c>
      <c r="C62" s="86"/>
      <c r="D62" s="86"/>
      <c r="E62" s="9">
        <v>5</v>
      </c>
      <c r="F62" s="42">
        <v>3.5</v>
      </c>
      <c r="G62" s="30">
        <f t="shared" si="0"/>
        <v>0.7</v>
      </c>
      <c r="H62" s="31" t="str">
        <f t="shared" si="1"/>
        <v>جيد</v>
      </c>
      <c r="I62" s="43"/>
      <c r="J62" s="44"/>
    </row>
    <row r="63" spans="1:10" ht="39.9" customHeight="1" x14ac:dyDescent="0.3">
      <c r="A63" s="10"/>
      <c r="B63" s="85" t="s">
        <v>230</v>
      </c>
      <c r="C63" s="86"/>
      <c r="D63" s="86"/>
      <c r="E63" s="9">
        <v>5</v>
      </c>
      <c r="F63" s="42">
        <v>3.5</v>
      </c>
      <c r="G63" s="30">
        <f t="shared" si="0"/>
        <v>0.7</v>
      </c>
      <c r="H63" s="31" t="str">
        <f t="shared" si="1"/>
        <v>جيد</v>
      </c>
      <c r="I63" s="43"/>
      <c r="J63" s="44"/>
    </row>
    <row r="64" spans="1:10" ht="39.9" customHeight="1" x14ac:dyDescent="0.3">
      <c r="A64" s="10"/>
      <c r="B64" s="85" t="s">
        <v>231</v>
      </c>
      <c r="C64" s="86"/>
      <c r="D64" s="86"/>
      <c r="E64" s="9">
        <v>5</v>
      </c>
      <c r="F64" s="42">
        <v>3.5</v>
      </c>
      <c r="G64" s="30">
        <f t="shared" si="0"/>
        <v>0.7</v>
      </c>
      <c r="H64" s="31" t="str">
        <f t="shared" si="1"/>
        <v>جيد</v>
      </c>
      <c r="I64" s="43"/>
      <c r="J64" s="44"/>
    </row>
    <row r="65" spans="1:10" ht="39.9" customHeight="1" x14ac:dyDescent="0.3">
      <c r="A65" s="10"/>
      <c r="B65" s="85" t="s">
        <v>232</v>
      </c>
      <c r="C65" s="86"/>
      <c r="D65" s="86"/>
      <c r="E65" s="9">
        <v>5</v>
      </c>
      <c r="F65" s="42">
        <v>3.5</v>
      </c>
      <c r="G65" s="30">
        <f t="shared" si="0"/>
        <v>0.7</v>
      </c>
      <c r="H65" s="31" t="str">
        <f t="shared" si="1"/>
        <v>جيد</v>
      </c>
      <c r="I65" s="43"/>
      <c r="J65" s="44"/>
    </row>
    <row r="66" spans="1:10" ht="39.9" customHeight="1" x14ac:dyDescent="0.3">
      <c r="A66" s="10"/>
      <c r="B66" s="85" t="s">
        <v>233</v>
      </c>
      <c r="C66" s="86"/>
      <c r="D66" s="86"/>
      <c r="E66" s="9">
        <v>5</v>
      </c>
      <c r="F66" s="42">
        <v>3.5</v>
      </c>
      <c r="G66" s="30">
        <f t="shared" si="0"/>
        <v>0.7</v>
      </c>
      <c r="H66" s="31" t="str">
        <f t="shared" si="1"/>
        <v>جيد</v>
      </c>
      <c r="I66" s="43"/>
      <c r="J66" s="44"/>
    </row>
    <row r="67" spans="1:10" ht="39.9" customHeight="1" thickBot="1" x14ac:dyDescent="0.35">
      <c r="A67" s="10"/>
      <c r="B67" s="97" t="s">
        <v>234</v>
      </c>
      <c r="C67" s="98"/>
      <c r="D67" s="98"/>
      <c r="E67" s="41">
        <v>5</v>
      </c>
      <c r="F67" s="42">
        <v>3.5</v>
      </c>
      <c r="G67" s="39">
        <f t="shared" si="0"/>
        <v>0.7</v>
      </c>
      <c r="H67" s="40" t="str">
        <f t="shared" si="1"/>
        <v>جيد</v>
      </c>
      <c r="I67" s="45"/>
      <c r="J67" s="46"/>
    </row>
    <row r="68" spans="1:10" ht="30" customHeight="1" thickBot="1" x14ac:dyDescent="0.35">
      <c r="A68" s="4"/>
      <c r="B68" s="77" t="s">
        <v>5</v>
      </c>
      <c r="C68" s="78"/>
      <c r="D68" s="78"/>
      <c r="E68" s="28">
        <f>SUM(E8:E67)</f>
        <v>240</v>
      </c>
      <c r="F68" s="28">
        <f>SUM(F8:F67)</f>
        <v>176.25</v>
      </c>
      <c r="G68" s="49"/>
      <c r="H68" s="50"/>
      <c r="I68" s="50"/>
      <c r="J68" s="51"/>
    </row>
    <row r="69" spans="1:10" ht="30" customHeight="1" thickBot="1" x14ac:dyDescent="0.35">
      <c r="A69" s="4"/>
      <c r="B69" s="79" t="s">
        <v>54</v>
      </c>
      <c r="C69" s="80"/>
      <c r="D69" s="80"/>
      <c r="E69" s="61">
        <f>F68/E68/100*100</f>
        <v>0.734375</v>
      </c>
      <c r="F69" s="61"/>
      <c r="G69" s="61"/>
      <c r="H69" s="61"/>
      <c r="I69" s="61"/>
      <c r="J69" s="62"/>
    </row>
    <row r="70" spans="1:10" ht="30" customHeight="1" thickBot="1" x14ac:dyDescent="0.35">
      <c r="A70" s="4"/>
      <c r="B70" s="79" t="s">
        <v>55</v>
      </c>
      <c r="C70" s="80"/>
      <c r="D70" s="80"/>
      <c r="E70" s="75" t="str">
        <f>_xlfn.IFS(E69&gt;=90%,"ممتاز",E69&gt;=80%,"جيد جداً",E69&gt;=70%,"جيد",E69&gt;=60%,"مقبول",E69&lt;60%,"راسب")</f>
        <v>جيد</v>
      </c>
      <c r="F70" s="75"/>
      <c r="G70" s="75"/>
      <c r="H70" s="75"/>
      <c r="I70" s="75"/>
      <c r="J70" s="76"/>
    </row>
    <row r="71" spans="1:10" ht="42" customHeight="1" x14ac:dyDescent="0.3">
      <c r="B71" s="71" t="s">
        <v>175</v>
      </c>
      <c r="C71" s="71"/>
      <c r="D71" s="71"/>
      <c r="E71" s="47" t="s">
        <v>52</v>
      </c>
      <c r="F71" s="47"/>
      <c r="G71" s="73" t="s">
        <v>131</v>
      </c>
      <c r="H71" s="73"/>
      <c r="I71" s="73"/>
      <c r="J71" s="73"/>
    </row>
    <row r="72" spans="1:10" ht="51" customHeight="1" x14ac:dyDescent="0.3">
      <c r="A72" s="5"/>
      <c r="B72" s="72"/>
      <c r="C72" s="72"/>
      <c r="D72" s="72"/>
      <c r="E72" s="48" t="s">
        <v>53</v>
      </c>
      <c r="F72" s="48"/>
      <c r="G72" s="74"/>
      <c r="H72" s="74"/>
      <c r="I72" s="74"/>
      <c r="J72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1">
    <mergeCell ref="B67:D67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9:D49"/>
    <mergeCell ref="B50:D50"/>
    <mergeCell ref="B51:D51"/>
    <mergeCell ref="B52:D52"/>
    <mergeCell ref="B62:D62"/>
    <mergeCell ref="B63:D63"/>
    <mergeCell ref="B64:D64"/>
    <mergeCell ref="B65:D65"/>
    <mergeCell ref="B66:D66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68:D68"/>
    <mergeCell ref="B69:D69"/>
    <mergeCell ref="B70:D7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71:D72"/>
    <mergeCell ref="G71:J71"/>
    <mergeCell ref="G72:J72"/>
    <mergeCell ref="E70:J70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69:J6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63:J63"/>
    <mergeCell ref="I64:J64"/>
    <mergeCell ref="I65:J65"/>
    <mergeCell ref="I66:J66"/>
    <mergeCell ref="I67:J67"/>
    <mergeCell ref="E71:F71"/>
    <mergeCell ref="E72:F72"/>
    <mergeCell ref="G68:J68"/>
    <mergeCell ref="I9:J9"/>
    <mergeCell ref="I32:J32"/>
    <mergeCell ref="I33:J33"/>
    <mergeCell ref="I34:J34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0">
    <cfRule type="expression" dxfId="14" priority="57">
      <formula>$E70="راسب"</formula>
    </cfRule>
  </conditionalFormatting>
  <conditionalFormatting sqref="E70:J70">
    <cfRule type="expression" dxfId="13" priority="60">
      <formula>$E70="جيد جداً"</formula>
    </cfRule>
    <cfRule type="expression" dxfId="12" priority="59">
      <formula>$E70="جيد"</formula>
    </cfRule>
    <cfRule type="expression" dxfId="11" priority="58">
      <formula>$E70="مقبول"</formula>
    </cfRule>
    <cfRule type="expression" dxfId="10" priority="61">
      <formula>$E70="ممتاز"</formula>
    </cfRule>
  </conditionalFormatting>
  <conditionalFormatting sqref="F8:F6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1:J71">
    <cfRule type="containsText" dxfId="6" priority="15" operator="containsText" text="أدخل اسم المحكم">
      <formula>NOT(ISERROR(SEARCH("أدخل اسم المحكم",G71)))</formula>
    </cfRule>
  </conditionalFormatting>
  <conditionalFormatting sqref="H8:H6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F49:F67 F42:F47 F38:F40 F33:F35 F27:F31 F21:F24 F14:F19 F12 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G71:J71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2025-10-28T04:18:31Z</dcterms:modified>
</cp:coreProperties>
</file>