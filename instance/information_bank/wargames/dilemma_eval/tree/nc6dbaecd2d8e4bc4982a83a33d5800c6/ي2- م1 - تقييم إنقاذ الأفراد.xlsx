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7BF7BC5-0A1E-6D40-800F-666DA512BC4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<sst xmlns="http://schemas.openxmlformats.org/spreadsheetml/2006/main" count="250" uniqueCount="194">
  <si>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</si>
  <si>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</si>
  <si>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</si>
  <si>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</si>
  <si>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</si>
  <si>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</si>
  <si>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</si>
  <si>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</si>
  <si>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</si>
  <si>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</si>
  <si>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</si>
  <si>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</si>
  <si>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</si>
  <si>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</si>
  <si>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</si>
  <si>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</si>
  <si>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</si>
  <si>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</si>
  <si>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</si>
  <si>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</si>
  <si>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</si>
  <si>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</si>
  <si>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</si>
  <si>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</si>
  <si>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</si>
  <si>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</si>
  <si>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</si>
  <si>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</si>
  <si>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</si>
  <si>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</si>
  <si>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</si>
  <si>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</si>
  <si>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</si>
  <si>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</si>
  <si>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</si>
  <si>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</si>
  <si>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</si>
  <si>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</si>
  <si>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</si>
  <si>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</si>
  <si>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</si>
  <si>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</si>
  <si>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</si>
  <si>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</si>
  <si>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</si>
  <si>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</si>
  <si>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</si>
  <si>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</si>
  <si>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</si>
  <si>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</si>
  <si>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</si>
  <si>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</si>
  <si>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</si>
  <si>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</si>
  <si>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</si>
  <si>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</si>
  <si>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</si>
  <si>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</si>
  <si>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</si>
  <si>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</si>
  <si>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</si>
  <si>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</si>
  <si>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</si>
  <si>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</si>
  <si>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</si>
  <si>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</si>
  <si>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</si>
  <si>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</si>
  <si>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</si>
  <si>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</si>
  <si>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</si>
  <si>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</si>
  <si>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</si>
  <si>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</si>
  <si>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</si>
  <si>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</si>
  <si>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</si>
  <si>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</si>
  <si>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</si>
  <si>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</si>
  <si>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</si>
  <si>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</si>
  <si>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</si>
  <si>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</si>
  <si>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</si>
  <si>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</si>
  <si>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</si>
  <si>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</si>
  <si>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</si>
  <si>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</si>
  <si>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</si>
  <si>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</si>
  <si>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</si>
  <si>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</si>
  <si>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</si>
  <si>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</si>
  <si>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</si>
  <si>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</si>
  <si>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</si>
  <si>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</si>
  <si>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</si>
  <si>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</si>
  <si>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</si>
  <si>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</si>
  <si>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</si>
  <si>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</si>
  <si>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</si>
  <si>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</si>
  <si>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</si>
  <si>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</si>
  <si>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</si>
  <si>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</si>
  <si>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</si>
  <si>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</si>
  <si>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</si>
  <si>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</si>
  <si>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</si>
  <si>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</si>
  <si>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</si>
  <si>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</si>
  <si>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</si>
  <si>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</si>
  <si>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</si>
  <si>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</si>
  <si>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</si>
  <si>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</si>
  <si>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</si>
  <si>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</si>
  <si>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</si>
  <si>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</si>
  <si>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</si>
  <si>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</si>
  <si>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</si>
  <si>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</si>
  <si>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</si>
  <si>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</si>
  <si>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</si>
  <si>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</si>
  <si>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</si>
  <si>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</si>
  <si>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</si>
  <si>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</si>
  <si>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</si>
  <si>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</si>
  <si>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</si>
  <si>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</si>
  <si>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</si>
  <si>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</si>
  <si>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</si>
  <si>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</si>
  <si>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</si>
  <si>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</si>
  <si>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</si>
  <si>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</si>
  <si>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</si>
  <si>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</si>
  <si>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</si>
  <si>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</si>
  <si>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</si>
  <si>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</si>
  <si>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</si>
  <si>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</si>
  <si>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</si>
  <si>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</si>
  <si>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</si>
  <si>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</si>
  <si>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</si>
  <si>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</si>
  <si>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</si>
  <si>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</si>
  <si>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</si>
  <si>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</si>
  <si>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</si>
  <si>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</si>
  <si>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</si>
  <si>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</si>
  <si>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</si>
  <si>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</si>
  <si>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</si>
  <si>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</si>
  <si>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</si>
  <si>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</si>
  <si>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</si>
  <si>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</si>
  <si>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</si>
  <si>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</si>
  <si>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</si>
  <si>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</si>
  <si>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</si>
  <si>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</si>
  <si>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</si>
  <si>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</si>
  <si>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</si>
  <si>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معضلة/1 -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</si>
</sst>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351105</xdr:colOff>
      <xdr:row>25</xdr:row>
      <xdr:rowOff>56068</xdr:rowOff>
    </xdr:from>
    <xdr:to>
      <xdr:col>8</xdr:col>
      <xdr:colOff>466644</xdr:colOff>
      <xdr:row>25</xdr:row>
      <xdr:rowOff>491308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659EA14-2E32-E91C-2E74-719EAF7C3DC3}"/>
                </a:ext>
              </a:extLst>
            </xdr14:cNvPr>
            <xdr14:cNvContentPartPr/>
          </xdr14:nvContentPartPr>
          <xdr14:nvPr macro=""/>
          <xdr14:xfrm>
            <a:off x="10398778265" y="9731160"/>
            <a:ext cx="1431720" cy="435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659EA14-2E32-E91C-2E74-719EAF7C3D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69625" y="9722160"/>
              <a:ext cx="1449360" cy="45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576465</xdr:colOff>
      <xdr:row>25</xdr:row>
      <xdr:rowOff>445228</xdr:rowOff>
    </xdr:from>
    <xdr:to>
      <xdr:col>6</xdr:col>
      <xdr:colOff>586185</xdr:colOff>
      <xdr:row>25</xdr:row>
      <xdr:rowOff>491668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723C0D7-05AD-22F2-5B36-9228CE12EC57}"/>
                </a:ext>
              </a:extLst>
            </xdr14:cNvPr>
            <xdr14:cNvContentPartPr/>
          </xdr14:nvContentPartPr>
          <xdr14:nvPr macro=""/>
          <xdr14:xfrm>
            <a:off x="10399974905" y="10120320"/>
            <a:ext cx="9720" cy="46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723C0D7-05AD-22F2-5B36-9228CE12EC5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66265" y="10111680"/>
              <a:ext cx="27360" cy="64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2:37.3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3678 92 15467,'0'0'0,"0"0"0,3-29 408,9 4-200,-10 1-168,3 11-296,-5 13 256,5-1-376,4 1-64,3 0 112,5 4 152,-17-4 176,17 5-168,7 7 144,-5-7-80,5 12 104,-24-17 0,25 15 56,-1 2-104,-5 2 80,2 1-96,-21-20 64,20 18-40,-8 1 24,0-2 16,-7-2 16,-5-15-16,4 15 32,1-4 8,-2-7 88,-3 8 24,0-12-152,0 0 216,-3 4 72,-2-1-72,-11 0 24,16-3-240,-12 4 168,-5 0-64,-7 9-120,0-9 64,24-4-48,-29 16 32,0-12-8,-2 13 40,-1-5-64,32-12 0,-31 12 0,-3 1 8,-2 0 48,0 1-32,36-14-24,-36 16-56,-2-1 32,-1 1 72,-2 1-80,41-17 32,-36 17 80,-2 0-80,-1-3-96,3-1 136,36-13-40,-36 13-16,0-9 48,0 13 16,-3-12-72,39-5 24,-40 14 56,1-3-32,1-7-72,1 12 120,37-16-72,-36 11-24,0-6 48,-2 10-40,-1-10 0,39-5 16,-38 15 8,-1-10-56,-4 9 96,0-11-48,43-3 0,-48 12 0,-3-7 8,-4 7 72,-8-7-80,63-5 0,-65 13 24,-4-11-24,-11 3-24,-4 6 72,84-11-48,-94 3 24,-7 1 16,-7 0-72,0-1 24,108-3 8,-113 3 8,-3-3-40,-4 3 72,0-3-24,120 0-16,-121 0 24,-1 3 32,4 0-16,7-1 8,111-2-48,-106 5 56,8-1 40,4 9 24,7-10-24,87-3-96,-84 4 40,10 10 8,6-10-16,8 9 8,60-13-40,-48 4 48,5 8-64,9-9-8,12-1 40,22-2-16,-12 5-64,8-2-48,4-3-256,0 0-160,0 0 528,2 0-496,15 0 32,2 2 232,10-2 184,-29 0 48,41 0-16,12-4 16,9-12-8,18-1-16,-80 17 24,84-22-8,12-5 8,5-5-8,7-3 48,-108 35-40,116-39 24,4-3 40,5-1 40,0-4-64,-125 47-40,125-48 104,-2-2-88,4 5 0,-9 2 16,-118 43-32,109-38 0,-8 4 40,-15 4-16,-11 6 16,-75 24-40,70-22-40,-15 5 8,-2 3 40,-17 0-128,-36 14 120,36-13 64,-12 0 80,-5 2 56,-7-1 160,-12 12-360,3-5 288,-1-7 8,-2 10-32,0-3 32,0 5-296,0-4 368,-7-2-56,-3 1-24,-2 0-64,12 5-224,-7-4 128,-7 1-64,4 2 8,5 1-208,5 0 136,-17 0-104,15 3 16,-3 11-72,-7 0 0,12-14 160,-5 20-112,-7 4 48,10 6 64,-3 4 40,5-34-40,-7 40 32,7 4-32,-3 4-72,3 4 168,0-52-96,0 54 16,0 0-32,0 0 32,0-3-80,0-51 64,0 48-48,0-1 48,0-2-8,0 0-40,0-45 48,3 39-80,2 0-24,7-4-40,-10-2 80,-2-33 64,12 30-120,-7-2 0,9 1-40,-9-2 8,-5-27 152,17 25-416,-5 2-272,0 0-264,0 0-593,-12-27 1545,12 27-2192,2 0 207,-14 17-3696,0-44 5681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2:37.7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27 129 24749,'0'0'0,"-2"-44"1152,-10 15-1384,7-1-424,5 30 656,-5-4-1256,5 3-409,0-1-199,0 1-73,0 1 1937,0-2-2312,0 1-809,0-2 121,-2-8-3962,2 11 6962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10" zoomScale="130" zoomScaleNormal="100" zoomScaleSheetLayoutView="130" workbookViewId="0">
      <selection activeCell="G26" sqref="G26:J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70" t="s">
        <v>193</v>
      </c>
      <c r="C1" s="70"/>
      <c r="D1" s="70"/>
      <c r="E1" s="70"/>
      <c r="F1" s="70"/>
      <c r="G1" s="70"/>
      <c r="H1" s="70"/>
      <c r="I1" s="70"/>
      <c r="J1" s="70"/>
    </row>
    <row r="2" spans="1:10" ht="30" customHeight="1">
      <c r="B2" s="11" t="s">
        <v>8</v>
      </c>
      <c r="C2" s="76" t="s">
        <v>37</v>
      </c>
      <c r="D2" s="76"/>
      <c r="E2" s="11" t="s">
        <v>7</v>
      </c>
      <c r="F2" s="71">
        <v>45913</v>
      </c>
      <c r="G2" s="71"/>
      <c r="H2" s="71"/>
      <c r="I2" s="71"/>
      <c r="J2" s="71"/>
    </row>
    <row r="3" spans="1:10" ht="30" customHeight="1">
      <c r="B3" s="11" t="s">
        <v>9</v>
      </c>
      <c r="C3" s="76" t="s">
        <v>78</v>
      </c>
      <c r="D3" s="76"/>
      <c r="E3" s="11" t="s">
        <v>6</v>
      </c>
      <c r="F3" s="76" t="s">
        <v>134</v>
      </c>
      <c r="G3" s="76"/>
      <c r="H3" s="76"/>
      <c r="I3" s="76"/>
      <c r="J3" s="7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72" t="s">
        <v>0</v>
      </c>
      <c r="C5" s="73"/>
      <c r="D5" s="73"/>
      <c r="E5" s="77" t="s">
        <v>1</v>
      </c>
      <c r="F5" s="77"/>
      <c r="G5" s="77"/>
      <c r="H5" s="77"/>
      <c r="I5" s="77" t="s">
        <v>2</v>
      </c>
      <c r="J5" s="78"/>
    </row>
    <row r="6" spans="1:10" ht="24.95" customHeight="1" thickBot="1">
      <c r="A6" s="9"/>
      <c r="B6" s="74"/>
      <c r="C6" s="75"/>
      <c r="D6" s="75"/>
      <c r="E6" s="10" t="s">
        <v>3</v>
      </c>
      <c r="F6" s="10" t="s">
        <v>4</v>
      </c>
      <c r="G6" s="10" t="s">
        <v>23</v>
      </c>
      <c r="H6" s="10" t="s">
        <v>24</v>
      </c>
      <c r="I6" s="79"/>
      <c r="J6" s="80"/>
    </row>
    <row r="7" spans="1:10" ht="24.95" customHeight="1" thickBot="1">
      <c r="A7" s="9"/>
      <c r="B7" s="60" t="s">
        <v>21</v>
      </c>
      <c r="C7" s="61"/>
      <c r="D7" s="61"/>
      <c r="E7" s="30" t="s">
        <v>18</v>
      </c>
      <c r="F7" s="30" t="s">
        <v>19</v>
      </c>
      <c r="G7" s="30" t="s">
        <v>22</v>
      </c>
      <c r="H7" s="30" t="s">
        <v>20</v>
      </c>
      <c r="I7" s="62" t="s">
        <v>25</v>
      </c>
      <c r="J7" s="63"/>
    </row>
    <row r="8" spans="1:10" ht="30" customHeight="1">
      <c r="A8" s="9"/>
      <c r="B8" s="66" t="s">
        <v>178</v>
      </c>
      <c r="C8" s="67"/>
      <c r="D8" s="67"/>
      <c r="E8" s="35"/>
      <c r="F8" s="36"/>
      <c r="G8" s="37"/>
      <c r="H8" s="38"/>
      <c r="I8" s="87"/>
      <c r="J8" s="88"/>
    </row>
    <row r="9" spans="1:10" ht="30" customHeight="1">
      <c r="A9" s="9"/>
      <c r="B9" s="49" t="s">
        <v>182</v>
      </c>
      <c r="C9" s="50"/>
      <c r="D9" s="50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4"/>
      <c r="J9" s="65"/>
    </row>
    <row r="10" spans="1:10" ht="30" customHeight="1">
      <c r="A10" s="9"/>
      <c r="B10" s="49" t="s">
        <v>183</v>
      </c>
      <c r="C10" s="50"/>
      <c r="D10" s="50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4"/>
      <c r="J10" s="65"/>
    </row>
    <row r="11" spans="1:10" ht="30" customHeight="1">
      <c r="A11" s="9"/>
      <c r="B11" s="49" t="s">
        <v>184</v>
      </c>
      <c r="C11" s="50"/>
      <c r="D11" s="50"/>
      <c r="E11" s="32">
        <v>3</v>
      </c>
      <c r="F11" s="25">
        <v>2</v>
      </c>
      <c r="G11" s="33">
        <f t="shared" si="0"/>
        <v>0.66666666666666663</v>
      </c>
      <c r="H11" s="34" t="str">
        <f t="shared" si="1"/>
        <v>مقبول</v>
      </c>
      <c r="I11" s="64"/>
      <c r="J11" s="65"/>
    </row>
    <row r="12" spans="1:10" ht="30" customHeight="1">
      <c r="A12" s="9"/>
      <c r="B12" s="49" t="s">
        <v>185</v>
      </c>
      <c r="C12" s="50"/>
      <c r="D12" s="50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64"/>
      <c r="J12" s="65"/>
    </row>
    <row r="13" spans="1:10" ht="30" customHeight="1">
      <c r="A13" s="9"/>
      <c r="B13" s="49" t="s">
        <v>186</v>
      </c>
      <c r="C13" s="50"/>
      <c r="D13" s="50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64"/>
      <c r="J13" s="65"/>
    </row>
    <row r="14" spans="1:10" ht="30" customHeight="1" thickBot="1">
      <c r="A14" s="9"/>
      <c r="B14" s="68" t="s">
        <v>187</v>
      </c>
      <c r="C14" s="69"/>
      <c r="D14" s="69"/>
      <c r="E14" s="39">
        <v>3</v>
      </c>
      <c r="F14" s="26">
        <v>2</v>
      </c>
      <c r="G14" s="40">
        <f t="shared" si="0"/>
        <v>0.66666666666666663</v>
      </c>
      <c r="H14" s="41" t="str">
        <f t="shared" si="1"/>
        <v>مقبول</v>
      </c>
      <c r="I14" s="58"/>
      <c r="J14" s="59"/>
    </row>
    <row r="15" spans="1:10" ht="30" customHeight="1">
      <c r="A15" s="9"/>
      <c r="B15" s="66" t="s">
        <v>179</v>
      </c>
      <c r="C15" s="67"/>
      <c r="D15" s="67"/>
      <c r="E15" s="35"/>
      <c r="F15" s="36"/>
      <c r="G15" s="37"/>
      <c r="H15" s="38"/>
      <c r="I15" s="87"/>
      <c r="J15" s="88"/>
    </row>
    <row r="16" spans="1:10" ht="30" customHeight="1">
      <c r="A16" s="9"/>
      <c r="B16" s="49" t="s">
        <v>188</v>
      </c>
      <c r="C16" s="50"/>
      <c r="D16" s="50"/>
      <c r="E16" s="32">
        <v>3</v>
      </c>
      <c r="F16" s="25">
        <v>2</v>
      </c>
      <c r="G16" s="33">
        <f t="shared" si="0"/>
        <v>0.66666666666666663</v>
      </c>
      <c r="H16" s="34" t="str">
        <f t="shared" si="1"/>
        <v>مقبول</v>
      </c>
      <c r="I16" s="64"/>
      <c r="J16" s="65"/>
    </row>
    <row r="17" spans="1:10" ht="30" customHeight="1">
      <c r="A17" s="9"/>
      <c r="B17" s="49" t="s">
        <v>180</v>
      </c>
      <c r="C17" s="50"/>
      <c r="D17" s="50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4"/>
      <c r="J17" s="65"/>
    </row>
    <row r="18" spans="1:10" ht="30" customHeight="1">
      <c r="A18" s="9"/>
      <c r="B18" s="49" t="s">
        <v>181</v>
      </c>
      <c r="C18" s="50"/>
      <c r="D18" s="50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64"/>
      <c r="J18" s="65"/>
    </row>
    <row r="19" spans="1:10" ht="30" customHeight="1">
      <c r="A19" s="9"/>
      <c r="B19" s="49" t="s">
        <v>189</v>
      </c>
      <c r="C19" s="50"/>
      <c r="D19" s="50"/>
      <c r="E19" s="32">
        <v>3</v>
      </c>
      <c r="F19" s="42">
        <v>2.25</v>
      </c>
      <c r="G19" s="33">
        <f t="shared" si="0"/>
        <v>0.75</v>
      </c>
      <c r="H19" s="34" t="str">
        <f t="shared" si="1"/>
        <v>جيد</v>
      </c>
      <c r="I19" s="64"/>
      <c r="J19" s="65"/>
    </row>
    <row r="20" spans="1:10" ht="30" customHeight="1">
      <c r="A20" s="9"/>
      <c r="B20" s="49" t="s">
        <v>190</v>
      </c>
      <c r="C20" s="50"/>
      <c r="D20" s="50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4"/>
      <c r="J20" s="65"/>
    </row>
    <row r="21" spans="1:10" ht="30" customHeight="1" thickBot="1">
      <c r="A21" s="9"/>
      <c r="B21" s="68" t="s">
        <v>191</v>
      </c>
      <c r="C21" s="69"/>
      <c r="D21" s="6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8"/>
      <c r="J21" s="59"/>
    </row>
    <row r="22" spans="1:10" ht="30" customHeight="1" thickBot="1">
      <c r="A22" s="4"/>
      <c r="B22" s="89" t="s">
        <v>5</v>
      </c>
      <c r="C22" s="90"/>
      <c r="D22" s="90"/>
      <c r="E22" s="31">
        <f>SUM(E8:E21)</f>
        <v>36</v>
      </c>
      <c r="F22" s="31">
        <f>SUM(F8:F21)</f>
        <v>25.5</v>
      </c>
      <c r="G22" s="53"/>
      <c r="H22" s="54"/>
      <c r="I22" s="54"/>
      <c r="J22" s="55"/>
    </row>
    <row r="23" spans="1:10" ht="30" customHeight="1" thickBot="1">
      <c r="A23" s="4"/>
      <c r="B23" s="91" t="s">
        <v>54</v>
      </c>
      <c r="C23" s="92"/>
      <c r="D23" s="92"/>
      <c r="E23" s="56">
        <f>F22/E22/100*100</f>
        <v>0.70833333333333337</v>
      </c>
      <c r="F23" s="56"/>
      <c r="G23" s="56"/>
      <c r="H23" s="56"/>
      <c r="I23" s="56"/>
      <c r="J23" s="57"/>
    </row>
    <row r="24" spans="1:10" ht="30" customHeight="1" thickBot="1">
      <c r="A24" s="4"/>
      <c r="B24" s="91" t="s">
        <v>55</v>
      </c>
      <c r="C24" s="92"/>
      <c r="D24" s="92"/>
      <c r="E24" s="47" t="str">
        <f>_xlfn.IFS(E23&gt;=90%,"ممتاز",E23&gt;=80%,"جيد جداً",E23&gt;=70%,"جيد",E23&gt;=60%,"مقبول",E23&lt;60%,"راسب")</f>
        <v>جيد</v>
      </c>
      <c r="F24" s="47"/>
      <c r="G24" s="47"/>
      <c r="H24" s="47"/>
      <c r="I24" s="47"/>
      <c r="J24" s="48"/>
    </row>
    <row r="25" spans="1:10" ht="42" customHeight="1">
      <c r="B25" s="43" t="s">
        <v>192</v>
      </c>
      <c r="C25" s="43"/>
      <c r="D25" s="43"/>
      <c r="E25" s="51" t="s">
        <v>52</v>
      </c>
      <c r="F25" s="51"/>
      <c r="G25" s="45" t="s">
        <v>134</v>
      </c>
      <c r="H25" s="45"/>
      <c r="I25" s="45"/>
      <c r="J25" s="45"/>
    </row>
    <row r="26" spans="1:10" ht="51" customHeight="1">
      <c r="A26" s="5"/>
      <c r="B26" s="44"/>
      <c r="C26" s="44"/>
      <c r="D26" s="44"/>
      <c r="E26" s="52" t="s">
        <v>53</v>
      </c>
      <c r="F26" s="52"/>
      <c r="G26" s="46"/>
      <c r="H26" s="46"/>
      <c r="I26" s="46"/>
      <c r="J26" s="46"/>
    </row>
    <row r="27" spans="1:10">
      <c r="A27" s="27">
        <v>3</v>
      </c>
      <c r="B27" s="81" t="s">
        <v>175</v>
      </c>
      <c r="C27" s="82"/>
    </row>
    <row r="28" spans="1:10">
      <c r="A28" s="28">
        <v>2</v>
      </c>
      <c r="B28" s="83" t="s">
        <v>176</v>
      </c>
      <c r="C28" s="84"/>
    </row>
    <row r="29" spans="1:10">
      <c r="A29" s="29">
        <v>1</v>
      </c>
      <c r="B29" s="85" t="s">
        <v>177</v>
      </c>
      <c r="C29" s="8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2025-10-09T10:01:50Z</dcterms:modified>
</cp:coreProperties>
</file>