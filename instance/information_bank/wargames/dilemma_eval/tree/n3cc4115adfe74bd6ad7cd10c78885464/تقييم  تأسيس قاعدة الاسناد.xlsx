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3BE69EA-3620-46D1-9DAF-21D1ECA4CD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<sst xmlns="http://schemas.openxmlformats.org/spreadsheetml/2006/main" count="274" uniqueCount="218">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</sst>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201705</xdr:colOff>
      <xdr:row>52</xdr:row>
      <xdr:rowOff>194267</xdr:rowOff>
    </xdr:from>
    <xdr:to>
      <xdr:col>8</xdr:col>
      <xdr:colOff>355044</xdr:colOff>
      <xdr:row>52</xdr:row>
      <xdr:rowOff>630587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9E1A4B8-7856-5451-03A2-16D250FFCDD2}"/>
                </a:ext>
              </a:extLst>
            </xdr14:cNvPr>
            <xdr14:cNvContentPartPr/>
          </xdr14:nvContentPartPr>
          <xdr14:nvPr macro=""/>
          <xdr14:xfrm>
            <a:off x="10398889865" y="26870040"/>
            <a:ext cx="1469520" cy="436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9E1A4B8-7856-5451-03A2-16D250FFCD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81225" y="26861400"/>
              <a:ext cx="1487160" cy="45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34:20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3008 666,'0'0,"0"0,0 0,15 0,-12 0,10 0,2 0,-11 0,8-16,4 16,-13 0,9 0,4 0,-12 0,7-16,-26 16,12 0,-25-16,-50-32,62 39,-93-30,-48-25,129 52,-147-24,-59-45,190 66,-193-34,-60-15,248 54,-230-44,-18 22,246 26,-164-20,-3-6,180 26,-65-4,9 10,78 0,-30-16,15 8,140 16,47-8,-130 0,167 0,88 16,-239-14,213-4,73 18,-278-14,291 12,49 18,-335-28,266 24,21 4,-296-28,206 40,-18-12,-204-28,81 8,-18 4,-82-14,25 12,-52 2,14-13,-120-6,-82 19,178-13,-213-6,-89 3,284 0,-256 0,-106 0,345 0,-316 16,-60-16,372 0,-277 0,-16 0,302 0,-170 0,39-16,158 14,-67 4,49 14,40-13,76-6,57 3,-108 0,182 33,35-17,-199-14,208 44,7-14,-213-27,173 38,24 5,-199-41,68 34,6 23,-93-54,13 28,-62 59,28-84,-85 54,-52 29,121-82,-162 68,-38 30,188-95,64-34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6" t="s">
        <v>217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3">
      <c r="B2" s="12" t="s">
        <v>8</v>
      </c>
      <c r="C2" s="82" t="s">
        <v>41</v>
      </c>
      <c r="D2" s="82"/>
      <c r="E2" s="12" t="s">
        <v>7</v>
      </c>
      <c r="F2" s="77">
        <v>45957</v>
      </c>
      <c r="G2" s="77"/>
      <c r="H2" s="77"/>
      <c r="I2" s="77"/>
      <c r="J2" s="77"/>
    </row>
    <row r="3" spans="1:10" ht="30" customHeight="1" x14ac:dyDescent="0.3">
      <c r="B3" s="12" t="s">
        <v>9</v>
      </c>
      <c r="C3" s="82" t="s">
        <v>82</v>
      </c>
      <c r="D3" s="82"/>
      <c r="E3" s="12" t="s">
        <v>6</v>
      </c>
      <c r="F3" s="82" t="s">
        <v>131</v>
      </c>
      <c r="G3" s="82"/>
      <c r="H3" s="82"/>
      <c r="I3" s="82"/>
      <c r="J3" s="8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" customHeight="1" thickBot="1" x14ac:dyDescent="0.35">
      <c r="A6" s="10"/>
      <c r="B6" s="80"/>
      <c r="C6" s="81"/>
      <c r="D6" s="81"/>
      <c r="E6" s="11" t="s">
        <v>3</v>
      </c>
      <c r="F6" s="11" t="s">
        <v>4</v>
      </c>
      <c r="G6" s="11" t="s">
        <v>23</v>
      </c>
      <c r="H6" s="11" t="s">
        <v>24</v>
      </c>
      <c r="I6" s="89"/>
      <c r="J6" s="90"/>
    </row>
    <row r="7" spans="1:10" ht="24.9" customHeight="1" thickBot="1" x14ac:dyDescent="0.35">
      <c r="A7" s="10"/>
      <c r="B7" s="85" t="s">
        <v>21</v>
      </c>
      <c r="C7" s="86"/>
      <c r="D7" s="86"/>
      <c r="E7" s="27" t="s">
        <v>18</v>
      </c>
      <c r="F7" s="27" t="s">
        <v>19</v>
      </c>
      <c r="G7" s="27" t="s">
        <v>22</v>
      </c>
      <c r="H7" s="27" t="s">
        <v>20</v>
      </c>
      <c r="I7" s="91" t="s">
        <v>25</v>
      </c>
      <c r="J7" s="92"/>
    </row>
    <row r="8" spans="1:10" ht="39.9" customHeight="1" x14ac:dyDescent="0.3">
      <c r="A8" s="10"/>
      <c r="B8" s="49" t="s">
        <v>176</v>
      </c>
      <c r="C8" s="50"/>
      <c r="D8" s="50"/>
      <c r="E8" s="37"/>
      <c r="F8" s="31"/>
      <c r="G8" s="32"/>
      <c r="H8" s="33"/>
      <c r="I8" s="57"/>
      <c r="J8" s="58"/>
    </row>
    <row r="9" spans="1:10" ht="39.9" customHeight="1" x14ac:dyDescent="0.3">
      <c r="A9" s="10"/>
      <c r="B9" s="47" t="s">
        <v>177</v>
      </c>
      <c r="C9" s="48"/>
      <c r="D9" s="48"/>
      <c r="E9" s="9"/>
      <c r="F9" s="26"/>
      <c r="G9" s="29"/>
      <c r="H9" s="30"/>
      <c r="I9" s="53"/>
      <c r="J9" s="54"/>
    </row>
    <row r="10" spans="1:10" ht="39.9" customHeight="1" x14ac:dyDescent="0.3">
      <c r="A10" s="10"/>
      <c r="B10" s="43" t="s">
        <v>192</v>
      </c>
      <c r="C10" s="44"/>
      <c r="D10" s="44"/>
      <c r="E10" s="38"/>
      <c r="F10" s="26"/>
      <c r="G10" s="29"/>
      <c r="H10" s="30"/>
      <c r="I10" s="53"/>
      <c r="J10" s="54"/>
    </row>
    <row r="11" spans="1:10" ht="58.5" customHeight="1" x14ac:dyDescent="0.3">
      <c r="A11" s="10"/>
      <c r="B11" s="41" t="s">
        <v>193</v>
      </c>
      <c r="C11" s="42"/>
      <c r="D11" s="42"/>
      <c r="E11" s="9">
        <v>5</v>
      </c>
      <c r="F11" s="26">
        <v>3.75</v>
      </c>
      <c r="G11" s="29">
        <f t="shared" ref="G11:G48" si="0">IFERROR(F11/E11,"")</f>
        <v>0.75</v>
      </c>
      <c r="H11" s="30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3"/>
      <c r="J11" s="54"/>
    </row>
    <row r="12" spans="1:10" ht="39.9" customHeight="1" x14ac:dyDescent="0.3">
      <c r="A12" s="10"/>
      <c r="B12" s="41" t="s">
        <v>194</v>
      </c>
      <c r="C12" s="42"/>
      <c r="D12" s="42"/>
      <c r="E12" s="38"/>
      <c r="F12" s="26"/>
      <c r="G12" s="29"/>
      <c r="H12" s="30"/>
      <c r="I12" s="53"/>
      <c r="J12" s="54"/>
    </row>
    <row r="13" spans="1:10" ht="39.9" customHeight="1" x14ac:dyDescent="0.3">
      <c r="A13" s="10"/>
      <c r="B13" s="51" t="s">
        <v>195</v>
      </c>
      <c r="C13" s="52"/>
      <c r="D13" s="52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3"/>
      <c r="J13" s="54"/>
    </row>
    <row r="14" spans="1:10" ht="39.9" customHeight="1" x14ac:dyDescent="0.3">
      <c r="A14" s="10"/>
      <c r="B14" s="51" t="s">
        <v>196</v>
      </c>
      <c r="C14" s="52"/>
      <c r="D14" s="52"/>
      <c r="E14" s="9">
        <v>5</v>
      </c>
      <c r="F14" s="40">
        <v>3.75</v>
      </c>
      <c r="G14" s="29">
        <f t="shared" si="0"/>
        <v>0.75</v>
      </c>
      <c r="H14" s="30" t="str">
        <f t="shared" si="1"/>
        <v>جيد</v>
      </c>
      <c r="I14" s="53"/>
      <c r="J14" s="54"/>
    </row>
    <row r="15" spans="1:10" ht="39.9" customHeight="1" x14ac:dyDescent="0.3">
      <c r="A15" s="10"/>
      <c r="B15" s="51" t="s">
        <v>178</v>
      </c>
      <c r="C15" s="52"/>
      <c r="D15" s="52"/>
      <c r="E15" s="9">
        <v>5</v>
      </c>
      <c r="F15" s="40">
        <v>3.75</v>
      </c>
      <c r="G15" s="29">
        <f t="shared" si="0"/>
        <v>0.75</v>
      </c>
      <c r="H15" s="30" t="str">
        <f t="shared" si="1"/>
        <v>جيد</v>
      </c>
      <c r="I15" s="53"/>
      <c r="J15" s="54"/>
    </row>
    <row r="16" spans="1:10" ht="39.9" customHeight="1" x14ac:dyDescent="0.3">
      <c r="A16" s="10"/>
      <c r="B16" s="51" t="s">
        <v>179</v>
      </c>
      <c r="C16" s="52"/>
      <c r="D16" s="52"/>
      <c r="E16" s="9">
        <v>5</v>
      </c>
      <c r="F16" s="40">
        <v>3.75</v>
      </c>
      <c r="G16" s="29">
        <f t="shared" si="0"/>
        <v>0.75</v>
      </c>
      <c r="H16" s="30" t="str">
        <f t="shared" si="1"/>
        <v>جيد</v>
      </c>
      <c r="I16" s="53"/>
      <c r="J16" s="54"/>
    </row>
    <row r="17" spans="1:10" ht="39.9" customHeight="1" x14ac:dyDescent="0.3">
      <c r="A17" s="10"/>
      <c r="B17" s="51" t="s">
        <v>180</v>
      </c>
      <c r="C17" s="52"/>
      <c r="D17" s="52"/>
      <c r="E17" s="9">
        <v>5</v>
      </c>
      <c r="F17" s="40">
        <v>3.75</v>
      </c>
      <c r="G17" s="29">
        <f t="shared" si="0"/>
        <v>0.75</v>
      </c>
      <c r="H17" s="30" t="str">
        <f t="shared" si="1"/>
        <v>جيد</v>
      </c>
      <c r="I17" s="53"/>
      <c r="J17" s="54"/>
    </row>
    <row r="18" spans="1:10" ht="39.9" customHeight="1" x14ac:dyDescent="0.3">
      <c r="A18" s="10"/>
      <c r="B18" s="51" t="s">
        <v>181</v>
      </c>
      <c r="C18" s="52"/>
      <c r="D18" s="52"/>
      <c r="E18" s="9"/>
      <c r="F18" s="26"/>
      <c r="G18" s="29"/>
      <c r="H18" s="30"/>
      <c r="I18" s="53"/>
      <c r="J18" s="54"/>
    </row>
    <row r="19" spans="1:10" ht="39.9" customHeight="1" x14ac:dyDescent="0.3">
      <c r="A19" s="10"/>
      <c r="B19" s="41" t="s">
        <v>182</v>
      </c>
      <c r="C19" s="42"/>
      <c r="D19" s="42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3"/>
      <c r="J19" s="54"/>
    </row>
    <row r="20" spans="1:10" ht="60" customHeight="1" thickBot="1" x14ac:dyDescent="0.35">
      <c r="A20" s="10"/>
      <c r="B20" s="45" t="s">
        <v>197</v>
      </c>
      <c r="C20" s="46"/>
      <c r="D20" s="46"/>
      <c r="E20" s="39">
        <v>5</v>
      </c>
      <c r="F20" s="40">
        <v>3.5</v>
      </c>
      <c r="G20" s="35">
        <f t="shared" si="0"/>
        <v>0.7</v>
      </c>
      <c r="H20" s="36" t="str">
        <f t="shared" si="1"/>
        <v>جيد</v>
      </c>
      <c r="I20" s="55"/>
      <c r="J20" s="56"/>
    </row>
    <row r="21" spans="1:10" ht="39.9" customHeight="1" x14ac:dyDescent="0.3">
      <c r="A21" s="10"/>
      <c r="B21" s="49" t="s">
        <v>183</v>
      </c>
      <c r="C21" s="50"/>
      <c r="D21" s="50"/>
      <c r="E21" s="37"/>
      <c r="F21" s="31"/>
      <c r="G21" s="32"/>
      <c r="H21" s="33"/>
      <c r="I21" s="57"/>
      <c r="J21" s="58"/>
    </row>
    <row r="22" spans="1:10" ht="60" customHeight="1" x14ac:dyDescent="0.3">
      <c r="A22" s="10"/>
      <c r="B22" s="47" t="s">
        <v>184</v>
      </c>
      <c r="C22" s="48"/>
      <c r="D22" s="48"/>
      <c r="E22" s="9"/>
      <c r="F22" s="26"/>
      <c r="G22" s="29"/>
      <c r="H22" s="30"/>
      <c r="I22" s="53"/>
      <c r="J22" s="54"/>
    </row>
    <row r="23" spans="1:10" ht="39.9" customHeight="1" x14ac:dyDescent="0.3">
      <c r="A23" s="10"/>
      <c r="B23" s="47" t="s">
        <v>198</v>
      </c>
      <c r="C23" s="48"/>
      <c r="D23" s="48"/>
      <c r="E23" s="9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53"/>
      <c r="J23" s="54"/>
    </row>
    <row r="24" spans="1:10" ht="39.9" customHeight="1" x14ac:dyDescent="0.3">
      <c r="A24" s="10"/>
      <c r="B24" s="47" t="s">
        <v>199</v>
      </c>
      <c r="C24" s="48"/>
      <c r="D24" s="48"/>
      <c r="E24" s="9">
        <v>5</v>
      </c>
      <c r="F24" s="40">
        <v>3.5</v>
      </c>
      <c r="G24" s="29">
        <f t="shared" si="0"/>
        <v>0.7</v>
      </c>
      <c r="H24" s="30" t="str">
        <f t="shared" si="1"/>
        <v>جيد</v>
      </c>
      <c r="I24" s="53"/>
      <c r="J24" s="54"/>
    </row>
    <row r="25" spans="1:10" ht="39.9" customHeight="1" x14ac:dyDescent="0.3">
      <c r="A25" s="10"/>
      <c r="B25" s="47" t="s">
        <v>200</v>
      </c>
      <c r="C25" s="48"/>
      <c r="D25" s="48"/>
      <c r="E25" s="9">
        <v>5</v>
      </c>
      <c r="F25" s="40">
        <v>3.5</v>
      </c>
      <c r="G25" s="29">
        <f t="shared" si="0"/>
        <v>0.7</v>
      </c>
      <c r="H25" s="30" t="str">
        <f t="shared" si="1"/>
        <v>جيد</v>
      </c>
      <c r="I25" s="53"/>
      <c r="J25" s="54"/>
    </row>
    <row r="26" spans="1:10" ht="39.9" customHeight="1" x14ac:dyDescent="0.3">
      <c r="A26" s="10"/>
      <c r="B26" s="43" t="s">
        <v>201</v>
      </c>
      <c r="C26" s="44"/>
      <c r="D26" s="44"/>
      <c r="E26" s="38"/>
      <c r="F26" s="26"/>
      <c r="G26" s="29"/>
      <c r="H26" s="30"/>
      <c r="I26" s="53"/>
      <c r="J26" s="54"/>
    </row>
    <row r="27" spans="1:10" ht="39.9" customHeight="1" x14ac:dyDescent="0.3">
      <c r="A27" s="10"/>
      <c r="B27" s="41" t="s">
        <v>185</v>
      </c>
      <c r="C27" s="42"/>
      <c r="D27" s="42"/>
      <c r="E27" s="9">
        <v>5</v>
      </c>
      <c r="F27" s="26">
        <v>4</v>
      </c>
      <c r="G27" s="29">
        <f t="shared" si="0"/>
        <v>0.8</v>
      </c>
      <c r="H27" s="30" t="str">
        <f t="shared" si="1"/>
        <v>جيد جداً</v>
      </c>
      <c r="I27" s="53"/>
      <c r="J27" s="54"/>
    </row>
    <row r="28" spans="1:10" ht="39.9" customHeight="1" x14ac:dyDescent="0.3">
      <c r="A28" s="10"/>
      <c r="B28" s="41" t="s">
        <v>186</v>
      </c>
      <c r="C28" s="42"/>
      <c r="D28" s="42"/>
      <c r="E28" s="9">
        <v>5</v>
      </c>
      <c r="F28" s="40">
        <v>4</v>
      </c>
      <c r="G28" s="29">
        <f t="shared" si="0"/>
        <v>0.8</v>
      </c>
      <c r="H28" s="30" t="str">
        <f t="shared" si="1"/>
        <v>جيد جداً</v>
      </c>
      <c r="I28" s="53"/>
      <c r="J28" s="54"/>
    </row>
    <row r="29" spans="1:10" ht="39.9" customHeight="1" x14ac:dyDescent="0.3">
      <c r="A29" s="10"/>
      <c r="B29" s="41" t="s">
        <v>187</v>
      </c>
      <c r="C29" s="42"/>
      <c r="D29" s="42"/>
      <c r="E29" s="9">
        <v>5</v>
      </c>
      <c r="F29" s="40">
        <v>4</v>
      </c>
      <c r="G29" s="29">
        <f t="shared" si="0"/>
        <v>0.8</v>
      </c>
      <c r="H29" s="30" t="str">
        <f t="shared" si="1"/>
        <v>جيد جداً</v>
      </c>
      <c r="I29" s="53"/>
      <c r="J29" s="54"/>
    </row>
    <row r="30" spans="1:10" ht="39.9" customHeight="1" x14ac:dyDescent="0.3">
      <c r="A30" s="10"/>
      <c r="B30" s="41" t="s">
        <v>188</v>
      </c>
      <c r="C30" s="42"/>
      <c r="D30" s="42"/>
      <c r="E30" s="9">
        <v>5</v>
      </c>
      <c r="F30" s="40">
        <v>4</v>
      </c>
      <c r="G30" s="29">
        <f t="shared" si="0"/>
        <v>0.8</v>
      </c>
      <c r="H30" s="30" t="str">
        <f t="shared" si="1"/>
        <v>جيد جداً</v>
      </c>
      <c r="I30" s="53"/>
      <c r="J30" s="54"/>
    </row>
    <row r="31" spans="1:10" ht="39.9" customHeight="1" x14ac:dyDescent="0.3">
      <c r="A31" s="10"/>
      <c r="B31" s="41" t="s">
        <v>189</v>
      </c>
      <c r="C31" s="42"/>
      <c r="D31" s="42"/>
      <c r="E31" s="9"/>
      <c r="F31" s="26"/>
      <c r="G31" s="29"/>
      <c r="H31" s="30"/>
      <c r="I31" s="53"/>
      <c r="J31" s="54"/>
    </row>
    <row r="32" spans="1:10" ht="39.9" customHeight="1" x14ac:dyDescent="0.3">
      <c r="A32" s="10"/>
      <c r="B32" s="41" t="s">
        <v>190</v>
      </c>
      <c r="C32" s="42"/>
      <c r="D32" s="42"/>
      <c r="E32" s="9"/>
      <c r="F32" s="26"/>
      <c r="G32" s="29"/>
      <c r="H32" s="30"/>
      <c r="I32" s="53"/>
      <c r="J32" s="54"/>
    </row>
    <row r="33" spans="1:10" ht="39.9" customHeight="1" x14ac:dyDescent="0.3">
      <c r="A33" s="10"/>
      <c r="B33" s="43" t="s">
        <v>202</v>
      </c>
      <c r="C33" s="44"/>
      <c r="D33" s="44"/>
      <c r="E33" s="9">
        <v>5</v>
      </c>
      <c r="F33" s="26">
        <v>3.5</v>
      </c>
      <c r="G33" s="29">
        <f t="shared" si="0"/>
        <v>0.7</v>
      </c>
      <c r="H33" s="30" t="str">
        <f t="shared" si="1"/>
        <v>جيد</v>
      </c>
      <c r="I33" s="53"/>
      <c r="J33" s="54"/>
    </row>
    <row r="34" spans="1:10" ht="39.9" customHeight="1" thickBot="1" x14ac:dyDescent="0.35">
      <c r="A34" s="10"/>
      <c r="B34" s="45" t="s">
        <v>203</v>
      </c>
      <c r="C34" s="46"/>
      <c r="D34" s="46"/>
      <c r="E34" s="34">
        <v>5</v>
      </c>
      <c r="F34" s="40">
        <v>3.5</v>
      </c>
      <c r="G34" s="35">
        <f t="shared" si="0"/>
        <v>0.7</v>
      </c>
      <c r="H34" s="36" t="str">
        <f t="shared" si="1"/>
        <v>جيد</v>
      </c>
      <c r="I34" s="55"/>
      <c r="J34" s="56"/>
    </row>
    <row r="35" spans="1:10" ht="39.9" customHeight="1" x14ac:dyDescent="0.3">
      <c r="A35" s="10"/>
      <c r="B35" s="49" t="s">
        <v>191</v>
      </c>
      <c r="C35" s="50"/>
      <c r="D35" s="50"/>
      <c r="E35" s="37"/>
      <c r="F35" s="31"/>
      <c r="G35" s="32"/>
      <c r="H35" s="33"/>
      <c r="I35" s="57"/>
      <c r="J35" s="58"/>
    </row>
    <row r="36" spans="1:10" ht="39.9" customHeight="1" x14ac:dyDescent="0.3">
      <c r="A36" s="10"/>
      <c r="B36" s="47" t="s">
        <v>204</v>
      </c>
      <c r="C36" s="48"/>
      <c r="D36" s="48"/>
      <c r="E36" s="9">
        <v>5</v>
      </c>
      <c r="F36" s="26">
        <v>3.5</v>
      </c>
      <c r="G36" s="29">
        <f t="shared" si="0"/>
        <v>0.7</v>
      </c>
      <c r="H36" s="30" t="str">
        <f t="shared" si="1"/>
        <v>جيد</v>
      </c>
      <c r="I36" s="53"/>
      <c r="J36" s="54"/>
    </row>
    <row r="37" spans="1:10" ht="60" customHeight="1" x14ac:dyDescent="0.3">
      <c r="A37" s="10"/>
      <c r="B37" s="47" t="s">
        <v>205</v>
      </c>
      <c r="C37" s="48"/>
      <c r="D37" s="48"/>
      <c r="E37" s="9">
        <v>5</v>
      </c>
      <c r="F37" s="40">
        <v>3.5</v>
      </c>
      <c r="G37" s="29">
        <f t="shared" si="0"/>
        <v>0.7</v>
      </c>
      <c r="H37" s="30" t="str">
        <f t="shared" si="1"/>
        <v>جيد</v>
      </c>
      <c r="I37" s="53"/>
      <c r="J37" s="54"/>
    </row>
    <row r="38" spans="1:10" ht="39.9" customHeight="1" x14ac:dyDescent="0.3">
      <c r="A38" s="10"/>
      <c r="B38" s="47" t="s">
        <v>206</v>
      </c>
      <c r="C38" s="48"/>
      <c r="D38" s="48"/>
      <c r="E38" s="9">
        <v>5</v>
      </c>
      <c r="F38" s="40">
        <v>3.5</v>
      </c>
      <c r="G38" s="29">
        <f t="shared" si="0"/>
        <v>0.7</v>
      </c>
      <c r="H38" s="30" t="str">
        <f t="shared" si="1"/>
        <v>جيد</v>
      </c>
      <c r="I38" s="53"/>
      <c r="J38" s="54"/>
    </row>
    <row r="39" spans="1:10" ht="60" customHeight="1" x14ac:dyDescent="0.3">
      <c r="A39" s="10"/>
      <c r="B39" s="47" t="s">
        <v>207</v>
      </c>
      <c r="C39" s="48"/>
      <c r="D39" s="48"/>
      <c r="E39" s="9">
        <v>5</v>
      </c>
      <c r="F39" s="40">
        <v>3.75</v>
      </c>
      <c r="G39" s="29">
        <f t="shared" si="0"/>
        <v>0.75</v>
      </c>
      <c r="H39" s="30" t="str">
        <f t="shared" si="1"/>
        <v>جيد</v>
      </c>
      <c r="I39" s="53"/>
      <c r="J39" s="54"/>
    </row>
    <row r="40" spans="1:10" ht="60" customHeight="1" x14ac:dyDescent="0.3">
      <c r="A40" s="10"/>
      <c r="B40" s="47" t="s">
        <v>208</v>
      </c>
      <c r="C40" s="48"/>
      <c r="D40" s="48"/>
      <c r="E40" s="9">
        <v>5</v>
      </c>
      <c r="F40" s="40">
        <v>3.75</v>
      </c>
      <c r="G40" s="29">
        <f t="shared" si="0"/>
        <v>0.75</v>
      </c>
      <c r="H40" s="30" t="str">
        <f t="shared" si="1"/>
        <v>جيد</v>
      </c>
      <c r="I40" s="53"/>
      <c r="J40" s="54"/>
    </row>
    <row r="41" spans="1:10" ht="39.9" customHeight="1" x14ac:dyDescent="0.3">
      <c r="A41" s="10"/>
      <c r="B41" s="47" t="s">
        <v>209</v>
      </c>
      <c r="C41" s="48"/>
      <c r="D41" s="48"/>
      <c r="E41" s="9">
        <v>5</v>
      </c>
      <c r="F41" s="40">
        <v>3.75</v>
      </c>
      <c r="G41" s="29">
        <f t="shared" si="0"/>
        <v>0.75</v>
      </c>
      <c r="H41" s="30" t="str">
        <f t="shared" si="1"/>
        <v>جيد</v>
      </c>
      <c r="I41" s="53"/>
      <c r="J41" s="54"/>
    </row>
    <row r="42" spans="1:10" ht="39.9" customHeight="1" x14ac:dyDescent="0.3">
      <c r="A42" s="10"/>
      <c r="B42" s="47" t="s">
        <v>210</v>
      </c>
      <c r="C42" s="48"/>
      <c r="D42" s="48"/>
      <c r="E42" s="9">
        <v>5</v>
      </c>
      <c r="F42" s="40">
        <v>3.75</v>
      </c>
      <c r="G42" s="29">
        <f t="shared" si="0"/>
        <v>0.75</v>
      </c>
      <c r="H42" s="30" t="str">
        <f t="shared" si="1"/>
        <v>جيد</v>
      </c>
      <c r="I42" s="53"/>
      <c r="J42" s="54"/>
    </row>
    <row r="43" spans="1:10" ht="39.9" customHeight="1" x14ac:dyDescent="0.3">
      <c r="A43" s="10"/>
      <c r="B43" s="47" t="s">
        <v>211</v>
      </c>
      <c r="C43" s="48"/>
      <c r="D43" s="48"/>
      <c r="E43" s="9">
        <v>5</v>
      </c>
      <c r="F43" s="40">
        <v>3.75</v>
      </c>
      <c r="G43" s="29">
        <f t="shared" si="0"/>
        <v>0.75</v>
      </c>
      <c r="H43" s="30" t="str">
        <f t="shared" si="1"/>
        <v>جيد</v>
      </c>
      <c r="I43" s="53"/>
      <c r="J43" s="54"/>
    </row>
    <row r="44" spans="1:10" ht="39.9" customHeight="1" x14ac:dyDescent="0.3">
      <c r="A44" s="10"/>
      <c r="B44" s="47" t="s">
        <v>212</v>
      </c>
      <c r="C44" s="48"/>
      <c r="D44" s="48"/>
      <c r="E44" s="9">
        <v>5</v>
      </c>
      <c r="F44" s="40">
        <v>3.75</v>
      </c>
      <c r="G44" s="29">
        <f t="shared" si="0"/>
        <v>0.75</v>
      </c>
      <c r="H44" s="30" t="str">
        <f t="shared" si="1"/>
        <v>جيد</v>
      </c>
      <c r="I44" s="53"/>
      <c r="J44" s="54"/>
    </row>
    <row r="45" spans="1:10" ht="39.9" customHeight="1" x14ac:dyDescent="0.3">
      <c r="A45" s="10"/>
      <c r="B45" s="47" t="s">
        <v>213</v>
      </c>
      <c r="C45" s="48"/>
      <c r="D45" s="48"/>
      <c r="E45" s="9">
        <v>5</v>
      </c>
      <c r="F45" s="40">
        <v>3.75</v>
      </c>
      <c r="G45" s="29">
        <f t="shared" si="0"/>
        <v>0.75</v>
      </c>
      <c r="H45" s="30" t="str">
        <f t="shared" si="1"/>
        <v>جيد</v>
      </c>
      <c r="I45" s="53"/>
      <c r="J45" s="54"/>
    </row>
    <row r="46" spans="1:10" ht="39.9" customHeight="1" x14ac:dyDescent="0.3">
      <c r="A46" s="10"/>
      <c r="B46" s="47" t="s">
        <v>214</v>
      </c>
      <c r="C46" s="48"/>
      <c r="D46" s="48"/>
      <c r="E46" s="9">
        <v>5</v>
      </c>
      <c r="F46" s="40">
        <v>3.75</v>
      </c>
      <c r="G46" s="29">
        <f t="shared" si="0"/>
        <v>0.75</v>
      </c>
      <c r="H46" s="30" t="str">
        <f t="shared" si="1"/>
        <v>جيد</v>
      </c>
      <c r="I46" s="53"/>
      <c r="J46" s="54"/>
    </row>
    <row r="47" spans="1:10" ht="39.9" customHeight="1" x14ac:dyDescent="0.3">
      <c r="A47" s="10"/>
      <c r="B47" s="47" t="s">
        <v>215</v>
      </c>
      <c r="C47" s="48"/>
      <c r="D47" s="48"/>
      <c r="E47" s="9">
        <v>5</v>
      </c>
      <c r="F47" s="40">
        <v>3.75</v>
      </c>
      <c r="G47" s="29">
        <f t="shared" si="0"/>
        <v>0.75</v>
      </c>
      <c r="H47" s="30" t="str">
        <f t="shared" si="1"/>
        <v>جيد</v>
      </c>
      <c r="I47" s="53"/>
      <c r="J47" s="54"/>
    </row>
    <row r="48" spans="1:10" ht="39.9" customHeight="1" thickBot="1" x14ac:dyDescent="0.35">
      <c r="A48" s="10"/>
      <c r="B48" s="74" t="s">
        <v>216</v>
      </c>
      <c r="C48" s="75"/>
      <c r="D48" s="75"/>
      <c r="E48" s="34">
        <v>5</v>
      </c>
      <c r="F48" s="40">
        <v>3.75</v>
      </c>
      <c r="G48" s="35">
        <f t="shared" si="0"/>
        <v>0.75</v>
      </c>
      <c r="H48" s="36" t="str">
        <f t="shared" si="1"/>
        <v>جيد</v>
      </c>
      <c r="I48" s="55"/>
      <c r="J48" s="56"/>
    </row>
    <row r="49" spans="1:10" ht="30" customHeight="1" thickBot="1" x14ac:dyDescent="0.35">
      <c r="A49" s="4"/>
      <c r="B49" s="59" t="s">
        <v>5</v>
      </c>
      <c r="C49" s="60"/>
      <c r="D49" s="60"/>
      <c r="E49" s="28">
        <f>SUM(E8:E48)</f>
        <v>150</v>
      </c>
      <c r="F49" s="28">
        <f>SUM(F8:F48)</f>
        <v>111</v>
      </c>
      <c r="G49" s="71"/>
      <c r="H49" s="72"/>
      <c r="I49" s="72"/>
      <c r="J49" s="73"/>
    </row>
    <row r="50" spans="1:10" ht="30" customHeight="1" thickBot="1" x14ac:dyDescent="0.35">
      <c r="A50" s="4"/>
      <c r="B50" s="61" t="s">
        <v>54</v>
      </c>
      <c r="C50" s="62"/>
      <c r="D50" s="62"/>
      <c r="E50" s="83">
        <f>F49/E49/100*100</f>
        <v>0.74</v>
      </c>
      <c r="F50" s="83"/>
      <c r="G50" s="83"/>
      <c r="H50" s="83"/>
      <c r="I50" s="83"/>
      <c r="J50" s="84"/>
    </row>
    <row r="51" spans="1:10" ht="30" customHeight="1" thickBot="1" x14ac:dyDescent="0.35">
      <c r="A51" s="4"/>
      <c r="B51" s="61" t="s">
        <v>55</v>
      </c>
      <c r="C51" s="62"/>
      <c r="D51" s="62"/>
      <c r="E51" s="67" t="str">
        <f>_xlfn.IFS(E50&gt;=90%,"ممتاز",E50&gt;=80%,"جيد جداً",E50&gt;=70%,"جيد",E50&gt;=60%,"مقبول",E50&lt;60%,"راسب")</f>
        <v>جيد</v>
      </c>
      <c r="F51" s="67"/>
      <c r="G51" s="67"/>
      <c r="H51" s="67"/>
      <c r="I51" s="67"/>
      <c r="J51" s="68"/>
    </row>
    <row r="52" spans="1:10" ht="42" customHeight="1" x14ac:dyDescent="0.3">
      <c r="B52" s="63" t="s">
        <v>175</v>
      </c>
      <c r="C52" s="63"/>
      <c r="D52" s="63"/>
      <c r="E52" s="69" t="s">
        <v>52</v>
      </c>
      <c r="F52" s="69"/>
      <c r="G52" s="65" t="s">
        <v>131</v>
      </c>
      <c r="H52" s="65"/>
      <c r="I52" s="65"/>
      <c r="J52" s="65"/>
    </row>
    <row r="53" spans="1:10" ht="51" customHeight="1" x14ac:dyDescent="0.3">
      <c r="A53" s="5"/>
      <c r="B53" s="64"/>
      <c r="C53" s="64"/>
      <c r="D53" s="64"/>
      <c r="E53" s="70" t="s">
        <v>53</v>
      </c>
      <c r="F53" s="70"/>
      <c r="G53" s="66"/>
      <c r="H53" s="66"/>
      <c r="I53" s="66"/>
      <c r="J53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60">
      <formula>$E51="جيد جداً"</formula>
    </cfRule>
    <cfRule type="expression" dxfId="12" priority="59">
      <formula>$E51="جيد"</formula>
    </cfRule>
    <cfRule type="expression" dxfId="11" priority="58">
      <formula>$E51="مقبول"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2025-10-27T22:39:59Z</dcterms:modified>
</cp:coreProperties>
</file>