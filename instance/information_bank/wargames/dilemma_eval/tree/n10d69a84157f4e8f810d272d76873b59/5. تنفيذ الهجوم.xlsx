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90CE393-976D-42FF-958F-686FADF290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F42" i="2"/>
  <c r="E42" i="2"/>
  <c r="E43" i="2"/>
  <c r="E44" i="2"/>
</calcChain>
</file>

<file path=xl/sharedStrings.xml><?xml version="1.0" encoding="utf-8"?>
<sst xmlns="http://schemas.openxmlformats.org/spreadsheetml/2006/main" count="272" uniqueCount="216">
  <si>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</si>
  <si>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</si>
  <si>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</si>
  <si>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</si>
  <si>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</si>
  <si>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</si>
  <si>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</si>
  <si>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</si>
  <si>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</si>
  <si>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</si>
  <si>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</si>
  <si>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</si>
  <si>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</si>
  <si>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</si>
  <si>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</si>
  <si>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</si>
  <si>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</si>
  <si>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</si>
  <si>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</si>
  <si>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</si>
  <si>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</si>
  <si>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</si>
  <si>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</si>
  <si>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</si>
  <si>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</si>
  <si>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</si>
  <si>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</si>
  <si>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</si>
  <si>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</si>
  <si>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</si>
  <si>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</si>
  <si>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</si>
  <si>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</si>
  <si>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</si>
  <si>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</si>
  <si>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</si>
  <si>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</si>
  <si>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</si>
  <si>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</si>
  <si>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</si>
  <si>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</si>
  <si>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</si>
  <si>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</si>
  <si>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</si>
  <si>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</si>
  <si>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</si>
  <si>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</si>
  <si>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</si>
  <si>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</si>
  <si>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</si>
  <si>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</si>
  <si>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</si>
  <si>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</si>
  <si>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</si>
  <si>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</si>
  <si>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</si>
  <si>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</si>
  <si>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</si>
  <si>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</si>
  <si>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</si>
  <si>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</si>
  <si>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</si>
  <si>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</si>
  <si>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</si>
  <si>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</si>
  <si>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</si>
  <si>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</si>
  <si>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</si>
  <si>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</si>
  <si>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</si>
  <si>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</si>
  <si>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</si>
  <si>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</si>
  <si>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</si>
  <si>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</si>
  <si>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</si>
  <si>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</si>
  <si>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</si>
  <si>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</si>
  <si>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</si>
  <si>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</si>
  <si>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</si>
  <si>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</si>
  <si>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</si>
  <si>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</si>
  <si>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</si>
  <si>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</si>
  <si>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</si>
  <si>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</si>
  <si>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</si>
  <si>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</si>
  <si>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</si>
  <si>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</si>
  <si>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</si>
  <si>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</si>
  <si>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</si>
  <si>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</si>
  <si>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</si>
  <si>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</si>
  <si>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</si>
  <si>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</si>
  <si>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</si>
  <si>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</si>
  <si>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</si>
  <si>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</si>
  <si>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</si>
  <si>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</si>
  <si>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</si>
  <si>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</si>
  <si>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</si>
  <si>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</si>
  <si>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</si>
  <si>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</si>
  <si>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</si>
  <si>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</si>
  <si>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</si>
  <si>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</si>
  <si>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</si>
  <si>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</si>
  <si>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</si>
  <si>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</si>
  <si>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</si>
  <si>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</si>
  <si>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</si>
  <si>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</si>
  <si>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</si>
  <si>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</si>
  <si>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</si>
  <si>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</si>
  <si>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</si>
  <si>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</si>
  <si>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</si>
  <si>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</si>
  <si>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</si>
  <si>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</si>
  <si>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</si>
  <si>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</si>
  <si>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</si>
  <si>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</si>
  <si>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</si>
  <si>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</si>
  <si>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</si>
  <si>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</si>
  <si>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</si>
  <si>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</si>
  <si>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</si>
  <si>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</si>
  <si>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</si>
  <si>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</si>
  <si>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</si>
  <si>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</si>
  <si>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</si>
  <si>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</si>
  <si>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</si>
  <si>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</si>
  <si>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</si>
  <si>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</si>
  <si>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</si>
  <si>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</si>
  <si>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</si>
  <si>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</si>
  <si>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</si>
  <si>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</si>
  <si>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</si>
  <si>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</si>
  <si>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</si>
  <si>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</si>
  <si>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</si>
  <si>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</si>
  <si>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</si>
  <si>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</si>
  <si>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</si>
  <si>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</si>
  <si>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</si>
  <si>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</si>
  <si>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</si>
  <si>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</si>
  <si>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</si>
  <si>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</si>
  <si>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</si>
  <si>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 إعادة التنظيم </t>
  </si>
  <si>
    <t>2.     إجراءات إعادة التنظيم</t>
  </si>
  <si>
    <t xml:space="preserve">3.     مدى المام مرتب الفصيلة في الهجوم </t>
  </si>
  <si>
    <t>1.     بدء الحركة حسب التوقيتات.</t>
  </si>
  <si>
    <t>2.     نظام السير حسب أولية الدخول للتشكيل.</t>
  </si>
  <si>
    <t>3.     حماية الاجنحة و المؤخرة أثناء الحركة.</t>
  </si>
  <si>
    <t>4.     ترتيبات الاسناد الناري للأهداف الطارئة.</t>
  </si>
  <si>
    <t>5.     القيادة والسيطرة و الاتصالات.</t>
  </si>
  <si>
    <t>6.     ترتيبات الالتقاء بالأدلاء.</t>
  </si>
  <si>
    <t>7.     نوع و أسلوب الحركة.</t>
  </si>
  <si>
    <t>8.     توفر السيطرة و الرؤية المتبادلة.</t>
  </si>
  <si>
    <t>9.     انفصال قاعدة الاسناد بطريقة تعبوية.</t>
  </si>
  <si>
    <t>10.     الانفتاح بالصورة المطلوبة و بسرعة في منطقة التشكيل.</t>
  </si>
  <si>
    <t xml:space="preserve">11.     توفر الحماية أثناء الوصول لمنطقة التشكيل. </t>
  </si>
  <si>
    <t>1.    استطلاع منطقة التشكيل.</t>
  </si>
  <si>
    <t>2.    حماية منطقة التشكيل.</t>
  </si>
  <si>
    <t>3.    تأشير مناطق الفصيلة و الجماعات.</t>
  </si>
  <si>
    <t>4.    ترتيبات الدلالة و الارشاد.</t>
  </si>
  <si>
    <t>5.    استقبال الادلاء للجماعات في التشكيل.</t>
  </si>
  <si>
    <t>6.    توزيع الجماعات في التشكيل حسب اتجاه الاهداف.</t>
  </si>
  <si>
    <t>7.     السيطرة على قاعدة الاسناد و وضوح الامر.</t>
  </si>
  <si>
    <t>10.     تحديد مواقع اسلحة العدو بشكل فعال.</t>
  </si>
  <si>
    <t>11.     الرد و إسكات نيران العدو المباشرة و الغير مباشرة.</t>
  </si>
  <si>
    <t>12.     الاقتحام باستخدام اسلوب النار والحركة و تطبيق مهارات المعركة بصورة صحيحة.</t>
  </si>
  <si>
    <t>13.     القيادة والسيطرة و تمرير المعلومات.</t>
  </si>
  <si>
    <t>14.     معالجة الاصابات.</t>
  </si>
  <si>
    <t>15.     تطهير الاهداف بصورة صحيحة قبل التوسع.</t>
  </si>
  <si>
    <t>17.     التحاق قاعدة الاسناد.</t>
  </si>
  <si>
    <t>1.     تطهير مواقع العدو.</t>
  </si>
  <si>
    <t>الاقتحام (الهجوم)</t>
  </si>
  <si>
    <t>مرحلة الانفتاح (الحركة الى منطقة التشكيل في الهجوم)</t>
  </si>
  <si>
    <r>
      <t>8.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 xml:space="preserve">التقيد بتوقيت ساعة الصفر </t>
    </r>
  </si>
  <si>
    <r>
      <t>9.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 xml:space="preserve">استخدام نيران الاسناد المباشرة ( قاعدة الاسناد ) والغير مباشرة </t>
    </r>
  </si>
  <si>
    <r>
      <t>16.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التوسع بعد هدف العمق و اتخاذ الدفاع الدائري حسب طبيعة الارض.</t>
    </r>
  </si>
  <si>
    <r>
      <rPr>
        <b/>
        <sz val="14"/>
        <color rgb="FF000000"/>
        <rFont val="Arial"/>
        <family val="2"/>
      </rPr>
      <t>تقييم فصيل مشاة راجل في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</si>
  <si>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خالد محمد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</si>
</sst>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6" fillId="0" borderId="25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5" fillId="0" borderId="25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6" xfId="0" applyFont="1" applyBorder="1" applyAlignment="1">
      <alignment horizontal="right" vertical="center" wrapText="1" readingOrder="2"/>
    </xf>
    <xf numFmtId="0" fontId="5" fillId="0" borderId="17" xfId="0" applyFont="1" applyBorder="1" applyAlignment="1">
      <alignment horizontal="right" vertical="center" wrapText="1" readingOrder="2"/>
    </xf>
    <xf numFmtId="0" fontId="5" fillId="0" borderId="26" xfId="0" applyFont="1" applyBorder="1" applyAlignment="1">
      <alignment horizontal="right" vertical="center" wrapText="1" readingOrder="2"/>
    </xf>
    <xf numFmtId="0" fontId="14" fillId="0" borderId="25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366787</xdr:colOff>
      <xdr:row>45</xdr:row>
      <xdr:rowOff>69240</xdr:rowOff>
    </xdr:from>
    <xdr:to>
      <xdr:col>8</xdr:col>
      <xdr:colOff>530205</xdr:colOff>
      <xdr:row>45</xdr:row>
      <xdr:rowOff>568200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442D0A4-F772-FA04-8D80-F0E3B8AFD553}"/>
                </a:ext>
              </a:extLst>
            </xdr14:cNvPr>
            <xdr14:cNvContentPartPr/>
          </xdr14:nvContentPartPr>
          <xdr14:nvPr macro=""/>
          <xdr14:xfrm>
            <a:off x="10436521451" y="17747640"/>
            <a:ext cx="1479600" cy="498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442D0A4-F772-FA04-8D80-F0E3B8AFD5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512811" y="17738640"/>
              <a:ext cx="1497240" cy="516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11:25.0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3760 616,'0'0,"0"0,0 0,0 0,0 0,0 0,0 0,0 0,0 0,0 0,-18 19,6-8,5-3,-12 12,7-9,5-3,-30 29,26-15,3-5,-29 21,4-16,9-5,-13 21,18-28,0-1,-18 30,18-29,0-1,-18 10,27-19,1 0,-28 0,27 0,1 0,-10-19,19 10,0-1,-19-9,19 9,0 0,0-28,0 29,0-1,0-9,0 9,0 0,-18-9,8 10,1 18,-1 0,2 1,-12 10,20-11,0 1,-37 9,27-10,2 1,-12 9,11-9,0 0,-10 9,9-10,2-18,-7-5,10 9,-4-4,0 18,-10-9,9 10,2-1,-12-9,11 0,0 19,0-19,-1 0,-8 0,8 0,0 0,-8 0,18-10,0 1,-19-10,9-1,1 1,9-19,-9 17,-1 3,10-39,0 27,0 3,-19-50,29 27,-1 4,-9-31,0 37,0 3,19-21,-19 28,0 2,19-29,-19 27,0 2,0 9,0 9,0 0,-15 10,11 0,-15 20,19-10,0-1,-19 29,11-18,-2-1,-28 38,29-27,-1-2,-27 49,18-27,0-4,-18 31,19-27,-2-3,-17 9,28-16,0-3,-29 40,19-47,1-2,-2 30,12-48,-2-1,-9 10,10-9,0-1,-29 11,19-11,19-18,-9-1,0 0,-11-9,11 9,0 1,9-30,-9 29,-1 1,10-29,-10 28,2 0,8-28,-10 28,0 1,10-10,-9 9,0 0,-5 10,9 0,-13 20,8-20,0 0,-8 19,9-19,-1 0,10 19,-10-19,2 0,-2 0,0 19,-8 0,-1 1,9-10,2-1,8 6,0-11,-19 15,19-9,0 0,-19-10,10 10,-1-1,-4-9,10 0,-11-15,11 11,4-16,0 1,0 0,0-20,0-1,0 4,0-61,0 39,0 2,0-60,9 66,1 4,-10-50,8 46,2 4,-10-50,0 66,0 2,0-11,0 29,0 1,-14 24,10-11,4 35,-10-29,1-1,-10 68,-10-17,2-5,-11 99,-2-74,5-6,-22 42,27-46,5-6,-13 51,8-64,3-6,-10 71,19-86,-2-3,-17 12,28-19,0-2,-10 21,10-29,-1-1,-9 10,10-9,0 0,-10-10,10 0,-1 0,-9-20,10 0,0 2,9-40,-10 38,1 2,9-40,0 28,0 2,-19-49,19 47,0 2,0-29,0 26,0 4,0-11,-9 27,-1 2,1 0,0 18,9 11,0-1,-19 19,9-7,1-4,9 11,-9-17,-1-3,10 1,-9-9,0-1,9 30,0-29,0-1,0 1,0-39,-19 10,19 9,0 0,-19-28,10 28,-1 1,-27-11,6 20,6 0,-32 0,8 11,5-2,-50 29,16-18,6-1,-41 19,64-18,4-1,-67 0,72 1,5-2,-21 2,46-20,1 0,-9 19,8-10,57-18,11-1,-4 1,152-30,-51 0,-9 1,229-39,-150 27,-20 4,265-69,-234 44,-23 8,200-53,-216 46,-18 6,120-52,-181 76,-11 3,43-40,-100 67,-6 1,12-10,-65 19,0 0,-67 19,8-9,5-1,-143 30,58-9,15-3,-224 31,132-18,19-3,-244 59,237-46,14-3,-158 49,170-36,18-6,-112 42,173-46,9-3,-32 10,72-36,6-3,-22 1,65-9,1-1,28-28,2-1,-5 2,-16 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6"/>
  <sheetViews>
    <sheetView rightToLeft="1" tabSelected="1" view="pageBreakPreview" topLeftCell="B41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3" t="s">
        <v>214</v>
      </c>
      <c r="C1" s="43"/>
      <c r="D1" s="43"/>
      <c r="E1" s="43"/>
      <c r="F1" s="43"/>
      <c r="G1" s="43"/>
      <c r="H1" s="43"/>
      <c r="I1" s="43"/>
      <c r="J1" s="43"/>
    </row>
    <row r="2" spans="1:10" ht="30" customHeight="1" x14ac:dyDescent="0.3">
      <c r="B2" s="11" t="s">
        <v>8</v>
      </c>
      <c r="C2" s="49" t="s">
        <v>37</v>
      </c>
      <c r="D2" s="49"/>
      <c r="E2" s="11" t="s">
        <v>7</v>
      </c>
      <c r="F2" s="44">
        <v>45939</v>
      </c>
      <c r="G2" s="44"/>
      <c r="H2" s="44"/>
      <c r="I2" s="44"/>
      <c r="J2" s="44"/>
    </row>
    <row r="3" spans="1:10" ht="30" customHeight="1" x14ac:dyDescent="0.3">
      <c r="B3" s="11" t="s">
        <v>9</v>
      </c>
      <c r="C3" s="49" t="s">
        <v>60</v>
      </c>
      <c r="D3" s="49"/>
      <c r="E3" s="11" t="s">
        <v>6</v>
      </c>
      <c r="F3" s="49" t="s">
        <v>141</v>
      </c>
      <c r="G3" s="49"/>
      <c r="H3" s="49"/>
      <c r="I3" s="49"/>
      <c r="J3" s="49"/>
    </row>
    <row r="4" spans="1:10" ht="30" customHeight="1" thickBot="1" x14ac:dyDescent="0.35">
      <c r="B4" s="6"/>
      <c r="C4" s="84" t="s">
        <v>215</v>
      </c>
      <c r="D4" s="84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5" t="s">
        <v>0</v>
      </c>
      <c r="C5" s="46"/>
      <c r="D5" s="46"/>
      <c r="E5" s="50" t="s">
        <v>1</v>
      </c>
      <c r="F5" s="50"/>
      <c r="G5" s="50"/>
      <c r="H5" s="50"/>
      <c r="I5" s="50" t="s">
        <v>2</v>
      </c>
      <c r="J5" s="53"/>
    </row>
    <row r="6" spans="1:10" ht="24.9" customHeight="1" thickBot="1" x14ac:dyDescent="0.35">
      <c r="A6" s="10"/>
      <c r="B6" s="47"/>
      <c r="C6" s="48"/>
      <c r="D6" s="48"/>
      <c r="E6" s="26" t="s">
        <v>3</v>
      </c>
      <c r="F6" s="26" t="s">
        <v>4</v>
      </c>
      <c r="G6" s="26" t="s">
        <v>23</v>
      </c>
      <c r="H6" s="26" t="s">
        <v>24</v>
      </c>
      <c r="I6" s="54"/>
      <c r="J6" s="55"/>
    </row>
    <row r="7" spans="1:10" ht="24.9" customHeight="1" thickBot="1" x14ac:dyDescent="0.35">
      <c r="A7" s="10"/>
      <c r="B7" s="37" t="s">
        <v>21</v>
      </c>
      <c r="C7" s="38"/>
      <c r="D7" s="38"/>
      <c r="E7" s="30" t="s">
        <v>18</v>
      </c>
      <c r="F7" s="30" t="s">
        <v>19</v>
      </c>
      <c r="G7" s="30" t="s">
        <v>22</v>
      </c>
      <c r="H7" s="30" t="s">
        <v>20</v>
      </c>
      <c r="I7" s="56" t="s">
        <v>25</v>
      </c>
      <c r="J7" s="57"/>
    </row>
    <row r="8" spans="1:10" ht="30" customHeight="1" x14ac:dyDescent="0.3">
      <c r="A8" s="10"/>
      <c r="B8" s="77" t="s">
        <v>210</v>
      </c>
      <c r="C8" s="78"/>
      <c r="D8" s="78"/>
      <c r="E8" s="78"/>
      <c r="F8" s="78"/>
      <c r="G8" s="78"/>
      <c r="H8" s="78"/>
      <c r="I8" s="78"/>
      <c r="J8" s="79"/>
    </row>
    <row r="9" spans="1:10" ht="30" customHeight="1" x14ac:dyDescent="0.3">
      <c r="A9" s="10"/>
      <c r="B9" s="58" t="s">
        <v>183</v>
      </c>
      <c r="C9" s="59"/>
      <c r="D9" s="59"/>
      <c r="E9" s="9">
        <v>5</v>
      </c>
      <c r="F9" s="25">
        <v>3.5</v>
      </c>
      <c r="G9" s="28">
        <f>IFERROR(F9/E9,"")</f>
        <v>0.7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5"/>
      <c r="J9" s="36"/>
    </row>
    <row r="10" spans="1:10" ht="30" customHeight="1" x14ac:dyDescent="0.3">
      <c r="A10" s="10"/>
      <c r="B10" s="58" t="s">
        <v>184</v>
      </c>
      <c r="C10" s="59"/>
      <c r="D10" s="59"/>
      <c r="E10" s="9">
        <v>5</v>
      </c>
      <c r="F10" s="25">
        <v>3.5</v>
      </c>
      <c r="G10" s="28">
        <f t="shared" ref="G10:G41" si="0">IFERROR(F10/E10,"")</f>
        <v>0.7</v>
      </c>
      <c r="H10" s="29" t="str">
        <f t="shared" ref="H10:H41" si="1">_xlfn.IFS(F10="أدخل العلامة","",F10="لا ينطبق","تم الإلغاء",G10&gt;=90%,"ممتاز",G10&gt;=80%,"جيد جداً",G10&gt;=70%,"جيد",G10&gt;=60%,"مقبول",G10&lt;60%,"راسب")</f>
        <v>جيد</v>
      </c>
      <c r="I10" s="35"/>
      <c r="J10" s="36"/>
    </row>
    <row r="11" spans="1:10" ht="30" customHeight="1" x14ac:dyDescent="0.3">
      <c r="A11" s="10"/>
      <c r="B11" s="58" t="s">
        <v>185</v>
      </c>
      <c r="C11" s="59"/>
      <c r="D11" s="59"/>
      <c r="E11" s="9">
        <v>5</v>
      </c>
      <c r="F11" s="25">
        <v>3.5</v>
      </c>
      <c r="G11" s="28">
        <f t="shared" si="0"/>
        <v>0.7</v>
      </c>
      <c r="H11" s="29" t="str">
        <f t="shared" si="1"/>
        <v>جيد</v>
      </c>
      <c r="I11" s="35"/>
      <c r="J11" s="36"/>
    </row>
    <row r="12" spans="1:10" ht="30" customHeight="1" x14ac:dyDescent="0.3">
      <c r="A12" s="10"/>
      <c r="B12" s="58" t="s">
        <v>186</v>
      </c>
      <c r="C12" s="59"/>
      <c r="D12" s="59"/>
      <c r="E12" s="9">
        <v>5</v>
      </c>
      <c r="F12" s="25">
        <v>3.5</v>
      </c>
      <c r="G12" s="28">
        <f t="shared" si="0"/>
        <v>0.7</v>
      </c>
      <c r="H12" s="29" t="str">
        <f t="shared" si="1"/>
        <v>جيد</v>
      </c>
      <c r="I12" s="35"/>
      <c r="J12" s="36"/>
    </row>
    <row r="13" spans="1:10" ht="30" customHeight="1" x14ac:dyDescent="0.3">
      <c r="A13" s="10"/>
      <c r="B13" s="58" t="s">
        <v>187</v>
      </c>
      <c r="C13" s="59"/>
      <c r="D13" s="59"/>
      <c r="E13" s="9">
        <v>5</v>
      </c>
      <c r="F13" s="25">
        <v>3.75</v>
      </c>
      <c r="G13" s="28">
        <f t="shared" si="0"/>
        <v>0.75</v>
      </c>
      <c r="H13" s="29" t="str">
        <f t="shared" si="1"/>
        <v>جيد</v>
      </c>
      <c r="I13" s="35"/>
      <c r="J13" s="36"/>
    </row>
    <row r="14" spans="1:10" ht="30" customHeight="1" x14ac:dyDescent="0.3">
      <c r="A14" s="10"/>
      <c r="B14" s="58" t="s">
        <v>188</v>
      </c>
      <c r="C14" s="59"/>
      <c r="D14" s="59"/>
      <c r="E14" s="9">
        <v>5</v>
      </c>
      <c r="F14" s="25">
        <v>3.5</v>
      </c>
      <c r="G14" s="28">
        <f t="shared" si="0"/>
        <v>0.7</v>
      </c>
      <c r="H14" s="29" t="str">
        <f t="shared" si="1"/>
        <v>جيد</v>
      </c>
      <c r="I14" s="35"/>
      <c r="J14" s="36"/>
    </row>
    <row r="15" spans="1:10" ht="30" customHeight="1" x14ac:dyDescent="0.3">
      <c r="A15" s="10"/>
      <c r="B15" s="58" t="s">
        <v>189</v>
      </c>
      <c r="C15" s="59"/>
      <c r="D15" s="59"/>
      <c r="E15" s="9">
        <v>5</v>
      </c>
      <c r="F15" s="25">
        <v>3.75</v>
      </c>
      <c r="G15" s="28">
        <f t="shared" si="0"/>
        <v>0.75</v>
      </c>
      <c r="H15" s="29" t="str">
        <f t="shared" si="1"/>
        <v>جيد</v>
      </c>
      <c r="I15" s="35"/>
      <c r="J15" s="36"/>
    </row>
    <row r="16" spans="1:10" ht="30" customHeight="1" x14ac:dyDescent="0.3">
      <c r="A16" s="10"/>
      <c r="B16" s="60" t="s">
        <v>190</v>
      </c>
      <c r="C16" s="61"/>
      <c r="D16" s="61"/>
      <c r="E16" s="9">
        <v>5</v>
      </c>
      <c r="F16" s="25">
        <v>3.5</v>
      </c>
      <c r="G16" s="28">
        <f t="shared" si="0"/>
        <v>0.7</v>
      </c>
      <c r="H16" s="29" t="str">
        <f t="shared" si="1"/>
        <v>جيد</v>
      </c>
      <c r="I16" s="35"/>
      <c r="J16" s="36"/>
    </row>
    <row r="17" spans="1:10" ht="30" customHeight="1" x14ac:dyDescent="0.3">
      <c r="A17" s="10"/>
      <c r="B17" s="60" t="s">
        <v>191</v>
      </c>
      <c r="C17" s="61"/>
      <c r="D17" s="61"/>
      <c r="E17" s="9">
        <v>5</v>
      </c>
      <c r="F17" s="25">
        <v>3.75</v>
      </c>
      <c r="G17" s="28">
        <f t="shared" si="0"/>
        <v>0.75</v>
      </c>
      <c r="H17" s="29" t="str">
        <f t="shared" si="1"/>
        <v>جيد</v>
      </c>
      <c r="I17" s="35"/>
      <c r="J17" s="36"/>
    </row>
    <row r="18" spans="1:10" ht="30" customHeight="1" x14ac:dyDescent="0.3">
      <c r="A18" s="10"/>
      <c r="B18" s="80" t="s">
        <v>192</v>
      </c>
      <c r="C18" s="81"/>
      <c r="D18" s="81"/>
      <c r="E18" s="9">
        <v>5</v>
      </c>
      <c r="F18" s="25">
        <v>3.75</v>
      </c>
      <c r="G18" s="28">
        <f t="shared" si="0"/>
        <v>0.75</v>
      </c>
      <c r="H18" s="29" t="str">
        <f t="shared" si="1"/>
        <v>جيد</v>
      </c>
      <c r="I18" s="35"/>
      <c r="J18" s="36"/>
    </row>
    <row r="19" spans="1:10" ht="30" customHeight="1" thickBot="1" x14ac:dyDescent="0.35">
      <c r="A19" s="10"/>
      <c r="B19" s="41" t="s">
        <v>193</v>
      </c>
      <c r="C19" s="42"/>
      <c r="D19" s="42"/>
      <c r="E19" s="32">
        <v>5</v>
      </c>
      <c r="F19" s="27">
        <v>3.75</v>
      </c>
      <c r="G19" s="33">
        <f t="shared" si="0"/>
        <v>0.75</v>
      </c>
      <c r="H19" s="34" t="str">
        <f t="shared" si="1"/>
        <v>جيد</v>
      </c>
      <c r="I19" s="51"/>
      <c r="J19" s="52"/>
    </row>
    <row r="20" spans="1:10" ht="30" customHeight="1" x14ac:dyDescent="0.3">
      <c r="A20" s="10"/>
      <c r="B20" s="77" t="s">
        <v>209</v>
      </c>
      <c r="C20" s="78"/>
      <c r="D20" s="78"/>
      <c r="E20" s="78"/>
      <c r="F20" s="78"/>
      <c r="G20" s="78"/>
      <c r="H20" s="78"/>
      <c r="I20" s="78"/>
      <c r="J20" s="79"/>
    </row>
    <row r="21" spans="1:10" ht="30" customHeight="1" x14ac:dyDescent="0.3">
      <c r="A21" s="10"/>
      <c r="B21" s="82" t="s">
        <v>194</v>
      </c>
      <c r="C21" s="83"/>
      <c r="D21" s="83"/>
      <c r="E21" s="9">
        <v>5</v>
      </c>
      <c r="F21" s="25">
        <v>3.75</v>
      </c>
      <c r="G21" s="28">
        <f t="shared" si="0"/>
        <v>0.75</v>
      </c>
      <c r="H21" s="29" t="str">
        <f t="shared" si="1"/>
        <v>جيد</v>
      </c>
      <c r="I21" s="35"/>
      <c r="J21" s="36"/>
    </row>
    <row r="22" spans="1:10" ht="30" customHeight="1" x14ac:dyDescent="0.3">
      <c r="A22" s="10"/>
      <c r="B22" s="82" t="s">
        <v>195</v>
      </c>
      <c r="C22" s="83"/>
      <c r="D22" s="83"/>
      <c r="E22" s="9">
        <v>5</v>
      </c>
      <c r="F22" s="25">
        <v>3.5</v>
      </c>
      <c r="G22" s="28">
        <f t="shared" si="0"/>
        <v>0.7</v>
      </c>
      <c r="H22" s="29" t="str">
        <f t="shared" si="1"/>
        <v>جيد</v>
      </c>
      <c r="I22" s="35"/>
      <c r="J22" s="36"/>
    </row>
    <row r="23" spans="1:10" ht="30" customHeight="1" x14ac:dyDescent="0.3">
      <c r="A23" s="10"/>
      <c r="B23" s="82" t="s">
        <v>196</v>
      </c>
      <c r="C23" s="83"/>
      <c r="D23" s="83"/>
      <c r="E23" s="9">
        <v>5</v>
      </c>
      <c r="F23" s="25">
        <v>3.75</v>
      </c>
      <c r="G23" s="28">
        <f t="shared" si="0"/>
        <v>0.75</v>
      </c>
      <c r="H23" s="29" t="str">
        <f t="shared" si="1"/>
        <v>جيد</v>
      </c>
      <c r="I23" s="35"/>
      <c r="J23" s="36"/>
    </row>
    <row r="24" spans="1:10" ht="30" customHeight="1" x14ac:dyDescent="0.3">
      <c r="A24" s="10"/>
      <c r="B24" s="82" t="s">
        <v>197</v>
      </c>
      <c r="C24" s="83"/>
      <c r="D24" s="83"/>
      <c r="E24" s="9">
        <v>5</v>
      </c>
      <c r="F24" s="25">
        <v>3.5</v>
      </c>
      <c r="G24" s="28">
        <f t="shared" si="0"/>
        <v>0.7</v>
      </c>
      <c r="H24" s="29" t="str">
        <f t="shared" si="1"/>
        <v>جيد</v>
      </c>
      <c r="I24" s="35"/>
      <c r="J24" s="36"/>
    </row>
    <row r="25" spans="1:10" ht="30" customHeight="1" x14ac:dyDescent="0.3">
      <c r="A25" s="10"/>
      <c r="B25" s="82" t="s">
        <v>198</v>
      </c>
      <c r="C25" s="83"/>
      <c r="D25" s="83"/>
      <c r="E25" s="9">
        <v>5</v>
      </c>
      <c r="F25" s="25">
        <v>3.5</v>
      </c>
      <c r="G25" s="28">
        <f t="shared" si="0"/>
        <v>0.7</v>
      </c>
      <c r="H25" s="29" t="str">
        <f t="shared" si="1"/>
        <v>جيد</v>
      </c>
      <c r="I25" s="35"/>
      <c r="J25" s="36"/>
    </row>
    <row r="26" spans="1:10" ht="30" customHeight="1" x14ac:dyDescent="0.3">
      <c r="A26" s="10"/>
      <c r="B26" s="82" t="s">
        <v>199</v>
      </c>
      <c r="C26" s="83"/>
      <c r="D26" s="83"/>
      <c r="E26" s="9">
        <v>5</v>
      </c>
      <c r="F26" s="25">
        <v>3.5</v>
      </c>
      <c r="G26" s="28">
        <f t="shared" si="0"/>
        <v>0.7</v>
      </c>
      <c r="H26" s="29" t="str">
        <f t="shared" si="1"/>
        <v>جيد</v>
      </c>
      <c r="I26" s="35"/>
      <c r="J26" s="36"/>
    </row>
    <row r="27" spans="1:10" ht="30" customHeight="1" x14ac:dyDescent="0.3">
      <c r="A27" s="10"/>
      <c r="B27" s="80" t="s">
        <v>200</v>
      </c>
      <c r="C27" s="81"/>
      <c r="D27" s="81"/>
      <c r="E27" s="9">
        <v>5</v>
      </c>
      <c r="F27" s="25">
        <v>3.75</v>
      </c>
      <c r="G27" s="28">
        <f t="shared" si="0"/>
        <v>0.75</v>
      </c>
      <c r="H27" s="29" t="str">
        <f t="shared" si="1"/>
        <v>جيد</v>
      </c>
      <c r="I27" s="35"/>
      <c r="J27" s="36"/>
    </row>
    <row r="28" spans="1:10" ht="30" customHeight="1" x14ac:dyDescent="0.3">
      <c r="A28" s="10"/>
      <c r="B28" s="80" t="s">
        <v>211</v>
      </c>
      <c r="C28" s="81"/>
      <c r="D28" s="81"/>
      <c r="E28" s="9">
        <v>5</v>
      </c>
      <c r="F28" s="25">
        <v>3.5</v>
      </c>
      <c r="G28" s="28">
        <f t="shared" si="0"/>
        <v>0.7</v>
      </c>
      <c r="H28" s="29" t="str">
        <f t="shared" si="1"/>
        <v>جيد</v>
      </c>
      <c r="I28" s="35"/>
      <c r="J28" s="36"/>
    </row>
    <row r="29" spans="1:10" ht="39.9" customHeight="1" x14ac:dyDescent="0.3">
      <c r="A29" s="10"/>
      <c r="B29" s="80" t="s">
        <v>212</v>
      </c>
      <c r="C29" s="81"/>
      <c r="D29" s="81"/>
      <c r="E29" s="9">
        <v>5</v>
      </c>
      <c r="F29" s="25">
        <v>3.75</v>
      </c>
      <c r="G29" s="28">
        <f t="shared" si="0"/>
        <v>0.75</v>
      </c>
      <c r="H29" s="29" t="str">
        <f t="shared" si="1"/>
        <v>جيد</v>
      </c>
      <c r="I29" s="35"/>
      <c r="J29" s="36"/>
    </row>
    <row r="30" spans="1:10" ht="30" customHeight="1" x14ac:dyDescent="0.3">
      <c r="A30" s="10"/>
      <c r="B30" s="80" t="s">
        <v>201</v>
      </c>
      <c r="C30" s="81"/>
      <c r="D30" s="81"/>
      <c r="E30" s="9">
        <v>5</v>
      </c>
      <c r="F30" s="25">
        <v>3.5</v>
      </c>
      <c r="G30" s="28">
        <f t="shared" si="0"/>
        <v>0.7</v>
      </c>
      <c r="H30" s="29" t="str">
        <f t="shared" si="1"/>
        <v>جيد</v>
      </c>
      <c r="I30" s="35"/>
      <c r="J30" s="36"/>
    </row>
    <row r="31" spans="1:10" ht="30" customHeight="1" x14ac:dyDescent="0.3">
      <c r="A31" s="10"/>
      <c r="B31" s="80" t="s">
        <v>202</v>
      </c>
      <c r="C31" s="81"/>
      <c r="D31" s="81"/>
      <c r="E31" s="9">
        <v>5</v>
      </c>
      <c r="F31" s="25">
        <v>3.5</v>
      </c>
      <c r="G31" s="28">
        <f t="shared" si="0"/>
        <v>0.7</v>
      </c>
      <c r="H31" s="29" t="str">
        <f t="shared" si="1"/>
        <v>جيد</v>
      </c>
      <c r="I31" s="35"/>
      <c r="J31" s="36"/>
    </row>
    <row r="32" spans="1:10" ht="39.9" customHeight="1" x14ac:dyDescent="0.3">
      <c r="A32" s="10"/>
      <c r="B32" s="80" t="s">
        <v>203</v>
      </c>
      <c r="C32" s="81"/>
      <c r="D32" s="81"/>
      <c r="E32" s="9">
        <v>5</v>
      </c>
      <c r="F32" s="25">
        <v>3.75</v>
      </c>
      <c r="G32" s="28">
        <f t="shared" si="0"/>
        <v>0.75</v>
      </c>
      <c r="H32" s="29" t="str">
        <f t="shared" si="1"/>
        <v>جيد</v>
      </c>
      <c r="I32" s="35"/>
      <c r="J32" s="36"/>
    </row>
    <row r="33" spans="1:10" ht="30" customHeight="1" x14ac:dyDescent="0.3">
      <c r="A33" s="10"/>
      <c r="B33" s="80" t="s">
        <v>204</v>
      </c>
      <c r="C33" s="81"/>
      <c r="D33" s="81"/>
      <c r="E33" s="9">
        <v>5</v>
      </c>
      <c r="F33" s="25">
        <v>3.5</v>
      </c>
      <c r="G33" s="28">
        <f t="shared" si="0"/>
        <v>0.7</v>
      </c>
      <c r="H33" s="29" t="str">
        <f t="shared" si="1"/>
        <v>جيد</v>
      </c>
      <c r="I33" s="35"/>
      <c r="J33" s="36"/>
    </row>
    <row r="34" spans="1:10" ht="30" customHeight="1" x14ac:dyDescent="0.3">
      <c r="A34" s="10"/>
      <c r="B34" s="80" t="s">
        <v>205</v>
      </c>
      <c r="C34" s="81"/>
      <c r="D34" s="81"/>
      <c r="E34" s="9">
        <v>5</v>
      </c>
      <c r="F34" s="25">
        <v>3.5</v>
      </c>
      <c r="G34" s="28">
        <f t="shared" si="0"/>
        <v>0.7</v>
      </c>
      <c r="H34" s="29" t="str">
        <f t="shared" si="1"/>
        <v>جيد</v>
      </c>
      <c r="I34" s="35"/>
      <c r="J34" s="36"/>
    </row>
    <row r="35" spans="1:10" ht="30" customHeight="1" x14ac:dyDescent="0.3">
      <c r="A35" s="10"/>
      <c r="B35" s="80" t="s">
        <v>206</v>
      </c>
      <c r="C35" s="81"/>
      <c r="D35" s="81"/>
      <c r="E35" s="9">
        <v>5</v>
      </c>
      <c r="F35" s="25">
        <v>3</v>
      </c>
      <c r="G35" s="28">
        <f t="shared" si="0"/>
        <v>0.6</v>
      </c>
      <c r="H35" s="29" t="str">
        <f t="shared" si="1"/>
        <v>مقبول</v>
      </c>
      <c r="I35" s="35"/>
      <c r="J35" s="36"/>
    </row>
    <row r="36" spans="1:10" ht="39.9" customHeight="1" x14ac:dyDescent="0.3">
      <c r="A36" s="10"/>
      <c r="B36" s="80" t="s">
        <v>213</v>
      </c>
      <c r="C36" s="81"/>
      <c r="D36" s="81"/>
      <c r="E36" s="9">
        <v>5</v>
      </c>
      <c r="F36" s="25">
        <v>3.25</v>
      </c>
      <c r="G36" s="28">
        <f t="shared" si="0"/>
        <v>0.65</v>
      </c>
      <c r="H36" s="29" t="str">
        <f t="shared" si="1"/>
        <v>مقبول</v>
      </c>
      <c r="I36" s="35"/>
      <c r="J36" s="36"/>
    </row>
    <row r="37" spans="1:10" ht="30" customHeight="1" thickBot="1" x14ac:dyDescent="0.35">
      <c r="A37" s="10"/>
      <c r="B37" s="41" t="s">
        <v>207</v>
      </c>
      <c r="C37" s="42"/>
      <c r="D37" s="42"/>
      <c r="E37" s="32">
        <v>5</v>
      </c>
      <c r="F37" s="27">
        <v>3.5</v>
      </c>
      <c r="G37" s="33">
        <f t="shared" si="0"/>
        <v>0.7</v>
      </c>
      <c r="H37" s="34" t="str">
        <f t="shared" si="1"/>
        <v>جيد</v>
      </c>
      <c r="I37" s="51"/>
      <c r="J37" s="52"/>
    </row>
    <row r="38" spans="1:10" ht="30" customHeight="1" x14ac:dyDescent="0.3">
      <c r="A38" s="10"/>
      <c r="B38" s="77" t="s">
        <v>180</v>
      </c>
      <c r="C38" s="78"/>
      <c r="D38" s="78"/>
      <c r="E38" s="78"/>
      <c r="F38" s="78"/>
      <c r="G38" s="78"/>
      <c r="H38" s="78"/>
      <c r="I38" s="78"/>
      <c r="J38" s="79"/>
    </row>
    <row r="39" spans="1:10" ht="30" customHeight="1" x14ac:dyDescent="0.3">
      <c r="A39" s="10"/>
      <c r="B39" s="80" t="s">
        <v>208</v>
      </c>
      <c r="C39" s="81"/>
      <c r="D39" s="81"/>
      <c r="E39" s="9">
        <v>5</v>
      </c>
      <c r="F39" s="25">
        <v>3.75</v>
      </c>
      <c r="G39" s="28">
        <f t="shared" si="0"/>
        <v>0.75</v>
      </c>
      <c r="H39" s="29" t="str">
        <f t="shared" si="1"/>
        <v>جيد</v>
      </c>
      <c r="I39" s="35"/>
      <c r="J39" s="36"/>
    </row>
    <row r="40" spans="1:10" ht="30" customHeight="1" x14ac:dyDescent="0.3">
      <c r="A40" s="10"/>
      <c r="B40" s="80" t="s">
        <v>181</v>
      </c>
      <c r="C40" s="81"/>
      <c r="D40" s="81"/>
      <c r="E40" s="9">
        <v>5</v>
      </c>
      <c r="F40" s="25">
        <v>3.5</v>
      </c>
      <c r="G40" s="28">
        <f t="shared" si="0"/>
        <v>0.7</v>
      </c>
      <c r="H40" s="29" t="str">
        <f t="shared" si="1"/>
        <v>جيد</v>
      </c>
      <c r="I40" s="35"/>
      <c r="J40" s="36"/>
    </row>
    <row r="41" spans="1:10" ht="30" customHeight="1" thickBot="1" x14ac:dyDescent="0.35">
      <c r="A41" s="10"/>
      <c r="B41" s="41" t="s">
        <v>182</v>
      </c>
      <c r="C41" s="42"/>
      <c r="D41" s="42"/>
      <c r="E41" s="32">
        <v>5</v>
      </c>
      <c r="F41" s="27">
        <v>3.5</v>
      </c>
      <c r="G41" s="33">
        <f t="shared" si="0"/>
        <v>0.7</v>
      </c>
      <c r="H41" s="34" t="str">
        <f t="shared" si="1"/>
        <v>جيد</v>
      </c>
      <c r="I41" s="51"/>
      <c r="J41" s="52"/>
    </row>
    <row r="42" spans="1:10" ht="30" customHeight="1" thickBot="1" x14ac:dyDescent="0.35">
      <c r="A42" s="4"/>
      <c r="B42" s="39" t="s">
        <v>5</v>
      </c>
      <c r="C42" s="40"/>
      <c r="D42" s="40"/>
      <c r="E42" s="31">
        <f>SUM(E8:E41)</f>
        <v>155</v>
      </c>
      <c r="F42" s="31">
        <f>SUM(F8:F41)</f>
        <v>110.5</v>
      </c>
      <c r="G42" s="72"/>
      <c r="H42" s="73"/>
      <c r="I42" s="73"/>
      <c r="J42" s="74"/>
    </row>
    <row r="43" spans="1:10" ht="30" customHeight="1" thickBot="1" x14ac:dyDescent="0.35">
      <c r="A43" s="4"/>
      <c r="B43" s="75" t="s">
        <v>54</v>
      </c>
      <c r="C43" s="76"/>
      <c r="D43" s="76"/>
      <c r="E43" s="68">
        <f>F42/E42/100*100</f>
        <v>0.7129032258064516</v>
      </c>
      <c r="F43" s="68"/>
      <c r="G43" s="68"/>
      <c r="H43" s="68"/>
      <c r="I43" s="68"/>
      <c r="J43" s="69"/>
    </row>
    <row r="44" spans="1:10" ht="30" customHeight="1" thickBot="1" x14ac:dyDescent="0.35">
      <c r="A44" s="4"/>
      <c r="B44" s="75" t="s">
        <v>55</v>
      </c>
      <c r="C44" s="76"/>
      <c r="D44" s="76"/>
      <c r="E44" s="66" t="str">
        <f>_xlfn.IFS(E43&gt;=90%,"ممتاز",E43&gt;=80%,"جيد جداً",E43&gt;=70%,"جيد",E43&gt;=60%,"مقبول",E43&lt;60%,"راسب")</f>
        <v>جيد</v>
      </c>
      <c r="F44" s="66"/>
      <c r="G44" s="66"/>
      <c r="H44" s="66"/>
      <c r="I44" s="66"/>
      <c r="J44" s="67"/>
    </row>
    <row r="45" spans="1:10" ht="42" customHeight="1" x14ac:dyDescent="0.3">
      <c r="B45" s="62" t="s">
        <v>174</v>
      </c>
      <c r="C45" s="62"/>
      <c r="D45" s="62"/>
      <c r="E45" s="70" t="s">
        <v>52</v>
      </c>
      <c r="F45" s="70"/>
      <c r="G45" s="64" t="s">
        <v>141</v>
      </c>
      <c r="H45" s="64"/>
      <c r="I45" s="64"/>
      <c r="J45" s="64"/>
    </row>
    <row r="46" spans="1:10" ht="51" customHeight="1" x14ac:dyDescent="0.3">
      <c r="A46" s="5"/>
      <c r="B46" s="63"/>
      <c r="C46" s="63"/>
      <c r="D46" s="63"/>
      <c r="E46" s="71" t="s">
        <v>53</v>
      </c>
      <c r="F46" s="71"/>
      <c r="G46" s="65"/>
      <c r="H46" s="65"/>
      <c r="I46" s="65"/>
      <c r="J46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7">
    <mergeCell ref="C4:D4"/>
    <mergeCell ref="B39:D39"/>
    <mergeCell ref="B40:D40"/>
    <mergeCell ref="B26:D26"/>
    <mergeCell ref="B27:D27"/>
    <mergeCell ref="B28:D28"/>
    <mergeCell ref="B29:D29"/>
    <mergeCell ref="B30:D30"/>
    <mergeCell ref="B31:D31"/>
    <mergeCell ref="B32:D32"/>
    <mergeCell ref="B8:J8"/>
    <mergeCell ref="B38:J38"/>
    <mergeCell ref="B35:D35"/>
    <mergeCell ref="B36:D36"/>
    <mergeCell ref="B37:D37"/>
    <mergeCell ref="B33:D33"/>
    <mergeCell ref="B34:D34"/>
    <mergeCell ref="B18:D18"/>
    <mergeCell ref="B19:D19"/>
    <mergeCell ref="B21:D21"/>
    <mergeCell ref="B22:D22"/>
    <mergeCell ref="B23:D23"/>
    <mergeCell ref="B24:D24"/>
    <mergeCell ref="B25:D25"/>
    <mergeCell ref="B20:J20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I32:J32"/>
    <mergeCell ref="B45:D46"/>
    <mergeCell ref="G45:J45"/>
    <mergeCell ref="G46:J46"/>
    <mergeCell ref="E44:J44"/>
    <mergeCell ref="I40:J40"/>
    <mergeCell ref="I41:J41"/>
    <mergeCell ref="E43:J43"/>
    <mergeCell ref="E45:F45"/>
    <mergeCell ref="E46:F46"/>
    <mergeCell ref="G42:J42"/>
    <mergeCell ref="B43:D43"/>
    <mergeCell ref="B44:D44"/>
    <mergeCell ref="B42:D42"/>
    <mergeCell ref="B41:D41"/>
    <mergeCell ref="B1:J1"/>
    <mergeCell ref="F2:J2"/>
    <mergeCell ref="B5:D6"/>
    <mergeCell ref="C2:D2"/>
    <mergeCell ref="C3:D3"/>
    <mergeCell ref="F3:J3"/>
    <mergeCell ref="E5:H5"/>
    <mergeCell ref="I37:J37"/>
    <mergeCell ref="I5:J6"/>
    <mergeCell ref="I7:J7"/>
    <mergeCell ref="I10:J10"/>
    <mergeCell ref="I19:J19"/>
    <mergeCell ref="I21:J21"/>
    <mergeCell ref="I22:J22"/>
    <mergeCell ref="I23:J23"/>
    <mergeCell ref="I24:J24"/>
    <mergeCell ref="I25:J25"/>
    <mergeCell ref="I26:J26"/>
    <mergeCell ref="I11:J11"/>
    <mergeCell ref="I12:J12"/>
    <mergeCell ref="I13:J13"/>
    <mergeCell ref="I14:J14"/>
    <mergeCell ref="I9:J9"/>
    <mergeCell ref="B7:D7"/>
    <mergeCell ref="I39:J39"/>
    <mergeCell ref="I30:J30"/>
    <mergeCell ref="I31:J31"/>
    <mergeCell ref="I15:J15"/>
    <mergeCell ref="I16:J16"/>
    <mergeCell ref="I17:J17"/>
    <mergeCell ref="I18:J18"/>
    <mergeCell ref="I28:J28"/>
    <mergeCell ref="I29:J29"/>
    <mergeCell ref="I27:J27"/>
    <mergeCell ref="I33:J33"/>
    <mergeCell ref="I34:J34"/>
    <mergeCell ref="I35:J35"/>
    <mergeCell ref="I36:J36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4">
    <cfRule type="expression" dxfId="20" priority="57">
      <formula>$E44="راسب"</formula>
    </cfRule>
  </conditionalFormatting>
  <conditionalFormatting sqref="E44:J44">
    <cfRule type="expression" dxfId="19" priority="58">
      <formula>$E44="مقبول"</formula>
    </cfRule>
    <cfRule type="expression" dxfId="18" priority="59">
      <formula>$E44="جيد"</formula>
    </cfRule>
    <cfRule type="expression" dxfId="17" priority="60">
      <formula>$E44="جيد جداً"</formula>
    </cfRule>
    <cfRule type="expression" dxfId="16" priority="61">
      <formula>$E44="ممتاز"</formula>
    </cfRule>
  </conditionalFormatting>
  <conditionalFormatting sqref="F9:F19">
    <cfRule type="containsText" dxfId="15" priority="4" operator="containsText" text="أدخل العلامة">
      <formula>NOT(ISERROR(SEARCH("أدخل العلامة",F9)))</formula>
    </cfRule>
  </conditionalFormatting>
  <conditionalFormatting sqref="F21:F37 H21:H37 F39:F41 H39:H41">
    <cfRule type="containsText" dxfId="14" priority="38" operator="containsText" text="أدخل العلامة">
      <formula>NOT(ISERROR(SEARCH("أدخل العلامة",F21)))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45:J45">
    <cfRule type="containsText" dxfId="11" priority="15" operator="containsText" text="أدخل اسم المحكم">
      <formula>NOT(ISERROR(SEARCH("أدخل اسم المحكم",G45)))</formula>
    </cfRule>
  </conditionalFormatting>
  <conditionalFormatting sqref="H9:H19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21:H37 H39:H41">
    <cfRule type="containsText" dxfId="4" priority="39" operator="containsText" text="ممتاز">
      <formula>NOT(ISERROR(SEARCH("ممتاز",H21)))</formula>
    </cfRule>
    <cfRule type="containsText" dxfId="3" priority="40" operator="containsText" text="جيد جداً">
      <formula>NOT(ISERROR(SEARCH("جيد جداً",H21)))</formula>
    </cfRule>
    <cfRule type="containsText" dxfId="2" priority="41" operator="containsText" text="جيد">
      <formula>NOT(ISERROR(SEARCH("جيد",H21)))</formula>
    </cfRule>
    <cfRule type="containsText" dxfId="1" priority="42" operator="containsText" text="مقبول">
      <formula>NOT(ISERROR(SEARCH("مقبول",H21)))</formula>
    </cfRule>
    <cfRule type="containsText" dxfId="0" priority="43" operator="containsText" text="راسب">
      <formula>NOT(ISERROR(SEARCH("راسب",H21)))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F9:F19 F21:F37 F39:F41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G45:J45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44" workbookViewId="0">
      <selection activeCell="A69" sqref="A69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/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2025-10-09T20:23:54Z</dcterms:modified>
</cp:coreProperties>
</file>