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4FAAA5A-138B-4BF1-BB00-7CE302501E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<sst xmlns="http://schemas.openxmlformats.org/spreadsheetml/2006/main" count="114" uniqueCount="111">
  <si>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</si>
  <si>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</si>
  <si>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</si>
  <si>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</si>
  <si>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</si>
  <si>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</si>
  <si>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</si>
  <si>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</si>
  <si>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</si>
  <si>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</si>
  <si>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</si>
  <si>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</si>
  <si>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</si>
  <si>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</si>
  <si>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</si>
  <si>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</si>
  <si>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</si>
  <si>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</si>
  <si>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</si>
  <si>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</si>
  <si>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</si>
  <si>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</si>
  <si>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</si>
  <si>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</si>
  <si>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</si>
  <si>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</si>
  <si>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</si>
  <si>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</si>
  <si>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</si>
  <si>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</si>
  <si>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</si>
  <si>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</si>
  <si>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</si>
  <si>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</si>
  <si>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</si>
  <si>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</si>
  <si>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</si>
  <si>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</si>
  <si>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</si>
  <si>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</si>
  <si>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</si>
  <si>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</si>
  <si>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</si>
  <si>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</si>
  <si>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</si>
  <si>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</si>
  <si>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</si>
  <si>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</si>
  <si>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</si>
  <si>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</si>
  <si>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</si>
  <si>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</si>
  <si>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</si>
  <si>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</si>
  <si>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</si>
  <si>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</si>
  <si>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</si>
  <si>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</si>
  <si>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</si>
  <si>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</si>
  <si>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</si>
  <si>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</si>
  <si>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</si>
  <si>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</si>
  <si>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</si>
  <si>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</si>
  <si>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</si>
  <si>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</si>
  <si>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</si>
  <si>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</si>
  <si>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</si>
  <si>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</si>
  <si>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</si>
  <si>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</si>
  <si>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</si>
  <si>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</si>
  <si>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</si>
  <si>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</si>
  <si>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</si>
  <si>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</si>
  <si>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</si>
  <si>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</si>
  <si>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</si>
  <si>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</si>
  <si>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</si>
  <si>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</si>
  <si>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</si>
  <si>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</si>
  <si>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</si>
  <si>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</si>
  <si>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</si>
  <si>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</si>
  <si>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</si>
  <si>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</si>
  <si>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</si>
  <si>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</si>
  <si>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</si>
  <si>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</si>
  <si>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rPr>
        <b/>
        <sz val="14"/>
        <color rgb="FF000000"/>
        <rFont val="Arial"/>
        <family val="2"/>
      </rPr>
      <t>تقييم الكفاءة القيادية للقادة الأصاغر (سرية مشاة راجلة)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</si>
  <si>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بالنفس.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</si>
  <si>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الصوت.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</si>
  <si>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</si>
  <si>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</si>
  <si>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</si>
  <si>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(المرونة).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</si>
  <si>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والجرأة.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</si>
  <si>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الشخصية.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</si>
  <si>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المرؤوسين.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</si>
  <si>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والتحمل.</t>
    </r>
  </si>
  <si>
    <t>النقيب/ عبدالله سعيد النعيمي</t>
  </si>
  <si>
    <t>العقيد ركن/ سيف الراشدي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</si>
</sst>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369105</xdr:colOff>
      <xdr:row>21</xdr:row>
      <xdr:rowOff>139348</xdr:rowOff>
    </xdr:from>
    <xdr:to>
      <xdr:col>7</xdr:col>
      <xdr:colOff>373775</xdr:colOff>
      <xdr:row>21</xdr:row>
      <xdr:rowOff>407548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B0C8EA-DF39-7226-49F1-7E6427E27574}"/>
                </a:ext>
              </a:extLst>
            </xdr14:cNvPr>
            <xdr14:cNvContentPartPr/>
          </xdr14:nvContentPartPr>
          <xdr14:nvPr macro=""/>
          <xdr14:xfrm>
            <a:off x="10399529225" y="8290440"/>
            <a:ext cx="662760" cy="268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B0C8EA-DF39-7226-49F1-7E6427E275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23105" y="8284320"/>
              <a:ext cx="67500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632625</xdr:colOff>
      <xdr:row>21</xdr:row>
      <xdr:rowOff>560908</xdr:rowOff>
    </xdr:from>
    <xdr:to>
      <xdr:col>7</xdr:col>
      <xdr:colOff>2717</xdr:colOff>
      <xdr:row>21</xdr:row>
      <xdr:rowOff>561268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B57AEA0-F99E-75C8-12F7-EB11D30D1D2B}"/>
                </a:ext>
              </a:extLst>
            </xdr14:cNvPr>
            <xdr14:cNvContentPartPr/>
          </xdr14:nvContentPartPr>
          <xdr14:nvPr macro=""/>
          <xdr14:xfrm>
            <a:off x="10399919465" y="8712000"/>
            <a:ext cx="900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B57AEA0-F99E-75C8-12F7-EB11D30D1D2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13345" y="8705880"/>
              <a:ext cx="21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162095</xdr:colOff>
      <xdr:row>21</xdr:row>
      <xdr:rowOff>549388</xdr:rowOff>
    </xdr:from>
    <xdr:to>
      <xdr:col>7</xdr:col>
      <xdr:colOff>213575</xdr:colOff>
      <xdr:row>21</xdr:row>
      <xdr:rowOff>606628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6ACBD89-F69E-13CE-5E0D-3A177E3ECD36}"/>
                </a:ext>
              </a:extLst>
            </xdr14:cNvPr>
            <xdr14:cNvContentPartPr/>
          </xdr14:nvContentPartPr>
          <xdr14:nvPr macro=""/>
          <xdr14:xfrm>
            <a:off x="10399689425" y="8700480"/>
            <a:ext cx="51480" cy="57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6ACBD89-F69E-13CE-5E0D-3A177E3ECD3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83305" y="8694360"/>
              <a:ext cx="6372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208185</xdr:colOff>
      <xdr:row>21</xdr:row>
      <xdr:rowOff>24148</xdr:rowOff>
    </xdr:from>
    <xdr:to>
      <xdr:col>8</xdr:col>
      <xdr:colOff>554844</xdr:colOff>
      <xdr:row>21</xdr:row>
      <xdr:rowOff>543988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233573B-6780-91D4-F9E6-B8F05B89D56F}"/>
                </a:ext>
              </a:extLst>
            </xdr14:cNvPr>
            <xdr14:cNvContentPartPr/>
          </xdr14:nvContentPartPr>
          <xdr14:nvPr macro=""/>
          <xdr14:xfrm>
            <a:off x="10398690065" y="8175240"/>
            <a:ext cx="1662840" cy="519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233573B-6780-91D4-F9E6-B8F05B89D56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683945" y="8169120"/>
              <a:ext cx="1675080" cy="53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104145</xdr:colOff>
      <xdr:row>21</xdr:row>
      <xdr:rowOff>254908</xdr:rowOff>
    </xdr:from>
    <xdr:to>
      <xdr:col>6</xdr:col>
      <xdr:colOff>104505</xdr:colOff>
      <xdr:row>21</xdr:row>
      <xdr:rowOff>255268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C9ADE1B-51C8-21D8-F50A-429EFD1B6EBC}"/>
                </a:ext>
              </a:extLst>
            </xdr14:cNvPr>
            <xdr14:cNvContentPartPr/>
          </xdr14:nvContentPartPr>
          <xdr14:nvPr macro=""/>
          <xdr14:xfrm>
            <a:off x="10400456585" y="840600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C9ADE1B-51C8-21D8-F50A-429EFD1B6EB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450465" y="8399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26:54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1147 1,'0'0,"0"0,0 0,0 0,0 0,0 0,0 0,0 0,0 0,0 0,0 0,0 0,0 0,0 0,0 0,0 0,0 0,0 0,0 0,0 0,0 0,0 0,0 0,0 0,0 16,0-16,0 7,0 2,0 23,0-25,0 2,0 23,0-25,0 2,0 23,0-19,0 6,0 13,7-19,3 7,-10 12,6-26,4 4,4 22,-8-19,4 6,7-3,-13-3,5 6,8-3,-6-10,8 4,14 6,-21-10,6 4,13-10,-19 6,8 4,27-10,-36 0,9 0,26 0,-27 0,9 0,2 0,-18-6,9-4,9 10,-18 0,6 0,15 0,-21 0,7 0,-8 0,-6 0,-21 0,11 0,-7 0,8 0,-6 0,-23 16,15-16,-10 0,-19 0,22 7,-10 2,-45 7,47-9,-11 2,-33-9,49 7,-7 2,-28-9,39 7,-13 2,-9-9,24 0,-4 0,11 0,0 0,-1 0,-1 0,13 0,-7 0,-21-16,29 16,-9 0,-3-16,9 10,-4-4,5 7,-7 6,8-3,-5 0,-3 0,7 0,-11 16,11-16,-4 0,-24 16,21-9,-6 2,1 7,6-16,-8 0,3 16,4-9,-6 2,-13-9,24 7,-2 2,-7-9,11 0,-5 0,-5-16,10 16,-7 0,-3 0,9-7,-4-2,-2 9,8 0,-27 0,26 0,-6 0,-19 16,16-16,-2 0,-31 16,26-9,-5 2,-20 7,18-9,-7 2,-12 8,26-10,-6 2,-35 7,36-10,52-12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26:55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0,17 0,-10 0,-14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26:56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0,0 0,0 0,0 0,0 0,0 0,0 0,0 0,0 0,0 0,14 17,-14-1,10-9,-3 2,25 23,-18-18,5 4,13 14,-18-18,-28-28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26:57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2179 353,'0'0,"0"0,0 0,0 0,0 0,0 0,0 0,0 0,0 0,0 0,0 0,0 0,0 16,7-2,2 4,-9 30,7-27,0 6,10 54,-3-39,2 12,1 26,-11-44,4 8,-10 36,7-51,1 6,-8 14,-8-28,1 6,7 5,-10-18,4 4,-11-2,5-9,-6 2,-29-9,25-7,-3-2,-39-39,29 26,-7-4,-53-39,60 30,-7-10,-38-35,45 51,-7-6,-5-29,32 43,-1-6,-16-21,25 33,-1-2,-24-32,24 28,1-6,7-5,0 11,0-6,15-5,-7 18,0-4,23-14,-18 18,6-4,29 2,-30 16,11 0,1-16,-9 23,5 2,4-9,-20 7,-3 2,9 7,-16-9,0 2,-16 23,2-18,-3 4,-30 14,-9 11,-15 10,-101 44,84-40,-28 14,-103 57,107-56,-27 16,-96 57,161-102,-23 10,-28 11,71-37,29-6,-22 11,34-32,-5 0,-13 16,31-8,0 0,-16-8,9 8,-3 0,27-8,-11 0,4 0,37 0,3-7,9-2,114-23,-62 11,28-6,175-37,-156 29,44-10,191-51,-220 53,43-11,161-74,-225 78,40-12,138-66,-198 78,35-13,114-49,-184 63,25-14,50-1,-123 36,12-8,17 4,-55 17,0-2,11 0,-21 11,-13-4,15 3,4-2,-6-7,-3 9,-3-2,0 1,2 16,-9-15,0-2,14 9,-6 0,17-16,-18 16,0 0,-7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26:57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98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1" t="s">
        <v>8</v>
      </c>
      <c r="C2" s="46" t="s">
        <v>45</v>
      </c>
      <c r="D2" s="46"/>
      <c r="E2" s="11" t="s">
        <v>7</v>
      </c>
      <c r="F2" s="41">
        <v>45944</v>
      </c>
      <c r="G2" s="41"/>
      <c r="H2" s="41"/>
      <c r="I2" s="41"/>
      <c r="J2" s="41"/>
    </row>
    <row r="3" spans="1:10" ht="30" customHeight="1" x14ac:dyDescent="0.3">
      <c r="B3" s="11" t="s">
        <v>9</v>
      </c>
      <c r="C3" s="46" t="s">
        <v>59</v>
      </c>
      <c r="D3" s="46"/>
      <c r="E3" s="11" t="s">
        <v>6</v>
      </c>
      <c r="F3" s="46" t="s">
        <v>58</v>
      </c>
      <c r="G3" s="46"/>
      <c r="H3" s="46"/>
      <c r="I3" s="46"/>
      <c r="J3" s="46"/>
    </row>
    <row r="4" spans="1:10" ht="30" customHeight="1" thickBot="1" x14ac:dyDescent="0.35">
      <c r="B4" s="6"/>
      <c r="C4" s="30" t="s">
        <v>109</v>
      </c>
      <c r="D4" s="30"/>
      <c r="E4" s="6"/>
      <c r="F4" s="30" t="s">
        <v>110</v>
      </c>
      <c r="G4" s="30"/>
      <c r="H4" s="30"/>
      <c r="I4" s="30"/>
      <c r="J4" s="30"/>
    </row>
    <row r="5" spans="1:10" ht="24.9" customHeight="1" x14ac:dyDescent="0.3">
      <c r="A5" s="9"/>
      <c r="B5" s="42" t="s">
        <v>0</v>
      </c>
      <c r="C5" s="43"/>
      <c r="D5" s="43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44"/>
      <c r="C6" s="45"/>
      <c r="D6" s="45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49" t="s">
        <v>21</v>
      </c>
      <c r="C7" s="50"/>
      <c r="D7" s="50"/>
      <c r="E7" s="20" t="s">
        <v>18</v>
      </c>
      <c r="F7" s="20" t="s">
        <v>19</v>
      </c>
      <c r="G7" s="20" t="s">
        <v>22</v>
      </c>
      <c r="H7" s="20" t="s">
        <v>20</v>
      </c>
      <c r="I7" s="55" t="s">
        <v>25</v>
      </c>
      <c r="J7" s="56"/>
    </row>
    <row r="8" spans="1:10" ht="30" customHeight="1" x14ac:dyDescent="0.3">
      <c r="A8" s="9"/>
      <c r="B8" s="33" t="s">
        <v>99</v>
      </c>
      <c r="C8" s="34"/>
      <c r="D8" s="34"/>
      <c r="E8" s="23">
        <v>5</v>
      </c>
      <c r="F8" s="24">
        <v>4</v>
      </c>
      <c r="G8" s="25">
        <f>IFERROR(F8/E8,"")</f>
        <v>0.8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7"/>
      <c r="J8" s="68"/>
    </row>
    <row r="9" spans="1:10" ht="30" customHeight="1" x14ac:dyDescent="0.3">
      <c r="A9" s="9"/>
      <c r="B9" s="31" t="s">
        <v>100</v>
      </c>
      <c r="C9" s="32"/>
      <c r="D9" s="32"/>
      <c r="E9" s="7">
        <v>5</v>
      </c>
      <c r="F9" s="18">
        <v>3.75</v>
      </c>
      <c r="G9" s="21">
        <f>IFERROR(F9/E9,"")</f>
        <v>0.75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3">
      <c r="A10" s="9"/>
      <c r="B10" s="31" t="s">
        <v>101</v>
      </c>
      <c r="C10" s="32"/>
      <c r="D10" s="32"/>
      <c r="E10" s="7">
        <v>5</v>
      </c>
      <c r="F10" s="18">
        <v>3.75</v>
      </c>
      <c r="G10" s="21">
        <f t="shared" ref="G10:G17" si="0">IFERROR(F10/E10,"")</f>
        <v>0.75</v>
      </c>
      <c r="H10" s="22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9"/>
      <c r="B11" s="31" t="s">
        <v>102</v>
      </c>
      <c r="C11" s="32"/>
      <c r="D11" s="32"/>
      <c r="E11" s="7">
        <v>5</v>
      </c>
      <c r="F11" s="18">
        <v>3.75</v>
      </c>
      <c r="G11" s="21">
        <f t="shared" si="0"/>
        <v>0.75</v>
      </c>
      <c r="H11" s="22" t="str">
        <f t="shared" si="1"/>
        <v>جيد</v>
      </c>
      <c r="I11" s="57"/>
      <c r="J11" s="58"/>
    </row>
    <row r="12" spans="1:10" ht="30" customHeight="1" x14ac:dyDescent="0.3">
      <c r="A12" s="9"/>
      <c r="B12" s="31" t="s">
        <v>103</v>
      </c>
      <c r="C12" s="32"/>
      <c r="D12" s="32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57"/>
      <c r="J12" s="58"/>
    </row>
    <row r="13" spans="1:10" ht="30" customHeight="1" x14ac:dyDescent="0.3">
      <c r="A13" s="9"/>
      <c r="B13" s="31" t="s">
        <v>104</v>
      </c>
      <c r="C13" s="32"/>
      <c r="D13" s="32"/>
      <c r="E13" s="7">
        <v>5</v>
      </c>
      <c r="F13" s="18">
        <v>3.75</v>
      </c>
      <c r="G13" s="21">
        <f t="shared" si="0"/>
        <v>0.75</v>
      </c>
      <c r="H13" s="22" t="str">
        <f t="shared" si="1"/>
        <v>جيد</v>
      </c>
      <c r="I13" s="57"/>
      <c r="J13" s="58"/>
    </row>
    <row r="14" spans="1:10" ht="30" customHeight="1" x14ac:dyDescent="0.3">
      <c r="A14" s="9"/>
      <c r="B14" s="31" t="s">
        <v>105</v>
      </c>
      <c r="C14" s="32"/>
      <c r="D14" s="32"/>
      <c r="E14" s="7">
        <v>5</v>
      </c>
      <c r="F14" s="18">
        <v>3.75</v>
      </c>
      <c r="G14" s="21">
        <f t="shared" si="0"/>
        <v>0.75</v>
      </c>
      <c r="H14" s="22" t="str">
        <f t="shared" si="1"/>
        <v>جيد</v>
      </c>
      <c r="I14" s="57"/>
      <c r="J14" s="58"/>
    </row>
    <row r="15" spans="1:10" ht="30" customHeight="1" x14ac:dyDescent="0.3">
      <c r="A15" s="9"/>
      <c r="B15" s="31" t="s">
        <v>106</v>
      </c>
      <c r="C15" s="32"/>
      <c r="D15" s="32"/>
      <c r="E15" s="7">
        <v>5</v>
      </c>
      <c r="F15" s="18">
        <v>3.75</v>
      </c>
      <c r="G15" s="21">
        <f t="shared" si="0"/>
        <v>0.75</v>
      </c>
      <c r="H15" s="22" t="str">
        <f t="shared" si="1"/>
        <v>جيد</v>
      </c>
      <c r="I15" s="57"/>
      <c r="J15" s="58"/>
    </row>
    <row r="16" spans="1:10" ht="30" customHeight="1" x14ac:dyDescent="0.3">
      <c r="A16" s="9"/>
      <c r="B16" s="31" t="s">
        <v>107</v>
      </c>
      <c r="C16" s="32"/>
      <c r="D16" s="32"/>
      <c r="E16" s="7">
        <v>5</v>
      </c>
      <c r="F16" s="18">
        <v>3.75</v>
      </c>
      <c r="G16" s="21">
        <f t="shared" si="0"/>
        <v>0.75</v>
      </c>
      <c r="H16" s="22" t="str">
        <f t="shared" si="1"/>
        <v>جيد</v>
      </c>
      <c r="I16" s="57"/>
      <c r="J16" s="58"/>
    </row>
    <row r="17" spans="1:10" ht="30" customHeight="1" thickBot="1" x14ac:dyDescent="0.35">
      <c r="A17" s="9"/>
      <c r="B17" s="59" t="s">
        <v>108</v>
      </c>
      <c r="C17" s="60"/>
      <c r="D17" s="60"/>
      <c r="E17" s="27">
        <v>5</v>
      </c>
      <c r="F17" s="19">
        <v>4</v>
      </c>
      <c r="G17" s="28">
        <f t="shared" si="0"/>
        <v>0.8</v>
      </c>
      <c r="H17" s="29" t="str">
        <f t="shared" si="1"/>
        <v>جيد جداً</v>
      </c>
      <c r="I17" s="71"/>
      <c r="J17" s="72"/>
    </row>
    <row r="18" spans="1:10" ht="30" customHeight="1" thickBot="1" x14ac:dyDescent="0.35">
      <c r="A18" s="4"/>
      <c r="B18" s="69" t="s">
        <v>5</v>
      </c>
      <c r="C18" s="70"/>
      <c r="D18" s="70"/>
      <c r="E18" s="8">
        <f>SUM(E8:E17)</f>
        <v>50</v>
      </c>
      <c r="F18" s="8">
        <f>SUM(F8:F17)</f>
        <v>38</v>
      </c>
      <c r="G18" s="37"/>
      <c r="H18" s="38"/>
      <c r="I18" s="38"/>
      <c r="J18" s="39"/>
    </row>
    <row r="19" spans="1:10" ht="30" customHeight="1" thickBot="1" x14ac:dyDescent="0.35">
      <c r="A19" s="4"/>
      <c r="B19" s="69" t="s">
        <v>54</v>
      </c>
      <c r="C19" s="70"/>
      <c r="D19" s="70"/>
      <c r="E19" s="47">
        <f>F18/E18/100*100</f>
        <v>0.76</v>
      </c>
      <c r="F19" s="47"/>
      <c r="G19" s="47"/>
      <c r="H19" s="47"/>
      <c r="I19" s="47"/>
      <c r="J19" s="48"/>
    </row>
    <row r="20" spans="1:10" ht="30" customHeight="1" thickBot="1" x14ac:dyDescent="0.35">
      <c r="A20" s="4"/>
      <c r="B20" s="69" t="s">
        <v>55</v>
      </c>
      <c r="C20" s="70"/>
      <c r="D20" s="70"/>
      <c r="E20" s="65" t="str">
        <f>_xlfn.IFS(E19&gt;=90%,"ممتاز",E19&gt;=80%,"جيد جداً",E19&gt;=70%,"جيد",E19&gt;=60%,"مقبول",E19&lt;60%,"راسب")</f>
        <v>جيد</v>
      </c>
      <c r="F20" s="65"/>
      <c r="G20" s="65"/>
      <c r="H20" s="65"/>
      <c r="I20" s="65"/>
      <c r="J20" s="66"/>
    </row>
    <row r="21" spans="1:10" ht="42" customHeight="1" x14ac:dyDescent="0.3">
      <c r="B21" s="61" t="s">
        <v>61</v>
      </c>
      <c r="C21" s="61"/>
      <c r="D21" s="61"/>
      <c r="E21" s="35" t="s">
        <v>52</v>
      </c>
      <c r="F21" s="35"/>
      <c r="G21" s="63" t="s">
        <v>58</v>
      </c>
      <c r="H21" s="63"/>
      <c r="I21" s="63"/>
      <c r="J21" s="63"/>
    </row>
    <row r="22" spans="1:10" ht="51" customHeight="1" x14ac:dyDescent="0.3">
      <c r="A22" s="5"/>
      <c r="B22" s="62"/>
      <c r="C22" s="62"/>
      <c r="D22" s="62"/>
      <c r="E22" s="36" t="s">
        <v>53</v>
      </c>
      <c r="F22" s="36"/>
      <c r="G22" s="64"/>
      <c r="H22" s="64"/>
      <c r="I22" s="64"/>
      <c r="J22" s="64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6:D16"/>
    <mergeCell ref="B8:D8"/>
    <mergeCell ref="B9:D9"/>
    <mergeCell ref="B10:D10"/>
    <mergeCell ref="B11:D11"/>
    <mergeCell ref="B12:D12"/>
    <mergeCell ref="C4:D4"/>
    <mergeCell ref="F4:J4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60">
      <formula>$E20="جيد جداً"</formula>
    </cfRule>
    <cfRule type="expression" dxfId="12" priority="59">
      <formula>$E20="جيد"</formula>
    </cfRule>
    <cfRule type="expression" dxfId="11" priority="58">
      <formula>$E20="مقبول"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2025-10-15T20:11:30Z</dcterms:modified>
</cp:coreProperties>
</file>