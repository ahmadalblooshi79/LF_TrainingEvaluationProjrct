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1CA85BC-4DD0-2240-AB5E-FFF10D59BDD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<sst xmlns="http://schemas.openxmlformats.org/spreadsheetml/2006/main" count="247" uniqueCount="192">
  <si>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</si>
  <si>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</si>
  <si>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</si>
  <si>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</si>
  <si>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</si>
  <si>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</si>
  <si>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</si>
  <si>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</si>
  <si>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</si>
  <si>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</si>
  <si>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</si>
  <si>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</si>
  <si>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</si>
  <si>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</si>
  <si>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</si>
  <si>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</si>
  <si>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</si>
  <si>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</si>
  <si>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</si>
  <si>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</si>
  <si>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</si>
  <si>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</si>
  <si>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</si>
  <si>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</si>
  <si>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</si>
  <si>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</si>
  <si>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</si>
  <si>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</si>
  <si>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</si>
  <si>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</si>
  <si>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</si>
  <si>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</si>
  <si>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</si>
  <si>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</si>
  <si>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</si>
  <si>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</si>
  <si>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</si>
  <si>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</si>
  <si>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</si>
  <si>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</si>
  <si>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</si>
  <si>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</si>
  <si>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</si>
  <si>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</si>
  <si>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</si>
  <si>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</si>
  <si>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</si>
  <si>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</si>
  <si>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</si>
  <si>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</si>
  <si>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</si>
  <si>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</si>
  <si>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</si>
  <si>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</si>
  <si>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</si>
  <si>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</si>
  <si>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</si>
  <si>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</si>
  <si>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</si>
  <si>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</si>
  <si>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</si>
  <si>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</si>
  <si>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</si>
  <si>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</si>
  <si>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</si>
  <si>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</si>
  <si>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</si>
  <si>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</si>
  <si>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</si>
  <si>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</si>
  <si>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</si>
  <si>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</si>
  <si>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</si>
  <si>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</si>
  <si>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</si>
  <si>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</si>
  <si>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</si>
  <si>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</si>
  <si>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</si>
  <si>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</si>
  <si>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</si>
  <si>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</si>
  <si>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</si>
  <si>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</si>
  <si>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</si>
  <si>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</si>
  <si>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</si>
  <si>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</si>
  <si>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</si>
  <si>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</si>
  <si>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</si>
  <si>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</si>
  <si>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</si>
  <si>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</si>
  <si>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</si>
  <si>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</si>
  <si>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</si>
  <si>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</si>
  <si>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</si>
  <si>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</si>
  <si>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</si>
  <si>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</si>
  <si>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</si>
  <si>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</si>
  <si>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</si>
  <si>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</si>
  <si>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</si>
  <si>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</si>
  <si>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</si>
  <si>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</si>
  <si>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</si>
  <si>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</si>
  <si>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</si>
  <si>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</si>
  <si>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</si>
  <si>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</si>
  <si>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</si>
  <si>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</si>
  <si>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</si>
  <si>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</si>
  <si>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</si>
  <si>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</si>
  <si>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</si>
  <si>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</si>
  <si>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</si>
  <si>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</si>
  <si>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</si>
  <si>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</si>
  <si>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</si>
  <si>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</si>
  <si>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</si>
  <si>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</si>
  <si>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</si>
  <si>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</si>
  <si>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</si>
  <si>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</si>
  <si>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</si>
  <si>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</si>
  <si>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</si>
  <si>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</si>
  <si>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</si>
  <si>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</si>
  <si>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</si>
  <si>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</si>
  <si>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</si>
  <si>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</si>
  <si>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</si>
  <si>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</si>
  <si>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</si>
  <si>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</si>
  <si>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</si>
  <si>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</si>
  <si>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</si>
  <si>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</si>
  <si>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</si>
  <si>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</si>
  <si>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</si>
  <si>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</si>
  <si>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</si>
  <si>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</si>
  <si>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</si>
  <si>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</si>
  <si>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</si>
  <si>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</si>
  <si>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</si>
  <si>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</si>
  <si>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</si>
  <si>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</si>
  <si>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</si>
  <si>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</si>
  <si>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</si>
  <si>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</si>
  <si>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</si>
  <si>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</si>
  <si>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</si>
  <si>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</si>
  <si>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</si>
  <si>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</si>
  <si>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</si>
  <si>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</si>
  <si>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</si>
  <si>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</si>
  <si>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</si>
  <si>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</si>
  <si>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</si>
  <si>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</si>
  <si>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t>تقيم سرية الحرب الإلكترونية التعبوية في المبيت
تمرين جاهزية مجموعة لواء الإمارات/1 (جندي الصحراء 2025/20)</t>
  </si>
  <si>
    <t>توزيع السرية على شكل دائري</t>
  </si>
  <si>
    <t xml:space="preserve">مكان قائد السرية في الوسط </t>
  </si>
  <si>
    <t xml:space="preserve">النقيب مهندس / سلطان سعيد النيادي </t>
  </si>
  <si>
    <t>7.     صلاحية مكان المبيت.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</si>
</sst>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291427</xdr:colOff>
      <xdr:row>17</xdr:row>
      <xdr:rowOff>524192</xdr:rowOff>
    </xdr:from>
    <xdr:to>
      <xdr:col>8</xdr:col>
      <xdr:colOff>81525</xdr:colOff>
      <xdr:row>19</xdr:row>
      <xdr:rowOff>11750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9142B65-B5A2-F356-B868-5B579F53D992}"/>
                </a:ext>
              </a:extLst>
            </xdr14:cNvPr>
            <xdr14:cNvContentPartPr/>
          </xdr14:nvContentPartPr>
          <xdr14:nvPr macro=""/>
          <xdr14:xfrm>
            <a:off x="10436970131" y="7008120"/>
            <a:ext cx="1106280" cy="6721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9142B65-B5A2-F356-B868-5B579F53D9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964011" y="7002000"/>
              <a:ext cx="1118520" cy="68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435427</xdr:colOff>
      <xdr:row>18</xdr:row>
      <xdr:rowOff>294632</xdr:rowOff>
    </xdr:from>
    <xdr:to>
      <xdr:col>6</xdr:col>
      <xdr:colOff>454867</xdr:colOff>
      <xdr:row>18</xdr:row>
      <xdr:rowOff>369152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B10191B-4F5F-58A0-F51B-4A1631950D4F}"/>
                </a:ext>
              </a:extLst>
            </xdr14:cNvPr>
            <xdr14:cNvContentPartPr/>
          </xdr14:nvContentPartPr>
          <xdr14:nvPr macro=""/>
          <xdr14:xfrm>
            <a:off x="10437912971" y="7311960"/>
            <a:ext cx="19440" cy="74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10191B-4F5F-58A0-F51B-4A1631950D4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7906851" y="7305840"/>
              <a:ext cx="31680" cy="86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2:11:00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2173 1225 9930,'0'0'0,"0"0"0,-8-5 1272,-6-12-800,9 1-232,-9 1-80,14 15-160,0-5 64,0-14-32,0 5-160,0-1-32,0 15 160,0-15-224,0-1-8,2-2 64,3-3 32,-5 21 136,7-22-160,5-2 16,-7-1 24,9-3 8,-14 28 112,15-29 0,-1-3 56,3-1 32,0-1 40,-17 34-128,17-34 120,4 0 0,-1-2-8,4-1-16,-24 37-96,21-40 56,3-2-24,0-2-8,0-1 16,-24 45-40,22-44-32,-3 3 24,1 2-40,1 1-24,-21 38 72,17-36-40,2 4-64,-2 1 8,-2 4-24,-15 27 120,16-26-120,1 2-8,0 4 32,-2-1 8,-15 21 88,14-18-96,-7 2 56,10 1-40,-12 8-8,-5 7 88,17-15-104,-13 10-48,13-9-32,-12 9-112,-5 5 296,17-5-393,-12 0-95,19 0 56,-10 1 152,-14 4 280,17-3-160,-2 1 88,1 0 8,-1-1 32,-15 3 32,17-2-64,-3 1 40,1-1 24,-11 0-48,-4 2 48,17 0-48,-12 0 8,14 0-56,-2 0 96,-17 0 0,5 0 0,16 4-48,-16-1 72,12 2-104,-17-5 80,7 14-56,10-11 0,-12 2-8,7 11 8,-12-16 56,5 3-32,0 2 0,-1 0 32,1 0 24,-5-5-24,5 14-8,0-14 8,-3 5-16,-2-1 8,0-4 8,0 3 8,5 0 32,-5 1 0,0-4 0,0 0-40,-2 5 0,-1 0 24,-2 0 24,-2 0-56,7-5 8,-19 16 0,2-11-8,-4 13-40,-4-2 32,25-16 16,-24 17 24,-4 0 0,-8 2-8,-3 3 0,39-22-16,-43 24 8,-8 3-8,-2 4 8,-2 1 8,55-32-16,-58 36 40,-2 3-40,-7 7 24,-5 4-24,72-50 0,-77 49-8,-3 4 24,1-3 8,-3 1-24,82-51 0,-82 51-32,-2 0 24,-2 0-24,4 4 16,82-55 16,-87 53 24,3 0-32,0-2 8,0-2 16,84-49-16,-87 50 32,3-3 16,-5 1-40,2-3 16,87-45-24,-82 42-8,1-1 8,1-2-16,3 1 8,77-40 8,-74 37 24,4-1-8,3 2 32,2-4-32,65-34-16,-60 32 24,2-3 16,10-5 8,0 0-56,48-24 8,-46 22-16,5-2-8,3-2-16,4-3 88,34-15-48,-24 5 16,2 10-8,5-11 0,13 1 8,4-5-16,-5 3 48,0-3-48,3 0 40,2 0-40,0 0-48,4 0 56,1-1-16,10-3-16,-15 4 24,14-5-24,5-9 16,3 1 0,2-4 0,-24 17 8,29-21 16,5-1 8,-3-4-8,7-1 16,-38 27-32,36-29 8,3-3-32,2-1 0,0-1 32,-41 34-8,41-34 64,2-2-48,0 2-24,-2-5-16,-41 39 24,43-38-48,-2-3 24,-5 1 56,-2 0-24,-34 40-8,34-37 0,-8 1 64,-2 0-48,-2 4 48,-22 32-64,14-31 88,-9 2 72,9 3 160,-14 4 128,0 22-448,0-20 632,0 1 105,0 0 71,-2 4 72,2 15-880,-14-14 960,9 7-120,-12-8-79,3 10-105,14 5-656,-13-14 536,-1 9-80,0 0-120,-1 0-184,15 5-152,-14-5 48,9 1 0,-2 3-72,-8-1 32,15 2-8,-2 0-40,-3 0 0,-2 0 8,4 0-88,3 0 120,-2 0-184,2 0-192,0 0-104,0 5-8,0-5 488,5 5-496,-3 11 95,3-11 97,10 17 72,-15-22 232,4 14-272,13 3 24,-12-2 48,19-1-128,-24-14 328,17 13-280,2-8-8,3 14-120,-5-15 64,-17-4 344,19 5-416,2 0-40,1-2-48,0-3 15,-22 0 489,21 0-408,-1-2 72,-1-4 120,0-11 72,-19 17 144,19-7-144,3-14 48,-3 4 32,3 0 16,-22 17 48,24-19-24,-5 1 48,-4-3 8,-1 1 0,-14 20-32,5-22 96,7 1 56,-7 1 176,0 1 112,-5 19-440,2-19 560,-2 4-23,0 1-89,0 0-88,0 14-360,0-5 296,0-2-40,0 1-40,0 2-40,0 4-176,0-1 40,0 1-48,0 0-88,0 0-64,0 0 160,0 0-192,0 3 24,0 2-16,0 0 56,0-5 128,5 17-40,-3-12-56,3 12 64,-3-11-64,-2-6 96,3 17-16,4-12 8,10 12-32,-12-12 72,-5-5-32,16 17-72,-11-14-32,15 2-16,-13 9-48,-7-14 168,14 4-152,-11-1 32,11 0 8,-9 1 7,-5-4 105,5 3-80,7-3-8,-8 4 48,11-4 56,-15 0-16,5 0 24,0 0-16,11 3 8,-13-3-48,-3 0 32,17 0-56,-13 0 48,13 3-80,-14-3-64,-3 0 152,17 0-192,-15 4-72,12-4 56,-6 0 40,-8 0 168,14 0-120,-12 0 88,3 0 0,0 0 24,-5 0 8,2 0 16,3 0-24,0 0 8,-3 0-8,-2 0 8,5 0 16,-2 0 32,-3 0 40,2 0 72,-2 0-160,0 0 224,0 0 104,0 0 72,0 0 121,0 0-1994,0 0 3546,0 0-1449,0 0 64,0 0-128,0 0-4505,0 0 8338,0-2-3969,0 0-104,0 1-24,0 1-296,0-2 352,0-1-23,-2-1-33,-1-1-72,3 5-224,0-5 248,-5-2 16,3 0-24,-3 2 168,5 5-408,-2-5 384,-1 0-160,1 0 112,0 3-128,2 2-208,-3-3 112,3 1-64,-2 2-16,2 0-96,0 0 64,0 0-96,0 0-32,0-2-16,0 2-64,0 0 208,2 0-104,3 0 136,-3 0-96,3 4 88,-5-4-24,15 3 8,-11 1 48,16 1-40,-15 0 104,-5-5-120,21 15 40,-4-11-88,2 9 80,1-8-32,-20-5 0,21 17 16,1-3-8,2 0 16,5 1-48,-29-15 24,31 19-24,0 3 0,8 5-8,-1 2-80,-38-29 112,46 34-120,4 6-72,3 6-728,7 5-1569,-60-51 2489,65 60-2496,17 1-1273,-5 16-1296,-77-77 5065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2:11:01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54 207 18139,'0'0'0,"-19"-50"6618,4 6-6322,15 44-296,-12-44 480,7 10-1032,3 30-712,2-1-1193,0 5 2457,0-5-5049,14-10 48,-9 9-3073,-5 6 8074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B6" zoomScale="130" zoomScaleNormal="100" zoomScaleSheetLayoutView="130" workbookViewId="0">
      <selection activeCell="G4" sqref="G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5" t="s">
        <v>186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2">
      <c r="B2" s="12" t="s">
        <v>8</v>
      </c>
      <c r="C2" s="51" t="s">
        <v>14</v>
      </c>
      <c r="D2" s="51"/>
      <c r="E2" s="12" t="s">
        <v>7</v>
      </c>
      <c r="F2" s="46">
        <v>45939</v>
      </c>
      <c r="G2" s="46"/>
      <c r="H2" s="46"/>
      <c r="I2" s="46"/>
      <c r="J2" s="46"/>
    </row>
    <row r="3" spans="1:10" ht="30" customHeight="1" x14ac:dyDescent="0.2">
      <c r="B3" s="12" t="s">
        <v>9</v>
      </c>
      <c r="C3" s="51" t="s">
        <v>60</v>
      </c>
      <c r="D3" s="51"/>
      <c r="E3" s="12" t="s">
        <v>6</v>
      </c>
      <c r="F3" s="51" t="s">
        <v>59</v>
      </c>
      <c r="G3" s="51"/>
      <c r="H3" s="51"/>
      <c r="I3" s="51"/>
      <c r="J3" s="51"/>
    </row>
    <row r="4" spans="1:10" ht="30" customHeight="1" thickBot="1" x14ac:dyDescent="0.25">
      <c r="B4" s="6"/>
      <c r="C4" s="7"/>
      <c r="D4" s="7" t="s">
        <v>189</v>
      </c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7" t="s">
        <v>0</v>
      </c>
      <c r="C5" s="48"/>
      <c r="D5" s="48"/>
      <c r="E5" s="38" t="s">
        <v>1</v>
      </c>
      <c r="F5" s="38"/>
      <c r="G5" s="38"/>
      <c r="H5" s="38"/>
      <c r="I5" s="38" t="s">
        <v>2</v>
      </c>
      <c r="J5" s="39"/>
    </row>
    <row r="6" spans="1:10" ht="24.95" customHeight="1" thickBot="1" x14ac:dyDescent="0.25">
      <c r="A6" s="10"/>
      <c r="B6" s="49"/>
      <c r="C6" s="50"/>
      <c r="D6" s="50"/>
      <c r="E6" s="11" t="s">
        <v>3</v>
      </c>
      <c r="F6" s="11" t="s">
        <v>4</v>
      </c>
      <c r="G6" s="11" t="s">
        <v>23</v>
      </c>
      <c r="H6" s="11" t="s">
        <v>24</v>
      </c>
      <c r="I6" s="40"/>
      <c r="J6" s="41"/>
    </row>
    <row r="7" spans="1:10" ht="24.95" customHeight="1" x14ac:dyDescent="0.2">
      <c r="A7" s="10"/>
      <c r="B7" s="36" t="s">
        <v>21</v>
      </c>
      <c r="C7" s="37"/>
      <c r="D7" s="37"/>
      <c r="E7" s="27" t="s">
        <v>18</v>
      </c>
      <c r="F7" s="27" t="s">
        <v>19</v>
      </c>
      <c r="G7" s="27" t="s">
        <v>22</v>
      </c>
      <c r="H7" s="27" t="s">
        <v>20</v>
      </c>
      <c r="I7" s="42" t="s">
        <v>25</v>
      </c>
      <c r="J7" s="43"/>
    </row>
    <row r="8" spans="1:10" ht="30" customHeight="1" x14ac:dyDescent="0.2">
      <c r="A8" s="10"/>
      <c r="B8" s="35" t="s">
        <v>185</v>
      </c>
      <c r="C8" s="35"/>
      <c r="D8" s="35"/>
      <c r="E8" s="9">
        <v>5</v>
      </c>
      <c r="F8" s="26">
        <v>3.5</v>
      </c>
      <c r="G8" s="29">
        <f>IFERROR(F8/E8,"")</f>
        <v>0.7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4"/>
      <c r="J8" s="44"/>
    </row>
    <row r="9" spans="1:10" ht="30" customHeight="1" x14ac:dyDescent="0.2">
      <c r="A9" s="10"/>
      <c r="B9" s="35" t="s">
        <v>184</v>
      </c>
      <c r="C9" s="35"/>
      <c r="D9" s="35"/>
      <c r="E9" s="9">
        <v>5</v>
      </c>
      <c r="F9" s="26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4"/>
    </row>
    <row r="10" spans="1:10" ht="30" customHeight="1" x14ac:dyDescent="0.2">
      <c r="A10" s="10"/>
      <c r="B10" s="35" t="s">
        <v>183</v>
      </c>
      <c r="C10" s="35"/>
      <c r="D10" s="35"/>
      <c r="E10" s="9">
        <v>5</v>
      </c>
      <c r="F10" s="26">
        <v>4</v>
      </c>
      <c r="G10" s="29">
        <f t="shared" ref="G10:G14" si="0">IFERROR(F10/E10,"")</f>
        <v>0.8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4"/>
    </row>
    <row r="11" spans="1:10" ht="30" customHeight="1" x14ac:dyDescent="0.2">
      <c r="A11" s="10"/>
      <c r="B11" s="35" t="s">
        <v>182</v>
      </c>
      <c r="C11" s="35"/>
      <c r="D11" s="35"/>
      <c r="E11" s="9">
        <v>5</v>
      </c>
      <c r="F11" s="26">
        <v>3.5</v>
      </c>
      <c r="G11" s="29">
        <f t="shared" si="0"/>
        <v>0.7</v>
      </c>
      <c r="H11" s="30" t="str">
        <f t="shared" si="1"/>
        <v>جيد</v>
      </c>
      <c r="I11" s="44" t="s">
        <v>187</v>
      </c>
      <c r="J11" s="44"/>
    </row>
    <row r="12" spans="1:10" ht="30" customHeight="1" x14ac:dyDescent="0.2">
      <c r="A12" s="10"/>
      <c r="B12" s="35" t="s">
        <v>181</v>
      </c>
      <c r="C12" s="35"/>
      <c r="D12" s="35"/>
      <c r="E12" s="9">
        <v>5</v>
      </c>
      <c r="F12" s="26">
        <v>3</v>
      </c>
      <c r="G12" s="29">
        <f t="shared" si="0"/>
        <v>0.6</v>
      </c>
      <c r="H12" s="30" t="str">
        <f t="shared" si="1"/>
        <v>مقبول</v>
      </c>
      <c r="I12" s="44"/>
      <c r="J12" s="44"/>
    </row>
    <row r="13" spans="1:10" ht="30" customHeight="1" x14ac:dyDescent="0.2">
      <c r="A13" s="10"/>
      <c r="B13" s="35" t="s">
        <v>180</v>
      </c>
      <c r="C13" s="35"/>
      <c r="D13" s="35"/>
      <c r="E13" s="9">
        <v>5</v>
      </c>
      <c r="F13" s="26">
        <v>3</v>
      </c>
      <c r="G13" s="29">
        <f t="shared" si="0"/>
        <v>0.6</v>
      </c>
      <c r="H13" s="30" t="str">
        <f t="shared" si="1"/>
        <v>مقبول</v>
      </c>
      <c r="I13" s="44" t="s">
        <v>188</v>
      </c>
      <c r="J13" s="44"/>
    </row>
    <row r="14" spans="1:10" ht="30" customHeight="1" x14ac:dyDescent="0.2">
      <c r="A14" s="10"/>
      <c r="B14" s="35" t="s">
        <v>190</v>
      </c>
      <c r="C14" s="35"/>
      <c r="D14" s="35"/>
      <c r="E14" s="9">
        <v>5</v>
      </c>
      <c r="F14" s="26">
        <v>4</v>
      </c>
      <c r="G14" s="29">
        <f t="shared" si="0"/>
        <v>0.8</v>
      </c>
      <c r="H14" s="30" t="str">
        <f t="shared" si="1"/>
        <v>جيد جداً</v>
      </c>
      <c r="I14" s="44"/>
      <c r="J14" s="44"/>
    </row>
    <row r="15" spans="1:10" ht="30" customHeight="1" thickBot="1" x14ac:dyDescent="0.25">
      <c r="A15" s="4"/>
      <c r="B15" s="31" t="s">
        <v>5</v>
      </c>
      <c r="C15" s="32"/>
      <c r="D15" s="32"/>
      <c r="E15" s="28">
        <f>SUM(E8:E14)</f>
        <v>35</v>
      </c>
      <c r="F15" s="28">
        <f>SUM(F8:F14)</f>
        <v>24.5</v>
      </c>
      <c r="G15" s="54"/>
      <c r="H15" s="55"/>
      <c r="I15" s="55"/>
      <c r="J15" s="56"/>
    </row>
    <row r="16" spans="1:10" ht="30" customHeight="1" thickBot="1" x14ac:dyDescent="0.25">
      <c r="A16" s="4"/>
      <c r="B16" s="33" t="s">
        <v>54</v>
      </c>
      <c r="C16" s="34"/>
      <c r="D16" s="34"/>
      <c r="E16" s="63">
        <f>F15/E15/100*100</f>
        <v>0.7</v>
      </c>
      <c r="F16" s="63"/>
      <c r="G16" s="63"/>
      <c r="H16" s="63"/>
      <c r="I16" s="63"/>
      <c r="J16" s="64"/>
    </row>
    <row r="17" spans="1:10" ht="30" customHeight="1" thickBot="1" x14ac:dyDescent="0.25">
      <c r="A17" s="4"/>
      <c r="B17" s="33" t="s">
        <v>55</v>
      </c>
      <c r="C17" s="34"/>
      <c r="D17" s="34"/>
      <c r="E17" s="61" t="str">
        <f>_xlfn.IFS(E16&gt;=90%,"ممتاز",E16&gt;=80%,"جيد جداً",E16&gt;=70%,"جيد",E16&gt;=60%,"مقبول",E16&lt;60%,"راسب")</f>
        <v>جيد</v>
      </c>
      <c r="F17" s="61"/>
      <c r="G17" s="61"/>
      <c r="H17" s="61"/>
      <c r="I17" s="61"/>
      <c r="J17" s="62"/>
    </row>
    <row r="18" spans="1:10" ht="42" customHeight="1" x14ac:dyDescent="0.2">
      <c r="B18" s="57" t="s">
        <v>174</v>
      </c>
      <c r="C18" s="57"/>
      <c r="D18" s="57"/>
      <c r="E18" s="52" t="s">
        <v>52</v>
      </c>
      <c r="F18" s="52"/>
      <c r="G18" s="59" t="s">
        <v>123</v>
      </c>
      <c r="H18" s="59"/>
      <c r="I18" s="59"/>
      <c r="J18" s="59"/>
    </row>
    <row r="19" spans="1:10" ht="51" customHeight="1" x14ac:dyDescent="0.2">
      <c r="A19" s="5"/>
      <c r="B19" s="58"/>
      <c r="C19" s="58"/>
      <c r="D19" s="58"/>
      <c r="E19" s="53" t="s">
        <v>53</v>
      </c>
      <c r="F19" s="53"/>
      <c r="G19" s="60"/>
      <c r="H19" s="60"/>
      <c r="I19" s="60"/>
      <c r="J19" s="60"/>
    </row>
  </sheetData>
  <sheetProtection formatCells="0" formatColumns="0" formatRows="0" insertColumns="0" insertRows="0" insertHyperlinks="0" deleteColumns="0" deleteRows="0" selectLockedCells="1" sort="0" autoFilter="0" pivotTables="0"/>
  <mergeCells count="35"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2025-10-06T08:22:57Z</dcterms:modified>
</cp:coreProperties>
</file>