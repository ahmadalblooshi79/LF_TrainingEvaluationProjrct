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959A7540-37C0-4F39-9646-ACE2D8B882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" i="2"/>
  <c r="H8" i="2"/>
  <c r="F87" i="2"/>
  <c r="E87" i="2"/>
  <c r="E88" i="2"/>
  <c r="E89" i="2" s="1"/>
</calcChain>
</file>

<file path=xl/sharedStrings.xml><?xml version="1.0" encoding="utf-8"?>
<sst xmlns="http://schemas.openxmlformats.org/spreadsheetml/2006/main" count="318" uniqueCount="262">
  <si>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</si>
  <si>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</si>
  <si>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</si>
  <si>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</si>
  <si>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</si>
  <si>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</si>
  <si>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</si>
  <si>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</si>
  <si>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</si>
  <si>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</si>
  <si>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</si>
  <si>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</si>
  <si>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</si>
  <si>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</si>
  <si>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</si>
  <si>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</si>
  <si>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</si>
  <si>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</si>
  <si>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</si>
  <si>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</si>
  <si>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</si>
  <si>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</si>
  <si>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</si>
  <si>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</si>
  <si>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</si>
  <si>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</si>
  <si>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</si>
  <si>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</si>
  <si>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</si>
  <si>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</si>
  <si>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</si>
  <si>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</si>
  <si>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</si>
  <si>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</si>
  <si>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</si>
  <si>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</si>
  <si>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</si>
  <si>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</si>
  <si>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</si>
  <si>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</si>
  <si>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</si>
  <si>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</si>
  <si>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</si>
  <si>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</si>
  <si>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</si>
  <si>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</si>
  <si>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</si>
  <si>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</si>
  <si>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</si>
  <si>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</si>
  <si>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</si>
  <si>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</si>
  <si>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</si>
  <si>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</si>
  <si>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</si>
  <si>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</si>
  <si>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</si>
  <si>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</si>
  <si>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</si>
  <si>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</si>
  <si>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</si>
  <si>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</si>
  <si>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</si>
  <si>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</si>
  <si>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</si>
  <si>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</si>
  <si>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</si>
  <si>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</si>
  <si>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</si>
  <si>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</si>
  <si>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</si>
  <si>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</si>
  <si>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</si>
  <si>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</si>
  <si>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</si>
  <si>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</si>
  <si>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</si>
  <si>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</si>
  <si>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</si>
  <si>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</si>
  <si>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</si>
  <si>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</si>
  <si>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</si>
  <si>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</si>
  <si>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</si>
  <si>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</si>
  <si>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</si>
  <si>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</si>
  <si>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</si>
  <si>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</si>
  <si>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</si>
  <si>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</si>
  <si>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</si>
  <si>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</si>
  <si>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</si>
  <si>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</si>
  <si>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</si>
  <si>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</si>
  <si>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</si>
  <si>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</si>
  <si>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</si>
  <si>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</si>
  <si>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</si>
  <si>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</si>
  <si>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</si>
  <si>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</si>
  <si>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</si>
  <si>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</si>
  <si>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</si>
  <si>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</si>
  <si>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</si>
  <si>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</si>
  <si>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</si>
  <si>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</si>
  <si>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</si>
  <si>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</si>
  <si>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</si>
  <si>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</si>
  <si>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</si>
  <si>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</si>
  <si>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</si>
  <si>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</si>
  <si>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</si>
  <si>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</si>
  <si>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</si>
  <si>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</si>
  <si>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</si>
  <si>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</si>
  <si>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</si>
  <si>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</si>
  <si>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</si>
  <si>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</si>
  <si>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</si>
  <si>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</si>
  <si>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</si>
  <si>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</si>
  <si>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</si>
  <si>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</si>
  <si>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</si>
  <si>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</si>
  <si>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</si>
  <si>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</si>
  <si>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</si>
  <si>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</si>
  <si>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</si>
  <si>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</si>
  <si>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</si>
  <si>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</si>
  <si>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</si>
  <si>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</si>
  <si>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</si>
  <si>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</si>
  <si>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</si>
  <si>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</si>
  <si>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</si>
  <si>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</si>
  <si>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</si>
  <si>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</si>
  <si>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</si>
  <si>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</si>
  <si>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</si>
  <si>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</si>
  <si>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</si>
  <si>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</si>
  <si>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</si>
  <si>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</si>
  <si>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</si>
  <si>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</si>
  <si>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</si>
  <si>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</si>
  <si>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</si>
  <si>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</si>
  <si>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</si>
  <si>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</si>
  <si>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</si>
  <si>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</si>
  <si>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</si>
  <si>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</si>
  <si>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</si>
  <si>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</si>
  <si>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</si>
  <si>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sz val="12"/>
        <color rgb="FF000000"/>
        <rFont val="Arial"/>
        <family val="2"/>
      </rPr>
      <t xml:space="preserve"> يسلم مكتوب لنائب القائد ونسخة للمحكم ويشمل:</t>
    </r>
  </si>
  <si>
    <t>أ. ملخص عن العمليات المقبلة.</t>
  </si>
  <si>
    <t>ب. موقع ووقت اجتماع قسم الأمر.</t>
  </si>
  <si>
    <t>جـ. تفاصيل عن منطقة التجمع.</t>
  </si>
  <si>
    <t>د. تحديدات الحركة (حسب المهمة).</t>
  </si>
  <si>
    <t>هـ. منطقة التجمع.</t>
  </si>
  <si>
    <t>و. حدود الكشف.</t>
  </si>
  <si>
    <t>ز. التعليمات الإدارية.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</si>
  <si>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>.</t>
    </r>
  </si>
  <si>
    <t>أ. التأكد من استخدام وسائل الإنذار المتوفرة (المسموعة، المرئية، الضوئية) حسب ما جاء في تعليمات التحول.</t>
  </si>
  <si>
    <t>ب. التأكد من وصول البرقية إلى المرؤوسين وتفهمها من قبلهم.</t>
  </si>
  <si>
    <t>جـ. التأكد من إصدار الأوامر إلى القادة المرؤوسين (شفهية، مكتوبة، بواسطة اللاسلكي).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</si>
  <si>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التحـول.</t>
    </r>
  </si>
  <si>
    <t>أ. تحرك الوحدات المرؤوسة لتنفيذ التحول حسب تعليمات رفع حالات الاستعداد القتالي (حسب الخطة الزمنية لتعليمات رفع حالات الاستعداد القتالي).</t>
  </si>
  <si>
    <t>ب. وجود خطة مفصلة موضح بها الإجراءات خلال وقت محدد.</t>
  </si>
  <si>
    <t>جـ. التزام مرتب الوحدة (الفصائل) بالخطة الموضوعة وتنفيذها بطريقة سليمة وحسب الحالة المطلوبة.</t>
  </si>
  <si>
    <t>د. مدى سيطرة ضباط السرية على تحركات ضباط الصف والجنود، ومرونة القيادة في التغلب على العقبات التي قد تحدث إثناء العمل.</t>
  </si>
  <si>
    <t>هـ. مدى التقيد بالتوقيتات المبينة في الخطة الزمنية.</t>
  </si>
  <si>
    <t>و. أسلوب وإجراءات تنفيذ الخطة الزمنية.</t>
  </si>
  <si>
    <t>ز. التأكد من الحماس وجديـة الضبـاط والرتـب الأخرى في تنفيـذ الواجبات ومـــدى تفهمهم لإجراءات رفع الحالة.</t>
  </si>
  <si>
    <t>ح. التأكد من إجراءات التحميل / تعبئة الذخيرة (التقيد باحتياطات الأمان ومخطط التحميل).</t>
  </si>
  <si>
    <t>ط. التأكد من استلام المهمات الكيميائية.</t>
  </si>
  <si>
    <t>ي. التأكد من تعبئة وتحميل الوقود والمياه.</t>
  </si>
  <si>
    <t>ك. التأكد من تحميل الأرزاق لـ (48) ساعة.</t>
  </si>
  <si>
    <t>ل. التأكد من تحميل المهمات الإدارية والهندسية التابعة للسرية.</t>
  </si>
  <si>
    <t>م. التأكد من تركيب الأسلحة والأجهزة واختبارها.</t>
  </si>
  <si>
    <t>ن. وجود خطة التحميل ومدى التقيد بها أثناء عملية التحميل ومدى فعاليتها.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</si>
  <si>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القوة.</t>
    </r>
  </si>
  <si>
    <t>ب.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</si>
  <si>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مدى إلمام الضباط والرتب الأخرى باستخدام المعدات والآليات حسب تخصصاتهم.</t>
  </si>
  <si>
    <t>د. تعبئة وإدامة جداول الركوب والتحميل طبقاً لحالات الاستعداد القتالي ومطابقته للواقع.</t>
  </si>
  <si>
    <t xml:space="preserve">هـ. التأكد من عدم تحميل الآليات أكثر من حمولتها المقررة </t>
  </si>
  <si>
    <t>ز. التأكد من جاهزية الآليات من حيث (الوقود، المياه، العدة، سجل الآلية، وتحميل شباك التمويه مع العصي، إلخ...).</t>
  </si>
  <si>
    <r>
      <t>7.</t>
    </r>
    <r>
      <rPr>
        <b/>
        <sz val="7"/>
        <color rgb="FF000000"/>
        <rFont val="Times New Roman"/>
        <family val="1"/>
      </rPr>
      <t xml:space="preserve">          </t>
    </r>
    <r>
      <rPr>
        <b/>
        <u/>
        <sz val="11"/>
        <color rgb="FF000000"/>
        <rFont val="Arial"/>
        <family val="2"/>
      </rPr>
      <t>فـرش المتاع</t>
    </r>
    <r>
      <rPr>
        <b/>
        <sz val="11"/>
        <color rgb="FF000000"/>
        <rFont val="Arial"/>
        <family val="2"/>
      </rPr>
      <t xml:space="preserve">. </t>
    </r>
    <r>
      <rPr>
        <sz val="11"/>
        <color rgb="FF000000"/>
        <rFont val="Arial"/>
        <family val="2"/>
      </rPr>
      <t>حقيبة الميدان وتشمل:</t>
    </r>
  </si>
  <si>
    <t>أ. عدد (1) بدلة مموهه.</t>
  </si>
  <si>
    <t>ب. خـوذه.</t>
  </si>
  <si>
    <t>جـ. فوطه.</t>
  </si>
  <si>
    <t>د. جراب.</t>
  </si>
  <si>
    <t>هـ. ملابس داخلية.</t>
  </si>
  <si>
    <t>و. ملابس رياضة (شورت، حذاء، فانله).</t>
  </si>
  <si>
    <t>ز. أدوات الطعام.</t>
  </si>
  <si>
    <t>ح. أدوات الخياطة.</t>
  </si>
  <si>
    <t>ط. أدوات حلاقة + معجون وفرشاة أسنان.</t>
  </si>
  <si>
    <t>ي. كيس النوم.</t>
  </si>
  <si>
    <t>ك. لباس مدني.</t>
  </si>
  <si>
    <t>ل. شماغ (عسكري / مدني).</t>
  </si>
  <si>
    <t>م. مشمع أرضي.</t>
  </si>
  <si>
    <t>ن. ترتيب ونظافة محتويات الحقيبة.</t>
  </si>
  <si>
    <t>أ. توفر صندوق لحفظ الوثائق والسجلات والقرطاسية اللازمة.</t>
  </si>
  <si>
    <t>ب. توفر الخرائط والخطط الضرورية.</t>
  </si>
  <si>
    <t>تقييم حالات رفع جاهزية سرية الـ م/د - تمرين جاهزية مجموعة لواء الإمارات/1 (جندي الصحراء 2025/20)</t>
  </si>
  <si>
    <t>أ. استلام المهمة.</t>
  </si>
  <si>
    <t>ب. إصدار أمر إنذاري.</t>
  </si>
  <si>
    <t>جـ. عمل خطة أولية.</t>
  </si>
  <si>
    <t>د. البدء بالحركة.</t>
  </si>
  <si>
    <t>هـ. القيام بالاستطلاع.</t>
  </si>
  <si>
    <t>و. إكمال الخطة.</t>
  </si>
  <si>
    <t>ز. إصدار الأمر.</t>
  </si>
  <si>
    <t>ح. الإشراف والمتابعة.</t>
  </si>
  <si>
    <t>ط. يتأكد من قادة الفصائل أن فصائلهم جاهزة للعملية.</t>
  </si>
  <si>
    <t>ي. ينفذ قائد السرية التجارب إذا سمح الوقت، وكحد أدنى يجري تجربة واحدة ويعين نائب قائد السرية بدور العدو.</t>
  </si>
  <si>
    <t>ك. تنفيذ الخطة بناءً على جميع المعلومات المتوفرة والاستطلاع.</t>
  </si>
  <si>
    <t>ل. التأكد أن الخطة سهلة وتساند خطة عمليات مجموعة اللواء.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</si>
  <si>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تنفيذ إجراءات القائد وكما يلي:</t>
    </r>
  </si>
  <si>
    <t>أ. التأكد من اصطفاف القوة بالميدان في الوقت المحدد في تعليمات رفع حالات الاستعداد القتالي وتسليم رئيس فريق التقييم من قبل قائد القوة.</t>
  </si>
  <si>
    <t>و. وجود وإدامة سجلات استلام الذخائر.</t>
  </si>
  <si>
    <t>ح. التأكد من نسبة استكمال الأسلحة والمعدات.</t>
  </si>
  <si>
    <t>ط. التأكد من نسبة استكمال الآليات المقاتلة ( أ ).</t>
  </si>
  <si>
    <t>ي. مدى توفر نقليات (ب) لحمل (ذخائر الخط الثاني).</t>
  </si>
  <si>
    <t>ك. التأكد من نسبة استكمال القوة البشرية.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</si>
  <si>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صندوق أو آلية الوثائق.</t>
    </r>
  </si>
  <si>
    <t>جـ. . توفر وصلاحية وسائل الاتصالات الإشارية.</t>
  </si>
  <si>
    <t>د. التأكد من إعداد وتجهيز الآلية / الصندوق.</t>
  </si>
  <si>
    <t>هـ. التأكد من وجود فهرس بمحتويات الصندوق ومطابقته مع الموجود.</t>
  </si>
  <si>
    <t>و. وجود الأوامر الثابتة لقيادة الـ م/د.</t>
  </si>
  <si>
    <t>ز. توفر قوائم التوزيع الشهرية.</t>
  </si>
  <si>
    <t>ح. توفر نموذج برقيــات.</t>
  </si>
  <si>
    <t>ط. كشف بأرقام الهواتف الهامة (عسكرية، مدنية).</t>
  </si>
  <si>
    <t>ي. إدامة سجل الوارد والصادر.</t>
  </si>
  <si>
    <t>نقص في تاترا الشحن حسب المرتب</t>
  </si>
  <si>
    <t xml:space="preserve">يوجد نقص في الضباط في دورات و و نقص في الاطقم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</si>
</sst>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6" xfId="0" applyFont="1" applyBorder="1" applyAlignment="1">
      <alignment horizontal="center" vertical="center" wrapText="1" readingOrder="2"/>
    </xf>
    <xf numFmtId="9" fontId="3" fillId="0" borderId="16" xfId="0" applyNumberFormat="1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1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2" fillId="0" borderId="18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2" fillId="0" borderId="18" xfId="0" applyFont="1" applyBorder="1" applyAlignment="1">
      <alignment horizontal="justify" vertical="center" wrapText="1" readingOrder="2"/>
    </xf>
    <xf numFmtId="0" fontId="12" fillId="0" borderId="3" xfId="0" applyFont="1" applyBorder="1" applyAlignment="1">
      <alignment horizontal="justify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3" fillId="0" borderId="1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15" xfId="0" applyFont="1" applyBorder="1" applyAlignment="1">
      <alignment horizontal="right" vertical="center" wrapText="1" readingOrder="2"/>
    </xf>
    <xf numFmtId="0" fontId="2" fillId="0" borderId="16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justify" vertical="center" wrapText="1" readingOrder="2"/>
    </xf>
    <xf numFmtId="0" fontId="12" fillId="0" borderId="12" xfId="0" applyFont="1" applyBorder="1" applyAlignment="1">
      <alignment horizontal="justify" vertical="center" wrapText="1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115595</xdr:colOff>
      <xdr:row>89</xdr:row>
      <xdr:rowOff>466158</xdr:rowOff>
    </xdr:from>
    <xdr:to>
      <xdr:col>9</xdr:col>
      <xdr:colOff>173101</xdr:colOff>
      <xdr:row>93</xdr:row>
      <xdr:rowOff>58518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حبر 1">
              <a:extLst>
                <a:ext uri="{FF2B5EF4-FFF2-40B4-BE49-F238E27FC236}">
                  <a16:creationId xmlns:a16="http://schemas.microsoft.com/office/drawing/2014/main" id="{2C480A65-673E-AF36-0888-7A8C2B41CA62}"/>
                </a:ext>
              </a:extLst>
            </xdr14:cNvPr>
            <xdr14:cNvContentPartPr/>
          </xdr14:nvContentPartPr>
          <xdr14:nvPr macro=""/>
          <xdr14:xfrm>
            <a:off x="11438266625" y="36897840"/>
            <a:ext cx="2222280" cy="1116360"/>
          </xdr14:xfrm>
        </xdr:contentPart>
      </mc:Choice>
      <mc:Fallback xmlns="">
        <xdr:pic>
          <xdr:nvPicPr>
            <xdr:cNvPr id="2" name="حبر 1">
              <a:extLst>
                <a:ext uri="{FF2B5EF4-FFF2-40B4-BE49-F238E27FC236}">
                  <a16:creationId xmlns:a16="http://schemas.microsoft.com/office/drawing/2014/main" id="{2C480A65-673E-AF36-0888-7A8C2B41CA6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38257985" y="36889200"/>
              <a:ext cx="2239920" cy="113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18:19:20.4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358 1388,'0'0,"0"0,0 0,0 0,0 0,0 0,0 0,0 0,0 0,0 0,0 0,0 0,0 0,0 0,0 0,0 0,0 0,0 0,0 0,0 0,0 0,0 0,0 0,0 0,0 17,0-1,0-14,0 13,0 18,0-29,-13 25,13 20,0-42,-15 52,0 7,15-56,-14 47,0 9,11-57,6 48,-3-8,0-42,14 36,15-10,-26-29,80-25,45-28,-111 42,139-69,43-39,-169 97,186-113,54-34,-236 143,220-138,32-22,-245 157,191-131,11-10,-207 142,157-100,23 8,-186 100,111-66,-26 15,-98 58,51-32,3 8,-60 29,22-8,-4 12,-26 0,-6 16,3-15,-29 15,15 0,13-13,-40 27,-18 20,51-42,-69 51,-24 23,86-69,-99 73,-16 29,112-97,-106 81,-4 16,108-98,-89 81,23-15,73-70,-32 40,-13-4,49-41,-10 17,4-7,58-52,29-32,-60 56,63-79,23 6,-82 71,55-58,15-29,-74 84,49-37,10-30,-60 69,36-24,-35 21,-9 14,-6 20,-24 15,22-28,-33 56,-20 23,49-73,-10 43,-24 12,36-55,-14 44,-9 11,27-56,-7 30,-6-7,15-28,18 6,10-27,-22 14,19 4,5-2,-26 0,23 0,-11-17,-13 15,9 21,4-19,-13 0,-4 16,2 1,0-14,-15 27,15-14,0-13,-13 11,-2 20,12-29,6 6,-3-3,0 0,-15-8,15 0,0 17,-14-1,13-14,-27 13,-1 18,26-29,-21 25,-6 4,27-28,-22 23,-3 5,23-28,-21 23,-1-12,22-13,10 11,-5-6,15-33,40-24,-44 42,79-69,40-39,-113 100,137-103,47-30,-169 124,138-101,45-40,-181 140,160-115,-7 24,-160 98,117-79,-14-3,-112 86,65-21,-13 2,-59 28,36-23,-4 11,-37 15,1 4,8-2,-12 0,-21 17,5-1,11-13,-69 27,-27 36,80-56,-123 46,-32 44,147-86,-162 104,-40 14,193-113,-231 144,-51 18,270-154,-221 144,-46 11,267-155,-222 128,-47 43,273-170,-199 126,-44 10,240-138,-167 98,-16 8,192-112,-126 75,34-29,109-56,-33 29,-19-5,61-29,-48-10,28 22,29-15,-24-4,11 18,15-14,-12-4,-19 2,27 0,-19 17,8-17,15 0,-13 0,13 16,0-14,0-20,13 18,-12 0,28-33,57-34,-74 58,89-64,56-43,-133 99,111-98,93-51,-194 143,205-151,62-58,-255 198,237-163,18-18,-258 185,215-154,15-14,-235 170,182-126,10 5,-198 129,151-108,-42 28,-119 86,43-38,-7-14,-50 57,27-15,-20 8,-13 13,-19 6,-12-3,23 0,-45 0,7 0,38 0,-58-17,-37 17,85 0,-69 0,-44 0,109 0,-74 0,-20 0,94 0,-76 0,10 0,73 0,-61 0,19 17,46-14,-25 10,4 4,28-14,-9 10,-19 4,25-14,-4 27,-5 3,12-28,4 39,-2-11,0-27,14 39,30 4,-37-42,42 52,24 7,-62-56,64 62,39 11,-97-70,80 74,19 11,-99-82,65 51,-10-1,-61-56,35 29,-3 27,-37-57,30 48,-36-6,0-44,-27 51,-31 41,49-84,-53 86,-9 14,60-97,-64 64,-11 17,73-84,-75 85,1-17,75-71,-33 41,1-20,38-27,-15 5,-7 6,23-14,10 11,-5-6,43-83,56-24,73-82,-145 152,161-157,14 4,-170 153,121-107,6 4,-136 111,369-337,10 43,-342 267,122-69,33-15,-178 110,98-55,-6 11,-107 55,57-11,-8 22,-58 0,32 0,-17 0,-24 0,20 16,6-16,-26 0,5 17,-22 16,11-28,-97 105,-73 22,146-110,-163 122,-97 70,239-179,-237 178,-103 68,323-234,-228 154,-83 80,326-243,-273 221,-50 22,312-237,-224 159,-4 29,238-192,-128 101,34-26,120-95,-38 11,4 2,50-28,46-27,-35 20,-6 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1"/>
  <sheetViews>
    <sheetView rightToLeft="1" tabSelected="1" view="pageBreakPreview" topLeftCell="B42" zoomScale="115" zoomScaleNormal="100" zoomScaleSheetLayoutView="115" workbookViewId="0">
      <selection activeCell="I42" sqref="I42:J4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0" t="s">
        <v>231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3">
      <c r="B2" s="12" t="s">
        <v>8</v>
      </c>
      <c r="C2" s="66" t="s">
        <v>27</v>
      </c>
      <c r="D2" s="66"/>
      <c r="E2" s="12" t="s">
        <v>7</v>
      </c>
      <c r="F2" s="61">
        <v>45959</v>
      </c>
      <c r="G2" s="61"/>
      <c r="H2" s="61"/>
      <c r="I2" s="61"/>
      <c r="J2" s="61"/>
    </row>
    <row r="3" spans="1:10" ht="30" customHeight="1" x14ac:dyDescent="0.3">
      <c r="B3" s="12" t="s">
        <v>9</v>
      </c>
      <c r="C3" s="66" t="s">
        <v>70</v>
      </c>
      <c r="D3" s="66"/>
      <c r="E3" s="12" t="s">
        <v>6</v>
      </c>
      <c r="F3" s="66" t="s">
        <v>115</v>
      </c>
      <c r="G3" s="66"/>
      <c r="H3" s="66"/>
      <c r="I3" s="66"/>
      <c r="J3" s="6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" customHeight="1" thickBot="1" x14ac:dyDescent="0.35">
      <c r="A6" s="10"/>
      <c r="B6" s="64"/>
      <c r="C6" s="65"/>
      <c r="D6" s="65"/>
      <c r="E6" s="11" t="s">
        <v>3</v>
      </c>
      <c r="F6" s="11" t="s">
        <v>4</v>
      </c>
      <c r="G6" s="11" t="s">
        <v>23</v>
      </c>
      <c r="H6" s="11" t="s">
        <v>24</v>
      </c>
      <c r="I6" s="73"/>
      <c r="J6" s="74"/>
    </row>
    <row r="7" spans="1:10" ht="24.9" customHeight="1" thickBot="1" x14ac:dyDescent="0.35">
      <c r="A7" s="10"/>
      <c r="B7" s="69" t="s">
        <v>21</v>
      </c>
      <c r="C7" s="70"/>
      <c r="D7" s="70"/>
      <c r="E7" s="28" t="s">
        <v>18</v>
      </c>
      <c r="F7" s="28" t="s">
        <v>19</v>
      </c>
      <c r="G7" s="28" t="s">
        <v>22</v>
      </c>
      <c r="H7" s="28" t="s">
        <v>20</v>
      </c>
      <c r="I7" s="75" t="s">
        <v>25</v>
      </c>
      <c r="J7" s="76"/>
    </row>
    <row r="8" spans="1:10" ht="39.9" customHeight="1" thickBot="1" x14ac:dyDescent="0.35">
      <c r="A8" s="10"/>
      <c r="B8" s="91" t="s">
        <v>180</v>
      </c>
      <c r="C8" s="92"/>
      <c r="D8" s="92"/>
      <c r="E8" s="38">
        <v>5</v>
      </c>
      <c r="F8" s="41">
        <v>4</v>
      </c>
      <c r="G8" s="39">
        <f>IFERROR(F8/E8,"")</f>
        <v>0.8</v>
      </c>
      <c r="H8" s="4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85"/>
      <c r="J8" s="86"/>
    </row>
    <row r="9" spans="1:10" ht="30" customHeight="1" x14ac:dyDescent="0.3">
      <c r="A9" s="10"/>
      <c r="B9" s="83" t="s">
        <v>244</v>
      </c>
      <c r="C9" s="84"/>
      <c r="D9" s="84"/>
      <c r="E9" s="31"/>
      <c r="F9" s="34"/>
      <c r="G9" s="32"/>
      <c r="H9" s="33"/>
      <c r="I9" s="47"/>
      <c r="J9" s="48"/>
    </row>
    <row r="10" spans="1:10" ht="30" customHeight="1" x14ac:dyDescent="0.3">
      <c r="A10" s="10"/>
      <c r="B10" s="49" t="s">
        <v>232</v>
      </c>
      <c r="C10" s="50"/>
      <c r="D10" s="50"/>
      <c r="E10" s="9">
        <v>5</v>
      </c>
      <c r="F10" s="26">
        <v>4</v>
      </c>
      <c r="G10" s="29">
        <f t="shared" ref="G10:G72" si="0">IFERROR(F10/E10,"")</f>
        <v>0.8</v>
      </c>
      <c r="H10" s="30" t="str">
        <f t="shared" ref="H10:H72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1"/>
      <c r="J10" s="52"/>
    </row>
    <row r="11" spans="1:10" ht="30" customHeight="1" x14ac:dyDescent="0.3">
      <c r="A11" s="10"/>
      <c r="B11" s="49" t="s">
        <v>233</v>
      </c>
      <c r="C11" s="50"/>
      <c r="D11" s="50"/>
      <c r="E11" s="9">
        <v>5</v>
      </c>
      <c r="F11" s="26">
        <v>3.75</v>
      </c>
      <c r="G11" s="29">
        <f t="shared" si="0"/>
        <v>0.75</v>
      </c>
      <c r="H11" s="30" t="str">
        <f t="shared" si="1"/>
        <v>جيد</v>
      </c>
      <c r="I11" s="51"/>
      <c r="J11" s="52"/>
    </row>
    <row r="12" spans="1:10" ht="30" customHeight="1" x14ac:dyDescent="0.3">
      <c r="A12" s="10"/>
      <c r="B12" s="49" t="s">
        <v>234</v>
      </c>
      <c r="C12" s="50"/>
      <c r="D12" s="50"/>
      <c r="E12" s="9">
        <v>5</v>
      </c>
      <c r="F12" s="26">
        <v>3.75</v>
      </c>
      <c r="G12" s="29">
        <f t="shared" si="0"/>
        <v>0.75</v>
      </c>
      <c r="H12" s="30" t="str">
        <f t="shared" si="1"/>
        <v>جيد</v>
      </c>
      <c r="I12" s="51"/>
      <c r="J12" s="52"/>
    </row>
    <row r="13" spans="1:10" ht="30" customHeight="1" x14ac:dyDescent="0.3">
      <c r="A13" s="10"/>
      <c r="B13" s="49" t="s">
        <v>235</v>
      </c>
      <c r="C13" s="50"/>
      <c r="D13" s="50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51"/>
      <c r="J13" s="52"/>
    </row>
    <row r="14" spans="1:10" ht="30" customHeight="1" x14ac:dyDescent="0.3">
      <c r="A14" s="10"/>
      <c r="B14" s="49" t="s">
        <v>236</v>
      </c>
      <c r="C14" s="50"/>
      <c r="D14" s="50"/>
      <c r="E14" s="9">
        <v>5</v>
      </c>
      <c r="F14" s="26">
        <v>4</v>
      </c>
      <c r="G14" s="29">
        <f t="shared" si="0"/>
        <v>0.8</v>
      </c>
      <c r="H14" s="30" t="str">
        <f t="shared" si="1"/>
        <v>جيد جداً</v>
      </c>
      <c r="I14" s="51"/>
      <c r="J14" s="52"/>
    </row>
    <row r="15" spans="1:10" ht="30" customHeight="1" x14ac:dyDescent="0.3">
      <c r="A15" s="10"/>
      <c r="B15" s="49" t="s">
        <v>237</v>
      </c>
      <c r="C15" s="50"/>
      <c r="D15" s="50"/>
      <c r="E15" s="9">
        <v>5</v>
      </c>
      <c r="F15" s="26">
        <v>4</v>
      </c>
      <c r="G15" s="29">
        <f t="shared" si="0"/>
        <v>0.8</v>
      </c>
      <c r="H15" s="30" t="str">
        <f t="shared" si="1"/>
        <v>جيد جداً</v>
      </c>
      <c r="I15" s="51"/>
      <c r="J15" s="52"/>
    </row>
    <row r="16" spans="1:10" ht="50.1" customHeight="1" x14ac:dyDescent="0.3">
      <c r="A16" s="10"/>
      <c r="B16" s="49" t="s">
        <v>238</v>
      </c>
      <c r="C16" s="50"/>
      <c r="D16" s="50"/>
      <c r="E16" s="9">
        <v>5</v>
      </c>
      <c r="F16" s="26">
        <v>4</v>
      </c>
      <c r="G16" s="29">
        <f t="shared" si="0"/>
        <v>0.8</v>
      </c>
      <c r="H16" s="30" t="str">
        <f t="shared" si="1"/>
        <v>جيد جداً</v>
      </c>
      <c r="I16" s="51"/>
      <c r="J16" s="52"/>
    </row>
    <row r="17" spans="1:10" ht="30" customHeight="1" x14ac:dyDescent="0.3">
      <c r="A17" s="10"/>
      <c r="B17" s="49" t="s">
        <v>239</v>
      </c>
      <c r="C17" s="50"/>
      <c r="D17" s="50"/>
      <c r="E17" s="9">
        <v>5</v>
      </c>
      <c r="F17" s="26">
        <v>3.75</v>
      </c>
      <c r="G17" s="29">
        <f t="shared" si="0"/>
        <v>0.75</v>
      </c>
      <c r="H17" s="30" t="str">
        <f t="shared" si="1"/>
        <v>جيد</v>
      </c>
      <c r="I17" s="51"/>
      <c r="J17" s="52"/>
    </row>
    <row r="18" spans="1:10" ht="30" customHeight="1" x14ac:dyDescent="0.3">
      <c r="A18" s="10"/>
      <c r="B18" s="49" t="s">
        <v>240</v>
      </c>
      <c r="C18" s="50"/>
      <c r="D18" s="50"/>
      <c r="E18" s="9">
        <v>5</v>
      </c>
      <c r="F18" s="26">
        <v>3.75</v>
      </c>
      <c r="G18" s="29">
        <f t="shared" si="0"/>
        <v>0.75</v>
      </c>
      <c r="H18" s="30" t="str">
        <f t="shared" si="1"/>
        <v>جيد</v>
      </c>
      <c r="I18" s="51"/>
      <c r="J18" s="52"/>
    </row>
    <row r="19" spans="1:10" ht="39.9" customHeight="1" x14ac:dyDescent="0.3">
      <c r="A19" s="10"/>
      <c r="B19" s="49" t="s">
        <v>241</v>
      </c>
      <c r="C19" s="50"/>
      <c r="D19" s="50"/>
      <c r="E19" s="9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51"/>
      <c r="J19" s="52"/>
    </row>
    <row r="20" spans="1:10" ht="30" customHeight="1" x14ac:dyDescent="0.3">
      <c r="A20" s="10"/>
      <c r="B20" s="49" t="s">
        <v>242</v>
      </c>
      <c r="C20" s="50"/>
      <c r="D20" s="50"/>
      <c r="E20" s="9">
        <v>5</v>
      </c>
      <c r="F20" s="26">
        <v>3.5</v>
      </c>
      <c r="G20" s="29">
        <f t="shared" si="0"/>
        <v>0.7</v>
      </c>
      <c r="H20" s="30" t="str">
        <f t="shared" si="1"/>
        <v>جيد</v>
      </c>
      <c r="I20" s="51"/>
      <c r="J20" s="52"/>
    </row>
    <row r="21" spans="1:10" ht="30" customHeight="1" thickBot="1" x14ac:dyDescent="0.35">
      <c r="A21" s="10"/>
      <c r="B21" s="93" t="s">
        <v>243</v>
      </c>
      <c r="C21" s="94"/>
      <c r="D21" s="94"/>
      <c r="E21" s="35">
        <v>5</v>
      </c>
      <c r="F21" s="27">
        <v>3.5</v>
      </c>
      <c r="G21" s="36">
        <f t="shared" si="0"/>
        <v>0.7</v>
      </c>
      <c r="H21" s="37" t="str">
        <f t="shared" si="1"/>
        <v>جيد</v>
      </c>
      <c r="I21" s="53"/>
      <c r="J21" s="54"/>
    </row>
    <row r="22" spans="1:10" ht="39.9" customHeight="1" x14ac:dyDescent="0.3">
      <c r="A22" s="10"/>
      <c r="B22" s="83" t="s">
        <v>181</v>
      </c>
      <c r="C22" s="84"/>
      <c r="D22" s="84"/>
      <c r="E22" s="31"/>
      <c r="F22" s="34"/>
      <c r="G22" s="32"/>
      <c r="H22" s="33"/>
      <c r="I22" s="47"/>
      <c r="J22" s="48"/>
    </row>
    <row r="23" spans="1:10" ht="30" customHeight="1" x14ac:dyDescent="0.3">
      <c r="A23" s="10"/>
      <c r="B23" s="43" t="s">
        <v>182</v>
      </c>
      <c r="C23" s="44"/>
      <c r="D23" s="44"/>
      <c r="E23" s="9">
        <v>5</v>
      </c>
      <c r="F23" s="26">
        <v>3.75</v>
      </c>
      <c r="G23" s="29">
        <f t="shared" si="0"/>
        <v>0.75</v>
      </c>
      <c r="H23" s="30" t="str">
        <f t="shared" si="1"/>
        <v>جيد</v>
      </c>
      <c r="I23" s="51"/>
      <c r="J23" s="52"/>
    </row>
    <row r="24" spans="1:10" ht="30" customHeight="1" x14ac:dyDescent="0.3">
      <c r="A24" s="10"/>
      <c r="B24" s="43" t="s">
        <v>183</v>
      </c>
      <c r="C24" s="44"/>
      <c r="D24" s="44"/>
      <c r="E24" s="9">
        <v>5</v>
      </c>
      <c r="F24" s="26">
        <v>3.5</v>
      </c>
      <c r="G24" s="29">
        <f t="shared" si="0"/>
        <v>0.7</v>
      </c>
      <c r="H24" s="30" t="str">
        <f t="shared" si="1"/>
        <v>جيد</v>
      </c>
      <c r="I24" s="51"/>
      <c r="J24" s="52"/>
    </row>
    <row r="25" spans="1:10" ht="30" customHeight="1" x14ac:dyDescent="0.3">
      <c r="A25" s="10"/>
      <c r="B25" s="43" t="s">
        <v>184</v>
      </c>
      <c r="C25" s="44"/>
      <c r="D25" s="44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51"/>
      <c r="J25" s="52"/>
    </row>
    <row r="26" spans="1:10" ht="30" customHeight="1" x14ac:dyDescent="0.3">
      <c r="A26" s="10"/>
      <c r="B26" s="43" t="s">
        <v>185</v>
      </c>
      <c r="C26" s="44"/>
      <c r="D26" s="44"/>
      <c r="E26" s="9">
        <v>5</v>
      </c>
      <c r="F26" s="26">
        <v>3.75</v>
      </c>
      <c r="G26" s="29">
        <f t="shared" si="0"/>
        <v>0.75</v>
      </c>
      <c r="H26" s="30" t="str">
        <f t="shared" si="1"/>
        <v>جيد</v>
      </c>
      <c r="I26" s="51"/>
      <c r="J26" s="52"/>
    </row>
    <row r="27" spans="1:10" ht="30" customHeight="1" x14ac:dyDescent="0.3">
      <c r="A27" s="10"/>
      <c r="B27" s="43" t="s">
        <v>186</v>
      </c>
      <c r="C27" s="44"/>
      <c r="D27" s="44"/>
      <c r="E27" s="9">
        <v>5</v>
      </c>
      <c r="F27" s="26">
        <v>3.75</v>
      </c>
      <c r="G27" s="29">
        <f t="shared" si="0"/>
        <v>0.75</v>
      </c>
      <c r="H27" s="30" t="str">
        <f t="shared" si="1"/>
        <v>جيد</v>
      </c>
      <c r="I27" s="51"/>
      <c r="J27" s="52"/>
    </row>
    <row r="28" spans="1:10" ht="30" customHeight="1" x14ac:dyDescent="0.3">
      <c r="A28" s="10"/>
      <c r="B28" s="43" t="s">
        <v>187</v>
      </c>
      <c r="C28" s="44"/>
      <c r="D28" s="44"/>
      <c r="E28" s="9">
        <v>5</v>
      </c>
      <c r="F28" s="26">
        <v>3.5</v>
      </c>
      <c r="G28" s="29">
        <f t="shared" si="0"/>
        <v>0.7</v>
      </c>
      <c r="H28" s="30" t="str">
        <f t="shared" si="1"/>
        <v>جيد</v>
      </c>
      <c r="I28" s="51"/>
      <c r="J28" s="52"/>
    </row>
    <row r="29" spans="1:10" ht="30" customHeight="1" thickBot="1" x14ac:dyDescent="0.35">
      <c r="A29" s="10"/>
      <c r="B29" s="45" t="s">
        <v>188</v>
      </c>
      <c r="C29" s="46"/>
      <c r="D29" s="46"/>
      <c r="E29" s="35">
        <v>5</v>
      </c>
      <c r="F29" s="27">
        <v>3.75</v>
      </c>
      <c r="G29" s="36">
        <f t="shared" si="0"/>
        <v>0.75</v>
      </c>
      <c r="H29" s="37" t="str">
        <f t="shared" si="1"/>
        <v>جيد</v>
      </c>
      <c r="I29" s="53"/>
      <c r="J29" s="54"/>
    </row>
    <row r="30" spans="1:10" ht="30" customHeight="1" x14ac:dyDescent="0.3">
      <c r="A30" s="10"/>
      <c r="B30" s="83" t="s">
        <v>189</v>
      </c>
      <c r="C30" s="84"/>
      <c r="D30" s="84"/>
      <c r="E30" s="31"/>
      <c r="F30" s="34"/>
      <c r="G30" s="32"/>
      <c r="H30" s="33"/>
      <c r="I30" s="47"/>
      <c r="J30" s="48"/>
    </row>
    <row r="31" spans="1:10" ht="39.9" customHeight="1" x14ac:dyDescent="0.3">
      <c r="A31" s="10"/>
      <c r="B31" s="43" t="s">
        <v>190</v>
      </c>
      <c r="C31" s="44"/>
      <c r="D31" s="44"/>
      <c r="E31" s="9">
        <v>5</v>
      </c>
      <c r="F31" s="26">
        <v>4</v>
      </c>
      <c r="G31" s="29">
        <f t="shared" si="0"/>
        <v>0.8</v>
      </c>
      <c r="H31" s="30" t="str">
        <f t="shared" si="1"/>
        <v>جيد جداً</v>
      </c>
      <c r="I31" s="51"/>
      <c r="J31" s="52"/>
    </row>
    <row r="32" spans="1:10" ht="30" customHeight="1" x14ac:dyDescent="0.3">
      <c r="A32" s="10"/>
      <c r="B32" s="43" t="s">
        <v>191</v>
      </c>
      <c r="C32" s="44"/>
      <c r="D32" s="44"/>
      <c r="E32" s="9">
        <v>5</v>
      </c>
      <c r="F32" s="26">
        <v>3.75</v>
      </c>
      <c r="G32" s="29">
        <f t="shared" si="0"/>
        <v>0.75</v>
      </c>
      <c r="H32" s="30" t="str">
        <f t="shared" si="1"/>
        <v>جيد</v>
      </c>
      <c r="I32" s="51"/>
      <c r="J32" s="52"/>
    </row>
    <row r="33" spans="1:10" ht="39.9" customHeight="1" thickBot="1" x14ac:dyDescent="0.35">
      <c r="A33" s="10"/>
      <c r="B33" s="45" t="s">
        <v>192</v>
      </c>
      <c r="C33" s="46"/>
      <c r="D33" s="46"/>
      <c r="E33" s="35">
        <v>5</v>
      </c>
      <c r="F33" s="27">
        <v>3.75</v>
      </c>
      <c r="G33" s="36">
        <f t="shared" si="0"/>
        <v>0.75</v>
      </c>
      <c r="H33" s="37" t="str">
        <f t="shared" si="1"/>
        <v>جيد</v>
      </c>
      <c r="I33" s="53"/>
      <c r="J33" s="54"/>
    </row>
    <row r="34" spans="1:10" ht="30" customHeight="1" x14ac:dyDescent="0.3">
      <c r="A34" s="10"/>
      <c r="B34" s="83" t="s">
        <v>193</v>
      </c>
      <c r="C34" s="84"/>
      <c r="D34" s="84"/>
      <c r="E34" s="31"/>
      <c r="F34" s="34"/>
      <c r="G34" s="32"/>
      <c r="H34" s="33"/>
      <c r="I34" s="47"/>
      <c r="J34" s="48"/>
    </row>
    <row r="35" spans="1:10" ht="50.1" customHeight="1" x14ac:dyDescent="0.3">
      <c r="A35" s="10"/>
      <c r="B35" s="43" t="s">
        <v>194</v>
      </c>
      <c r="C35" s="44"/>
      <c r="D35" s="44"/>
      <c r="E35" s="9">
        <v>5</v>
      </c>
      <c r="F35" s="26">
        <v>3.5</v>
      </c>
      <c r="G35" s="29">
        <f t="shared" si="0"/>
        <v>0.7</v>
      </c>
      <c r="H35" s="30" t="str">
        <f t="shared" si="1"/>
        <v>جيد</v>
      </c>
      <c r="I35" s="51"/>
      <c r="J35" s="52"/>
    </row>
    <row r="36" spans="1:10" ht="30" customHeight="1" x14ac:dyDescent="0.3">
      <c r="A36" s="10"/>
      <c r="B36" s="43" t="s">
        <v>195</v>
      </c>
      <c r="C36" s="44"/>
      <c r="D36" s="44"/>
      <c r="E36" s="9">
        <v>5</v>
      </c>
      <c r="F36" s="26">
        <v>3.25</v>
      </c>
      <c r="G36" s="29">
        <f t="shared" si="0"/>
        <v>0.65</v>
      </c>
      <c r="H36" s="30" t="str">
        <f t="shared" si="1"/>
        <v>مقبول</v>
      </c>
      <c r="I36" s="51"/>
      <c r="J36" s="52"/>
    </row>
    <row r="37" spans="1:10" ht="39.9" customHeight="1" x14ac:dyDescent="0.3">
      <c r="A37" s="10"/>
      <c r="B37" s="43" t="s">
        <v>196</v>
      </c>
      <c r="C37" s="44"/>
      <c r="D37" s="44"/>
      <c r="E37" s="9">
        <v>5</v>
      </c>
      <c r="F37" s="26">
        <v>3.5</v>
      </c>
      <c r="G37" s="29">
        <f t="shared" si="0"/>
        <v>0.7</v>
      </c>
      <c r="H37" s="30" t="str">
        <f t="shared" si="1"/>
        <v>جيد</v>
      </c>
      <c r="I37" s="51"/>
      <c r="J37" s="52"/>
    </row>
    <row r="38" spans="1:10" ht="39.9" customHeight="1" x14ac:dyDescent="0.3">
      <c r="A38" s="10"/>
      <c r="B38" s="43" t="s">
        <v>197</v>
      </c>
      <c r="C38" s="44"/>
      <c r="D38" s="44"/>
      <c r="E38" s="9">
        <v>5</v>
      </c>
      <c r="F38" s="26">
        <v>3.75</v>
      </c>
      <c r="G38" s="29">
        <f t="shared" si="0"/>
        <v>0.75</v>
      </c>
      <c r="H38" s="30" t="str">
        <f t="shared" si="1"/>
        <v>جيد</v>
      </c>
      <c r="I38" s="51"/>
      <c r="J38" s="52"/>
    </row>
    <row r="39" spans="1:10" ht="30" customHeight="1" x14ac:dyDescent="0.3">
      <c r="A39" s="10"/>
      <c r="B39" s="43" t="s">
        <v>198</v>
      </c>
      <c r="C39" s="44"/>
      <c r="D39" s="44"/>
      <c r="E39" s="9">
        <v>5</v>
      </c>
      <c r="F39" s="26">
        <v>3.25</v>
      </c>
      <c r="G39" s="29">
        <f t="shared" si="0"/>
        <v>0.65</v>
      </c>
      <c r="H39" s="30" t="str">
        <f t="shared" si="1"/>
        <v>مقبول</v>
      </c>
      <c r="I39" s="51"/>
      <c r="J39" s="52"/>
    </row>
    <row r="40" spans="1:10" ht="30" customHeight="1" x14ac:dyDescent="0.3">
      <c r="A40" s="10"/>
      <c r="B40" s="43" t="s">
        <v>199</v>
      </c>
      <c r="C40" s="44"/>
      <c r="D40" s="44"/>
      <c r="E40" s="9">
        <v>5</v>
      </c>
      <c r="F40" s="26">
        <v>3.5</v>
      </c>
      <c r="G40" s="29">
        <f t="shared" si="0"/>
        <v>0.7</v>
      </c>
      <c r="H40" s="30" t="str">
        <f t="shared" si="1"/>
        <v>جيد</v>
      </c>
      <c r="I40" s="51"/>
      <c r="J40" s="52"/>
    </row>
    <row r="41" spans="1:10" ht="39.9" customHeight="1" x14ac:dyDescent="0.3">
      <c r="A41" s="10"/>
      <c r="B41" s="43" t="s">
        <v>200</v>
      </c>
      <c r="C41" s="44"/>
      <c r="D41" s="44"/>
      <c r="E41" s="9">
        <v>5</v>
      </c>
      <c r="F41" s="26">
        <v>4</v>
      </c>
      <c r="G41" s="29">
        <f t="shared" si="0"/>
        <v>0.8</v>
      </c>
      <c r="H41" s="30" t="str">
        <f t="shared" si="1"/>
        <v>جيد جداً</v>
      </c>
      <c r="I41" s="51"/>
      <c r="J41" s="52"/>
    </row>
    <row r="42" spans="1:10" ht="39.9" customHeight="1" x14ac:dyDescent="0.3">
      <c r="A42" s="10"/>
      <c r="B42" s="43" t="s">
        <v>201</v>
      </c>
      <c r="C42" s="44"/>
      <c r="D42" s="44"/>
      <c r="E42" s="9"/>
      <c r="F42" s="26"/>
      <c r="G42" s="29" t="str">
        <f t="shared" si="0"/>
        <v/>
      </c>
      <c r="H42" s="30"/>
      <c r="I42" s="51"/>
      <c r="J42" s="52"/>
    </row>
    <row r="43" spans="1:10" ht="30" customHeight="1" x14ac:dyDescent="0.3">
      <c r="A43" s="10"/>
      <c r="B43" s="43" t="s">
        <v>202</v>
      </c>
      <c r="C43" s="44"/>
      <c r="D43" s="44"/>
      <c r="E43" s="9">
        <v>5</v>
      </c>
      <c r="F43" s="26">
        <v>3.75</v>
      </c>
      <c r="G43" s="29">
        <f t="shared" si="0"/>
        <v>0.75</v>
      </c>
      <c r="H43" s="30" t="str">
        <f t="shared" si="1"/>
        <v>جيد</v>
      </c>
      <c r="I43" s="51"/>
      <c r="J43" s="52"/>
    </row>
    <row r="44" spans="1:10" ht="30" customHeight="1" x14ac:dyDescent="0.3">
      <c r="A44" s="10"/>
      <c r="B44" s="43" t="s">
        <v>203</v>
      </c>
      <c r="C44" s="44"/>
      <c r="D44" s="44"/>
      <c r="E44" s="9">
        <v>5</v>
      </c>
      <c r="F44" s="26">
        <v>4</v>
      </c>
      <c r="G44" s="29">
        <f t="shared" si="0"/>
        <v>0.8</v>
      </c>
      <c r="H44" s="30" t="str">
        <f t="shared" si="1"/>
        <v>جيد جداً</v>
      </c>
      <c r="I44" s="51"/>
      <c r="J44" s="52"/>
    </row>
    <row r="45" spans="1:10" ht="30" customHeight="1" x14ac:dyDescent="0.3">
      <c r="A45" s="10"/>
      <c r="B45" s="43" t="s">
        <v>204</v>
      </c>
      <c r="C45" s="44"/>
      <c r="D45" s="44"/>
      <c r="E45" s="9">
        <v>5</v>
      </c>
      <c r="F45" s="26">
        <v>3.75</v>
      </c>
      <c r="G45" s="29">
        <f t="shared" si="0"/>
        <v>0.75</v>
      </c>
      <c r="H45" s="30" t="str">
        <f t="shared" si="1"/>
        <v>جيد</v>
      </c>
      <c r="I45" s="51"/>
      <c r="J45" s="52"/>
    </row>
    <row r="46" spans="1:10" ht="30" customHeight="1" x14ac:dyDescent="0.3">
      <c r="A46" s="10"/>
      <c r="B46" s="43" t="s">
        <v>205</v>
      </c>
      <c r="C46" s="44"/>
      <c r="D46" s="44"/>
      <c r="E46" s="9">
        <v>5</v>
      </c>
      <c r="F46" s="26">
        <v>3.25</v>
      </c>
      <c r="G46" s="29">
        <f t="shared" si="0"/>
        <v>0.65</v>
      </c>
      <c r="H46" s="30" t="str">
        <f t="shared" si="1"/>
        <v>مقبول</v>
      </c>
      <c r="I46" s="51"/>
      <c r="J46" s="52"/>
    </row>
    <row r="47" spans="1:10" ht="30" customHeight="1" x14ac:dyDescent="0.3">
      <c r="A47" s="10"/>
      <c r="B47" s="43" t="s">
        <v>206</v>
      </c>
      <c r="C47" s="44"/>
      <c r="D47" s="44"/>
      <c r="E47" s="9">
        <v>5</v>
      </c>
      <c r="F47" s="26">
        <v>3.5</v>
      </c>
      <c r="G47" s="29">
        <f t="shared" si="0"/>
        <v>0.7</v>
      </c>
      <c r="H47" s="30" t="str">
        <f t="shared" si="1"/>
        <v>جيد</v>
      </c>
      <c r="I47" s="51"/>
      <c r="J47" s="52"/>
    </row>
    <row r="48" spans="1:10" ht="39.9" customHeight="1" thickBot="1" x14ac:dyDescent="0.35">
      <c r="A48" s="10"/>
      <c r="B48" s="45" t="s">
        <v>207</v>
      </c>
      <c r="C48" s="46"/>
      <c r="D48" s="46"/>
      <c r="E48" s="35">
        <v>5</v>
      </c>
      <c r="F48" s="27">
        <v>3.75</v>
      </c>
      <c r="G48" s="36">
        <f t="shared" si="0"/>
        <v>0.75</v>
      </c>
      <c r="H48" s="37" t="str">
        <f t="shared" si="1"/>
        <v>جيد</v>
      </c>
      <c r="I48" s="53"/>
      <c r="J48" s="54"/>
    </row>
    <row r="49" spans="1:10" ht="30" customHeight="1" x14ac:dyDescent="0.3">
      <c r="A49" s="10"/>
      <c r="B49" s="83" t="s">
        <v>208</v>
      </c>
      <c r="C49" s="84"/>
      <c r="D49" s="84"/>
      <c r="E49" s="31"/>
      <c r="F49" s="34"/>
      <c r="G49" s="32"/>
      <c r="H49" s="33"/>
      <c r="I49" s="47"/>
      <c r="J49" s="48"/>
    </row>
    <row r="50" spans="1:10" ht="39.9" customHeight="1" x14ac:dyDescent="0.3">
      <c r="A50" s="10"/>
      <c r="B50" s="43" t="s">
        <v>245</v>
      </c>
      <c r="C50" s="44"/>
      <c r="D50" s="44"/>
      <c r="E50" s="9">
        <v>5</v>
      </c>
      <c r="F50" s="26">
        <v>4</v>
      </c>
      <c r="G50" s="29">
        <f t="shared" si="0"/>
        <v>0.8</v>
      </c>
      <c r="H50" s="30" t="str">
        <f t="shared" si="1"/>
        <v>جيد جداً</v>
      </c>
      <c r="I50" s="51"/>
      <c r="J50" s="52"/>
    </row>
    <row r="51" spans="1:10" ht="50.1" customHeight="1" x14ac:dyDescent="0.3">
      <c r="A51" s="10"/>
      <c r="B51" s="43" t="s">
        <v>209</v>
      </c>
      <c r="C51" s="44"/>
      <c r="D51" s="44"/>
      <c r="E51" s="9">
        <v>5</v>
      </c>
      <c r="F51" s="26">
        <v>3.75</v>
      </c>
      <c r="G51" s="29">
        <f t="shared" si="0"/>
        <v>0.75</v>
      </c>
      <c r="H51" s="30" t="str">
        <f t="shared" si="1"/>
        <v>جيد</v>
      </c>
      <c r="I51" s="51"/>
      <c r="J51" s="52"/>
    </row>
    <row r="52" spans="1:10" ht="39.9" customHeight="1" x14ac:dyDescent="0.3">
      <c r="A52" s="10"/>
      <c r="B52" s="43" t="s">
        <v>210</v>
      </c>
      <c r="C52" s="44"/>
      <c r="D52" s="44"/>
      <c r="E52" s="9">
        <v>5</v>
      </c>
      <c r="F52" s="26">
        <v>3.75</v>
      </c>
      <c r="G52" s="29">
        <f t="shared" si="0"/>
        <v>0.75</v>
      </c>
      <c r="H52" s="30" t="str">
        <f t="shared" si="1"/>
        <v>جيد</v>
      </c>
      <c r="I52" s="51"/>
      <c r="J52" s="52"/>
    </row>
    <row r="53" spans="1:10" ht="39.9" customHeight="1" x14ac:dyDescent="0.3">
      <c r="A53" s="10"/>
      <c r="B53" s="43" t="s">
        <v>211</v>
      </c>
      <c r="C53" s="44"/>
      <c r="D53" s="44"/>
      <c r="E53" s="9">
        <v>5</v>
      </c>
      <c r="F53" s="26">
        <v>3.75</v>
      </c>
      <c r="G53" s="29">
        <f t="shared" si="0"/>
        <v>0.75</v>
      </c>
      <c r="H53" s="30" t="str">
        <f t="shared" si="1"/>
        <v>جيد</v>
      </c>
      <c r="I53" s="51"/>
      <c r="J53" s="52"/>
    </row>
    <row r="54" spans="1:10" ht="30" customHeight="1" x14ac:dyDescent="0.3">
      <c r="A54" s="10"/>
      <c r="B54" s="43" t="s">
        <v>212</v>
      </c>
      <c r="C54" s="44"/>
      <c r="D54" s="44"/>
      <c r="E54" s="9">
        <v>5</v>
      </c>
      <c r="F54" s="26">
        <v>3.75</v>
      </c>
      <c r="G54" s="29">
        <f t="shared" si="0"/>
        <v>0.75</v>
      </c>
      <c r="H54" s="30" t="str">
        <f t="shared" si="1"/>
        <v>جيد</v>
      </c>
      <c r="I54" s="51"/>
      <c r="J54" s="52"/>
    </row>
    <row r="55" spans="1:10" ht="30" customHeight="1" x14ac:dyDescent="0.3">
      <c r="A55" s="10"/>
      <c r="B55" s="43" t="s">
        <v>246</v>
      </c>
      <c r="C55" s="44"/>
      <c r="D55" s="44"/>
      <c r="E55" s="9">
        <v>5</v>
      </c>
      <c r="F55" s="26">
        <v>3.75</v>
      </c>
      <c r="G55" s="29">
        <f t="shared" si="0"/>
        <v>0.75</v>
      </c>
      <c r="H55" s="30" t="str">
        <f t="shared" si="1"/>
        <v>جيد</v>
      </c>
      <c r="I55" s="51"/>
      <c r="J55" s="52"/>
    </row>
    <row r="56" spans="1:10" ht="39.9" customHeight="1" x14ac:dyDescent="0.3">
      <c r="A56" s="10"/>
      <c r="B56" s="43" t="s">
        <v>213</v>
      </c>
      <c r="C56" s="44"/>
      <c r="D56" s="44"/>
      <c r="E56" s="9">
        <v>5</v>
      </c>
      <c r="F56" s="26">
        <v>3.75</v>
      </c>
      <c r="G56" s="29">
        <f t="shared" si="0"/>
        <v>0.75</v>
      </c>
      <c r="H56" s="30" t="str">
        <f t="shared" si="1"/>
        <v>جيد</v>
      </c>
      <c r="I56" s="51"/>
      <c r="J56" s="52"/>
    </row>
    <row r="57" spans="1:10" ht="30" customHeight="1" x14ac:dyDescent="0.3">
      <c r="A57" s="10"/>
      <c r="B57" s="43" t="s">
        <v>247</v>
      </c>
      <c r="C57" s="44"/>
      <c r="D57" s="44"/>
      <c r="E57" s="9">
        <v>5</v>
      </c>
      <c r="F57" s="26">
        <v>3.5</v>
      </c>
      <c r="G57" s="29">
        <f t="shared" si="0"/>
        <v>0.7</v>
      </c>
      <c r="H57" s="30" t="str">
        <f t="shared" si="1"/>
        <v>جيد</v>
      </c>
      <c r="I57" s="51"/>
      <c r="J57" s="52"/>
    </row>
    <row r="58" spans="1:10" ht="30" customHeight="1" x14ac:dyDescent="0.3">
      <c r="A58" s="10"/>
      <c r="B58" s="43" t="s">
        <v>248</v>
      </c>
      <c r="C58" s="44"/>
      <c r="D58" s="44"/>
      <c r="E58" s="9">
        <v>5</v>
      </c>
      <c r="F58" s="26">
        <v>3.75</v>
      </c>
      <c r="G58" s="29">
        <f t="shared" si="0"/>
        <v>0.75</v>
      </c>
      <c r="H58" s="30" t="str">
        <f t="shared" si="1"/>
        <v>جيد</v>
      </c>
      <c r="I58" s="51"/>
      <c r="J58" s="52"/>
    </row>
    <row r="59" spans="1:10" ht="30" customHeight="1" x14ac:dyDescent="0.3">
      <c r="A59" s="10"/>
      <c r="B59" s="43" t="s">
        <v>249</v>
      </c>
      <c r="C59" s="44"/>
      <c r="D59" s="44"/>
      <c r="E59" s="9">
        <v>5</v>
      </c>
      <c r="F59" s="26">
        <v>3.5</v>
      </c>
      <c r="G59" s="29">
        <f t="shared" si="0"/>
        <v>0.7</v>
      </c>
      <c r="H59" s="30" t="str">
        <f t="shared" si="1"/>
        <v>جيد</v>
      </c>
      <c r="I59" s="51" t="s">
        <v>260</v>
      </c>
      <c r="J59" s="52"/>
    </row>
    <row r="60" spans="1:10" ht="30" customHeight="1" thickBot="1" x14ac:dyDescent="0.35">
      <c r="A60" s="10"/>
      <c r="B60" s="45" t="s">
        <v>250</v>
      </c>
      <c r="C60" s="46"/>
      <c r="D60" s="46"/>
      <c r="E60" s="35">
        <v>5</v>
      </c>
      <c r="F60" s="27">
        <v>3.5</v>
      </c>
      <c r="G60" s="36">
        <f t="shared" si="0"/>
        <v>0.7</v>
      </c>
      <c r="H60" s="37" t="str">
        <f t="shared" si="1"/>
        <v>جيد</v>
      </c>
      <c r="I60" s="53" t="s">
        <v>261</v>
      </c>
      <c r="J60" s="54"/>
    </row>
    <row r="61" spans="1:10" ht="30" customHeight="1" x14ac:dyDescent="0.3">
      <c r="A61" s="10"/>
      <c r="B61" s="95" t="s">
        <v>214</v>
      </c>
      <c r="C61" s="96"/>
      <c r="D61" s="96"/>
      <c r="E61" s="31"/>
      <c r="F61" s="34"/>
      <c r="G61" s="32"/>
      <c r="H61" s="33"/>
      <c r="I61" s="47"/>
      <c r="J61" s="48"/>
    </row>
    <row r="62" spans="1:10" ht="30" customHeight="1" x14ac:dyDescent="0.3">
      <c r="A62" s="10"/>
      <c r="B62" s="43" t="s">
        <v>215</v>
      </c>
      <c r="C62" s="44"/>
      <c r="D62" s="44"/>
      <c r="E62" s="9">
        <v>5</v>
      </c>
      <c r="F62" s="26">
        <v>4</v>
      </c>
      <c r="G62" s="29">
        <f t="shared" si="0"/>
        <v>0.8</v>
      </c>
      <c r="H62" s="30" t="str">
        <f t="shared" si="1"/>
        <v>جيد جداً</v>
      </c>
      <c r="I62" s="51"/>
      <c r="J62" s="52"/>
    </row>
    <row r="63" spans="1:10" ht="30" customHeight="1" x14ac:dyDescent="0.3">
      <c r="A63" s="10"/>
      <c r="B63" s="43" t="s">
        <v>216</v>
      </c>
      <c r="C63" s="44"/>
      <c r="D63" s="44"/>
      <c r="E63" s="9">
        <v>5</v>
      </c>
      <c r="F63" s="26">
        <v>4</v>
      </c>
      <c r="G63" s="29">
        <f t="shared" si="0"/>
        <v>0.8</v>
      </c>
      <c r="H63" s="30" t="str">
        <f t="shared" si="1"/>
        <v>جيد جداً</v>
      </c>
      <c r="I63" s="51"/>
      <c r="J63" s="52"/>
    </row>
    <row r="64" spans="1:10" ht="30" customHeight="1" x14ac:dyDescent="0.3">
      <c r="A64" s="10"/>
      <c r="B64" s="43" t="s">
        <v>217</v>
      </c>
      <c r="C64" s="44"/>
      <c r="D64" s="44"/>
      <c r="E64" s="9">
        <v>5</v>
      </c>
      <c r="F64" s="26">
        <v>4</v>
      </c>
      <c r="G64" s="29">
        <f t="shared" si="0"/>
        <v>0.8</v>
      </c>
      <c r="H64" s="30" t="str">
        <f t="shared" si="1"/>
        <v>جيد جداً</v>
      </c>
      <c r="I64" s="51"/>
      <c r="J64" s="52"/>
    </row>
    <row r="65" spans="1:10" ht="30" customHeight="1" x14ac:dyDescent="0.3">
      <c r="A65" s="10"/>
      <c r="B65" s="43" t="s">
        <v>218</v>
      </c>
      <c r="C65" s="44"/>
      <c r="D65" s="44"/>
      <c r="E65" s="9">
        <v>5</v>
      </c>
      <c r="F65" s="26">
        <v>4</v>
      </c>
      <c r="G65" s="29">
        <f t="shared" si="0"/>
        <v>0.8</v>
      </c>
      <c r="H65" s="30" t="str">
        <f t="shared" si="1"/>
        <v>جيد جداً</v>
      </c>
      <c r="I65" s="51"/>
      <c r="J65" s="52"/>
    </row>
    <row r="66" spans="1:10" ht="30" customHeight="1" x14ac:dyDescent="0.3">
      <c r="A66" s="10"/>
      <c r="B66" s="43" t="s">
        <v>219</v>
      </c>
      <c r="C66" s="44"/>
      <c r="D66" s="44"/>
      <c r="E66" s="9">
        <v>5</v>
      </c>
      <c r="F66" s="26">
        <v>3.75</v>
      </c>
      <c r="G66" s="29">
        <f t="shared" si="0"/>
        <v>0.75</v>
      </c>
      <c r="H66" s="30" t="str">
        <f t="shared" si="1"/>
        <v>جيد</v>
      </c>
      <c r="I66" s="51"/>
      <c r="J66" s="52"/>
    </row>
    <row r="67" spans="1:10" ht="30" customHeight="1" x14ac:dyDescent="0.3">
      <c r="A67" s="10"/>
      <c r="B67" s="43" t="s">
        <v>220</v>
      </c>
      <c r="C67" s="44"/>
      <c r="D67" s="44"/>
      <c r="E67" s="9">
        <v>5</v>
      </c>
      <c r="F67" s="26">
        <v>3.75</v>
      </c>
      <c r="G67" s="29">
        <f t="shared" si="0"/>
        <v>0.75</v>
      </c>
      <c r="H67" s="30" t="str">
        <f t="shared" si="1"/>
        <v>جيد</v>
      </c>
      <c r="I67" s="51"/>
      <c r="J67" s="52"/>
    </row>
    <row r="68" spans="1:10" ht="30" customHeight="1" x14ac:dyDescent="0.3">
      <c r="A68" s="10"/>
      <c r="B68" s="43" t="s">
        <v>221</v>
      </c>
      <c r="C68" s="44"/>
      <c r="D68" s="44"/>
      <c r="E68" s="9">
        <v>5</v>
      </c>
      <c r="F68" s="26">
        <v>4</v>
      </c>
      <c r="G68" s="29">
        <f t="shared" si="0"/>
        <v>0.8</v>
      </c>
      <c r="H68" s="30" t="str">
        <f t="shared" si="1"/>
        <v>جيد جداً</v>
      </c>
      <c r="I68" s="51"/>
      <c r="J68" s="52"/>
    </row>
    <row r="69" spans="1:10" ht="30" customHeight="1" x14ac:dyDescent="0.3">
      <c r="A69" s="10"/>
      <c r="B69" s="43" t="s">
        <v>222</v>
      </c>
      <c r="C69" s="44"/>
      <c r="D69" s="44"/>
      <c r="E69" s="9">
        <v>5</v>
      </c>
      <c r="F69" s="26">
        <v>4</v>
      </c>
      <c r="G69" s="29">
        <f t="shared" si="0"/>
        <v>0.8</v>
      </c>
      <c r="H69" s="30" t="str">
        <f t="shared" si="1"/>
        <v>جيد جداً</v>
      </c>
      <c r="I69" s="51"/>
      <c r="J69" s="52"/>
    </row>
    <row r="70" spans="1:10" ht="30" customHeight="1" x14ac:dyDescent="0.3">
      <c r="A70" s="10"/>
      <c r="B70" s="43" t="s">
        <v>223</v>
      </c>
      <c r="C70" s="44"/>
      <c r="D70" s="44"/>
      <c r="E70" s="9">
        <v>5</v>
      </c>
      <c r="F70" s="26">
        <v>4.25</v>
      </c>
      <c r="G70" s="29">
        <f t="shared" si="0"/>
        <v>0.85</v>
      </c>
      <c r="H70" s="30" t="str">
        <f t="shared" si="1"/>
        <v>جيد جداً</v>
      </c>
      <c r="I70" s="51"/>
      <c r="J70" s="52"/>
    </row>
    <row r="71" spans="1:10" ht="30" customHeight="1" x14ac:dyDescent="0.3">
      <c r="A71" s="10"/>
      <c r="B71" s="43" t="s">
        <v>224</v>
      </c>
      <c r="C71" s="44"/>
      <c r="D71" s="44"/>
      <c r="E71" s="9">
        <v>5</v>
      </c>
      <c r="F71" s="26">
        <v>4</v>
      </c>
      <c r="G71" s="29">
        <f t="shared" si="0"/>
        <v>0.8</v>
      </c>
      <c r="H71" s="30" t="str">
        <f t="shared" si="1"/>
        <v>جيد جداً</v>
      </c>
      <c r="I71" s="51"/>
      <c r="J71" s="52"/>
    </row>
    <row r="72" spans="1:10" ht="30" customHeight="1" x14ac:dyDescent="0.3">
      <c r="A72" s="10"/>
      <c r="B72" s="43" t="s">
        <v>225</v>
      </c>
      <c r="C72" s="44"/>
      <c r="D72" s="44"/>
      <c r="E72" s="9">
        <v>5</v>
      </c>
      <c r="F72" s="26">
        <v>4</v>
      </c>
      <c r="G72" s="29">
        <f t="shared" si="0"/>
        <v>0.8</v>
      </c>
      <c r="H72" s="30" t="str">
        <f t="shared" si="1"/>
        <v>جيد جداً</v>
      </c>
      <c r="I72" s="51"/>
      <c r="J72" s="52"/>
    </row>
    <row r="73" spans="1:10" ht="30" customHeight="1" x14ac:dyDescent="0.3">
      <c r="A73" s="10"/>
      <c r="B73" s="43" t="s">
        <v>226</v>
      </c>
      <c r="C73" s="44"/>
      <c r="D73" s="44"/>
      <c r="E73" s="9">
        <v>5</v>
      </c>
      <c r="F73" s="26">
        <v>4</v>
      </c>
      <c r="G73" s="29">
        <f t="shared" ref="G73:G86" si="2">IFERROR(F73/E73,"")</f>
        <v>0.8</v>
      </c>
      <c r="H73" s="30" t="str">
        <f t="shared" ref="H73:H86" si="3">_xlfn.IFS(F73="أدخل العلامة","",F73="لا ينطبق","تم الإلغاء",G73&gt;=90%,"ممتاز",G73&gt;=80%,"جيد جداً",G73&gt;=70%,"جيد",G73&gt;=60%,"مقبول",G73&lt;60%,"راسب")</f>
        <v>جيد جداً</v>
      </c>
      <c r="I73" s="51"/>
      <c r="J73" s="52"/>
    </row>
    <row r="74" spans="1:10" ht="30" customHeight="1" x14ac:dyDescent="0.3">
      <c r="A74" s="10"/>
      <c r="B74" s="43" t="s">
        <v>227</v>
      </c>
      <c r="C74" s="44"/>
      <c r="D74" s="44"/>
      <c r="E74" s="9">
        <v>5</v>
      </c>
      <c r="F74" s="26">
        <v>3.75</v>
      </c>
      <c r="G74" s="29">
        <f t="shared" si="2"/>
        <v>0.75</v>
      </c>
      <c r="H74" s="30" t="str">
        <f t="shared" si="3"/>
        <v>جيد</v>
      </c>
      <c r="I74" s="51"/>
      <c r="J74" s="52"/>
    </row>
    <row r="75" spans="1:10" ht="30" customHeight="1" thickBot="1" x14ac:dyDescent="0.35">
      <c r="A75" s="10"/>
      <c r="B75" s="45" t="s">
        <v>228</v>
      </c>
      <c r="C75" s="46"/>
      <c r="D75" s="46"/>
      <c r="E75" s="35">
        <v>5</v>
      </c>
      <c r="F75" s="27">
        <v>4</v>
      </c>
      <c r="G75" s="36">
        <f t="shared" si="2"/>
        <v>0.8</v>
      </c>
      <c r="H75" s="37" t="str">
        <f t="shared" si="3"/>
        <v>جيد جداً</v>
      </c>
      <c r="I75" s="53"/>
      <c r="J75" s="54"/>
    </row>
    <row r="76" spans="1:10" ht="30" customHeight="1" x14ac:dyDescent="0.3">
      <c r="A76" s="10"/>
      <c r="B76" s="83" t="s">
        <v>251</v>
      </c>
      <c r="C76" s="84"/>
      <c r="D76" s="84"/>
      <c r="E76" s="31"/>
      <c r="F76" s="34"/>
      <c r="G76" s="32"/>
      <c r="H76" s="33"/>
      <c r="I76" s="47"/>
      <c r="J76" s="48"/>
    </row>
    <row r="77" spans="1:10" ht="30" customHeight="1" x14ac:dyDescent="0.3">
      <c r="A77" s="10"/>
      <c r="B77" s="43" t="s">
        <v>229</v>
      </c>
      <c r="C77" s="44"/>
      <c r="D77" s="44"/>
      <c r="E77" s="9">
        <v>5</v>
      </c>
      <c r="F77" s="26">
        <v>3.5</v>
      </c>
      <c r="G77" s="29">
        <f t="shared" si="2"/>
        <v>0.7</v>
      </c>
      <c r="H77" s="30" t="str">
        <f t="shared" si="3"/>
        <v>جيد</v>
      </c>
      <c r="I77" s="51"/>
      <c r="J77" s="52"/>
    </row>
    <row r="78" spans="1:10" ht="30" customHeight="1" x14ac:dyDescent="0.3">
      <c r="A78" s="10"/>
      <c r="B78" s="43" t="s">
        <v>230</v>
      </c>
      <c r="C78" s="44"/>
      <c r="D78" s="44"/>
      <c r="E78" s="9">
        <v>5</v>
      </c>
      <c r="F78" s="26">
        <v>3.75</v>
      </c>
      <c r="G78" s="29">
        <f t="shared" si="2"/>
        <v>0.75</v>
      </c>
      <c r="H78" s="30" t="str">
        <f t="shared" si="3"/>
        <v>جيد</v>
      </c>
      <c r="I78" s="51"/>
      <c r="J78" s="52"/>
    </row>
    <row r="79" spans="1:10" ht="30" customHeight="1" x14ac:dyDescent="0.3">
      <c r="A79" s="10"/>
      <c r="B79" s="43" t="s">
        <v>252</v>
      </c>
      <c r="C79" s="44"/>
      <c r="D79" s="44"/>
      <c r="E79" s="9">
        <v>5</v>
      </c>
      <c r="F79" s="26">
        <v>3.5</v>
      </c>
      <c r="G79" s="29">
        <f t="shared" si="2"/>
        <v>0.7</v>
      </c>
      <c r="H79" s="30" t="str">
        <f t="shared" si="3"/>
        <v>جيد</v>
      </c>
      <c r="I79" s="51"/>
      <c r="J79" s="52"/>
    </row>
    <row r="80" spans="1:10" ht="30" customHeight="1" x14ac:dyDescent="0.3">
      <c r="A80" s="10"/>
      <c r="B80" s="43" t="s">
        <v>253</v>
      </c>
      <c r="C80" s="44"/>
      <c r="D80" s="44"/>
      <c r="E80" s="9">
        <v>5</v>
      </c>
      <c r="F80" s="26">
        <v>3.75</v>
      </c>
      <c r="G80" s="29">
        <f t="shared" si="2"/>
        <v>0.75</v>
      </c>
      <c r="H80" s="30" t="str">
        <f t="shared" si="3"/>
        <v>جيد</v>
      </c>
      <c r="I80" s="51"/>
      <c r="J80" s="52"/>
    </row>
    <row r="81" spans="1:10" ht="30" customHeight="1" x14ac:dyDescent="0.3">
      <c r="A81" s="10"/>
      <c r="B81" s="43" t="s">
        <v>254</v>
      </c>
      <c r="C81" s="44"/>
      <c r="D81" s="44"/>
      <c r="E81" s="9">
        <v>5</v>
      </c>
      <c r="F81" s="26">
        <v>4</v>
      </c>
      <c r="G81" s="29">
        <f t="shared" si="2"/>
        <v>0.8</v>
      </c>
      <c r="H81" s="30" t="str">
        <f t="shared" si="3"/>
        <v>جيد جداً</v>
      </c>
      <c r="I81" s="51"/>
      <c r="J81" s="52"/>
    </row>
    <row r="82" spans="1:10" ht="30" customHeight="1" x14ac:dyDescent="0.3">
      <c r="A82" s="10"/>
      <c r="B82" s="43" t="s">
        <v>255</v>
      </c>
      <c r="C82" s="44"/>
      <c r="D82" s="44"/>
      <c r="E82" s="9">
        <v>5</v>
      </c>
      <c r="F82" s="26">
        <v>4</v>
      </c>
      <c r="G82" s="29">
        <f t="shared" si="2"/>
        <v>0.8</v>
      </c>
      <c r="H82" s="30" t="str">
        <f t="shared" si="3"/>
        <v>جيد جداً</v>
      </c>
      <c r="I82" s="51"/>
      <c r="J82" s="52"/>
    </row>
    <row r="83" spans="1:10" ht="30" customHeight="1" x14ac:dyDescent="0.3">
      <c r="A83" s="10"/>
      <c r="B83" s="43" t="s">
        <v>256</v>
      </c>
      <c r="C83" s="44"/>
      <c r="D83" s="44"/>
      <c r="E83" s="9">
        <v>5</v>
      </c>
      <c r="F83" s="26">
        <v>4</v>
      </c>
      <c r="G83" s="29">
        <f t="shared" si="2"/>
        <v>0.8</v>
      </c>
      <c r="H83" s="30" t="str">
        <f t="shared" si="3"/>
        <v>جيد جداً</v>
      </c>
      <c r="I83" s="51"/>
      <c r="J83" s="52"/>
    </row>
    <row r="84" spans="1:10" ht="30" customHeight="1" x14ac:dyDescent="0.3">
      <c r="A84" s="10"/>
      <c r="B84" s="43" t="s">
        <v>257</v>
      </c>
      <c r="C84" s="44"/>
      <c r="D84" s="44"/>
      <c r="E84" s="9">
        <v>5</v>
      </c>
      <c r="F84" s="26">
        <v>4</v>
      </c>
      <c r="G84" s="29">
        <f t="shared" si="2"/>
        <v>0.8</v>
      </c>
      <c r="H84" s="30" t="str">
        <f t="shared" si="3"/>
        <v>جيد جداً</v>
      </c>
      <c r="I84" s="51"/>
      <c r="J84" s="52"/>
    </row>
    <row r="85" spans="1:10" ht="30" customHeight="1" x14ac:dyDescent="0.3">
      <c r="A85" s="10"/>
      <c r="B85" s="43" t="s">
        <v>258</v>
      </c>
      <c r="C85" s="44"/>
      <c r="D85" s="44"/>
      <c r="E85" s="9">
        <v>5</v>
      </c>
      <c r="F85" s="26">
        <v>3.5</v>
      </c>
      <c r="G85" s="29">
        <f t="shared" si="2"/>
        <v>0.7</v>
      </c>
      <c r="H85" s="30" t="str">
        <f t="shared" si="3"/>
        <v>جيد</v>
      </c>
      <c r="I85" s="51"/>
      <c r="J85" s="52"/>
    </row>
    <row r="86" spans="1:10" ht="30" customHeight="1" thickBot="1" x14ac:dyDescent="0.35">
      <c r="A86" s="10"/>
      <c r="B86" s="45" t="s">
        <v>259</v>
      </c>
      <c r="C86" s="46"/>
      <c r="D86" s="46"/>
      <c r="E86" s="35">
        <v>5</v>
      </c>
      <c r="F86" s="27">
        <v>3.75</v>
      </c>
      <c r="G86" s="36">
        <f t="shared" si="2"/>
        <v>0.75</v>
      </c>
      <c r="H86" s="37" t="str">
        <f t="shared" si="3"/>
        <v>جيد</v>
      </c>
      <c r="I86" s="53"/>
      <c r="J86" s="54"/>
    </row>
    <row r="87" spans="1:10" ht="30" customHeight="1" thickBot="1" x14ac:dyDescent="0.35">
      <c r="A87" s="4"/>
      <c r="B87" s="87" t="s">
        <v>5</v>
      </c>
      <c r="C87" s="88"/>
      <c r="D87" s="88"/>
      <c r="E87" s="42">
        <f>SUM(E8:E86)</f>
        <v>355</v>
      </c>
      <c r="F87" s="42">
        <f>SUM(F8:F86)</f>
        <v>267</v>
      </c>
      <c r="G87" s="57"/>
      <c r="H87" s="58"/>
      <c r="I87" s="58"/>
      <c r="J87" s="59"/>
    </row>
    <row r="88" spans="1:10" ht="30" customHeight="1" thickBot="1" x14ac:dyDescent="0.35">
      <c r="A88" s="4"/>
      <c r="B88" s="89" t="s">
        <v>54</v>
      </c>
      <c r="C88" s="90"/>
      <c r="D88" s="90"/>
      <c r="E88" s="67">
        <f>F87/E87/100*100</f>
        <v>0.75211267605633803</v>
      </c>
      <c r="F88" s="67"/>
      <c r="G88" s="67"/>
      <c r="H88" s="67"/>
      <c r="I88" s="67"/>
      <c r="J88" s="68"/>
    </row>
    <row r="89" spans="1:10" ht="30" customHeight="1" thickBot="1" x14ac:dyDescent="0.35">
      <c r="A89" s="4"/>
      <c r="B89" s="89" t="s">
        <v>55</v>
      </c>
      <c r="C89" s="90"/>
      <c r="D89" s="90"/>
      <c r="E89" s="81" t="str">
        <f>_xlfn.IFS(E88&gt;=90%,"ممتاز",E88&gt;=80%,"جيد جداً",E88&gt;=70%,"جيد",E88&gt;=60%,"مقبول",E88&lt;60%,"راسب")</f>
        <v>جيد</v>
      </c>
      <c r="F89" s="81"/>
      <c r="G89" s="81"/>
      <c r="H89" s="81"/>
      <c r="I89" s="81"/>
      <c r="J89" s="82"/>
    </row>
    <row r="90" spans="1:10" ht="42" customHeight="1" x14ac:dyDescent="0.3">
      <c r="B90" s="77" t="s">
        <v>174</v>
      </c>
      <c r="C90" s="77"/>
      <c r="D90" s="77"/>
      <c r="E90" s="55" t="s">
        <v>52</v>
      </c>
      <c r="F90" s="55"/>
      <c r="G90" s="79" t="s">
        <v>115</v>
      </c>
      <c r="H90" s="79"/>
      <c r="I90" s="79"/>
      <c r="J90" s="79"/>
    </row>
    <row r="91" spans="1:10" ht="51" customHeight="1" x14ac:dyDescent="0.3">
      <c r="A91" s="5"/>
      <c r="B91" s="78"/>
      <c r="C91" s="78"/>
      <c r="D91" s="78"/>
      <c r="E91" s="56" t="s">
        <v>53</v>
      </c>
      <c r="F91" s="56"/>
      <c r="G91" s="80"/>
      <c r="H91" s="80"/>
      <c r="I91" s="80"/>
      <c r="J91" s="8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79">
    <mergeCell ref="B70:D70"/>
    <mergeCell ref="B71:D71"/>
    <mergeCell ref="B72:D72"/>
    <mergeCell ref="B73:D73"/>
    <mergeCell ref="B74:D74"/>
    <mergeCell ref="B75:D75"/>
    <mergeCell ref="B81:D81"/>
    <mergeCell ref="B79:D79"/>
    <mergeCell ref="B80:D80"/>
    <mergeCell ref="B76:D76"/>
    <mergeCell ref="B77:D77"/>
    <mergeCell ref="B78:D78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I8:J8"/>
    <mergeCell ref="B87:D87"/>
    <mergeCell ref="B88:D88"/>
    <mergeCell ref="B89:D89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81:J81"/>
    <mergeCell ref="I19:J19"/>
    <mergeCell ref="B8:D8"/>
    <mergeCell ref="B9:D9"/>
    <mergeCell ref="B17:D17"/>
    <mergeCell ref="B18:D18"/>
    <mergeCell ref="B19:D19"/>
    <mergeCell ref="B20:D20"/>
    <mergeCell ref="B90:D91"/>
    <mergeCell ref="G90:J90"/>
    <mergeCell ref="G91:J91"/>
    <mergeCell ref="E89:J89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B48:D48"/>
    <mergeCell ref="B49:D49"/>
    <mergeCell ref="B50:D50"/>
    <mergeCell ref="B51:D51"/>
    <mergeCell ref="B1:J1"/>
    <mergeCell ref="F2:J2"/>
    <mergeCell ref="B5:D6"/>
    <mergeCell ref="C2:D2"/>
    <mergeCell ref="C3:D3"/>
    <mergeCell ref="F3:J3"/>
    <mergeCell ref="E88:J88"/>
    <mergeCell ref="B7:D7"/>
    <mergeCell ref="I38:J38"/>
    <mergeCell ref="I39:J39"/>
    <mergeCell ref="I76:J76"/>
    <mergeCell ref="I77:J77"/>
    <mergeCell ref="I78:J78"/>
    <mergeCell ref="I79:J79"/>
    <mergeCell ref="I80:J80"/>
    <mergeCell ref="I82:J82"/>
    <mergeCell ref="I83:J83"/>
    <mergeCell ref="I30:J30"/>
    <mergeCell ref="I31:J31"/>
    <mergeCell ref="E5:H5"/>
    <mergeCell ref="I37:J37"/>
    <mergeCell ref="I5:J6"/>
    <mergeCell ref="I7:J7"/>
    <mergeCell ref="I10:J10"/>
    <mergeCell ref="I67:J67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E90:F90"/>
    <mergeCell ref="E91:F91"/>
    <mergeCell ref="G87:J87"/>
    <mergeCell ref="I71:J71"/>
    <mergeCell ref="I72:J72"/>
    <mergeCell ref="I73:J73"/>
    <mergeCell ref="I74:J74"/>
    <mergeCell ref="I75:J75"/>
    <mergeCell ref="I84:J84"/>
    <mergeCell ref="I85:J85"/>
    <mergeCell ref="I86:J86"/>
    <mergeCell ref="B83:D83"/>
    <mergeCell ref="B84:D84"/>
    <mergeCell ref="B85:D85"/>
    <mergeCell ref="B86:D86"/>
    <mergeCell ref="I9:J9"/>
    <mergeCell ref="B10:D10"/>
    <mergeCell ref="B11:D11"/>
    <mergeCell ref="B12:D12"/>
    <mergeCell ref="B13:D13"/>
    <mergeCell ref="B14:D14"/>
    <mergeCell ref="B15:D15"/>
    <mergeCell ref="B16:D16"/>
    <mergeCell ref="B82:D82"/>
    <mergeCell ref="I68:J68"/>
    <mergeCell ref="I69:J69"/>
    <mergeCell ref="I70:J70"/>
    <mergeCell ref="I47:J47"/>
    <mergeCell ref="I48:J48"/>
    <mergeCell ref="I61:J61"/>
    <mergeCell ref="I62:J62"/>
    <mergeCell ref="I63:J63"/>
    <mergeCell ref="I64:J64"/>
    <mergeCell ref="I65:J65"/>
    <mergeCell ref="I66:J6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89">
    <cfRule type="expression" dxfId="14" priority="57">
      <formula>$E89="راسب"</formula>
    </cfRule>
  </conditionalFormatting>
  <conditionalFormatting sqref="E89:J89">
    <cfRule type="expression" dxfId="13" priority="58">
      <formula>$E89="مقبول"</formula>
    </cfRule>
    <cfRule type="expression" dxfId="12" priority="59">
      <formula>$E89="جيد"</formula>
    </cfRule>
    <cfRule type="expression" dxfId="11" priority="60">
      <formula>$E89="جيد جداً"</formula>
    </cfRule>
    <cfRule type="expression" dxfId="10" priority="61">
      <formula>$E89="ممتاز"</formula>
    </cfRule>
  </conditionalFormatting>
  <conditionalFormatting sqref="F8:F8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0:J90">
    <cfRule type="containsText" dxfId="6" priority="15" operator="containsText" text="أدخل اسم المحكم">
      <formula>NOT(ISERROR(SEARCH("أدخل اسم المحكم",G90)))</formula>
    </cfRule>
  </conditionalFormatting>
  <conditionalFormatting sqref="H8:H8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F62:F75 F50:F60 F35:F48 F31:F33 F23:F29 F8 F10:F21 F77:F86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G90:J90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777343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2025-10-07T14:52:30Z</dcterms:modified>
</cp:coreProperties>
</file>