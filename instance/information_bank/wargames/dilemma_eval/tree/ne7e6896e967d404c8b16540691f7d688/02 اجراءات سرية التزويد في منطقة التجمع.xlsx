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96A97E80-8BBE-496A-B7E6-2128F4F211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6" i="2"/>
  <c r="H26" i="2"/>
  <c r="F27" i="2"/>
  <c r="E27" i="2"/>
  <c r="E28" i="2"/>
  <c r="E29" i="2"/>
</calcChain>
</file>

<file path=xl/sharedStrings.xml><?xml version="1.0" encoding="utf-8"?>
<sst xmlns="http://schemas.openxmlformats.org/spreadsheetml/2006/main" count="257" uniqueCount="201">
  <si>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</si>
  <si>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</si>
  <si>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</si>
  <si>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</si>
  <si>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</si>
  <si>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</si>
  <si>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</si>
  <si>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</si>
  <si>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</si>
  <si>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</si>
  <si>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</si>
  <si>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</si>
  <si>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</si>
  <si>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</si>
  <si>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</si>
  <si>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</si>
  <si>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</si>
  <si>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</si>
  <si>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</si>
  <si>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</si>
  <si>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</si>
  <si>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</si>
  <si>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</si>
  <si>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</si>
  <si>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</si>
  <si>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</si>
  <si>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</si>
  <si>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</si>
  <si>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</si>
  <si>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</si>
  <si>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</si>
  <si>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</si>
  <si>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</si>
  <si>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</si>
  <si>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</si>
  <si>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</si>
  <si>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</si>
  <si>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</si>
  <si>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</si>
  <si>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</si>
  <si>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</si>
  <si>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</si>
  <si>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</si>
  <si>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</si>
  <si>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</si>
  <si>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</si>
  <si>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</si>
  <si>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</si>
  <si>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</si>
  <si>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</si>
  <si>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</si>
  <si>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</si>
  <si>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</si>
  <si>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</si>
  <si>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</si>
  <si>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</si>
  <si>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</si>
  <si>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</si>
  <si>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</si>
  <si>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</si>
  <si>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</si>
  <si>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</si>
  <si>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</si>
  <si>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</si>
  <si>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</si>
  <si>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</si>
  <si>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</si>
  <si>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</si>
  <si>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</si>
  <si>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</si>
  <si>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</si>
  <si>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</si>
  <si>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</si>
  <si>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</si>
  <si>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</si>
  <si>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</si>
  <si>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</si>
  <si>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</si>
  <si>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</si>
  <si>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</si>
  <si>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</si>
  <si>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</si>
  <si>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</si>
  <si>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</si>
  <si>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</si>
  <si>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</si>
  <si>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</si>
  <si>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</si>
  <si>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</si>
  <si>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</si>
  <si>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</si>
  <si>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</si>
  <si>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</si>
  <si>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</si>
  <si>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</si>
  <si>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</si>
  <si>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</si>
  <si>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</si>
  <si>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</si>
  <si>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</si>
  <si>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</si>
  <si>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</si>
  <si>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</si>
  <si>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</si>
  <si>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</si>
  <si>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</si>
  <si>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</si>
  <si>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</si>
  <si>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</si>
  <si>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</si>
  <si>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</si>
  <si>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</si>
  <si>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</si>
  <si>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</si>
  <si>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</si>
  <si>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</si>
  <si>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</si>
  <si>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</si>
  <si>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</si>
  <si>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</si>
  <si>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</si>
  <si>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</si>
  <si>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</si>
  <si>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</si>
  <si>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</si>
  <si>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</si>
  <si>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</si>
  <si>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</si>
  <si>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</si>
  <si>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</si>
  <si>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</si>
  <si>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</si>
  <si>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</si>
  <si>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</si>
  <si>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</si>
  <si>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</si>
  <si>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</si>
  <si>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</si>
  <si>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</si>
  <si>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</si>
  <si>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</si>
  <si>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</si>
  <si>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</si>
  <si>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</si>
  <si>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</si>
  <si>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</si>
  <si>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</si>
  <si>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</si>
  <si>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</si>
  <si>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</si>
  <si>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</si>
  <si>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</si>
  <si>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</si>
  <si>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</si>
  <si>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</si>
  <si>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</si>
  <si>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</si>
  <si>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</si>
  <si>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</si>
  <si>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</si>
  <si>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</si>
  <si>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</si>
  <si>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</si>
  <si>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</si>
  <si>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</si>
  <si>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</si>
  <si>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</si>
  <si>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</si>
  <si>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</si>
  <si>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</si>
  <si>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</si>
  <si>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</si>
  <si>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</si>
  <si>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</si>
  <si>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</si>
  <si>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</si>
  <si>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</si>
  <si>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</si>
  <si>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</si>
  <si>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</si>
  <si>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إجراءات سرية التزويد والنقل في منطقة التجمع الأمامية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</si>
  <si>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b/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توزيع القوة في منطقة التجمع (الدفاع الدائري).</t>
    </r>
  </si>
  <si>
    <t>أ. التمركز في الموقع المنتخب للسرية.</t>
  </si>
  <si>
    <t>ب. معرفة الطرق الرئيسية والبديلة لخطوط الاخلاء.</t>
  </si>
  <si>
    <t>جـ. توضيح المهمة والواجبات على المرتب.</t>
  </si>
  <si>
    <t>د. ابلاغ قائد كتيبة الإسناد الإداري.</t>
  </si>
  <si>
    <t>هـ. معرفة مواقع الإسناد (السرية الطبية - مواقع الأرزاق).</t>
  </si>
  <si>
    <r>
      <t>2.</t>
    </r>
    <r>
      <rPr>
        <b/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إجراءات الحماية والدفاع الدائري في منطقه التجمع.</t>
    </r>
  </si>
  <si>
    <t>أ. التأكد من تمركز السرية في وسط منطقة التجمع.</t>
  </si>
  <si>
    <t>ب. التنسيق مع قوة حماية سرية التزويد والنقل.</t>
  </si>
  <si>
    <t>جـ. تحديد المواقع البديلة في حال التعرض للهجوم.</t>
  </si>
  <si>
    <t>د. التأكد من استخدام وفاعلية أجهزة المراقبة الليلية.</t>
  </si>
  <si>
    <r>
      <t>هـ. انتخاب نقاط مرجع (</t>
    </r>
    <r>
      <rPr>
        <b/>
        <sz val="12"/>
        <color rgb="FF000000"/>
        <rFont val="Arial"/>
        <family val="2"/>
      </rPr>
      <t>GPS</t>
    </r>
    <r>
      <rPr>
        <sz val="12"/>
        <color rgb="FF000000"/>
        <rFont val="Arial"/>
        <family val="2"/>
      </rPr>
      <t>) حول منطقه التجمع.</t>
    </r>
  </si>
  <si>
    <r>
      <t>3.</t>
    </r>
    <r>
      <rPr>
        <b/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استكمال التحضيرات والتفتيشات وسد النقص.</t>
    </r>
  </si>
  <si>
    <t>أ. استكمال النقص في المياه.</t>
  </si>
  <si>
    <t>ب. استكمال النقص في الوقود.</t>
  </si>
  <si>
    <t>جـ. استكمال نقص الذخيرة.</t>
  </si>
  <si>
    <t>د. استكمال مواد الإسناد الإداري.</t>
  </si>
  <si>
    <t>هـ. تفقد شبكات الاتصالات.</t>
  </si>
  <si>
    <t>و. تفقد وصيانة الآليات والأسلحة.</t>
  </si>
  <si>
    <t>رائد/ محمد خليفة النعيمي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</si>
</sst>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24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2" fillId="0" borderId="25" xfId="0" applyFont="1" applyBorder="1" applyAlignment="1">
      <alignment horizontal="right" vertical="center" wrapText="1" readingOrder="2"/>
    </xf>
    <xf numFmtId="0" fontId="2" fillId="0" borderId="26" xfId="0" applyFont="1" applyBorder="1" applyAlignment="1">
      <alignment horizontal="right" vertical="center" wrapText="1" readingOrder="2"/>
    </xf>
    <xf numFmtId="0" fontId="2" fillId="0" borderId="27" xfId="0" applyFont="1" applyBorder="1" applyAlignment="1">
      <alignment horizontal="right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customXml" Target="../ink/ink5.xml"/><Relationship Id="rId7" Type="http://schemas.openxmlformats.org/officeDocument/2006/relationships/customXml" Target="../ink/ink2.xml"/><Relationship Id="rId12" Type="http://schemas.openxmlformats.org/officeDocument/2006/relationships/image" Target="../media/image4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4.xml"/><Relationship Id="rId10" Type="http://schemas.openxmlformats.org/officeDocument/2006/relationships/image" Target="../media/image2.png"/><Relationship Id="rId9" Type="http://schemas.openxmlformats.org/officeDocument/2006/relationships/customXml" Target="../ink/ink3.xml"/><Relationship Id="rId1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443087</xdr:colOff>
      <xdr:row>2</xdr:row>
      <xdr:rowOff>182567</xdr:rowOff>
    </xdr:from>
    <xdr:to>
      <xdr:col>2</xdr:col>
      <xdr:colOff>485207</xdr:colOff>
      <xdr:row>2</xdr:row>
      <xdr:rowOff>259607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D7BFBDC-5FA8-28B0-673D-FF6261FB0323}"/>
                </a:ext>
              </a:extLst>
            </xdr14:cNvPr>
            <xdr14:cNvContentPartPr/>
          </xdr14:nvContentPartPr>
          <xdr14:nvPr macro=""/>
          <xdr14:xfrm>
            <a:off x="10404024429" y="1140840"/>
            <a:ext cx="42120" cy="770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4D7BFBDC-5FA8-28B0-673D-FF6261FB032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04018309" y="1134720"/>
              <a:ext cx="54360" cy="8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5971</xdr:colOff>
      <xdr:row>30</xdr:row>
      <xdr:rowOff>326933</xdr:rowOff>
    </xdr:from>
    <xdr:to>
      <xdr:col>7</xdr:col>
      <xdr:colOff>156451</xdr:colOff>
      <xdr:row>30</xdr:row>
      <xdr:rowOff>379493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39896743-F09A-BCE0-02D3-BFFF6E30A7B3}"/>
                </a:ext>
              </a:extLst>
            </xdr14:cNvPr>
            <xdr14:cNvContentPartPr/>
          </xdr14:nvContentPartPr>
          <xdr14:nvPr macro=""/>
          <xdr14:xfrm>
            <a:off x="10399746549" y="11895480"/>
            <a:ext cx="150480" cy="525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39896743-F09A-BCE0-02D3-BFFF6E30A7B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9683909" y="11832480"/>
              <a:ext cx="27612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517181</xdr:colOff>
      <xdr:row>30</xdr:row>
      <xdr:rowOff>254213</xdr:rowOff>
    </xdr:from>
    <xdr:to>
      <xdr:col>8</xdr:col>
      <xdr:colOff>97397</xdr:colOff>
      <xdr:row>33</xdr:row>
      <xdr:rowOff>52843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02DA3C6D-4AF0-2EBD-652F-52A8CC0E7D80}"/>
                </a:ext>
              </a:extLst>
            </xdr14:cNvPr>
            <xdr14:cNvContentPartPr/>
          </xdr14:nvContentPartPr>
          <xdr14:nvPr macro=""/>
          <xdr14:xfrm>
            <a:off x="10399147509" y="11822760"/>
            <a:ext cx="896400" cy="8377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02DA3C6D-4AF0-2EBD-652F-52A8CC0E7D8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399084869" y="11760120"/>
              <a:ext cx="1022040" cy="9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485851</xdr:colOff>
      <xdr:row>30</xdr:row>
      <xdr:rowOff>495773</xdr:rowOff>
    </xdr:from>
    <xdr:to>
      <xdr:col>8</xdr:col>
      <xdr:colOff>20357</xdr:colOff>
      <xdr:row>31</xdr:row>
      <xdr:rowOff>48310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5D22A152-BC13-F38E-CDD4-5AB37361E60D}"/>
                </a:ext>
              </a:extLst>
            </xdr14:cNvPr>
            <xdr14:cNvContentPartPr/>
          </xdr14:nvContentPartPr>
          <xdr14:nvPr macro=""/>
          <xdr14:xfrm>
            <a:off x="10399224549" y="12064320"/>
            <a:ext cx="192600" cy="1990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5D22A152-BC13-F38E-CDD4-5AB37361E60D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399161909" y="12001680"/>
              <a:ext cx="318240" cy="32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430431</xdr:colOff>
      <xdr:row>31</xdr:row>
      <xdr:rowOff>67390</xdr:rowOff>
    </xdr:from>
    <xdr:to>
      <xdr:col>9</xdr:col>
      <xdr:colOff>218707</xdr:colOff>
      <xdr:row>40</xdr:row>
      <xdr:rowOff>54493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C1043DA5-EB80-0BEF-18C2-C4117514DE55}"/>
                </a:ext>
              </a:extLst>
            </xdr14:cNvPr>
            <xdr14:cNvContentPartPr/>
          </xdr14:nvContentPartPr>
          <xdr14:nvPr macro=""/>
          <xdr14:xfrm>
            <a:off x="10398368109" y="12282480"/>
            <a:ext cx="2420640" cy="17535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C1043DA5-EB80-0BEF-18C2-C4117514DE55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0398305469" y="12219480"/>
              <a:ext cx="2546280" cy="1879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7:18.141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0 213 5785,'0'0'0,"0"0"0,24-25 1336,-17 2-928,22 0-208,-21 15-16,-8 8-184,7-6 144,-7 3 8,5 0-24,-5 0 16,0 3-144,0-5 112,0 2 24,0-3-32,7 1-112,-7 5 8,0-6 8,5 0 8,-5 0-24,0 1 80,0 5-72,0-6-16,0-2-8,0 2 24,7 3-136,-7 3 136,0-3 16,5-3-32,-5 4 8,0-1 112,0 3-104,0-6-56,0 3 56,0 0-104,0-2-88,0 5 192,4-6-336,-4 0-672,0 1-856,0 2-809,0 3 2673,8-3-1888,-8 3 1888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20:50.614"/>
    </inkml:context>
    <inkml:brush xml:id="br0">
      <inkml:brushProperty name="width" value="0.35" units="cm"/>
      <inkml:brushProperty name="height" value="0.35" units="cm"/>
      <inkml:brushProperty name="color" value="#004F8B"/>
    </inkml:brush>
  </inkml:definitions>
  <inkml:trace contextRef="#ctx0" brushRef="#br0">417 145 13690,'0'0'0,"-84"-25"1345,-12 16-1161,96 9-184,-106-11-32,26 2-24,52 9 88,20 0-128,8 0 96,-7 0-200,2 0-64,3 0-232,2 6-265,0-6 761,0 0-1000,7 0-88,29 0-160,-2 0-161,-34 0 1409,41-8-1720,19-15-352,10-6-241,2-8 433,-72 37 1880,0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20:52.770"/>
    </inkml:context>
    <inkml:brush xml:id="br0">
      <inkml:brushProperty name="width" value="0.35" units="cm"/>
      <inkml:brushProperty name="height" value="0.35" units="cm"/>
      <inkml:brushProperty name="color" value="#004F8B"/>
    </inkml:brush>
  </inkml:definitions>
  <inkml:trace contextRef="#ctx0" brushRef="#br0">1687 421 8,'0'0'0,"0"-5"8,0-4 0,0 1 0,0 8-8,9-9 0,-9 6 8,5 0 16,2 1 40,-7 2-64,0 0 144,0-3 48,0 3 32,0 0-8,0 0-216,0 0 136,0 0 8,0 0-56,0 0 192,0 0-928,5-3 1656,-5 3-584,0-3 208,0 0-88,0 3-544,0-5 536,7-1 80,-2-3-175,-5 4-65,0 5-376,0-9 264,5 1-96,0-1-32,2-2-104,-7 11-32,5-23 32,4 17-48,18-17 40,-20 15 0,-7 8-24,31-23 24,-9 12 8,4-18 0,6 18 48,-32 11-80,31-31 112,3 22-8,-1-19 8,1 19-24,-34 9-88,38-25 80,-1 16-8,-4-14-48,3 18 32,-36 5-56,34-9 16,-8 1 16,-4-1 32,5 3-64,-27 6 0,7-2 40,19 2-16,-19 0-40,22 0 16,-29 0 0,5 0 16,5 0-16,-1 0 48,-4 5 0,-5-5-48,5 6 40,-5 0 0,0-1 0,5 1 8,-5-6-48,0 6 16,0-1 88,0 1-32,0 3-32,0-9-40,0 5 64,7 4-96,0-1 56,0 1-8,-7-9-16,5 8 8,2 1 16,-2-1-32,2 18-8,-7-26 16,8 6 24,-1 19 0,0-16-8,-2 25-16,-5-34 0,7 23 16,-2-1-48,0-13-24,-5 25 88,0-34-32,7 23-16,-7 0 16,0-15 24,0 26-16,0-34-8,0 9 0,-2 25 40,-6-11 64,6-1-32,2-22-72,-10 23 24,6 0 24,-1-15-48,-5 27 24,10-35-24,-7 8 120,-17 23-80,21-22-8,-4 19-8,7-28-24,-2 9 0,-10 14 88,5-18 0,-1 18 16,8-23-104,-9 6 32,4 2-8,0 18 24,-2-21-56,7-5 8,-7 9 80,-17 14-72,21-18-8,-6 18 40,9-23-40,-24 6 56,16 2 32,-13 18-64,-6-20 88,27-6-112,-21 25 72,9-19 64,-22 17 81,12-18-41,22-5-176,-24 9 168,0 17-32,12-21 24,-17 4-32,29-9-128,-24 22 136,15-16 96,-30 0 32,13 2-40,26-8-224,-24 9 256,14-3-96,-19-1-48,19 1 64,10-6-176,-24 6 144,17-6 24,0 5 16,2-5 72,5 0-256,-2 0 232,-5 0 80,-1 0 0,1-3-96,7 3-216,-5-5 224,-2-4-7,-3 1-25,8-1 8,2 9-200,-10-23 224,3 15-128,2-23 64,1 22-112,4 9-48,-3-31 80,1 8-48,2 12 8,-3-23 88,3 34-128,-2-12 40,2-19 48,0 8-56,0-2 72,0 25-104,0-23 40,0-3 96,0 1-72,7 2-128,-7 23 64,22-26-8,-22 15-64,26-17 0,-26 16 112,0 12-40,24-25 32,-19 16 48,22-16-48,-6 16-64,-21 9 32,5-23 0,29 18-88,-29-4 184,16-2-160,-21 11 64,10-9-40,-1 3 80,-1 4-96,21-1 56,-29 3 0,0 0 48,21 0 48,-16 0-152,2 8 104,-7-8-48,7 23 24,20-14-184,-20 25 160,15-3-56,-22-31 56,5 34-40,2 3 72,-2 6 88,2-1-32,-7-42-88,0 49-32,0-1-16,0 0-56,-5 1 104,5-49 0,-5 45-40,-4-2 8,-3-3 16,4-1-96,8-39 112,-26 34 0,4 1 32,1-4-56,-3-6 112,24-25-88,-22 23 88,-2-14-72,0 19-8,-10-28-72,34 0 64,-29 9-16,0-4-24,-7-5 48,12-2 96,24 2-104,-33-9 8,-1-17 48,0 15 40,-7-20 16,41 31-112,-33-29 0,-1-2 72,0-3-56,5-3-136,29 37 120,-33-34 104,1 0-32,4 3 0,1 2-40,27 29-32,-21-11 24,-4-15-80,16 18-16,-18-4 144,27 12-72,-9-8 24,-18-1 16,3 3 40,17 4-56,7 2-24,-10-3 8,-16 3 24,19 0 8,-20 5-80,27-5 40,-7 9 24,-24 17-32,7-18 32,0 26-8,24-34-16,-29 26-16,-2 2 24,2 6-64,-5 0 64,34-34-8,-29 37 16,-5 3-16,-2 3 40,0 5-24,36-48-16,-41 51 24,5 9-16,-7 3-8,7 2 32,36-65-32,-41 71 16,0 0-16,3 0 24,-1 6-64,39-77 40,-41 74-32,3 0 48,4-3-16,5-6 0,29-65 0,-26 63 16,4-9-16,10-6-40,-9-8 16,21-40 24,-8 34-24,1-5 16,-5-7 40,5-16 24,7-6-56,-5 9-24,3-4 0,-3-5-56,2 0 72,3 0 8,-4-3-24,-8-8-56,-17-23-88,0 0-408,29 34 576,-29-40-1224,-2-14-793,-3-9-767,8-8-1153,26 71 3937,-36-88-3745,36 88 3745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21:01.435"/>
    </inkml:context>
    <inkml:brush xml:id="br0">
      <inkml:brushProperty name="width" value="0.35" units="cm"/>
      <inkml:brushProperty name="height" value="0.35" units="cm"/>
      <inkml:brushProperty name="color" value="#004F8B"/>
    </inkml:brush>
  </inkml:definitions>
  <inkml:trace contextRef="#ctx0" brushRef="#br0">106 72 1040,'0'0'0,"0"0"0,-31-9 992,7-2-360,-2-12-256,2 17-96,24 6-280,0-3 192,0 1-80,0-1-112,0 3-120,0 0 120,0 0-208,4-3-56,6 3-96,0 0 24,-10 0 336,7 0-344,14 0 40,-13 6 104,18-6 72,-26 0 128,12 5-8,22-5 120,-12 0 24,4 0 48,-26 0-184,26-3 192,3-2-64,0 2 8,0 0-24,-29 3-112,24-3 96,0 0-24,-2 1-24,-13 2-48,-9 0 0,27 0 8,-15 0-24,14 8 8,-16 18 8,-10-26 0,26 8-32,-18 29 24,18 0 8,-21 6 8,-5-43-8,7 51 0,3 12-48,-5 2-120,-5 6-232,0-71 400,-3 74-680,-6-6-120,9-68 800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21:02.021"/>
    </inkml:context>
    <inkml:brush xml:id="br0">
      <inkml:brushProperty name="width" value="0.35" units="cm"/>
      <inkml:brushProperty name="height" value="0.35" units="cm"/>
      <inkml:brushProperty name="color" value="#004F8B"/>
    </inkml:brush>
  </inkml:definitions>
  <inkml:trace contextRef="#ctx0" brushRef="#br0">1025 263 2696,'0'0'0,"-34"0"1360,1 5-575,33-5-785,-40 6 312,1 15-176,28-21-32,-11 0-48,22 0-56,-4 5 32,2 0 8,-3 3-24,2 13-32,3-21 16,-4 6-16,4 22-8,0 1-8,0 11-16,0-40 48,4 58-24,1 10 8,-5 11 0,5 13 16,-5-92 0,0 100-8,0 13-16,-2 13 8,-10 11 0,12-137 16,-28 150-32,-3 8 32,-1 11 16,-8 9-16,40-178 0,-46 195 32,-10 5-24,-3 8-32,-3 5 0,62-213 24,-68 208-40,-2-1-8,2-4 8,-3-8 32,71-195 8,-61 189 16,5-13-16,12-18 8,18-19-32,26-139 24,-9 119-32,9-27 64,9-26 128,45-19 104,-54-47-264,72 26 312,28-26-48,38-21-128,31-37-96,-169 58-40,203-92 48,30-37 0,24-45 16,33-33 8,-290 207-72,322-242 64,25-29 32,16-15 0,5-20 32,-368 306-128,389-312 80,-2 6-64,-3 6 24,-12 14-64,-372 286 24,345-266 0,-4 15 16,-25 23-80,-13 18-24,-303 210 88,281-198-248,-36 9-1080,-23 15-1705,-222 174 3033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1"/>
  <sheetViews>
    <sheetView rightToLeft="1" tabSelected="1" view="pageBreakPreview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4" t="s">
        <v>180</v>
      </c>
      <c r="C1" s="54"/>
      <c r="D1" s="54"/>
      <c r="E1" s="54"/>
      <c r="F1" s="54"/>
      <c r="G1" s="54"/>
      <c r="H1" s="54"/>
      <c r="I1" s="54"/>
      <c r="J1" s="54"/>
    </row>
    <row r="2" spans="1:10" ht="30" customHeight="1" x14ac:dyDescent="0.3">
      <c r="B2" s="10" t="s">
        <v>8</v>
      </c>
      <c r="C2" s="60" t="s">
        <v>33</v>
      </c>
      <c r="D2" s="60"/>
      <c r="E2" s="10" t="s">
        <v>7</v>
      </c>
      <c r="F2" s="55">
        <v>45952</v>
      </c>
      <c r="G2" s="55"/>
      <c r="H2" s="55"/>
      <c r="I2" s="55"/>
      <c r="J2" s="55"/>
    </row>
    <row r="3" spans="1:10" ht="30" customHeight="1" x14ac:dyDescent="0.3">
      <c r="B3" s="10" t="s">
        <v>9</v>
      </c>
      <c r="C3" s="60" t="s">
        <v>60</v>
      </c>
      <c r="D3" s="60"/>
      <c r="E3" s="10" t="s">
        <v>6</v>
      </c>
      <c r="F3" s="60" t="s">
        <v>120</v>
      </c>
      <c r="G3" s="60"/>
      <c r="H3" s="60"/>
      <c r="I3" s="60"/>
      <c r="J3" s="60"/>
    </row>
    <row r="4" spans="1:10" ht="30" customHeight="1" thickBot="1" x14ac:dyDescent="0.35">
      <c r="B4" s="6"/>
      <c r="C4" s="67" t="s">
        <v>200</v>
      </c>
      <c r="D4" s="67"/>
      <c r="E4" s="6"/>
      <c r="F4" s="67"/>
      <c r="G4" s="67"/>
      <c r="H4" s="67"/>
      <c r="I4" s="67"/>
      <c r="J4" s="67"/>
    </row>
    <row r="5" spans="1:10" ht="24.9" customHeight="1" x14ac:dyDescent="0.3">
      <c r="A5" s="8"/>
      <c r="B5" s="56" t="s">
        <v>0</v>
      </c>
      <c r="C5" s="57"/>
      <c r="D5" s="57"/>
      <c r="E5" s="48" t="s">
        <v>1</v>
      </c>
      <c r="F5" s="48"/>
      <c r="G5" s="48"/>
      <c r="H5" s="48"/>
      <c r="I5" s="48" t="s">
        <v>2</v>
      </c>
      <c r="J5" s="49"/>
    </row>
    <row r="6" spans="1:10" ht="24.9" customHeight="1" thickBot="1" x14ac:dyDescent="0.35">
      <c r="A6" s="8"/>
      <c r="B6" s="58"/>
      <c r="C6" s="59"/>
      <c r="D6" s="59"/>
      <c r="E6" s="9" t="s">
        <v>3</v>
      </c>
      <c r="F6" s="9" t="s">
        <v>4</v>
      </c>
      <c r="G6" s="9" t="s">
        <v>23</v>
      </c>
      <c r="H6" s="9" t="s">
        <v>24</v>
      </c>
      <c r="I6" s="50"/>
      <c r="J6" s="51"/>
    </row>
    <row r="7" spans="1:10" ht="24.9" customHeight="1" thickBot="1" x14ac:dyDescent="0.35">
      <c r="A7" s="8"/>
      <c r="B7" s="46" t="s">
        <v>21</v>
      </c>
      <c r="C7" s="47"/>
      <c r="D7" s="47"/>
      <c r="E7" s="26" t="s">
        <v>18</v>
      </c>
      <c r="F7" s="26" t="s">
        <v>19</v>
      </c>
      <c r="G7" s="26" t="s">
        <v>22</v>
      </c>
      <c r="H7" s="26" t="s">
        <v>20</v>
      </c>
      <c r="I7" s="52" t="s">
        <v>25</v>
      </c>
      <c r="J7" s="53"/>
    </row>
    <row r="8" spans="1:10" ht="30" customHeight="1" x14ac:dyDescent="0.3">
      <c r="A8" s="8"/>
      <c r="B8" s="43" t="s">
        <v>181</v>
      </c>
      <c r="C8" s="44"/>
      <c r="D8" s="44"/>
      <c r="E8" s="44"/>
      <c r="F8" s="44"/>
      <c r="G8" s="44"/>
      <c r="H8" s="44"/>
      <c r="I8" s="44"/>
      <c r="J8" s="45"/>
    </row>
    <row r="9" spans="1:10" ht="30" customHeight="1" x14ac:dyDescent="0.3">
      <c r="A9" s="8"/>
      <c r="B9" s="33" t="s">
        <v>182</v>
      </c>
      <c r="C9" s="34"/>
      <c r="D9" s="34"/>
      <c r="E9" s="7">
        <v>5</v>
      </c>
      <c r="F9" s="24">
        <v>3.5</v>
      </c>
      <c r="G9" s="28">
        <f>IFERROR(F9/E9,"")</f>
        <v>0.7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1"/>
      <c r="J9" s="42"/>
    </row>
    <row r="10" spans="1:10" ht="30" customHeight="1" x14ac:dyDescent="0.3">
      <c r="A10" s="8"/>
      <c r="B10" s="33" t="s">
        <v>183</v>
      </c>
      <c r="C10" s="34"/>
      <c r="D10" s="34"/>
      <c r="E10" s="7">
        <v>5</v>
      </c>
      <c r="F10" s="24">
        <v>3.75</v>
      </c>
      <c r="G10" s="28">
        <f t="shared" ref="G10:G26" si="0">IFERROR(F10/E10,"")</f>
        <v>0.75</v>
      </c>
      <c r="H10" s="29" t="str">
        <f t="shared" ref="H10:H26" si="1">_xlfn.IFS(F10="أدخل العلامة","",F10="لا ينطبق","تم الإلغاء",G10&gt;=90%,"ممتاز",G10&gt;=80%,"جيد جداً",G10&gt;=70%,"جيد",G10&gt;=60%,"مقبول",G10&lt;60%,"راسب")</f>
        <v>جيد</v>
      </c>
      <c r="I10" s="41"/>
      <c r="J10" s="42"/>
    </row>
    <row r="11" spans="1:10" ht="30" customHeight="1" x14ac:dyDescent="0.3">
      <c r="A11" s="8"/>
      <c r="B11" s="33" t="s">
        <v>184</v>
      </c>
      <c r="C11" s="34"/>
      <c r="D11" s="34"/>
      <c r="E11" s="7">
        <v>5</v>
      </c>
      <c r="F11" s="24">
        <v>3.5</v>
      </c>
      <c r="G11" s="28">
        <f t="shared" si="0"/>
        <v>0.7</v>
      </c>
      <c r="H11" s="29" t="str">
        <f t="shared" si="1"/>
        <v>جيد</v>
      </c>
      <c r="I11" s="41"/>
      <c r="J11" s="42"/>
    </row>
    <row r="12" spans="1:10" ht="30" customHeight="1" x14ac:dyDescent="0.3">
      <c r="A12" s="8"/>
      <c r="B12" s="33" t="s">
        <v>185</v>
      </c>
      <c r="C12" s="34"/>
      <c r="D12" s="34"/>
      <c r="E12" s="7">
        <v>5</v>
      </c>
      <c r="F12" s="24">
        <v>3.75</v>
      </c>
      <c r="G12" s="28">
        <f t="shared" si="0"/>
        <v>0.75</v>
      </c>
      <c r="H12" s="29" t="str">
        <f t="shared" si="1"/>
        <v>جيد</v>
      </c>
      <c r="I12" s="41"/>
      <c r="J12" s="42"/>
    </row>
    <row r="13" spans="1:10" ht="30" customHeight="1" thickBot="1" x14ac:dyDescent="0.35">
      <c r="A13" s="8"/>
      <c r="B13" s="38" t="s">
        <v>186</v>
      </c>
      <c r="C13" s="39"/>
      <c r="D13" s="39"/>
      <c r="E13" s="30">
        <v>5</v>
      </c>
      <c r="F13" s="25">
        <v>4</v>
      </c>
      <c r="G13" s="31">
        <f t="shared" si="0"/>
        <v>0.8</v>
      </c>
      <c r="H13" s="32" t="str">
        <f t="shared" si="1"/>
        <v>جيد جداً</v>
      </c>
      <c r="I13" s="70"/>
      <c r="J13" s="71"/>
    </row>
    <row r="14" spans="1:10" ht="30" customHeight="1" x14ac:dyDescent="0.3">
      <c r="A14" s="8"/>
      <c r="B14" s="43" t="s">
        <v>187</v>
      </c>
      <c r="C14" s="44"/>
      <c r="D14" s="44"/>
      <c r="E14" s="44"/>
      <c r="F14" s="44"/>
      <c r="G14" s="44"/>
      <c r="H14" s="44"/>
      <c r="I14" s="44"/>
      <c r="J14" s="45"/>
    </row>
    <row r="15" spans="1:10" ht="30" customHeight="1" x14ac:dyDescent="0.3">
      <c r="A15" s="8"/>
      <c r="B15" s="33" t="s">
        <v>188</v>
      </c>
      <c r="C15" s="34"/>
      <c r="D15" s="34"/>
      <c r="E15" s="7">
        <v>5</v>
      </c>
      <c r="F15" s="24">
        <v>3.75</v>
      </c>
      <c r="G15" s="28">
        <f t="shared" si="0"/>
        <v>0.75</v>
      </c>
      <c r="H15" s="29" t="str">
        <f t="shared" si="1"/>
        <v>جيد</v>
      </c>
      <c r="I15" s="41"/>
      <c r="J15" s="42"/>
    </row>
    <row r="16" spans="1:10" ht="30" customHeight="1" x14ac:dyDescent="0.3">
      <c r="A16" s="8"/>
      <c r="B16" s="33" t="s">
        <v>189</v>
      </c>
      <c r="C16" s="34"/>
      <c r="D16" s="34"/>
      <c r="E16" s="7">
        <v>5</v>
      </c>
      <c r="F16" s="24">
        <v>3.75</v>
      </c>
      <c r="G16" s="28">
        <f t="shared" si="0"/>
        <v>0.75</v>
      </c>
      <c r="H16" s="29" t="str">
        <f t="shared" si="1"/>
        <v>جيد</v>
      </c>
      <c r="I16" s="41"/>
      <c r="J16" s="42"/>
    </row>
    <row r="17" spans="1:10" ht="30" customHeight="1" x14ac:dyDescent="0.3">
      <c r="A17" s="8"/>
      <c r="B17" s="33" t="s">
        <v>190</v>
      </c>
      <c r="C17" s="34"/>
      <c r="D17" s="34"/>
      <c r="E17" s="7">
        <v>5</v>
      </c>
      <c r="F17" s="24">
        <v>3.5</v>
      </c>
      <c r="G17" s="28">
        <f t="shared" si="0"/>
        <v>0.7</v>
      </c>
      <c r="H17" s="29" t="str">
        <f t="shared" si="1"/>
        <v>جيد</v>
      </c>
      <c r="I17" s="41"/>
      <c r="J17" s="42"/>
    </row>
    <row r="18" spans="1:10" ht="30" customHeight="1" x14ac:dyDescent="0.3">
      <c r="A18" s="8"/>
      <c r="B18" s="33" t="s">
        <v>191</v>
      </c>
      <c r="C18" s="34"/>
      <c r="D18" s="34"/>
      <c r="E18" s="7">
        <v>5</v>
      </c>
      <c r="F18" s="24">
        <v>3.75</v>
      </c>
      <c r="G18" s="28">
        <f t="shared" si="0"/>
        <v>0.75</v>
      </c>
      <c r="H18" s="29" t="str">
        <f t="shared" si="1"/>
        <v>جيد</v>
      </c>
      <c r="I18" s="41"/>
      <c r="J18" s="42"/>
    </row>
    <row r="19" spans="1:10" ht="30" customHeight="1" thickBot="1" x14ac:dyDescent="0.35">
      <c r="A19" s="8"/>
      <c r="B19" s="38" t="s">
        <v>192</v>
      </c>
      <c r="C19" s="39"/>
      <c r="D19" s="39"/>
      <c r="E19" s="30">
        <v>5</v>
      </c>
      <c r="F19" s="25">
        <v>3.75</v>
      </c>
      <c r="G19" s="31">
        <f t="shared" si="0"/>
        <v>0.75</v>
      </c>
      <c r="H19" s="32" t="str">
        <f t="shared" si="1"/>
        <v>جيد</v>
      </c>
      <c r="I19" s="70"/>
      <c r="J19" s="71"/>
    </row>
    <row r="20" spans="1:10" ht="30" customHeight="1" x14ac:dyDescent="0.3">
      <c r="A20" s="8"/>
      <c r="B20" s="43" t="s">
        <v>193</v>
      </c>
      <c r="C20" s="44"/>
      <c r="D20" s="44"/>
      <c r="E20" s="44"/>
      <c r="F20" s="44"/>
      <c r="G20" s="44"/>
      <c r="H20" s="44"/>
      <c r="I20" s="44"/>
      <c r="J20" s="45"/>
    </row>
    <row r="21" spans="1:10" ht="30" customHeight="1" x14ac:dyDescent="0.3">
      <c r="A21" s="8"/>
      <c r="B21" s="33" t="s">
        <v>194</v>
      </c>
      <c r="C21" s="34"/>
      <c r="D21" s="34"/>
      <c r="E21" s="7">
        <v>5</v>
      </c>
      <c r="F21" s="24">
        <v>3.5</v>
      </c>
      <c r="G21" s="28">
        <f t="shared" si="0"/>
        <v>0.7</v>
      </c>
      <c r="H21" s="29" t="str">
        <f t="shared" si="1"/>
        <v>جيد</v>
      </c>
      <c r="I21" s="41"/>
      <c r="J21" s="42"/>
    </row>
    <row r="22" spans="1:10" ht="30" customHeight="1" x14ac:dyDescent="0.3">
      <c r="A22" s="8"/>
      <c r="B22" s="33" t="s">
        <v>195</v>
      </c>
      <c r="C22" s="34"/>
      <c r="D22" s="34"/>
      <c r="E22" s="7">
        <v>5</v>
      </c>
      <c r="F22" s="24">
        <v>4</v>
      </c>
      <c r="G22" s="28">
        <f t="shared" si="0"/>
        <v>0.8</v>
      </c>
      <c r="H22" s="29" t="str">
        <f t="shared" si="1"/>
        <v>جيد جداً</v>
      </c>
      <c r="I22" s="41"/>
      <c r="J22" s="42"/>
    </row>
    <row r="23" spans="1:10" ht="30" customHeight="1" x14ac:dyDescent="0.3">
      <c r="A23" s="8"/>
      <c r="B23" s="33" t="s">
        <v>196</v>
      </c>
      <c r="C23" s="34"/>
      <c r="D23" s="34"/>
      <c r="E23" s="7">
        <v>5</v>
      </c>
      <c r="F23" s="24">
        <v>4</v>
      </c>
      <c r="G23" s="28">
        <f t="shared" si="0"/>
        <v>0.8</v>
      </c>
      <c r="H23" s="29" t="str">
        <f t="shared" si="1"/>
        <v>جيد جداً</v>
      </c>
      <c r="I23" s="41"/>
      <c r="J23" s="42"/>
    </row>
    <row r="24" spans="1:10" ht="30" customHeight="1" x14ac:dyDescent="0.3">
      <c r="A24" s="8"/>
      <c r="B24" s="33" t="s">
        <v>197</v>
      </c>
      <c r="C24" s="34"/>
      <c r="D24" s="34"/>
      <c r="E24" s="7">
        <v>5</v>
      </c>
      <c r="F24" s="24">
        <v>3.75</v>
      </c>
      <c r="G24" s="28">
        <f t="shared" si="0"/>
        <v>0.75</v>
      </c>
      <c r="H24" s="29" t="str">
        <f t="shared" si="1"/>
        <v>جيد</v>
      </c>
      <c r="I24" s="41"/>
      <c r="J24" s="42"/>
    </row>
    <row r="25" spans="1:10" ht="30" customHeight="1" x14ac:dyDescent="0.3">
      <c r="A25" s="8"/>
      <c r="B25" s="33" t="s">
        <v>198</v>
      </c>
      <c r="C25" s="34"/>
      <c r="D25" s="34"/>
      <c r="E25" s="7">
        <v>5</v>
      </c>
      <c r="F25" s="24">
        <v>3.75</v>
      </c>
      <c r="G25" s="28">
        <f t="shared" si="0"/>
        <v>0.75</v>
      </c>
      <c r="H25" s="29" t="str">
        <f t="shared" si="1"/>
        <v>جيد</v>
      </c>
      <c r="I25" s="41"/>
      <c r="J25" s="42"/>
    </row>
    <row r="26" spans="1:10" ht="30" customHeight="1" thickBot="1" x14ac:dyDescent="0.35">
      <c r="A26" s="8"/>
      <c r="B26" s="38" t="s">
        <v>199</v>
      </c>
      <c r="C26" s="39"/>
      <c r="D26" s="39"/>
      <c r="E26" s="30">
        <v>5</v>
      </c>
      <c r="F26" s="25">
        <v>3.75</v>
      </c>
      <c r="G26" s="31">
        <f t="shared" si="0"/>
        <v>0.75</v>
      </c>
      <c r="H26" s="32" t="str">
        <f t="shared" si="1"/>
        <v>جيد</v>
      </c>
      <c r="I26" s="70"/>
      <c r="J26" s="71"/>
    </row>
    <row r="27" spans="1:10" ht="30" customHeight="1" thickBot="1" x14ac:dyDescent="0.35">
      <c r="A27" s="4"/>
      <c r="B27" s="68" t="s">
        <v>5</v>
      </c>
      <c r="C27" s="69"/>
      <c r="D27" s="69"/>
      <c r="E27" s="27">
        <f>SUM(E8:E26)</f>
        <v>80</v>
      </c>
      <c r="F27" s="27">
        <f>SUM(F8:F26)</f>
        <v>59.75</v>
      </c>
      <c r="G27" s="62"/>
      <c r="H27" s="63"/>
      <c r="I27" s="63"/>
      <c r="J27" s="64"/>
    </row>
    <row r="28" spans="1:10" ht="30" customHeight="1" thickBot="1" x14ac:dyDescent="0.35">
      <c r="A28" s="4"/>
      <c r="B28" s="75" t="s">
        <v>54</v>
      </c>
      <c r="C28" s="76"/>
      <c r="D28" s="76"/>
      <c r="E28" s="65">
        <f>F27/E27/100*100</f>
        <v>0.74687499999999996</v>
      </c>
      <c r="F28" s="65"/>
      <c r="G28" s="65"/>
      <c r="H28" s="65"/>
      <c r="I28" s="65"/>
      <c r="J28" s="66"/>
    </row>
    <row r="29" spans="1:10" ht="30" customHeight="1" thickBot="1" x14ac:dyDescent="0.35">
      <c r="A29" s="4"/>
      <c r="B29" s="75" t="s">
        <v>55</v>
      </c>
      <c r="C29" s="76"/>
      <c r="D29" s="76"/>
      <c r="E29" s="73" t="str">
        <f>_xlfn.IFS(E28&gt;=90%,"ممتاز",E28&gt;=80%,"جيد جداً",E28&gt;=70%,"جيد",E28&gt;=60%,"مقبول",E28&lt;60%,"راسب")</f>
        <v>جيد</v>
      </c>
      <c r="F29" s="73"/>
      <c r="G29" s="73"/>
      <c r="H29" s="73"/>
      <c r="I29" s="73"/>
      <c r="J29" s="74"/>
    </row>
    <row r="30" spans="1:10" ht="42" customHeight="1" x14ac:dyDescent="0.3">
      <c r="B30" s="35" t="s">
        <v>174</v>
      </c>
      <c r="C30" s="35"/>
      <c r="D30" s="35"/>
      <c r="E30" s="40" t="s">
        <v>52</v>
      </c>
      <c r="F30" s="40"/>
      <c r="G30" s="37" t="s">
        <v>120</v>
      </c>
      <c r="H30" s="37"/>
      <c r="I30" s="37"/>
      <c r="J30" s="37"/>
    </row>
    <row r="31" spans="1:10" ht="51" customHeight="1" x14ac:dyDescent="0.3">
      <c r="A31" s="5"/>
      <c r="B31" s="36"/>
      <c r="C31" s="36"/>
      <c r="D31" s="36"/>
      <c r="E31" s="61" t="s">
        <v>53</v>
      </c>
      <c r="F31" s="61"/>
      <c r="G31" s="72"/>
      <c r="H31" s="72"/>
      <c r="I31" s="72"/>
      <c r="J31" s="72"/>
    </row>
  </sheetData>
  <sheetProtection formatCells="0" formatColumns="0" formatRows="0" insertColumns="0" insertRows="0" insertHyperlinks="0" deleteColumns="0" deleteRows="0" selectLockedCells="1" sort="0" autoFilter="0" pivotTables="0"/>
  <mergeCells count="58">
    <mergeCell ref="I17:J17"/>
    <mergeCell ref="I18:J18"/>
    <mergeCell ref="I19:J19"/>
    <mergeCell ref="I11:J11"/>
    <mergeCell ref="I12:J12"/>
    <mergeCell ref="I13:J13"/>
    <mergeCell ref="I15:J15"/>
    <mergeCell ref="I16:J16"/>
    <mergeCell ref="B27:D27"/>
    <mergeCell ref="I26:J26"/>
    <mergeCell ref="G31:J31"/>
    <mergeCell ref="E29:J29"/>
    <mergeCell ref="B28:D28"/>
    <mergeCell ref="B29:D29"/>
    <mergeCell ref="I21:J21"/>
    <mergeCell ref="I22:J22"/>
    <mergeCell ref="I23:J23"/>
    <mergeCell ref="I24:J24"/>
    <mergeCell ref="E31:F31"/>
    <mergeCell ref="G27:J27"/>
    <mergeCell ref="E28:J28"/>
    <mergeCell ref="B1:J1"/>
    <mergeCell ref="F2:J2"/>
    <mergeCell ref="B5:D6"/>
    <mergeCell ref="C2:D2"/>
    <mergeCell ref="C3:D3"/>
    <mergeCell ref="F3:J3"/>
    <mergeCell ref="F4:J4"/>
    <mergeCell ref="C4:D4"/>
    <mergeCell ref="B7:D7"/>
    <mergeCell ref="E5:H5"/>
    <mergeCell ref="I5:J6"/>
    <mergeCell ref="I7:J7"/>
    <mergeCell ref="I10:J10"/>
    <mergeCell ref="I9:J9"/>
    <mergeCell ref="B8:J8"/>
    <mergeCell ref="B30:D31"/>
    <mergeCell ref="G30:J30"/>
    <mergeCell ref="B13:D13"/>
    <mergeCell ref="B15:D15"/>
    <mergeCell ref="B16:D16"/>
    <mergeCell ref="E30:F30"/>
    <mergeCell ref="I25:J25"/>
    <mergeCell ref="B26:D26"/>
    <mergeCell ref="B20:J20"/>
    <mergeCell ref="B14:J14"/>
    <mergeCell ref="B17:D17"/>
    <mergeCell ref="B18:D18"/>
    <mergeCell ref="B19:D19"/>
    <mergeCell ref="B21:D21"/>
    <mergeCell ref="B22:D22"/>
    <mergeCell ref="B23:D23"/>
    <mergeCell ref="B24:D24"/>
    <mergeCell ref="B25:D25"/>
    <mergeCell ref="B9:D9"/>
    <mergeCell ref="B10:D10"/>
    <mergeCell ref="B11:D11"/>
    <mergeCell ref="B12:D12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9">
    <cfRule type="expression" dxfId="21" priority="57">
      <formula>$E29="راسب"</formula>
    </cfRule>
  </conditionalFormatting>
  <conditionalFormatting sqref="E29:J29">
    <cfRule type="expression" dxfId="20" priority="60">
      <formula>$E29="جيد جداً"</formula>
    </cfRule>
    <cfRule type="expression" dxfId="19" priority="59">
      <formula>$E29="جيد"</formula>
    </cfRule>
    <cfRule type="expression" dxfId="18" priority="58">
      <formula>$E29="مقبول"</formula>
    </cfRule>
    <cfRule type="expression" dxfId="17" priority="61">
      <formula>$E29="ممتاز"</formula>
    </cfRule>
  </conditionalFormatting>
  <conditionalFormatting sqref="F9:F13">
    <cfRule type="containsText" dxfId="16" priority="4" operator="containsText" text="أدخل العلامة">
      <formula>NOT(ISERROR(SEARCH("أدخل العلامة",F9)))</formula>
    </cfRule>
  </conditionalFormatting>
  <conditionalFormatting sqref="F15:F19 F21:F26">
    <cfRule type="containsText" dxfId="15" priority="14" operator="containsText" text="أدخل العلامة">
      <formula>NOT(ISERROR(SEARCH("أدخل العلامة",F15)))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30:J30">
    <cfRule type="containsText" dxfId="12" priority="15" operator="containsText" text="أدخل اسم المحكم">
      <formula>NOT(ISERROR(SEARCH("أدخل اسم المحكم",G30)))</formula>
    </cfRule>
  </conditionalFormatting>
  <conditionalFormatting sqref="H9:H13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5:H19 H21:H26">
    <cfRule type="containsText" dxfId="5" priority="38" operator="containsText" text="أدخل العلامة">
      <formula>NOT(ISERROR(SEARCH("أدخل العلامة",H15)))</formula>
    </cfRule>
    <cfRule type="containsText" dxfId="4" priority="39" operator="containsText" text="ممتاز">
      <formula>NOT(ISERROR(SEARCH("ممتاز",H15)))</formula>
    </cfRule>
    <cfRule type="containsText" dxfId="3" priority="40" operator="containsText" text="جيد جداً">
      <formula>NOT(ISERROR(SEARCH("جيد جداً",H15)))</formula>
    </cfRule>
    <cfRule type="containsText" dxfId="2" priority="41" operator="containsText" text="جيد">
      <formula>NOT(ISERROR(SEARCH("جيد",H15)))</formula>
    </cfRule>
    <cfRule type="containsText" dxfId="1" priority="42" operator="containsText" text="مقبول">
      <formula>NOT(ISERROR(SEARCH("مقبول",H15)))</formula>
    </cfRule>
    <cfRule type="containsText" dxfId="0" priority="43" operator="containsText" text="راسب">
      <formula>NOT(ISERROR(SEARCH("راسب",H15)))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F21:F26 F15:F19 F9:F13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G30:J30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7" t="s">
        <v>62</v>
      </c>
    </row>
    <row r="3" spans="1:3" ht="20.100000000000001" customHeight="1" thickBot="1" x14ac:dyDescent="0.35">
      <c r="A3" s="2" t="s">
        <v>26</v>
      </c>
      <c r="C3" s="17" t="s">
        <v>63</v>
      </c>
    </row>
    <row r="4" spans="1:3" ht="20.100000000000001" customHeight="1" thickBot="1" x14ac:dyDescent="0.35">
      <c r="A4" s="2" t="s">
        <v>36</v>
      </c>
      <c r="C4" s="17" t="s">
        <v>64</v>
      </c>
    </row>
    <row r="5" spans="1:3" ht="20.100000000000001" customHeight="1" thickBot="1" x14ac:dyDescent="0.35">
      <c r="A5" s="2" t="s">
        <v>37</v>
      </c>
      <c r="C5" s="17" t="s">
        <v>65</v>
      </c>
    </row>
    <row r="6" spans="1:3" ht="20.100000000000001" customHeight="1" thickBot="1" x14ac:dyDescent="0.35">
      <c r="A6" s="2" t="s">
        <v>38</v>
      </c>
      <c r="C6" s="17" t="s">
        <v>66</v>
      </c>
    </row>
    <row r="7" spans="1:3" ht="20.100000000000001" customHeight="1" thickBot="1" x14ac:dyDescent="0.35">
      <c r="A7" s="2" t="s">
        <v>39</v>
      </c>
      <c r="C7" s="17" t="s">
        <v>67</v>
      </c>
    </row>
    <row r="8" spans="1:3" ht="20.100000000000001" customHeight="1" thickBot="1" x14ac:dyDescent="0.35">
      <c r="A8" s="2" t="s">
        <v>40</v>
      </c>
      <c r="C8" s="17" t="s">
        <v>68</v>
      </c>
    </row>
    <row r="9" spans="1:3" ht="20.100000000000001" customHeight="1" thickBot="1" x14ac:dyDescent="0.35">
      <c r="A9" s="2" t="s">
        <v>41</v>
      </c>
      <c r="C9" s="17" t="s">
        <v>69</v>
      </c>
    </row>
    <row r="10" spans="1:3" ht="20.100000000000001" customHeight="1" thickBot="1" x14ac:dyDescent="0.35">
      <c r="A10" s="2" t="s">
        <v>42</v>
      </c>
      <c r="C10" s="17" t="s">
        <v>70</v>
      </c>
    </row>
    <row r="11" spans="1:3" ht="20.100000000000001" customHeight="1" thickBot="1" x14ac:dyDescent="0.35">
      <c r="A11" s="2" t="s">
        <v>43</v>
      </c>
      <c r="C11" s="17" t="s">
        <v>71</v>
      </c>
    </row>
    <row r="12" spans="1:3" ht="20.100000000000001" customHeight="1" thickBot="1" x14ac:dyDescent="0.35">
      <c r="A12" s="2" t="s">
        <v>44</v>
      </c>
      <c r="C12" s="17" t="s">
        <v>72</v>
      </c>
    </row>
    <row r="13" spans="1:3" ht="20.100000000000001" customHeight="1" thickBot="1" x14ac:dyDescent="0.35">
      <c r="A13" s="2" t="s">
        <v>45</v>
      </c>
      <c r="C13" s="17" t="s">
        <v>73</v>
      </c>
    </row>
    <row r="14" spans="1:3" ht="20.100000000000001" customHeight="1" thickBot="1" x14ac:dyDescent="0.35">
      <c r="A14" s="2" t="s">
        <v>46</v>
      </c>
      <c r="C14" s="17" t="s">
        <v>74</v>
      </c>
    </row>
    <row r="15" spans="1:3" ht="20.100000000000001" customHeight="1" thickBot="1" x14ac:dyDescent="0.35">
      <c r="A15" s="2" t="s">
        <v>47</v>
      </c>
      <c r="C15" s="17" t="s">
        <v>75</v>
      </c>
    </row>
    <row r="16" spans="1:3" ht="20.100000000000001" customHeight="1" thickBot="1" x14ac:dyDescent="0.35">
      <c r="A16" s="2" t="s">
        <v>10</v>
      </c>
      <c r="C16" s="17" t="s">
        <v>76</v>
      </c>
    </row>
    <row r="17" spans="1:3" ht="20.100000000000001" customHeight="1" thickBot="1" x14ac:dyDescent="0.35">
      <c r="A17" s="2" t="s">
        <v>27</v>
      </c>
      <c r="C17" s="17" t="s">
        <v>77</v>
      </c>
    </row>
    <row r="18" spans="1:3" ht="20.100000000000001" customHeight="1" thickBot="1" x14ac:dyDescent="0.35">
      <c r="A18" s="2" t="s">
        <v>48</v>
      </c>
      <c r="C18" s="17" t="s">
        <v>78</v>
      </c>
    </row>
    <row r="19" spans="1:3" ht="20.100000000000001" customHeight="1" thickBot="1" x14ac:dyDescent="0.35">
      <c r="A19" s="2" t="s">
        <v>49</v>
      </c>
      <c r="C19" s="17" t="s">
        <v>79</v>
      </c>
    </row>
    <row r="20" spans="1:3" ht="20.100000000000001" customHeight="1" thickBot="1" x14ac:dyDescent="0.35">
      <c r="A20" s="2" t="s">
        <v>50</v>
      </c>
      <c r="C20" s="17" t="s">
        <v>80</v>
      </c>
    </row>
    <row r="21" spans="1:3" ht="20.100000000000001" customHeight="1" thickBot="1" x14ac:dyDescent="0.35">
      <c r="A21" s="2" t="s">
        <v>51</v>
      </c>
      <c r="C21" s="17" t="s">
        <v>81</v>
      </c>
    </row>
    <row r="22" spans="1:3" ht="20.100000000000001" customHeight="1" thickBot="1" x14ac:dyDescent="0.35">
      <c r="A22" s="2" t="s">
        <v>11</v>
      </c>
      <c r="C22" s="17" t="s">
        <v>82</v>
      </c>
    </row>
    <row r="23" spans="1:3" ht="20.100000000000001" customHeight="1" thickBot="1" x14ac:dyDescent="0.35">
      <c r="A23" s="2" t="s">
        <v>12</v>
      </c>
      <c r="C23" s="17" t="s">
        <v>83</v>
      </c>
    </row>
    <row r="24" spans="1:3" ht="20.100000000000001" customHeight="1" thickBot="1" x14ac:dyDescent="0.35">
      <c r="A24" s="2" t="s">
        <v>15</v>
      </c>
      <c r="C24" s="17" t="s">
        <v>84</v>
      </c>
    </row>
    <row r="25" spans="1:3" ht="20.100000000000001" customHeight="1" thickBot="1" x14ac:dyDescent="0.35">
      <c r="A25" s="2" t="s">
        <v>28</v>
      </c>
      <c r="C25" s="17" t="s">
        <v>85</v>
      </c>
    </row>
    <row r="26" spans="1:3" ht="20.100000000000001" customHeight="1" thickBot="1" x14ac:dyDescent="0.35">
      <c r="A26" s="2" t="s">
        <v>29</v>
      </c>
      <c r="C26" s="17" t="s">
        <v>86</v>
      </c>
    </row>
    <row r="27" spans="1:3" ht="20.100000000000001" customHeight="1" thickBot="1" x14ac:dyDescent="0.35">
      <c r="A27" s="2" t="s">
        <v>13</v>
      </c>
      <c r="C27" s="17" t="s">
        <v>87</v>
      </c>
    </row>
    <row r="28" spans="1:3" ht="20.100000000000001" customHeight="1" thickBot="1" x14ac:dyDescent="0.35">
      <c r="A28" s="2" t="s">
        <v>30</v>
      </c>
      <c r="C28" s="17" t="s">
        <v>88</v>
      </c>
    </row>
    <row r="29" spans="1:3" ht="20.100000000000001" customHeight="1" thickBot="1" x14ac:dyDescent="0.35">
      <c r="A29" s="2" t="s">
        <v>31</v>
      </c>
      <c r="C29" s="17" t="s">
        <v>177</v>
      </c>
    </row>
    <row r="30" spans="1:3" ht="20.100000000000001" customHeight="1" thickBot="1" x14ac:dyDescent="0.35">
      <c r="A30" s="2" t="s">
        <v>32</v>
      </c>
      <c r="C30" s="17" t="s">
        <v>178</v>
      </c>
    </row>
    <row r="31" spans="1:3" ht="20.100000000000001" customHeight="1" thickBot="1" x14ac:dyDescent="0.35">
      <c r="A31" s="2" t="s">
        <v>33</v>
      </c>
      <c r="C31" s="17" t="s">
        <v>179</v>
      </c>
    </row>
    <row r="32" spans="1:3" ht="20.100000000000001" customHeight="1" thickBot="1" x14ac:dyDescent="0.35">
      <c r="A32" s="2" t="s">
        <v>16</v>
      </c>
      <c r="C32" s="17"/>
    </row>
    <row r="33" spans="1:9" ht="20.100000000000001" customHeight="1" thickBot="1" x14ac:dyDescent="0.35">
      <c r="A33" s="2" t="s">
        <v>14</v>
      </c>
      <c r="C33" s="17"/>
    </row>
    <row r="34" spans="1:9" ht="20.100000000000001" customHeight="1" thickBot="1" x14ac:dyDescent="0.35">
      <c r="A34" s="2" t="s">
        <v>34</v>
      </c>
      <c r="C34" s="17"/>
    </row>
    <row r="35" spans="1:9" ht="20.100000000000001" customHeight="1" x14ac:dyDescent="0.3">
      <c r="A35" s="16"/>
    </row>
    <row r="36" spans="1:9" s="15" customFormat="1" ht="20.100000000000001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1">
        <v>45931</v>
      </c>
    </row>
    <row r="40" spans="1:9" ht="20.100000000000001" customHeight="1" thickBot="1" x14ac:dyDescent="0.35">
      <c r="A40" s="11">
        <v>45932</v>
      </c>
    </row>
    <row r="41" spans="1:9" ht="20.100000000000001" customHeight="1" thickBot="1" x14ac:dyDescent="0.35">
      <c r="A41" s="11">
        <v>45933</v>
      </c>
    </row>
    <row r="42" spans="1:9" ht="20.100000000000001" customHeight="1" thickBot="1" x14ac:dyDescent="0.35">
      <c r="A42" s="11">
        <v>45934</v>
      </c>
    </row>
    <row r="43" spans="1:9" ht="20.100000000000001" customHeight="1" thickBot="1" x14ac:dyDescent="0.35">
      <c r="A43" s="11">
        <v>45935</v>
      </c>
    </row>
    <row r="44" spans="1:9" ht="20.100000000000001" customHeight="1" thickBot="1" x14ac:dyDescent="0.35">
      <c r="A44" s="11">
        <v>45936</v>
      </c>
    </row>
    <row r="45" spans="1:9" ht="20.100000000000001" customHeight="1" thickBot="1" x14ac:dyDescent="0.35">
      <c r="A45" s="11">
        <v>45937</v>
      </c>
    </row>
    <row r="46" spans="1:9" ht="20.100000000000001" customHeight="1" thickBot="1" x14ac:dyDescent="0.35">
      <c r="A46" s="11">
        <v>45938</v>
      </c>
    </row>
    <row r="47" spans="1:9" ht="20.100000000000001" customHeight="1" thickBot="1" x14ac:dyDescent="0.35">
      <c r="A47" s="11">
        <v>45939</v>
      </c>
    </row>
    <row r="48" spans="1:9" ht="20.100000000000001" customHeight="1" thickBot="1" x14ac:dyDescent="0.35">
      <c r="A48" s="11">
        <v>45940</v>
      </c>
    </row>
    <row r="49" spans="1:1" ht="20.100000000000001" customHeight="1" thickBot="1" x14ac:dyDescent="0.35">
      <c r="A49" s="11">
        <v>45941</v>
      </c>
    </row>
    <row r="50" spans="1:1" ht="20.100000000000001" customHeight="1" thickBot="1" x14ac:dyDescent="0.35">
      <c r="A50" s="11">
        <v>45942</v>
      </c>
    </row>
    <row r="51" spans="1:1" ht="20.100000000000001" customHeight="1" thickBot="1" x14ac:dyDescent="0.35">
      <c r="A51" s="11">
        <v>45943</v>
      </c>
    </row>
    <row r="52" spans="1:1" ht="20.100000000000001" customHeight="1" thickBot="1" x14ac:dyDescent="0.35">
      <c r="A52" s="11">
        <v>45944</v>
      </c>
    </row>
    <row r="53" spans="1:1" ht="20.100000000000001" customHeight="1" thickBot="1" x14ac:dyDescent="0.35">
      <c r="A53" s="11">
        <v>45945</v>
      </c>
    </row>
    <row r="54" spans="1:1" ht="20.100000000000001" customHeight="1" thickBot="1" x14ac:dyDescent="0.35">
      <c r="A54" s="11">
        <v>45946</v>
      </c>
    </row>
    <row r="55" spans="1:1" ht="20.100000000000001" customHeight="1" thickBot="1" x14ac:dyDescent="0.35">
      <c r="A55" s="11">
        <v>45947</v>
      </c>
    </row>
    <row r="56" spans="1:1" ht="20.100000000000001" customHeight="1" thickBot="1" x14ac:dyDescent="0.35">
      <c r="A56" s="11">
        <v>45948</v>
      </c>
    </row>
    <row r="57" spans="1:1" ht="20.100000000000001" customHeight="1" thickBot="1" x14ac:dyDescent="0.35">
      <c r="A57" s="11">
        <v>45949</v>
      </c>
    </row>
    <row r="58" spans="1:1" ht="20.100000000000001" customHeight="1" thickBot="1" x14ac:dyDescent="0.35">
      <c r="A58" s="11">
        <v>45950</v>
      </c>
    </row>
    <row r="59" spans="1:1" ht="20.100000000000001" customHeight="1" thickBot="1" x14ac:dyDescent="0.35">
      <c r="A59" s="11">
        <v>45951</v>
      </c>
    </row>
    <row r="60" spans="1:1" ht="20.100000000000001" customHeight="1" thickBot="1" x14ac:dyDescent="0.35">
      <c r="A60" s="11">
        <v>45952</v>
      </c>
    </row>
    <row r="61" spans="1:1" ht="20.100000000000001" customHeight="1" thickBot="1" x14ac:dyDescent="0.35">
      <c r="A61" s="11">
        <v>45953</v>
      </c>
    </row>
    <row r="62" spans="1:1" ht="20.100000000000001" customHeight="1" thickBot="1" x14ac:dyDescent="0.35">
      <c r="A62" s="11">
        <v>45954</v>
      </c>
    </row>
    <row r="63" spans="1:1" ht="20.100000000000001" customHeight="1" thickBot="1" x14ac:dyDescent="0.35">
      <c r="A63" s="11">
        <v>45955</v>
      </c>
    </row>
    <row r="64" spans="1:1" ht="20.100000000000001" customHeight="1" thickBot="1" x14ac:dyDescent="0.35">
      <c r="A64" s="11">
        <v>45956</v>
      </c>
    </row>
    <row r="65" spans="1:1" ht="20.100000000000001" customHeight="1" thickBot="1" x14ac:dyDescent="0.35">
      <c r="A65" s="11">
        <v>45957</v>
      </c>
    </row>
    <row r="66" spans="1:1" ht="20.100000000000001" customHeight="1" thickBot="1" x14ac:dyDescent="0.35">
      <c r="A66" s="11">
        <v>45958</v>
      </c>
    </row>
    <row r="67" spans="1:1" ht="20.100000000000001" customHeight="1" thickBot="1" x14ac:dyDescent="0.35">
      <c r="A67" s="11">
        <v>45959</v>
      </c>
    </row>
    <row r="68" spans="1:1" ht="20.100000000000001" customHeight="1" thickBot="1" x14ac:dyDescent="0.35">
      <c r="A68" s="11">
        <v>45960</v>
      </c>
    </row>
    <row r="69" spans="1:1" ht="20.100000000000001" customHeight="1" thickBot="1" x14ac:dyDescent="0.35">
      <c r="A69" s="11">
        <v>45961</v>
      </c>
    </row>
    <row r="70" spans="1:1" ht="20.100000000000001" customHeight="1" thickBot="1" x14ac:dyDescent="0.35">
      <c r="A70" s="11"/>
    </row>
    <row r="71" spans="1:1" ht="20.100000000000001" customHeight="1" thickBot="1" x14ac:dyDescent="0.35">
      <c r="A71" s="11"/>
    </row>
    <row r="72" spans="1:1" ht="20.100000000000001" customHeight="1" thickBot="1" x14ac:dyDescent="0.35">
      <c r="A72" s="11"/>
    </row>
    <row r="73" spans="1:1" ht="20.100000000000001" customHeight="1" thickBot="1" x14ac:dyDescent="0.35">
      <c r="A73" s="11"/>
    </row>
    <row r="74" spans="1:1" ht="20.100000000000001" customHeight="1" thickBot="1" x14ac:dyDescent="0.35">
      <c r="A74" s="11"/>
    </row>
    <row r="75" spans="1:1" ht="20.100000000000001" customHeight="1" thickBot="1" x14ac:dyDescent="0.35">
      <c r="A75" s="11"/>
    </row>
    <row r="76" spans="1:1" ht="20.100000000000001" customHeight="1" thickBot="1" x14ac:dyDescent="0.35">
      <c r="A76" s="11"/>
    </row>
    <row r="77" spans="1:1" ht="20.100000000000001" customHeight="1" thickBot="1" x14ac:dyDescent="0.35">
      <c r="A77" s="11"/>
    </row>
    <row r="78" spans="1:1" ht="20.100000000000001" customHeight="1" thickBot="1" x14ac:dyDescent="0.35">
      <c r="A78" s="11"/>
    </row>
    <row r="79" spans="1:1" ht="20.100000000000001" customHeight="1" thickBot="1" x14ac:dyDescent="0.35">
      <c r="A79" s="11"/>
    </row>
    <row r="80" spans="1:1" ht="20.100000000000001" customHeight="1" thickBot="1" x14ac:dyDescent="0.35">
      <c r="A80" s="11"/>
    </row>
    <row r="81" spans="1:1" ht="20.100000000000001" customHeight="1" thickBot="1" x14ac:dyDescent="0.35">
      <c r="A81" s="11"/>
    </row>
    <row r="82" spans="1:1" ht="20.100000000000001" customHeight="1" thickBot="1" x14ac:dyDescent="0.35">
      <c r="A82" s="11"/>
    </row>
    <row r="83" spans="1:1" ht="20.100000000000001" customHeight="1" thickBot="1" x14ac:dyDescent="0.35">
      <c r="A83" s="11"/>
    </row>
    <row r="84" spans="1:1" ht="20.100000000000001" customHeight="1" thickBot="1" x14ac:dyDescent="0.35">
      <c r="A84" s="11"/>
    </row>
    <row r="85" spans="1:1" ht="20.100000000000001" customHeight="1" thickBot="1" x14ac:dyDescent="0.35">
      <c r="A85" s="11"/>
    </row>
    <row r="86" spans="1:1" ht="20.100000000000001" customHeight="1" thickBot="1" x14ac:dyDescent="0.35">
      <c r="A86" s="11"/>
    </row>
    <row r="87" spans="1:1" ht="20.100000000000001" customHeight="1" thickBot="1" x14ac:dyDescent="0.35">
      <c r="A87" s="11"/>
    </row>
    <row r="88" spans="1:1" ht="20.100000000000001" customHeight="1" thickBot="1" x14ac:dyDescent="0.35">
      <c r="A88" s="11"/>
    </row>
    <row r="89" spans="1:1" ht="20.100000000000001" customHeight="1" thickBot="1" x14ac:dyDescent="0.35">
      <c r="A89" s="11"/>
    </row>
    <row r="90" spans="1:1" ht="20.100000000000001" customHeight="1" thickBot="1" x14ac:dyDescent="0.35">
      <c r="A90" s="11"/>
    </row>
    <row r="91" spans="1:1" ht="20.100000000000001" customHeight="1" thickBot="1" x14ac:dyDescent="0.35">
      <c r="A91" s="11"/>
    </row>
    <row r="92" spans="1:1" ht="20.100000000000001" customHeight="1" thickBot="1" x14ac:dyDescent="0.35">
      <c r="A92" s="11"/>
    </row>
    <row r="93" spans="1:1" ht="20.100000000000001" customHeight="1" thickBot="1" x14ac:dyDescent="0.35">
      <c r="A93" s="11"/>
    </row>
    <row r="94" spans="1:1" ht="20.100000000000001" customHeight="1" thickBot="1" x14ac:dyDescent="0.35">
      <c r="A94" s="11"/>
    </row>
    <row r="95" spans="1:1" ht="20.100000000000001" customHeight="1" thickBot="1" x14ac:dyDescent="0.35">
      <c r="A95" s="11"/>
    </row>
    <row r="96" spans="1:1" ht="20.100000000000001" customHeight="1" thickBot="1" x14ac:dyDescent="0.35">
      <c r="A96" s="11"/>
    </row>
    <row r="97" spans="1:9" ht="20.100000000000001" customHeight="1" thickBot="1" x14ac:dyDescent="0.35">
      <c r="A97" s="11"/>
    </row>
    <row r="98" spans="1:9" ht="20.100000000000001" customHeight="1" thickBot="1" x14ac:dyDescent="0.35">
      <c r="A98" s="11"/>
    </row>
    <row r="99" spans="1:9" ht="20.100000000000001" customHeight="1" thickBot="1" x14ac:dyDescent="0.35">
      <c r="A99" s="11"/>
    </row>
    <row r="100" spans="1:9" ht="20.100000000000001" customHeight="1" thickBot="1" x14ac:dyDescent="0.35">
      <c r="A100" s="11"/>
    </row>
    <row r="101" spans="1:9" ht="20.100000000000001" customHeight="1" thickBot="1" x14ac:dyDescent="0.35">
      <c r="A101" s="11"/>
    </row>
    <row r="102" spans="1:9" ht="20.100000000000001" customHeight="1" thickBot="1" x14ac:dyDescent="0.35">
      <c r="A102" s="11"/>
    </row>
    <row r="103" spans="1:9" ht="20.100000000000001" customHeight="1" thickBot="1" x14ac:dyDescent="0.35">
      <c r="A103" s="11"/>
    </row>
    <row r="104" spans="1:9" ht="20.100000000000001" customHeight="1" thickBot="1" x14ac:dyDescent="0.35">
      <c r="A104" s="11"/>
    </row>
    <row r="105" spans="1:9" ht="20.100000000000001" customHeight="1" thickBot="1" x14ac:dyDescent="0.35">
      <c r="A105" s="11"/>
    </row>
    <row r="106" spans="1:9" ht="20.100000000000001" customHeight="1" thickBot="1" x14ac:dyDescent="0.35">
      <c r="A106" s="11"/>
    </row>
    <row r="107" spans="1:9" ht="20.100000000000001" customHeight="1" x14ac:dyDescent="0.3">
      <c r="A107" s="12"/>
    </row>
    <row r="108" spans="1:9" ht="20.100000000000001" customHeight="1" x14ac:dyDescent="0.3">
      <c r="A108" s="12"/>
    </row>
    <row r="109" spans="1:9" s="15" customFormat="1" ht="20.100000000000001" customHeight="1" x14ac:dyDescent="0.3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8" t="s">
        <v>89</v>
      </c>
    </row>
    <row r="200" spans="1:1" ht="20.100000000000001" customHeight="1" x14ac:dyDescent="0.3">
      <c r="A200" s="18" t="s">
        <v>90</v>
      </c>
    </row>
    <row r="201" spans="1:1" ht="20.100000000000001" customHeight="1" x14ac:dyDescent="0.3">
      <c r="A201" s="18" t="s">
        <v>91</v>
      </c>
    </row>
    <row r="202" spans="1:1" ht="20.100000000000001" customHeight="1" x14ac:dyDescent="0.3">
      <c r="A202" s="18" t="s">
        <v>92</v>
      </c>
    </row>
    <row r="203" spans="1:1" ht="20.100000000000001" customHeight="1" x14ac:dyDescent="0.3">
      <c r="A203" s="18" t="s">
        <v>93</v>
      </c>
    </row>
    <row r="204" spans="1:1" ht="20.100000000000001" customHeight="1" x14ac:dyDescent="0.3">
      <c r="A204" s="18" t="s">
        <v>94</v>
      </c>
    </row>
    <row r="205" spans="1:1" ht="20.100000000000001" customHeight="1" x14ac:dyDescent="0.3">
      <c r="A205" s="18" t="s">
        <v>95</v>
      </c>
    </row>
    <row r="206" spans="1:1" ht="20.100000000000001" customHeight="1" x14ac:dyDescent="0.3">
      <c r="A206" s="18" t="s">
        <v>96</v>
      </c>
    </row>
    <row r="207" spans="1:1" ht="20.100000000000001" customHeight="1" x14ac:dyDescent="0.3">
      <c r="A207" s="18" t="s">
        <v>97</v>
      </c>
    </row>
    <row r="208" spans="1:1" ht="20.100000000000001" customHeight="1" x14ac:dyDescent="0.3">
      <c r="A208" s="19" t="s">
        <v>98</v>
      </c>
    </row>
    <row r="209" spans="1:1" ht="20.100000000000001" customHeight="1" x14ac:dyDescent="0.3">
      <c r="A209" s="19" t="s">
        <v>99</v>
      </c>
    </row>
    <row r="210" spans="1:1" ht="20.100000000000001" customHeight="1" x14ac:dyDescent="0.3">
      <c r="A210" s="18" t="s">
        <v>100</v>
      </c>
    </row>
    <row r="211" spans="1:1" ht="20.100000000000001" customHeight="1" x14ac:dyDescent="0.3">
      <c r="A211" s="18" t="s">
        <v>101</v>
      </c>
    </row>
    <row r="212" spans="1:1" ht="20.100000000000001" customHeight="1" x14ac:dyDescent="0.3">
      <c r="A212" s="18" t="s">
        <v>175</v>
      </c>
    </row>
    <row r="213" spans="1:1" ht="20.100000000000001" customHeight="1" x14ac:dyDescent="0.3">
      <c r="A213" s="18" t="s">
        <v>102</v>
      </c>
    </row>
    <row r="214" spans="1:1" ht="20.100000000000001" customHeight="1" x14ac:dyDescent="0.3">
      <c r="A214" s="18" t="s">
        <v>103</v>
      </c>
    </row>
    <row r="215" spans="1:1" ht="20.100000000000001" customHeight="1" x14ac:dyDescent="0.3">
      <c r="A215" s="18" t="s">
        <v>104</v>
      </c>
    </row>
    <row r="216" spans="1:1" ht="20.100000000000001" customHeight="1" x14ac:dyDescent="0.3">
      <c r="A216" s="18" t="s">
        <v>105</v>
      </c>
    </row>
    <row r="217" spans="1:1" ht="20.100000000000001" customHeight="1" x14ac:dyDescent="0.3">
      <c r="A217" s="18" t="s">
        <v>106</v>
      </c>
    </row>
    <row r="218" spans="1:1" ht="20.100000000000001" customHeight="1" x14ac:dyDescent="0.3">
      <c r="A218" s="18" t="s">
        <v>107</v>
      </c>
    </row>
    <row r="219" spans="1:1" ht="20.100000000000001" customHeight="1" x14ac:dyDescent="0.3">
      <c r="A219" s="18" t="s">
        <v>108</v>
      </c>
    </row>
    <row r="220" spans="1:1" ht="20.100000000000001" customHeight="1" x14ac:dyDescent="0.3">
      <c r="A220" s="18" t="s">
        <v>109</v>
      </c>
    </row>
    <row r="221" spans="1:1" ht="20.100000000000001" customHeight="1" x14ac:dyDescent="0.3">
      <c r="A221" s="18" t="s">
        <v>110</v>
      </c>
    </row>
    <row r="222" spans="1:1" ht="20.100000000000001" customHeight="1" x14ac:dyDescent="0.3">
      <c r="A222" s="18" t="s">
        <v>111</v>
      </c>
    </row>
    <row r="223" spans="1:1" ht="20.100000000000001" customHeight="1" x14ac:dyDescent="0.3">
      <c r="A223" s="18" t="s">
        <v>112</v>
      </c>
    </row>
    <row r="224" spans="1:1" ht="20.100000000000001" customHeight="1" x14ac:dyDescent="0.3">
      <c r="A224" s="18" t="s">
        <v>176</v>
      </c>
    </row>
    <row r="225" spans="1:1" ht="20.100000000000001" customHeight="1" x14ac:dyDescent="0.3">
      <c r="A225" s="18" t="s">
        <v>113</v>
      </c>
    </row>
    <row r="226" spans="1:1" ht="20.100000000000001" customHeight="1" x14ac:dyDescent="0.3">
      <c r="A226" s="18" t="s">
        <v>114</v>
      </c>
    </row>
    <row r="227" spans="1:1" ht="20.100000000000001" customHeight="1" x14ac:dyDescent="0.3">
      <c r="A227" s="18" t="s">
        <v>115</v>
      </c>
    </row>
    <row r="228" spans="1:1" ht="20.100000000000001" customHeight="1" x14ac:dyDescent="0.3">
      <c r="A228" s="18" t="s">
        <v>116</v>
      </c>
    </row>
    <row r="229" spans="1:1" ht="20.100000000000001" customHeight="1" x14ac:dyDescent="0.3">
      <c r="A229" s="18" t="s">
        <v>117</v>
      </c>
    </row>
    <row r="230" spans="1:1" ht="20.100000000000001" customHeight="1" x14ac:dyDescent="0.3">
      <c r="A230" s="18" t="s">
        <v>118</v>
      </c>
    </row>
    <row r="231" spans="1:1" ht="20.100000000000001" customHeight="1" x14ac:dyDescent="0.3">
      <c r="A231" s="18" t="s">
        <v>119</v>
      </c>
    </row>
    <row r="232" spans="1:1" ht="20.100000000000001" customHeight="1" x14ac:dyDescent="0.3">
      <c r="A232" s="18" t="s">
        <v>120</v>
      </c>
    </row>
    <row r="233" spans="1:1" ht="20.100000000000001" customHeight="1" x14ac:dyDescent="0.3">
      <c r="A233" s="18" t="s">
        <v>121</v>
      </c>
    </row>
    <row r="234" spans="1:1" ht="20.100000000000001" customHeight="1" x14ac:dyDescent="0.3">
      <c r="A234" s="18" t="s">
        <v>122</v>
      </c>
    </row>
    <row r="235" spans="1:1" ht="20.100000000000001" customHeight="1" x14ac:dyDescent="0.3">
      <c r="A235" s="18" t="s">
        <v>123</v>
      </c>
    </row>
    <row r="236" spans="1:1" ht="20.100000000000001" customHeight="1" x14ac:dyDescent="0.3">
      <c r="A236" s="20" t="s">
        <v>124</v>
      </c>
    </row>
    <row r="237" spans="1:1" ht="20.100000000000001" customHeight="1" x14ac:dyDescent="0.3">
      <c r="A237" s="18" t="s">
        <v>125</v>
      </c>
    </row>
    <row r="238" spans="1:1" ht="20.100000000000001" customHeight="1" x14ac:dyDescent="0.3">
      <c r="A238" s="18" t="s">
        <v>126</v>
      </c>
    </row>
    <row r="239" spans="1:1" ht="20.100000000000001" customHeight="1" x14ac:dyDescent="0.3">
      <c r="A239" s="18" t="s">
        <v>127</v>
      </c>
    </row>
    <row r="240" spans="1:1" ht="20.100000000000001" customHeight="1" x14ac:dyDescent="0.3">
      <c r="A240" s="18" t="s">
        <v>128</v>
      </c>
    </row>
    <row r="241" spans="1:1" ht="20.100000000000001" customHeight="1" x14ac:dyDescent="0.3">
      <c r="A241" s="18" t="s">
        <v>129</v>
      </c>
    </row>
    <row r="242" spans="1:1" ht="20.100000000000001" customHeight="1" x14ac:dyDescent="0.3">
      <c r="A242" s="18" t="s">
        <v>130</v>
      </c>
    </row>
    <row r="243" spans="1:1" ht="20.100000000000001" customHeight="1" x14ac:dyDescent="0.3">
      <c r="A243" s="18" t="s">
        <v>131</v>
      </c>
    </row>
    <row r="244" spans="1:1" ht="20.100000000000001" customHeight="1" x14ac:dyDescent="0.3">
      <c r="A244" s="18" t="s">
        <v>132</v>
      </c>
    </row>
    <row r="245" spans="1:1" ht="20.100000000000001" customHeight="1" x14ac:dyDescent="0.3">
      <c r="A245" s="18" t="s">
        <v>133</v>
      </c>
    </row>
    <row r="246" spans="1:1" ht="20.100000000000001" customHeight="1" x14ac:dyDescent="0.3">
      <c r="A246" s="18" t="s">
        <v>134</v>
      </c>
    </row>
    <row r="247" spans="1:1" ht="20.100000000000001" customHeight="1" x14ac:dyDescent="0.3">
      <c r="A247" s="18" t="s">
        <v>135</v>
      </c>
    </row>
    <row r="248" spans="1:1" ht="20.100000000000001" customHeight="1" x14ac:dyDescent="0.3">
      <c r="A248" s="18" t="s">
        <v>126</v>
      </c>
    </row>
    <row r="249" spans="1:1" ht="20.100000000000001" customHeight="1" x14ac:dyDescent="0.3">
      <c r="A249" s="18" t="s">
        <v>136</v>
      </c>
    </row>
    <row r="250" spans="1:1" ht="20.100000000000001" customHeight="1" x14ac:dyDescent="0.3">
      <c r="A250" s="18" t="s">
        <v>137</v>
      </c>
    </row>
    <row r="251" spans="1:1" ht="20.100000000000001" customHeight="1" x14ac:dyDescent="0.3">
      <c r="A251" s="20" t="s">
        <v>138</v>
      </c>
    </row>
    <row r="252" spans="1:1" ht="20.100000000000001" customHeight="1" x14ac:dyDescent="0.3">
      <c r="A252" s="21" t="s">
        <v>139</v>
      </c>
    </row>
    <row r="253" spans="1:1" ht="20.100000000000001" customHeight="1" x14ac:dyDescent="0.3">
      <c r="A253" s="18" t="s">
        <v>140</v>
      </c>
    </row>
    <row r="254" spans="1:1" ht="20.100000000000001" customHeight="1" x14ac:dyDescent="0.3">
      <c r="A254" s="18" t="s">
        <v>141</v>
      </c>
    </row>
    <row r="255" spans="1:1" ht="20.100000000000001" customHeight="1" x14ac:dyDescent="0.3">
      <c r="A255" s="22" t="s">
        <v>142</v>
      </c>
    </row>
    <row r="256" spans="1:1" ht="20.100000000000001" customHeight="1" x14ac:dyDescent="0.3">
      <c r="A256" s="22" t="s">
        <v>143</v>
      </c>
    </row>
    <row r="257" spans="1:1" ht="20.100000000000001" customHeight="1" x14ac:dyDescent="0.3">
      <c r="A257" s="23" t="s">
        <v>144</v>
      </c>
    </row>
    <row r="258" spans="1:1" ht="20.100000000000001" customHeight="1" x14ac:dyDescent="0.3">
      <c r="A258" s="18" t="s">
        <v>145</v>
      </c>
    </row>
    <row r="259" spans="1:1" ht="20.100000000000001" customHeight="1" x14ac:dyDescent="0.3">
      <c r="A259" s="23" t="s">
        <v>146</v>
      </c>
    </row>
    <row r="260" spans="1:1" ht="20.100000000000001" customHeight="1" x14ac:dyDescent="0.3">
      <c r="A260" s="18" t="s">
        <v>147</v>
      </c>
    </row>
    <row r="261" spans="1:1" ht="20.100000000000001" customHeight="1" x14ac:dyDescent="0.3">
      <c r="A261" s="23" t="s">
        <v>148</v>
      </c>
    </row>
    <row r="262" spans="1:1" ht="20.100000000000001" customHeight="1" x14ac:dyDescent="0.3">
      <c r="A262" s="18" t="s">
        <v>149</v>
      </c>
    </row>
    <row r="263" spans="1:1" ht="20.100000000000001" customHeight="1" x14ac:dyDescent="0.3">
      <c r="A263" s="18" t="s">
        <v>150</v>
      </c>
    </row>
    <row r="264" spans="1:1" ht="20.100000000000001" customHeight="1" x14ac:dyDescent="0.3">
      <c r="A264" s="23" t="s">
        <v>151</v>
      </c>
    </row>
    <row r="265" spans="1:1" ht="20.100000000000001" customHeight="1" x14ac:dyDescent="0.3">
      <c r="A265" s="23" t="s">
        <v>152</v>
      </c>
    </row>
    <row r="266" spans="1:1" ht="20.100000000000001" customHeight="1" x14ac:dyDescent="0.3">
      <c r="A266" s="23" t="s">
        <v>153</v>
      </c>
    </row>
    <row r="267" spans="1:1" ht="20.100000000000001" customHeight="1" x14ac:dyDescent="0.3">
      <c r="A267" s="18" t="s">
        <v>154</v>
      </c>
    </row>
    <row r="268" spans="1:1" ht="20.100000000000001" customHeight="1" x14ac:dyDescent="0.3">
      <c r="A268" s="18" t="s">
        <v>155</v>
      </c>
    </row>
    <row r="269" spans="1:1" ht="20.100000000000001" customHeight="1" x14ac:dyDescent="0.3">
      <c r="A269" s="18" t="s">
        <v>156</v>
      </c>
    </row>
    <row r="270" spans="1:1" ht="20.100000000000001" customHeight="1" x14ac:dyDescent="0.3">
      <c r="A270" s="18" t="s">
        <v>157</v>
      </c>
    </row>
    <row r="271" spans="1:1" ht="20.100000000000001" customHeight="1" x14ac:dyDescent="0.3">
      <c r="A271" s="23" t="s">
        <v>158</v>
      </c>
    </row>
    <row r="272" spans="1:1" ht="20.100000000000001" customHeight="1" x14ac:dyDescent="0.3">
      <c r="A272" s="23" t="s">
        <v>159</v>
      </c>
    </row>
    <row r="273" spans="1:1" ht="20.100000000000001" customHeight="1" x14ac:dyDescent="0.3">
      <c r="A273" s="18" t="s">
        <v>160</v>
      </c>
    </row>
    <row r="274" spans="1:1" ht="20.100000000000001" customHeight="1" x14ac:dyDescent="0.3">
      <c r="A274" s="23" t="s">
        <v>161</v>
      </c>
    </row>
    <row r="275" spans="1:1" ht="20.100000000000001" customHeight="1" x14ac:dyDescent="0.3">
      <c r="A275" s="23" t="s">
        <v>162</v>
      </c>
    </row>
    <row r="276" spans="1:1" ht="20.100000000000001" customHeight="1" x14ac:dyDescent="0.3">
      <c r="A276" s="18" t="s">
        <v>163</v>
      </c>
    </row>
    <row r="277" spans="1:1" ht="20.100000000000001" customHeight="1" x14ac:dyDescent="0.3">
      <c r="A277" s="18" t="s">
        <v>164</v>
      </c>
    </row>
    <row r="278" spans="1:1" ht="20.100000000000001" customHeight="1" x14ac:dyDescent="0.3">
      <c r="A278" s="23" t="s">
        <v>165</v>
      </c>
    </row>
    <row r="279" spans="1:1" ht="20.100000000000001" customHeight="1" x14ac:dyDescent="0.3">
      <c r="A279" s="18" t="s">
        <v>166</v>
      </c>
    </row>
    <row r="280" spans="1:1" ht="20.100000000000001" customHeight="1" x14ac:dyDescent="0.3">
      <c r="A280" s="18" t="s">
        <v>167</v>
      </c>
    </row>
    <row r="281" spans="1:1" ht="20.100000000000001" customHeight="1" x14ac:dyDescent="0.3">
      <c r="A281" s="18" t="s">
        <v>168</v>
      </c>
    </row>
    <row r="282" spans="1:1" ht="20.100000000000001" customHeight="1" x14ac:dyDescent="0.3">
      <c r="A282" s="18" t="s">
        <v>169</v>
      </c>
    </row>
    <row r="283" spans="1:1" ht="20.100000000000001" customHeight="1" x14ac:dyDescent="0.3">
      <c r="A283" s="23" t="s">
        <v>170</v>
      </c>
    </row>
    <row r="284" spans="1:1" ht="20.100000000000001" customHeight="1" x14ac:dyDescent="0.3">
      <c r="A284" s="23" t="s">
        <v>171</v>
      </c>
    </row>
    <row r="285" spans="1:1" ht="20.100000000000001" customHeight="1" x14ac:dyDescent="0.3">
      <c r="A285" s="23" t="s">
        <v>172</v>
      </c>
    </row>
    <row r="286" spans="1:1" ht="20.100000000000001" customHeight="1" thickBot="1" x14ac:dyDescent="0.35">
      <c r="A286" s="18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2025-10-25T04:32:30Z</dcterms:modified>
</cp:coreProperties>
</file>