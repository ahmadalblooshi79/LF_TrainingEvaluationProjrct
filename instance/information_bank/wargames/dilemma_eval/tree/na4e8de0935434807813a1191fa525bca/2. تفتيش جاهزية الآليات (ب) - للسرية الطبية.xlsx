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D119D32-3764-46E8-975A-4D56F5258F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 s="1"/>
  <c r="G12" i="2"/>
  <c r="H12" i="2"/>
  <c r="G13" i="2"/>
  <c r="H13" i="2"/>
  <c r="G14" i="2"/>
  <c r="H14" i="2"/>
  <c r="G15" i="2"/>
  <c r="H15" i="2" s="1"/>
  <c r="G16" i="2"/>
  <c r="H16" i="2"/>
  <c r="G17" i="2"/>
  <c r="H17" i="2"/>
  <c r="G18" i="2"/>
  <c r="H18" i="2"/>
  <c r="G19" i="2"/>
  <c r="H19" i="2" s="1"/>
  <c r="G20" i="2"/>
  <c r="H20" i="2"/>
  <c r="G21" i="2"/>
  <c r="H21" i="2"/>
  <c r="G22" i="2"/>
  <c r="H22" i="2"/>
  <c r="G23" i="2"/>
  <c r="H23" i="2" s="1"/>
  <c r="G24" i="2"/>
  <c r="H24" i="2"/>
  <c r="G25" i="2"/>
  <c r="H25" i="2"/>
  <c r="F63" i="2"/>
  <c r="E63" i="2"/>
  <c r="E64" i="2" l="1"/>
  <c r="E65" i="2" s="1"/>
</calcChain>
</file>

<file path=xl/sharedStrings.xml><?xml version="1.0" encoding="utf-8"?>
<sst xmlns="http://schemas.openxmlformats.org/spreadsheetml/2006/main" count="292" uniqueCount="237">
  <si>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</si>
  <si>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</si>
  <si>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</si>
  <si>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</si>
  <si>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</si>
  <si>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</si>
  <si>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</si>
  <si>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</si>
  <si>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</si>
  <si>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</si>
  <si>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</si>
  <si>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</si>
  <si>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</si>
  <si>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</si>
  <si>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</si>
  <si>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</si>
  <si>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</si>
  <si>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</si>
  <si>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</si>
  <si>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</si>
  <si>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</si>
  <si>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</si>
  <si>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</si>
  <si>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</si>
  <si>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</si>
  <si>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</si>
  <si>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</si>
  <si>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</si>
  <si>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</si>
  <si>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</si>
  <si>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</si>
  <si>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</si>
  <si>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</si>
  <si>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</si>
  <si>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</si>
  <si>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</si>
  <si>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</si>
  <si>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</si>
  <si>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</si>
  <si>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</si>
  <si>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</si>
  <si>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</si>
  <si>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</si>
  <si>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</si>
  <si>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</si>
  <si>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</si>
  <si>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</si>
  <si>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</si>
  <si>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</si>
  <si>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</si>
  <si>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</si>
  <si>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</si>
  <si>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</si>
  <si>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</si>
  <si>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</si>
  <si>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</si>
  <si>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</si>
  <si>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</si>
  <si>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</si>
  <si>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</si>
  <si>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</si>
  <si>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</si>
  <si>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</si>
  <si>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</si>
  <si>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</si>
  <si>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</si>
  <si>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</si>
  <si>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</si>
  <si>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</si>
  <si>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</si>
  <si>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</si>
  <si>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</si>
  <si>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</si>
  <si>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</si>
  <si>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</si>
  <si>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</si>
  <si>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</si>
  <si>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</si>
  <si>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</si>
  <si>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</si>
  <si>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</si>
  <si>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</si>
  <si>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</si>
  <si>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</si>
  <si>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</si>
  <si>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</si>
  <si>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</si>
  <si>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</si>
  <si>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</si>
  <si>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</si>
  <si>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</si>
  <si>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</si>
  <si>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</si>
  <si>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</si>
  <si>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</si>
  <si>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</si>
  <si>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</si>
  <si>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</si>
  <si>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</si>
  <si>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</si>
  <si>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</si>
  <si>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</si>
  <si>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</si>
  <si>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</si>
  <si>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</si>
  <si>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</si>
  <si>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</si>
  <si>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</si>
  <si>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</si>
  <si>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</si>
  <si>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</si>
  <si>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</si>
  <si>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</si>
  <si>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</si>
  <si>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</si>
  <si>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</si>
  <si>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</si>
  <si>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</si>
  <si>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</si>
  <si>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</si>
  <si>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</si>
  <si>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</si>
  <si>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</si>
  <si>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</si>
  <si>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</si>
  <si>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</si>
  <si>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</si>
  <si>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</si>
  <si>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</si>
  <si>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</si>
  <si>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</si>
  <si>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</si>
  <si>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</si>
  <si>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</si>
  <si>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</si>
  <si>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</si>
  <si>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</si>
  <si>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</si>
  <si>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</si>
  <si>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</si>
  <si>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</si>
  <si>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</si>
  <si>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</si>
  <si>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</si>
  <si>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</si>
  <si>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</si>
  <si>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</si>
  <si>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</si>
  <si>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</si>
  <si>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</si>
  <si>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</si>
  <si>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</si>
  <si>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</si>
  <si>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</si>
  <si>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</si>
  <si>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</si>
  <si>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</si>
  <si>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</si>
  <si>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</si>
  <si>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</si>
  <si>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</si>
  <si>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</si>
  <si>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</si>
  <si>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</si>
  <si>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</si>
  <si>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</si>
  <si>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</si>
  <si>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</si>
  <si>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</si>
  <si>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</si>
  <si>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</si>
  <si>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</si>
  <si>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</si>
  <si>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</si>
  <si>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</si>
  <si>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</si>
  <si>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</si>
  <si>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</si>
  <si>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</si>
  <si>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</si>
  <si>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الإدارية.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يتم التأكد من التالي:</t>
    </r>
  </si>
  <si>
    <r>
      <t>مجموعـة الجسم.</t>
    </r>
    <r>
      <rPr>
        <sz val="12"/>
        <color rgb="FF000000"/>
        <rFont val="Arial"/>
        <family val="2"/>
      </rPr>
      <t xml:space="preserve"> يتم التأكد من التالي:</t>
    </r>
  </si>
  <si>
    <r>
      <t>الزيـوت / السوائـل</t>
    </r>
    <r>
      <rPr>
        <sz val="12"/>
        <color rgb="FF000000"/>
        <rFont val="Arial"/>
        <family val="2"/>
      </rPr>
      <t>. يتم التأكد من التالي:</t>
    </r>
  </si>
  <si>
    <r>
      <t>مجموعة القـوى.</t>
    </r>
    <r>
      <rPr>
        <sz val="12"/>
        <color rgb="FFFF0000"/>
        <rFont val="Arial"/>
        <family val="2"/>
      </rPr>
      <t xml:space="preserve"> </t>
    </r>
    <r>
      <rPr>
        <sz val="12"/>
        <color rgb="FF000000"/>
        <rFont val="Arial"/>
        <family val="2"/>
      </rPr>
      <t>يتم التأكد من التالي:</t>
    </r>
  </si>
  <si>
    <r>
      <t>الأنظمة الكهربائية والإلكترونية</t>
    </r>
    <r>
      <rPr>
        <sz val="12"/>
        <color rgb="FF000000"/>
        <rFont val="Arial"/>
        <family val="2"/>
      </rPr>
      <t>. يتم التأكد من التالي:</t>
    </r>
  </si>
  <si>
    <r>
      <t>فحص الآلية أثناء السير</t>
    </r>
    <r>
      <rPr>
        <u/>
        <sz val="12"/>
        <color theme="1"/>
        <rFont val="Arial"/>
        <family val="2"/>
      </rPr>
      <t>.</t>
    </r>
    <r>
      <rPr>
        <sz val="12"/>
        <color theme="1"/>
        <rFont val="Arial"/>
        <family val="2"/>
      </rPr>
      <t xml:space="preserve"> </t>
    </r>
  </si>
  <si>
    <t>المهمـات الإضافية.</t>
  </si>
  <si>
    <t>مدى التقيد بقيود الاستخدام.</t>
  </si>
  <si>
    <r>
      <t>1.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استكمال المرتب من الآليات ونسبة الصلاحية.</t>
    </r>
  </si>
  <si>
    <r>
      <t>2.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استكمال الطاقم المؤهل بالنسبة لعدد الآليات (السواقين).</t>
    </r>
  </si>
  <si>
    <r>
      <t>3.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</si>
  <si>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4.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المظهر العام والترتيب لمكتب النقليات.</t>
    </r>
  </si>
  <si>
    <r>
      <t>5.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العهدة.</t>
    </r>
  </si>
  <si>
    <r>
      <t>6.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ملف لحفظ سندات الصرف والاستلام للآليات والعـدة.</t>
    </r>
  </si>
  <si>
    <r>
      <t>7.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الحركة.</t>
    </r>
  </si>
  <si>
    <r>
      <t>8.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الحوادث.</t>
    </r>
  </si>
  <si>
    <r>
      <t>9.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وجود وإدامة سجل تسليم واستلام الآليات. </t>
    </r>
  </si>
  <si>
    <r>
      <t>10.</t>
    </r>
    <r>
      <rPr>
        <sz val="12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وإدامة سجل الدخول والخروج من الورشة / المشاغل / مراكز الإصلاح.</t>
    </r>
  </si>
  <si>
    <r>
      <t>11.</t>
    </r>
    <r>
      <rPr>
        <sz val="12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</si>
  <si>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12.</t>
    </r>
    <r>
      <rPr>
        <sz val="12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بالتعليمات والإجراءات لإدخال الآليات لمراكز الإصلاح.</t>
    </r>
  </si>
  <si>
    <r>
      <t>13.</t>
    </r>
    <r>
      <rPr>
        <sz val="12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إدامة السجلات الخاصة بكل آلية بواسطة الطاقم وتصديق الضابط المسؤول.</t>
    </r>
  </si>
  <si>
    <r>
      <t>14.</t>
    </r>
    <r>
      <rPr>
        <sz val="12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معرفة السائق بالآلية وإلمامه بالتعليمات والصيانة و طوابير التفتيش.</t>
    </r>
  </si>
  <si>
    <r>
      <t>15.</t>
    </r>
    <r>
      <rPr>
        <sz val="12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إلمام ضابط النقليات بمهامه وواجباته.</t>
    </r>
  </si>
  <si>
    <r>
      <t>16.</t>
    </r>
    <r>
      <rPr>
        <sz val="12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برفع الكشوفات الدورية.</t>
    </r>
  </si>
  <si>
    <r>
      <t>17.</t>
    </r>
    <r>
      <rPr>
        <sz val="12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ملف لحفظ نماذج شطب الآليات.</t>
    </r>
  </si>
  <si>
    <r>
      <t>1.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النظافة.</t>
    </r>
  </si>
  <si>
    <r>
      <t>2.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أي نواقص.</t>
    </r>
  </si>
  <si>
    <r>
      <t>3.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الضرر.</t>
    </r>
  </si>
  <si>
    <r>
      <t>4.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حالة الصبغ.</t>
    </r>
  </si>
  <si>
    <r>
      <t>5.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الإطارات.</t>
    </r>
  </si>
  <si>
    <r>
      <t>6.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صندوق العدة ومحتوياته.</t>
    </r>
  </si>
  <si>
    <r>
      <t>7.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مقاعد غرفة القيادة والركاب.</t>
    </r>
  </si>
  <si>
    <r>
      <t>1.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مستـوى الزيـت / المـاء (المحرك، نظـام ناقل الحركة، الفرامل، مبرد الماء(RADIATOR). </t>
    </r>
  </si>
  <si>
    <r>
      <t>2.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تسرّب الزيت / الماء من أجزاء الآلية.</t>
    </r>
  </si>
  <si>
    <r>
      <t>3.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الزيت.</t>
    </r>
  </si>
  <si>
    <r>
      <t>4.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التشحيــم. </t>
    </r>
  </si>
  <si>
    <r>
      <t>1.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</si>
  <si>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</si>
  <si>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3.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</si>
  <si>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4.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</si>
  <si>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5.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</si>
  <si>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6.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نظام التوجيه. </t>
    </r>
  </si>
  <si>
    <r>
      <t>7.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إطفاء الحريق (طفاية الحريق وصلاحيتها). </t>
    </r>
  </si>
  <si>
    <r>
      <t>1.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البطاريات.</t>
    </r>
  </si>
  <si>
    <r>
      <t>2.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التشغيل.</t>
    </r>
  </si>
  <si>
    <r>
      <t>3.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المولــــد.</t>
    </r>
  </si>
  <si>
    <r>
      <t>4.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الإنارة الداخلية.</t>
    </r>
  </si>
  <si>
    <r>
      <t>5.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الإنارة الخارجية.</t>
    </r>
  </si>
  <si>
    <r>
      <t>6.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لوحات العرض.</t>
    </r>
  </si>
  <si>
    <r>
      <t>1.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صلاحية السير على الطريق.</t>
    </r>
  </si>
  <si>
    <r>
      <t>2.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صلاحية أنظمة الآلية (الميكانيكية والكهربائية).</t>
    </r>
  </si>
  <si>
    <r>
      <t>3.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 / نظام التهوية.</t>
    </r>
  </si>
  <si>
    <r>
      <t>1.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مستــودع الـعــــدة وأغطيـــة التمويه وأعمدة التثبيت.</t>
    </r>
  </si>
  <si>
    <r>
      <t>2.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مستودع قطع الغيار.</t>
    </r>
  </si>
  <si>
    <r>
      <t>3.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توفر المواقف المغطاة المخصصة للآليات ونظافتها ووجود وصلاحية طفايات الحريق بها.</t>
    </r>
  </si>
  <si>
    <r>
      <rPr>
        <b/>
        <sz val="14"/>
        <color rgb="FF000000"/>
        <rFont val="Arial"/>
        <family val="2"/>
      </rPr>
      <t>تفتيش جاهزية الآليات (ب) للسرية الطبية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</si>
  <si>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رائد طبيب / علي النقبي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</si>
</sst>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9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13" fillId="0" borderId="0" xfId="0" applyFont="1" applyProtection="1"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675860</xdr:colOff>
      <xdr:row>66</xdr:row>
      <xdr:rowOff>88253</xdr:rowOff>
    </xdr:from>
    <xdr:to>
      <xdr:col>9</xdr:col>
      <xdr:colOff>798620</xdr:colOff>
      <xdr:row>67</xdr:row>
      <xdr:rowOff>30670</xdr:rowOff>
    </xdr:to>
    <xdr:pic>
      <xdr:nvPicPr>
        <xdr:cNvPr id="2" name="Ink 1">
          <a:extLst>
            <a:ext uri="{FF2B5EF4-FFF2-40B4-BE49-F238E27FC236}">
              <a16:creationId xmlns:a16="http://schemas.microsoft.com/office/drawing/2014/main" id="{0FC52A0F-C96C-43D2-0ABC-3BC6F4F4ED2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7782076" y="25366680"/>
          <a:ext cx="135000" cy="601200"/>
        </a:xfrm>
        <a:prstGeom prst="rect">
          <a:avLst/>
        </a:prstGeom>
      </xdr:spPr>
    </xdr:pic>
    <xdr:clientData/>
  </xdr:twoCellAnchor>
  <xdr:twoCellAnchor editAs="oneCell">
    <xdr:from>
      <xdr:col>6</xdr:col>
      <xdr:colOff>477534</xdr:colOff>
      <xdr:row>65</xdr:row>
      <xdr:rowOff>420627</xdr:rowOff>
    </xdr:from>
    <xdr:to>
      <xdr:col>10</xdr:col>
      <xdr:colOff>144964</xdr:colOff>
      <xdr:row>67</xdr:row>
      <xdr:rowOff>63070</xdr:rowOff>
    </xdr:to>
    <xdr:pic>
      <xdr:nvPicPr>
        <xdr:cNvPr id="3" name="Ink 2">
          <a:extLst>
            <a:ext uri="{FF2B5EF4-FFF2-40B4-BE49-F238E27FC236}">
              <a16:creationId xmlns:a16="http://schemas.microsoft.com/office/drawing/2014/main" id="{E223A58E-3EE0-5244-A0A9-3EE89D4A116C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7338916" y="25167960"/>
          <a:ext cx="2750760" cy="832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67"/>
  <sheetViews>
    <sheetView rightToLeft="1" tabSelected="1" view="pageBreakPreview" topLeftCell="A61" zoomScale="130" zoomScaleSheetLayoutView="130" workbookViewId="0">
      <selection activeCell="F27" sqref="F2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5" width="9.33203125" style="46" customWidth="1"/>
    <col min="6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235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2" t="s">
        <v>8</v>
      </c>
      <c r="C2" s="60" t="s">
        <v>31</v>
      </c>
      <c r="D2" s="60"/>
      <c r="E2" s="12" t="s">
        <v>7</v>
      </c>
      <c r="F2" s="55">
        <v>45929</v>
      </c>
      <c r="G2" s="55"/>
      <c r="H2" s="55"/>
      <c r="I2" s="55"/>
      <c r="J2" s="55"/>
    </row>
    <row r="3" spans="1:10" ht="30" customHeight="1" x14ac:dyDescent="0.3">
      <c r="B3" s="12" t="s">
        <v>9</v>
      </c>
      <c r="C3" s="60" t="s">
        <v>236</v>
      </c>
      <c r="D3" s="60"/>
      <c r="E3" s="12" t="s">
        <v>6</v>
      </c>
      <c r="F3" s="60" t="s">
        <v>138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6" t="s">
        <v>0</v>
      </c>
      <c r="C5" s="57"/>
      <c r="D5" s="57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10"/>
      <c r="B6" s="58"/>
      <c r="C6" s="59"/>
      <c r="D6" s="59"/>
      <c r="E6" s="28" t="s">
        <v>3</v>
      </c>
      <c r="F6" s="11" t="s">
        <v>4</v>
      </c>
      <c r="G6" s="11" t="s">
        <v>23</v>
      </c>
      <c r="H6" s="11" t="s">
        <v>24</v>
      </c>
      <c r="I6" s="71"/>
      <c r="J6" s="72"/>
    </row>
    <row r="7" spans="1:10" ht="24.9" customHeight="1" thickBot="1" x14ac:dyDescent="0.35">
      <c r="A7" s="10"/>
      <c r="B7" s="63" t="s">
        <v>21</v>
      </c>
      <c r="C7" s="64"/>
      <c r="D7" s="64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 x14ac:dyDescent="0.3">
      <c r="A8" s="10"/>
      <c r="B8" s="87" t="s">
        <v>180</v>
      </c>
      <c r="C8" s="88"/>
      <c r="D8" s="88"/>
      <c r="E8" s="41"/>
      <c r="F8" s="34"/>
      <c r="G8" s="35"/>
      <c r="H8" s="36"/>
      <c r="I8" s="67"/>
      <c r="J8" s="68"/>
    </row>
    <row r="9" spans="1:10" ht="30" customHeight="1" x14ac:dyDescent="0.3">
      <c r="A9" s="10"/>
      <c r="B9" s="89" t="s">
        <v>188</v>
      </c>
      <c r="C9" s="90"/>
      <c r="D9" s="90"/>
      <c r="E9" s="42">
        <v>10</v>
      </c>
      <c r="F9" s="26">
        <v>7.75</v>
      </c>
      <c r="G9" s="32">
        <f>IFERROR(F9/E9,"")</f>
        <v>0.77500000000000002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0" customHeight="1" x14ac:dyDescent="0.3">
      <c r="A10" s="10"/>
      <c r="B10" s="89" t="s">
        <v>189</v>
      </c>
      <c r="C10" s="90"/>
      <c r="D10" s="90"/>
      <c r="E10" s="9">
        <v>10</v>
      </c>
      <c r="F10" s="26">
        <v>7.75</v>
      </c>
      <c r="G10" s="32">
        <f t="shared" ref="G10:G25" si="0">IFERROR(F10/E10,"")</f>
        <v>0.77500000000000002</v>
      </c>
      <c r="H10" s="33" t="str">
        <f t="shared" ref="H10:H25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0" customHeight="1" x14ac:dyDescent="0.3">
      <c r="A11" s="10"/>
      <c r="B11" s="89" t="s">
        <v>190</v>
      </c>
      <c r="C11" s="90"/>
      <c r="D11" s="90"/>
      <c r="E11" s="9">
        <v>5</v>
      </c>
      <c r="F11" s="26">
        <v>3.75</v>
      </c>
      <c r="G11" s="32">
        <f t="shared" si="0"/>
        <v>0.75</v>
      </c>
      <c r="H11" s="33" t="str">
        <f t="shared" si="1"/>
        <v>جيد</v>
      </c>
      <c r="I11" s="52"/>
      <c r="J11" s="53"/>
    </row>
    <row r="12" spans="1:10" ht="30" customHeight="1" x14ac:dyDescent="0.3">
      <c r="A12" s="10"/>
      <c r="B12" s="89" t="s">
        <v>191</v>
      </c>
      <c r="C12" s="90"/>
      <c r="D12" s="90"/>
      <c r="E12" s="9">
        <v>5</v>
      </c>
      <c r="F12" s="26">
        <v>3.75</v>
      </c>
      <c r="G12" s="32">
        <f t="shared" si="0"/>
        <v>0.75</v>
      </c>
      <c r="H12" s="33" t="str">
        <f t="shared" si="1"/>
        <v>جيد</v>
      </c>
      <c r="I12" s="52"/>
      <c r="J12" s="53"/>
    </row>
    <row r="13" spans="1:10" ht="30" customHeight="1" x14ac:dyDescent="0.3">
      <c r="A13" s="10"/>
      <c r="B13" s="89" t="s">
        <v>192</v>
      </c>
      <c r="C13" s="90"/>
      <c r="D13" s="90"/>
      <c r="E13" s="9">
        <v>5</v>
      </c>
      <c r="F13" s="26">
        <v>3.75</v>
      </c>
      <c r="G13" s="32">
        <f t="shared" si="0"/>
        <v>0.75</v>
      </c>
      <c r="H13" s="33" t="str">
        <f t="shared" si="1"/>
        <v>جيد</v>
      </c>
      <c r="I13" s="52"/>
      <c r="J13" s="53"/>
    </row>
    <row r="14" spans="1:10" ht="30" customHeight="1" x14ac:dyDescent="0.3">
      <c r="A14" s="10"/>
      <c r="B14" s="89" t="s">
        <v>193</v>
      </c>
      <c r="C14" s="90"/>
      <c r="D14" s="90"/>
      <c r="E14" s="9">
        <v>5</v>
      </c>
      <c r="F14" s="26">
        <v>3.75</v>
      </c>
      <c r="G14" s="32">
        <f t="shared" si="0"/>
        <v>0.75</v>
      </c>
      <c r="H14" s="33" t="str">
        <f t="shared" si="1"/>
        <v>جيد</v>
      </c>
      <c r="I14" s="52"/>
      <c r="J14" s="53"/>
    </row>
    <row r="15" spans="1:10" ht="30" customHeight="1" x14ac:dyDescent="0.3">
      <c r="A15" s="10"/>
      <c r="B15" s="89" t="s">
        <v>194</v>
      </c>
      <c r="C15" s="90"/>
      <c r="D15" s="90"/>
      <c r="E15" s="9">
        <v>5</v>
      </c>
      <c r="F15" s="26">
        <v>3.75</v>
      </c>
      <c r="G15" s="32">
        <f t="shared" si="0"/>
        <v>0.75</v>
      </c>
      <c r="H15" s="33" t="str">
        <f t="shared" si="1"/>
        <v>جيد</v>
      </c>
      <c r="I15" s="52"/>
      <c r="J15" s="53"/>
    </row>
    <row r="16" spans="1:10" ht="30" customHeight="1" x14ac:dyDescent="0.3">
      <c r="A16" s="10"/>
      <c r="B16" s="89" t="s">
        <v>195</v>
      </c>
      <c r="C16" s="90"/>
      <c r="D16" s="90"/>
      <c r="E16" s="9">
        <v>5</v>
      </c>
      <c r="F16" s="26">
        <v>3.75</v>
      </c>
      <c r="G16" s="32">
        <f t="shared" si="0"/>
        <v>0.75</v>
      </c>
      <c r="H16" s="33" t="str">
        <f t="shared" si="1"/>
        <v>جيد</v>
      </c>
      <c r="I16" s="52"/>
      <c r="J16" s="53"/>
    </row>
    <row r="17" spans="1:10" ht="30" customHeight="1" x14ac:dyDescent="0.3">
      <c r="A17" s="10"/>
      <c r="B17" s="89" t="s">
        <v>196</v>
      </c>
      <c r="C17" s="90"/>
      <c r="D17" s="90"/>
      <c r="E17" s="9">
        <v>8</v>
      </c>
      <c r="F17" s="26">
        <v>5.75</v>
      </c>
      <c r="G17" s="32">
        <f t="shared" si="0"/>
        <v>0.71875</v>
      </c>
      <c r="H17" s="33" t="str">
        <f t="shared" si="1"/>
        <v>جيد</v>
      </c>
      <c r="I17" s="52"/>
      <c r="J17" s="53"/>
    </row>
    <row r="18" spans="1:10" ht="30" customHeight="1" x14ac:dyDescent="0.3">
      <c r="A18" s="10"/>
      <c r="B18" s="89" t="s">
        <v>197</v>
      </c>
      <c r="C18" s="90"/>
      <c r="D18" s="90"/>
      <c r="E18" s="9">
        <v>5</v>
      </c>
      <c r="F18" s="26">
        <v>3.75</v>
      </c>
      <c r="G18" s="32">
        <f t="shared" si="0"/>
        <v>0.75</v>
      </c>
      <c r="H18" s="33" t="str">
        <f t="shared" si="1"/>
        <v>جيد</v>
      </c>
      <c r="I18" s="52"/>
      <c r="J18" s="53"/>
    </row>
    <row r="19" spans="1:10" ht="30" customHeight="1" x14ac:dyDescent="0.3">
      <c r="A19" s="10"/>
      <c r="B19" s="89" t="s">
        <v>198</v>
      </c>
      <c r="C19" s="90"/>
      <c r="D19" s="90"/>
      <c r="E19" s="9">
        <v>5</v>
      </c>
      <c r="F19" s="26">
        <v>3.5</v>
      </c>
      <c r="G19" s="32">
        <f t="shared" si="0"/>
        <v>0.7</v>
      </c>
      <c r="H19" s="33" t="str">
        <f t="shared" si="1"/>
        <v>جيد</v>
      </c>
      <c r="I19" s="52"/>
      <c r="J19" s="53"/>
    </row>
    <row r="20" spans="1:10" ht="30" customHeight="1" x14ac:dyDescent="0.3">
      <c r="A20" s="10"/>
      <c r="B20" s="89" t="s">
        <v>199</v>
      </c>
      <c r="C20" s="90"/>
      <c r="D20" s="90"/>
      <c r="E20" s="9">
        <v>5</v>
      </c>
      <c r="F20" s="26">
        <v>3.5</v>
      </c>
      <c r="G20" s="32">
        <f t="shared" si="0"/>
        <v>0.7</v>
      </c>
      <c r="H20" s="33" t="str">
        <f t="shared" si="1"/>
        <v>جيد</v>
      </c>
      <c r="I20" s="52"/>
      <c r="J20" s="53"/>
    </row>
    <row r="21" spans="1:10" ht="30" customHeight="1" x14ac:dyDescent="0.3">
      <c r="A21" s="10"/>
      <c r="B21" s="89" t="s">
        <v>200</v>
      </c>
      <c r="C21" s="90"/>
      <c r="D21" s="90"/>
      <c r="E21" s="9">
        <v>8</v>
      </c>
      <c r="F21" s="26">
        <v>6.25</v>
      </c>
      <c r="G21" s="32">
        <f t="shared" si="0"/>
        <v>0.78125</v>
      </c>
      <c r="H21" s="33" t="str">
        <f t="shared" si="1"/>
        <v>جيد</v>
      </c>
      <c r="I21" s="52"/>
      <c r="J21" s="53"/>
    </row>
    <row r="22" spans="1:10" ht="30" customHeight="1" x14ac:dyDescent="0.3">
      <c r="A22" s="10"/>
      <c r="B22" s="89" t="s">
        <v>201</v>
      </c>
      <c r="C22" s="90"/>
      <c r="D22" s="90"/>
      <c r="E22" s="9">
        <v>5</v>
      </c>
      <c r="F22" s="26">
        <v>3.75</v>
      </c>
      <c r="G22" s="32">
        <f t="shared" si="0"/>
        <v>0.75</v>
      </c>
      <c r="H22" s="33" t="str">
        <f t="shared" si="1"/>
        <v>جيد</v>
      </c>
      <c r="I22" s="52"/>
      <c r="J22" s="53"/>
    </row>
    <row r="23" spans="1:10" ht="30" customHeight="1" x14ac:dyDescent="0.3">
      <c r="A23" s="10"/>
      <c r="B23" s="89" t="s">
        <v>202</v>
      </c>
      <c r="C23" s="90"/>
      <c r="D23" s="90"/>
      <c r="E23" s="9">
        <v>5</v>
      </c>
      <c r="F23" s="26">
        <v>3.75</v>
      </c>
      <c r="G23" s="32">
        <f t="shared" si="0"/>
        <v>0.75</v>
      </c>
      <c r="H23" s="33" t="str">
        <f t="shared" si="1"/>
        <v>جيد</v>
      </c>
      <c r="I23" s="52"/>
      <c r="J23" s="53"/>
    </row>
    <row r="24" spans="1:10" ht="30" customHeight="1" x14ac:dyDescent="0.3">
      <c r="A24" s="10"/>
      <c r="B24" s="89" t="s">
        <v>203</v>
      </c>
      <c r="C24" s="90"/>
      <c r="D24" s="90"/>
      <c r="E24" s="9">
        <v>5</v>
      </c>
      <c r="F24" s="26">
        <v>3.75</v>
      </c>
      <c r="G24" s="32">
        <f t="shared" si="0"/>
        <v>0.75</v>
      </c>
      <c r="H24" s="33" t="str">
        <f t="shared" si="1"/>
        <v>جيد</v>
      </c>
      <c r="I24" s="52"/>
      <c r="J24" s="53"/>
    </row>
    <row r="25" spans="1:10" ht="30" customHeight="1" thickBot="1" x14ac:dyDescent="0.35">
      <c r="A25" s="10"/>
      <c r="B25" s="91" t="s">
        <v>204</v>
      </c>
      <c r="C25" s="92"/>
      <c r="D25" s="92"/>
      <c r="E25" s="43">
        <v>5</v>
      </c>
      <c r="F25" s="29">
        <v>3.75</v>
      </c>
      <c r="G25" s="37">
        <f t="shared" si="0"/>
        <v>0.75</v>
      </c>
      <c r="H25" s="38" t="str">
        <f t="shared" si="1"/>
        <v>جيد</v>
      </c>
      <c r="I25" s="65"/>
      <c r="J25" s="66"/>
    </row>
    <row r="26" spans="1:10" ht="30" customHeight="1" x14ac:dyDescent="0.3">
      <c r="A26" s="10"/>
      <c r="B26" s="93" t="s">
        <v>181</v>
      </c>
      <c r="C26" s="94"/>
      <c r="D26" s="94"/>
      <c r="E26" s="41"/>
      <c r="F26" s="34"/>
      <c r="G26" s="35"/>
      <c r="H26" s="36"/>
      <c r="I26" s="67"/>
      <c r="J26" s="68"/>
    </row>
    <row r="27" spans="1:10" ht="30" customHeight="1" x14ac:dyDescent="0.3">
      <c r="A27" s="10"/>
      <c r="B27" s="89" t="s">
        <v>205</v>
      </c>
      <c r="C27" s="90"/>
      <c r="D27" s="90"/>
      <c r="E27" s="9">
        <v>0</v>
      </c>
      <c r="F27" s="26"/>
      <c r="G27" s="32"/>
      <c r="H27" s="33"/>
      <c r="I27" s="52"/>
      <c r="J27" s="53"/>
    </row>
    <row r="28" spans="1:10" ht="30" customHeight="1" x14ac:dyDescent="0.3">
      <c r="A28" s="10"/>
      <c r="B28" s="89" t="s">
        <v>206</v>
      </c>
      <c r="C28" s="90"/>
      <c r="D28" s="90"/>
      <c r="E28" s="9">
        <v>0</v>
      </c>
      <c r="F28" s="26"/>
      <c r="G28" s="32"/>
      <c r="H28" s="33"/>
      <c r="I28" s="52"/>
      <c r="J28" s="53"/>
    </row>
    <row r="29" spans="1:10" ht="30" customHeight="1" x14ac:dyDescent="0.3">
      <c r="A29" s="10"/>
      <c r="B29" s="89" t="s">
        <v>207</v>
      </c>
      <c r="C29" s="90"/>
      <c r="D29" s="90"/>
      <c r="E29" s="9">
        <v>0</v>
      </c>
      <c r="F29" s="26"/>
      <c r="G29" s="32"/>
      <c r="H29" s="33"/>
      <c r="I29" s="52"/>
      <c r="J29" s="53"/>
    </row>
    <row r="30" spans="1:10" ht="30" customHeight="1" x14ac:dyDescent="0.3">
      <c r="A30" s="10"/>
      <c r="B30" s="89" t="s">
        <v>208</v>
      </c>
      <c r="C30" s="90"/>
      <c r="D30" s="90"/>
      <c r="E30" s="9">
        <v>0</v>
      </c>
      <c r="F30" s="26"/>
      <c r="G30" s="32"/>
      <c r="H30" s="33"/>
      <c r="I30" s="52"/>
      <c r="J30" s="53"/>
    </row>
    <row r="31" spans="1:10" ht="30" customHeight="1" x14ac:dyDescent="0.3">
      <c r="A31" s="10"/>
      <c r="B31" s="89" t="s">
        <v>209</v>
      </c>
      <c r="C31" s="90"/>
      <c r="D31" s="90"/>
      <c r="E31" s="9">
        <v>0</v>
      </c>
      <c r="F31" s="26"/>
      <c r="G31" s="32"/>
      <c r="H31" s="33"/>
      <c r="I31" s="52"/>
      <c r="J31" s="53"/>
    </row>
    <row r="32" spans="1:10" ht="30" customHeight="1" x14ac:dyDescent="0.3">
      <c r="A32" s="10"/>
      <c r="B32" s="89" t="s">
        <v>210</v>
      </c>
      <c r="C32" s="90"/>
      <c r="D32" s="90"/>
      <c r="E32" s="9">
        <v>0</v>
      </c>
      <c r="F32" s="26"/>
      <c r="G32" s="32"/>
      <c r="H32" s="33"/>
      <c r="I32" s="52"/>
      <c r="J32" s="53"/>
    </row>
    <row r="33" spans="1:10" ht="30" customHeight="1" thickBot="1" x14ac:dyDescent="0.35">
      <c r="A33" s="10"/>
      <c r="B33" s="91" t="s">
        <v>211</v>
      </c>
      <c r="C33" s="92"/>
      <c r="D33" s="92"/>
      <c r="E33" s="44">
        <v>0</v>
      </c>
      <c r="F33" s="29"/>
      <c r="G33" s="37"/>
      <c r="H33" s="38"/>
      <c r="I33" s="65"/>
      <c r="J33" s="66"/>
    </row>
    <row r="34" spans="1:10" ht="30" customHeight="1" x14ac:dyDescent="0.3">
      <c r="A34" s="10"/>
      <c r="B34" s="93" t="s">
        <v>182</v>
      </c>
      <c r="C34" s="94"/>
      <c r="D34" s="94"/>
      <c r="E34" s="41"/>
      <c r="F34" s="34"/>
      <c r="G34" s="35"/>
      <c r="H34" s="36"/>
      <c r="I34" s="67"/>
      <c r="J34" s="68"/>
    </row>
    <row r="35" spans="1:10" ht="30" customHeight="1" x14ac:dyDescent="0.3">
      <c r="A35" s="10"/>
      <c r="B35" s="89" t="s">
        <v>212</v>
      </c>
      <c r="C35" s="90"/>
      <c r="D35" s="90"/>
      <c r="E35" s="42">
        <v>0</v>
      </c>
      <c r="F35" s="26"/>
      <c r="G35" s="32"/>
      <c r="H35" s="33"/>
      <c r="I35" s="52"/>
      <c r="J35" s="53"/>
    </row>
    <row r="36" spans="1:10" ht="30" customHeight="1" x14ac:dyDescent="0.3">
      <c r="A36" s="10"/>
      <c r="B36" s="89" t="s">
        <v>213</v>
      </c>
      <c r="C36" s="90"/>
      <c r="D36" s="90"/>
      <c r="E36" s="42">
        <v>0</v>
      </c>
      <c r="F36" s="26"/>
      <c r="G36" s="32"/>
      <c r="H36" s="33"/>
      <c r="I36" s="52"/>
      <c r="J36" s="53"/>
    </row>
    <row r="37" spans="1:10" ht="30" customHeight="1" x14ac:dyDescent="0.3">
      <c r="A37" s="10"/>
      <c r="B37" s="89" t="s">
        <v>214</v>
      </c>
      <c r="C37" s="90"/>
      <c r="D37" s="90"/>
      <c r="E37" s="42">
        <v>0</v>
      </c>
      <c r="F37" s="26"/>
      <c r="G37" s="32"/>
      <c r="H37" s="33"/>
      <c r="I37" s="52"/>
      <c r="J37" s="53"/>
    </row>
    <row r="38" spans="1:10" ht="30" customHeight="1" thickBot="1" x14ac:dyDescent="0.35">
      <c r="A38" s="10"/>
      <c r="B38" s="91" t="s">
        <v>215</v>
      </c>
      <c r="C38" s="92"/>
      <c r="D38" s="92"/>
      <c r="E38" s="43">
        <v>0</v>
      </c>
      <c r="F38" s="29"/>
      <c r="G38" s="37"/>
      <c r="H38" s="38"/>
      <c r="I38" s="65"/>
      <c r="J38" s="66"/>
    </row>
    <row r="39" spans="1:10" ht="30" customHeight="1" x14ac:dyDescent="0.3">
      <c r="A39" s="10"/>
      <c r="B39" s="87" t="s">
        <v>183</v>
      </c>
      <c r="C39" s="88"/>
      <c r="D39" s="88"/>
      <c r="E39" s="41"/>
      <c r="F39" s="34"/>
      <c r="G39" s="35"/>
      <c r="H39" s="36"/>
      <c r="I39" s="67"/>
      <c r="J39" s="68"/>
    </row>
    <row r="40" spans="1:10" ht="30" customHeight="1" x14ac:dyDescent="0.3">
      <c r="A40" s="10"/>
      <c r="B40" s="89" t="s">
        <v>216</v>
      </c>
      <c r="C40" s="90"/>
      <c r="D40" s="90"/>
      <c r="E40" s="9">
        <v>0</v>
      </c>
      <c r="F40" s="26"/>
      <c r="G40" s="32"/>
      <c r="H40" s="33"/>
      <c r="I40" s="52"/>
      <c r="J40" s="53"/>
    </row>
    <row r="41" spans="1:10" ht="30" customHeight="1" x14ac:dyDescent="0.3">
      <c r="A41" s="10"/>
      <c r="B41" s="89" t="s">
        <v>217</v>
      </c>
      <c r="C41" s="90"/>
      <c r="D41" s="90"/>
      <c r="E41" s="9">
        <v>0</v>
      </c>
      <c r="F41" s="26"/>
      <c r="G41" s="32"/>
      <c r="H41" s="33"/>
      <c r="I41" s="52"/>
      <c r="J41" s="53"/>
    </row>
    <row r="42" spans="1:10" ht="30" customHeight="1" x14ac:dyDescent="0.3">
      <c r="A42" s="10"/>
      <c r="B42" s="89" t="s">
        <v>218</v>
      </c>
      <c r="C42" s="90"/>
      <c r="D42" s="90"/>
      <c r="E42" s="9">
        <v>0</v>
      </c>
      <c r="F42" s="26"/>
      <c r="G42" s="32"/>
      <c r="H42" s="33"/>
      <c r="I42" s="52"/>
      <c r="J42" s="53"/>
    </row>
    <row r="43" spans="1:10" ht="30" customHeight="1" x14ac:dyDescent="0.3">
      <c r="A43" s="10"/>
      <c r="B43" s="89" t="s">
        <v>219</v>
      </c>
      <c r="C43" s="90"/>
      <c r="D43" s="90"/>
      <c r="E43" s="9">
        <v>0</v>
      </c>
      <c r="F43" s="26"/>
      <c r="G43" s="32"/>
      <c r="H43" s="33"/>
      <c r="I43" s="52"/>
      <c r="J43" s="53"/>
    </row>
    <row r="44" spans="1:10" ht="30" customHeight="1" x14ac:dyDescent="0.3">
      <c r="A44" s="10"/>
      <c r="B44" s="89" t="s">
        <v>220</v>
      </c>
      <c r="C44" s="90"/>
      <c r="D44" s="90"/>
      <c r="E44" s="9">
        <v>0</v>
      </c>
      <c r="F44" s="26"/>
      <c r="G44" s="32"/>
      <c r="H44" s="33"/>
      <c r="I44" s="52"/>
      <c r="J44" s="53"/>
    </row>
    <row r="45" spans="1:10" ht="30" customHeight="1" x14ac:dyDescent="0.3">
      <c r="A45" s="10"/>
      <c r="B45" s="89" t="s">
        <v>221</v>
      </c>
      <c r="C45" s="90"/>
      <c r="D45" s="90"/>
      <c r="E45" s="9">
        <v>0</v>
      </c>
      <c r="F45" s="26"/>
      <c r="G45" s="32"/>
      <c r="H45" s="33"/>
      <c r="I45" s="52"/>
      <c r="J45" s="53"/>
    </row>
    <row r="46" spans="1:10" ht="30" customHeight="1" thickBot="1" x14ac:dyDescent="0.35">
      <c r="A46" s="10"/>
      <c r="B46" s="91" t="s">
        <v>222</v>
      </c>
      <c r="C46" s="92"/>
      <c r="D46" s="92"/>
      <c r="E46" s="44">
        <v>0</v>
      </c>
      <c r="F46" s="29"/>
      <c r="G46" s="37"/>
      <c r="H46" s="38"/>
      <c r="I46" s="65"/>
      <c r="J46" s="66"/>
    </row>
    <row r="47" spans="1:10" ht="30" customHeight="1" x14ac:dyDescent="0.3">
      <c r="A47" s="10"/>
      <c r="B47" s="93" t="s">
        <v>184</v>
      </c>
      <c r="C47" s="94"/>
      <c r="D47" s="94"/>
      <c r="E47" s="41"/>
      <c r="F47" s="34"/>
      <c r="G47" s="35"/>
      <c r="H47" s="36"/>
      <c r="I47" s="67"/>
      <c r="J47" s="68"/>
    </row>
    <row r="48" spans="1:10" ht="30" customHeight="1" x14ac:dyDescent="0.3">
      <c r="A48" s="10"/>
      <c r="B48" s="89" t="s">
        <v>223</v>
      </c>
      <c r="C48" s="90"/>
      <c r="D48" s="90"/>
      <c r="E48" s="9">
        <v>0</v>
      </c>
      <c r="F48" s="26"/>
      <c r="G48" s="32"/>
      <c r="H48" s="33"/>
      <c r="I48" s="52"/>
      <c r="J48" s="53"/>
    </row>
    <row r="49" spans="1:10" ht="30" customHeight="1" x14ac:dyDescent="0.3">
      <c r="A49" s="10"/>
      <c r="B49" s="89" t="s">
        <v>224</v>
      </c>
      <c r="C49" s="90"/>
      <c r="D49" s="90"/>
      <c r="E49" s="9">
        <v>0</v>
      </c>
      <c r="F49" s="26"/>
      <c r="G49" s="32"/>
      <c r="H49" s="33"/>
      <c r="I49" s="52"/>
      <c r="J49" s="53"/>
    </row>
    <row r="50" spans="1:10" ht="30" customHeight="1" x14ac:dyDescent="0.3">
      <c r="A50" s="10"/>
      <c r="B50" s="89" t="s">
        <v>225</v>
      </c>
      <c r="C50" s="90"/>
      <c r="D50" s="90"/>
      <c r="E50" s="9">
        <v>0</v>
      </c>
      <c r="F50" s="26"/>
      <c r="G50" s="32"/>
      <c r="H50" s="33"/>
      <c r="I50" s="52"/>
      <c r="J50" s="53"/>
    </row>
    <row r="51" spans="1:10" ht="30" customHeight="1" x14ac:dyDescent="0.3">
      <c r="A51" s="10"/>
      <c r="B51" s="89" t="s">
        <v>226</v>
      </c>
      <c r="C51" s="90"/>
      <c r="D51" s="90"/>
      <c r="E51" s="9">
        <v>0</v>
      </c>
      <c r="F51" s="26"/>
      <c r="G51" s="32"/>
      <c r="H51" s="33"/>
      <c r="I51" s="52"/>
      <c r="J51" s="53"/>
    </row>
    <row r="52" spans="1:10" ht="30" customHeight="1" x14ac:dyDescent="0.3">
      <c r="A52" s="10"/>
      <c r="B52" s="89" t="s">
        <v>227</v>
      </c>
      <c r="C52" s="90"/>
      <c r="D52" s="90"/>
      <c r="E52" s="9">
        <v>0</v>
      </c>
      <c r="F52" s="26"/>
      <c r="G52" s="32"/>
      <c r="H52" s="33"/>
      <c r="I52" s="52"/>
      <c r="J52" s="53"/>
    </row>
    <row r="53" spans="1:10" ht="30" customHeight="1" thickBot="1" x14ac:dyDescent="0.35">
      <c r="A53" s="10"/>
      <c r="B53" s="91" t="s">
        <v>228</v>
      </c>
      <c r="C53" s="92"/>
      <c r="D53" s="92"/>
      <c r="E53" s="43">
        <v>0</v>
      </c>
      <c r="F53" s="29"/>
      <c r="G53" s="37"/>
      <c r="H53" s="38"/>
      <c r="I53" s="65"/>
      <c r="J53" s="66"/>
    </row>
    <row r="54" spans="1:10" ht="30" customHeight="1" x14ac:dyDescent="0.3">
      <c r="A54" s="10"/>
      <c r="B54" s="87" t="s">
        <v>185</v>
      </c>
      <c r="C54" s="88"/>
      <c r="D54" s="88"/>
      <c r="E54" s="41"/>
      <c r="F54" s="34"/>
      <c r="G54" s="35"/>
      <c r="H54" s="36"/>
      <c r="I54" s="67"/>
      <c r="J54" s="68"/>
    </row>
    <row r="55" spans="1:10" ht="30" customHeight="1" x14ac:dyDescent="0.3">
      <c r="A55" s="10"/>
      <c r="B55" s="89" t="s">
        <v>229</v>
      </c>
      <c r="C55" s="90"/>
      <c r="D55" s="90"/>
      <c r="E55" s="9">
        <v>0</v>
      </c>
      <c r="F55" s="26"/>
      <c r="G55" s="32"/>
      <c r="H55" s="33"/>
      <c r="I55" s="52"/>
      <c r="J55" s="53"/>
    </row>
    <row r="56" spans="1:10" ht="30" customHeight="1" x14ac:dyDescent="0.3">
      <c r="A56" s="10"/>
      <c r="B56" s="89" t="s">
        <v>230</v>
      </c>
      <c r="C56" s="90"/>
      <c r="D56" s="90"/>
      <c r="E56" s="9">
        <v>0</v>
      </c>
      <c r="F56" s="26"/>
      <c r="G56" s="32"/>
      <c r="H56" s="33"/>
      <c r="I56" s="52"/>
      <c r="J56" s="53"/>
    </row>
    <row r="57" spans="1:10" ht="30" customHeight="1" thickBot="1" x14ac:dyDescent="0.35">
      <c r="A57" s="10"/>
      <c r="B57" s="91" t="s">
        <v>231</v>
      </c>
      <c r="C57" s="92"/>
      <c r="D57" s="92"/>
      <c r="E57" s="43">
        <v>0</v>
      </c>
      <c r="F57" s="29"/>
      <c r="G57" s="37"/>
      <c r="H57" s="38"/>
      <c r="I57" s="65"/>
      <c r="J57" s="66"/>
    </row>
    <row r="58" spans="1:10" ht="30" customHeight="1" x14ac:dyDescent="0.3">
      <c r="A58" s="10"/>
      <c r="B58" s="87" t="s">
        <v>186</v>
      </c>
      <c r="C58" s="88"/>
      <c r="D58" s="88"/>
      <c r="E58" s="41"/>
      <c r="F58" s="34"/>
      <c r="G58" s="35"/>
      <c r="H58" s="36"/>
      <c r="I58" s="67"/>
      <c r="J58" s="68"/>
    </row>
    <row r="59" spans="1:10" ht="30" customHeight="1" x14ac:dyDescent="0.3">
      <c r="A59" s="10"/>
      <c r="B59" s="89" t="s">
        <v>232</v>
      </c>
      <c r="C59" s="90"/>
      <c r="D59" s="90"/>
      <c r="E59" s="42">
        <v>0</v>
      </c>
      <c r="F59" s="26"/>
      <c r="G59" s="32"/>
      <c r="H59" s="33"/>
      <c r="I59" s="52"/>
      <c r="J59" s="53"/>
    </row>
    <row r="60" spans="1:10" ht="30" customHeight="1" x14ac:dyDescent="0.3">
      <c r="A60" s="10"/>
      <c r="B60" s="89" t="s">
        <v>233</v>
      </c>
      <c r="C60" s="90"/>
      <c r="D60" s="90"/>
      <c r="E60" s="42">
        <v>0</v>
      </c>
      <c r="F60" s="26"/>
      <c r="G60" s="32"/>
      <c r="H60" s="33"/>
      <c r="I60" s="52"/>
      <c r="J60" s="53"/>
    </row>
    <row r="61" spans="1:10" ht="30" customHeight="1" thickBot="1" x14ac:dyDescent="0.35">
      <c r="A61" s="10"/>
      <c r="B61" s="91" t="s">
        <v>234</v>
      </c>
      <c r="C61" s="92"/>
      <c r="D61" s="92"/>
      <c r="E61" s="44">
        <v>0</v>
      </c>
      <c r="F61" s="29"/>
      <c r="G61" s="37"/>
      <c r="H61" s="38"/>
      <c r="I61" s="65"/>
      <c r="J61" s="66"/>
    </row>
    <row r="62" spans="1:10" ht="30" customHeight="1" thickBot="1" x14ac:dyDescent="0.35">
      <c r="A62" s="10"/>
      <c r="B62" s="95" t="s">
        <v>187</v>
      </c>
      <c r="C62" s="96"/>
      <c r="D62" s="96"/>
      <c r="E62" s="45"/>
      <c r="F62" s="39"/>
      <c r="G62" s="40"/>
      <c r="H62" s="27"/>
      <c r="I62" s="81"/>
      <c r="J62" s="82"/>
    </row>
    <row r="63" spans="1:10" ht="30" customHeight="1" thickBot="1" x14ac:dyDescent="0.35">
      <c r="A63" s="4"/>
      <c r="B63" s="83" t="s">
        <v>5</v>
      </c>
      <c r="C63" s="84"/>
      <c r="D63" s="84"/>
      <c r="E63" s="31">
        <f>SUM(E8:E62)</f>
        <v>101</v>
      </c>
      <c r="F63" s="31">
        <f>SUM(F8:F62)</f>
        <v>75.75</v>
      </c>
      <c r="G63" s="49"/>
      <c r="H63" s="50"/>
      <c r="I63" s="50"/>
      <c r="J63" s="51"/>
    </row>
    <row r="64" spans="1:10" ht="30" customHeight="1" thickBot="1" x14ac:dyDescent="0.35">
      <c r="A64" s="4"/>
      <c r="B64" s="85" t="s">
        <v>54</v>
      </c>
      <c r="C64" s="86"/>
      <c r="D64" s="86"/>
      <c r="E64" s="61">
        <f>F63/E63/100*100</f>
        <v>0.75</v>
      </c>
      <c r="F64" s="61"/>
      <c r="G64" s="61"/>
      <c r="H64" s="61"/>
      <c r="I64" s="61"/>
      <c r="J64" s="62"/>
    </row>
    <row r="65" spans="1:10" ht="30" customHeight="1" thickBot="1" x14ac:dyDescent="0.35">
      <c r="A65" s="4"/>
      <c r="B65" s="85" t="s">
        <v>55</v>
      </c>
      <c r="C65" s="86"/>
      <c r="D65" s="86"/>
      <c r="E65" s="79" t="str">
        <f>_xlfn.IFS(E64&gt;=90%,"ممتاز",E64&gt;=80%,"جيد جداً",E64&gt;=70%,"جيد",E64&gt;=60%,"مقبول",E64&lt;60%,"راسب")</f>
        <v>جيد</v>
      </c>
      <c r="F65" s="79"/>
      <c r="G65" s="79"/>
      <c r="H65" s="79"/>
      <c r="I65" s="79"/>
      <c r="J65" s="80"/>
    </row>
    <row r="66" spans="1:10" ht="42" customHeight="1" x14ac:dyDescent="0.3">
      <c r="B66" s="75" t="s">
        <v>174</v>
      </c>
      <c r="C66" s="75"/>
      <c r="D66" s="75"/>
      <c r="E66" s="47" t="s">
        <v>52</v>
      </c>
      <c r="F66" s="47"/>
      <c r="G66" s="77" t="s">
        <v>138</v>
      </c>
      <c r="H66" s="77"/>
      <c r="I66" s="77"/>
      <c r="J66" s="77"/>
    </row>
    <row r="67" spans="1:10" ht="51" customHeight="1" x14ac:dyDescent="0.3">
      <c r="A67" s="5"/>
      <c r="B67" s="76"/>
      <c r="C67" s="76"/>
      <c r="D67" s="76"/>
      <c r="E67" s="48" t="s">
        <v>53</v>
      </c>
      <c r="F67" s="48"/>
      <c r="G67" s="78"/>
      <c r="H67" s="78"/>
      <c r="I67" s="78"/>
      <c r="J67" s="78"/>
    </row>
  </sheetData>
  <sheetProtection sheet="1" objects="1" scenarios="1" formatCells="0" formatColumns="0" formatRows="0" insertColumns="0" insertRows="0" insertHyperlinks="0" deleteColumns="0" deleteRows="0" selectLockedCells="1" sort="0" autoFilter="0" pivotTables="0"/>
  <mergeCells count="131">
    <mergeCell ref="B49:D49"/>
    <mergeCell ref="B50:D50"/>
    <mergeCell ref="B51:D51"/>
    <mergeCell ref="B52:D52"/>
    <mergeCell ref="B62:D6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3:D63"/>
    <mergeCell ref="B64:D64"/>
    <mergeCell ref="B65:D6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I46:J46"/>
    <mergeCell ref="I47:J47"/>
    <mergeCell ref="I48:J48"/>
    <mergeCell ref="I62:J62"/>
    <mergeCell ref="I32:J32"/>
    <mergeCell ref="I33:J33"/>
    <mergeCell ref="I34:J34"/>
    <mergeCell ref="I35:J35"/>
    <mergeCell ref="I36:J36"/>
    <mergeCell ref="I22:J22"/>
    <mergeCell ref="I23:J23"/>
    <mergeCell ref="I24:J24"/>
    <mergeCell ref="I25:J25"/>
    <mergeCell ref="B66:D67"/>
    <mergeCell ref="G66:J66"/>
    <mergeCell ref="G67:J67"/>
    <mergeCell ref="E65:J6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E66:F66"/>
    <mergeCell ref="E67:F67"/>
    <mergeCell ref="G63:J63"/>
    <mergeCell ref="I9:J9"/>
    <mergeCell ref="B1:J1"/>
    <mergeCell ref="F2:J2"/>
    <mergeCell ref="B5:D6"/>
    <mergeCell ref="C2:D2"/>
    <mergeCell ref="C3:D3"/>
    <mergeCell ref="F3:J3"/>
    <mergeCell ref="E64:J6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5">
    <cfRule type="expression" dxfId="14" priority="57">
      <formula>$E65="راسب"</formula>
    </cfRule>
  </conditionalFormatting>
  <conditionalFormatting sqref="E65:J65">
    <cfRule type="expression" dxfId="13" priority="60">
      <formula>$E65="جيد جداً"</formula>
    </cfRule>
    <cfRule type="expression" dxfId="12" priority="59">
      <formula>$E65="جيد"</formula>
    </cfRule>
    <cfRule type="expression" dxfId="11" priority="58">
      <formula>$E65="مقبول"</formula>
    </cfRule>
    <cfRule type="expression" dxfId="10" priority="61">
      <formula>$E65="ممتاز"</formula>
    </cfRule>
  </conditionalFormatting>
  <conditionalFormatting sqref="F8:F6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6:J66">
    <cfRule type="containsText" dxfId="6" priority="15" operator="containsText" text="أدخل اسم المحكم">
      <formula>NOT(ISERROR(SEARCH("أدخل اسم المحكم",G66)))</formula>
    </cfRule>
  </conditionalFormatting>
  <conditionalFormatting sqref="H8:H62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F59:F61 F28:F33 F48:F53 F40:F46 F35:F38 F57 F22:F25 F11:F16 F18:F20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G66:J66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570192A-4EB4-4965-B5BC-DA0969BD622B}">
          <x14:formula1>
            <xm:f>'بيانات التقييم'!$A$111:$A$153</xm:f>
          </x14:formula1>
          <xm:sqref>F9:F10 F62</xm:sqref>
        </x14:dataValidation>
        <x14:dataValidation type="list" allowBlank="1" showInputMessage="1" showErrorMessage="1" xr:uid="{1AC0C50F-05A7-44E0-895E-8B65F2A3A95A}">
          <x14:formula1>
            <xm:f>'بيانات التقييم'!$A$111:$A$145</xm:f>
          </x14:formula1>
          <xm:sqref>F17 F21 F27 F55 F56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338"/>
  <sheetViews>
    <sheetView rightToLeft="1" topLeftCell="A120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2025-10-08T06:11:23Z</dcterms:modified>
</cp:coreProperties>
</file>