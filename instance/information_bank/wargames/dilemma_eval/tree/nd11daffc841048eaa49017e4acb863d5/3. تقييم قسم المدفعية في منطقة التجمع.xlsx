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72ECC64-2569-D944-84DB-A547013B517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<sst xmlns="http://schemas.openxmlformats.org/spreadsheetml/2006/main" count="297" uniqueCount="211">
  <si>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</si>
  <si>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</si>
  <si>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</si>
  <si>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</si>
  <si>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</si>
  <si>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</si>
  <si>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</si>
  <si>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</si>
  <si>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</si>
  <si>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</si>
  <si>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</si>
  <si>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</si>
  <si>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</si>
  <si>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</si>
  <si>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</si>
  <si>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</si>
  <si>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</si>
  <si>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</si>
  <si>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</si>
  <si>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</si>
  <si>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</si>
  <si>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</si>
  <si>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</si>
  <si>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</si>
  <si>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</si>
  <si>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</si>
  <si>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</si>
  <si>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</si>
  <si>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</si>
  <si>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</si>
  <si>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</si>
  <si>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</si>
  <si>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</si>
  <si>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</si>
  <si>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</si>
  <si>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</si>
  <si>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</si>
  <si>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</si>
  <si>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</si>
  <si>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</si>
  <si>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</si>
  <si>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</si>
  <si>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</si>
  <si>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</si>
  <si>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</si>
  <si>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</si>
  <si>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</si>
  <si>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</si>
  <si>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</si>
  <si>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</si>
  <si>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</si>
  <si>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</si>
  <si>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</si>
  <si>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</si>
  <si>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</si>
  <si>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</si>
  <si>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</si>
  <si>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</si>
  <si>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</si>
  <si>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</si>
  <si>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</si>
  <si>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</si>
  <si>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</si>
  <si>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</si>
  <si>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</si>
  <si>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</si>
  <si>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</si>
  <si>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</si>
  <si>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</si>
  <si>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</si>
  <si>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</si>
  <si>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</si>
  <si>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</si>
  <si>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</si>
  <si>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</si>
  <si>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</si>
  <si>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</si>
  <si>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</si>
  <si>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</si>
  <si>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</si>
  <si>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</si>
  <si>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</si>
  <si>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</si>
  <si>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</si>
  <si>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</si>
  <si>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</si>
  <si>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</si>
  <si>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</si>
  <si>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</si>
  <si>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</si>
  <si>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</si>
  <si>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</si>
  <si>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</si>
  <si>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</si>
  <si>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</si>
  <si>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</si>
  <si>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</si>
  <si>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</si>
  <si>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</si>
  <si>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</si>
  <si>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</si>
  <si>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</si>
  <si>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</si>
  <si>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</si>
  <si>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</si>
  <si>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</si>
  <si>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</si>
  <si>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</si>
  <si>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</si>
  <si>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</si>
  <si>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</si>
  <si>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</si>
  <si>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</si>
  <si>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</si>
  <si>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</si>
  <si>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</si>
  <si>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</si>
  <si>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</si>
  <si>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</si>
  <si>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</si>
  <si>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</si>
  <si>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</si>
  <si>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</si>
  <si>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</si>
  <si>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</si>
  <si>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</si>
  <si>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</si>
  <si>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</si>
  <si>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</si>
  <si>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</si>
  <si>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</si>
  <si>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</si>
  <si>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</si>
  <si>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</si>
  <si>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</si>
  <si>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</si>
  <si>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</si>
  <si>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</si>
  <si>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</si>
  <si>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</si>
  <si>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</si>
  <si>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</si>
  <si>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</si>
  <si>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</si>
  <si>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</si>
  <si>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</si>
  <si>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</si>
  <si>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</si>
  <si>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</si>
  <si>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</si>
  <si>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</si>
  <si>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</si>
  <si>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</si>
  <si>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</si>
  <si>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</si>
  <si>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</si>
  <si>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</si>
  <si>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</si>
  <si>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</si>
  <si>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</si>
  <si>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</si>
  <si>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</si>
  <si>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</si>
  <si>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</si>
  <si>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</si>
  <si>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</si>
  <si>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</si>
  <si>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</si>
  <si>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</si>
  <si>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</si>
  <si>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</si>
  <si>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</si>
  <si>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</si>
  <si>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</si>
  <si>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</si>
  <si>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</si>
  <si>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</si>
  <si>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</si>
  <si>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</si>
  <si>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</si>
  <si>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</si>
  <si>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</si>
  <si>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</si>
  <si>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</si>
  <si>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 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</si>
  <si>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</si>
  <si>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</si>
  <si>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</si>
  <si>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t>ح. تأشير مواقع الإسناد (الصيانة - الإسناد الطبي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</si>
  <si>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</si>
  <si>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التأكد من التوزيع الدائري في منطقه التجمع.</t>
  </si>
  <si>
    <t>ب. تحديد الطرق إلى منطقه التجمع (نقاط الضبط والسيطرة).</t>
  </si>
  <si>
    <t>جـ. تحديد الاتصالات واللاسلكية ومد الخطوط السلكية.</t>
  </si>
  <si>
    <t>د. إخراج الدوريات والمراقبات.</t>
  </si>
  <si>
    <t>هـ. بناء الأسلاك الشائكة عند الضرورة.</t>
  </si>
  <si>
    <t>و. تحديد المواقع البديلة في حال التعرض للهجوم.</t>
  </si>
  <si>
    <t>ز. التأكد من استخدام وفاعليه أجهزة المراقبة الليلية.</t>
  </si>
  <si>
    <t>ح. الحماية بالنيران.</t>
  </si>
  <si>
    <t>ط. انتخاب نقاط مرجع (GPS) حول منطقه التجمع.</t>
  </si>
  <si>
    <r>
      <t xml:space="preserve">ي. </t>
    </r>
    <r>
      <rPr>
        <sz val="12"/>
        <color theme="1"/>
        <rFont val="Arial"/>
        <family val="2"/>
      </rPr>
      <t>تحديد خطه استخدام المدفعية وخطوط النيران.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</si>
  <si>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</si>
  <si>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استكمال النقص في الذخيرة.</t>
  </si>
  <si>
    <t>ب. استكمال النقص في الوقود.</t>
  </si>
  <si>
    <t>جـ. استكمال مواد الإسناد الإداري.</t>
  </si>
  <si>
    <t>د. تفقد شبكات الاتصالات.</t>
  </si>
  <si>
    <t>هـ. تفقد وصيانته الآليات والأسلحة.</t>
  </si>
  <si>
    <t>إجمالـي العلامـــــــات</t>
  </si>
  <si>
    <t xml:space="preserve">النسبـــــة المئويـــــة </t>
  </si>
  <si>
    <t>%</t>
  </si>
  <si>
    <t>التقديـــــر العـــــــام</t>
  </si>
  <si>
    <r>
      <rPr>
        <b/>
        <sz val="14"/>
        <color rgb="FF000000"/>
        <rFont val="Arial"/>
        <family val="2"/>
      </rPr>
      <t>تقييم قسم المدفعية في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</si>
</sst>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4B4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5" borderId="19" xfId="0" applyFont="1" applyFill="1" applyBorder="1" applyAlignment="1">
      <alignment horizontal="center" vertical="center" wrapText="1" readingOrder="2"/>
    </xf>
    <xf numFmtId="0" fontId="13" fillId="0" borderId="21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23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center" vertical="center" wrapText="1" readingOrder="2"/>
    </xf>
    <xf numFmtId="0" fontId="2" fillId="5" borderId="18" xfId="0" applyFont="1" applyFill="1" applyBorder="1" applyAlignment="1">
      <alignment horizontal="right" vertical="center" wrapText="1" readingOrder="2"/>
    </xf>
    <xf numFmtId="0" fontId="12" fillId="0" borderId="20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right" vertical="center" wrapText="1"/>
    </xf>
    <xf numFmtId="0" fontId="12" fillId="0" borderId="22" xfId="0" applyFont="1" applyBorder="1" applyAlignment="1">
      <alignment horizontal="right" vertical="center" wrapText="1"/>
    </xf>
    <xf numFmtId="0" fontId="2" fillId="5" borderId="22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25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25" xfId="0" applyFont="1" applyFill="1" applyBorder="1" applyAlignment="1" applyProtection="1">
      <alignment horizontal="center" vertical="center" wrapText="1" readingOrder="2"/>
      <protection locked="0"/>
    </xf>
    <xf numFmtId="0" fontId="6" fillId="4" borderId="26" xfId="0" applyFont="1" applyFill="1" applyBorder="1" applyAlignment="1" applyProtection="1">
      <alignment horizontal="center" vertical="center" wrapText="1" readingOrder="2"/>
      <protection locked="0"/>
    </xf>
    <xf numFmtId="0" fontId="12" fillId="0" borderId="28" xfId="0" applyFont="1" applyBorder="1" applyAlignment="1">
      <alignment horizontal="right" vertical="center" wrapText="1" readingOrder="2"/>
    </xf>
    <xf numFmtId="0" fontId="12" fillId="0" borderId="29" xfId="0" applyFont="1" applyBorder="1" applyAlignment="1">
      <alignment horizontal="right" vertical="center" wrapText="1" readingOrder="2"/>
    </xf>
    <xf numFmtId="0" fontId="12" fillId="0" borderId="30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7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4" xfId="0" applyFont="1" applyFill="1" applyBorder="1" applyAlignment="1" applyProtection="1">
      <alignment horizontal="center" vertical="center" wrapText="1" readingOrder="2"/>
      <protection locked="0"/>
    </xf>
    <xf numFmtId="0" fontId="7" fillId="4" borderId="2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5" fillId="0" borderId="11" xfId="0" applyFont="1" applyBorder="1" applyAlignment="1">
      <alignment horizontal="right" vertical="center" wrapText="1" indent="2"/>
    </xf>
    <xf numFmtId="0" fontId="15" fillId="0" borderId="12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12" fillId="0" borderId="19" xfId="0" applyFont="1" applyBorder="1" applyAlignment="1">
      <alignment horizontal="center" vertical="center" wrapText="1" readingOrder="2"/>
    </xf>
    <xf numFmtId="0" fontId="12" fillId="0" borderId="1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327788</xdr:colOff>
      <xdr:row>37</xdr:row>
      <xdr:rowOff>95308</xdr:rowOff>
    </xdr:from>
    <xdr:to>
      <xdr:col>9</xdr:col>
      <xdr:colOff>550597</xdr:colOff>
      <xdr:row>37</xdr:row>
      <xdr:rowOff>334708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8CB290F-C126-FC97-4215-5652550FCB88}"/>
                </a:ext>
              </a:extLst>
            </xdr14:cNvPr>
            <xdr14:cNvContentPartPr/>
          </xdr14:nvContentPartPr>
          <xdr14:nvPr macro=""/>
          <xdr14:xfrm>
            <a:off x="10398036222" y="14342400"/>
            <a:ext cx="2197080" cy="239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8CB290F-C126-FC97-4215-5652550FCB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30102" y="14336280"/>
              <a:ext cx="220932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235978</xdr:colOff>
      <xdr:row>37</xdr:row>
      <xdr:rowOff>39508</xdr:rowOff>
    </xdr:from>
    <xdr:to>
      <xdr:col>9</xdr:col>
      <xdr:colOff>369517</xdr:colOff>
      <xdr:row>37</xdr:row>
      <xdr:rowOff>304828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80291AF-365E-C872-7C5A-EEE6030F824B}"/>
                </a:ext>
              </a:extLst>
            </xdr14:cNvPr>
            <xdr14:cNvContentPartPr/>
          </xdr14:nvContentPartPr>
          <xdr14:nvPr macro=""/>
          <xdr14:xfrm>
            <a:off x="10398217302" y="14286600"/>
            <a:ext cx="1449720" cy="265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80291AF-365E-C872-7C5A-EEE6030F824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211182" y="14280480"/>
              <a:ext cx="146196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601738</xdr:colOff>
      <xdr:row>37</xdr:row>
      <xdr:rowOff>18988</xdr:rowOff>
    </xdr:from>
    <xdr:to>
      <xdr:col>9</xdr:col>
      <xdr:colOff>526837</xdr:colOff>
      <xdr:row>37</xdr:row>
      <xdr:rowOff>225628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021619F-DE07-7685-243F-AF5EA7191ED6}"/>
                </a:ext>
              </a:extLst>
            </xdr14:cNvPr>
            <xdr14:cNvContentPartPr/>
          </xdr14:nvContentPartPr>
          <xdr14:nvPr macro=""/>
          <xdr14:xfrm>
            <a:off x="10398059982" y="14266080"/>
            <a:ext cx="1241280" cy="2066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021619F-DE07-7685-243F-AF5EA7191E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053862" y="14259960"/>
              <a:ext cx="125352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369548</xdr:colOff>
      <xdr:row>37</xdr:row>
      <xdr:rowOff>43828</xdr:rowOff>
    </xdr:from>
    <xdr:to>
      <xdr:col>6</xdr:col>
      <xdr:colOff>379268</xdr:colOff>
      <xdr:row>37</xdr:row>
      <xdr:rowOff>101428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8608D96-4BC9-208F-D8F9-04171AA8B28A}"/>
                </a:ext>
              </a:extLst>
            </xdr14:cNvPr>
            <xdr14:cNvContentPartPr/>
          </xdr14:nvContentPartPr>
          <xdr14:nvPr macro=""/>
          <xdr14:xfrm>
            <a:off x="10400181822" y="14290920"/>
            <a:ext cx="9720" cy="57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8608D96-4BC9-208F-D8F9-04171AA8B28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175702" y="14284800"/>
              <a:ext cx="21960" cy="69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2:0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4960 664 21780,'0'0'0,"17"-28"1416,0 6-1087,5-1-249,-22 23-80,25-15 0,3 15 0,-2 0 40,-2-2-40,-24 2 0,22-2 0,-4-3-24,0-10-32,-5 2 0,-13 13 56,3-17-145,10-3 17,-13-4 48,0-3 56,0 27 24,0-32 192,3 1 305,-3-6 247,4 2 224,-4 35-968,11-36 864,-8 2-224,8 6-232,-7 1-160,-4 27-248,16-23 192,-4 4-136,2 4 8,1 1-216,-15 14 152,13-12-40,3-1-80,-5 2-24,2 5 8,-13 6 136,4-12-216,9 7 8,-10-6 64,1 7 0,-4 4 144,4-6-24,1-5 64,-3 8-112,-2-2 56,0 5 16,0-4-24,3 0 32,0 0 40,0 1-24,-3 3-24,3-2 32,0 1-232,0 0 184,-1-1-128,-2 2 144,5 0-184,9 0 152,-3 0-136,1 12 152,-12-12 16,17 4-16,1 13-24,5-4 8,1 2 48,-24-15-16,24 16 16,-1 2 56,3-1-48,-1 3-32,-25-20 8,27 19-48,4 1-80,3 2 88,1 1 56,-35-23-16,35 23 24,-2-2 64,-2-1-72,-2 0-64,-29-20 48,28 19-24,-2-4 8,-1-2 56,-2-9-8,-23-4-32,18 13-16,-2-10 0,0 0 48,-3 0 8,-13-3-40,4 2 56,11-2 0,-15 0-64,5 0-8,-5 0 16,11 3-56,-11-3-48,4 3 24,-1 0 48,-3-3 32,4 3 16,1 0-32,-3-3 0,-2 2-56,0-2 72,0 0-64,0 0-8,0 0-40,-1 0 64,1 0 48,-4 3-40,-10 0 128,-4-3 104,-3 0-64,21 0-128,-30 0 128,-8-1 48,-6-4-120,-9-6 88,53 11-144,-61-4 144,-4-9-104,-8 7-8,-1-8-8,74 14-24,-74-11 0,1 5 48,-1-7 32,2 9-8,72 4-72,-71-6 88,1 2 104,-2-2 128,-3 2-120,75 4-200,-80-4 312,-2 1-48,-5-1-7,1 2 23,86 2-280,-89-1 256,4 1-48,3 3-96,-2 10-72,84-13-40,-83 12 96,2 5-72,-3 2 8,-1-1 72,85-18-104,-85 19-16,0-2 48,-2 1 48,-1 1 8,88-19-88,-87 16 0,-4-1-32,3-1-144,1-1-40,87-13 216,-89 13-16,0-2-16,3 1-8,-2-8 80,88-4-40,-84 14-40,2-11 8,-4 8 104,4-11-176,82 0 104,-87 0-40,2 0 40,-1 0 40,7 0 80,79 0-120,-80 0 32,3 0-32,3 3-32,1 0-104,73-3 136,-70 4 16,2 1-16,1 6-72,-3-8 112,70-3-40,-68 3-8,0-1 16,-5 1 88,-1-3-56,74 0-40,-74 0 48,-1 0 0,0-3 24,4-1 8,71 4-80,-71-11 72,3 8 48,3-3 8,4 1 8,61 5-136,-58-5 168,1 1-80,5 1-8,2 2 24,50 1-104,-46 0-72,5 0 128,1 4-24,2 7-64,38-11 32,-34 3 160,0 9-160,3-9-16,1 9-48,30-12 64,-30 3-64,1 1 8,7 9-24,-2-13 64,24 0 16,-25 3-48,3 0 48,-4-3 16,0-1-48,26 1 32,-27-6-40,0-10 40,0 3 0,2-1 32,25 14-32,-17-11 56,-1-2-8,13 7 0,-6-6 24,11 12-72,-2-5 96,2-6-48,0 9 8,12-2-40,-12 4-16,0-3-32,2 2 8,11 0-24,-10 1-104,-3 0 152,14 0-264,-3 0-424,1 2-921,5 3-2567,-17-5 4176,30 4-8626,3 0-1288,-33-4 9914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2:10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3975 405 17595,'0'0'0,"14"-17"1497,-10 6-833,13-3-344,-17 14-320,5-5 264,-1 1 96,0 0 48,-1-2 8,-3 6-416,0-5 360,0-1-96,-4-7-80,-9 2-40,13 11-144,-12-15 104,-2-2 48,0-3 312,-1 1 217,15 19-681,-16-22 896,5 4 48,5 1-176,-7 0-176,13 17-592,-4-16 152,-2 0-96,0 4 208,2 0-136,4 12-128,-4-5 384,0-10-23,-1 11-409,1-7 8,4 11 40,-4-5-64,-8 0-8,8-7 24,-9 8 96,13 4-48,-11-6-16,0-5-16,-2 7-57,-6-2 49,19 6 40,-18-11-88,-3 6 88,-2 3-48,3 0-8,20 2 56,-20 0-48,1 0-96,7 4 8,-3 11-128,15-15 264,-5 11-232,-6 0-40,9 4-72,2 2 8,0-17 336,4 17-336,10 3-16,-2 1 72,3-1 24,-15-20 256,18 21-248,-1-2 56,-2-2 8,4 0 104,-19-17 80,18 14-72,2 2-8,2 1 96,-4-2-32,-18-15 16,18 16 16,1 1 8,-5 0-8,-1-1 24,-13-16-40,4 17 32,0-3-32,-4-1 48,0-2-56,0-11 8,-4 4 40,-10 11 40,-2-13-24,-5 10 24,21-12-80,-29 3 152,-8 1 56,-4-1 64,-4 0-40,45-3-232,-55 3 224,-8-1-8,-8 1-176,-7-3 120,78 0-160,-87 3 88,-7-3-88,-10 0 112,-7-1-72,111 1-40,-113-3 72,-8 0 40,-3-1 8,-2-1-48,126 5-72,-127-2 160,2 0-32,3 1 16,1 1-56,121 0-88,-118 0 88,-1 4-16,2 9-56,2-9 56,115-4-72,-114 16 16,3-5 40,2 0-56,1 1 40,108-12-40,-104 4-8,5 16-8,5-7 56,3 2-64,91-15 24,-86 17 8,11 3-104,7 2-144,7-1-144,61-21 384,-54 20-664,3-2-264,4-1-248,6-2-137,41-15 1313,-39 11-1384,4-7-136,0 1 87,3-5 337,32 0 1096,-30 0-824,4-5 520,5-8 272,4 8 88,17 5-56,-13-13-32,10 9-800,3-10-2049,15 11-4496,-15 3 7377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2:1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3357 373 17107,'0'0'0,"0"0"0,-4-6 1160,-9-5-687,7 6-329,1 1 136,2 3 136,0-1 224,1 1 104,-2-3-136,4 4-608,-4-5 288,-2-7-128,-8-1-32,0-3 40,14 16-168,-16-18 160,-2-4 160,-2 1 16,-1-2 73,21 23-409,-19-24 680,-1 1-208,6 1-40,1 0-168,13 22-264,-13-18 184,9-1-40,-11 4-64,10-2 24,5 17-104,-4-16 72,0 3-32,1 8 64,0-7 48,3 12-152,-2-1-24,2-1-40,0 2-200,16 3-304,-16-3 568,19 13-656,5 1-216,3 5-313,1 1-407,-28-20 1592,32 19-1816,-3 1 191,3 0 449,-3-3 608,-29-17 568,25 17-136,-3-2 168,-2-4 240,-1-7 416,-19-4-688,17 5 1136,-4-1 313,-10 0 143,1-1-192,-4-3-1400,4 0 1040,-4 0-327,0 0-305,0 3-208,0-3-200,-3 3 136,-14 1-56,-3 9 48,-8-11 16,28-2-144,-37 12 136,-9-9 72,-6 8-88,-14-7-64,66-4-56,-73 12 40,-10-9-24,-9 1 56,-2 9 24,94-13-96,-101 2 56,-6 10-296,-5-12 240,-9 11-32,121-11 32,-125 3 48,-9 1 232,2 8-288,-4-12 72,136 0-64,-131 4 0,0 7 32,1-11 80,-1 12-80,131-12-32,-128 3 128,11 8 32,12 0-88,8 1-48,97-12-24,-91 14 64,9 0-64,4 0 56,4 2 56,74-16-112,-70 16 0,2-2 88,2-1-88,5-1-40,61-12 40,-58 12-120,3-1-120,4-7-192,5 1-224,46-5 656,-38 12-1152,8-9-1161,9 2-992,15-3-3480,6-2 6785,-3 3-7874,3-3 7874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2:11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0 160 24341,'0'0'0,"0"0"0,5-54 2552,7 12-2048,-9 0 225,0 21-289,-3 21-440,3 0-993,-3 21-2567,-1 3-5874,-15 9-336,16-33 9770,0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21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6" t="s">
        <v>210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2">
      <c r="B2" s="12" t="s">
        <v>8</v>
      </c>
      <c r="C2" s="82" t="s">
        <v>48</v>
      </c>
      <c r="D2" s="82"/>
      <c r="E2" s="12" t="s">
        <v>7</v>
      </c>
      <c r="F2" s="77">
        <v>45939</v>
      </c>
      <c r="G2" s="77"/>
      <c r="H2" s="77"/>
      <c r="I2" s="77"/>
      <c r="J2" s="77"/>
    </row>
    <row r="3" spans="1:10" ht="30" customHeight="1" x14ac:dyDescent="0.2">
      <c r="B3" s="12" t="s">
        <v>9</v>
      </c>
      <c r="C3" s="82" t="s">
        <v>68</v>
      </c>
      <c r="D3" s="82"/>
      <c r="E3" s="12" t="s">
        <v>6</v>
      </c>
      <c r="F3" s="82" t="s">
        <v>114</v>
      </c>
      <c r="G3" s="82"/>
      <c r="H3" s="82"/>
      <c r="I3" s="82"/>
      <c r="J3" s="8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5" customHeight="1" thickBot="1" x14ac:dyDescent="0.25">
      <c r="A6" s="10"/>
      <c r="B6" s="80"/>
      <c r="C6" s="81"/>
      <c r="D6" s="81"/>
      <c r="E6" s="11" t="s">
        <v>3</v>
      </c>
      <c r="F6" s="11" t="s">
        <v>4</v>
      </c>
      <c r="G6" s="11" t="s">
        <v>23</v>
      </c>
      <c r="H6" s="11" t="s">
        <v>24</v>
      </c>
      <c r="I6" s="89"/>
      <c r="J6" s="90"/>
    </row>
    <row r="7" spans="1:10" ht="24.95" customHeight="1" thickBot="1" x14ac:dyDescent="0.25">
      <c r="A7" s="10"/>
      <c r="B7" s="85" t="s">
        <v>21</v>
      </c>
      <c r="C7" s="86"/>
      <c r="D7" s="86"/>
      <c r="E7" s="43" t="s">
        <v>18</v>
      </c>
      <c r="F7" s="43" t="s">
        <v>19</v>
      </c>
      <c r="G7" s="43" t="s">
        <v>22</v>
      </c>
      <c r="H7" s="43" t="s">
        <v>20</v>
      </c>
      <c r="I7" s="59" t="s">
        <v>25</v>
      </c>
      <c r="J7" s="60"/>
    </row>
    <row r="8" spans="1:10" ht="30" customHeight="1" x14ac:dyDescent="0.2">
      <c r="A8" s="10"/>
      <c r="B8" s="61" t="s">
        <v>180</v>
      </c>
      <c r="C8" s="62"/>
      <c r="D8" s="62"/>
      <c r="E8" s="62"/>
      <c r="F8" s="62"/>
      <c r="G8" s="62"/>
      <c r="H8" s="62"/>
      <c r="I8" s="62"/>
      <c r="J8" s="63"/>
    </row>
    <row r="9" spans="1:10" ht="30" customHeight="1" x14ac:dyDescent="0.2">
      <c r="A9" s="10"/>
      <c r="B9" s="68" t="s">
        <v>181</v>
      </c>
      <c r="C9" s="69"/>
      <c r="D9" s="69"/>
      <c r="E9" s="46">
        <v>5</v>
      </c>
      <c r="F9" s="26">
        <v>4</v>
      </c>
      <c r="G9" s="44">
        <f>IFERROR(F9/E9,"")</f>
        <v>0.8</v>
      </c>
      <c r="H9" s="4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0" customHeight="1" x14ac:dyDescent="0.2">
      <c r="A10" s="10"/>
      <c r="B10" s="68" t="s">
        <v>182</v>
      </c>
      <c r="C10" s="69"/>
      <c r="D10" s="69"/>
      <c r="E10" s="46">
        <v>5</v>
      </c>
      <c r="F10" s="50">
        <v>4.25</v>
      </c>
      <c r="G10" s="44">
        <f t="shared" ref="G10:G33" si="0">IFERROR(F10/E10,"")</f>
        <v>0.85</v>
      </c>
      <c r="H10" s="45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0" customHeight="1" x14ac:dyDescent="0.2">
      <c r="A11" s="10"/>
      <c r="B11" s="68" t="s">
        <v>183</v>
      </c>
      <c r="C11" s="69"/>
      <c r="D11" s="69"/>
      <c r="E11" s="46">
        <v>5</v>
      </c>
      <c r="F11" s="50">
        <v>4</v>
      </c>
      <c r="G11" s="44">
        <f t="shared" si="0"/>
        <v>0.8</v>
      </c>
      <c r="H11" s="45" t="str">
        <f t="shared" si="1"/>
        <v>جيد جداً</v>
      </c>
      <c r="I11" s="57"/>
      <c r="J11" s="58"/>
    </row>
    <row r="12" spans="1:10" ht="30" customHeight="1" x14ac:dyDescent="0.2">
      <c r="A12" s="10"/>
      <c r="B12" s="68" t="s">
        <v>184</v>
      </c>
      <c r="C12" s="69"/>
      <c r="D12" s="69"/>
      <c r="E12" s="46">
        <v>5</v>
      </c>
      <c r="F12" s="50">
        <v>3</v>
      </c>
      <c r="G12" s="44">
        <f t="shared" si="0"/>
        <v>0.6</v>
      </c>
      <c r="H12" s="45" t="str">
        <f t="shared" si="1"/>
        <v>مقبول</v>
      </c>
      <c r="I12" s="57"/>
      <c r="J12" s="58"/>
    </row>
    <row r="13" spans="1:10" ht="30" customHeight="1" x14ac:dyDescent="0.2">
      <c r="A13" s="10"/>
      <c r="B13" s="68" t="s">
        <v>185</v>
      </c>
      <c r="C13" s="69"/>
      <c r="D13" s="69"/>
      <c r="E13" s="46">
        <v>5</v>
      </c>
      <c r="F13" s="51">
        <v>4</v>
      </c>
      <c r="G13" s="44">
        <f t="shared" si="0"/>
        <v>0.8</v>
      </c>
      <c r="H13" s="45" t="str">
        <f t="shared" si="1"/>
        <v>جيد جداً</v>
      </c>
      <c r="I13" s="57"/>
      <c r="J13" s="58"/>
    </row>
    <row r="14" spans="1:10" ht="30" customHeight="1" x14ac:dyDescent="0.2">
      <c r="A14" s="10"/>
      <c r="B14" s="68" t="s">
        <v>186</v>
      </c>
      <c r="C14" s="69"/>
      <c r="D14" s="69"/>
      <c r="E14" s="46">
        <v>5</v>
      </c>
      <c r="F14" s="51">
        <v>3</v>
      </c>
      <c r="G14" s="44">
        <f t="shared" si="0"/>
        <v>0.6</v>
      </c>
      <c r="H14" s="45" t="str">
        <f t="shared" si="1"/>
        <v>مقبول</v>
      </c>
      <c r="I14" s="57"/>
      <c r="J14" s="58"/>
    </row>
    <row r="15" spans="1:10" ht="30" customHeight="1" x14ac:dyDescent="0.2">
      <c r="A15" s="10"/>
      <c r="B15" s="68" t="s">
        <v>187</v>
      </c>
      <c r="C15" s="69"/>
      <c r="D15" s="69"/>
      <c r="E15" s="46">
        <v>5</v>
      </c>
      <c r="F15" s="51">
        <v>4</v>
      </c>
      <c r="G15" s="44">
        <f t="shared" si="0"/>
        <v>0.8</v>
      </c>
      <c r="H15" s="45" t="str">
        <f t="shared" si="1"/>
        <v>جيد جداً</v>
      </c>
      <c r="I15" s="57"/>
      <c r="J15" s="58"/>
    </row>
    <row r="16" spans="1:10" ht="30" customHeight="1" thickBot="1" x14ac:dyDescent="0.25">
      <c r="A16" s="10"/>
      <c r="B16" s="91" t="s">
        <v>188</v>
      </c>
      <c r="C16" s="92"/>
      <c r="D16" s="92"/>
      <c r="E16" s="47">
        <v>5</v>
      </c>
      <c r="F16" s="51">
        <v>3.5</v>
      </c>
      <c r="G16" s="48">
        <f t="shared" si="0"/>
        <v>0.7</v>
      </c>
      <c r="H16" s="49" t="str">
        <f t="shared" si="1"/>
        <v>جيد</v>
      </c>
      <c r="I16" s="64"/>
      <c r="J16" s="65"/>
    </row>
    <row r="17" spans="1:10" ht="30" customHeight="1" x14ac:dyDescent="0.2">
      <c r="A17" s="10"/>
      <c r="B17" s="61" t="s">
        <v>189</v>
      </c>
      <c r="C17" s="62"/>
      <c r="D17" s="62"/>
      <c r="E17" s="62"/>
      <c r="F17" s="62"/>
      <c r="G17" s="62"/>
      <c r="H17" s="62"/>
      <c r="I17" s="62"/>
      <c r="J17" s="63"/>
    </row>
    <row r="18" spans="1:10" ht="30" customHeight="1" x14ac:dyDescent="0.2">
      <c r="A18" s="10"/>
      <c r="B18" s="68" t="s">
        <v>190</v>
      </c>
      <c r="C18" s="69"/>
      <c r="D18" s="69"/>
      <c r="E18" s="46">
        <v>5</v>
      </c>
      <c r="F18" s="26">
        <v>3.75</v>
      </c>
      <c r="G18" s="44">
        <f t="shared" si="0"/>
        <v>0.75</v>
      </c>
      <c r="H18" s="45" t="str">
        <f t="shared" si="1"/>
        <v>جيد</v>
      </c>
      <c r="I18" s="57"/>
      <c r="J18" s="58"/>
    </row>
    <row r="19" spans="1:10" ht="30" customHeight="1" x14ac:dyDescent="0.2">
      <c r="A19" s="10"/>
      <c r="B19" s="68" t="s">
        <v>191</v>
      </c>
      <c r="C19" s="69"/>
      <c r="D19" s="69"/>
      <c r="E19" s="46">
        <v>5</v>
      </c>
      <c r="F19" s="50">
        <v>3</v>
      </c>
      <c r="G19" s="44">
        <f t="shared" si="0"/>
        <v>0.6</v>
      </c>
      <c r="H19" s="45" t="str">
        <f t="shared" si="1"/>
        <v>مقبول</v>
      </c>
      <c r="I19" s="57"/>
      <c r="J19" s="58"/>
    </row>
    <row r="20" spans="1:10" ht="30" customHeight="1" x14ac:dyDescent="0.2">
      <c r="A20" s="10"/>
      <c r="B20" s="68" t="s">
        <v>192</v>
      </c>
      <c r="C20" s="69"/>
      <c r="D20" s="69"/>
      <c r="E20" s="46">
        <v>5</v>
      </c>
      <c r="F20" s="50">
        <v>3.5</v>
      </c>
      <c r="G20" s="44">
        <f t="shared" si="0"/>
        <v>0.7</v>
      </c>
      <c r="H20" s="45" t="str">
        <f t="shared" si="1"/>
        <v>جيد</v>
      </c>
      <c r="I20" s="57"/>
      <c r="J20" s="58"/>
    </row>
    <row r="21" spans="1:10" ht="30" customHeight="1" x14ac:dyDescent="0.2">
      <c r="A21" s="10"/>
      <c r="B21" s="68" t="s">
        <v>193</v>
      </c>
      <c r="C21" s="69"/>
      <c r="D21" s="69"/>
      <c r="E21" s="46">
        <v>5</v>
      </c>
      <c r="F21" s="50">
        <v>3.75</v>
      </c>
      <c r="G21" s="44">
        <f t="shared" si="0"/>
        <v>0.75</v>
      </c>
      <c r="H21" s="45" t="str">
        <f t="shared" si="1"/>
        <v>جيد</v>
      </c>
      <c r="I21" s="57"/>
      <c r="J21" s="58"/>
    </row>
    <row r="22" spans="1:10" ht="30" customHeight="1" x14ac:dyDescent="0.2">
      <c r="A22" s="10"/>
      <c r="B22" s="68" t="s">
        <v>194</v>
      </c>
      <c r="C22" s="69"/>
      <c r="D22" s="69"/>
      <c r="E22" s="46">
        <v>5</v>
      </c>
      <c r="F22" s="50">
        <v>3.5</v>
      </c>
      <c r="G22" s="44">
        <f t="shared" si="0"/>
        <v>0.7</v>
      </c>
      <c r="H22" s="45" t="str">
        <f t="shared" si="1"/>
        <v>جيد</v>
      </c>
      <c r="I22" s="57"/>
      <c r="J22" s="58"/>
    </row>
    <row r="23" spans="1:10" ht="30" customHeight="1" x14ac:dyDescent="0.2">
      <c r="A23" s="10"/>
      <c r="B23" s="68" t="s">
        <v>195</v>
      </c>
      <c r="C23" s="69"/>
      <c r="D23" s="69"/>
      <c r="E23" s="46">
        <v>5</v>
      </c>
      <c r="F23" s="50">
        <v>4.25</v>
      </c>
      <c r="G23" s="44">
        <f t="shared" si="0"/>
        <v>0.85</v>
      </c>
      <c r="H23" s="45" t="str">
        <f t="shared" si="1"/>
        <v>جيد جداً</v>
      </c>
      <c r="I23" s="57"/>
      <c r="J23" s="58"/>
    </row>
    <row r="24" spans="1:10" ht="30" customHeight="1" x14ac:dyDescent="0.2">
      <c r="A24" s="10"/>
      <c r="B24" s="68" t="s">
        <v>196</v>
      </c>
      <c r="C24" s="69"/>
      <c r="D24" s="69"/>
      <c r="E24" s="46">
        <v>5</v>
      </c>
      <c r="F24" s="50">
        <v>3.75</v>
      </c>
      <c r="G24" s="44">
        <f t="shared" si="0"/>
        <v>0.75</v>
      </c>
      <c r="H24" s="45" t="str">
        <f t="shared" si="1"/>
        <v>جيد</v>
      </c>
      <c r="I24" s="57"/>
      <c r="J24" s="58"/>
    </row>
    <row r="25" spans="1:10" ht="30" customHeight="1" x14ac:dyDescent="0.2">
      <c r="A25" s="10"/>
      <c r="B25" s="68" t="s">
        <v>197</v>
      </c>
      <c r="C25" s="69"/>
      <c r="D25" s="69"/>
      <c r="E25" s="46">
        <v>5</v>
      </c>
      <c r="F25" s="50">
        <v>3.75</v>
      </c>
      <c r="G25" s="44">
        <f t="shared" si="0"/>
        <v>0.75</v>
      </c>
      <c r="H25" s="45" t="str">
        <f t="shared" si="1"/>
        <v>جيد</v>
      </c>
      <c r="I25" s="57"/>
      <c r="J25" s="58"/>
    </row>
    <row r="26" spans="1:10" ht="30" customHeight="1" x14ac:dyDescent="0.2">
      <c r="A26" s="10"/>
      <c r="B26" s="68" t="s">
        <v>198</v>
      </c>
      <c r="C26" s="69"/>
      <c r="D26" s="69"/>
      <c r="E26" s="46">
        <v>5</v>
      </c>
      <c r="F26" s="50">
        <v>3.25</v>
      </c>
      <c r="G26" s="44">
        <f t="shared" si="0"/>
        <v>0.65</v>
      </c>
      <c r="H26" s="45" t="str">
        <f t="shared" si="1"/>
        <v>مقبول</v>
      </c>
      <c r="I26" s="57"/>
      <c r="J26" s="58"/>
    </row>
    <row r="27" spans="1:10" ht="30" customHeight="1" thickBot="1" x14ac:dyDescent="0.25">
      <c r="A27" s="10"/>
      <c r="B27" s="93" t="s">
        <v>199</v>
      </c>
      <c r="C27" s="94"/>
      <c r="D27" s="94"/>
      <c r="E27" s="47">
        <v>5</v>
      </c>
      <c r="F27" s="50">
        <v>3.75</v>
      </c>
      <c r="G27" s="48">
        <f t="shared" si="0"/>
        <v>0.75</v>
      </c>
      <c r="H27" s="49" t="str">
        <f t="shared" si="1"/>
        <v>جيد</v>
      </c>
      <c r="I27" s="64"/>
      <c r="J27" s="65"/>
    </row>
    <row r="28" spans="1:10" ht="30" customHeight="1" x14ac:dyDescent="0.2">
      <c r="A28" s="10"/>
      <c r="B28" s="61" t="s">
        <v>200</v>
      </c>
      <c r="C28" s="62"/>
      <c r="D28" s="62"/>
      <c r="E28" s="62"/>
      <c r="F28" s="62"/>
      <c r="G28" s="62"/>
      <c r="H28" s="62"/>
      <c r="I28" s="62"/>
      <c r="J28" s="63"/>
    </row>
    <row r="29" spans="1:10" ht="30" customHeight="1" x14ac:dyDescent="0.2">
      <c r="A29" s="10"/>
      <c r="B29" s="68" t="s">
        <v>201</v>
      </c>
      <c r="C29" s="69"/>
      <c r="D29" s="69"/>
      <c r="E29" s="46">
        <v>5</v>
      </c>
      <c r="F29" s="26">
        <v>3.75</v>
      </c>
      <c r="G29" s="44">
        <f t="shared" si="0"/>
        <v>0.75</v>
      </c>
      <c r="H29" s="45" t="str">
        <f t="shared" si="1"/>
        <v>جيد</v>
      </c>
      <c r="I29" s="57"/>
      <c r="J29" s="58"/>
    </row>
    <row r="30" spans="1:10" ht="30" customHeight="1" x14ac:dyDescent="0.2">
      <c r="A30" s="10"/>
      <c r="B30" s="68" t="s">
        <v>202</v>
      </c>
      <c r="C30" s="69"/>
      <c r="D30" s="69"/>
      <c r="E30" s="46">
        <v>5</v>
      </c>
      <c r="F30" s="50">
        <v>3.75</v>
      </c>
      <c r="G30" s="44">
        <f t="shared" si="0"/>
        <v>0.75</v>
      </c>
      <c r="H30" s="45" t="str">
        <f t="shared" si="1"/>
        <v>جيد</v>
      </c>
      <c r="I30" s="57"/>
      <c r="J30" s="58"/>
    </row>
    <row r="31" spans="1:10" ht="30" customHeight="1" x14ac:dyDescent="0.2">
      <c r="A31" s="10"/>
      <c r="B31" s="68" t="s">
        <v>203</v>
      </c>
      <c r="C31" s="69"/>
      <c r="D31" s="69"/>
      <c r="E31" s="46">
        <v>5</v>
      </c>
      <c r="F31" s="50">
        <v>3.75</v>
      </c>
      <c r="G31" s="44">
        <f t="shared" si="0"/>
        <v>0.75</v>
      </c>
      <c r="H31" s="45" t="str">
        <f t="shared" si="1"/>
        <v>جيد</v>
      </c>
      <c r="I31" s="57"/>
      <c r="J31" s="58"/>
    </row>
    <row r="32" spans="1:10" ht="30" customHeight="1" x14ac:dyDescent="0.2">
      <c r="A32" s="10"/>
      <c r="B32" s="68" t="s">
        <v>204</v>
      </c>
      <c r="C32" s="69"/>
      <c r="D32" s="69"/>
      <c r="E32" s="46">
        <v>5</v>
      </c>
      <c r="F32" s="50">
        <v>4.5</v>
      </c>
      <c r="G32" s="44">
        <f t="shared" si="0"/>
        <v>0.9</v>
      </c>
      <c r="H32" s="45" t="str">
        <f t="shared" si="1"/>
        <v>ممتاز</v>
      </c>
      <c r="I32" s="57"/>
      <c r="J32" s="58"/>
    </row>
    <row r="33" spans="1:10" ht="30" customHeight="1" thickBot="1" x14ac:dyDescent="0.25">
      <c r="A33" s="10"/>
      <c r="B33" s="93" t="s">
        <v>205</v>
      </c>
      <c r="C33" s="94"/>
      <c r="D33" s="94"/>
      <c r="E33" s="47">
        <v>5</v>
      </c>
      <c r="F33" s="50">
        <v>3.75</v>
      </c>
      <c r="G33" s="48">
        <f t="shared" si="0"/>
        <v>0.75</v>
      </c>
      <c r="H33" s="49" t="str">
        <f t="shared" si="1"/>
        <v>جيد</v>
      </c>
      <c r="I33" s="64"/>
      <c r="J33" s="65"/>
    </row>
    <row r="34" spans="1:10" ht="30" customHeight="1" thickBot="1" x14ac:dyDescent="0.25">
      <c r="A34" s="4"/>
      <c r="B34" s="66" t="s">
        <v>5</v>
      </c>
      <c r="C34" s="67"/>
      <c r="D34" s="67"/>
      <c r="E34" s="9">
        <f>SUM(E8:E33)</f>
        <v>115</v>
      </c>
      <c r="F34" s="9">
        <f>SUM(F8:F33)</f>
        <v>85.5</v>
      </c>
      <c r="G34" s="54"/>
      <c r="H34" s="55"/>
      <c r="I34" s="55"/>
      <c r="J34" s="56"/>
    </row>
    <row r="35" spans="1:10" ht="30" customHeight="1" thickBot="1" x14ac:dyDescent="0.25">
      <c r="A35" s="4"/>
      <c r="B35" s="66" t="s">
        <v>54</v>
      </c>
      <c r="C35" s="67"/>
      <c r="D35" s="67"/>
      <c r="E35" s="83">
        <f>F34/E34/100*100</f>
        <v>0.74347826086956526</v>
      </c>
      <c r="F35" s="83"/>
      <c r="G35" s="83"/>
      <c r="H35" s="83"/>
      <c r="I35" s="83"/>
      <c r="J35" s="84"/>
    </row>
    <row r="36" spans="1:10" ht="30" customHeight="1" thickBot="1" x14ac:dyDescent="0.25">
      <c r="A36" s="4"/>
      <c r="B36" s="66" t="s">
        <v>55</v>
      </c>
      <c r="C36" s="67"/>
      <c r="D36" s="67"/>
      <c r="E36" s="74" t="str">
        <f>_xlfn.IFS(E35&gt;=90%,"ممتاز",E35&gt;=80%,"جيد جداً",E35&gt;=70%,"جيد",E35&gt;=60%,"مقبول",E35&lt;60%,"راسب")</f>
        <v>جيد</v>
      </c>
      <c r="F36" s="74"/>
      <c r="G36" s="74"/>
      <c r="H36" s="74"/>
      <c r="I36" s="74"/>
      <c r="J36" s="75"/>
    </row>
    <row r="37" spans="1:10" ht="42" customHeight="1" x14ac:dyDescent="0.2">
      <c r="B37" s="70" t="s">
        <v>174</v>
      </c>
      <c r="C37" s="70"/>
      <c r="D37" s="70"/>
      <c r="E37" s="52" t="s">
        <v>52</v>
      </c>
      <c r="F37" s="52"/>
      <c r="G37" s="72" t="s">
        <v>114</v>
      </c>
      <c r="H37" s="72"/>
      <c r="I37" s="72"/>
      <c r="J37" s="72"/>
    </row>
    <row r="38" spans="1:10" ht="51" customHeight="1" x14ac:dyDescent="0.2">
      <c r="A38" s="5"/>
      <c r="B38" s="71"/>
      <c r="C38" s="71"/>
      <c r="D38" s="71"/>
      <c r="E38" s="53" t="s">
        <v>53</v>
      </c>
      <c r="F38" s="53"/>
      <c r="G38" s="73"/>
      <c r="H38" s="73"/>
      <c r="I38" s="73"/>
      <c r="J38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B31:D31"/>
    <mergeCell ref="B16:D16"/>
    <mergeCell ref="B32:D32"/>
    <mergeCell ref="B33:D33"/>
    <mergeCell ref="B28:J28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11:D11"/>
    <mergeCell ref="B12:D12"/>
    <mergeCell ref="B13:D13"/>
    <mergeCell ref="B14:D14"/>
    <mergeCell ref="B15:D15"/>
    <mergeCell ref="B36:D36"/>
    <mergeCell ref="I11:J11"/>
    <mergeCell ref="I12:J12"/>
    <mergeCell ref="I13:J13"/>
    <mergeCell ref="I14:J14"/>
    <mergeCell ref="I15:J15"/>
    <mergeCell ref="I16:J16"/>
    <mergeCell ref="I18:J18"/>
    <mergeCell ref="I29:J29"/>
    <mergeCell ref="I22:J22"/>
    <mergeCell ref="I23:J23"/>
    <mergeCell ref="I24:J24"/>
    <mergeCell ref="I25:J25"/>
    <mergeCell ref="I26:J26"/>
    <mergeCell ref="I27:J27"/>
    <mergeCell ref="I32:J32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B8:J8"/>
    <mergeCell ref="I33:J33"/>
    <mergeCell ref="B34:D34"/>
    <mergeCell ref="B35:D35"/>
    <mergeCell ref="B17:J17"/>
    <mergeCell ref="B9:D9"/>
    <mergeCell ref="B10:D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21" priority="57">
      <formula>$E36="راسب"</formula>
    </cfRule>
  </conditionalFormatting>
  <conditionalFormatting sqref="E36:J36">
    <cfRule type="expression" dxfId="20" priority="60">
      <formula>$E36="جيد جداً"</formula>
    </cfRule>
    <cfRule type="expression" dxfId="19" priority="59">
      <formula>$E36="جيد"</formula>
    </cfRule>
    <cfRule type="expression" dxfId="18" priority="58">
      <formula>$E36="مقبول"</formula>
    </cfRule>
    <cfRule type="expression" dxfId="17" priority="61">
      <formula>$E36="ممتاز"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7 F29:F33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12" priority="15" operator="containsText" text="أدخل اسم المحكم">
      <formula>NOT(ISERROR(SEARCH("أدخل اسم المحكم",G37)))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7 H29:H33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F29:F33 F18:F27 F9:F16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30"/>
  <sheetViews>
    <sheetView rightToLeft="1" topLeftCell="A10" workbookViewId="0">
      <selection activeCell="B2" sqref="A2:B27"/>
    </sheetView>
  </sheetViews>
  <sheetFormatPr defaultRowHeight="15" x14ac:dyDescent="0.2"/>
  <cols>
    <col min="1" max="1" width="22.46484375" style="42" customWidth="1"/>
  </cols>
  <sheetData>
    <row r="1" spans="1:4" ht="15.75" thickBot="1" x14ac:dyDescent="0.25">
      <c r="A1" s="37" t="s">
        <v>21</v>
      </c>
      <c r="B1" s="27" t="s">
        <v>18</v>
      </c>
      <c r="C1" s="27" t="s">
        <v>19</v>
      </c>
      <c r="D1" s="27" t="s">
        <v>22</v>
      </c>
    </row>
    <row r="2" spans="1:4" ht="59.25" x14ac:dyDescent="0.2">
      <c r="A2" s="38" t="s">
        <v>180</v>
      </c>
      <c r="B2" s="28"/>
      <c r="C2" s="29"/>
      <c r="D2" s="30"/>
    </row>
    <row r="3" spans="1:4" ht="29.25" x14ac:dyDescent="0.2">
      <c r="A3" s="38" t="s">
        <v>181</v>
      </c>
      <c r="B3" s="31">
        <v>5</v>
      </c>
      <c r="C3" s="29"/>
      <c r="D3" s="30"/>
    </row>
    <row r="4" spans="1:4" x14ac:dyDescent="0.2">
      <c r="A4" s="38" t="s">
        <v>182</v>
      </c>
      <c r="B4" s="31">
        <v>5</v>
      </c>
      <c r="C4" s="29"/>
      <c r="D4" s="30"/>
    </row>
    <row r="5" spans="1:4" ht="29.25" x14ac:dyDescent="0.2">
      <c r="A5" s="38" t="s">
        <v>183</v>
      </c>
      <c r="B5" s="31">
        <v>5</v>
      </c>
      <c r="C5" s="29"/>
      <c r="D5" s="30"/>
    </row>
    <row r="6" spans="1:4" x14ac:dyDescent="0.2">
      <c r="A6" s="38" t="s">
        <v>184</v>
      </c>
      <c r="B6" s="31">
        <v>5</v>
      </c>
      <c r="C6" s="29"/>
      <c r="D6" s="30"/>
    </row>
    <row r="7" spans="1:4" ht="29.25" x14ac:dyDescent="0.2">
      <c r="A7" s="38" t="s">
        <v>185</v>
      </c>
      <c r="B7" s="31">
        <v>5</v>
      </c>
      <c r="C7" s="29"/>
      <c r="D7" s="30"/>
    </row>
    <row r="8" spans="1:4" ht="29.25" x14ac:dyDescent="0.2">
      <c r="A8" s="38" t="s">
        <v>186</v>
      </c>
      <c r="B8" s="31">
        <v>5</v>
      </c>
      <c r="C8" s="29"/>
      <c r="D8" s="30"/>
    </row>
    <row r="9" spans="1:4" x14ac:dyDescent="0.2">
      <c r="A9" s="38" t="s">
        <v>187</v>
      </c>
      <c r="B9" s="31">
        <v>5</v>
      </c>
      <c r="C9" s="29"/>
      <c r="D9" s="30"/>
    </row>
    <row r="10" spans="1:4" ht="43.5" thickBot="1" x14ac:dyDescent="0.25">
      <c r="A10" s="39" t="s">
        <v>188</v>
      </c>
      <c r="B10" s="32">
        <v>5</v>
      </c>
      <c r="C10" s="33"/>
      <c r="D10" s="34"/>
    </row>
    <row r="11" spans="1:4" ht="31.5" x14ac:dyDescent="0.2">
      <c r="A11" s="38" t="s">
        <v>189</v>
      </c>
      <c r="B11" s="28"/>
      <c r="C11" s="29"/>
      <c r="D11" s="30"/>
    </row>
    <row r="12" spans="1:4" ht="29.25" x14ac:dyDescent="0.2">
      <c r="A12" s="38" t="s">
        <v>190</v>
      </c>
      <c r="B12" s="31">
        <v>5</v>
      </c>
      <c r="C12" s="29"/>
      <c r="D12" s="35"/>
    </row>
    <row r="13" spans="1:4" ht="42.75" x14ac:dyDescent="0.2">
      <c r="A13" s="38" t="s">
        <v>191</v>
      </c>
      <c r="B13" s="31">
        <v>5</v>
      </c>
      <c r="C13" s="29"/>
      <c r="D13" s="35"/>
    </row>
    <row r="14" spans="1:4" ht="29.25" x14ac:dyDescent="0.2">
      <c r="A14" s="38" t="s">
        <v>192</v>
      </c>
      <c r="B14" s="31">
        <v>5</v>
      </c>
      <c r="C14" s="29"/>
      <c r="D14" s="35"/>
    </row>
    <row r="15" spans="1:4" x14ac:dyDescent="0.2">
      <c r="A15" s="38" t="s">
        <v>193</v>
      </c>
      <c r="B15" s="31">
        <v>5</v>
      </c>
      <c r="C15" s="29"/>
      <c r="D15" s="35"/>
    </row>
    <row r="16" spans="1:4" ht="29.25" x14ac:dyDescent="0.2">
      <c r="A16" s="38" t="s">
        <v>194</v>
      </c>
      <c r="B16" s="31">
        <v>5</v>
      </c>
      <c r="C16" s="29"/>
      <c r="D16" s="35"/>
    </row>
    <row r="17" spans="1:4" ht="29.25" x14ac:dyDescent="0.2">
      <c r="A17" s="38" t="s">
        <v>195</v>
      </c>
      <c r="B17" s="31">
        <v>5</v>
      </c>
      <c r="C17" s="29"/>
      <c r="D17" s="35"/>
    </row>
    <row r="18" spans="1:4" ht="29.25" x14ac:dyDescent="0.2">
      <c r="A18" s="38" t="s">
        <v>196</v>
      </c>
      <c r="B18" s="31">
        <v>5</v>
      </c>
      <c r="C18" s="29"/>
      <c r="D18" s="35"/>
    </row>
    <row r="19" spans="1:4" x14ac:dyDescent="0.2">
      <c r="A19" s="38" t="s">
        <v>197</v>
      </c>
      <c r="B19" s="31">
        <v>5</v>
      </c>
      <c r="C19" s="29"/>
      <c r="D19" s="35"/>
    </row>
    <row r="20" spans="1:4" ht="29.25" x14ac:dyDescent="0.2">
      <c r="A20" s="38" t="s">
        <v>198</v>
      </c>
      <c r="B20" s="31">
        <v>5</v>
      </c>
      <c r="C20" s="29"/>
      <c r="D20" s="35"/>
    </row>
    <row r="21" spans="1:4" ht="32.25" thickBot="1" x14ac:dyDescent="0.25">
      <c r="A21" s="40" t="s">
        <v>199</v>
      </c>
      <c r="B21" s="32">
        <v>5</v>
      </c>
      <c r="C21" s="33"/>
      <c r="D21" s="36"/>
    </row>
    <row r="22" spans="1:4" ht="31.5" x14ac:dyDescent="0.2">
      <c r="A22" s="38" t="s">
        <v>200</v>
      </c>
      <c r="B22" s="28"/>
      <c r="C22" s="29"/>
      <c r="D22" s="35"/>
    </row>
    <row r="23" spans="1:4" x14ac:dyDescent="0.2">
      <c r="A23" s="38" t="s">
        <v>201</v>
      </c>
      <c r="B23" s="31">
        <v>5</v>
      </c>
      <c r="C23" s="29"/>
      <c r="D23" s="35"/>
    </row>
    <row r="24" spans="1:4" x14ac:dyDescent="0.2">
      <c r="A24" s="38" t="s">
        <v>202</v>
      </c>
      <c r="B24" s="31">
        <v>5</v>
      </c>
      <c r="C24" s="29"/>
      <c r="D24" s="35"/>
    </row>
    <row r="25" spans="1:4" ht="29.25" x14ac:dyDescent="0.2">
      <c r="A25" s="38" t="s">
        <v>203</v>
      </c>
      <c r="B25" s="31">
        <v>5</v>
      </c>
      <c r="C25" s="29"/>
      <c r="D25" s="35"/>
    </row>
    <row r="26" spans="1:4" x14ac:dyDescent="0.2">
      <c r="A26" s="38" t="s">
        <v>204</v>
      </c>
      <c r="B26" s="31">
        <v>5</v>
      </c>
      <c r="C26" s="29"/>
      <c r="D26" s="35"/>
    </row>
    <row r="27" spans="1:4" ht="30" thickBot="1" x14ac:dyDescent="0.25">
      <c r="A27" s="40" t="s">
        <v>205</v>
      </c>
      <c r="B27" s="32">
        <v>5</v>
      </c>
      <c r="C27" s="33"/>
      <c r="D27" s="36"/>
    </row>
    <row r="28" spans="1:4" ht="15.75" thickBot="1" x14ac:dyDescent="0.25">
      <c r="A28" s="41" t="s">
        <v>206</v>
      </c>
      <c r="B28" s="33">
        <v>115</v>
      </c>
      <c r="C28" s="33"/>
      <c r="D28" s="36"/>
    </row>
    <row r="29" spans="1:4" ht="15.75" thickBot="1" x14ac:dyDescent="0.25">
      <c r="A29" s="41" t="s">
        <v>207</v>
      </c>
      <c r="B29" s="95" t="s">
        <v>208</v>
      </c>
      <c r="C29" s="96"/>
      <c r="D29" s="96"/>
    </row>
    <row r="30" spans="1:4" ht="15.75" thickBot="1" x14ac:dyDescent="0.25">
      <c r="A30" s="41" t="s">
        <v>209</v>
      </c>
      <c r="B30" s="95"/>
      <c r="C30" s="96"/>
      <c r="D30" s="96"/>
    </row>
  </sheetData>
  <mergeCells count="2">
    <mergeCell ref="B29:D29"/>
    <mergeCell ref="B30:D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2025-10-06T08:14:20Z</dcterms:modified>
</cp:coreProperties>
</file>