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A98A5FC-FAFA-4A6C-953F-CC9CE486FD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2" l="1"/>
  <c r="H31" i="2"/>
  <c r="G32" i="2"/>
  <c r="H32" i="2"/>
  <c r="G9" i="2"/>
  <c r="H9" i="2"/>
  <c r="G11" i="2"/>
  <c r="H11" i="2"/>
  <c r="G12" i="2"/>
  <c r="H12" i="2"/>
  <c r="G14" i="2"/>
  <c r="H14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G27" i="2"/>
  <c r="H27" i="2"/>
  <c r="G29" i="2"/>
  <c r="H29" i="2"/>
  <c r="G30" i="2"/>
  <c r="H30" i="2"/>
  <c r="G33" i="2"/>
  <c r="H33" i="2"/>
  <c r="G34" i="2"/>
  <c r="H34" i="2"/>
  <c r="G35" i="2"/>
  <c r="H35" i="2"/>
  <c r="F36" i="2"/>
  <c r="E36" i="2"/>
  <c r="E37" i="2"/>
  <c r="E38" i="2"/>
</calcChain>
</file>

<file path=xl/sharedStrings.xml><?xml version="1.0" encoding="utf-8"?>
<sst xmlns="http://schemas.openxmlformats.org/spreadsheetml/2006/main" count="218" uniqueCount="214">
  <si>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</si>
  <si>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</si>
  <si>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</si>
  <si>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</si>
  <si>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</si>
  <si>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</si>
  <si>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</si>
  <si>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</si>
  <si>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</si>
  <si>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</si>
  <si>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</si>
  <si>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</si>
  <si>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</si>
  <si>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</si>
  <si>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</si>
  <si>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</si>
  <si>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</si>
  <si>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</si>
  <si>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</si>
  <si>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</si>
  <si>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</si>
  <si>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</si>
  <si>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</si>
  <si>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</si>
  <si>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</si>
  <si>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</si>
  <si>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</si>
  <si>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</si>
  <si>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</si>
  <si>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</si>
  <si>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</si>
  <si>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</si>
  <si>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</si>
  <si>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</si>
  <si>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</si>
  <si>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</si>
  <si>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</si>
  <si>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</si>
  <si>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</si>
  <si>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</si>
  <si>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</si>
  <si>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</si>
  <si>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</si>
  <si>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</si>
  <si>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</si>
  <si>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</si>
  <si>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</si>
  <si>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</si>
  <si>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</si>
  <si>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</si>
  <si>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</si>
  <si>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</si>
  <si>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</si>
  <si>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</si>
  <si>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</si>
  <si>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</si>
  <si>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</si>
  <si>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</si>
  <si>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</si>
  <si>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</si>
  <si>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</si>
  <si>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</si>
  <si>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</si>
  <si>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</si>
  <si>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</si>
  <si>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</si>
  <si>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</si>
  <si>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</si>
  <si>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</si>
  <si>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</si>
  <si>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</si>
  <si>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</si>
  <si>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</si>
  <si>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</si>
  <si>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</si>
  <si>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</si>
  <si>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</si>
  <si>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</si>
  <si>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</si>
  <si>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</si>
  <si>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</si>
  <si>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</si>
  <si>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</si>
  <si>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</si>
  <si>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</si>
  <si>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</si>
  <si>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</si>
  <si>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</si>
  <si>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</si>
  <si>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</si>
  <si>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</si>
  <si>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</si>
  <si>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</si>
  <si>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</si>
  <si>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</si>
  <si>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</si>
  <si>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</si>
  <si>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</si>
  <si>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</si>
  <si>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</si>
  <si>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</si>
  <si>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</si>
  <si>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</si>
  <si>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</si>
  <si>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</si>
  <si>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</si>
  <si>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</si>
  <si>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</si>
  <si>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</si>
  <si>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</si>
  <si>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ركن / عبدالرحمن محمد الطنيجي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</si>
  <si>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</si>
  <si>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</si>
  <si>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</si>
  <si>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</si>
  <si>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</si>
  <si>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</si>
  <si>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</si>
  <si>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</si>
  <si>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</si>
  <si>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</si>
  <si>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</si>
  <si>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 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</si>
  <si>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</si>
  <si>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</si>
  <si>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</si>
  <si>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</si>
  <si>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</si>
  <si>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</si>
  <si>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</si>
  <si>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</si>
  <si>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</si>
  <si>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</si>
  <si>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</si>
  <si>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</si>
  <si>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</si>
  <si>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</si>
  <si>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</si>
  <si>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</si>
  <si>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</si>
  <si>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</si>
  <si>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</si>
  <si>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</si>
  <si>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</si>
  <si>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</si>
  <si>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</si>
  <si>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</si>
  <si>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</si>
  <si>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</si>
  <si>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</si>
  <si>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</si>
  <si>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</si>
  <si>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</si>
  <si>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</si>
  <si>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</si>
  <si>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</si>
  <si>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</si>
  <si>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</si>
  <si>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</si>
  <si>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</si>
  <si>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</si>
  <si>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</si>
  <si>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</si>
  <si>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</si>
  <si>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</si>
  <si>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</si>
  <si>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</si>
  <si>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</si>
  <si>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</si>
  <si>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</si>
  <si>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</si>
  <si>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</si>
  <si>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</si>
  <si>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</si>
  <si>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</si>
  <si>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</si>
  <si>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</si>
  <si>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</si>
  <si>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</si>
  <si>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</si>
  <si>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</si>
  <si>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</si>
  <si>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</si>
  <si>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</si>
  <si>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مرحلة التخطيط</t>
  </si>
  <si>
    <t>ب. تنفيذ الاستطلاع من الخارطة.</t>
  </si>
  <si>
    <t>مرحلة التحضير</t>
  </si>
  <si>
    <t>ب. تنفيذ الاستطلاع الواسع.</t>
  </si>
  <si>
    <t>جـ. تنفيذ تفقدات وتفتيشات ما قبل القتال.</t>
  </si>
  <si>
    <t>د. التعامل مع الموانع.</t>
  </si>
  <si>
    <t>مرحلة التنفيذ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</si>
  <si>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الحركة من منطقة التجمع حسب الأولوية والخطة الموضوعة: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</si>
  <si>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إجراء التجارب على تنفيذ المهمة لتشمل ما يلي:</t>
    </r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</si>
  <si>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فهم القائد للموقف باستخدام مصادر المعلومات المتوفرة.</t>
    </r>
  </si>
  <si>
    <t>د. التنسيق مع المستوى الأعلى.</t>
  </si>
  <si>
    <t>أ. الإجراءات عند التماس.</t>
  </si>
  <si>
    <t>ب. الإجراءات عند الإبلاغ وتجاوز قوة العدو (بناءً على معايير التجاوز).</t>
  </si>
  <si>
    <t>هـ. تنفيذ إجراءات التحول للهجوم عند التماس مع العدو.</t>
  </si>
  <si>
    <t>أ.   بدء حركة عناصر القناصة حسب التوزيع في امر العمليات.</t>
  </si>
  <si>
    <t>ب.  التحرك المبكر لعناصر القناصة قبل حركة الوحدة التي تساندها.</t>
  </si>
  <si>
    <t>جـ.  حركة عناصر القناصة حسب وتيرتهم الخاصة وبالتالي عدم كشفهم من قبل العدو</t>
  </si>
  <si>
    <t>د.  تسلل القناصة إلى مناطق العدو والاشتباك معه من أماكن غير متوقعة.</t>
  </si>
  <si>
    <t>و. حركة عناصر الإسناد الناري حسب الخطة.</t>
  </si>
  <si>
    <r>
      <t>2.</t>
    </r>
    <r>
      <rPr>
        <sz val="14"/>
        <color theme="1"/>
        <rFont val="Times New Roman"/>
        <family val="1"/>
      </rPr>
      <t xml:space="preserve">    يتسلم فصيل </t>
    </r>
    <r>
      <rPr>
        <sz val="14"/>
        <color theme="1"/>
        <rFont val="Arial"/>
        <family val="2"/>
      </rPr>
      <t>القناصة المهمة من المستوى الأعلى ويقومون بالأعمال التالية:</t>
    </r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</si>
  <si>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يقوم قائد فصيل القنــاصة بالإشراف على الجماعات أثناء تحضيرها للتقدم للتماس.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</si>
  <si>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ينفذ فصيل القناصة الإجراءات التالية:</t>
    </r>
  </si>
  <si>
    <t>هـ. الإشراف على عملية التخطيط والتحضير للوحدات المرؤوسة لضمان أن التخطيط والتحضير يتماشى مع قصد قائد المستوى الأعلى.</t>
  </si>
  <si>
    <t>أ. البدء بالتخطيط من خلال إجراءات المعركة الثمانية (استلام المهمة - إصدار الأمر الإنذاري - عمل خطة أولية - بدء الحركة – الاستطلاع - إكمال الخطة - إصدار الأمر - الإشراف والمراقبة).</t>
  </si>
  <si>
    <t>أ. تحسين الخطة بناءً على التحديث المستمر للمعلومات الاستخبارية.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</si>
  <si>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Arial"/>
        <family val="2"/>
      </rPr>
      <t>توضيع الجماعات لبدء الحركة حسب دورها في الخطة.</t>
    </r>
  </si>
  <si>
    <t>هـ. استخدام الطرق العادية للتسلل إلى مواقع العدو، أويمكن إدخالهم للمنطقة من خلال الآليات، أوالطائرات العامودية، أومن خلال القفز بالمظلات.</t>
  </si>
  <si>
    <t>ز. إدامة الاتصال بين قائد القناصة وقائد الوحدة التي تساندها وتوفيرالاسناد الذي تطلبه عند الحاجة.</t>
  </si>
  <si>
    <r>
      <rPr>
        <b/>
        <sz val="14"/>
        <color rgb="FF000000"/>
        <rFont val="Arial"/>
        <family val="2"/>
      </rPr>
      <t>تقييم فصيل القناصة في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</si>
  <si>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نقيب/ سعيد محمد المحرزي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</si>
</sst>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theme="1"/>
      <name val="Arial"/>
      <family val="2"/>
    </font>
    <font>
      <sz val="7"/>
      <color theme="1"/>
      <name val="Times New Roman"/>
      <family val="1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D9F1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7" fillId="6" borderId="22" xfId="0" applyFont="1" applyFill="1" applyBorder="1" applyAlignment="1">
      <alignment vertical="center" wrapText="1" readingOrder="2"/>
    </xf>
    <xf numFmtId="0" fontId="7" fillId="6" borderId="23" xfId="0" applyFont="1" applyFill="1" applyBorder="1" applyAlignment="1">
      <alignment vertical="center" wrapText="1" readingOrder="2"/>
    </xf>
    <xf numFmtId="0" fontId="7" fillId="6" borderId="24" xfId="0" applyFont="1" applyFill="1" applyBorder="1" applyAlignment="1">
      <alignment vertical="center" wrapText="1" readingOrder="2"/>
    </xf>
    <xf numFmtId="0" fontId="7" fillId="6" borderId="22" xfId="0" applyFont="1" applyFill="1" applyBorder="1" applyAlignment="1">
      <alignment horizontal="right" vertical="center" wrapText="1" readingOrder="2"/>
    </xf>
    <xf numFmtId="0" fontId="7" fillId="6" borderId="23" xfId="0" applyFont="1" applyFill="1" applyBorder="1" applyAlignment="1">
      <alignment horizontal="right" vertical="center" wrapText="1" readingOrder="2"/>
    </xf>
    <xf numFmtId="0" fontId="7" fillId="6" borderId="24" xfId="0" applyFont="1" applyFill="1" applyBorder="1" applyAlignment="1">
      <alignment horizontal="right" vertical="center" wrapText="1" readingOrder="2"/>
    </xf>
    <xf numFmtId="0" fontId="12" fillId="5" borderId="21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2" fillId="5" borderId="21" xfId="0" applyFont="1" applyFill="1" applyBorder="1" applyAlignment="1">
      <alignment horizontal="right" vertical="center" wrapText="1" indent="2" readingOrder="2"/>
    </xf>
    <xf numFmtId="0" fontId="12" fillId="5" borderId="3" xfId="0" applyFont="1" applyFill="1" applyBorder="1" applyAlignment="1">
      <alignment horizontal="right" vertical="center" wrapText="1" indent="2" readingOrder="2"/>
    </xf>
    <xf numFmtId="0" fontId="12" fillId="5" borderId="11" xfId="0" applyFont="1" applyFill="1" applyBorder="1" applyAlignment="1">
      <alignment horizontal="right" vertical="center" wrapText="1" indent="2" readingOrder="2"/>
    </xf>
    <xf numFmtId="0" fontId="12" fillId="5" borderId="12" xfId="0" applyFont="1" applyFill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29"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594323</xdr:colOff>
      <xdr:row>39</xdr:row>
      <xdr:rowOff>116275</xdr:rowOff>
    </xdr:from>
    <xdr:to>
      <xdr:col>8</xdr:col>
      <xdr:colOff>16142</xdr:colOff>
      <xdr:row>39</xdr:row>
      <xdr:rowOff>465475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83FA0D6-1145-AEFE-5C2A-97D328F5DA40}"/>
                </a:ext>
              </a:extLst>
            </xdr14:cNvPr>
            <xdr14:cNvContentPartPr/>
          </xdr14:nvContentPartPr>
          <xdr14:nvPr macro=""/>
          <xdr14:xfrm>
            <a:off x="10399228767" y="17590320"/>
            <a:ext cx="738000" cy="3492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83FA0D6-1145-AEFE-5C2A-97D328F5DA4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22647" y="17584200"/>
              <a:ext cx="750240" cy="36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615193</xdr:colOff>
      <xdr:row>39</xdr:row>
      <xdr:rowOff>172795</xdr:rowOff>
    </xdr:from>
    <xdr:to>
      <xdr:col>9</xdr:col>
      <xdr:colOff>673492</xdr:colOff>
      <xdr:row>39</xdr:row>
      <xdr:rowOff>497155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F5FC3E6-492B-7472-1867-0B00D9520504}"/>
                </a:ext>
              </a:extLst>
            </xdr14:cNvPr>
            <xdr14:cNvContentPartPr/>
          </xdr14:nvContentPartPr>
          <xdr14:nvPr macro=""/>
          <xdr14:xfrm>
            <a:off x="10397913327" y="17646840"/>
            <a:ext cx="1374480" cy="324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F5FC3E6-492B-7472-1867-0B00D952050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907207" y="17640720"/>
              <a:ext cx="1386720" cy="336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21:14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1220 969 9970,'0'0'0,"0"0"2376,0 0-2376,0-3 1472,0-2-303,0 1-209,0 1-192,0 3-768,0 0 552,-2 0-192,2 0-88,0 0-48,0 0-224,0-3 288,0 3-56,0 0 105,0-2 71,0 2-408,0 0 528,0 0 256,0-3 8,0 3 128,0 0-920,0-3 816,0 0-151,0 3-89,0-3-120,0 3-456,0-3 368,0 3-48,0-2-88,-2 2-64,2 0-168,0-3 88,0 3-48,-2-3-24,2 0 8,0 3-24,0-4 32,-5 0-32,5-1 16,-3 1-72,3 4 56,0-11 24,-2 8 32,2-9-24,0 8 112,0 4-144,-2-14 128,2 10 48,-2-13-32,-3 12 0,5 5-144,-2-17 104,0 13-64,-3-14 152,1 6-104,4 12-88,-12-11 144,10-1-72,-2 0 8,-1-1 64,5 13-144,-5-13 104,-8 0-88,8-1 40,-4 0-112,9 14 56,0-17 0,-5 0 105,1-2-121,-1 1 160,5 18-144,-3-19-8,2 2 16,1 0 8,-5 3-88,5 14 72,0-17 0,-2 3 16,2-1 24,0 4-128,0 11 88,-3-3 104,3-11 16,-2 9-16,2-6 48,0 11-152,0-3 152,-5-10-248,4 9 96,1-9 96,0 13-96,0-4-48,0-7 200,0 6-80,0-6 8,0 11-80,0-3 24,0-8-24,1 8 96,6-8-96,-7 11 0,3-3 24,-1-2 40,3 1-48,-1 0-104,-4 4 88,0-4-32,5-1-64,-1 1 8,1-7 168,-5 11-80,4-3-96,8-1 160,-8-9-144,13 9 72,-17 4 8,8-15 24,11 13-24,-8-10 48,3 12-32,-14 0-16,11-3 104,2 0-120,3 1 0,-1 2-40,-15 0 56,16-3 0,-1 3-64,1-3 48,3 3-24,-19 0 40,20-3-120,-2 0 72,3-1 32,-3 0 80,-18 4-64,19-5-16,4 1 48,-1-7-112,1 8 64,-23 3 16,20-4 48,3-1-16,-4-6 8,1 8-24,-20 3-16,21-4-40,-5-9 40,2 9-16,4-7 40,-22 11-24,18-5 32,3-6-32,-3 7 32,-2-9-80,-16 13 48,18-4 16,-3-9-56,-2 9-8,3-9-56,-16 13 104,13-5-64,6-7-40,-3 7 0,-4-10 0,-12 15 104,18-4-104,-5-11 72,1 11-8,-2-9-9,-12 13 49,6-3-88,8-1 16,-11-7-16,-2 11 40,-1 0 48,7-3 32,-7 3-72,0-3 80,0 3 8,0 0-48,0 0-16,0 0 48,0 0-128,-2 0 0,2 0 96,-5 0-192,4 0 56,-4 0 24,-5 2 24,10-2 88,-4 1-72,0 3 0,-10 0 40,9 1-72,5-5 104,-13 4 32,1 2-64,1-1 8,-1 7 32,12-12-8,-11 4-56,-3 9 56,2-8-24,-6 11 48,18-16-24,-16 11 16,1 4-16,-4-1 16,-1 2-64,20-16 48,-19 15 16,-4 2-16,4-1 16,-2 1-56,21-17 40,-23 14-16,0 0-40,5 1 40,-1-3 56,19-12-40,-18 15 32,5-3-104,-3 1 40,0 1-24,16-14 56,-14 13-32,-5-1 120,1 0-144,0 1 112,18-13-56,-18 14-96,-2 1 64,-1 0 104,3-1-56,18-14-16,-21 15 16,3-1-64,0-3 104,4 1-96,14-12 40,-14 5 16,1 9 0,3-10-104,6 7 88,4-11 0,-16 4 40,14 1-8,-10-1-64,10-1 48,2-3-16,-11 3 32,6-2-24,-4 0 40,-3 1-32,12-2-16,-4 1-48,-12 1 32,2-1 104,3-1-40,11 0-48,-13 0 0,-2 0-16,2 0 0,-3-3-16,16 3 32,-16-4 32,-5 0 0,1 0 24,2-9-16,18 13-40,-19-3 48,3-8 8,1 6-40,-4-8 56,19 13-72,-18-11 72,2-1 32,-7 1-48,5-2 0,18 13-56,-18-14 32,-5 0 24,2-1-40,-3-2 72,24 17-88,-23-15 16,-3-1-64,4-1 200,-3-1-216,25 18 64,-24-17-8,1-1 48,8 1-160,-1 5 168,16 12-48,-14-13 128,3 9 40,-1-12-56,7 12 8,5 4-120,-13-13-192,8 10 256,-6-1 40,6 0-31,5 4-73,-2-5 176,-2 1-224,-1 1 48,3 0-72,2 3 72,-5-3 48,5 3-24,0 0-168,0 0 55,0 0 73,3 2-40,1 2 8,12 9 64,-16-13-16,11 6-72,4 9-16,-2-2 72,1 0 16,-14-13 0,13 13 16,8-1-32,-6 3-136,4 0 96,-19-15 56,20 16-40,1 0 24,0-1 120,-3-2-104,-18-13 0,18 13-16,-2 1 0,5-3 32,-8 2-136,-13-13 120,21 6 16,-8 8-48,-1-8 8,2 5 48,-14-11-24,4 4-72,7 8 0,-6-8-144,-5 7 24,0-11 192,3 5-216,-1 9 32,0-8 64,-2 5 24,0-11 96,0 12-88,-2-7 0,-3 10 64,-8-10-32,13-5 56,-5 12-16,-11-8 0,14 7 0,-12-8 32,14-3-16,-16 6 0,2 0 56,-2-1-72,0 1 72,16-6-56,-18 4 16,0 0-16,0 1 48,-5-4-152,23-1 104,-21 2-128,-1-1-128,-6-1-56,5 0-104,23 0 416,-27 0-472,2 0-24,0 0-8,0 0 183,25 0 321,-19 0-288,1 0 184,7 0 48,-1 0 48,12 0 8,-11 0 0,-1 0 0,8 0 48,-8 0-128,12 0 80,-4 0 0,2-3-144,-10 3 40,12-3 48,0 3 56,-4 0-144,-8-3 176,10 3-24,-2 0-8,4 0 0,-2 0 24,-8-2-8,10 2 40,-11 0-8,11 0-48,-5 0 16,-8 1 8,-1 2-24,-3 1-8,17-4 8,-15 4 8,-4 2-32,-5 5-56,-2-8 40,26-3 40,-26 6-48,-2 0-88,-2-2-712,3 0-1136,27-4 1984,-32 4-4417,-7 1-4985,39-5 9402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21:15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2212 515 8097,'0'0'0,"14"20"1297,2-4-297,8 1 184,-24-17-1184,26 16 1192,-3-13-112,4 2-127,2 1-25,-29-6-928,31 11 872,4-9 16,2 2 80,1 0-167,-38-4-801,41 4 856,4 1-200,-3-1 64,0-1 104,-42-3-824,46 1 792,6 1 169,-3-2-241,3-3-144,-52 3-576,53-4 664,-1-9-136,-1 9-96,1-12-224,-52 16-208,47-13 176,-6 0-48,1-1 184,-2-2-31,-40 16-281,35-14 136,-2 0 40,0 0-224,-3 0 200,-30 14-152,28-15-16,1-2 48,-4-1-16,-2-2 0,-23 20-16,28-21 128,-4-1-64,-1 1-8,0 0 8,-23 21-64,24-22 56,-1 1 8,-6 1-96,1 2 136,-18 18-104,13-17-56,-2 0-24,-4-1 216,-2 0-72,-5 18-64,0-17 120,0 0 64,-3 3-112,-2 1-24,5 13-48,-13-14 48,-4-1-352,-4 3 344,0-1 8,21 13-48,-26-12 120,1 1 184,-3 7-408,-1-10 40,29 14 64,-33-3-224,6-9 256,-8 10-64,-3-1-120,38 3 152,-37-3-88,-3 3-8,3 0 144,-8 0 8,45 0-56,-47 0 216,1 4-144,-3 2 56,-1 7 24,50-13-152,-53 4 56,1 12 24,-6-11-248,0 11 120,58-16 48,-63 6 0,11 6-16,-1-7 32,3 0-168,50-5 152,-45 5-48,-1-1 8,4 0 56,0 0 104,42-4-120,-43 5-16,2 0 16,-4 1 0,3 7 32,42-13-32,-47 4-96,8 10 112,-10-1-16,-7 1-48,56-14 48,-57 17 80,-3-1-8,-1 2-24,-7 4-104,68-22 56,-70 24 88,-7 3-560,2 3 232,-7 2 208,82-32 32,-82 35-256,3-1 544,4-2-120,2 0-248,73-32 80,-77 30 112,0-1-56,0 1-104,-5-1 216,82-29-168,-79 31-168,-3-1-24,-3 1 120,2-5-288,83-26 360,-90 25-689,7 2-407,-4-1-1192,-2 2-1585,89-28 3873,-103 24-8402,-7 8-296,110-32 8698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0"/>
  <sheetViews>
    <sheetView rightToLeft="1" tabSelected="1" view="pageBreakPreview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212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3" t="s">
        <v>8</v>
      </c>
      <c r="C2" s="64" t="s">
        <v>35</v>
      </c>
      <c r="D2" s="64"/>
      <c r="E2" s="13" t="s">
        <v>7</v>
      </c>
      <c r="F2" s="59">
        <v>45937</v>
      </c>
      <c r="G2" s="59"/>
      <c r="H2" s="59"/>
      <c r="I2" s="59"/>
      <c r="J2" s="59"/>
    </row>
    <row r="3" spans="1:10" ht="30" customHeight="1" x14ac:dyDescent="0.3">
      <c r="B3" s="13" t="s">
        <v>9</v>
      </c>
      <c r="C3" s="64" t="s">
        <v>213</v>
      </c>
      <c r="D3" s="64"/>
      <c r="E3" s="13" t="s">
        <v>6</v>
      </c>
      <c r="F3" s="64" t="s">
        <v>113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60" t="s">
        <v>0</v>
      </c>
      <c r="C5" s="61"/>
      <c r="D5" s="61"/>
      <c r="E5" s="69" t="s">
        <v>1</v>
      </c>
      <c r="F5" s="69"/>
      <c r="G5" s="69"/>
      <c r="H5" s="69"/>
      <c r="I5" s="69" t="s">
        <v>2</v>
      </c>
      <c r="J5" s="70"/>
    </row>
    <row r="6" spans="1:10" ht="24.9" customHeight="1" thickBot="1" x14ac:dyDescent="0.35">
      <c r="A6" s="11"/>
      <c r="B6" s="62"/>
      <c r="C6" s="63"/>
      <c r="D6" s="63"/>
      <c r="E6" s="12" t="s">
        <v>3</v>
      </c>
      <c r="F6" s="12" t="s">
        <v>4</v>
      </c>
      <c r="G6" s="12" t="s">
        <v>23</v>
      </c>
      <c r="H6" s="12" t="s">
        <v>24</v>
      </c>
      <c r="I6" s="71"/>
      <c r="J6" s="72"/>
    </row>
    <row r="7" spans="1:10" ht="24.9" customHeight="1" thickBot="1" x14ac:dyDescent="0.35">
      <c r="A7" s="11"/>
      <c r="B7" s="67" t="s">
        <v>21</v>
      </c>
      <c r="C7" s="68"/>
      <c r="D7" s="68"/>
      <c r="E7" s="28" t="s">
        <v>18</v>
      </c>
      <c r="F7" s="28" t="s">
        <v>19</v>
      </c>
      <c r="G7" s="28" t="s">
        <v>22</v>
      </c>
      <c r="H7" s="28" t="s">
        <v>20</v>
      </c>
      <c r="I7" s="73" t="s">
        <v>25</v>
      </c>
      <c r="J7" s="74"/>
    </row>
    <row r="8" spans="1:10" ht="30" customHeight="1" x14ac:dyDescent="0.3">
      <c r="A8" s="11"/>
      <c r="B8" s="34" t="s">
        <v>184</v>
      </c>
      <c r="C8" s="35"/>
      <c r="D8" s="35"/>
      <c r="E8" s="35"/>
      <c r="F8" s="35"/>
      <c r="G8" s="35"/>
      <c r="H8" s="35"/>
      <c r="I8" s="35"/>
      <c r="J8" s="36"/>
    </row>
    <row r="9" spans="1:10" ht="30" customHeight="1" x14ac:dyDescent="0.3">
      <c r="A9" s="11"/>
      <c r="B9" s="40" t="s">
        <v>193</v>
      </c>
      <c r="C9" s="41"/>
      <c r="D9" s="41"/>
      <c r="E9" s="9">
        <v>5</v>
      </c>
      <c r="F9" s="20">
        <v>3.5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6"/>
      <c r="J9" s="47"/>
    </row>
    <row r="10" spans="1:10" ht="39.9" customHeight="1" x14ac:dyDescent="0.3">
      <c r="A10" s="11"/>
      <c r="B10" s="40" t="s">
        <v>203</v>
      </c>
      <c r="C10" s="41"/>
      <c r="D10" s="41"/>
      <c r="E10" s="9"/>
      <c r="F10" s="20"/>
      <c r="G10" s="29"/>
      <c r="H10" s="30"/>
      <c r="I10" s="46"/>
      <c r="J10" s="47"/>
    </row>
    <row r="11" spans="1:10" ht="77.25" customHeight="1" x14ac:dyDescent="0.3">
      <c r="A11" s="11"/>
      <c r="B11" s="42" t="s">
        <v>207</v>
      </c>
      <c r="C11" s="43"/>
      <c r="D11" s="43"/>
      <c r="E11" s="9">
        <v>5</v>
      </c>
      <c r="F11" s="20">
        <v>3.5</v>
      </c>
      <c r="G11" s="29">
        <f t="shared" ref="G11:G35" si="0">IFERROR(F11/E11,"")</f>
        <v>0.7</v>
      </c>
      <c r="H11" s="30" t="str">
        <f t="shared" ref="H11:H35" si="1">_xlfn.IFS(F11="أدخل العلامة","",F11="لا ينطبق","تم الإلغاء",G11&gt;=90%,"ممتاز",G11&gt;=80%,"جيد جداً",G11&gt;=70%,"جيد",G11&gt;=60%,"مقبول",G11&lt;60%,"راسب")</f>
        <v>جيد</v>
      </c>
      <c r="I11" s="46"/>
      <c r="J11" s="47"/>
    </row>
    <row r="12" spans="1:10" ht="30" customHeight="1" thickBot="1" x14ac:dyDescent="0.35">
      <c r="A12" s="11"/>
      <c r="B12" s="44" t="s">
        <v>185</v>
      </c>
      <c r="C12" s="45"/>
      <c r="D12" s="45"/>
      <c r="E12" s="31">
        <v>5</v>
      </c>
      <c r="F12" s="21">
        <v>3.75</v>
      </c>
      <c r="G12" s="32">
        <f t="shared" si="0"/>
        <v>0.75</v>
      </c>
      <c r="H12" s="33" t="str">
        <f t="shared" si="1"/>
        <v>جيد</v>
      </c>
      <c r="I12" s="48"/>
      <c r="J12" s="49"/>
    </row>
    <row r="13" spans="1:10" ht="30" customHeight="1" x14ac:dyDescent="0.3">
      <c r="A13" s="11"/>
      <c r="B13" s="34" t="s">
        <v>186</v>
      </c>
      <c r="C13" s="35"/>
      <c r="D13" s="35"/>
      <c r="E13" s="35"/>
      <c r="F13" s="35"/>
      <c r="G13" s="35"/>
      <c r="H13" s="35"/>
      <c r="I13" s="35"/>
      <c r="J13" s="36"/>
    </row>
    <row r="14" spans="1:10" ht="39.9" customHeight="1" x14ac:dyDescent="0.3">
      <c r="A14" s="11"/>
      <c r="B14" s="40" t="s">
        <v>204</v>
      </c>
      <c r="C14" s="41"/>
      <c r="D14" s="41"/>
      <c r="E14" s="9">
        <v>5</v>
      </c>
      <c r="F14" s="20">
        <v>3.75</v>
      </c>
      <c r="G14" s="29">
        <f t="shared" si="0"/>
        <v>0.75</v>
      </c>
      <c r="H14" s="30" t="str">
        <f t="shared" si="1"/>
        <v>جيد</v>
      </c>
      <c r="I14" s="46"/>
      <c r="J14" s="47"/>
    </row>
    <row r="15" spans="1:10" ht="30" customHeight="1" x14ac:dyDescent="0.3">
      <c r="A15" s="11"/>
      <c r="B15" s="40" t="s">
        <v>205</v>
      </c>
      <c r="C15" s="41"/>
      <c r="D15" s="41"/>
      <c r="E15" s="9"/>
      <c r="F15" s="20"/>
      <c r="G15" s="29"/>
      <c r="H15" s="30"/>
      <c r="I15" s="46"/>
      <c r="J15" s="47"/>
    </row>
    <row r="16" spans="1:10" ht="39.9" customHeight="1" x14ac:dyDescent="0.3">
      <c r="A16" s="11"/>
      <c r="B16" s="42" t="s">
        <v>208</v>
      </c>
      <c r="C16" s="43"/>
      <c r="D16" s="43"/>
      <c r="E16" s="9">
        <v>5</v>
      </c>
      <c r="F16" s="20">
        <v>3.75</v>
      </c>
      <c r="G16" s="29">
        <f t="shared" si="0"/>
        <v>0.75</v>
      </c>
      <c r="H16" s="30" t="str">
        <f t="shared" si="1"/>
        <v>جيد</v>
      </c>
      <c r="I16" s="46"/>
      <c r="J16" s="47"/>
    </row>
    <row r="17" spans="1:10" ht="30" customHeight="1" x14ac:dyDescent="0.3">
      <c r="A17" s="11"/>
      <c r="B17" s="42" t="s">
        <v>187</v>
      </c>
      <c r="C17" s="43"/>
      <c r="D17" s="43"/>
      <c r="E17" s="9">
        <v>5</v>
      </c>
      <c r="F17" s="20">
        <v>3.5</v>
      </c>
      <c r="G17" s="29">
        <f t="shared" si="0"/>
        <v>0.7</v>
      </c>
      <c r="H17" s="30" t="str">
        <f t="shared" si="1"/>
        <v>جيد</v>
      </c>
      <c r="I17" s="46"/>
      <c r="J17" s="47"/>
    </row>
    <row r="18" spans="1:10" ht="30" customHeight="1" x14ac:dyDescent="0.3">
      <c r="A18" s="11"/>
      <c r="B18" s="42" t="s">
        <v>188</v>
      </c>
      <c r="C18" s="43"/>
      <c r="D18" s="43"/>
      <c r="E18" s="9">
        <v>5</v>
      </c>
      <c r="F18" s="20">
        <v>3.75</v>
      </c>
      <c r="G18" s="29">
        <f t="shared" si="0"/>
        <v>0.75</v>
      </c>
      <c r="H18" s="30" t="str">
        <f t="shared" si="1"/>
        <v>جيد</v>
      </c>
      <c r="I18" s="46"/>
      <c r="J18" s="47"/>
    </row>
    <row r="19" spans="1:10" ht="30" customHeight="1" x14ac:dyDescent="0.3">
      <c r="A19" s="11"/>
      <c r="B19" s="42" t="s">
        <v>194</v>
      </c>
      <c r="C19" s="43"/>
      <c r="D19" s="43"/>
      <c r="E19" s="9">
        <v>5</v>
      </c>
      <c r="F19" s="20">
        <v>3.5</v>
      </c>
      <c r="G19" s="29">
        <f t="shared" si="0"/>
        <v>0.7</v>
      </c>
      <c r="H19" s="30" t="str">
        <f t="shared" si="1"/>
        <v>جيد</v>
      </c>
      <c r="I19" s="46"/>
      <c r="J19" s="47"/>
    </row>
    <row r="20" spans="1:10" ht="57.75" customHeight="1" x14ac:dyDescent="0.3">
      <c r="A20" s="11"/>
      <c r="B20" s="42" t="s">
        <v>206</v>
      </c>
      <c r="C20" s="43"/>
      <c r="D20" s="43"/>
      <c r="E20" s="9">
        <v>5</v>
      </c>
      <c r="F20" s="20">
        <v>4</v>
      </c>
      <c r="G20" s="29">
        <f t="shared" si="0"/>
        <v>0.8</v>
      </c>
      <c r="H20" s="30" t="str">
        <f t="shared" si="1"/>
        <v>جيد جداً</v>
      </c>
      <c r="I20" s="46"/>
      <c r="J20" s="47"/>
    </row>
    <row r="21" spans="1:10" ht="30" customHeight="1" x14ac:dyDescent="0.3">
      <c r="A21" s="11"/>
      <c r="B21" s="40" t="s">
        <v>192</v>
      </c>
      <c r="C21" s="41"/>
      <c r="D21" s="41"/>
      <c r="E21" s="9"/>
      <c r="F21" s="20"/>
      <c r="G21" s="29"/>
      <c r="H21" s="30"/>
      <c r="I21" s="46"/>
      <c r="J21" s="47"/>
    </row>
    <row r="22" spans="1:10" ht="30" customHeight="1" x14ac:dyDescent="0.3">
      <c r="A22" s="11"/>
      <c r="B22" s="42" t="s">
        <v>195</v>
      </c>
      <c r="C22" s="43"/>
      <c r="D22" s="43"/>
      <c r="E22" s="9">
        <v>5</v>
      </c>
      <c r="F22" s="20">
        <v>4.25</v>
      </c>
      <c r="G22" s="29">
        <f t="shared" si="0"/>
        <v>0.85</v>
      </c>
      <c r="H22" s="30" t="str">
        <f t="shared" si="1"/>
        <v>جيد جداً</v>
      </c>
      <c r="I22" s="46"/>
      <c r="J22" s="47"/>
    </row>
    <row r="23" spans="1:10" ht="39.9" customHeight="1" x14ac:dyDescent="0.3">
      <c r="A23" s="11"/>
      <c r="B23" s="42" t="s">
        <v>196</v>
      </c>
      <c r="C23" s="43"/>
      <c r="D23" s="43"/>
      <c r="E23" s="9">
        <v>5</v>
      </c>
      <c r="F23" s="20">
        <v>3.5</v>
      </c>
      <c r="G23" s="29">
        <f t="shared" si="0"/>
        <v>0.7</v>
      </c>
      <c r="H23" s="30" t="str">
        <f t="shared" si="1"/>
        <v>جيد</v>
      </c>
      <c r="I23" s="46"/>
      <c r="J23" s="47"/>
    </row>
    <row r="24" spans="1:10" ht="30" customHeight="1" x14ac:dyDescent="0.3">
      <c r="A24" s="11"/>
      <c r="B24" s="42" t="s">
        <v>189</v>
      </c>
      <c r="C24" s="43"/>
      <c r="D24" s="43"/>
      <c r="E24" s="9">
        <v>5</v>
      </c>
      <c r="F24" s="20">
        <v>3.75</v>
      </c>
      <c r="G24" s="29">
        <f t="shared" si="0"/>
        <v>0.75</v>
      </c>
      <c r="H24" s="30" t="str">
        <f t="shared" si="1"/>
        <v>جيد</v>
      </c>
      <c r="I24" s="46"/>
      <c r="J24" s="47"/>
    </row>
    <row r="25" spans="1:10" ht="30" customHeight="1" thickBot="1" x14ac:dyDescent="0.35">
      <c r="A25" s="11"/>
      <c r="B25" s="44" t="s">
        <v>197</v>
      </c>
      <c r="C25" s="45"/>
      <c r="D25" s="45"/>
      <c r="E25" s="31">
        <v>5</v>
      </c>
      <c r="F25" s="21">
        <v>3.5</v>
      </c>
      <c r="G25" s="32">
        <f t="shared" si="0"/>
        <v>0.7</v>
      </c>
      <c r="H25" s="33" t="str">
        <f t="shared" si="1"/>
        <v>جيد</v>
      </c>
      <c r="I25" s="48"/>
      <c r="J25" s="49"/>
    </row>
    <row r="26" spans="1:10" ht="30" customHeight="1" x14ac:dyDescent="0.3">
      <c r="A26" s="11"/>
      <c r="B26" s="37" t="s">
        <v>190</v>
      </c>
      <c r="C26" s="38"/>
      <c r="D26" s="38"/>
      <c r="E26" s="38"/>
      <c r="F26" s="38"/>
      <c r="G26" s="38"/>
      <c r="H26" s="38"/>
      <c r="I26" s="38"/>
      <c r="J26" s="39"/>
    </row>
    <row r="27" spans="1:10" ht="30" customHeight="1" x14ac:dyDescent="0.3">
      <c r="A27" s="11"/>
      <c r="B27" s="40" t="s">
        <v>209</v>
      </c>
      <c r="C27" s="41"/>
      <c r="D27" s="41"/>
      <c r="E27" s="9">
        <v>5</v>
      </c>
      <c r="F27" s="20">
        <v>3.75</v>
      </c>
      <c r="G27" s="29">
        <f t="shared" si="0"/>
        <v>0.75</v>
      </c>
      <c r="H27" s="30" t="str">
        <f t="shared" si="1"/>
        <v>جيد</v>
      </c>
      <c r="I27" s="46"/>
      <c r="J27" s="47"/>
    </row>
    <row r="28" spans="1:10" ht="30" customHeight="1" x14ac:dyDescent="0.3">
      <c r="A28" s="11"/>
      <c r="B28" s="40" t="s">
        <v>191</v>
      </c>
      <c r="C28" s="41"/>
      <c r="D28" s="41"/>
      <c r="E28" s="9"/>
      <c r="F28" s="20"/>
      <c r="G28" s="29"/>
      <c r="H28" s="30"/>
      <c r="I28" s="46"/>
      <c r="J28" s="47"/>
    </row>
    <row r="29" spans="1:10" ht="39.9" customHeight="1" x14ac:dyDescent="0.3">
      <c r="A29" s="11"/>
      <c r="B29" s="42" t="s">
        <v>198</v>
      </c>
      <c r="C29" s="43"/>
      <c r="D29" s="43"/>
      <c r="E29" s="9">
        <v>5</v>
      </c>
      <c r="F29" s="20">
        <v>3.5</v>
      </c>
      <c r="G29" s="29">
        <f t="shared" si="0"/>
        <v>0.7</v>
      </c>
      <c r="H29" s="30" t="str">
        <f t="shared" si="1"/>
        <v>جيد</v>
      </c>
      <c r="I29" s="46"/>
      <c r="J29" s="47"/>
    </row>
    <row r="30" spans="1:10" ht="39.9" customHeight="1" x14ac:dyDescent="0.3">
      <c r="A30" s="11"/>
      <c r="B30" s="42" t="s">
        <v>199</v>
      </c>
      <c r="C30" s="43"/>
      <c r="D30" s="43"/>
      <c r="E30" s="9">
        <v>5</v>
      </c>
      <c r="F30" s="20">
        <v>4</v>
      </c>
      <c r="G30" s="29">
        <f t="shared" si="0"/>
        <v>0.8</v>
      </c>
      <c r="H30" s="30" t="str">
        <f t="shared" si="1"/>
        <v>جيد جداً</v>
      </c>
      <c r="I30" s="46"/>
      <c r="J30" s="47"/>
    </row>
    <row r="31" spans="1:10" ht="39.9" customHeight="1" x14ac:dyDescent="0.3">
      <c r="A31" s="11"/>
      <c r="B31" s="42" t="s">
        <v>200</v>
      </c>
      <c r="C31" s="43"/>
      <c r="D31" s="43"/>
      <c r="E31" s="9">
        <v>5</v>
      </c>
      <c r="F31" s="20">
        <v>3.5</v>
      </c>
      <c r="G31" s="29">
        <f t="shared" ref="G31" si="2">IFERROR(F31/E31,"")</f>
        <v>0.7</v>
      </c>
      <c r="H31" s="30" t="str">
        <f t="shared" ref="H31" si="3">_xlfn.IFS(F31="أدخل العلامة","",F31="لا ينطبق","تم الإلغاء",G31&gt;=90%,"ممتاز",G31&gt;=80%,"جيد جداً",G31&gt;=70%,"جيد",G31&gt;=60%,"مقبول",G31&lt;60%,"راسب")</f>
        <v>جيد</v>
      </c>
      <c r="I31" s="46"/>
      <c r="J31" s="47"/>
    </row>
    <row r="32" spans="1:10" ht="39.9" customHeight="1" x14ac:dyDescent="0.3">
      <c r="A32" s="11"/>
      <c r="B32" s="42" t="s">
        <v>201</v>
      </c>
      <c r="C32" s="43"/>
      <c r="D32" s="43"/>
      <c r="E32" s="9">
        <v>5</v>
      </c>
      <c r="F32" s="20">
        <v>3.75</v>
      </c>
      <c r="G32" s="29">
        <f t="shared" ref="G32" si="4">IFERROR(F32/E32,"")</f>
        <v>0.75</v>
      </c>
      <c r="H32" s="30" t="str">
        <f t="shared" ref="H32" si="5">_xlfn.IFS(F32="أدخل العلامة","",F32="لا ينطبق","تم الإلغاء",G32&gt;=90%,"ممتاز",G32&gt;=80%,"جيد جداً",G32&gt;=70%,"جيد",G32&gt;=60%,"مقبول",G32&lt;60%,"راسب")</f>
        <v>جيد</v>
      </c>
      <c r="I32" s="46"/>
      <c r="J32" s="47"/>
    </row>
    <row r="33" spans="1:10" ht="59.25" customHeight="1" x14ac:dyDescent="0.3">
      <c r="A33" s="11"/>
      <c r="B33" s="42" t="s">
        <v>210</v>
      </c>
      <c r="C33" s="43"/>
      <c r="D33" s="43"/>
      <c r="E33" s="9">
        <v>5</v>
      </c>
      <c r="F33" s="20">
        <v>3.5</v>
      </c>
      <c r="G33" s="29">
        <f t="shared" si="0"/>
        <v>0.7</v>
      </c>
      <c r="H33" s="30" t="str">
        <f t="shared" si="1"/>
        <v>جيد</v>
      </c>
      <c r="I33" s="46"/>
      <c r="J33" s="47"/>
    </row>
    <row r="34" spans="1:10" ht="30" customHeight="1" x14ac:dyDescent="0.3">
      <c r="A34" s="11"/>
      <c r="B34" s="42" t="s">
        <v>202</v>
      </c>
      <c r="C34" s="43"/>
      <c r="D34" s="43"/>
      <c r="E34" s="9">
        <v>5</v>
      </c>
      <c r="F34" s="20">
        <v>4</v>
      </c>
      <c r="G34" s="29">
        <f t="shared" si="0"/>
        <v>0.8</v>
      </c>
      <c r="H34" s="30" t="str">
        <f t="shared" si="1"/>
        <v>جيد جداً</v>
      </c>
      <c r="I34" s="46"/>
      <c r="J34" s="47"/>
    </row>
    <row r="35" spans="1:10" ht="39.9" customHeight="1" thickBot="1" x14ac:dyDescent="0.35">
      <c r="A35" s="11"/>
      <c r="B35" s="42" t="s">
        <v>211</v>
      </c>
      <c r="C35" s="43"/>
      <c r="D35" s="43"/>
      <c r="E35" s="9">
        <v>5</v>
      </c>
      <c r="F35" s="20">
        <v>3.75</v>
      </c>
      <c r="G35" s="29">
        <f t="shared" si="0"/>
        <v>0.75</v>
      </c>
      <c r="H35" s="30" t="str">
        <f t="shared" si="1"/>
        <v>جيد</v>
      </c>
      <c r="I35" s="46"/>
      <c r="J35" s="47"/>
    </row>
    <row r="36" spans="1:10" ht="30" customHeight="1" thickBot="1" x14ac:dyDescent="0.35">
      <c r="A36" s="4"/>
      <c r="B36" s="50" t="s">
        <v>5</v>
      </c>
      <c r="C36" s="51"/>
      <c r="D36" s="51"/>
      <c r="E36" s="10">
        <f>SUM(E8:E35)</f>
        <v>105</v>
      </c>
      <c r="F36" s="10">
        <f>SUM(F8:F35)</f>
        <v>77.75</v>
      </c>
      <c r="G36" s="77"/>
      <c r="H36" s="78"/>
      <c r="I36" s="78"/>
      <c r="J36" s="79"/>
    </row>
    <row r="37" spans="1:10" ht="30" customHeight="1" thickBot="1" x14ac:dyDescent="0.35">
      <c r="A37" s="4"/>
      <c r="B37" s="50" t="s">
        <v>54</v>
      </c>
      <c r="C37" s="51"/>
      <c r="D37" s="51"/>
      <c r="E37" s="65">
        <f>F36/E36/100*100</f>
        <v>0.74047619047619051</v>
      </c>
      <c r="F37" s="65"/>
      <c r="G37" s="65"/>
      <c r="H37" s="65"/>
      <c r="I37" s="65"/>
      <c r="J37" s="66"/>
    </row>
    <row r="38" spans="1:10" ht="30" customHeight="1" thickBot="1" x14ac:dyDescent="0.35">
      <c r="A38" s="4"/>
      <c r="B38" s="50" t="s">
        <v>55</v>
      </c>
      <c r="C38" s="51"/>
      <c r="D38" s="51"/>
      <c r="E38" s="56" t="str">
        <f>_xlfn.IFS(E37&gt;=90%,"ممتاز",E37&gt;=80%,"جيد جداً",E37&gt;=70%,"جيد",E37&gt;=60%,"مقبول",E37&lt;60%,"راسب")</f>
        <v>جيد</v>
      </c>
      <c r="F38" s="56"/>
      <c r="G38" s="56"/>
      <c r="H38" s="56"/>
      <c r="I38" s="56"/>
      <c r="J38" s="57"/>
    </row>
    <row r="39" spans="1:10" ht="42" customHeight="1" x14ac:dyDescent="0.3">
      <c r="B39" s="52" t="s">
        <v>60</v>
      </c>
      <c r="C39" s="52"/>
      <c r="D39" s="52"/>
      <c r="E39" s="75" t="s">
        <v>52</v>
      </c>
      <c r="F39" s="75"/>
      <c r="G39" s="54" t="s">
        <v>58</v>
      </c>
      <c r="H39" s="54"/>
      <c r="I39" s="54"/>
      <c r="J39" s="54"/>
    </row>
    <row r="40" spans="1:10" ht="51" customHeight="1" x14ac:dyDescent="0.3">
      <c r="A40" s="5"/>
      <c r="B40" s="53"/>
      <c r="C40" s="53"/>
      <c r="D40" s="53"/>
      <c r="E40" s="76" t="s">
        <v>53</v>
      </c>
      <c r="F40" s="76"/>
      <c r="G40" s="55"/>
      <c r="H40" s="55"/>
      <c r="I40" s="55"/>
      <c r="J40" s="5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4">
    <mergeCell ref="E39:F39"/>
    <mergeCell ref="E40:F40"/>
    <mergeCell ref="G36:J36"/>
    <mergeCell ref="I9:J9"/>
    <mergeCell ref="I10:J10"/>
    <mergeCell ref="I19:J19"/>
    <mergeCell ref="I20:J20"/>
    <mergeCell ref="I21:J21"/>
    <mergeCell ref="I22:J22"/>
    <mergeCell ref="I11:J11"/>
    <mergeCell ref="I12:J12"/>
    <mergeCell ref="I14:J14"/>
    <mergeCell ref="I15:J15"/>
    <mergeCell ref="I16:J16"/>
    <mergeCell ref="I34:J34"/>
    <mergeCell ref="I35:J35"/>
    <mergeCell ref="B39:D40"/>
    <mergeCell ref="G39:J39"/>
    <mergeCell ref="G40:J40"/>
    <mergeCell ref="E38:J38"/>
    <mergeCell ref="B1:J1"/>
    <mergeCell ref="F2:J2"/>
    <mergeCell ref="B5:D6"/>
    <mergeCell ref="C2:D2"/>
    <mergeCell ref="C3:D3"/>
    <mergeCell ref="F3:J3"/>
    <mergeCell ref="E37:J37"/>
    <mergeCell ref="B7:D7"/>
    <mergeCell ref="I30:J30"/>
    <mergeCell ref="E5:H5"/>
    <mergeCell ref="I5:J6"/>
    <mergeCell ref="I7:J7"/>
    <mergeCell ref="B36:D36"/>
    <mergeCell ref="B37:D37"/>
    <mergeCell ref="B38:D38"/>
    <mergeCell ref="B15:D15"/>
    <mergeCell ref="B16:D16"/>
    <mergeCell ref="B21:D21"/>
    <mergeCell ref="B22:D22"/>
    <mergeCell ref="B23:D23"/>
    <mergeCell ref="B24:D24"/>
    <mergeCell ref="B25:D25"/>
    <mergeCell ref="B34:D34"/>
    <mergeCell ref="B35:D35"/>
    <mergeCell ref="B30:D30"/>
    <mergeCell ref="B32:D32"/>
    <mergeCell ref="B33:D33"/>
    <mergeCell ref="B31:D31"/>
    <mergeCell ref="I32:J32"/>
    <mergeCell ref="I33:J33"/>
    <mergeCell ref="I31:J31"/>
    <mergeCell ref="I17:J17"/>
    <mergeCell ref="I18:J18"/>
    <mergeCell ref="I28:J28"/>
    <mergeCell ref="I29:J29"/>
    <mergeCell ref="I23:J23"/>
    <mergeCell ref="I24:J24"/>
    <mergeCell ref="I25:J25"/>
    <mergeCell ref="I27:J27"/>
    <mergeCell ref="B8:J8"/>
    <mergeCell ref="B26:J26"/>
    <mergeCell ref="B27:D27"/>
    <mergeCell ref="B28:D28"/>
    <mergeCell ref="B29:D29"/>
    <mergeCell ref="B17:D17"/>
    <mergeCell ref="B18:D18"/>
    <mergeCell ref="B19:D19"/>
    <mergeCell ref="B20:D20"/>
    <mergeCell ref="B9:D9"/>
    <mergeCell ref="B10:D10"/>
    <mergeCell ref="B11:D11"/>
    <mergeCell ref="B12:D12"/>
    <mergeCell ref="B14:D14"/>
    <mergeCell ref="B13:J13"/>
  </mergeCells>
  <conditionalFormatting sqref="C2:D2">
    <cfRule type="containsText" dxfId="28" priority="36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7" priority="35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8">
    <cfRule type="expression" dxfId="26" priority="75">
      <formula>$E38="راسب"</formula>
    </cfRule>
  </conditionalFormatting>
  <conditionalFormatting sqref="E38:J38">
    <cfRule type="expression" dxfId="25" priority="79">
      <formula>$E38="ممتاز"</formula>
    </cfRule>
    <cfRule type="expression" dxfId="24" priority="78">
      <formula>$E38="جيد جداً"</formula>
    </cfRule>
    <cfRule type="expression" dxfId="23" priority="77">
      <formula>$E38="جيد"</formula>
    </cfRule>
    <cfRule type="expression" dxfId="22" priority="76">
      <formula>$E38="مقبول"</formula>
    </cfRule>
  </conditionalFormatting>
  <conditionalFormatting sqref="F9:F12">
    <cfRule type="containsText" dxfId="21" priority="22" operator="containsText" text="أدخل العلامة">
      <formula>NOT(ISERROR(SEARCH("أدخل العلامة",F9)))</formula>
    </cfRule>
  </conditionalFormatting>
  <conditionalFormatting sqref="F14:F25 H14:H25">
    <cfRule type="containsText" dxfId="20" priority="56" operator="containsText" text="أدخل العلامة">
      <formula>NOT(ISERROR(SEARCH("أدخل العلامة",F14)))</formula>
    </cfRule>
  </conditionalFormatting>
  <conditionalFormatting sqref="F27:F35 H27:H35">
    <cfRule type="containsText" dxfId="19" priority="1" operator="containsText" text="أدخل العلامة">
      <formula>NOT(ISERROR(SEARCH("أدخل العلامة",F27)))</formula>
    </cfRule>
  </conditionalFormatting>
  <conditionalFormatting sqref="F2:J2">
    <cfRule type="containsText" dxfId="18" priority="37" operator="containsText" text="أدخل التاريخ">
      <formula>NOT(ISERROR(SEARCH("أدخل التاريخ",F2)))</formula>
    </cfRule>
  </conditionalFormatting>
  <conditionalFormatting sqref="F3:J3">
    <cfRule type="containsText" dxfId="17" priority="34" operator="containsText" text="أدخل أسم المحكم">
      <formula>NOT(ISERROR(SEARCH("أدخل أسم المحكم",F3)))</formula>
    </cfRule>
  </conditionalFormatting>
  <conditionalFormatting sqref="G39:J39">
    <cfRule type="containsText" dxfId="16" priority="33" operator="containsText" text="أدخل اسم المحكم">
      <formula>NOT(ISERROR(SEARCH("أدخل اسم المحكم",G39)))</formula>
    </cfRule>
  </conditionalFormatting>
  <conditionalFormatting sqref="H9:H12">
    <cfRule type="containsText" dxfId="15" priority="26" operator="containsText" text="جيد">
      <formula>NOT(ISERROR(SEARCH("جيد",H9)))</formula>
    </cfRule>
    <cfRule type="containsText" dxfId="14" priority="27" operator="containsText" text="مقبول">
      <formula>NOT(ISERROR(SEARCH("مقبول",H9)))</formula>
    </cfRule>
    <cfRule type="containsText" dxfId="13" priority="28" operator="containsText" text="راسب">
      <formula>NOT(ISERROR(SEARCH("راسب",H9)))</formula>
    </cfRule>
    <cfRule type="containsText" dxfId="12" priority="25" operator="containsText" text="جيد جداً">
      <formula>NOT(ISERROR(SEARCH("جيد جداً",H9)))</formula>
    </cfRule>
    <cfRule type="containsText" dxfId="11" priority="24" operator="containsText" text="ممتاز">
      <formula>NOT(ISERROR(SEARCH("ممتاز",H9)))</formula>
    </cfRule>
    <cfRule type="containsText" dxfId="10" priority="23" operator="containsText" text="أدخل العلامة">
      <formula>NOT(ISERROR(SEARCH("أدخل العلامة",H9)))</formula>
    </cfRule>
  </conditionalFormatting>
  <conditionalFormatting sqref="H14:H25">
    <cfRule type="containsText" dxfId="9" priority="57" operator="containsText" text="ممتاز">
      <formula>NOT(ISERROR(SEARCH("ممتاز",H14)))</formula>
    </cfRule>
    <cfRule type="containsText" dxfId="8" priority="58" operator="containsText" text="جيد جداً">
      <formula>NOT(ISERROR(SEARCH("جيد جداً",H14)))</formula>
    </cfRule>
    <cfRule type="containsText" dxfId="7" priority="59" operator="containsText" text="جيد">
      <formula>NOT(ISERROR(SEARCH("جيد",H14)))</formula>
    </cfRule>
    <cfRule type="containsText" dxfId="6" priority="60" operator="containsText" text="مقبول">
      <formula>NOT(ISERROR(SEARCH("مقبول",H14)))</formula>
    </cfRule>
    <cfRule type="containsText" dxfId="5" priority="61" operator="containsText" text="راسب">
      <formula>NOT(ISERROR(SEARCH("راسب",H14)))</formula>
    </cfRule>
  </conditionalFormatting>
  <conditionalFormatting sqref="H27:H35">
    <cfRule type="containsText" dxfId="4" priority="6" operator="containsText" text="راسب">
      <formula>NOT(ISERROR(SEARCH("راسب",H27)))</formula>
    </cfRule>
    <cfRule type="containsText" dxfId="3" priority="5" operator="containsText" text="مقبول">
      <formula>NOT(ISERROR(SEARCH("مقبول",H27)))</formula>
    </cfRule>
    <cfRule type="containsText" dxfId="2" priority="4" operator="containsText" text="جيد">
      <formula>NOT(ISERROR(SEARCH("جيد",H27)))</formula>
    </cfRule>
    <cfRule type="containsText" dxfId="1" priority="3" operator="containsText" text="جيد جداً">
      <formula>NOT(ISERROR(SEARCH("جيد جداً",H27)))</formula>
    </cfRule>
    <cfRule type="containsText" dxfId="0" priority="2" operator="containsText" text="ممتاز">
      <formula>NOT(ISERROR(SEARCH("ممتاز",H27)))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G39:J39</xm:sqref>
        </x14:dataValidation>
        <x14:dataValidation type="list" allowBlank="1" showInputMessage="1" showErrorMessage="1" xr:uid="{E6976CCA-5A61-4427-9CF4-DF5EFDCB8EF0}">
          <x14:formula1>
            <xm:f>'بيانات التقييم'!$A$197:$A$285</xm:f>
          </x14:formula1>
          <xm:sqref>F3:J3</xm:sqref>
        </x14:dataValidation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F29:F35 F27 F16:F20 F14 F22:F25 F9 F11:F12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285"/>
  <sheetViews>
    <sheetView rightToLeft="1" topLeftCell="A261" workbookViewId="0">
      <selection activeCell="A197" sqref="A197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61</v>
      </c>
    </row>
    <row r="7" spans="1:1" ht="20.100000000000001" customHeight="1" thickBot="1" x14ac:dyDescent="0.35">
      <c r="A7" s="2" t="s">
        <v>62</v>
      </c>
    </row>
    <row r="8" spans="1:1" ht="20.100000000000001" customHeight="1" thickBot="1" x14ac:dyDescent="0.35">
      <c r="A8" s="2" t="s">
        <v>63</v>
      </c>
    </row>
    <row r="9" spans="1:1" ht="20.100000000000001" customHeight="1" thickBot="1" x14ac:dyDescent="0.35">
      <c r="A9" s="2" t="s">
        <v>82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64</v>
      </c>
    </row>
    <row r="12" spans="1:1" ht="20.100000000000001" customHeight="1" thickBot="1" x14ac:dyDescent="0.35">
      <c r="A12" s="2" t="s">
        <v>65</v>
      </c>
    </row>
    <row r="13" spans="1:1" ht="20.100000000000001" customHeight="1" thickBot="1" x14ac:dyDescent="0.35">
      <c r="A13" s="2" t="s">
        <v>66</v>
      </c>
    </row>
    <row r="14" spans="1:1" ht="20.100000000000001" customHeight="1" thickBot="1" x14ac:dyDescent="0.35">
      <c r="A14" s="2" t="s">
        <v>83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67</v>
      </c>
    </row>
    <row r="17" spans="1:1" ht="20.100000000000001" customHeight="1" thickBot="1" x14ac:dyDescent="0.35">
      <c r="A17" s="2" t="s">
        <v>68</v>
      </c>
    </row>
    <row r="18" spans="1:1" ht="20.100000000000001" customHeight="1" thickBot="1" x14ac:dyDescent="0.35">
      <c r="A18" s="2" t="s">
        <v>69</v>
      </c>
    </row>
    <row r="19" spans="1:1" ht="20.100000000000001" customHeight="1" thickBot="1" x14ac:dyDescent="0.35">
      <c r="A19" s="2" t="s">
        <v>84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70</v>
      </c>
    </row>
    <row r="23" spans="1:1" ht="20.100000000000001" customHeight="1" thickBot="1" x14ac:dyDescent="0.35">
      <c r="A23" s="2" t="s">
        <v>71</v>
      </c>
    </row>
    <row r="24" spans="1:1" ht="20.100000000000001" customHeight="1" thickBot="1" x14ac:dyDescent="0.35">
      <c r="A24" s="2" t="s">
        <v>72</v>
      </c>
    </row>
    <row r="25" spans="1:1" ht="20.100000000000001" customHeight="1" thickBot="1" x14ac:dyDescent="0.35">
      <c r="A25" s="2" t="s">
        <v>85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73</v>
      </c>
    </row>
    <row r="28" spans="1:1" ht="20.100000000000001" customHeight="1" thickBot="1" x14ac:dyDescent="0.35">
      <c r="A28" s="2" t="s">
        <v>74</v>
      </c>
    </row>
    <row r="29" spans="1:1" ht="20.100000000000001" customHeight="1" thickBot="1" x14ac:dyDescent="0.35">
      <c r="A29" s="2" t="s">
        <v>75</v>
      </c>
    </row>
    <row r="30" spans="1:1" ht="20.100000000000001" customHeight="1" thickBot="1" x14ac:dyDescent="0.35">
      <c r="A30" s="2" t="s">
        <v>86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76</v>
      </c>
    </row>
    <row r="33" spans="1:1" ht="20.100000000000001" customHeight="1" thickBot="1" x14ac:dyDescent="0.35">
      <c r="A33" s="2" t="s">
        <v>77</v>
      </c>
    </row>
    <row r="34" spans="1:1" ht="20.100000000000001" customHeight="1" thickBot="1" x14ac:dyDescent="0.35">
      <c r="A34" s="2" t="s">
        <v>78</v>
      </c>
    </row>
    <row r="35" spans="1:1" ht="20.100000000000001" customHeight="1" thickBot="1" x14ac:dyDescent="0.35">
      <c r="A35" s="2" t="s">
        <v>87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79</v>
      </c>
    </row>
    <row r="39" spans="1:1" ht="20.100000000000001" customHeight="1" thickBot="1" x14ac:dyDescent="0.35">
      <c r="A39" s="2" t="s">
        <v>80</v>
      </c>
    </row>
    <row r="40" spans="1:1" ht="20.100000000000001" customHeight="1" thickBot="1" x14ac:dyDescent="0.35">
      <c r="A40" s="2" t="s">
        <v>81</v>
      </c>
    </row>
    <row r="41" spans="1:1" ht="20.100000000000001" customHeight="1" thickBot="1" x14ac:dyDescent="0.35">
      <c r="A41" s="2" t="s">
        <v>88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89</v>
      </c>
    </row>
    <row r="44" spans="1:1" ht="20.100000000000001" customHeight="1" thickBot="1" x14ac:dyDescent="0.35">
      <c r="A44" s="2" t="s">
        <v>90</v>
      </c>
    </row>
    <row r="45" spans="1:1" ht="20.100000000000001" customHeight="1" thickBot="1" x14ac:dyDescent="0.35">
      <c r="A45" s="2" t="s">
        <v>91</v>
      </c>
    </row>
    <row r="46" spans="1:1" ht="20.100000000000001" customHeight="1" thickBot="1" x14ac:dyDescent="0.35">
      <c r="A46" s="2" t="s">
        <v>92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93</v>
      </c>
    </row>
    <row r="49" spans="1:1" ht="20.100000000000001" customHeight="1" thickBot="1" x14ac:dyDescent="0.35">
      <c r="A49" s="2" t="s">
        <v>94</v>
      </c>
    </row>
    <row r="50" spans="1:1" ht="20.100000000000001" customHeight="1" thickBot="1" x14ac:dyDescent="0.35">
      <c r="A50" s="2" t="s">
        <v>95</v>
      </c>
    </row>
    <row r="51" spans="1:1" ht="20.100000000000001" customHeight="1" thickBot="1" x14ac:dyDescent="0.35">
      <c r="A51" s="2" t="s">
        <v>96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9"/>
    </row>
    <row r="72" spans="1:8" s="18" customFormat="1" ht="20.100000000000001" customHeight="1" x14ac:dyDescent="0.3">
      <c r="A72" s="16"/>
      <c r="B72" s="17"/>
      <c r="C72" s="17"/>
      <c r="D72" s="17"/>
      <c r="E72" s="17"/>
      <c r="F72" s="17"/>
      <c r="G72" s="17"/>
      <c r="H72" s="17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4">
        <v>45931</v>
      </c>
    </row>
    <row r="76" spans="1:8" ht="20.100000000000001" customHeight="1" thickBot="1" x14ac:dyDescent="0.35">
      <c r="A76" s="14">
        <v>45932</v>
      </c>
    </row>
    <row r="77" spans="1:8" ht="20.100000000000001" customHeight="1" thickBot="1" x14ac:dyDescent="0.35">
      <c r="A77" s="14">
        <v>45933</v>
      </c>
    </row>
    <row r="78" spans="1:8" ht="20.100000000000001" customHeight="1" thickBot="1" x14ac:dyDescent="0.35">
      <c r="A78" s="14">
        <v>45934</v>
      </c>
    </row>
    <row r="79" spans="1:8" ht="20.100000000000001" customHeight="1" thickBot="1" x14ac:dyDescent="0.35">
      <c r="A79" s="14">
        <v>45935</v>
      </c>
    </row>
    <row r="80" spans="1:8" ht="20.100000000000001" customHeight="1" thickBot="1" x14ac:dyDescent="0.35">
      <c r="A80" s="14">
        <v>45936</v>
      </c>
    </row>
    <row r="81" spans="1:1" ht="20.100000000000001" customHeight="1" thickBot="1" x14ac:dyDescent="0.35">
      <c r="A81" s="14">
        <v>45937</v>
      </c>
    </row>
    <row r="82" spans="1:1" ht="20.100000000000001" customHeight="1" thickBot="1" x14ac:dyDescent="0.35">
      <c r="A82" s="14">
        <v>45938</v>
      </c>
    </row>
    <row r="83" spans="1:1" ht="20.100000000000001" customHeight="1" thickBot="1" x14ac:dyDescent="0.35">
      <c r="A83" s="14">
        <v>45939</v>
      </c>
    </row>
    <row r="84" spans="1:1" ht="20.100000000000001" customHeight="1" thickBot="1" x14ac:dyDescent="0.35">
      <c r="A84" s="14">
        <v>45940</v>
      </c>
    </row>
    <row r="85" spans="1:1" ht="20.100000000000001" customHeight="1" thickBot="1" x14ac:dyDescent="0.35">
      <c r="A85" s="14">
        <v>45941</v>
      </c>
    </row>
    <row r="86" spans="1:1" ht="20.100000000000001" customHeight="1" thickBot="1" x14ac:dyDescent="0.35">
      <c r="A86" s="14">
        <v>45942</v>
      </c>
    </row>
    <row r="87" spans="1:1" ht="20.100000000000001" customHeight="1" thickBot="1" x14ac:dyDescent="0.35">
      <c r="A87" s="14">
        <v>45943</v>
      </c>
    </row>
    <row r="88" spans="1:1" ht="20.100000000000001" customHeight="1" thickBot="1" x14ac:dyDescent="0.35">
      <c r="A88" s="14">
        <v>45944</v>
      </c>
    </row>
    <row r="89" spans="1:1" ht="20.100000000000001" customHeight="1" thickBot="1" x14ac:dyDescent="0.35">
      <c r="A89" s="14">
        <v>45945</v>
      </c>
    </row>
    <row r="90" spans="1:1" ht="20.100000000000001" customHeight="1" thickBot="1" x14ac:dyDescent="0.35">
      <c r="A90" s="14">
        <v>45946</v>
      </c>
    </row>
    <row r="91" spans="1:1" ht="20.100000000000001" customHeight="1" thickBot="1" x14ac:dyDescent="0.35">
      <c r="A91" s="14">
        <v>45947</v>
      </c>
    </row>
    <row r="92" spans="1:1" ht="20.100000000000001" customHeight="1" thickBot="1" x14ac:dyDescent="0.35">
      <c r="A92" s="14">
        <v>45948</v>
      </c>
    </row>
    <row r="93" spans="1:1" ht="20.100000000000001" customHeight="1" thickBot="1" x14ac:dyDescent="0.35">
      <c r="A93" s="14">
        <v>45949</v>
      </c>
    </row>
    <row r="94" spans="1:1" ht="20.100000000000001" customHeight="1" thickBot="1" x14ac:dyDescent="0.35">
      <c r="A94" s="14">
        <v>45950</v>
      </c>
    </row>
    <row r="95" spans="1:1" ht="20.100000000000001" customHeight="1" thickBot="1" x14ac:dyDescent="0.35">
      <c r="A95" s="14">
        <v>45951</v>
      </c>
    </row>
    <row r="96" spans="1:1" ht="20.100000000000001" customHeight="1" thickBot="1" x14ac:dyDescent="0.35">
      <c r="A96" s="14">
        <v>45952</v>
      </c>
    </row>
    <row r="97" spans="1:8" ht="20.100000000000001" customHeight="1" thickBot="1" x14ac:dyDescent="0.35">
      <c r="A97" s="14">
        <v>45953</v>
      </c>
    </row>
    <row r="98" spans="1:8" ht="20.100000000000001" customHeight="1" thickBot="1" x14ac:dyDescent="0.35">
      <c r="A98" s="14">
        <v>45954</v>
      </c>
    </row>
    <row r="99" spans="1:8" ht="20.100000000000001" customHeight="1" thickBot="1" x14ac:dyDescent="0.35">
      <c r="A99" s="14">
        <v>45955</v>
      </c>
    </row>
    <row r="100" spans="1:8" ht="20.100000000000001" customHeight="1" thickBot="1" x14ac:dyDescent="0.35">
      <c r="A100" s="14">
        <v>45956</v>
      </c>
    </row>
    <row r="101" spans="1:8" ht="20.100000000000001" customHeight="1" thickBot="1" x14ac:dyDescent="0.35">
      <c r="A101" s="14">
        <v>45957</v>
      </c>
    </row>
    <row r="102" spans="1:8" ht="20.100000000000001" customHeight="1" thickBot="1" x14ac:dyDescent="0.35">
      <c r="A102" s="14">
        <v>45958</v>
      </c>
    </row>
    <row r="103" spans="1:8" ht="20.100000000000001" customHeight="1" thickBot="1" x14ac:dyDescent="0.35">
      <c r="A103" s="14">
        <v>45959</v>
      </c>
    </row>
    <row r="104" spans="1:8" ht="20.100000000000001" customHeight="1" thickBot="1" x14ac:dyDescent="0.35">
      <c r="A104" s="14">
        <v>45960</v>
      </c>
    </row>
    <row r="105" spans="1:8" ht="20.100000000000001" customHeight="1" thickBot="1" x14ac:dyDescent="0.35">
      <c r="A105" s="14">
        <v>45961</v>
      </c>
    </row>
    <row r="106" spans="1:8" ht="20.100000000000001" customHeight="1" x14ac:dyDescent="0.3">
      <c r="A106" s="15"/>
    </row>
    <row r="107" spans="1:8" ht="20.100000000000001" customHeight="1" x14ac:dyDescent="0.3">
      <c r="A107" s="15"/>
    </row>
    <row r="108" spans="1:8" s="18" customFormat="1" ht="20.100000000000001" customHeight="1" x14ac:dyDescent="0.3">
      <c r="A108" s="16"/>
      <c r="B108" s="17"/>
      <c r="C108" s="17"/>
      <c r="D108" s="17"/>
      <c r="E108" s="17"/>
      <c r="F108" s="17"/>
      <c r="G108" s="17"/>
      <c r="H108" s="17"/>
    </row>
    <row r="109" spans="1:8" ht="20.100000000000001" customHeight="1" thickBot="1" x14ac:dyDescent="0.35"/>
    <row r="110" spans="1:8" ht="20.100000000000001" customHeight="1" thickBot="1" x14ac:dyDescent="0.35">
      <c r="A110" s="2" t="s">
        <v>59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  <row r="198" spans="1:1" ht="20.100000000000001" customHeight="1" x14ac:dyDescent="0.3">
      <c r="A198" s="22" t="s">
        <v>97</v>
      </c>
    </row>
    <row r="199" spans="1:1" ht="20.100000000000001" customHeight="1" x14ac:dyDescent="0.3">
      <c r="A199" s="22" t="s">
        <v>98</v>
      </c>
    </row>
    <row r="200" spans="1:1" ht="20.100000000000001" customHeight="1" x14ac:dyDescent="0.3">
      <c r="A200" s="22" t="s">
        <v>99</v>
      </c>
    </row>
    <row r="201" spans="1:1" ht="20.100000000000001" customHeight="1" x14ac:dyDescent="0.3">
      <c r="A201" s="22" t="s">
        <v>100</v>
      </c>
    </row>
    <row r="202" spans="1:1" ht="20.100000000000001" customHeight="1" x14ac:dyDescent="0.3">
      <c r="A202" s="22" t="s">
        <v>101</v>
      </c>
    </row>
    <row r="203" spans="1:1" ht="20.100000000000001" customHeight="1" x14ac:dyDescent="0.3">
      <c r="A203" s="22" t="s">
        <v>102</v>
      </c>
    </row>
    <row r="204" spans="1:1" ht="20.100000000000001" customHeight="1" x14ac:dyDescent="0.3">
      <c r="A204" s="22" t="s">
        <v>103</v>
      </c>
    </row>
    <row r="205" spans="1:1" ht="20.100000000000001" customHeight="1" x14ac:dyDescent="0.3">
      <c r="A205" s="22" t="s">
        <v>104</v>
      </c>
    </row>
    <row r="206" spans="1:1" ht="20.100000000000001" customHeight="1" x14ac:dyDescent="0.3">
      <c r="A206" s="22" t="s">
        <v>105</v>
      </c>
    </row>
    <row r="207" spans="1:1" ht="20.100000000000001" customHeight="1" x14ac:dyDescent="0.3">
      <c r="A207" s="23" t="s">
        <v>106</v>
      </c>
    </row>
    <row r="208" spans="1:1" ht="20.100000000000001" customHeight="1" x14ac:dyDescent="0.3">
      <c r="A208" s="23" t="s">
        <v>107</v>
      </c>
    </row>
    <row r="209" spans="1:1" ht="20.100000000000001" customHeight="1" x14ac:dyDescent="0.3">
      <c r="A209" s="22" t="s">
        <v>108</v>
      </c>
    </row>
    <row r="210" spans="1:1" ht="20.100000000000001" customHeight="1" x14ac:dyDescent="0.3">
      <c r="A210" s="22" t="s">
        <v>109</v>
      </c>
    </row>
    <row r="211" spans="1:1" ht="20.100000000000001" customHeight="1" x14ac:dyDescent="0.3">
      <c r="A211" s="22" t="s">
        <v>110</v>
      </c>
    </row>
    <row r="212" spans="1:1" ht="20.100000000000001" customHeight="1" x14ac:dyDescent="0.3">
      <c r="A212" s="22" t="s">
        <v>111</v>
      </c>
    </row>
    <row r="213" spans="1:1" ht="20.100000000000001" customHeight="1" x14ac:dyDescent="0.3">
      <c r="A213" s="22" t="s">
        <v>112</v>
      </c>
    </row>
    <row r="214" spans="1:1" ht="20.100000000000001" customHeight="1" x14ac:dyDescent="0.3">
      <c r="A214" s="22" t="s">
        <v>113</v>
      </c>
    </row>
    <row r="215" spans="1:1" ht="20.100000000000001" customHeight="1" x14ac:dyDescent="0.3">
      <c r="A215" s="22" t="s">
        <v>114</v>
      </c>
    </row>
    <row r="216" spans="1:1" ht="20.100000000000001" customHeight="1" x14ac:dyDescent="0.3">
      <c r="A216" s="22" t="s">
        <v>115</v>
      </c>
    </row>
    <row r="217" spans="1:1" ht="20.100000000000001" customHeight="1" x14ac:dyDescent="0.3">
      <c r="A217" s="22" t="s">
        <v>116</v>
      </c>
    </row>
    <row r="218" spans="1:1" ht="20.100000000000001" customHeight="1" x14ac:dyDescent="0.3">
      <c r="A218" s="22" t="s">
        <v>117</v>
      </c>
    </row>
    <row r="219" spans="1:1" ht="20.100000000000001" customHeight="1" x14ac:dyDescent="0.3">
      <c r="A219" s="22" t="s">
        <v>118</v>
      </c>
    </row>
    <row r="220" spans="1:1" ht="20.100000000000001" customHeight="1" x14ac:dyDescent="0.3">
      <c r="A220" s="22" t="s">
        <v>119</v>
      </c>
    </row>
    <row r="221" spans="1:1" ht="20.100000000000001" customHeight="1" x14ac:dyDescent="0.3">
      <c r="A221" s="22" t="s">
        <v>120</v>
      </c>
    </row>
    <row r="222" spans="1:1" ht="20.100000000000001" customHeight="1" x14ac:dyDescent="0.3">
      <c r="A222" s="22" t="s">
        <v>121</v>
      </c>
    </row>
    <row r="223" spans="1:1" ht="20.100000000000001" customHeight="1" x14ac:dyDescent="0.3">
      <c r="A223" s="22" t="s">
        <v>122</v>
      </c>
    </row>
    <row r="224" spans="1:1" ht="20.100000000000001" customHeight="1" x14ac:dyDescent="0.3">
      <c r="A224" s="22" t="s">
        <v>123</v>
      </c>
    </row>
    <row r="225" spans="1:1" ht="20.100000000000001" customHeight="1" x14ac:dyDescent="0.3">
      <c r="A225" s="22" t="s">
        <v>124</v>
      </c>
    </row>
    <row r="226" spans="1:1" ht="20.100000000000001" customHeight="1" x14ac:dyDescent="0.3">
      <c r="A226" s="22" t="s">
        <v>125</v>
      </c>
    </row>
    <row r="227" spans="1:1" ht="20.100000000000001" customHeight="1" x14ac:dyDescent="0.3">
      <c r="A227" s="22" t="s">
        <v>126</v>
      </c>
    </row>
    <row r="228" spans="1:1" ht="20.100000000000001" customHeight="1" x14ac:dyDescent="0.3">
      <c r="A228" s="22" t="s">
        <v>127</v>
      </c>
    </row>
    <row r="229" spans="1:1" ht="20.100000000000001" customHeight="1" x14ac:dyDescent="0.3">
      <c r="A229" s="22" t="s">
        <v>128</v>
      </c>
    </row>
    <row r="230" spans="1:1" ht="20.100000000000001" customHeight="1" x14ac:dyDescent="0.3">
      <c r="A230" s="22" t="s">
        <v>129</v>
      </c>
    </row>
    <row r="231" spans="1:1" ht="20.100000000000001" customHeight="1" x14ac:dyDescent="0.3">
      <c r="A231" s="22" t="s">
        <v>130</v>
      </c>
    </row>
    <row r="232" spans="1:1" ht="20.100000000000001" customHeight="1" x14ac:dyDescent="0.3">
      <c r="A232" s="22" t="s">
        <v>131</v>
      </c>
    </row>
    <row r="233" spans="1:1" ht="20.100000000000001" customHeight="1" x14ac:dyDescent="0.3">
      <c r="A233" s="22" t="s">
        <v>132</v>
      </c>
    </row>
    <row r="234" spans="1:1" ht="20.100000000000001" customHeight="1" x14ac:dyDescent="0.3">
      <c r="A234" s="22" t="s">
        <v>133</v>
      </c>
    </row>
    <row r="235" spans="1:1" ht="20.100000000000001" customHeight="1" x14ac:dyDescent="0.3">
      <c r="A235" s="24" t="s">
        <v>134</v>
      </c>
    </row>
    <row r="236" spans="1:1" ht="20.100000000000001" customHeight="1" x14ac:dyDescent="0.3">
      <c r="A236" s="22" t="s">
        <v>135</v>
      </c>
    </row>
    <row r="237" spans="1:1" ht="20.100000000000001" customHeight="1" x14ac:dyDescent="0.3">
      <c r="A237" s="22" t="s">
        <v>136</v>
      </c>
    </row>
    <row r="238" spans="1:1" ht="20.100000000000001" customHeight="1" x14ac:dyDescent="0.3">
      <c r="A238" s="22" t="s">
        <v>137</v>
      </c>
    </row>
    <row r="239" spans="1:1" ht="20.100000000000001" customHeight="1" x14ac:dyDescent="0.3">
      <c r="A239" s="22" t="s">
        <v>138</v>
      </c>
    </row>
    <row r="240" spans="1:1" ht="20.100000000000001" customHeight="1" x14ac:dyDescent="0.3">
      <c r="A240" s="22" t="s">
        <v>139</v>
      </c>
    </row>
    <row r="241" spans="1:1" ht="20.100000000000001" customHeight="1" x14ac:dyDescent="0.3">
      <c r="A241" s="22" t="s">
        <v>140</v>
      </c>
    </row>
    <row r="242" spans="1:1" ht="20.100000000000001" customHeight="1" x14ac:dyDescent="0.3">
      <c r="A242" s="22" t="s">
        <v>141</v>
      </c>
    </row>
    <row r="243" spans="1:1" ht="20.100000000000001" customHeight="1" x14ac:dyDescent="0.3">
      <c r="A243" s="22" t="s">
        <v>142</v>
      </c>
    </row>
    <row r="244" spans="1:1" ht="20.100000000000001" customHeight="1" x14ac:dyDescent="0.3">
      <c r="A244" s="22" t="s">
        <v>143</v>
      </c>
    </row>
    <row r="245" spans="1:1" ht="20.100000000000001" customHeight="1" x14ac:dyDescent="0.3">
      <c r="A245" s="22" t="s">
        <v>144</v>
      </c>
    </row>
    <row r="246" spans="1:1" ht="20.100000000000001" customHeight="1" x14ac:dyDescent="0.3">
      <c r="A246" s="22" t="s">
        <v>145</v>
      </c>
    </row>
    <row r="247" spans="1:1" ht="20.100000000000001" customHeight="1" x14ac:dyDescent="0.3">
      <c r="A247" s="22" t="s">
        <v>136</v>
      </c>
    </row>
    <row r="248" spans="1:1" ht="20.100000000000001" customHeight="1" x14ac:dyDescent="0.3">
      <c r="A248" s="22" t="s">
        <v>146</v>
      </c>
    </row>
    <row r="249" spans="1:1" ht="20.100000000000001" customHeight="1" x14ac:dyDescent="0.3">
      <c r="A249" s="22" t="s">
        <v>147</v>
      </c>
    </row>
    <row r="250" spans="1:1" ht="20.100000000000001" customHeight="1" x14ac:dyDescent="0.3">
      <c r="A250" s="24" t="s">
        <v>148</v>
      </c>
    </row>
    <row r="251" spans="1:1" ht="20.100000000000001" customHeight="1" x14ac:dyDescent="0.3">
      <c r="A251" s="25" t="s">
        <v>149</v>
      </c>
    </row>
    <row r="252" spans="1:1" ht="20.100000000000001" customHeight="1" x14ac:dyDescent="0.3">
      <c r="A252" s="22" t="s">
        <v>150</v>
      </c>
    </row>
    <row r="253" spans="1:1" ht="20.100000000000001" customHeight="1" x14ac:dyDescent="0.3">
      <c r="A253" s="22" t="s">
        <v>151</v>
      </c>
    </row>
    <row r="254" spans="1:1" ht="20.100000000000001" customHeight="1" x14ac:dyDescent="0.3">
      <c r="A254" s="26" t="s">
        <v>152</v>
      </c>
    </row>
    <row r="255" spans="1:1" ht="20.100000000000001" customHeight="1" x14ac:dyDescent="0.3">
      <c r="A255" s="26" t="s">
        <v>153</v>
      </c>
    </row>
    <row r="256" spans="1:1" ht="20.100000000000001" customHeight="1" x14ac:dyDescent="0.3">
      <c r="A256" s="27" t="s">
        <v>154</v>
      </c>
    </row>
    <row r="257" spans="1:1" ht="20.100000000000001" customHeight="1" x14ac:dyDescent="0.3">
      <c r="A257" s="22" t="s">
        <v>155</v>
      </c>
    </row>
    <row r="258" spans="1:1" ht="20.100000000000001" customHeight="1" x14ac:dyDescent="0.3">
      <c r="A258" s="27" t="s">
        <v>156</v>
      </c>
    </row>
    <row r="259" spans="1:1" ht="20.100000000000001" customHeight="1" x14ac:dyDescent="0.3">
      <c r="A259" s="22" t="s">
        <v>157</v>
      </c>
    </row>
    <row r="260" spans="1:1" ht="20.100000000000001" customHeight="1" x14ac:dyDescent="0.3">
      <c r="A260" s="27" t="s">
        <v>158</v>
      </c>
    </row>
    <row r="261" spans="1:1" ht="20.100000000000001" customHeight="1" x14ac:dyDescent="0.3">
      <c r="A261" s="22" t="s">
        <v>159</v>
      </c>
    </row>
    <row r="262" spans="1:1" ht="20.100000000000001" customHeight="1" x14ac:dyDescent="0.3">
      <c r="A262" s="22" t="s">
        <v>160</v>
      </c>
    </row>
    <row r="263" spans="1:1" ht="20.100000000000001" customHeight="1" x14ac:dyDescent="0.3">
      <c r="A263" s="27" t="s">
        <v>161</v>
      </c>
    </row>
    <row r="264" spans="1:1" ht="20.100000000000001" customHeight="1" x14ac:dyDescent="0.3">
      <c r="A264" s="27" t="s">
        <v>162</v>
      </c>
    </row>
    <row r="265" spans="1:1" ht="20.100000000000001" customHeight="1" x14ac:dyDescent="0.3">
      <c r="A265" s="27" t="s">
        <v>163</v>
      </c>
    </row>
    <row r="266" spans="1:1" ht="20.100000000000001" customHeight="1" x14ac:dyDescent="0.3">
      <c r="A266" s="22" t="s">
        <v>164</v>
      </c>
    </row>
    <row r="267" spans="1:1" ht="20.100000000000001" customHeight="1" x14ac:dyDescent="0.3">
      <c r="A267" s="22" t="s">
        <v>165</v>
      </c>
    </row>
    <row r="268" spans="1:1" ht="20.100000000000001" customHeight="1" x14ac:dyDescent="0.3">
      <c r="A268" s="22" t="s">
        <v>166</v>
      </c>
    </row>
    <row r="269" spans="1:1" ht="20.100000000000001" customHeight="1" x14ac:dyDescent="0.3">
      <c r="A269" s="22" t="s">
        <v>167</v>
      </c>
    </row>
    <row r="270" spans="1:1" ht="20.100000000000001" customHeight="1" x14ac:dyDescent="0.3">
      <c r="A270" s="27" t="s">
        <v>168</v>
      </c>
    </row>
    <row r="271" spans="1:1" ht="20.100000000000001" customHeight="1" x14ac:dyDescent="0.3">
      <c r="A271" s="27" t="s">
        <v>169</v>
      </c>
    </row>
    <row r="272" spans="1:1" ht="20.100000000000001" customHeight="1" x14ac:dyDescent="0.3">
      <c r="A272" s="22" t="s">
        <v>170</v>
      </c>
    </row>
    <row r="273" spans="1:1" ht="20.100000000000001" customHeight="1" x14ac:dyDescent="0.3">
      <c r="A273" s="27" t="s">
        <v>171</v>
      </c>
    </row>
    <row r="274" spans="1:1" ht="20.100000000000001" customHeight="1" x14ac:dyDescent="0.3">
      <c r="A274" s="27" t="s">
        <v>172</v>
      </c>
    </row>
    <row r="275" spans="1:1" ht="20.100000000000001" customHeight="1" x14ac:dyDescent="0.3">
      <c r="A275" s="22" t="s">
        <v>173</v>
      </c>
    </row>
    <row r="276" spans="1:1" ht="20.100000000000001" customHeight="1" x14ac:dyDescent="0.3">
      <c r="A276" s="22" t="s">
        <v>174</v>
      </c>
    </row>
    <row r="277" spans="1:1" ht="20.100000000000001" customHeight="1" x14ac:dyDescent="0.3">
      <c r="A277" s="27" t="s">
        <v>175</v>
      </c>
    </row>
    <row r="278" spans="1:1" ht="20.100000000000001" customHeight="1" x14ac:dyDescent="0.3">
      <c r="A278" s="22" t="s">
        <v>176</v>
      </c>
    </row>
    <row r="279" spans="1:1" ht="20.100000000000001" customHeight="1" x14ac:dyDescent="0.3">
      <c r="A279" s="22" t="s">
        <v>177</v>
      </c>
    </row>
    <row r="280" spans="1:1" ht="20.100000000000001" customHeight="1" x14ac:dyDescent="0.3">
      <c r="A280" s="22" t="s">
        <v>178</v>
      </c>
    </row>
    <row r="281" spans="1:1" ht="20.100000000000001" customHeight="1" x14ac:dyDescent="0.3">
      <c r="A281" s="22" t="s">
        <v>179</v>
      </c>
    </row>
    <row r="282" spans="1:1" ht="20.100000000000001" customHeight="1" x14ac:dyDescent="0.3">
      <c r="A282" s="27" t="s">
        <v>180</v>
      </c>
    </row>
    <row r="283" spans="1:1" ht="20.100000000000001" customHeight="1" x14ac:dyDescent="0.3">
      <c r="A283" s="27" t="s">
        <v>181</v>
      </c>
    </row>
    <row r="284" spans="1:1" ht="20.100000000000001" customHeight="1" x14ac:dyDescent="0.3">
      <c r="A284" s="27" t="s">
        <v>182</v>
      </c>
    </row>
    <row r="285" spans="1:1" ht="20.100000000000001" customHeight="1" x14ac:dyDescent="0.3">
      <c r="A285" s="2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2025-10-07T20:38:42Z</dcterms:modified>
</cp:coreProperties>
</file>