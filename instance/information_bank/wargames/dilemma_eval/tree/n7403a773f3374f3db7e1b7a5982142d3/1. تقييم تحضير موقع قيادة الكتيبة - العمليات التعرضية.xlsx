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EB69C59-4A37-49E3-98D8-6C7A83ACAB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G15" i="2"/>
  <c r="H15" i="2"/>
  <c r="G16" i="2"/>
  <c r="H16" i="2"/>
  <c r="G17" i="2"/>
  <c r="H17" i="2"/>
  <c r="G18" i="2"/>
  <c r="H18" i="2"/>
  <c r="G19" i="2"/>
  <c r="H19" i="2"/>
  <c r="G8" i="2"/>
  <c r="H8" i="2"/>
  <c r="F20" i="2"/>
  <c r="E21" i="2" s="1"/>
  <c r="E22" i="2" s="1"/>
  <c r="E20" i="2"/>
</calcChain>
</file>

<file path=xl/sharedStrings.xml><?xml version="1.0" encoding="utf-8"?>
<sst xmlns="http://schemas.openxmlformats.org/spreadsheetml/2006/main" count="267" uniqueCount="202">
  <si>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</si>
  <si>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</si>
  <si>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</si>
  <si>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</si>
  <si>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</si>
  <si>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</si>
  <si>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</si>
  <si>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</si>
  <si>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</si>
  <si>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</si>
  <si>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</si>
  <si>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</si>
  <si>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</si>
  <si>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</si>
  <si>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</si>
  <si>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</si>
  <si>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</si>
  <si>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</si>
  <si>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</si>
  <si>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</si>
  <si>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</si>
  <si>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</si>
  <si>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</si>
  <si>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</si>
  <si>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</si>
  <si>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</si>
  <si>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</si>
  <si>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</si>
  <si>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</si>
  <si>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</si>
  <si>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</si>
  <si>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</si>
  <si>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</si>
  <si>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</si>
  <si>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</si>
  <si>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</si>
  <si>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</si>
  <si>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</si>
  <si>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</si>
  <si>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</si>
  <si>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</si>
  <si>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</si>
  <si>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</si>
  <si>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</si>
  <si>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</si>
  <si>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</si>
  <si>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</si>
  <si>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</si>
  <si>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</si>
  <si>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</si>
  <si>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</si>
  <si>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</si>
  <si>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</si>
  <si>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</si>
  <si>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</si>
  <si>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</si>
  <si>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</si>
  <si>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</si>
  <si>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</si>
  <si>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</si>
  <si>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</si>
  <si>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</si>
  <si>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</si>
  <si>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</si>
  <si>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</si>
  <si>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</si>
  <si>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</si>
  <si>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</si>
  <si>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</si>
  <si>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</si>
  <si>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</si>
  <si>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</si>
  <si>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</si>
  <si>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</si>
  <si>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</si>
  <si>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</si>
  <si>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</si>
  <si>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</si>
  <si>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</si>
  <si>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</si>
  <si>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</si>
  <si>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</si>
  <si>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</si>
  <si>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</si>
  <si>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</si>
  <si>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</si>
  <si>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</si>
  <si>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</si>
  <si>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</si>
  <si>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</si>
  <si>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</si>
  <si>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</si>
  <si>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</si>
  <si>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</si>
  <si>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</si>
  <si>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</si>
  <si>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</si>
  <si>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</si>
  <si>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</si>
  <si>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</si>
  <si>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</si>
  <si>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</si>
  <si>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</si>
  <si>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</si>
  <si>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</si>
  <si>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</si>
  <si>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</si>
  <si>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</si>
  <si>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</si>
  <si>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</si>
  <si>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</si>
  <si>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</si>
  <si>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</si>
  <si>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</si>
  <si>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</si>
  <si>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</si>
  <si>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</si>
  <si>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</si>
  <si>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</si>
  <si>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</si>
  <si>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</si>
  <si>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</si>
  <si>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</si>
  <si>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</si>
  <si>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</si>
  <si>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</si>
  <si>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</si>
  <si>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</si>
  <si>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</si>
  <si>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</si>
  <si>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</si>
  <si>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</si>
  <si>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</si>
  <si>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</si>
  <si>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</si>
  <si>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</si>
  <si>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</si>
  <si>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</si>
  <si>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</si>
  <si>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</si>
  <si>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</si>
  <si>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</si>
  <si>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</si>
  <si>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</si>
  <si>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</si>
  <si>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</si>
  <si>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</si>
  <si>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</si>
  <si>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</si>
  <si>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</si>
  <si>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</si>
  <si>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</si>
  <si>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</si>
  <si>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</si>
  <si>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</si>
  <si>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</si>
  <si>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</si>
  <si>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</si>
  <si>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</si>
  <si>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</si>
  <si>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</si>
  <si>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</si>
  <si>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</si>
  <si>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</si>
  <si>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</si>
  <si>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</si>
  <si>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</si>
  <si>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</si>
  <si>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</si>
  <si>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</si>
  <si>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</si>
  <si>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</si>
  <si>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</si>
  <si>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</si>
  <si>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</si>
  <si>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</si>
  <si>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</si>
  <si>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</si>
  <si>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</si>
  <si>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</si>
  <si>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</si>
  <si>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</si>
  <si>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ينفذ ضباط قيادة الكتيبة/ مجموعة القتال عمليات مركز القيادة التالية:</t>
    </r>
  </si>
  <si>
    <t>أ. تأمين الحماية للمعلومات.</t>
  </si>
  <si>
    <t>ب. عرض خارطة الموقف وتحديثها.</t>
  </si>
  <si>
    <t>جـ. اكمال كافة التفقدات الخاصة بالاتصالات.</t>
  </si>
  <si>
    <t>د. إعداد الصورة العامة للعمليات.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</si>
  <si>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</si>
  <si>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إجمالـي العلامـــــــات</t>
  </si>
  <si>
    <t xml:space="preserve">النسبـــــة المئويـــــة </t>
  </si>
  <si>
    <t>%</t>
  </si>
  <si>
    <t>التقديـــــر العـــــــام</t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</si>
  <si>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إشراف نائب القائد على انفتاح مركز القيادة.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</si>
  <si>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مركز القيادة حسب الأوامر التعبوية المستديمة للكتيبة / مجموعة القتال والموارد المتوفرة والمهمة.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</si>
  <si>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تأمين الحماية لموقع القيادة حسب الأوامر التعبوية المستديمة.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</si>
  <si>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وضع إجراءات الضبط والسيطرة حسب الأوامر التعبوية المستديمة.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</si>
  <si>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تواجد ضباط من وحدات الإسناد الملحقة في مركز القيادة وحسب الحاجة.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</si>
  <si>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تأسيس الاتصال مع القيادات الأعلى والوحدات المرؤوسة والمجاورة.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</si>
  <si>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ينفذ ضباط قيادة الكتيبة/ مجموعة القتال عمليات مركز القيادة التالية: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</si>
  <si>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التخطيط لانفتاح القيادة المتقدمة المؤلفة من: (قائد الكتيبة / مجموعة القتال – ضابط العمليات - قائد سرية المدفعية).</t>
    </r>
  </si>
  <si>
    <t>تقييم تحضير مركز قيادة الكتيبة/مجموعة القتال - العمليات التعرضية
تمرين جاهزية مجموعة لواء الإمارات/1 (جندي الصحراء 2025/20)</t>
  </si>
  <si>
    <t>المقدم الركن/ عبدالرحمن محمد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</si>
</sst>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7CAAC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6" borderId="19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center" vertical="center" wrapText="1" readingOrder="2"/>
    </xf>
    <xf numFmtId="0" fontId="15" fillId="5" borderId="19" xfId="0" applyFont="1" applyFill="1" applyBorder="1" applyAlignment="1">
      <alignment horizontal="justify" vertical="center" wrapText="1" readingOrder="2"/>
    </xf>
    <xf numFmtId="0" fontId="3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center" vertical="center" wrapText="1" readingOrder="2"/>
    </xf>
    <xf numFmtId="0" fontId="15" fillId="5" borderId="21" xfId="0" applyFont="1" applyFill="1" applyBorder="1" applyAlignment="1">
      <alignment horizontal="justify" vertical="center" wrapText="1" readingOrder="2"/>
    </xf>
    <xf numFmtId="0" fontId="13" fillId="5" borderId="16" xfId="0" applyFont="1" applyFill="1" applyBorder="1" applyAlignment="1">
      <alignment horizontal="right" vertical="center" wrapText="1" readingOrder="2"/>
    </xf>
    <xf numFmtId="0" fontId="13" fillId="5" borderId="20" xfId="0" applyFont="1" applyFill="1" applyBorder="1" applyAlignment="1">
      <alignment horizontal="right" vertical="center" wrapText="1" readingOrder="2"/>
    </xf>
    <xf numFmtId="0" fontId="2" fillId="7" borderId="22" xfId="0" applyFont="1" applyFill="1" applyBorder="1" applyAlignment="1">
      <alignment horizontal="right" vertical="center" wrapText="1" readingOrder="2"/>
    </xf>
    <xf numFmtId="0" fontId="2" fillId="7" borderId="23" xfId="0" applyFont="1" applyFill="1" applyBorder="1" applyAlignment="1">
      <alignment horizontal="right" vertical="center" wrapText="1" readingOrder="2"/>
    </xf>
    <xf numFmtId="0" fontId="2" fillId="7" borderId="25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2" fillId="0" borderId="35" xfId="0" applyFont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5" borderId="38" xfId="0" applyFont="1" applyFill="1" applyBorder="1" applyAlignment="1">
      <alignment horizontal="right" vertical="center" wrapText="1" indent="2" readingOrder="2"/>
    </xf>
    <xf numFmtId="0" fontId="15" fillId="5" borderId="3" xfId="0" applyFont="1" applyFill="1" applyBorder="1" applyAlignment="1">
      <alignment horizontal="right" vertical="center" wrapText="1" indent="2" readingOrder="2"/>
    </xf>
    <xf numFmtId="0" fontId="15" fillId="5" borderId="38" xfId="0" applyFont="1" applyFill="1" applyBorder="1" applyAlignment="1">
      <alignment horizontal="right" vertical="center" wrapText="1" readingOrder="2"/>
    </xf>
    <xf numFmtId="0" fontId="15" fillId="5" borderId="3" xfId="0" applyFont="1" applyFill="1" applyBorder="1" applyAlignment="1">
      <alignment horizontal="right" vertical="center" wrapText="1" readingOrder="2"/>
    </xf>
    <xf numFmtId="0" fontId="15" fillId="5" borderId="11" xfId="0" applyFont="1" applyFill="1" applyBorder="1" applyAlignment="1">
      <alignment horizontal="right" vertical="center" wrapText="1" readingOrder="2"/>
    </xf>
    <xf numFmtId="0" fontId="15" fillId="5" borderId="12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31" xfId="0" applyFont="1" applyFill="1" applyBorder="1" applyAlignment="1" applyProtection="1">
      <alignment horizontal="center" vertical="center" wrapText="1" readingOrder="2"/>
      <protection locked="0"/>
    </xf>
    <xf numFmtId="0" fontId="7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2" xfId="0" applyFont="1" applyFill="1" applyBorder="1" applyAlignment="1" applyProtection="1">
      <alignment horizontal="center" vertical="center" wrapText="1" readingOrder="2"/>
      <protection locked="0"/>
    </xf>
    <xf numFmtId="0" fontId="6" fillId="4" borderId="33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39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6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37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35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6" borderId="15" xfId="0" applyFont="1" applyFill="1" applyBorder="1" applyAlignment="1">
      <alignment horizontal="right" vertical="center" wrapText="1" readingOrder="2"/>
    </xf>
    <xf numFmtId="0" fontId="2" fillId="6" borderId="16" xfId="0" applyFont="1" applyFill="1" applyBorder="1" applyAlignment="1">
      <alignment horizontal="right" vertical="center" wrapText="1" readingOrder="2"/>
    </xf>
    <xf numFmtId="0" fontId="2" fillId="6" borderId="17" xfId="0" applyFont="1" applyFill="1" applyBorder="1" applyAlignment="1">
      <alignment horizontal="center" vertical="center" wrapText="1" readingOrder="2"/>
    </xf>
    <xf numFmtId="0" fontId="2" fillId="6" borderId="26" xfId="0" applyFont="1" applyFill="1" applyBorder="1" applyAlignment="1">
      <alignment horizontal="center" vertical="center" wrapText="1" readingOrder="2"/>
    </xf>
    <xf numFmtId="0" fontId="2" fillId="6" borderId="18" xfId="0" applyFont="1" applyFill="1" applyBorder="1" applyAlignment="1">
      <alignment horizontal="center" vertical="center" wrapText="1" readingOrder="2"/>
    </xf>
    <xf numFmtId="0" fontId="2" fillId="6" borderId="19" xfId="0" applyFont="1" applyFill="1" applyBorder="1" applyAlignment="1">
      <alignment horizontal="center" vertical="center" wrapText="1" readingOrder="2"/>
    </xf>
    <xf numFmtId="0" fontId="16" fillId="5" borderId="27" xfId="0" applyFont="1" applyFill="1" applyBorder="1" applyAlignment="1">
      <alignment horizontal="center" vertical="center" wrapText="1" readingOrder="2"/>
    </xf>
    <xf numFmtId="0" fontId="16" fillId="5" borderId="28" xfId="0" applyFont="1" applyFill="1" applyBorder="1" applyAlignment="1">
      <alignment horizontal="center" vertical="center" wrapText="1" readingOrder="2"/>
    </xf>
    <xf numFmtId="0" fontId="15" fillId="5" borderId="29" xfId="0" applyFont="1" applyFill="1" applyBorder="1" applyAlignment="1">
      <alignment horizontal="justify" vertical="center" wrapText="1" readingOrder="2"/>
    </xf>
    <xf numFmtId="0" fontId="15" fillId="5" borderId="30" xfId="0" applyFont="1" applyFill="1" applyBorder="1" applyAlignment="1">
      <alignment horizontal="justify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535425</xdr:colOff>
      <xdr:row>23</xdr:row>
      <xdr:rowOff>38188</xdr:rowOff>
    </xdr:from>
    <xdr:to>
      <xdr:col>7</xdr:col>
      <xdr:colOff>247415</xdr:colOff>
      <xdr:row>23</xdr:row>
      <xdr:rowOff>179308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030C54-8AA4-7248-5184-3AAE5128718B}"/>
                </a:ext>
              </a:extLst>
            </xdr14:cNvPr>
            <xdr14:cNvContentPartPr/>
          </xdr14:nvContentPartPr>
          <xdr14:nvPr macro=""/>
          <xdr14:xfrm>
            <a:off x="10399655585" y="9332280"/>
            <a:ext cx="370080" cy="141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030C54-8AA4-7248-5184-3AAE512871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49465" y="9326160"/>
              <a:ext cx="3823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2265</xdr:colOff>
      <xdr:row>22</xdr:row>
      <xdr:rowOff>440760</xdr:rowOff>
    </xdr:from>
    <xdr:to>
      <xdr:col>9</xdr:col>
      <xdr:colOff>165314</xdr:colOff>
      <xdr:row>24</xdr:row>
      <xdr:rowOff>66283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3BE570C-1D3D-DD1C-A201-ADC58210BE8D}"/>
                </a:ext>
              </a:extLst>
            </xdr14:cNvPr>
            <xdr14:cNvContentPartPr/>
          </xdr14:nvContentPartPr>
          <xdr14:nvPr macro=""/>
          <xdr14:xfrm>
            <a:off x="10398421505" y="9203760"/>
            <a:ext cx="2137320" cy="803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3BE570C-1D3D-DD1C-A201-ADC58210BE8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15385" y="9197640"/>
              <a:ext cx="2149560" cy="815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46:43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737 100 10610,'0'0'0,"0"0"0,3-4 368,-3-1-232,0-6-64,0 7 32,0 4-104,0-4 136,0-1 136,0 1 144,0 0 112,0 4-528,-3-4 616,3-2-24,-2 2 57,2-2 39,0 6-688,0-4 624,0-1 64,-3 1-128,1 0-64,2 4-496,0-4 376,0-1-88,0 1-32,0 0-32,0 4-224,0-2 209,0 1-89,0 0-48,0 1-104,0 0 32,0 0 48,0 0-16,-2 0-8,2 0-32,0 0 8,-2 0-112,2 0-8,0 0 0,0 0-25,0 0 145,0 2-112,0-2-80,0 3-8,0 1 80,0-4 120,0 5-128,0-1 32,-2 9 96,2-10-48,0-3 48,-3 12-16,1-9 56,2 9-64,0-10-24,0-2 48,0 5 0,0 6 48,0-8-40,0 1 8,0-4-16,0 13 8,0-10-104,0 1 88,0 9 56,0-13-48,0 3-16,0 8 32,0-8-16,0 1-40,0-4 40,0 12-56,7-10 32,-5 1-8,0 2-120,-2-5 152,5 4-24,6 0-32,-9-1-16,13 0 80,-15-3-8,1 0-80,13 3-80,-3-3 80,-1 0 0,-10 0 80,16 0 0,0-2-16,2-2 8,0 0-8,-18 4 16,16-5 16,2 1-32,-4-2 40,2 1 32,-16 5-56,12-4 24,-1-1 152,-7 1-24,-1 0-80,-3 4-72,11-3 184,-11 0 16,2 2 8,-2-1 168,0 2-376,0-1 288,0-1-87,0 2 119,0 0-16,0 0-304,0 0 352,0 0-80,0 0 32,-2 0-56,2 0-248,-3 0 184,0 0 16,-5 0-72,-3 0 16,11 0-144,-4 0 48,-15 3 56,4 1-128,-6 1 24,21-5 0,-21 13-40,-4-9 32,-2 14 32,1-5-48,26-13 24,-29 14 48,-1 1-24,3-2-32,-1-1-96,28-12 104,-24 11-16,1-7 32,4 9-16,-4-10 48,23-3-48,-18 13-40,7-10 32,-5 1-32,11 0 80,5-4-40,-12 3 48,1 0-48,9 0 24,-4-3 56,6 0-80,-3 0-16,-1 0-8,4 0-40,0 0-80,0 0 144,0 0-176,0-2 136,0 1-72,0-2-96,0 3 208,0-3-176,0-1-176,0 0-64,0-1-24,0 5 440,2-5-480,0-1 143,2 2 89,-4-1 160,0 5 88,3-4 64,-3 1-80,0 0 152,4 2-8,-4 1-128,0-1 136,0 1 113,0 0-113,0 0 112,-2 0-56,2 0-192,-2 0 112,-1 0 64,3 0-144,0 0-32,-4 0-8,2 2 8,-10-2-88,11 0 0,1 0 88,-12 3-32,-2 0 0,1 0 64,-6 1 0,1 0-32,18-4 0,-16 5 40,-2-1-32,0 0 8,18-4-16,-19 5 64,1-1-32,2-1 8,2-3 32,3 2-72,11-2 0,-7 0 24,-2 0 8,7 0-88,-5 0 0,7 0 56,0 0-32,-5 0 0,5-1-48,0 0 56,0 1 24,0-2-216,0-1-72,0-1-88,2 0-89,-2 4 465,3-4-344,1-2-16,-1 0 176,1 2 112,-4 4 72,4-4-48,-1 1 112,-3 0-80,5 2 96,-5 1-80,0-2 40,0 1-40,0 1 48,0 0-48,0 0 112,-3 3-48,1-3 0,-3 2 0,5-2-64,-4 3 32,-8 2 160,1 6 128,-2-7 32,13-4-352,-12 16 425,-9-12-49,3 12-40,0-12-24,18-4-312,-22 16 328,1-12-72,0 9-80,3-10 56,18-3-232,-18 11 176,2-11 48,4 4-56,1 0-88,11-4-80,-5 3-40,0 0-40,1 0-8,-3-3-264,7 0 352,0 3-512,0-3-352,0 0-641,0 3-487,0-3 1992,0 2-2080,0 1 359,11 0 521,1 1-5441,-12-4 6641,0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46:44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3791 1059 22596,'0'0'0,"-5"-4"3745,5 0-3033,-5-2-712,5 6 0,0-4-320,0 2-568,0 2-736,0 0-1193,0 0 2817,0 0-3849,0 3 729,0 1-5850,0-4 8970</inkml:trace>
  <inkml:trace contextRef="#ctx0" brushRef="#br0" timeOffset="1">3393 1365 21732,'0'0'0,"-5"13"584,0 0-712,5-13 128,-2 19-144,0 6-64,4 4 104,3 7 8,-5-36 96,12 39-184,-8 6-136,8 2-168,-8 2-216,-4-49 704,15 46-1072,-11-3-249,10-6-407,-12-5-201,-2-32 1929,13 27-1536,-9-1 320,-6 4-5386,2-30 6602</inkml:trace>
  <inkml:trace contextRef="#ctx0" brushRef="#br0" timeOffset="2">2871 564 21660,'0'0'0,"-3"-5"2105,-4 1-1705,7 4-400,-5-4-64,3 4-176,2 0-120,0 2 55,0-2 305,0 18-280,2 4 64,10 10 88,-9 13-8,-3-45 136,4 55-160,8 7 8,-12 5 80,9-2 64,-9-65 8,5 68-80,-3-6 64,10-4-48,-12-5-24,0-53 88,5 45 40,0-5-32,-4-3 8,-1-2-32,0-35 16,0 30 0,0-2 40,-4-5 80,-3-3 48,7-20-168,-12 17 216,0-2 16,-1-4 24,-9-7 136,22-4-392,-21 5 321,-4-1 23,-4-4-16,-1 0-232,30 0-96,-35-4 128,0-13-48,0-1-96,0-5 16,35 23 0,-38-23-136,1-2-128,6-2-64,-1-1-40,32 28 368,-26-26-385,2 2 49,8 0 16,2-1 72,14 25 248,-12-25-136,8 0 32,-1 1 88,0 1 32,5 23-16,0-24 16,0-1 8,0 0-40,5 1 56,-5 24-40,16-23-48,-4 2-8,5-2 32,4 1-80,-21 22 104,23-20-64,1 3-56,1 4-32,-2 8 8,-23 5 144,24-5-184,-6 4-80,2 1-32,-9 0 56,-11 0 240,5 13-176,7-9 112,-12 12 80,0-4 48,0-12-64,0 13 96,0 4 72,-3-2-8,-9 5 48,12-20-208,-13 20 200,-9 6-8,-1 1 32,-10 4-56,33-31-168,-35 31 128,-7 2 16,-10-1-56,-1 2 24,53-34-112,-66 36 72,-6 1-16,-13 3-72,-7 3 48,92-43-32,-100 45 24,-8 5-48,-11 0 48,-5 5-128,124-55 104,-131 54-136,-5 2 48,-2 4-56,0-2 80,138-58 64,-140 62-160,1 1-48,3-1 8,6-2-120,130-60 320,-118 53-280,16-10 0,17-6 40,17-9 80,68-28 160,-25 4-120,-5 14-288,10-13-465,2 8-543,18-13 1416,-12 2-2152,10 1 399,2 0 369,17-3 544,-17 0 840,35-13-40,11-5-24,10-6 208,15-9 144,-71 33-288,82-34 520,9-3 416,7-8 360,7-3 89,-105 48-1385,117-53 1392,12-6-136,19-2-295,13-8 39,-161 69-1000,178-78 944,21-5-272,16-6-216,18-3-184,-233 92-272,243-89-24,12-5 64,2 1-40,-1-3-40,-256 96 40,260-98-64,-12-1 64,-8 4 16,-12 6-96,-228 89 80,215-83 104,-12 5-64,-20 8-16,-8 6 152,-175 64-176,160-62 112,-15 6 48,-7 4 208,-19 2 25,-119 50-393,111-41 392,-18 7-88,-21 7-144,-10 9-24,-62 18-136,44-11 32,-8 6 24,-9 1-72,-8 1 72,-19 3-56,2-1-112,3 1-176,-5 0-368,0 3-209,0-3 865,-7 2-800,-9 3 56,-3 6 360,-16 0 80,35-11 304,-43 13-176,-8 1 128,-3 4 0,-6 1 80,60-19-32,-68 18-72,2 4 112,-5-1 16,8-1 8,63-20-64,-51 19 144,4-3-144,10 0-40,4 1-88,33-17 128,-33 23-904,6 4-1137,-7 5-263,-12 9-6466,46-41 8770,0 0 0</inkml:trace>
  <inkml:trace contextRef="#ctx0" brushRef="#br0" timeOffset="3">4675 1147 23765,'0'0'0,"0"0"0,0-4 1992,5 1-1792,-3-1-552,-2 2-384,0 2 736,5 0-1144,-3 3-657,3 11-1456,11-10-39,-16-4 3296,3 16-9458,-3-16 9458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5" zoomScale="130" zoomScaleNormal="100" zoomScaleSheetLayoutView="130" workbookViewId="0">
      <selection activeCell="I14" sqref="I14:J1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200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0" t="s">
        <v>8</v>
      </c>
      <c r="C2" s="71" t="s">
        <v>44</v>
      </c>
      <c r="D2" s="71"/>
      <c r="E2" s="10" t="s">
        <v>7</v>
      </c>
      <c r="F2" s="66">
        <v>45951</v>
      </c>
      <c r="G2" s="66"/>
      <c r="H2" s="66"/>
      <c r="I2" s="66"/>
      <c r="J2" s="66"/>
    </row>
    <row r="3" spans="1:10" ht="30" customHeight="1" x14ac:dyDescent="0.3">
      <c r="B3" s="10" t="s">
        <v>9</v>
      </c>
      <c r="C3" s="71" t="s">
        <v>86</v>
      </c>
      <c r="D3" s="71"/>
      <c r="E3" s="10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2" t="s">
        <v>201</v>
      </c>
      <c r="G4" s="72"/>
      <c r="H4" s="72"/>
      <c r="I4" s="72"/>
      <c r="J4" s="72"/>
    </row>
    <row r="5" spans="1:10" ht="24.9" customHeight="1" x14ac:dyDescent="0.3">
      <c r="A5" s="8"/>
      <c r="B5" s="67" t="s">
        <v>0</v>
      </c>
      <c r="C5" s="68"/>
      <c r="D5" s="68"/>
      <c r="E5" s="59" t="s">
        <v>1</v>
      </c>
      <c r="F5" s="59"/>
      <c r="G5" s="59"/>
      <c r="H5" s="59"/>
      <c r="I5" s="59" t="s">
        <v>2</v>
      </c>
      <c r="J5" s="60"/>
    </row>
    <row r="6" spans="1:10" ht="24.9" customHeight="1" thickBot="1" x14ac:dyDescent="0.35">
      <c r="A6" s="8"/>
      <c r="B6" s="69"/>
      <c r="C6" s="70"/>
      <c r="D6" s="70"/>
      <c r="E6" s="9" t="s">
        <v>3</v>
      </c>
      <c r="F6" s="9" t="s">
        <v>4</v>
      </c>
      <c r="G6" s="9" t="s">
        <v>23</v>
      </c>
      <c r="H6" s="9" t="s">
        <v>24</v>
      </c>
      <c r="I6" s="61"/>
      <c r="J6" s="62"/>
    </row>
    <row r="7" spans="1:10" ht="24.9" customHeight="1" x14ac:dyDescent="0.3">
      <c r="A7" s="8"/>
      <c r="B7" s="57" t="s">
        <v>21</v>
      </c>
      <c r="C7" s="58"/>
      <c r="D7" s="58"/>
      <c r="E7" s="39" t="s">
        <v>18</v>
      </c>
      <c r="F7" s="39" t="s">
        <v>19</v>
      </c>
      <c r="G7" s="39" t="s">
        <v>22</v>
      </c>
      <c r="H7" s="39" t="s">
        <v>20</v>
      </c>
      <c r="I7" s="63" t="s">
        <v>25</v>
      </c>
      <c r="J7" s="64"/>
    </row>
    <row r="8" spans="1:10" ht="30" customHeight="1" x14ac:dyDescent="0.3">
      <c r="A8" s="8"/>
      <c r="B8" s="49" t="s">
        <v>192</v>
      </c>
      <c r="C8" s="50"/>
      <c r="D8" s="50"/>
      <c r="E8" s="41">
        <v>5</v>
      </c>
      <c r="F8" s="24">
        <v>4</v>
      </c>
      <c r="G8" s="42">
        <f>IFERROR(F8/E8,"")</f>
        <v>0.8</v>
      </c>
      <c r="H8" s="4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3"/>
      <c r="J8" s="54"/>
    </row>
    <row r="9" spans="1:10" ht="39.9" customHeight="1" x14ac:dyDescent="0.3">
      <c r="A9" s="8"/>
      <c r="B9" s="49" t="s">
        <v>193</v>
      </c>
      <c r="C9" s="50"/>
      <c r="D9" s="50"/>
      <c r="E9" s="41">
        <v>10</v>
      </c>
      <c r="F9" s="24">
        <v>8.5</v>
      </c>
      <c r="G9" s="42">
        <f>IFERROR(F9/E9,"")</f>
        <v>0.85</v>
      </c>
      <c r="H9" s="43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3"/>
      <c r="J9" s="54"/>
    </row>
    <row r="10" spans="1:10" ht="30" customHeight="1" x14ac:dyDescent="0.3">
      <c r="A10" s="8"/>
      <c r="B10" s="49" t="s">
        <v>194</v>
      </c>
      <c r="C10" s="50"/>
      <c r="D10" s="50"/>
      <c r="E10" s="41">
        <v>5</v>
      </c>
      <c r="F10" s="24">
        <v>4</v>
      </c>
      <c r="G10" s="42">
        <f t="shared" ref="G10:G19" si="0">IFERROR(F10/E10,"")</f>
        <v>0.8</v>
      </c>
      <c r="H10" s="43" t="str">
        <f t="shared" ref="H10:H1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3"/>
      <c r="J10" s="54"/>
    </row>
    <row r="11" spans="1:10" ht="30" customHeight="1" x14ac:dyDescent="0.3">
      <c r="A11" s="8"/>
      <c r="B11" s="49" t="s">
        <v>195</v>
      </c>
      <c r="C11" s="50"/>
      <c r="D11" s="50"/>
      <c r="E11" s="41">
        <v>5</v>
      </c>
      <c r="F11" s="24">
        <v>3.75</v>
      </c>
      <c r="G11" s="42">
        <f t="shared" si="0"/>
        <v>0.75</v>
      </c>
      <c r="H11" s="43" t="str">
        <f t="shared" si="1"/>
        <v>جيد</v>
      </c>
      <c r="I11" s="53"/>
      <c r="J11" s="54"/>
    </row>
    <row r="12" spans="1:10" ht="39.9" customHeight="1" x14ac:dyDescent="0.3">
      <c r="A12" s="8"/>
      <c r="B12" s="49" t="s">
        <v>196</v>
      </c>
      <c r="C12" s="50"/>
      <c r="D12" s="50"/>
      <c r="E12" s="41">
        <v>5</v>
      </c>
      <c r="F12" s="24">
        <v>3.75</v>
      </c>
      <c r="G12" s="42">
        <f t="shared" si="0"/>
        <v>0.75</v>
      </c>
      <c r="H12" s="43" t="str">
        <f t="shared" si="1"/>
        <v>جيد</v>
      </c>
      <c r="I12" s="53"/>
      <c r="J12" s="54"/>
    </row>
    <row r="13" spans="1:10" ht="30" customHeight="1" x14ac:dyDescent="0.3">
      <c r="A13" s="8"/>
      <c r="B13" s="49" t="s">
        <v>197</v>
      </c>
      <c r="C13" s="50"/>
      <c r="D13" s="50"/>
      <c r="E13" s="41">
        <v>5</v>
      </c>
      <c r="F13" s="24">
        <v>4</v>
      </c>
      <c r="G13" s="42">
        <f t="shared" si="0"/>
        <v>0.8</v>
      </c>
      <c r="H13" s="43" t="str">
        <f t="shared" si="1"/>
        <v>جيد جداً</v>
      </c>
      <c r="I13" s="53"/>
      <c r="J13" s="54"/>
    </row>
    <row r="14" spans="1:10" ht="30" customHeight="1" x14ac:dyDescent="0.3">
      <c r="A14" s="8"/>
      <c r="B14" s="49" t="s">
        <v>198</v>
      </c>
      <c r="C14" s="50"/>
      <c r="D14" s="50"/>
      <c r="E14" s="41"/>
      <c r="F14" s="24"/>
      <c r="G14" s="42" t="str">
        <f t="shared" si="0"/>
        <v/>
      </c>
      <c r="H14" s="43"/>
      <c r="I14" s="53"/>
      <c r="J14" s="54"/>
    </row>
    <row r="15" spans="1:10" ht="30" customHeight="1" x14ac:dyDescent="0.3">
      <c r="A15" s="8"/>
      <c r="B15" s="47" t="s">
        <v>183</v>
      </c>
      <c r="C15" s="48"/>
      <c r="D15" s="48"/>
      <c r="E15" s="41">
        <v>5</v>
      </c>
      <c r="F15" s="24">
        <v>3.75</v>
      </c>
      <c r="G15" s="42">
        <f t="shared" si="0"/>
        <v>0.75</v>
      </c>
      <c r="H15" s="43" t="str">
        <f t="shared" si="1"/>
        <v>جيد</v>
      </c>
      <c r="I15" s="53"/>
      <c r="J15" s="54"/>
    </row>
    <row r="16" spans="1:10" ht="30" customHeight="1" x14ac:dyDescent="0.3">
      <c r="A16" s="8"/>
      <c r="B16" s="47" t="s">
        <v>184</v>
      </c>
      <c r="C16" s="48"/>
      <c r="D16" s="48"/>
      <c r="E16" s="41">
        <v>5</v>
      </c>
      <c r="F16" s="24">
        <v>4.25</v>
      </c>
      <c r="G16" s="42">
        <f t="shared" si="0"/>
        <v>0.85</v>
      </c>
      <c r="H16" s="43" t="str">
        <f t="shared" si="1"/>
        <v>جيد جداً</v>
      </c>
      <c r="I16" s="53"/>
      <c r="J16" s="54"/>
    </row>
    <row r="17" spans="1:10" ht="30" customHeight="1" x14ac:dyDescent="0.3">
      <c r="A17" s="8"/>
      <c r="B17" s="47" t="s">
        <v>185</v>
      </c>
      <c r="C17" s="48"/>
      <c r="D17" s="48"/>
      <c r="E17" s="41">
        <v>5</v>
      </c>
      <c r="F17" s="24">
        <v>3.75</v>
      </c>
      <c r="G17" s="42">
        <f t="shared" si="0"/>
        <v>0.75</v>
      </c>
      <c r="H17" s="43" t="str">
        <f t="shared" si="1"/>
        <v>جيد</v>
      </c>
      <c r="I17" s="53"/>
      <c r="J17" s="54"/>
    </row>
    <row r="18" spans="1:10" ht="30" customHeight="1" x14ac:dyDescent="0.3">
      <c r="A18" s="8"/>
      <c r="B18" s="49" t="s">
        <v>186</v>
      </c>
      <c r="C18" s="50"/>
      <c r="D18" s="50"/>
      <c r="E18" s="41">
        <v>5</v>
      </c>
      <c r="F18" s="24">
        <v>4</v>
      </c>
      <c r="G18" s="42">
        <f t="shared" si="0"/>
        <v>0.8</v>
      </c>
      <c r="H18" s="43" t="str">
        <f t="shared" si="1"/>
        <v>جيد جداً</v>
      </c>
      <c r="I18" s="53"/>
      <c r="J18" s="54"/>
    </row>
    <row r="19" spans="1:10" ht="39.9" customHeight="1" thickBot="1" x14ac:dyDescent="0.35">
      <c r="A19" s="8"/>
      <c r="B19" s="51" t="s">
        <v>199</v>
      </c>
      <c r="C19" s="52"/>
      <c r="D19" s="52"/>
      <c r="E19" s="44">
        <v>5</v>
      </c>
      <c r="F19" s="25">
        <v>4</v>
      </c>
      <c r="G19" s="45">
        <f t="shared" si="0"/>
        <v>0.8</v>
      </c>
      <c r="H19" s="46" t="str">
        <f t="shared" si="1"/>
        <v>جيد جداً</v>
      </c>
      <c r="I19" s="55"/>
      <c r="J19" s="56"/>
    </row>
    <row r="20" spans="1:10" ht="30" customHeight="1" thickBot="1" x14ac:dyDescent="0.35">
      <c r="A20" s="4"/>
      <c r="B20" s="86" t="s">
        <v>5</v>
      </c>
      <c r="C20" s="87"/>
      <c r="D20" s="87"/>
      <c r="E20" s="40">
        <f>SUM(E8:E19)</f>
        <v>60</v>
      </c>
      <c r="F20" s="40">
        <f>SUM(F8:F19)</f>
        <v>47.75</v>
      </c>
      <c r="G20" s="75"/>
      <c r="H20" s="76"/>
      <c r="I20" s="76"/>
      <c r="J20" s="77"/>
    </row>
    <row r="21" spans="1:10" ht="30" customHeight="1" thickBot="1" x14ac:dyDescent="0.35">
      <c r="A21" s="4"/>
      <c r="B21" s="88" t="s">
        <v>54</v>
      </c>
      <c r="C21" s="89"/>
      <c r="D21" s="89"/>
      <c r="E21" s="84">
        <f>F20/E20/100*100</f>
        <v>0.79583333333333328</v>
      </c>
      <c r="F21" s="84"/>
      <c r="G21" s="84"/>
      <c r="H21" s="84"/>
      <c r="I21" s="84"/>
      <c r="J21" s="85"/>
    </row>
    <row r="22" spans="1:10" ht="30" customHeight="1" thickBot="1" x14ac:dyDescent="0.35">
      <c r="A22" s="4"/>
      <c r="B22" s="88" t="s">
        <v>55</v>
      </c>
      <c r="C22" s="89"/>
      <c r="D22" s="89"/>
      <c r="E22" s="82" t="str">
        <f>_xlfn.IFS(E21&gt;=90%,"ممتاز",E21&gt;=80%,"جيد جداً",E21&gt;=70%,"جيد",E21&gt;=60%,"مقبول",E21&lt;60%,"راسب")</f>
        <v>جيد</v>
      </c>
      <c r="F22" s="82"/>
      <c r="G22" s="82"/>
      <c r="H22" s="82"/>
      <c r="I22" s="82"/>
      <c r="J22" s="83"/>
    </row>
    <row r="23" spans="1:10" ht="42" customHeight="1" x14ac:dyDescent="0.3">
      <c r="B23" s="78" t="s">
        <v>62</v>
      </c>
      <c r="C23" s="78"/>
      <c r="D23" s="78"/>
      <c r="E23" s="73" t="s">
        <v>52</v>
      </c>
      <c r="F23" s="73"/>
      <c r="G23" s="80" t="s">
        <v>59</v>
      </c>
      <c r="H23" s="80"/>
      <c r="I23" s="80"/>
      <c r="J23" s="80"/>
    </row>
    <row r="24" spans="1:10" ht="51" customHeight="1" x14ac:dyDescent="0.3">
      <c r="A24" s="5"/>
      <c r="B24" s="79"/>
      <c r="C24" s="79"/>
      <c r="D24" s="79"/>
      <c r="E24" s="74" t="s">
        <v>53</v>
      </c>
      <c r="F24" s="74"/>
      <c r="G24" s="81"/>
      <c r="H24" s="81"/>
      <c r="I24" s="81"/>
      <c r="J24" s="8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8:J8"/>
    <mergeCell ref="I15:J15"/>
    <mergeCell ref="I16:J16"/>
    <mergeCell ref="I17:J17"/>
    <mergeCell ref="I18:J18"/>
    <mergeCell ref="I19:J19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2">
    <cfRule type="expression" dxfId="14" priority="57">
      <formula>$E22="راسب"</formula>
    </cfRule>
  </conditionalFormatting>
  <conditionalFormatting sqref="E22:J22">
    <cfRule type="expression" dxfId="13" priority="60">
      <formula>$E22="جيد جداً"</formula>
    </cfRule>
    <cfRule type="expression" dxfId="12" priority="59">
      <formula>$E22="جيد"</formula>
    </cfRule>
    <cfRule type="expression" dxfId="11" priority="58">
      <formula>$E22="مقبول"</formula>
    </cfRule>
    <cfRule type="expression" dxfId="10" priority="61">
      <formula>$E22="ممتاز"</formula>
    </cfRule>
  </conditionalFormatting>
  <conditionalFormatting sqref="F8:F1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6" priority="15" operator="containsText" text="أدخل اسم المحكم">
      <formula>NOT(ISERROR(SEARCH("أدخل اسم المحكم",G23)))</formula>
    </cfRule>
  </conditionalFormatting>
  <conditionalFormatting sqref="H8:H1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 F10:F19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G23:J23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C3ACFA08-C2CF-46D8-8C01-4BDD9FB51932}">
          <x14:formula1>
            <xm:f>'بيانات التقييم'!$A$111:$A$153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5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63</v>
      </c>
    </row>
    <row r="3" spans="1:3" ht="20.100000000000001" customHeight="1" thickBot="1" x14ac:dyDescent="0.35">
      <c r="A3" s="2" t="s">
        <v>26</v>
      </c>
      <c r="C3" s="17" t="s">
        <v>64</v>
      </c>
    </row>
    <row r="4" spans="1:3" ht="20.100000000000001" customHeight="1" thickBot="1" x14ac:dyDescent="0.35">
      <c r="A4" s="2" t="s">
        <v>36</v>
      </c>
      <c r="C4" s="17" t="s">
        <v>65</v>
      </c>
    </row>
    <row r="5" spans="1:3" ht="20.100000000000001" customHeight="1" thickBot="1" x14ac:dyDescent="0.35">
      <c r="A5" s="2" t="s">
        <v>37</v>
      </c>
      <c r="C5" s="17" t="s">
        <v>66</v>
      </c>
    </row>
    <row r="6" spans="1:3" ht="20.100000000000001" customHeight="1" thickBot="1" x14ac:dyDescent="0.35">
      <c r="A6" s="2" t="s">
        <v>38</v>
      </c>
      <c r="C6" s="17" t="s">
        <v>67</v>
      </c>
    </row>
    <row r="7" spans="1:3" ht="20.100000000000001" customHeight="1" thickBot="1" x14ac:dyDescent="0.35">
      <c r="A7" s="2" t="s">
        <v>39</v>
      </c>
      <c r="C7" s="17" t="s">
        <v>68</v>
      </c>
    </row>
    <row r="8" spans="1:3" ht="20.100000000000001" customHeight="1" thickBot="1" x14ac:dyDescent="0.35">
      <c r="A8" s="2" t="s">
        <v>40</v>
      </c>
      <c r="C8" s="17" t="s">
        <v>69</v>
      </c>
    </row>
    <row r="9" spans="1:3" ht="20.100000000000001" customHeight="1" thickBot="1" x14ac:dyDescent="0.35">
      <c r="A9" s="2" t="s">
        <v>41</v>
      </c>
      <c r="C9" s="17" t="s">
        <v>70</v>
      </c>
    </row>
    <row r="10" spans="1:3" ht="20.100000000000001" customHeight="1" thickBot="1" x14ac:dyDescent="0.35">
      <c r="A10" s="2" t="s">
        <v>42</v>
      </c>
      <c r="C10" s="17" t="s">
        <v>71</v>
      </c>
    </row>
    <row r="11" spans="1:3" ht="20.100000000000001" customHeight="1" thickBot="1" x14ac:dyDescent="0.35">
      <c r="A11" s="2" t="s">
        <v>43</v>
      </c>
      <c r="C11" s="17" t="s">
        <v>72</v>
      </c>
    </row>
    <row r="12" spans="1:3" ht="20.100000000000001" customHeight="1" thickBot="1" x14ac:dyDescent="0.35">
      <c r="A12" s="2" t="s">
        <v>44</v>
      </c>
      <c r="C12" s="17" t="s">
        <v>73</v>
      </c>
    </row>
    <row r="13" spans="1:3" ht="20.100000000000001" customHeight="1" thickBot="1" x14ac:dyDescent="0.35">
      <c r="A13" s="2" t="s">
        <v>45</v>
      </c>
      <c r="C13" s="17" t="s">
        <v>74</v>
      </c>
    </row>
    <row r="14" spans="1:3" ht="20.100000000000001" customHeight="1" thickBot="1" x14ac:dyDescent="0.35">
      <c r="A14" s="2" t="s">
        <v>46</v>
      </c>
      <c r="C14" s="17" t="s">
        <v>75</v>
      </c>
    </row>
    <row r="15" spans="1:3" ht="20.100000000000001" customHeight="1" thickBot="1" x14ac:dyDescent="0.35">
      <c r="A15" s="2" t="s">
        <v>47</v>
      </c>
      <c r="C15" s="17" t="s">
        <v>76</v>
      </c>
    </row>
    <row r="16" spans="1:3" ht="20.100000000000001" customHeight="1" thickBot="1" x14ac:dyDescent="0.35">
      <c r="A16" s="2" t="s">
        <v>10</v>
      </c>
      <c r="C16" s="17" t="s">
        <v>77</v>
      </c>
    </row>
    <row r="17" spans="1:3" ht="20.100000000000001" customHeight="1" thickBot="1" x14ac:dyDescent="0.35">
      <c r="A17" s="2" t="s">
        <v>27</v>
      </c>
      <c r="C17" s="17" t="s">
        <v>78</v>
      </c>
    </row>
    <row r="18" spans="1:3" ht="20.100000000000001" customHeight="1" thickBot="1" x14ac:dyDescent="0.35">
      <c r="A18" s="2" t="s">
        <v>48</v>
      </c>
      <c r="C18" s="17" t="s">
        <v>79</v>
      </c>
    </row>
    <row r="19" spans="1:3" ht="20.100000000000001" customHeight="1" thickBot="1" x14ac:dyDescent="0.35">
      <c r="A19" s="2" t="s">
        <v>49</v>
      </c>
      <c r="C19" s="17" t="s">
        <v>80</v>
      </c>
    </row>
    <row r="20" spans="1:3" ht="20.100000000000001" customHeight="1" thickBot="1" x14ac:dyDescent="0.35">
      <c r="A20" s="2" t="s">
        <v>50</v>
      </c>
      <c r="C20" s="17" t="s">
        <v>81</v>
      </c>
    </row>
    <row r="21" spans="1:3" ht="20.100000000000001" customHeight="1" thickBot="1" x14ac:dyDescent="0.35">
      <c r="A21" s="2" t="s">
        <v>51</v>
      </c>
      <c r="C21" s="17" t="s">
        <v>82</v>
      </c>
    </row>
    <row r="22" spans="1:3" ht="20.100000000000001" customHeight="1" thickBot="1" x14ac:dyDescent="0.35">
      <c r="A22" s="2" t="s">
        <v>11</v>
      </c>
      <c r="C22" s="17" t="s">
        <v>83</v>
      </c>
    </row>
    <row r="23" spans="1:3" ht="20.100000000000001" customHeight="1" thickBot="1" x14ac:dyDescent="0.35">
      <c r="A23" s="2" t="s">
        <v>12</v>
      </c>
      <c r="C23" s="17" t="s">
        <v>84</v>
      </c>
    </row>
    <row r="24" spans="1:3" ht="20.100000000000001" customHeight="1" thickBot="1" x14ac:dyDescent="0.35">
      <c r="A24" s="2" t="s">
        <v>15</v>
      </c>
      <c r="C24" s="17" t="s">
        <v>85</v>
      </c>
    </row>
    <row r="25" spans="1:3" ht="20.100000000000001" customHeight="1" thickBot="1" x14ac:dyDescent="0.35">
      <c r="A25" s="2" t="s">
        <v>28</v>
      </c>
      <c r="C25" s="17" t="s">
        <v>86</v>
      </c>
    </row>
    <row r="26" spans="1:3" ht="20.100000000000001" customHeight="1" thickBot="1" x14ac:dyDescent="0.35">
      <c r="A26" s="2" t="s">
        <v>29</v>
      </c>
      <c r="C26" s="17" t="s">
        <v>87</v>
      </c>
    </row>
    <row r="27" spans="1:3" ht="20.100000000000001" customHeight="1" thickBot="1" x14ac:dyDescent="0.35">
      <c r="A27" s="2" t="s">
        <v>13</v>
      </c>
      <c r="C27" s="17" t="s">
        <v>88</v>
      </c>
    </row>
    <row r="28" spans="1:3" ht="20.100000000000001" customHeight="1" thickBot="1" x14ac:dyDescent="0.35">
      <c r="A28" s="2" t="s">
        <v>30</v>
      </c>
      <c r="C28" s="17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45901</v>
      </c>
    </row>
    <row r="40" spans="1:9" ht="20.100000000000001" customHeight="1" thickBot="1" x14ac:dyDescent="0.35">
      <c r="A40" s="11">
        <v>45902</v>
      </c>
    </row>
    <row r="41" spans="1:9" ht="20.100000000000001" customHeight="1" thickBot="1" x14ac:dyDescent="0.35">
      <c r="A41" s="11">
        <v>45903</v>
      </c>
    </row>
    <row r="42" spans="1:9" ht="20.100000000000001" customHeight="1" thickBot="1" x14ac:dyDescent="0.35">
      <c r="A42" s="11">
        <v>45904</v>
      </c>
    </row>
    <row r="43" spans="1:9" ht="20.100000000000001" customHeight="1" thickBot="1" x14ac:dyDescent="0.35">
      <c r="A43" s="11">
        <v>45905</v>
      </c>
    </row>
    <row r="44" spans="1:9" ht="20.100000000000001" customHeight="1" thickBot="1" x14ac:dyDescent="0.35">
      <c r="A44" s="11">
        <v>45906</v>
      </c>
    </row>
    <row r="45" spans="1:9" ht="20.100000000000001" customHeight="1" thickBot="1" x14ac:dyDescent="0.35">
      <c r="A45" s="11">
        <v>45907</v>
      </c>
    </row>
    <row r="46" spans="1:9" ht="20.100000000000001" customHeight="1" thickBot="1" x14ac:dyDescent="0.35">
      <c r="A46" s="11">
        <v>45908</v>
      </c>
    </row>
    <row r="47" spans="1:9" ht="20.100000000000001" customHeight="1" thickBot="1" x14ac:dyDescent="0.35">
      <c r="A47" s="11">
        <v>45909</v>
      </c>
    </row>
    <row r="48" spans="1:9" ht="20.100000000000001" customHeight="1" thickBot="1" x14ac:dyDescent="0.35">
      <c r="A48" s="11">
        <v>45910</v>
      </c>
    </row>
    <row r="49" spans="1:1" ht="20.100000000000001" customHeight="1" thickBot="1" x14ac:dyDescent="0.35">
      <c r="A49" s="11">
        <v>45911</v>
      </c>
    </row>
    <row r="50" spans="1:1" ht="20.100000000000001" customHeight="1" thickBot="1" x14ac:dyDescent="0.35">
      <c r="A50" s="11">
        <v>45912</v>
      </c>
    </row>
    <row r="51" spans="1:1" ht="20.100000000000001" customHeight="1" thickBot="1" x14ac:dyDescent="0.35">
      <c r="A51" s="11">
        <v>45913</v>
      </c>
    </row>
    <row r="52" spans="1:1" ht="20.100000000000001" customHeight="1" thickBot="1" x14ac:dyDescent="0.35">
      <c r="A52" s="11">
        <v>45914</v>
      </c>
    </row>
    <row r="53" spans="1:1" ht="20.100000000000001" customHeight="1" thickBot="1" x14ac:dyDescent="0.35">
      <c r="A53" s="11">
        <v>45915</v>
      </c>
    </row>
    <row r="54" spans="1:1" ht="20.100000000000001" customHeight="1" thickBot="1" x14ac:dyDescent="0.35">
      <c r="A54" s="11">
        <v>45916</v>
      </c>
    </row>
    <row r="55" spans="1:1" ht="20.100000000000001" customHeight="1" thickBot="1" x14ac:dyDescent="0.35">
      <c r="A55" s="11">
        <v>45917</v>
      </c>
    </row>
    <row r="56" spans="1:1" ht="20.100000000000001" customHeight="1" thickBot="1" x14ac:dyDescent="0.35">
      <c r="A56" s="11">
        <v>45918</v>
      </c>
    </row>
    <row r="57" spans="1:1" ht="20.100000000000001" customHeight="1" thickBot="1" x14ac:dyDescent="0.35">
      <c r="A57" s="11">
        <v>45919</v>
      </c>
    </row>
    <row r="58" spans="1:1" ht="20.100000000000001" customHeight="1" thickBot="1" x14ac:dyDescent="0.35">
      <c r="A58" s="11">
        <v>45920</v>
      </c>
    </row>
    <row r="59" spans="1:1" ht="20.100000000000001" customHeight="1" thickBot="1" x14ac:dyDescent="0.35">
      <c r="A59" s="11">
        <v>45921</v>
      </c>
    </row>
    <row r="60" spans="1:1" ht="20.100000000000001" customHeight="1" thickBot="1" x14ac:dyDescent="0.35">
      <c r="A60" s="11">
        <v>45922</v>
      </c>
    </row>
    <row r="61" spans="1:1" ht="20.100000000000001" customHeight="1" thickBot="1" x14ac:dyDescent="0.35">
      <c r="A61" s="11">
        <v>45923</v>
      </c>
    </row>
    <row r="62" spans="1:1" ht="20.100000000000001" customHeight="1" thickBot="1" x14ac:dyDescent="0.35">
      <c r="A62" s="11">
        <v>45924</v>
      </c>
    </row>
    <row r="63" spans="1:1" ht="20.100000000000001" customHeight="1" thickBot="1" x14ac:dyDescent="0.35">
      <c r="A63" s="11">
        <v>45925</v>
      </c>
    </row>
    <row r="64" spans="1:1" ht="20.100000000000001" customHeight="1" thickBot="1" x14ac:dyDescent="0.35">
      <c r="A64" s="11">
        <v>45926</v>
      </c>
    </row>
    <row r="65" spans="1:1" ht="20.100000000000001" customHeight="1" thickBot="1" x14ac:dyDescent="0.35">
      <c r="A65" s="11">
        <v>45927</v>
      </c>
    </row>
    <row r="66" spans="1:1" ht="20.100000000000001" customHeight="1" thickBot="1" x14ac:dyDescent="0.35">
      <c r="A66" s="11">
        <v>45928</v>
      </c>
    </row>
    <row r="67" spans="1:1" ht="20.100000000000001" customHeight="1" thickBot="1" x14ac:dyDescent="0.35">
      <c r="A67" s="11">
        <v>45929</v>
      </c>
    </row>
    <row r="68" spans="1:1" ht="20.100000000000001" customHeight="1" thickBot="1" x14ac:dyDescent="0.35">
      <c r="A68" s="11">
        <v>45930</v>
      </c>
    </row>
    <row r="69" spans="1:1" ht="20.100000000000001" customHeight="1" thickBot="1" x14ac:dyDescent="0.35">
      <c r="A69" s="11">
        <v>45931</v>
      </c>
    </row>
    <row r="70" spans="1:1" ht="20.100000000000001" customHeight="1" thickBot="1" x14ac:dyDescent="0.35">
      <c r="A70" s="11">
        <v>45932</v>
      </c>
    </row>
    <row r="71" spans="1:1" ht="20.100000000000001" customHeight="1" thickBot="1" x14ac:dyDescent="0.35">
      <c r="A71" s="11">
        <v>45933</v>
      </c>
    </row>
    <row r="72" spans="1:1" ht="20.100000000000001" customHeight="1" thickBot="1" x14ac:dyDescent="0.35">
      <c r="A72" s="11">
        <v>45934</v>
      </c>
    </row>
    <row r="73" spans="1:1" ht="20.100000000000001" customHeight="1" thickBot="1" x14ac:dyDescent="0.35">
      <c r="A73" s="11">
        <v>45935</v>
      </c>
    </row>
    <row r="74" spans="1:1" ht="20.100000000000001" customHeight="1" thickBot="1" x14ac:dyDescent="0.35">
      <c r="A74" s="11">
        <v>45936</v>
      </c>
    </row>
    <row r="75" spans="1:1" ht="20.100000000000001" customHeight="1" thickBot="1" x14ac:dyDescent="0.35">
      <c r="A75" s="11">
        <v>45937</v>
      </c>
    </row>
    <row r="76" spans="1:1" ht="20.100000000000001" customHeight="1" thickBot="1" x14ac:dyDescent="0.35">
      <c r="A76" s="11">
        <v>45938</v>
      </c>
    </row>
    <row r="77" spans="1:1" ht="20.100000000000001" customHeight="1" thickBot="1" x14ac:dyDescent="0.35">
      <c r="A77" s="11">
        <v>45939</v>
      </c>
    </row>
    <row r="78" spans="1:1" ht="20.100000000000001" customHeight="1" thickBot="1" x14ac:dyDescent="0.35">
      <c r="A78" s="11">
        <v>45940</v>
      </c>
    </row>
    <row r="79" spans="1:1" ht="20.100000000000001" customHeight="1" thickBot="1" x14ac:dyDescent="0.35">
      <c r="A79" s="11">
        <v>45941</v>
      </c>
    </row>
    <row r="80" spans="1:1" ht="20.100000000000001" customHeight="1" thickBot="1" x14ac:dyDescent="0.35">
      <c r="A80" s="11">
        <v>45942</v>
      </c>
    </row>
    <row r="81" spans="1:1" ht="20.100000000000001" customHeight="1" thickBot="1" x14ac:dyDescent="0.35">
      <c r="A81" s="11">
        <v>45943</v>
      </c>
    </row>
    <row r="82" spans="1:1" ht="20.100000000000001" customHeight="1" thickBot="1" x14ac:dyDescent="0.35">
      <c r="A82" s="11">
        <v>45944</v>
      </c>
    </row>
    <row r="83" spans="1:1" ht="20.100000000000001" customHeight="1" thickBot="1" x14ac:dyDescent="0.35">
      <c r="A83" s="11">
        <v>45945</v>
      </c>
    </row>
    <row r="84" spans="1:1" ht="20.100000000000001" customHeight="1" thickBot="1" x14ac:dyDescent="0.35">
      <c r="A84" s="11">
        <v>45946</v>
      </c>
    </row>
    <row r="85" spans="1:1" ht="20.100000000000001" customHeight="1" thickBot="1" x14ac:dyDescent="0.35">
      <c r="A85" s="11">
        <v>45947</v>
      </c>
    </row>
    <row r="86" spans="1:1" ht="20.100000000000001" customHeight="1" thickBot="1" x14ac:dyDescent="0.35">
      <c r="A86" s="11">
        <v>45948</v>
      </c>
    </row>
    <row r="87" spans="1:1" ht="20.100000000000001" customHeight="1" thickBot="1" x14ac:dyDescent="0.35">
      <c r="A87" s="11">
        <v>45949</v>
      </c>
    </row>
    <row r="88" spans="1:1" ht="20.100000000000001" customHeight="1" thickBot="1" x14ac:dyDescent="0.35">
      <c r="A88" s="11">
        <v>45950</v>
      </c>
    </row>
    <row r="89" spans="1:1" ht="20.100000000000001" customHeight="1" thickBot="1" x14ac:dyDescent="0.35">
      <c r="A89" s="11">
        <v>45951</v>
      </c>
    </row>
    <row r="90" spans="1:1" ht="20.100000000000001" customHeight="1" thickBot="1" x14ac:dyDescent="0.35">
      <c r="A90" s="11">
        <v>45952</v>
      </c>
    </row>
    <row r="91" spans="1:1" ht="20.100000000000001" customHeight="1" thickBot="1" x14ac:dyDescent="0.35">
      <c r="A91" s="11">
        <v>45953</v>
      </c>
    </row>
    <row r="92" spans="1:1" ht="20.100000000000001" customHeight="1" thickBot="1" x14ac:dyDescent="0.35">
      <c r="A92" s="11">
        <v>45954</v>
      </c>
    </row>
    <row r="93" spans="1:1" ht="20.100000000000001" customHeight="1" thickBot="1" x14ac:dyDescent="0.35">
      <c r="A93" s="11">
        <v>45955</v>
      </c>
    </row>
    <row r="94" spans="1:1" ht="20.100000000000001" customHeight="1" thickBot="1" x14ac:dyDescent="0.35">
      <c r="A94" s="11">
        <v>45956</v>
      </c>
    </row>
    <row r="95" spans="1:1" ht="20.100000000000001" customHeight="1" thickBot="1" x14ac:dyDescent="0.35">
      <c r="A95" s="11">
        <v>45957</v>
      </c>
    </row>
    <row r="96" spans="1:1" ht="20.100000000000001" customHeight="1" thickBot="1" x14ac:dyDescent="0.35">
      <c r="A96" s="11">
        <v>45958</v>
      </c>
    </row>
    <row r="97" spans="1:9" ht="20.100000000000001" customHeight="1" thickBot="1" x14ac:dyDescent="0.35">
      <c r="A97" s="11">
        <v>45959</v>
      </c>
    </row>
    <row r="98" spans="1:9" ht="20.100000000000001" customHeight="1" thickBot="1" x14ac:dyDescent="0.35">
      <c r="A98" s="11">
        <v>45960</v>
      </c>
    </row>
    <row r="99" spans="1:9" ht="20.100000000000001" customHeight="1" thickBot="1" x14ac:dyDescent="0.35">
      <c r="A99" s="11">
        <v>45961</v>
      </c>
    </row>
    <row r="100" spans="1:9" ht="20.100000000000001" customHeight="1" thickBot="1" x14ac:dyDescent="0.35">
      <c r="A100" s="11">
        <v>45962</v>
      </c>
    </row>
    <row r="101" spans="1:9" ht="20.100000000000001" customHeight="1" thickBot="1" x14ac:dyDescent="0.35">
      <c r="A101" s="11">
        <v>45963</v>
      </c>
    </row>
    <row r="102" spans="1:9" ht="20.100000000000001" customHeight="1" thickBot="1" x14ac:dyDescent="0.35">
      <c r="A102" s="11">
        <v>45964</v>
      </c>
    </row>
    <row r="103" spans="1:9" ht="20.100000000000001" customHeight="1" thickBot="1" x14ac:dyDescent="0.35">
      <c r="A103" s="11">
        <v>45965</v>
      </c>
    </row>
    <row r="104" spans="1:9" ht="20.100000000000001" customHeight="1" thickBot="1" x14ac:dyDescent="0.35">
      <c r="A104" s="11">
        <v>45966</v>
      </c>
    </row>
    <row r="105" spans="1:9" ht="20.100000000000001" customHeight="1" thickBot="1" x14ac:dyDescent="0.35">
      <c r="A105" s="11">
        <v>45967</v>
      </c>
    </row>
    <row r="106" spans="1:9" ht="20.100000000000001" customHeight="1" thickBot="1" x14ac:dyDescent="0.35">
      <c r="A106" s="11">
        <v>45968</v>
      </c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90</v>
      </c>
    </row>
    <row r="200" spans="1:1" ht="20.100000000000001" customHeight="1" x14ac:dyDescent="0.3">
      <c r="A200" s="18" t="s">
        <v>91</v>
      </c>
    </row>
    <row r="201" spans="1:1" ht="20.100000000000001" customHeight="1" x14ac:dyDescent="0.3">
      <c r="A201" s="18" t="s">
        <v>92</v>
      </c>
    </row>
    <row r="202" spans="1:1" ht="20.100000000000001" customHeight="1" x14ac:dyDescent="0.3">
      <c r="A202" s="18" t="s">
        <v>93</v>
      </c>
    </row>
    <row r="203" spans="1:1" ht="20.100000000000001" customHeight="1" x14ac:dyDescent="0.3">
      <c r="A203" s="18" t="s">
        <v>94</v>
      </c>
    </row>
    <row r="204" spans="1:1" ht="20.100000000000001" customHeight="1" x14ac:dyDescent="0.3">
      <c r="A204" s="18" t="s">
        <v>95</v>
      </c>
    </row>
    <row r="205" spans="1:1" ht="20.100000000000001" customHeight="1" x14ac:dyDescent="0.3">
      <c r="A205" s="18" t="s">
        <v>96</v>
      </c>
    </row>
    <row r="206" spans="1:1" ht="20.100000000000001" customHeight="1" x14ac:dyDescent="0.3">
      <c r="A206" s="18" t="s">
        <v>97</v>
      </c>
    </row>
    <row r="207" spans="1:1" ht="20.100000000000001" customHeight="1" x14ac:dyDescent="0.3">
      <c r="A207" s="18" t="s">
        <v>98</v>
      </c>
    </row>
    <row r="208" spans="1:1" ht="20.100000000000001" customHeight="1" x14ac:dyDescent="0.3">
      <c r="A208" s="19" t="s">
        <v>99</v>
      </c>
    </row>
    <row r="209" spans="1:1" ht="20.100000000000001" customHeight="1" x14ac:dyDescent="0.3">
      <c r="A209" s="19" t="s">
        <v>100</v>
      </c>
    </row>
    <row r="210" spans="1:1" ht="20.100000000000001" customHeight="1" x14ac:dyDescent="0.3">
      <c r="A210" s="18" t="s">
        <v>101</v>
      </c>
    </row>
    <row r="211" spans="1:1" ht="20.100000000000001" customHeight="1" x14ac:dyDescent="0.3">
      <c r="A211" s="18" t="s">
        <v>102</v>
      </c>
    </row>
    <row r="212" spans="1:1" ht="20.100000000000001" customHeight="1" x14ac:dyDescent="0.3">
      <c r="A212" s="18" t="s">
        <v>103</v>
      </c>
    </row>
    <row r="213" spans="1:1" ht="20.100000000000001" customHeight="1" x14ac:dyDescent="0.3">
      <c r="A213" s="18" t="s">
        <v>104</v>
      </c>
    </row>
    <row r="214" spans="1:1" ht="20.100000000000001" customHeight="1" x14ac:dyDescent="0.3">
      <c r="A214" s="18" t="s">
        <v>105</v>
      </c>
    </row>
    <row r="215" spans="1:1" ht="20.100000000000001" customHeight="1" x14ac:dyDescent="0.3">
      <c r="A215" s="18" t="s">
        <v>106</v>
      </c>
    </row>
    <row r="216" spans="1:1" ht="20.100000000000001" customHeight="1" x14ac:dyDescent="0.3">
      <c r="A216" s="18" t="s">
        <v>107</v>
      </c>
    </row>
    <row r="217" spans="1:1" ht="20.100000000000001" customHeight="1" x14ac:dyDescent="0.3">
      <c r="A217" s="18" t="s">
        <v>108</v>
      </c>
    </row>
    <row r="218" spans="1:1" ht="20.100000000000001" customHeight="1" x14ac:dyDescent="0.3">
      <c r="A218" s="18" t="s">
        <v>109</v>
      </c>
    </row>
    <row r="219" spans="1:1" ht="20.100000000000001" customHeight="1" x14ac:dyDescent="0.3">
      <c r="A219" s="18" t="s">
        <v>110</v>
      </c>
    </row>
    <row r="220" spans="1:1" ht="20.100000000000001" customHeight="1" x14ac:dyDescent="0.3">
      <c r="A220" s="18" t="s">
        <v>111</v>
      </c>
    </row>
    <row r="221" spans="1:1" ht="20.100000000000001" customHeight="1" x14ac:dyDescent="0.3">
      <c r="A221" s="18" t="s">
        <v>112</v>
      </c>
    </row>
    <row r="222" spans="1:1" ht="20.100000000000001" customHeight="1" x14ac:dyDescent="0.3">
      <c r="A222" s="18" t="s">
        <v>113</v>
      </c>
    </row>
    <row r="223" spans="1:1" ht="20.100000000000001" customHeight="1" x14ac:dyDescent="0.3">
      <c r="A223" s="18" t="s">
        <v>114</v>
      </c>
    </row>
    <row r="224" spans="1:1" ht="20.100000000000001" customHeight="1" x14ac:dyDescent="0.3">
      <c r="A224" s="18" t="s">
        <v>115</v>
      </c>
    </row>
    <row r="225" spans="1:1" ht="20.100000000000001" customHeight="1" x14ac:dyDescent="0.3">
      <c r="A225" s="18" t="s">
        <v>116</v>
      </c>
    </row>
    <row r="226" spans="1:1" ht="20.100000000000001" customHeight="1" x14ac:dyDescent="0.3">
      <c r="A226" s="18" t="s">
        <v>117</v>
      </c>
    </row>
    <row r="227" spans="1:1" ht="20.100000000000001" customHeight="1" x14ac:dyDescent="0.3">
      <c r="A227" s="18" t="s">
        <v>118</v>
      </c>
    </row>
    <row r="228" spans="1:1" ht="20.100000000000001" customHeight="1" x14ac:dyDescent="0.3">
      <c r="A228" s="18" t="s">
        <v>119</v>
      </c>
    </row>
    <row r="229" spans="1:1" ht="20.100000000000001" customHeight="1" x14ac:dyDescent="0.3">
      <c r="A229" s="18" t="s">
        <v>120</v>
      </c>
    </row>
    <row r="230" spans="1:1" ht="20.100000000000001" customHeight="1" x14ac:dyDescent="0.3">
      <c r="A230" s="18" t="s">
        <v>121</v>
      </c>
    </row>
    <row r="231" spans="1:1" ht="20.100000000000001" customHeight="1" x14ac:dyDescent="0.3">
      <c r="A231" s="18" t="s">
        <v>122</v>
      </c>
    </row>
    <row r="232" spans="1:1" ht="20.100000000000001" customHeight="1" x14ac:dyDescent="0.3">
      <c r="A232" s="18" t="s">
        <v>123</v>
      </c>
    </row>
    <row r="233" spans="1:1" ht="20.100000000000001" customHeight="1" x14ac:dyDescent="0.3">
      <c r="A233" s="18" t="s">
        <v>124</v>
      </c>
    </row>
    <row r="234" spans="1:1" ht="20.100000000000001" customHeight="1" x14ac:dyDescent="0.3">
      <c r="A234" s="18" t="s">
        <v>125</v>
      </c>
    </row>
    <row r="235" spans="1:1" ht="20.100000000000001" customHeight="1" x14ac:dyDescent="0.3">
      <c r="A235" s="20" t="s">
        <v>126</v>
      </c>
    </row>
    <row r="236" spans="1:1" ht="20.100000000000001" customHeight="1" x14ac:dyDescent="0.3">
      <c r="A236" s="18" t="s">
        <v>127</v>
      </c>
    </row>
    <row r="237" spans="1:1" ht="20.100000000000001" customHeight="1" x14ac:dyDescent="0.3">
      <c r="A237" s="18" t="s">
        <v>128</v>
      </c>
    </row>
    <row r="238" spans="1:1" ht="20.100000000000001" customHeight="1" x14ac:dyDescent="0.3">
      <c r="A238" s="18" t="s">
        <v>129</v>
      </c>
    </row>
    <row r="239" spans="1:1" ht="20.100000000000001" customHeight="1" x14ac:dyDescent="0.3">
      <c r="A239" s="18" t="s">
        <v>130</v>
      </c>
    </row>
    <row r="240" spans="1:1" ht="20.100000000000001" customHeight="1" x14ac:dyDescent="0.3">
      <c r="A240" s="18" t="s">
        <v>131</v>
      </c>
    </row>
    <row r="241" spans="1:1" ht="20.100000000000001" customHeight="1" x14ac:dyDescent="0.3">
      <c r="A241" s="18" t="s">
        <v>132</v>
      </c>
    </row>
    <row r="242" spans="1:1" ht="20.100000000000001" customHeight="1" x14ac:dyDescent="0.3">
      <c r="A242" s="18" t="s">
        <v>133</v>
      </c>
    </row>
    <row r="243" spans="1:1" ht="20.100000000000001" customHeight="1" x14ac:dyDescent="0.3">
      <c r="A243" s="18" t="s">
        <v>134</v>
      </c>
    </row>
    <row r="244" spans="1:1" ht="20.100000000000001" customHeight="1" x14ac:dyDescent="0.3">
      <c r="A244" s="18" t="s">
        <v>135</v>
      </c>
    </row>
    <row r="245" spans="1:1" ht="20.100000000000001" customHeight="1" x14ac:dyDescent="0.3">
      <c r="A245" s="18" t="s">
        <v>136</v>
      </c>
    </row>
    <row r="246" spans="1:1" ht="20.100000000000001" customHeight="1" x14ac:dyDescent="0.3">
      <c r="A246" s="18" t="s">
        <v>137</v>
      </c>
    </row>
    <row r="247" spans="1:1" ht="20.100000000000001" customHeight="1" x14ac:dyDescent="0.3">
      <c r="A247" s="18" t="s">
        <v>128</v>
      </c>
    </row>
    <row r="248" spans="1:1" ht="20.100000000000001" customHeight="1" x14ac:dyDescent="0.3">
      <c r="A248" s="18" t="s">
        <v>138</v>
      </c>
    </row>
    <row r="249" spans="1:1" ht="20.100000000000001" customHeight="1" x14ac:dyDescent="0.3">
      <c r="A249" s="18" t="s">
        <v>139</v>
      </c>
    </row>
    <row r="250" spans="1:1" ht="20.100000000000001" customHeight="1" x14ac:dyDescent="0.3">
      <c r="A250" s="20" t="s">
        <v>140</v>
      </c>
    </row>
    <row r="251" spans="1:1" ht="20.100000000000001" customHeight="1" x14ac:dyDescent="0.3">
      <c r="A251" s="21" t="s">
        <v>141</v>
      </c>
    </row>
    <row r="252" spans="1:1" ht="20.100000000000001" customHeight="1" x14ac:dyDescent="0.3">
      <c r="A252" s="18" t="s">
        <v>142</v>
      </c>
    </row>
    <row r="253" spans="1:1" ht="20.100000000000001" customHeight="1" x14ac:dyDescent="0.3">
      <c r="A253" s="18" t="s">
        <v>143</v>
      </c>
    </row>
    <row r="254" spans="1:1" ht="20.100000000000001" customHeight="1" x14ac:dyDescent="0.3">
      <c r="A254" s="22" t="s">
        <v>144</v>
      </c>
    </row>
    <row r="255" spans="1:1" ht="20.100000000000001" customHeight="1" x14ac:dyDescent="0.3">
      <c r="A255" s="22" t="s">
        <v>145</v>
      </c>
    </row>
    <row r="256" spans="1:1" ht="20.100000000000001" customHeight="1" x14ac:dyDescent="0.3">
      <c r="A256" s="23" t="s">
        <v>146</v>
      </c>
    </row>
    <row r="257" spans="1:1" ht="20.100000000000001" customHeight="1" x14ac:dyDescent="0.3">
      <c r="A257" s="18" t="s">
        <v>147</v>
      </c>
    </row>
    <row r="258" spans="1:1" ht="20.100000000000001" customHeight="1" x14ac:dyDescent="0.3">
      <c r="A258" s="23" t="s">
        <v>148</v>
      </c>
    </row>
    <row r="259" spans="1:1" ht="20.100000000000001" customHeight="1" x14ac:dyDescent="0.3">
      <c r="A259" s="18" t="s">
        <v>149</v>
      </c>
    </row>
    <row r="260" spans="1:1" ht="20.100000000000001" customHeight="1" x14ac:dyDescent="0.3">
      <c r="A260" s="23" t="s">
        <v>150</v>
      </c>
    </row>
    <row r="261" spans="1:1" ht="20.100000000000001" customHeight="1" x14ac:dyDescent="0.3">
      <c r="A261" s="18" t="s">
        <v>151</v>
      </c>
    </row>
    <row r="262" spans="1:1" ht="20.100000000000001" customHeight="1" x14ac:dyDescent="0.3">
      <c r="A262" s="18" t="s">
        <v>152</v>
      </c>
    </row>
    <row r="263" spans="1:1" ht="20.100000000000001" customHeight="1" x14ac:dyDescent="0.3">
      <c r="A263" s="23" t="s">
        <v>153</v>
      </c>
    </row>
    <row r="264" spans="1:1" ht="20.100000000000001" customHeight="1" x14ac:dyDescent="0.3">
      <c r="A264" s="23" t="s">
        <v>154</v>
      </c>
    </row>
    <row r="265" spans="1:1" ht="20.100000000000001" customHeight="1" x14ac:dyDescent="0.3">
      <c r="A265" s="23" t="s">
        <v>155</v>
      </c>
    </row>
    <row r="266" spans="1:1" ht="20.100000000000001" customHeight="1" x14ac:dyDescent="0.3">
      <c r="A266" s="18" t="s">
        <v>156</v>
      </c>
    </row>
    <row r="267" spans="1:1" ht="20.100000000000001" customHeight="1" x14ac:dyDescent="0.3">
      <c r="A267" s="18" t="s">
        <v>157</v>
      </c>
    </row>
    <row r="268" spans="1:1" ht="20.100000000000001" customHeight="1" x14ac:dyDescent="0.3">
      <c r="A268" s="18" t="s">
        <v>158</v>
      </c>
    </row>
    <row r="269" spans="1:1" ht="20.100000000000001" customHeight="1" x14ac:dyDescent="0.3">
      <c r="A269" s="18" t="s">
        <v>159</v>
      </c>
    </row>
    <row r="270" spans="1:1" ht="20.100000000000001" customHeight="1" x14ac:dyDescent="0.3">
      <c r="A270" s="23" t="s">
        <v>160</v>
      </c>
    </row>
    <row r="271" spans="1:1" ht="20.100000000000001" customHeight="1" x14ac:dyDescent="0.3">
      <c r="A271" s="23" t="s">
        <v>161</v>
      </c>
    </row>
    <row r="272" spans="1:1" ht="20.100000000000001" customHeight="1" x14ac:dyDescent="0.3">
      <c r="A272" s="18" t="s">
        <v>162</v>
      </c>
    </row>
    <row r="273" spans="1:1" ht="20.100000000000001" customHeight="1" x14ac:dyDescent="0.3">
      <c r="A273" s="23" t="s">
        <v>163</v>
      </c>
    </row>
    <row r="274" spans="1:1" ht="20.100000000000001" customHeight="1" x14ac:dyDescent="0.3">
      <c r="A274" s="23" t="s">
        <v>164</v>
      </c>
    </row>
    <row r="275" spans="1:1" ht="20.100000000000001" customHeight="1" x14ac:dyDescent="0.3">
      <c r="A275" s="18" t="s">
        <v>165</v>
      </c>
    </row>
    <row r="276" spans="1:1" ht="20.100000000000001" customHeight="1" x14ac:dyDescent="0.3">
      <c r="A276" s="18" t="s">
        <v>166</v>
      </c>
    </row>
    <row r="277" spans="1:1" ht="20.100000000000001" customHeight="1" x14ac:dyDescent="0.3">
      <c r="A277" s="23" t="s">
        <v>167</v>
      </c>
    </row>
    <row r="278" spans="1:1" ht="20.100000000000001" customHeight="1" x14ac:dyDescent="0.3">
      <c r="A278" s="18" t="s">
        <v>168</v>
      </c>
    </row>
    <row r="279" spans="1:1" ht="20.100000000000001" customHeight="1" x14ac:dyDescent="0.3">
      <c r="A279" s="18" t="s">
        <v>169</v>
      </c>
    </row>
    <row r="280" spans="1:1" ht="20.100000000000001" customHeight="1" x14ac:dyDescent="0.3">
      <c r="A280" s="18" t="s">
        <v>170</v>
      </c>
    </row>
    <row r="281" spans="1:1" ht="20.100000000000001" customHeight="1" x14ac:dyDescent="0.3">
      <c r="A281" s="18" t="s">
        <v>171</v>
      </c>
    </row>
    <row r="282" spans="1:1" ht="20.100000000000001" customHeight="1" x14ac:dyDescent="0.3">
      <c r="A282" s="23" t="s">
        <v>172</v>
      </c>
    </row>
    <row r="283" spans="1:1" ht="20.100000000000001" customHeight="1" x14ac:dyDescent="0.3">
      <c r="A283" s="23" t="s">
        <v>173</v>
      </c>
    </row>
    <row r="284" spans="1:1" ht="20.100000000000001" customHeight="1" x14ac:dyDescent="0.3">
      <c r="A284" s="23" t="s">
        <v>174</v>
      </c>
    </row>
    <row r="285" spans="1:1" ht="20.100000000000001" customHeight="1" thickBot="1" x14ac:dyDescent="0.35">
      <c r="A285" s="18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18"/>
  <sheetViews>
    <sheetView rightToLeft="1" workbookViewId="0">
      <selection activeCell="B3" sqref="A3:B14"/>
    </sheetView>
  </sheetViews>
  <sheetFormatPr defaultRowHeight="14.4" x14ac:dyDescent="0.3"/>
  <cols>
    <col min="1" max="1" width="30.88671875" style="38" customWidth="1"/>
  </cols>
  <sheetData>
    <row r="1" spans="1:4" ht="16.8" thickTop="1" thickBot="1" x14ac:dyDescent="0.35">
      <c r="A1" s="90" t="s">
        <v>0</v>
      </c>
      <c r="B1" s="92" t="s">
        <v>1</v>
      </c>
      <c r="C1" s="93"/>
      <c r="D1" s="94" t="s">
        <v>2</v>
      </c>
    </row>
    <row r="2" spans="1:4" ht="16.8" thickTop="1" thickBot="1" x14ac:dyDescent="0.35">
      <c r="A2" s="91"/>
      <c r="B2" s="26" t="s">
        <v>3</v>
      </c>
      <c r="C2" s="26" t="s">
        <v>4</v>
      </c>
      <c r="D2" s="95"/>
    </row>
    <row r="3" spans="1:4" ht="27.6" thickTop="1" thickBot="1" x14ac:dyDescent="0.35">
      <c r="A3" s="33" t="s">
        <v>176</v>
      </c>
      <c r="B3" s="27">
        <v>5</v>
      </c>
      <c r="C3" s="28"/>
      <c r="D3" s="29"/>
    </row>
    <row r="4" spans="1:4" ht="40.799999999999997" thickTop="1" thickBot="1" x14ac:dyDescent="0.35">
      <c r="A4" s="33" t="s">
        <v>177</v>
      </c>
      <c r="B4" s="27">
        <v>10</v>
      </c>
      <c r="C4" s="28"/>
      <c r="D4" s="29"/>
    </row>
    <row r="5" spans="1:4" ht="27.6" thickTop="1" thickBot="1" x14ac:dyDescent="0.35">
      <c r="A5" s="33" t="s">
        <v>178</v>
      </c>
      <c r="B5" s="27">
        <v>5</v>
      </c>
      <c r="C5" s="28"/>
      <c r="D5" s="29"/>
    </row>
    <row r="6" spans="1:4" ht="27.6" thickTop="1" thickBot="1" x14ac:dyDescent="0.35">
      <c r="A6" s="33" t="s">
        <v>179</v>
      </c>
      <c r="B6" s="27">
        <v>5</v>
      </c>
      <c r="C6" s="28"/>
      <c r="D6" s="29"/>
    </row>
    <row r="7" spans="1:4" ht="27.6" thickTop="1" thickBot="1" x14ac:dyDescent="0.35">
      <c r="A7" s="33" t="s">
        <v>180</v>
      </c>
      <c r="B7" s="27">
        <v>5</v>
      </c>
      <c r="C7" s="28"/>
      <c r="D7" s="29"/>
    </row>
    <row r="8" spans="1:4" ht="27.6" thickTop="1" thickBot="1" x14ac:dyDescent="0.35">
      <c r="A8" s="33" t="s">
        <v>181</v>
      </c>
      <c r="B8" s="27">
        <v>5</v>
      </c>
      <c r="C8" s="28"/>
      <c r="D8" s="29"/>
    </row>
    <row r="9" spans="1:4" ht="27" thickTop="1" x14ac:dyDescent="0.3">
      <c r="A9" s="34" t="s">
        <v>182</v>
      </c>
      <c r="B9" s="30"/>
      <c r="C9" s="31"/>
      <c r="D9" s="32"/>
    </row>
    <row r="10" spans="1:4" ht="15.6" x14ac:dyDescent="0.3">
      <c r="A10" s="34" t="s">
        <v>183</v>
      </c>
      <c r="B10" s="30">
        <v>5</v>
      </c>
      <c r="C10" s="31"/>
      <c r="D10" s="32"/>
    </row>
    <row r="11" spans="1:4" ht="15.6" x14ac:dyDescent="0.3">
      <c r="A11" s="34" t="s">
        <v>184</v>
      </c>
      <c r="B11" s="30">
        <v>5</v>
      </c>
      <c r="C11" s="31"/>
      <c r="D11" s="32"/>
    </row>
    <row r="12" spans="1:4" ht="15.6" x14ac:dyDescent="0.3">
      <c r="A12" s="34" t="s">
        <v>185</v>
      </c>
      <c r="B12" s="30">
        <v>5</v>
      </c>
      <c r="C12" s="31"/>
      <c r="D12" s="32"/>
    </row>
    <row r="13" spans="1:4" ht="16.2" thickBot="1" x14ac:dyDescent="0.35">
      <c r="A13" s="33" t="s">
        <v>186</v>
      </c>
      <c r="B13" s="27">
        <v>5</v>
      </c>
      <c r="C13" s="28"/>
      <c r="D13" s="29"/>
    </row>
    <row r="14" spans="1:4" ht="40.799999999999997" thickTop="1" thickBot="1" x14ac:dyDescent="0.35">
      <c r="A14" s="33" t="s">
        <v>187</v>
      </c>
      <c r="B14" s="27">
        <v>5</v>
      </c>
      <c r="C14" s="28"/>
      <c r="D14" s="29"/>
    </row>
    <row r="15" spans="1:4" ht="16.8" thickTop="1" thickBot="1" x14ac:dyDescent="0.35">
      <c r="A15" s="35" t="s">
        <v>188</v>
      </c>
      <c r="B15" s="27">
        <v>60</v>
      </c>
      <c r="C15" s="28"/>
      <c r="D15" s="28"/>
    </row>
    <row r="16" spans="1:4" ht="16.8" thickTop="1" thickBot="1" x14ac:dyDescent="0.35">
      <c r="A16" s="36" t="s">
        <v>189</v>
      </c>
      <c r="B16" s="96" t="s">
        <v>190</v>
      </c>
      <c r="C16" s="97"/>
      <c r="D16" s="97"/>
    </row>
    <row r="17" spans="1:4" ht="16.2" thickBot="1" x14ac:dyDescent="0.35">
      <c r="A17" s="37" t="s">
        <v>191</v>
      </c>
      <c r="B17" s="98"/>
      <c r="C17" s="99"/>
      <c r="D17" s="99"/>
    </row>
    <row r="18" spans="1:4" ht="15" thickTop="1" x14ac:dyDescent="0.3"/>
  </sheetData>
  <mergeCells count="5">
    <mergeCell ref="A1:A2"/>
    <mergeCell ref="B1:C1"/>
    <mergeCell ref="D1:D2"/>
    <mergeCell ref="B16:D16"/>
    <mergeCell ref="B17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2025-10-21T21:24:18Z</dcterms:modified>
</cp:coreProperties>
</file>