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EBA6FA52-6C7D-9349-A15A-E795F396708F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H11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G33" i="2"/>
  <c r="H33" i="2"/>
  <c r="G34" i="2"/>
  <c r="H34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F49" i="2"/>
  <c r="E49" i="2"/>
  <c r="E50" i="2"/>
  <c r="E51" i="2"/>
</calcChain>
</file>

<file path=xl/sharedStrings.xml><?xml version="1.0" encoding="utf-8"?>
<sst xmlns="http://schemas.openxmlformats.org/spreadsheetml/2006/main" count="274" uniqueCount="218">
  <si>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</si>
  <si>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</si>
  <si>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</si>
  <si>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</si>
  <si>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</si>
  <si>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</si>
  <si>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</si>
  <si>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</si>
  <si>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</si>
  <si>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</si>
  <si>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</si>
  <si>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</si>
  <si>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</si>
  <si>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</si>
  <si>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</si>
  <si>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</si>
  <si>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</si>
  <si>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</si>
  <si>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</si>
  <si>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</si>
  <si>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</si>
  <si>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</si>
  <si>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</si>
  <si>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</si>
  <si>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</si>
  <si>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</si>
  <si>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</si>
  <si>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</si>
  <si>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</si>
  <si>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</si>
  <si>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</si>
  <si>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</si>
  <si>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</si>
  <si>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</si>
  <si>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</si>
  <si>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</si>
  <si>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</si>
  <si>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</si>
  <si>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</si>
  <si>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</si>
  <si>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</si>
  <si>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</si>
  <si>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</si>
  <si>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</si>
  <si>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</si>
  <si>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</si>
  <si>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</si>
  <si>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</si>
  <si>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</si>
  <si>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</si>
  <si>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</si>
  <si>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</si>
  <si>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</si>
  <si>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</si>
  <si>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</si>
  <si>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</si>
  <si>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</si>
  <si>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</si>
  <si>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</si>
  <si>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</si>
  <si>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</si>
  <si>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</si>
  <si>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</si>
  <si>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</si>
  <si>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</si>
  <si>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</si>
  <si>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</si>
  <si>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</si>
  <si>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</si>
  <si>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</si>
  <si>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</si>
  <si>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</si>
  <si>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</si>
  <si>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</si>
  <si>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</si>
  <si>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</si>
  <si>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</si>
  <si>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</si>
  <si>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</si>
  <si>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</si>
  <si>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</si>
  <si>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</si>
  <si>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</si>
  <si>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</si>
  <si>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</si>
  <si>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</si>
  <si>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</si>
  <si>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</si>
  <si>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</si>
  <si>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</si>
  <si>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</si>
  <si>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</si>
  <si>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</si>
  <si>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</si>
  <si>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</si>
  <si>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</si>
  <si>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</si>
  <si>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</si>
  <si>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</si>
  <si>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</si>
  <si>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</si>
  <si>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</si>
  <si>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</si>
  <si>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</si>
  <si>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</si>
  <si>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</si>
  <si>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</si>
  <si>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</si>
  <si>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</si>
  <si>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</si>
  <si>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</si>
  <si>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</si>
  <si>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</si>
  <si>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</si>
  <si>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</si>
  <si>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</si>
  <si>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</si>
  <si>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</si>
  <si>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</si>
  <si>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</si>
  <si>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</si>
  <si>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</si>
  <si>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</si>
  <si>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</si>
  <si>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</si>
  <si>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</si>
  <si>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</si>
  <si>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</si>
  <si>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</si>
  <si>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</si>
  <si>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</si>
  <si>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</si>
  <si>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</si>
  <si>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</si>
  <si>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</si>
  <si>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</si>
  <si>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</si>
  <si>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</si>
  <si>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</si>
  <si>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</si>
  <si>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</si>
  <si>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</si>
  <si>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</si>
  <si>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</si>
  <si>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</si>
  <si>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</si>
  <si>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</si>
  <si>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</si>
  <si>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</si>
  <si>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</si>
  <si>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</si>
  <si>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</si>
  <si>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</si>
  <si>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</si>
  <si>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</si>
  <si>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</si>
  <si>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</si>
  <si>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</si>
  <si>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</si>
  <si>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</si>
  <si>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</si>
  <si>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</si>
  <si>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</si>
  <si>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</si>
  <si>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</si>
  <si>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</si>
  <si>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</si>
  <si>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</si>
  <si>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</si>
  <si>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</si>
  <si>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</si>
  <si>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</si>
  <si>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</si>
  <si>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</si>
  <si>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</si>
  <si>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</si>
  <si>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</si>
  <si>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ملاحظة: يتم التخطيط لواجب تأسيس قاعدة إسناد بالنيران بنفس الأسلوب وبنفس الإجراءات للهجوم المدبر.</t>
  </si>
  <si>
    <t>(3)   ممرات الحركة من منطقة التجمع وحتى الأهداف.</t>
  </si>
  <si>
    <t>(4)   تأشير خط البدء وخط الانفتاح المحتمل.</t>
  </si>
  <si>
    <t>(5)   تحديد المكان الأولي لتأسيس قاعدة الإسناد بالنيران (حسب أمر عمليات الكتيبة/ مجموعة القتال)</t>
  </si>
  <si>
    <t>(6)   تأشير الأماكن المحتملة لكمائن العدو على طول طرق الحركة.</t>
  </si>
  <si>
    <t>جـ.   الحصول على المعلومات الاستخبارية من المستوى الأعلى.</t>
  </si>
  <si>
    <t>إجراءات التحضير.</t>
  </si>
  <si>
    <t>ملاحظة:     يتم التحضير للهجوم في منطقة الحشد قبل الحركة إلى منطقة التجمع ويشمل التحضير الأفراد والمعدات والأسلحة والآليات ويتم تنفيذ الإجراءات التالية:</t>
  </si>
  <si>
    <t>أ.    أسلوب الحركة والتشكيلة حتى منطقة التشكيل.</t>
  </si>
  <si>
    <t>ب.  الحركة من منطقة التشكيل وحتى موقع تأسيس قاعدة الإسناد بالنيران.</t>
  </si>
  <si>
    <t>جـ.  العمل عند التماس مع العدو أثناء الحركة.</t>
  </si>
  <si>
    <t>د.   أسلوب تأسيس قاعدة الإسناد (موقع الفصائل والأسلحة الملحقة وأقواس المسؤولية) .</t>
  </si>
  <si>
    <t>هـ.   إجراءات السيطرة لتقديم نيران الإسناد وتحويل أو رفع النيران.</t>
  </si>
  <si>
    <t>و.   العمل عند التعرض لهجوم من قبل قوات العدو.</t>
  </si>
  <si>
    <t>إجراءات التنفيذ.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</si>
  <si>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 تستلم السرية أمر العمليات من المستوى الأعلى ويتم القيام بما يلي:</t>
    </r>
  </si>
  <si>
    <r>
      <t>أ‌.</t>
    </r>
    <r>
      <rPr>
        <sz val="7"/>
        <color rgb="FF000000"/>
        <rFont val="Arial"/>
        <family val="2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</si>
  <si>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r>
      <t>ب‌.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</si>
  <si>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مناطق التجمع للفصائل والوحدات المساندة للسرايا.</t>
    </r>
  </si>
  <si>
    <r>
      <t>(2)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</si>
  <si>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r>
      <t>2.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قائد السرية ومفهوم عملياته.</t>
    </r>
  </si>
  <si>
    <r>
      <t>1.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تنقيح الخطة بناءً على الاستخبارات المحدثة باستمرار. 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</si>
  <si>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تنفيذ تفتيشات وتفقدات ما قبل القتال.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</si>
  <si>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الإشراف على إجراءات المعركة للفصائل لضمان أن إجراءات التخطيط والتحضير تتم بطريقة صحيحة وتتفق مع قصد القائد.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</si>
  <si>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التجارب على تأسيس قاعدة الاسناد بالنيران مع التركيز على ما يلي:  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</si>
  <si>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إجراء التعديلات على الخطة بناءً على التجارب وحسب الحاجة.</t>
    </r>
  </si>
  <si>
    <r>
      <t>6.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>توضيع القوات للحركة.</t>
    </r>
  </si>
  <si>
    <r>
      <t>1.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 بالأمر أو حسب التوقيتات الموضوعة في أمر العمليات، تتحرك السرية من منطقة التجمع إلى منطقة التشكيل بأسلوب حركة وتشكيلة مناسبين.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</si>
  <si>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يسيطر قائد السرية على الحركة على طول الطريق ويعدل التشكيلة وأسلوب الحركة والسرعة والمسافة بين الوحدات حسب طبيعة الأرض والموقف.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</si>
  <si>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التماس إذا حصل أثناء الحركة.</t>
    </r>
  </si>
  <si>
    <r>
      <t>4.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على مسافة (6 – 8) كم من الحد الأمامي لمنطقة معركة العدو، تبدأ السرية بالتحول من تشكيل المسير إلى تشكيل ما قبل المعركة (خط الفتح التعبوي) (التحول من تشكيل ارتال كتائب الى ارتال سرايا).</t>
    </r>
  </si>
  <si>
    <r>
      <t>5.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قبل الوصول إلى منطقة التشكيل تنفصل السرية وتتحرك باتجاه موقع قاعدة الإسناد بالنيران، ويراعى الاستفادة من طبيعة الأرض واستخدام الدخان لحجب حركة السرية وحسب الضرورة.</t>
    </r>
  </si>
  <si>
    <r>
      <t>6.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تحتل الفصائل مواقعها حسب أوامر قائد السرية (يتم الدخول للموقع من الخلف ومراعاة عدم ظهور الآليات على الأفق). </t>
    </r>
  </si>
  <si>
    <r>
      <t>7.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التأكد من احتلال الفصائل لمواقعها بشكل صحيح وتخصيص أقواس المسؤولية وتأكيد إجراءات السيطرة على النيران.</t>
    </r>
  </si>
  <si>
    <r>
      <t>8.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الحصول على تقرير من قادة الفصائل باحتلال المواقع المخصصة لهم ضمن قاعدة الإسناد وجاهزيتهم لتقديم النيران بالأمر.</t>
    </r>
  </si>
  <si>
    <r>
      <t>9.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بالأمر، تبدأ السرية بتقديم نيران الإسناد المباشرة لباقي وحدات السرية وتعمل على إسكات قوات العدو.</t>
    </r>
  </si>
  <si>
    <r>
      <t>10.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مراقبة حركة القوات الصديقة من خط البدء وتحويل أو قطع النيران في الوقت المناسب لمنع الإصابة بالنيران الصديقة.</t>
    </r>
  </si>
  <si>
    <r>
      <t>11.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الاستمرار بتقديم الإسناد حتى تنهي القوات المقتحمة احتلال الأهداف. </t>
    </r>
  </si>
  <si>
    <r>
      <t>12.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الاستعداد للالتحاق بالكتيبة/ مجموعة القتال حسب الأوامر.</t>
    </r>
  </si>
  <si>
    <r>
      <t>13.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التثبت وإعادة التنظيم والاستعداد للعمليات المستقبلية.</t>
    </r>
  </si>
  <si>
    <r>
      <rPr>
        <b/>
        <sz val="14"/>
        <color rgb="FF000000"/>
        <rFont val="Arial"/>
        <family val="2"/>
      </rPr>
      <t>تقييم سرية فريق القتال المشاة الآلي/الدروع في تنفيذ الهجوم السريع (تأسيس قاعدة الاسناد)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</si>
</sst>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6" fillId="0" borderId="4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3" fillId="0" borderId="23" xfId="0" applyFont="1" applyBorder="1" applyAlignment="1">
      <alignment horizontal="right" vertical="center" wrapText="1" indent="4" readingOrder="2"/>
    </xf>
    <xf numFmtId="0" fontId="13" fillId="0" borderId="3" xfId="0" applyFont="1" applyBorder="1" applyAlignment="1">
      <alignment horizontal="right" vertical="center" wrapText="1" indent="4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201705</xdr:colOff>
      <xdr:row>52</xdr:row>
      <xdr:rowOff>194267</xdr:rowOff>
    </xdr:from>
    <xdr:to>
      <xdr:col>8</xdr:col>
      <xdr:colOff>355044</xdr:colOff>
      <xdr:row>52</xdr:row>
      <xdr:rowOff>630587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9E1A4B8-7856-5451-03A2-16D250FFCDD2}"/>
                </a:ext>
              </a:extLst>
            </xdr14:cNvPr>
            <xdr14:cNvContentPartPr/>
          </xdr14:nvContentPartPr>
          <xdr14:nvPr macro=""/>
          <xdr14:xfrm>
            <a:off x="10398889865" y="26870040"/>
            <a:ext cx="1469520" cy="4363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9E1A4B8-7856-5451-03A2-16D250FFCDD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881225" y="26861400"/>
              <a:ext cx="1487160" cy="453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08:34:20.5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3087 666,'0'0,"0"0,0 0,16 0,-13 0,10 0,3 0,-12 0,8-16,4 16,-12 0,8 0,4 0,-12 0,8-16,-28 16,13 0,-26-16,-51-32,64 39,-96-30,-49-25,132 52,-150-24,-62-45,196 66,-198-34,-62-15,255 54,-237-44,-17 22,251 26,-167-20,-4-6,185 26,-67-4,10 10,79 0,-30-16,15 8,144 16,48-8,-133 0,171 0,90 16,-244-14,217-4,76 18,-286-14,299 12,51 18,-345-28,273 24,23 4,-305-28,211 40,-17-12,-211-28,84 8,-18 4,-85-14,26 12,-53 2,14-13,-124-6,-83 19,182-13,-218-6,-92 3,292 0,-263 0,-109 0,355 0,-325 16,-62-16,383 0,-285 0,-17 0,311 0,-175 0,40-16,162 14,-69 4,51 14,41-13,78-6,58 3,-110 0,186 33,36-17,-204-14,214 44,6-14,-218-27,178 38,24 5,-204-41,70 34,6 23,-96-54,14 28,-64 59,29-84,-88 54,-52 29,123-82,-166 68,-38 30,192-95,66-34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3"/>
  <sheetViews>
    <sheetView rightToLeft="1" tabSelected="1" view="pageBreakPreview" topLeftCell="C45" zoomScale="130" zoomScaleNormal="100" zoomScaleSheetLayoutView="130" workbookViewId="0">
      <selection activeCell="G53" sqref="G53:J53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41" t="s">
        <v>217</v>
      </c>
      <c r="C1" s="41"/>
      <c r="D1" s="41"/>
      <c r="E1" s="41"/>
      <c r="F1" s="41"/>
      <c r="G1" s="41"/>
      <c r="H1" s="41"/>
      <c r="I1" s="41"/>
      <c r="J1" s="41"/>
    </row>
    <row r="2" spans="1:10" ht="30" customHeight="1" x14ac:dyDescent="0.2">
      <c r="B2" s="12" t="s">
        <v>8</v>
      </c>
      <c r="C2" s="47" t="s">
        <v>43</v>
      </c>
      <c r="D2" s="47"/>
      <c r="E2" s="12" t="s">
        <v>7</v>
      </c>
      <c r="F2" s="42">
        <v>45957</v>
      </c>
      <c r="G2" s="42"/>
      <c r="H2" s="42"/>
      <c r="I2" s="42"/>
      <c r="J2" s="42"/>
    </row>
    <row r="3" spans="1:10" ht="30" customHeight="1" x14ac:dyDescent="0.2">
      <c r="B3" s="12" t="s">
        <v>9</v>
      </c>
      <c r="C3" s="47" t="s">
        <v>87</v>
      </c>
      <c r="D3" s="47"/>
      <c r="E3" s="12" t="s">
        <v>6</v>
      </c>
      <c r="F3" s="47" t="s">
        <v>131</v>
      </c>
      <c r="G3" s="47"/>
      <c r="H3" s="47"/>
      <c r="I3" s="47"/>
      <c r="J3" s="47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43" t="s">
        <v>0</v>
      </c>
      <c r="C5" s="44"/>
      <c r="D5" s="44"/>
      <c r="E5" s="54" t="s">
        <v>1</v>
      </c>
      <c r="F5" s="54"/>
      <c r="G5" s="54"/>
      <c r="H5" s="54"/>
      <c r="I5" s="54" t="s">
        <v>2</v>
      </c>
      <c r="J5" s="55"/>
    </row>
    <row r="6" spans="1:10" ht="24.95" customHeight="1" thickBot="1" x14ac:dyDescent="0.25">
      <c r="A6" s="10"/>
      <c r="B6" s="45"/>
      <c r="C6" s="46"/>
      <c r="D6" s="46"/>
      <c r="E6" s="11" t="s">
        <v>3</v>
      </c>
      <c r="F6" s="11" t="s">
        <v>4</v>
      </c>
      <c r="G6" s="11" t="s">
        <v>23</v>
      </c>
      <c r="H6" s="11" t="s">
        <v>24</v>
      </c>
      <c r="I6" s="56"/>
      <c r="J6" s="57"/>
    </row>
    <row r="7" spans="1:10" ht="24.95" customHeight="1" thickBot="1" x14ac:dyDescent="0.25">
      <c r="A7" s="10"/>
      <c r="B7" s="50" t="s">
        <v>21</v>
      </c>
      <c r="C7" s="51"/>
      <c r="D7" s="51"/>
      <c r="E7" s="27" t="s">
        <v>18</v>
      </c>
      <c r="F7" s="27" t="s">
        <v>19</v>
      </c>
      <c r="G7" s="27" t="s">
        <v>22</v>
      </c>
      <c r="H7" s="27" t="s">
        <v>20</v>
      </c>
      <c r="I7" s="58" t="s">
        <v>25</v>
      </c>
      <c r="J7" s="59"/>
    </row>
    <row r="8" spans="1:10" ht="39.950000000000003" customHeight="1" x14ac:dyDescent="0.2">
      <c r="A8" s="10"/>
      <c r="B8" s="83" t="s">
        <v>176</v>
      </c>
      <c r="C8" s="84"/>
      <c r="D8" s="84"/>
      <c r="E8" s="37"/>
      <c r="F8" s="31"/>
      <c r="G8" s="32"/>
      <c r="H8" s="33"/>
      <c r="I8" s="62"/>
      <c r="J8" s="63"/>
    </row>
    <row r="9" spans="1:10" ht="39.950000000000003" customHeight="1" x14ac:dyDescent="0.2">
      <c r="A9" s="10"/>
      <c r="B9" s="75" t="s">
        <v>177</v>
      </c>
      <c r="C9" s="76"/>
      <c r="D9" s="76"/>
      <c r="E9" s="9"/>
      <c r="F9" s="26"/>
      <c r="G9" s="29"/>
      <c r="H9" s="30"/>
      <c r="I9" s="52"/>
      <c r="J9" s="53"/>
    </row>
    <row r="10" spans="1:10" ht="39.950000000000003" customHeight="1" x14ac:dyDescent="0.2">
      <c r="A10" s="10"/>
      <c r="B10" s="85" t="s">
        <v>192</v>
      </c>
      <c r="C10" s="86"/>
      <c r="D10" s="86"/>
      <c r="E10" s="38"/>
      <c r="F10" s="26"/>
      <c r="G10" s="29"/>
      <c r="H10" s="30"/>
      <c r="I10" s="52"/>
      <c r="J10" s="53"/>
    </row>
    <row r="11" spans="1:10" ht="58.5" customHeight="1" x14ac:dyDescent="0.2">
      <c r="A11" s="10"/>
      <c r="B11" s="87" t="s">
        <v>193</v>
      </c>
      <c r="C11" s="88"/>
      <c r="D11" s="88"/>
      <c r="E11" s="9">
        <v>5</v>
      </c>
      <c r="F11" s="26">
        <v>3.75</v>
      </c>
      <c r="G11" s="29">
        <f t="shared" ref="G11:G48" si="0">IFERROR(F11/E11,"")</f>
        <v>0.75</v>
      </c>
      <c r="H11" s="30" t="str">
        <f t="shared" ref="H11:H48" si="1">_xlfn.IFS(F11="أدخل العلامة","",F11="لا ينطبق","تم الإلغاء",G11&gt;=90%,"ممتاز",G11&gt;=80%,"جيد جداً",G11&gt;=70%,"جيد",G11&gt;=60%,"مقبول",G11&lt;60%,"راسب")</f>
        <v>جيد</v>
      </c>
      <c r="I11" s="52"/>
      <c r="J11" s="53"/>
    </row>
    <row r="12" spans="1:10" ht="39.950000000000003" customHeight="1" x14ac:dyDescent="0.2">
      <c r="A12" s="10"/>
      <c r="B12" s="87" t="s">
        <v>194</v>
      </c>
      <c r="C12" s="88"/>
      <c r="D12" s="88"/>
      <c r="E12" s="38"/>
      <c r="F12" s="26"/>
      <c r="G12" s="29"/>
      <c r="H12" s="30"/>
      <c r="I12" s="52"/>
      <c r="J12" s="53"/>
    </row>
    <row r="13" spans="1:10" ht="39.950000000000003" customHeight="1" x14ac:dyDescent="0.2">
      <c r="A13" s="10"/>
      <c r="B13" s="89" t="s">
        <v>195</v>
      </c>
      <c r="C13" s="90"/>
      <c r="D13" s="90"/>
      <c r="E13" s="9">
        <v>5</v>
      </c>
      <c r="F13" s="26">
        <v>3.75</v>
      </c>
      <c r="G13" s="29">
        <f t="shared" si="0"/>
        <v>0.75</v>
      </c>
      <c r="H13" s="30" t="str">
        <f t="shared" si="1"/>
        <v>جيد</v>
      </c>
      <c r="I13" s="52"/>
      <c r="J13" s="53"/>
    </row>
    <row r="14" spans="1:10" ht="39.950000000000003" customHeight="1" x14ac:dyDescent="0.2">
      <c r="A14" s="10"/>
      <c r="B14" s="89" t="s">
        <v>196</v>
      </c>
      <c r="C14" s="90"/>
      <c r="D14" s="90"/>
      <c r="E14" s="9">
        <v>5</v>
      </c>
      <c r="F14" s="40">
        <v>3.75</v>
      </c>
      <c r="G14" s="29">
        <f t="shared" si="0"/>
        <v>0.75</v>
      </c>
      <c r="H14" s="30" t="str">
        <f t="shared" si="1"/>
        <v>جيد</v>
      </c>
      <c r="I14" s="52"/>
      <c r="J14" s="53"/>
    </row>
    <row r="15" spans="1:10" ht="39.950000000000003" customHeight="1" x14ac:dyDescent="0.2">
      <c r="A15" s="10"/>
      <c r="B15" s="89" t="s">
        <v>178</v>
      </c>
      <c r="C15" s="90"/>
      <c r="D15" s="90"/>
      <c r="E15" s="9">
        <v>5</v>
      </c>
      <c r="F15" s="40">
        <v>3.75</v>
      </c>
      <c r="G15" s="29">
        <f t="shared" si="0"/>
        <v>0.75</v>
      </c>
      <c r="H15" s="30" t="str">
        <f t="shared" si="1"/>
        <v>جيد</v>
      </c>
      <c r="I15" s="52"/>
      <c r="J15" s="53"/>
    </row>
    <row r="16" spans="1:10" ht="39.950000000000003" customHeight="1" x14ac:dyDescent="0.2">
      <c r="A16" s="10"/>
      <c r="B16" s="89" t="s">
        <v>179</v>
      </c>
      <c r="C16" s="90"/>
      <c r="D16" s="90"/>
      <c r="E16" s="9">
        <v>5</v>
      </c>
      <c r="F16" s="40">
        <v>3.75</v>
      </c>
      <c r="G16" s="29">
        <f t="shared" si="0"/>
        <v>0.75</v>
      </c>
      <c r="H16" s="30" t="str">
        <f t="shared" si="1"/>
        <v>جيد</v>
      </c>
      <c r="I16" s="52"/>
      <c r="J16" s="53"/>
    </row>
    <row r="17" spans="1:10" ht="39.950000000000003" customHeight="1" x14ac:dyDescent="0.2">
      <c r="A17" s="10"/>
      <c r="B17" s="89" t="s">
        <v>180</v>
      </c>
      <c r="C17" s="90"/>
      <c r="D17" s="90"/>
      <c r="E17" s="9">
        <v>5</v>
      </c>
      <c r="F17" s="40">
        <v>3.75</v>
      </c>
      <c r="G17" s="29">
        <f t="shared" si="0"/>
        <v>0.75</v>
      </c>
      <c r="H17" s="30" t="str">
        <f t="shared" si="1"/>
        <v>جيد</v>
      </c>
      <c r="I17" s="52"/>
      <c r="J17" s="53"/>
    </row>
    <row r="18" spans="1:10" ht="39.950000000000003" customHeight="1" x14ac:dyDescent="0.2">
      <c r="A18" s="10"/>
      <c r="B18" s="89" t="s">
        <v>181</v>
      </c>
      <c r="C18" s="90"/>
      <c r="D18" s="90"/>
      <c r="E18" s="9"/>
      <c r="F18" s="26"/>
      <c r="G18" s="29"/>
      <c r="H18" s="30"/>
      <c r="I18" s="52"/>
      <c r="J18" s="53"/>
    </row>
    <row r="19" spans="1:10" ht="39.950000000000003" customHeight="1" x14ac:dyDescent="0.2">
      <c r="A19" s="10"/>
      <c r="B19" s="87" t="s">
        <v>182</v>
      </c>
      <c r="C19" s="88"/>
      <c r="D19" s="88"/>
      <c r="E19" s="9">
        <v>5</v>
      </c>
      <c r="F19" s="26">
        <v>3.5</v>
      </c>
      <c r="G19" s="29">
        <f t="shared" si="0"/>
        <v>0.7</v>
      </c>
      <c r="H19" s="30" t="str">
        <f t="shared" si="1"/>
        <v>جيد</v>
      </c>
      <c r="I19" s="52"/>
      <c r="J19" s="53"/>
    </row>
    <row r="20" spans="1:10" ht="60" customHeight="1" thickBot="1" x14ac:dyDescent="0.25">
      <c r="A20" s="10"/>
      <c r="B20" s="91" t="s">
        <v>197</v>
      </c>
      <c r="C20" s="92"/>
      <c r="D20" s="92"/>
      <c r="E20" s="39">
        <v>5</v>
      </c>
      <c r="F20" s="40">
        <v>3.5</v>
      </c>
      <c r="G20" s="35">
        <f t="shared" si="0"/>
        <v>0.7</v>
      </c>
      <c r="H20" s="36" t="str">
        <f t="shared" si="1"/>
        <v>جيد</v>
      </c>
      <c r="I20" s="60"/>
      <c r="J20" s="61"/>
    </row>
    <row r="21" spans="1:10" ht="39.950000000000003" customHeight="1" x14ac:dyDescent="0.2">
      <c r="A21" s="10"/>
      <c r="B21" s="83" t="s">
        <v>183</v>
      </c>
      <c r="C21" s="84"/>
      <c r="D21" s="84"/>
      <c r="E21" s="37"/>
      <c r="F21" s="31"/>
      <c r="G21" s="32"/>
      <c r="H21" s="33"/>
      <c r="I21" s="62"/>
      <c r="J21" s="63"/>
    </row>
    <row r="22" spans="1:10" ht="60" customHeight="1" x14ac:dyDescent="0.2">
      <c r="A22" s="10"/>
      <c r="B22" s="75" t="s">
        <v>184</v>
      </c>
      <c r="C22" s="76"/>
      <c r="D22" s="76"/>
      <c r="E22" s="9"/>
      <c r="F22" s="26"/>
      <c r="G22" s="29"/>
      <c r="H22" s="30"/>
      <c r="I22" s="52"/>
      <c r="J22" s="53"/>
    </row>
    <row r="23" spans="1:10" ht="39.950000000000003" customHeight="1" x14ac:dyDescent="0.2">
      <c r="A23" s="10"/>
      <c r="B23" s="75" t="s">
        <v>198</v>
      </c>
      <c r="C23" s="76"/>
      <c r="D23" s="76"/>
      <c r="E23" s="9">
        <v>5</v>
      </c>
      <c r="F23" s="26">
        <v>3.5</v>
      </c>
      <c r="G23" s="29">
        <f t="shared" si="0"/>
        <v>0.7</v>
      </c>
      <c r="H23" s="30" t="str">
        <f t="shared" si="1"/>
        <v>جيد</v>
      </c>
      <c r="I23" s="52"/>
      <c r="J23" s="53"/>
    </row>
    <row r="24" spans="1:10" ht="39.950000000000003" customHeight="1" x14ac:dyDescent="0.2">
      <c r="A24" s="10"/>
      <c r="B24" s="75" t="s">
        <v>199</v>
      </c>
      <c r="C24" s="76"/>
      <c r="D24" s="76"/>
      <c r="E24" s="9">
        <v>5</v>
      </c>
      <c r="F24" s="40">
        <v>3.5</v>
      </c>
      <c r="G24" s="29">
        <f t="shared" si="0"/>
        <v>0.7</v>
      </c>
      <c r="H24" s="30" t="str">
        <f t="shared" si="1"/>
        <v>جيد</v>
      </c>
      <c r="I24" s="52"/>
      <c r="J24" s="53"/>
    </row>
    <row r="25" spans="1:10" ht="39.950000000000003" customHeight="1" x14ac:dyDescent="0.2">
      <c r="A25" s="10"/>
      <c r="B25" s="75" t="s">
        <v>200</v>
      </c>
      <c r="C25" s="76"/>
      <c r="D25" s="76"/>
      <c r="E25" s="9">
        <v>5</v>
      </c>
      <c r="F25" s="40">
        <v>3.5</v>
      </c>
      <c r="G25" s="29">
        <f t="shared" si="0"/>
        <v>0.7</v>
      </c>
      <c r="H25" s="30" t="str">
        <f t="shared" si="1"/>
        <v>جيد</v>
      </c>
      <c r="I25" s="52"/>
      <c r="J25" s="53"/>
    </row>
    <row r="26" spans="1:10" ht="39.950000000000003" customHeight="1" x14ac:dyDescent="0.2">
      <c r="A26" s="10"/>
      <c r="B26" s="85" t="s">
        <v>201</v>
      </c>
      <c r="C26" s="86"/>
      <c r="D26" s="86"/>
      <c r="E26" s="38"/>
      <c r="F26" s="26"/>
      <c r="G26" s="29"/>
      <c r="H26" s="30"/>
      <c r="I26" s="52"/>
      <c r="J26" s="53"/>
    </row>
    <row r="27" spans="1:10" ht="39.950000000000003" customHeight="1" x14ac:dyDescent="0.2">
      <c r="A27" s="10"/>
      <c r="B27" s="87" t="s">
        <v>185</v>
      </c>
      <c r="C27" s="88"/>
      <c r="D27" s="88"/>
      <c r="E27" s="9">
        <v>5</v>
      </c>
      <c r="F27" s="26">
        <v>4</v>
      </c>
      <c r="G27" s="29">
        <f t="shared" si="0"/>
        <v>0.8</v>
      </c>
      <c r="H27" s="30" t="str">
        <f t="shared" si="1"/>
        <v>جيد جداً</v>
      </c>
      <c r="I27" s="52"/>
      <c r="J27" s="53"/>
    </row>
    <row r="28" spans="1:10" ht="39.950000000000003" customHeight="1" x14ac:dyDescent="0.2">
      <c r="A28" s="10"/>
      <c r="B28" s="87" t="s">
        <v>186</v>
      </c>
      <c r="C28" s="88"/>
      <c r="D28" s="88"/>
      <c r="E28" s="9">
        <v>5</v>
      </c>
      <c r="F28" s="40">
        <v>4</v>
      </c>
      <c r="G28" s="29">
        <f t="shared" si="0"/>
        <v>0.8</v>
      </c>
      <c r="H28" s="30" t="str">
        <f t="shared" si="1"/>
        <v>جيد جداً</v>
      </c>
      <c r="I28" s="52"/>
      <c r="J28" s="53"/>
    </row>
    <row r="29" spans="1:10" ht="39.950000000000003" customHeight="1" x14ac:dyDescent="0.2">
      <c r="A29" s="10"/>
      <c r="B29" s="87" t="s">
        <v>187</v>
      </c>
      <c r="C29" s="88"/>
      <c r="D29" s="88"/>
      <c r="E29" s="9">
        <v>5</v>
      </c>
      <c r="F29" s="40">
        <v>4</v>
      </c>
      <c r="G29" s="29">
        <f t="shared" si="0"/>
        <v>0.8</v>
      </c>
      <c r="H29" s="30" t="str">
        <f t="shared" si="1"/>
        <v>جيد جداً</v>
      </c>
      <c r="I29" s="52"/>
      <c r="J29" s="53"/>
    </row>
    <row r="30" spans="1:10" ht="39.950000000000003" customHeight="1" x14ac:dyDescent="0.2">
      <c r="A30" s="10"/>
      <c r="B30" s="87" t="s">
        <v>188</v>
      </c>
      <c r="C30" s="88"/>
      <c r="D30" s="88"/>
      <c r="E30" s="9">
        <v>5</v>
      </c>
      <c r="F30" s="40">
        <v>4</v>
      </c>
      <c r="G30" s="29">
        <f t="shared" si="0"/>
        <v>0.8</v>
      </c>
      <c r="H30" s="30" t="str">
        <f t="shared" si="1"/>
        <v>جيد جداً</v>
      </c>
      <c r="I30" s="52"/>
      <c r="J30" s="53"/>
    </row>
    <row r="31" spans="1:10" ht="39.950000000000003" customHeight="1" x14ac:dyDescent="0.2">
      <c r="A31" s="10"/>
      <c r="B31" s="87" t="s">
        <v>189</v>
      </c>
      <c r="C31" s="88"/>
      <c r="D31" s="88"/>
      <c r="E31" s="9"/>
      <c r="F31" s="26"/>
      <c r="G31" s="29"/>
      <c r="H31" s="30"/>
      <c r="I31" s="52"/>
      <c r="J31" s="53"/>
    </row>
    <row r="32" spans="1:10" ht="39.950000000000003" customHeight="1" x14ac:dyDescent="0.2">
      <c r="A32" s="10"/>
      <c r="B32" s="87" t="s">
        <v>190</v>
      </c>
      <c r="C32" s="88"/>
      <c r="D32" s="88"/>
      <c r="E32" s="9"/>
      <c r="F32" s="26"/>
      <c r="G32" s="29"/>
      <c r="H32" s="30"/>
      <c r="I32" s="52"/>
      <c r="J32" s="53"/>
    </row>
    <row r="33" spans="1:10" ht="39.950000000000003" customHeight="1" x14ac:dyDescent="0.2">
      <c r="A33" s="10"/>
      <c r="B33" s="85" t="s">
        <v>202</v>
      </c>
      <c r="C33" s="86"/>
      <c r="D33" s="86"/>
      <c r="E33" s="9">
        <v>5</v>
      </c>
      <c r="F33" s="26">
        <v>3.5</v>
      </c>
      <c r="G33" s="29">
        <f t="shared" si="0"/>
        <v>0.7</v>
      </c>
      <c r="H33" s="30" t="str">
        <f t="shared" si="1"/>
        <v>جيد</v>
      </c>
      <c r="I33" s="52"/>
      <c r="J33" s="53"/>
    </row>
    <row r="34" spans="1:10" ht="39.950000000000003" customHeight="1" thickBot="1" x14ac:dyDescent="0.25">
      <c r="A34" s="10"/>
      <c r="B34" s="91" t="s">
        <v>203</v>
      </c>
      <c r="C34" s="92"/>
      <c r="D34" s="92"/>
      <c r="E34" s="34">
        <v>5</v>
      </c>
      <c r="F34" s="40">
        <v>3.5</v>
      </c>
      <c r="G34" s="35">
        <f t="shared" si="0"/>
        <v>0.7</v>
      </c>
      <c r="H34" s="36" t="str">
        <f t="shared" si="1"/>
        <v>جيد</v>
      </c>
      <c r="I34" s="60"/>
      <c r="J34" s="61"/>
    </row>
    <row r="35" spans="1:10" ht="39.950000000000003" customHeight="1" x14ac:dyDescent="0.2">
      <c r="A35" s="10"/>
      <c r="B35" s="83" t="s">
        <v>191</v>
      </c>
      <c r="C35" s="84"/>
      <c r="D35" s="84"/>
      <c r="E35" s="37"/>
      <c r="F35" s="31"/>
      <c r="G35" s="32"/>
      <c r="H35" s="33"/>
      <c r="I35" s="62"/>
      <c r="J35" s="63"/>
    </row>
    <row r="36" spans="1:10" ht="39.950000000000003" customHeight="1" x14ac:dyDescent="0.2">
      <c r="A36" s="10"/>
      <c r="B36" s="75" t="s">
        <v>204</v>
      </c>
      <c r="C36" s="76"/>
      <c r="D36" s="76"/>
      <c r="E36" s="9">
        <v>5</v>
      </c>
      <c r="F36" s="26">
        <v>3.5</v>
      </c>
      <c r="G36" s="29">
        <f t="shared" si="0"/>
        <v>0.7</v>
      </c>
      <c r="H36" s="30" t="str">
        <f t="shared" si="1"/>
        <v>جيد</v>
      </c>
      <c r="I36" s="52"/>
      <c r="J36" s="53"/>
    </row>
    <row r="37" spans="1:10" ht="60" customHeight="1" x14ac:dyDescent="0.2">
      <c r="A37" s="10"/>
      <c r="B37" s="75" t="s">
        <v>205</v>
      </c>
      <c r="C37" s="76"/>
      <c r="D37" s="76"/>
      <c r="E37" s="9">
        <v>5</v>
      </c>
      <c r="F37" s="40">
        <v>3.5</v>
      </c>
      <c r="G37" s="29">
        <f t="shared" si="0"/>
        <v>0.7</v>
      </c>
      <c r="H37" s="30" t="str">
        <f t="shared" si="1"/>
        <v>جيد</v>
      </c>
      <c r="I37" s="52"/>
      <c r="J37" s="53"/>
    </row>
    <row r="38" spans="1:10" ht="39.950000000000003" customHeight="1" x14ac:dyDescent="0.2">
      <c r="A38" s="10"/>
      <c r="B38" s="75" t="s">
        <v>206</v>
      </c>
      <c r="C38" s="76"/>
      <c r="D38" s="76"/>
      <c r="E38" s="9">
        <v>5</v>
      </c>
      <c r="F38" s="40">
        <v>3.5</v>
      </c>
      <c r="G38" s="29">
        <f t="shared" si="0"/>
        <v>0.7</v>
      </c>
      <c r="H38" s="30" t="str">
        <f t="shared" si="1"/>
        <v>جيد</v>
      </c>
      <c r="I38" s="52"/>
      <c r="J38" s="53"/>
    </row>
    <row r="39" spans="1:10" ht="60" customHeight="1" x14ac:dyDescent="0.2">
      <c r="A39" s="10"/>
      <c r="B39" s="75" t="s">
        <v>207</v>
      </c>
      <c r="C39" s="76"/>
      <c r="D39" s="76"/>
      <c r="E39" s="9">
        <v>5</v>
      </c>
      <c r="F39" s="40">
        <v>3.75</v>
      </c>
      <c r="G39" s="29">
        <f t="shared" si="0"/>
        <v>0.75</v>
      </c>
      <c r="H39" s="30" t="str">
        <f t="shared" si="1"/>
        <v>جيد</v>
      </c>
      <c r="I39" s="52"/>
      <c r="J39" s="53"/>
    </row>
    <row r="40" spans="1:10" ht="60" customHeight="1" x14ac:dyDescent="0.2">
      <c r="A40" s="10"/>
      <c r="B40" s="75" t="s">
        <v>208</v>
      </c>
      <c r="C40" s="76"/>
      <c r="D40" s="76"/>
      <c r="E40" s="9">
        <v>5</v>
      </c>
      <c r="F40" s="40">
        <v>3.75</v>
      </c>
      <c r="G40" s="29">
        <f t="shared" si="0"/>
        <v>0.75</v>
      </c>
      <c r="H40" s="30" t="str">
        <f t="shared" si="1"/>
        <v>جيد</v>
      </c>
      <c r="I40" s="52"/>
      <c r="J40" s="53"/>
    </row>
    <row r="41" spans="1:10" ht="39.950000000000003" customHeight="1" x14ac:dyDescent="0.2">
      <c r="A41" s="10"/>
      <c r="B41" s="75" t="s">
        <v>209</v>
      </c>
      <c r="C41" s="76"/>
      <c r="D41" s="76"/>
      <c r="E41" s="9">
        <v>5</v>
      </c>
      <c r="F41" s="40">
        <v>3.75</v>
      </c>
      <c r="G41" s="29">
        <f t="shared" si="0"/>
        <v>0.75</v>
      </c>
      <c r="H41" s="30" t="str">
        <f t="shared" si="1"/>
        <v>جيد</v>
      </c>
      <c r="I41" s="52"/>
      <c r="J41" s="53"/>
    </row>
    <row r="42" spans="1:10" ht="39.950000000000003" customHeight="1" x14ac:dyDescent="0.2">
      <c r="A42" s="10"/>
      <c r="B42" s="75" t="s">
        <v>210</v>
      </c>
      <c r="C42" s="76"/>
      <c r="D42" s="76"/>
      <c r="E42" s="9">
        <v>5</v>
      </c>
      <c r="F42" s="40">
        <v>3.75</v>
      </c>
      <c r="G42" s="29">
        <f t="shared" si="0"/>
        <v>0.75</v>
      </c>
      <c r="H42" s="30" t="str">
        <f t="shared" si="1"/>
        <v>جيد</v>
      </c>
      <c r="I42" s="52"/>
      <c r="J42" s="53"/>
    </row>
    <row r="43" spans="1:10" ht="39.950000000000003" customHeight="1" x14ac:dyDescent="0.2">
      <c r="A43" s="10"/>
      <c r="B43" s="75" t="s">
        <v>211</v>
      </c>
      <c r="C43" s="76"/>
      <c r="D43" s="76"/>
      <c r="E43" s="9">
        <v>5</v>
      </c>
      <c r="F43" s="40">
        <v>3.75</v>
      </c>
      <c r="G43" s="29">
        <f t="shared" si="0"/>
        <v>0.75</v>
      </c>
      <c r="H43" s="30" t="str">
        <f t="shared" si="1"/>
        <v>جيد</v>
      </c>
      <c r="I43" s="52"/>
      <c r="J43" s="53"/>
    </row>
    <row r="44" spans="1:10" ht="39.950000000000003" customHeight="1" x14ac:dyDescent="0.2">
      <c r="A44" s="10"/>
      <c r="B44" s="75" t="s">
        <v>212</v>
      </c>
      <c r="C44" s="76"/>
      <c r="D44" s="76"/>
      <c r="E44" s="9">
        <v>5</v>
      </c>
      <c r="F44" s="40">
        <v>3.75</v>
      </c>
      <c r="G44" s="29">
        <f t="shared" si="0"/>
        <v>0.75</v>
      </c>
      <c r="H44" s="30" t="str">
        <f t="shared" si="1"/>
        <v>جيد</v>
      </c>
      <c r="I44" s="52"/>
      <c r="J44" s="53"/>
    </row>
    <row r="45" spans="1:10" ht="39.950000000000003" customHeight="1" x14ac:dyDescent="0.2">
      <c r="A45" s="10"/>
      <c r="B45" s="75" t="s">
        <v>213</v>
      </c>
      <c r="C45" s="76"/>
      <c r="D45" s="76"/>
      <c r="E45" s="9">
        <v>5</v>
      </c>
      <c r="F45" s="40">
        <v>3.75</v>
      </c>
      <c r="G45" s="29">
        <f t="shared" si="0"/>
        <v>0.75</v>
      </c>
      <c r="H45" s="30" t="str">
        <f t="shared" si="1"/>
        <v>جيد</v>
      </c>
      <c r="I45" s="52"/>
      <c r="J45" s="53"/>
    </row>
    <row r="46" spans="1:10" ht="39.950000000000003" customHeight="1" x14ac:dyDescent="0.2">
      <c r="A46" s="10"/>
      <c r="B46" s="75" t="s">
        <v>214</v>
      </c>
      <c r="C46" s="76"/>
      <c r="D46" s="76"/>
      <c r="E46" s="9">
        <v>5</v>
      </c>
      <c r="F46" s="40">
        <v>3.75</v>
      </c>
      <c r="G46" s="29">
        <f t="shared" si="0"/>
        <v>0.75</v>
      </c>
      <c r="H46" s="30" t="str">
        <f t="shared" si="1"/>
        <v>جيد</v>
      </c>
      <c r="I46" s="52"/>
      <c r="J46" s="53"/>
    </row>
    <row r="47" spans="1:10" ht="39.950000000000003" customHeight="1" x14ac:dyDescent="0.2">
      <c r="A47" s="10"/>
      <c r="B47" s="75" t="s">
        <v>215</v>
      </c>
      <c r="C47" s="76"/>
      <c r="D47" s="76"/>
      <c r="E47" s="9">
        <v>5</v>
      </c>
      <c r="F47" s="40">
        <v>3.75</v>
      </c>
      <c r="G47" s="29">
        <f t="shared" si="0"/>
        <v>0.75</v>
      </c>
      <c r="H47" s="30" t="str">
        <f t="shared" si="1"/>
        <v>جيد</v>
      </c>
      <c r="I47" s="52"/>
      <c r="J47" s="53"/>
    </row>
    <row r="48" spans="1:10" ht="39.950000000000003" customHeight="1" thickBot="1" x14ac:dyDescent="0.25">
      <c r="A48" s="10"/>
      <c r="B48" s="77" t="s">
        <v>216</v>
      </c>
      <c r="C48" s="78"/>
      <c r="D48" s="78"/>
      <c r="E48" s="34">
        <v>5</v>
      </c>
      <c r="F48" s="40">
        <v>3.75</v>
      </c>
      <c r="G48" s="35">
        <f t="shared" si="0"/>
        <v>0.75</v>
      </c>
      <c r="H48" s="36" t="str">
        <f t="shared" si="1"/>
        <v>جيد</v>
      </c>
      <c r="I48" s="60"/>
      <c r="J48" s="61"/>
    </row>
    <row r="49" spans="1:10" ht="30" customHeight="1" thickBot="1" x14ac:dyDescent="0.25">
      <c r="A49" s="4"/>
      <c r="B49" s="79" t="s">
        <v>5</v>
      </c>
      <c r="C49" s="80"/>
      <c r="D49" s="80"/>
      <c r="E49" s="28">
        <f>SUM(E8:E48)</f>
        <v>150</v>
      </c>
      <c r="F49" s="28">
        <f>SUM(F8:F48)</f>
        <v>111</v>
      </c>
      <c r="G49" s="72"/>
      <c r="H49" s="73"/>
      <c r="I49" s="73"/>
      <c r="J49" s="74"/>
    </row>
    <row r="50" spans="1:10" ht="30" customHeight="1" thickBot="1" x14ac:dyDescent="0.25">
      <c r="A50" s="4"/>
      <c r="B50" s="81" t="s">
        <v>54</v>
      </c>
      <c r="C50" s="82"/>
      <c r="D50" s="82"/>
      <c r="E50" s="48">
        <f>F49/E49/100*100</f>
        <v>0.74</v>
      </c>
      <c r="F50" s="48"/>
      <c r="G50" s="48"/>
      <c r="H50" s="48"/>
      <c r="I50" s="48"/>
      <c r="J50" s="49"/>
    </row>
    <row r="51" spans="1:10" ht="30" customHeight="1" thickBot="1" x14ac:dyDescent="0.25">
      <c r="A51" s="4"/>
      <c r="B51" s="81" t="s">
        <v>55</v>
      </c>
      <c r="C51" s="82"/>
      <c r="D51" s="82"/>
      <c r="E51" s="68" t="str">
        <f>_xlfn.IFS(E50&gt;=90%,"ممتاز",E50&gt;=80%,"جيد جداً",E50&gt;=70%,"جيد",E50&gt;=60%,"مقبول",E50&lt;60%,"راسب")</f>
        <v>جيد</v>
      </c>
      <c r="F51" s="68"/>
      <c r="G51" s="68"/>
      <c r="H51" s="68"/>
      <c r="I51" s="68"/>
      <c r="J51" s="69"/>
    </row>
    <row r="52" spans="1:10" ht="42" customHeight="1" x14ac:dyDescent="0.2">
      <c r="B52" s="64" t="s">
        <v>175</v>
      </c>
      <c r="C52" s="64"/>
      <c r="D52" s="64"/>
      <c r="E52" s="70" t="s">
        <v>52</v>
      </c>
      <c r="F52" s="70"/>
      <c r="G52" s="66" t="s">
        <v>131</v>
      </c>
      <c r="H52" s="66"/>
      <c r="I52" s="66"/>
      <c r="J52" s="66"/>
    </row>
    <row r="53" spans="1:10" ht="51" customHeight="1" x14ac:dyDescent="0.2">
      <c r="A53" s="5"/>
      <c r="B53" s="65"/>
      <c r="C53" s="65"/>
      <c r="D53" s="65"/>
      <c r="E53" s="71" t="s">
        <v>53</v>
      </c>
      <c r="F53" s="71"/>
      <c r="G53" s="67"/>
      <c r="H53" s="67"/>
      <c r="I53" s="67"/>
      <c r="J53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3"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I32:J32"/>
    <mergeCell ref="I33:J33"/>
    <mergeCell ref="I34:J34"/>
    <mergeCell ref="I35:J35"/>
    <mergeCell ref="I36:J36"/>
    <mergeCell ref="I8:J8"/>
    <mergeCell ref="B49:D49"/>
    <mergeCell ref="B50:D50"/>
    <mergeCell ref="B51:D5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52:D53"/>
    <mergeCell ref="G52:J52"/>
    <mergeCell ref="G53:J53"/>
    <mergeCell ref="E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E52:F52"/>
    <mergeCell ref="E53:F53"/>
    <mergeCell ref="G49:J49"/>
    <mergeCell ref="B46:D46"/>
    <mergeCell ref="B47:D47"/>
    <mergeCell ref="B48:D48"/>
    <mergeCell ref="B1:J1"/>
    <mergeCell ref="F2:J2"/>
    <mergeCell ref="B5:D6"/>
    <mergeCell ref="C2:D2"/>
    <mergeCell ref="C3:D3"/>
    <mergeCell ref="F3:J3"/>
    <mergeCell ref="E50:J50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1">
    <cfRule type="expression" dxfId="14" priority="57">
      <formula>$E51="راسب"</formula>
    </cfRule>
  </conditionalFormatting>
  <conditionalFormatting sqref="E51:J51">
    <cfRule type="expression" dxfId="13" priority="60">
      <formula>$E51="جيد جداً"</formula>
    </cfRule>
    <cfRule type="expression" dxfId="12" priority="59">
      <formula>$E51="جيد"</formula>
    </cfRule>
    <cfRule type="expression" dxfId="11" priority="58">
      <formula>$E51="مقبول"</formula>
    </cfRule>
    <cfRule type="expression" dxfId="10" priority="61">
      <formula>$E51="ممتاز"</formula>
    </cfRule>
  </conditionalFormatting>
  <conditionalFormatting sqref="F8:F48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2:J52">
    <cfRule type="containsText" dxfId="6" priority="15" operator="containsText" text="أدخل اسم المحكم">
      <formula>NOT(ISERROR(SEARCH("أدخل اسم المحكم",G52)))</formula>
    </cfRule>
  </conditionalFormatting>
  <conditionalFormatting sqref="H8:H48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F36:F48 F33:F34 F27:F30 F23:F25 F19:F20 F13:F17 F11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G52:J52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102</v>
      </c>
    </row>
    <row r="213" spans="1:1" ht="20.100000000000001" customHeight="1" x14ac:dyDescent="0.2">
      <c r="A213" s="20" t="s">
        <v>103</v>
      </c>
    </row>
    <row r="214" spans="1:1" ht="20.100000000000001" customHeight="1" x14ac:dyDescent="0.2">
      <c r="A214" s="20" t="s">
        <v>104</v>
      </c>
    </row>
    <row r="215" spans="1:1" ht="20.100000000000001" customHeight="1" x14ac:dyDescent="0.2">
      <c r="A215" s="20" t="s">
        <v>105</v>
      </c>
    </row>
    <row r="216" spans="1:1" ht="20.100000000000001" customHeight="1" x14ac:dyDescent="0.2">
      <c r="A216" s="20" t="s">
        <v>106</v>
      </c>
    </row>
    <row r="217" spans="1:1" ht="20.100000000000001" customHeight="1" x14ac:dyDescent="0.2">
      <c r="A217" s="20" t="s">
        <v>107</v>
      </c>
    </row>
    <row r="218" spans="1:1" ht="20.100000000000001" customHeight="1" x14ac:dyDescent="0.2">
      <c r="A218" s="20" t="s">
        <v>108</v>
      </c>
    </row>
    <row r="219" spans="1:1" ht="20.100000000000001" customHeight="1" x14ac:dyDescent="0.2">
      <c r="A219" s="20" t="s">
        <v>109</v>
      </c>
    </row>
    <row r="220" spans="1:1" ht="20.100000000000001" customHeight="1" x14ac:dyDescent="0.2">
      <c r="A220" s="20" t="s">
        <v>110</v>
      </c>
    </row>
    <row r="221" spans="1:1" ht="20.100000000000001" customHeight="1" x14ac:dyDescent="0.2">
      <c r="A221" s="20" t="s">
        <v>111</v>
      </c>
    </row>
    <row r="222" spans="1:1" ht="20.100000000000001" customHeight="1" x14ac:dyDescent="0.2">
      <c r="A222" s="20" t="s">
        <v>112</v>
      </c>
    </row>
    <row r="223" spans="1:1" ht="20.100000000000001" customHeight="1" x14ac:dyDescent="0.2">
      <c r="A223" s="20" t="s">
        <v>113</v>
      </c>
    </row>
    <row r="224" spans="1:1" ht="20.100000000000001" customHeight="1" x14ac:dyDescent="0.2">
      <c r="A224" s="20" t="s">
        <v>114</v>
      </c>
    </row>
    <row r="225" spans="1:1" ht="20.100000000000001" customHeight="1" x14ac:dyDescent="0.2">
      <c r="A225" s="20" t="s">
        <v>115</v>
      </c>
    </row>
    <row r="226" spans="1:1" ht="20.100000000000001" customHeight="1" x14ac:dyDescent="0.2">
      <c r="A226" s="20" t="s">
        <v>116</v>
      </c>
    </row>
    <row r="227" spans="1:1" ht="20.100000000000001" customHeight="1" x14ac:dyDescent="0.2">
      <c r="A227" s="20" t="s">
        <v>117</v>
      </c>
    </row>
    <row r="228" spans="1:1" ht="20.100000000000001" customHeight="1" x14ac:dyDescent="0.2">
      <c r="A228" s="20" t="s">
        <v>118</v>
      </c>
    </row>
    <row r="229" spans="1:1" ht="20.100000000000001" customHeight="1" x14ac:dyDescent="0.2">
      <c r="A229" s="20" t="s">
        <v>119</v>
      </c>
    </row>
    <row r="230" spans="1:1" ht="20.100000000000001" customHeight="1" x14ac:dyDescent="0.2">
      <c r="A230" s="20" t="s">
        <v>120</v>
      </c>
    </row>
    <row r="231" spans="1:1" ht="20.100000000000001" customHeight="1" x14ac:dyDescent="0.2">
      <c r="A231" s="20" t="s">
        <v>121</v>
      </c>
    </row>
    <row r="232" spans="1:1" ht="20.100000000000001" customHeight="1" x14ac:dyDescent="0.2">
      <c r="A232" s="20" t="s">
        <v>122</v>
      </c>
    </row>
    <row r="233" spans="1:1" ht="20.100000000000001" customHeight="1" x14ac:dyDescent="0.2">
      <c r="A233" s="20" t="s">
        <v>123</v>
      </c>
    </row>
    <row r="234" spans="1:1" ht="20.100000000000001" customHeight="1" x14ac:dyDescent="0.2">
      <c r="A234" s="20" t="s">
        <v>124</v>
      </c>
    </row>
    <row r="235" spans="1:1" ht="20.100000000000001" customHeight="1" x14ac:dyDescent="0.2">
      <c r="A235" s="22" t="s">
        <v>125</v>
      </c>
    </row>
    <row r="236" spans="1:1" ht="20.100000000000001" customHeight="1" x14ac:dyDescent="0.2">
      <c r="A236" s="20" t="s">
        <v>126</v>
      </c>
    </row>
    <row r="237" spans="1:1" ht="20.100000000000001" customHeight="1" x14ac:dyDescent="0.2">
      <c r="A237" s="20" t="s">
        <v>127</v>
      </c>
    </row>
    <row r="238" spans="1:1" ht="20.100000000000001" customHeight="1" x14ac:dyDescent="0.2">
      <c r="A238" s="20" t="s">
        <v>128</v>
      </c>
    </row>
    <row r="239" spans="1:1" ht="20.100000000000001" customHeight="1" x14ac:dyDescent="0.2">
      <c r="A239" s="20" t="s">
        <v>129</v>
      </c>
    </row>
    <row r="240" spans="1:1" ht="20.100000000000001" customHeight="1" x14ac:dyDescent="0.2">
      <c r="A240" s="20" t="s">
        <v>130</v>
      </c>
    </row>
    <row r="241" spans="1:1" ht="20.100000000000001" customHeight="1" x14ac:dyDescent="0.2">
      <c r="A241" s="20" t="s">
        <v>131</v>
      </c>
    </row>
    <row r="242" spans="1:1" ht="20.100000000000001" customHeight="1" x14ac:dyDescent="0.2">
      <c r="A242" s="20" t="s">
        <v>132</v>
      </c>
    </row>
    <row r="243" spans="1:1" ht="20.100000000000001" customHeight="1" x14ac:dyDescent="0.2">
      <c r="A243" s="20" t="s">
        <v>133</v>
      </c>
    </row>
    <row r="244" spans="1:1" ht="20.100000000000001" customHeight="1" x14ac:dyDescent="0.2">
      <c r="A244" s="20" t="s">
        <v>134</v>
      </c>
    </row>
    <row r="245" spans="1:1" ht="20.100000000000001" customHeight="1" x14ac:dyDescent="0.2">
      <c r="A245" s="20" t="s">
        <v>135</v>
      </c>
    </row>
    <row r="246" spans="1:1" ht="20.100000000000001" customHeight="1" x14ac:dyDescent="0.2">
      <c r="A246" s="20" t="s">
        <v>136</v>
      </c>
    </row>
    <row r="247" spans="1:1" ht="20.100000000000001" customHeight="1" x14ac:dyDescent="0.2">
      <c r="A247" s="20" t="s">
        <v>127</v>
      </c>
    </row>
    <row r="248" spans="1:1" ht="20.100000000000001" customHeight="1" x14ac:dyDescent="0.2">
      <c r="A248" s="20" t="s">
        <v>137</v>
      </c>
    </row>
    <row r="249" spans="1:1" ht="20.100000000000001" customHeight="1" x14ac:dyDescent="0.2">
      <c r="A249" s="20" t="s">
        <v>138</v>
      </c>
    </row>
    <row r="250" spans="1:1" ht="20.100000000000001" customHeight="1" x14ac:dyDescent="0.2">
      <c r="A250" s="22" t="s">
        <v>139</v>
      </c>
    </row>
    <row r="251" spans="1:1" ht="20.100000000000001" customHeight="1" x14ac:dyDescent="0.2">
      <c r="A251" s="23" t="s">
        <v>140</v>
      </c>
    </row>
    <row r="252" spans="1:1" ht="20.100000000000001" customHeight="1" x14ac:dyDescent="0.2">
      <c r="A252" s="20" t="s">
        <v>141</v>
      </c>
    </row>
    <row r="253" spans="1:1" ht="20.100000000000001" customHeight="1" x14ac:dyDescent="0.2">
      <c r="A253" s="20" t="s">
        <v>142</v>
      </c>
    </row>
    <row r="254" spans="1:1" ht="20.100000000000001" customHeight="1" x14ac:dyDescent="0.2">
      <c r="A254" s="24" t="s">
        <v>143</v>
      </c>
    </row>
    <row r="255" spans="1:1" ht="20.100000000000001" customHeight="1" x14ac:dyDescent="0.2">
      <c r="A255" s="24" t="s">
        <v>144</v>
      </c>
    </row>
    <row r="256" spans="1:1" ht="20.100000000000001" customHeight="1" x14ac:dyDescent="0.2">
      <c r="A256" s="25" t="s">
        <v>145</v>
      </c>
    </row>
    <row r="257" spans="1:1" ht="20.100000000000001" customHeight="1" x14ac:dyDescent="0.2">
      <c r="A257" s="20" t="s">
        <v>146</v>
      </c>
    </row>
    <row r="258" spans="1:1" ht="20.100000000000001" customHeight="1" x14ac:dyDescent="0.2">
      <c r="A258" s="25" t="s">
        <v>147</v>
      </c>
    </row>
    <row r="259" spans="1:1" ht="20.100000000000001" customHeight="1" x14ac:dyDescent="0.2">
      <c r="A259" s="20" t="s">
        <v>148</v>
      </c>
    </row>
    <row r="260" spans="1:1" ht="20.100000000000001" customHeight="1" x14ac:dyDescent="0.2">
      <c r="A260" s="25" t="s">
        <v>149</v>
      </c>
    </row>
    <row r="261" spans="1:1" ht="20.100000000000001" customHeight="1" x14ac:dyDescent="0.2">
      <c r="A261" s="20" t="s">
        <v>150</v>
      </c>
    </row>
    <row r="262" spans="1:1" ht="20.100000000000001" customHeight="1" x14ac:dyDescent="0.2">
      <c r="A262" s="20" t="s">
        <v>151</v>
      </c>
    </row>
    <row r="263" spans="1:1" ht="20.100000000000001" customHeight="1" x14ac:dyDescent="0.2">
      <c r="A263" s="25" t="s">
        <v>152</v>
      </c>
    </row>
    <row r="264" spans="1:1" ht="20.100000000000001" customHeight="1" x14ac:dyDescent="0.2">
      <c r="A264" s="25" t="s">
        <v>153</v>
      </c>
    </row>
    <row r="265" spans="1:1" ht="20.100000000000001" customHeight="1" x14ac:dyDescent="0.2">
      <c r="A265" s="25" t="s">
        <v>154</v>
      </c>
    </row>
    <row r="266" spans="1:1" ht="20.100000000000001" customHeight="1" x14ac:dyDescent="0.2">
      <c r="A266" s="20" t="s">
        <v>155</v>
      </c>
    </row>
    <row r="267" spans="1:1" ht="20.100000000000001" customHeight="1" x14ac:dyDescent="0.2">
      <c r="A267" s="20" t="s">
        <v>156</v>
      </c>
    </row>
    <row r="268" spans="1:1" ht="20.100000000000001" customHeight="1" x14ac:dyDescent="0.2">
      <c r="A268" s="20" t="s">
        <v>157</v>
      </c>
    </row>
    <row r="269" spans="1:1" ht="20.100000000000001" customHeight="1" x14ac:dyDescent="0.2">
      <c r="A269" s="20" t="s">
        <v>158</v>
      </c>
    </row>
    <row r="270" spans="1:1" ht="20.100000000000001" customHeight="1" x14ac:dyDescent="0.2">
      <c r="A270" s="25" t="s">
        <v>159</v>
      </c>
    </row>
    <row r="271" spans="1:1" ht="20.100000000000001" customHeight="1" x14ac:dyDescent="0.2">
      <c r="A271" s="25" t="s">
        <v>160</v>
      </c>
    </row>
    <row r="272" spans="1:1" ht="20.100000000000001" customHeight="1" x14ac:dyDescent="0.2">
      <c r="A272" s="20" t="s">
        <v>161</v>
      </c>
    </row>
    <row r="273" spans="1:1" ht="20.100000000000001" customHeight="1" x14ac:dyDescent="0.2">
      <c r="A273" s="25" t="s">
        <v>162</v>
      </c>
    </row>
    <row r="274" spans="1:1" ht="20.100000000000001" customHeight="1" x14ac:dyDescent="0.2">
      <c r="A274" s="25" t="s">
        <v>163</v>
      </c>
    </row>
    <row r="275" spans="1:1" ht="20.100000000000001" customHeight="1" x14ac:dyDescent="0.2">
      <c r="A275" s="20" t="s">
        <v>164</v>
      </c>
    </row>
    <row r="276" spans="1:1" ht="20.100000000000001" customHeight="1" x14ac:dyDescent="0.2">
      <c r="A276" s="20" t="s">
        <v>165</v>
      </c>
    </row>
    <row r="277" spans="1:1" ht="20.100000000000001" customHeight="1" x14ac:dyDescent="0.2">
      <c r="A277" s="25" t="s">
        <v>166</v>
      </c>
    </row>
    <row r="278" spans="1:1" ht="20.100000000000001" customHeight="1" x14ac:dyDescent="0.2">
      <c r="A278" s="20" t="s">
        <v>167</v>
      </c>
    </row>
    <row r="279" spans="1:1" ht="20.100000000000001" customHeight="1" x14ac:dyDescent="0.2">
      <c r="A279" s="20" t="s">
        <v>168</v>
      </c>
    </row>
    <row r="280" spans="1:1" ht="20.100000000000001" customHeight="1" x14ac:dyDescent="0.2">
      <c r="A280" s="20" t="s">
        <v>169</v>
      </c>
    </row>
    <row r="281" spans="1:1" ht="20.100000000000001" customHeight="1" x14ac:dyDescent="0.2">
      <c r="A281" s="20" t="s">
        <v>170</v>
      </c>
    </row>
    <row r="282" spans="1:1" ht="20.100000000000001" customHeight="1" x14ac:dyDescent="0.2">
      <c r="A282" s="25" t="s">
        <v>171</v>
      </c>
    </row>
    <row r="283" spans="1:1" ht="20.100000000000001" customHeight="1" x14ac:dyDescent="0.2">
      <c r="A283" s="25" t="s">
        <v>172</v>
      </c>
    </row>
    <row r="284" spans="1:1" ht="20.100000000000001" customHeight="1" x14ac:dyDescent="0.2">
      <c r="A284" s="25" t="s">
        <v>173</v>
      </c>
    </row>
    <row r="285" spans="1:1" ht="20.100000000000001" customHeight="1" thickBot="1" x14ac:dyDescent="0.25">
      <c r="A285" s="20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2025-10-22T03:41:18Z</dcterms:modified>
</cp:coreProperties>
</file>