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53A0F73-1A38-FF49-A87F-CA0FF918C5D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<sst xmlns="http://schemas.openxmlformats.org/spreadsheetml/2006/main" count="282" uniqueCount="226">
  <si>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</si>
  <si>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</si>
  <si>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</si>
  <si>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</si>
  <si>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</si>
  <si>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</si>
  <si>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</si>
  <si>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</si>
  <si>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</si>
  <si>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</si>
  <si>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</si>
  <si>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</si>
  <si>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</si>
  <si>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</si>
  <si>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</si>
  <si>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</si>
  <si>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</si>
  <si>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</si>
  <si>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</si>
  <si>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</si>
  <si>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</si>
  <si>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</si>
  <si>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</si>
  <si>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</si>
  <si>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</si>
  <si>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</si>
  <si>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</si>
  <si>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</si>
  <si>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</si>
  <si>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</si>
  <si>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</si>
  <si>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</si>
  <si>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</si>
  <si>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</si>
  <si>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</si>
  <si>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</si>
  <si>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</si>
  <si>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</si>
  <si>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</si>
  <si>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</si>
  <si>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</si>
  <si>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</si>
  <si>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</si>
  <si>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</si>
  <si>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</si>
  <si>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</si>
  <si>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</si>
  <si>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</si>
  <si>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</si>
  <si>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</si>
  <si>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</si>
  <si>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</si>
  <si>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</si>
  <si>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</si>
  <si>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</si>
  <si>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</si>
  <si>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</si>
  <si>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</si>
  <si>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</si>
  <si>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</si>
  <si>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</si>
  <si>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</si>
  <si>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</si>
  <si>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</si>
  <si>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</si>
  <si>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</si>
  <si>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</si>
  <si>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</si>
  <si>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</si>
  <si>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</si>
  <si>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</si>
  <si>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</si>
  <si>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</si>
  <si>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</si>
  <si>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</si>
  <si>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</si>
  <si>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</si>
  <si>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</si>
  <si>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</si>
  <si>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</si>
  <si>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</si>
  <si>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</si>
  <si>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</si>
  <si>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</si>
  <si>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</si>
  <si>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</si>
  <si>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</si>
  <si>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</si>
  <si>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</si>
  <si>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</si>
  <si>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</si>
  <si>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</si>
  <si>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</si>
  <si>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</si>
  <si>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</si>
  <si>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</si>
  <si>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</si>
  <si>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</si>
  <si>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</si>
  <si>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</si>
  <si>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</si>
  <si>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</si>
  <si>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</si>
  <si>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</si>
  <si>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</si>
  <si>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</si>
  <si>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</si>
  <si>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</si>
  <si>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</si>
  <si>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</si>
  <si>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</si>
  <si>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</si>
  <si>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</si>
  <si>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</si>
  <si>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</si>
  <si>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</si>
  <si>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</si>
  <si>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</si>
  <si>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</si>
  <si>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</si>
  <si>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</si>
  <si>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</si>
  <si>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</si>
  <si>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</si>
  <si>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</si>
  <si>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</si>
  <si>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</si>
  <si>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</si>
  <si>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</si>
  <si>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</si>
  <si>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</si>
  <si>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</si>
  <si>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</si>
  <si>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</si>
  <si>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</si>
  <si>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</si>
  <si>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</si>
  <si>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</si>
  <si>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</si>
  <si>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</si>
  <si>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</si>
  <si>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</si>
  <si>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</si>
  <si>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</si>
  <si>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</si>
  <si>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</si>
  <si>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</si>
  <si>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</si>
  <si>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</si>
  <si>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</si>
  <si>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</si>
  <si>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</si>
  <si>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</si>
  <si>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</si>
  <si>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</si>
  <si>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</si>
  <si>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</si>
  <si>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</si>
  <si>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</si>
  <si>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</si>
  <si>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</si>
  <si>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</si>
  <si>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</si>
  <si>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</si>
  <si>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</si>
  <si>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</si>
  <si>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</si>
  <si>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</si>
  <si>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</si>
  <si>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</si>
  <si>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</si>
  <si>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</si>
  <si>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</si>
  <si>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</si>
  <si>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</si>
  <si>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</si>
  <si>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</si>
  <si>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</si>
  <si>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</si>
  <si>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</si>
  <si>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</si>
  <si>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</si>
  <si>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</si>
  <si>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</si>
  <si>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</si>
  <si>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(1)  التجميع للواجب بما يتلاءم مع المهمة (حسب الواجب الرئيسي للسرية والذي قد يكون العمل كحرس مقدمة أو كجزء من الجسم الرئيسي أو احتياط للكتيبة/ مجموعة القتال).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</si>
  <si>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</si>
  <si>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</si>
  <si>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</si>
  <si>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</si>
  <si>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</si>
  <si>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</si>
  <si>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</si>
  <si>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</si>
  <si>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</si>
  <si>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</si>
  <si>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</si>
  <si>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</si>
  <si>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</si>
  <si>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</si>
  <si>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</si>
  <si>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</si>
  <si>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</si>
  <si>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</si>
  <si>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</si>
  <si>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</si>
  <si>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</si>
  <si>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</si>
  <si>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</si>
  <si>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</si>
  <si>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</si>
  <si>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</si>
  <si>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</si>
  <si>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</si>
  <si>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</si>
  <si>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</si>
  <si>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</si>
  <si>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</si>
  <si>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</si>
  <si>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>هـ. اتخاذ القرار للتعامل مع قوات العدو حسب الخيارات المتوفرة.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</si>
  <si>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</si>
  <si>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</si>
  <si>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</si>
  <si>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</si>
  <si>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</si>
  <si>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t>تقييم السرية/فريق القتال في التقدم للتماس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</si>
</sst>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365145</xdr:colOff>
      <xdr:row>55</xdr:row>
      <xdr:rowOff>507762</xdr:rowOff>
    </xdr:from>
    <xdr:to>
      <xdr:col>9</xdr:col>
      <xdr:colOff>391394</xdr:colOff>
      <xdr:row>56</xdr:row>
      <xdr:rowOff>536832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032186-10C5-81D1-34BF-DF809898103B}"/>
                </a:ext>
              </a:extLst>
            </xdr14:cNvPr>
            <xdr14:cNvContentPartPr/>
          </xdr14:nvContentPartPr>
          <xdr14:nvPr macro=""/>
          <xdr14:xfrm>
            <a:off x="10398195425" y="25417080"/>
            <a:ext cx="2000520" cy="560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E032186-10C5-81D1-34BF-DF80989810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86785" y="25408440"/>
              <a:ext cx="2018160" cy="57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519945</xdr:colOff>
      <xdr:row>56</xdr:row>
      <xdr:rowOff>478872</xdr:rowOff>
    </xdr:from>
    <xdr:to>
      <xdr:col>6</xdr:col>
      <xdr:colOff>554865</xdr:colOff>
      <xdr:row>56</xdr:row>
      <xdr:rowOff>515592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7377D72-1AB4-ACAD-C5CB-66FB661A242F}"/>
                </a:ext>
              </a:extLst>
            </xdr14:cNvPr>
            <xdr14:cNvContentPartPr/>
          </xdr14:nvContentPartPr>
          <xdr14:nvPr macro=""/>
          <xdr14:xfrm>
            <a:off x="10400006225" y="25919280"/>
            <a:ext cx="34920" cy="367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7377D72-1AB4-ACAD-C5CB-66FB661A24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97225" y="25910280"/>
              <a:ext cx="52560" cy="5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14:46.5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5249 515 9914,'0'0'0,"0"0"0,0-14 1272,0 0-496,0-3-176,5 4-288,-5 13-312,14-11 152,-11 5-88,16-10-48,-7 5-8,-12 11-8,12-11 0,3-1-8,-1 7 56,-2-10-40,-12 15-8,12-4 24,-7-9 8,9 9-32,-11-2 88,-3 6-88,12-11 96,-10 8 64,1-1 48,-1 1-72,-2 3-136,5-1 112,-3 1-87,-2 0-25,0 0 0,7 4 0,-2 7-17,7-7 9,-9 11-24,-3-15 32,12 12-16,-7 4-8,9 1-8,-2 3 8,-12-20 24,12 23-24,2-2 0,-11 2 16,11 1-8,-14-24 16,7 23 0,3 1 0,-7 0-32,4-1 24,-7-23 8,2 23-40,-2-3 40,0-1-40,-5 1 40,5-20 0,-12 17 8,0 0-16,-2-2 56,-5-3 24,19-12-72,-20 12 96,-4-8-24,-9 12 49,-3-13-49,36-3-72,-39 11 64,1-8 32,-1 0-48,1-3 40,38 0-88,-34 0 72,3-2 56,4-1 48,1-1-56,26 4-120,-22-6 112,0 2-56,3 0-40,2 1-32,17 3 16,-14-1 24,-5-1-56,4 2 0,-6 0 16,21 0 16,-17 3-80,0 1 88,0 8-88,-2-8 96,19-4-16,-17 14-24,-2-10-16,2 13 24,-7-4-80,24-13 96,-17 5 16,-2 12-16,4-13 48,-1 9 8,16-13-56,-20 3 0,1 1-8,0 0-16,-3 0 24,22-4 0,-21 3 0,-4 0 40,1 0 8,-7 0-80,31-3 32,-34 3-32,-9-3 40,-3 2-64,-11-2 24,57 0 32,-63 0 32,-9 3-80,-12-3 80,-5 3 48,89-3-80,-108 4 24,-10 8 64,-17-8-88,-12 13-40,147-17 40,-156 14-24,-8 3-40,-4-1 72,-5 2 56,173-18-64,-181 17 56,1 1-32,2 0 128,3-1 72,175-17-224,-171 17 376,7-1 96,13-2-88,9 0-40,142-14-344,-135 4 248,12 15-32,3-6-96,7 0-40,113-13-80,-111 14 16,8 0-8,50-11-8,-7 10 16,60-13-16,-60 4 8,-8 10-112,4-10 136,-9 13-64,73-17 32,-69 5-16,-6 10 144,8-10-184,4 9 48,63-14 8,-50 3 80,4 1 40,10-1 136,7 0 80,29-3-336,-22 0 256,6 0-127,11 0-81,2 0-96,3 0 48,-2 0-48,2 0-57,2 0 81,13-2 80,-15 2-56,19-1 49,3-2-49,6-1 16,9-2-64,-37 6 48,43-13-49,7 2 73,8-3 1,9-4 31,-67 18-56,147-41 48,5-3 64,-8 2-48,-4 3-16,-140 39-48,129-35 24,11-2-48,9-3-24,5-1 24,-154 41 24,166-44 48,12 1 0,-2-1-16,6 0-16,-182 44-16,186-44 24,-1 0 64,5 0-40,-5 1-16,-185 43-32,185-41-8,0-1-104,-9 3 136,2 2-8,-178 37-16,164-37 32,-8-2 72,-5 2-144,-9-1 48,-142 38-8,135-37 0,-5 4 0,-12 2 80,-10 3-80,-108 28 0,96-26 0,-12 2 0,-11 3-64,-13 1 24,-60 20 40,50-17 56,-14 4-120,-9 7 112,-15 2 72,-12 4-120,0-4 128,0-1 96,-3 1-128,-13 0-96,16 4 0,-20-4 0,-6 2-48,-17 1 24,-3 1 72,46 0-48,-55 11-96,-10-7 80,2 12 32,0-5-32,63-11 16,-67 15 40,5 2 8,-1-2-48,5 4 16,58-19-16,-57 18 8,9 2-32,7 1 24,2 2 0,39-23 0,-31 26-24,7 2-104,0 4 144,7 3-176,17-35 160,-15 37 0,11 1 88,-1-1-104,0-1 40,5-36-24,-2 37-48,2 1 32,4 2-16,8 1 8,-12-41 24,5 43 8,12 0 8,-5 1-40,0 1 168,-12-45-144,12 47 88,0 1-48,3 2 8,-3-3-24,-12-47-24,9 47-48,3 0 88,-7-3-16,12-1-16,-17-43-8,5 39-8,9-2-16,-9-3 24,-3-4-32,-2-30 32,5 27 40,0-3-48,-3-4 32,3-1-24,-5-19 0,0 17 48,0-3-64,0 2 8,0-3 40,0-13-32,0 12-32,0 0 56,-2-1-24,-1-7-48,3-4 48,-2 15-64,2-11-40,0 7-128,0-8-160,0 1-273,0-4 665,2 5-976,11 6-232,-9-8-552,13 0-769,-17-3 2529,12 4-7514,-12-4 7514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7:14:47.0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 68 20164,'0'0'0,"-20"-24"752,6 6-304,-1-1-160,15 19-288,-2-4 112,0 1-328,-1 3-32,3 0-96,0 0 344,0 5-672,-2 9-200,2-1-257,-3 1-335,3-14 1464,-7 15-2152,-5 4-513,-5 2-4416,17-21 7081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C49" zoomScale="130" zoomScaleNormal="100" zoomScaleSheetLayoutView="130" workbookViewId="0">
      <selection activeCell="G57" sqref="G57:J5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5" t="s">
        <v>225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2">
      <c r="B2" s="12" t="s">
        <v>8</v>
      </c>
      <c r="C2" s="41" t="s">
        <v>37</v>
      </c>
      <c r="D2" s="41"/>
      <c r="E2" s="12" t="s">
        <v>7</v>
      </c>
      <c r="F2" s="36">
        <v>45943</v>
      </c>
      <c r="G2" s="36"/>
      <c r="H2" s="36"/>
      <c r="I2" s="36"/>
      <c r="J2" s="36"/>
    </row>
    <row r="3" spans="1:10" ht="30" customHeight="1" x14ac:dyDescent="0.2">
      <c r="B3" s="12" t="s">
        <v>9</v>
      </c>
      <c r="C3" s="41" t="s">
        <v>78</v>
      </c>
      <c r="D3" s="41"/>
      <c r="E3" s="12" t="s">
        <v>6</v>
      </c>
      <c r="F3" s="41" t="s">
        <v>133</v>
      </c>
      <c r="G3" s="41"/>
      <c r="H3" s="41"/>
      <c r="I3" s="41"/>
      <c r="J3" s="4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2">
      <c r="A8" s="10"/>
      <c r="B8" s="77" t="s">
        <v>180</v>
      </c>
      <c r="C8" s="78"/>
      <c r="D8" s="78"/>
      <c r="E8" s="78"/>
      <c r="F8" s="78"/>
      <c r="G8" s="78"/>
      <c r="H8" s="78"/>
      <c r="I8" s="78"/>
      <c r="J8" s="79"/>
    </row>
    <row r="9" spans="1:10" ht="39.950000000000003" customHeight="1" x14ac:dyDescent="0.2">
      <c r="A9" s="10"/>
      <c r="B9" s="71" t="s">
        <v>181</v>
      </c>
      <c r="C9" s="72"/>
      <c r="D9" s="72"/>
      <c r="E9" s="9"/>
      <c r="F9" s="26"/>
      <c r="G9" s="30"/>
      <c r="H9" s="31"/>
      <c r="I9" s="46"/>
      <c r="J9" s="47"/>
    </row>
    <row r="10" spans="1:10" ht="72" customHeight="1" x14ac:dyDescent="0.2">
      <c r="A10" s="10"/>
      <c r="B10" s="73" t="s">
        <v>182</v>
      </c>
      <c r="C10" s="74"/>
      <c r="D10" s="74"/>
      <c r="E10" s="9">
        <v>5</v>
      </c>
      <c r="F10" s="26">
        <v>3.75</v>
      </c>
      <c r="G10" s="30">
        <f t="shared" ref="G10:G52" si="0">IFERROR(F10/E10,"")</f>
        <v>0.75</v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2">
      <c r="A11" s="10"/>
      <c r="B11" s="73" t="s">
        <v>183</v>
      </c>
      <c r="C11" s="74"/>
      <c r="D11" s="74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6"/>
      <c r="J11" s="47"/>
    </row>
    <row r="12" spans="1:10" ht="30" customHeight="1" x14ac:dyDescent="0.2">
      <c r="A12" s="10"/>
      <c r="B12" s="73" t="s">
        <v>184</v>
      </c>
      <c r="C12" s="74"/>
      <c r="D12" s="74"/>
      <c r="E12" s="9"/>
      <c r="F12" s="26"/>
      <c r="G12" s="30"/>
      <c r="H12" s="31"/>
      <c r="I12" s="46"/>
      <c r="J12" s="47"/>
    </row>
    <row r="13" spans="1:10" ht="75" customHeight="1" x14ac:dyDescent="0.2">
      <c r="A13" s="10"/>
      <c r="B13" s="75" t="s">
        <v>185</v>
      </c>
      <c r="C13" s="76"/>
      <c r="D13" s="7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6"/>
      <c r="J13" s="47"/>
    </row>
    <row r="14" spans="1:10" ht="39.950000000000003" customHeight="1" x14ac:dyDescent="0.2">
      <c r="A14" s="10"/>
      <c r="B14" s="75" t="s">
        <v>186</v>
      </c>
      <c r="C14" s="76"/>
      <c r="D14" s="76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6"/>
      <c r="J14" s="47"/>
    </row>
    <row r="15" spans="1:10" ht="62.25" customHeight="1" x14ac:dyDescent="0.2">
      <c r="A15" s="10"/>
      <c r="B15" s="75" t="s">
        <v>187</v>
      </c>
      <c r="C15" s="76"/>
      <c r="D15" s="76"/>
      <c r="E15" s="9">
        <v>5</v>
      </c>
      <c r="F15" s="26">
        <v>3.25</v>
      </c>
      <c r="G15" s="30">
        <f t="shared" si="0"/>
        <v>0.65</v>
      </c>
      <c r="H15" s="31" t="str">
        <f t="shared" si="1"/>
        <v>مقبول</v>
      </c>
      <c r="I15" s="46"/>
      <c r="J15" s="47"/>
    </row>
    <row r="16" spans="1:10" ht="39.950000000000003" customHeight="1" x14ac:dyDescent="0.2">
      <c r="A16" s="10"/>
      <c r="B16" s="75" t="s">
        <v>188</v>
      </c>
      <c r="C16" s="76"/>
      <c r="D16" s="76"/>
      <c r="E16" s="9">
        <v>5</v>
      </c>
      <c r="F16" s="26">
        <v>3.25</v>
      </c>
      <c r="G16" s="30">
        <f t="shared" si="0"/>
        <v>0.65</v>
      </c>
      <c r="H16" s="31" t="str">
        <f t="shared" si="1"/>
        <v>مقبول</v>
      </c>
      <c r="I16" s="46"/>
      <c r="J16" s="47"/>
    </row>
    <row r="17" spans="1:10" ht="39.950000000000003" customHeight="1" x14ac:dyDescent="0.2">
      <c r="A17" s="10"/>
      <c r="B17" s="75" t="s">
        <v>189</v>
      </c>
      <c r="C17" s="76"/>
      <c r="D17" s="76"/>
      <c r="E17" s="9">
        <v>5</v>
      </c>
      <c r="F17" s="26">
        <v>3.25</v>
      </c>
      <c r="G17" s="30">
        <f t="shared" si="0"/>
        <v>0.65</v>
      </c>
      <c r="H17" s="31" t="str">
        <f t="shared" si="1"/>
        <v>مقبول</v>
      </c>
      <c r="I17" s="46"/>
      <c r="J17" s="47"/>
    </row>
    <row r="18" spans="1:10" ht="62.25" customHeight="1" x14ac:dyDescent="0.2">
      <c r="A18" s="10"/>
      <c r="B18" s="73" t="s">
        <v>190</v>
      </c>
      <c r="C18" s="74"/>
      <c r="D18" s="74"/>
      <c r="E18" s="9">
        <v>5</v>
      </c>
      <c r="F18" s="26">
        <v>3.25</v>
      </c>
      <c r="G18" s="30">
        <f t="shared" si="0"/>
        <v>0.65</v>
      </c>
      <c r="H18" s="31" t="str">
        <f t="shared" si="1"/>
        <v>مقبول</v>
      </c>
      <c r="I18" s="46"/>
      <c r="J18" s="47"/>
    </row>
    <row r="19" spans="1:10" ht="39.950000000000003" customHeight="1" x14ac:dyDescent="0.2">
      <c r="A19" s="10"/>
      <c r="B19" s="73" t="s">
        <v>191</v>
      </c>
      <c r="C19" s="74"/>
      <c r="D19" s="74"/>
      <c r="E19" s="9"/>
      <c r="F19" s="26"/>
      <c r="G19" s="30"/>
      <c r="H19" s="31"/>
      <c r="I19" s="46"/>
      <c r="J19" s="47"/>
    </row>
    <row r="20" spans="1:10" ht="30" customHeight="1" x14ac:dyDescent="0.2">
      <c r="A20" s="10"/>
      <c r="B20" s="75" t="s">
        <v>192</v>
      </c>
      <c r="C20" s="76"/>
      <c r="D20" s="76"/>
      <c r="E20" s="9">
        <v>5</v>
      </c>
      <c r="F20" s="26">
        <v>3.25</v>
      </c>
      <c r="G20" s="30">
        <f t="shared" si="0"/>
        <v>0.65</v>
      </c>
      <c r="H20" s="31" t="str">
        <f t="shared" si="1"/>
        <v>مقبول</v>
      </c>
      <c r="I20" s="46"/>
      <c r="J20" s="47"/>
    </row>
    <row r="21" spans="1:10" ht="30" customHeight="1" x14ac:dyDescent="0.2">
      <c r="A21" s="10"/>
      <c r="B21" s="75" t="s">
        <v>193</v>
      </c>
      <c r="C21" s="76"/>
      <c r="D21" s="76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46"/>
      <c r="J21" s="47"/>
    </row>
    <row r="22" spans="1:10" ht="30" customHeight="1" x14ac:dyDescent="0.2">
      <c r="A22" s="10"/>
      <c r="B22" s="75" t="s">
        <v>194</v>
      </c>
      <c r="C22" s="76"/>
      <c r="D22" s="76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46"/>
      <c r="J22" s="47"/>
    </row>
    <row r="23" spans="1:10" ht="30" customHeight="1" thickBot="1" x14ac:dyDescent="0.25">
      <c r="A23" s="10"/>
      <c r="B23" s="80" t="s">
        <v>195</v>
      </c>
      <c r="C23" s="81"/>
      <c r="D23" s="81"/>
      <c r="E23" s="32">
        <v>5</v>
      </c>
      <c r="F23" s="27">
        <v>3.75</v>
      </c>
      <c r="G23" s="33">
        <f t="shared" si="0"/>
        <v>0.75</v>
      </c>
      <c r="H23" s="34" t="str">
        <f t="shared" si="1"/>
        <v>جيد</v>
      </c>
      <c r="I23" s="54"/>
      <c r="J23" s="55"/>
    </row>
    <row r="24" spans="1:10" ht="30" customHeight="1" x14ac:dyDescent="0.2">
      <c r="A24" s="10"/>
      <c r="B24" s="77" t="s">
        <v>196</v>
      </c>
      <c r="C24" s="78"/>
      <c r="D24" s="78"/>
      <c r="E24" s="78"/>
      <c r="F24" s="78"/>
      <c r="G24" s="78"/>
      <c r="H24" s="78"/>
      <c r="I24" s="78"/>
      <c r="J24" s="79"/>
    </row>
    <row r="25" spans="1:10" ht="30" customHeight="1" x14ac:dyDescent="0.2">
      <c r="A25" s="10"/>
      <c r="B25" s="71" t="s">
        <v>197</v>
      </c>
      <c r="C25" s="72"/>
      <c r="D25" s="72"/>
      <c r="E25" s="9"/>
      <c r="F25" s="26"/>
      <c r="G25" s="30"/>
      <c r="H25" s="31"/>
      <c r="I25" s="46"/>
      <c r="J25" s="47"/>
    </row>
    <row r="26" spans="1:10" ht="39.950000000000003" customHeight="1" x14ac:dyDescent="0.2">
      <c r="A26" s="10"/>
      <c r="B26" s="73" t="s">
        <v>198</v>
      </c>
      <c r="C26" s="74"/>
      <c r="D26" s="74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6"/>
      <c r="J26" s="47"/>
    </row>
    <row r="27" spans="1:10" ht="30" customHeight="1" x14ac:dyDescent="0.2">
      <c r="A27" s="10"/>
      <c r="B27" s="73" t="s">
        <v>199</v>
      </c>
      <c r="C27" s="74"/>
      <c r="D27" s="74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6"/>
      <c r="J27" s="47"/>
    </row>
    <row r="28" spans="1:10" ht="30" customHeight="1" x14ac:dyDescent="0.2">
      <c r="A28" s="10"/>
      <c r="B28" s="73" t="s">
        <v>200</v>
      </c>
      <c r="C28" s="74"/>
      <c r="D28" s="74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6"/>
      <c r="J28" s="47"/>
    </row>
    <row r="29" spans="1:10" ht="30" customHeight="1" x14ac:dyDescent="0.2">
      <c r="A29" s="10"/>
      <c r="B29" s="71" t="s">
        <v>201</v>
      </c>
      <c r="C29" s="72"/>
      <c r="D29" s="72"/>
      <c r="E29" s="9"/>
      <c r="F29" s="26"/>
      <c r="G29" s="30"/>
      <c r="H29" s="31"/>
      <c r="I29" s="46"/>
      <c r="J29" s="47"/>
    </row>
    <row r="30" spans="1:10" ht="30" customHeight="1" x14ac:dyDescent="0.2">
      <c r="A30" s="10"/>
      <c r="B30" s="73" t="s">
        <v>202</v>
      </c>
      <c r="C30" s="74"/>
      <c r="D30" s="74"/>
      <c r="E30" s="9">
        <v>5</v>
      </c>
      <c r="F30" s="26">
        <v>3.75</v>
      </c>
      <c r="G30" s="30">
        <f t="shared" si="0"/>
        <v>0.75</v>
      </c>
      <c r="H30" s="31" t="str">
        <f t="shared" si="1"/>
        <v>جيد</v>
      </c>
      <c r="I30" s="46"/>
      <c r="J30" s="47"/>
    </row>
    <row r="31" spans="1:10" ht="30" customHeight="1" x14ac:dyDescent="0.2">
      <c r="A31" s="10"/>
      <c r="B31" s="73" t="s">
        <v>203</v>
      </c>
      <c r="C31" s="74"/>
      <c r="D31" s="74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6"/>
      <c r="J31" s="47"/>
    </row>
    <row r="32" spans="1:10" ht="30" customHeight="1" x14ac:dyDescent="0.2">
      <c r="A32" s="10"/>
      <c r="B32" s="73" t="s">
        <v>204</v>
      </c>
      <c r="C32" s="74"/>
      <c r="D32" s="74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6"/>
      <c r="J32" s="47"/>
    </row>
    <row r="33" spans="1:10" ht="30" customHeight="1" x14ac:dyDescent="0.2">
      <c r="A33" s="10"/>
      <c r="B33" s="73" t="s">
        <v>205</v>
      </c>
      <c r="C33" s="74"/>
      <c r="D33" s="74"/>
      <c r="E33" s="9">
        <v>5</v>
      </c>
      <c r="F33" s="26">
        <v>3.25</v>
      </c>
      <c r="G33" s="30">
        <f t="shared" si="0"/>
        <v>0.65</v>
      </c>
      <c r="H33" s="31" t="str">
        <f t="shared" si="1"/>
        <v>مقبول</v>
      </c>
      <c r="I33" s="46"/>
      <c r="J33" s="47"/>
    </row>
    <row r="34" spans="1:10" ht="30" customHeight="1" thickBot="1" x14ac:dyDescent="0.25">
      <c r="A34" s="10"/>
      <c r="B34" s="80" t="s">
        <v>206</v>
      </c>
      <c r="C34" s="81"/>
      <c r="D34" s="81"/>
      <c r="E34" s="32">
        <v>5</v>
      </c>
      <c r="F34" s="27">
        <v>3.25</v>
      </c>
      <c r="G34" s="33">
        <f t="shared" si="0"/>
        <v>0.65</v>
      </c>
      <c r="H34" s="34" t="str">
        <f t="shared" si="1"/>
        <v>مقبول</v>
      </c>
      <c r="I34" s="54"/>
      <c r="J34" s="55"/>
    </row>
    <row r="35" spans="1:10" ht="30" customHeight="1" x14ac:dyDescent="0.2">
      <c r="A35" s="10"/>
      <c r="B35" s="77" t="s">
        <v>207</v>
      </c>
      <c r="C35" s="78"/>
      <c r="D35" s="78"/>
      <c r="E35" s="78"/>
      <c r="F35" s="78"/>
      <c r="G35" s="78"/>
      <c r="H35" s="78"/>
      <c r="I35" s="78"/>
      <c r="J35" s="79"/>
    </row>
    <row r="36" spans="1:10" ht="39.950000000000003" customHeight="1" x14ac:dyDescent="0.2">
      <c r="A36" s="10"/>
      <c r="B36" s="71" t="s">
        <v>208</v>
      </c>
      <c r="C36" s="72"/>
      <c r="D36" s="72"/>
      <c r="E36" s="9"/>
      <c r="F36" s="26"/>
      <c r="G36" s="30"/>
      <c r="H36" s="31"/>
      <c r="I36" s="46"/>
      <c r="J36" s="47"/>
    </row>
    <row r="37" spans="1:10" ht="39.950000000000003" customHeight="1" x14ac:dyDescent="0.2">
      <c r="A37" s="10"/>
      <c r="B37" s="73" t="s">
        <v>209</v>
      </c>
      <c r="C37" s="74"/>
      <c r="D37" s="74"/>
      <c r="E37" s="9">
        <v>5</v>
      </c>
      <c r="F37" s="26">
        <v>3.25</v>
      </c>
      <c r="G37" s="30">
        <f t="shared" si="0"/>
        <v>0.65</v>
      </c>
      <c r="H37" s="31" t="str">
        <f t="shared" si="1"/>
        <v>مقبول</v>
      </c>
      <c r="I37" s="46"/>
      <c r="J37" s="47"/>
    </row>
    <row r="38" spans="1:10" ht="39.950000000000003" customHeight="1" x14ac:dyDescent="0.2">
      <c r="A38" s="10"/>
      <c r="B38" s="73" t="s">
        <v>210</v>
      </c>
      <c r="C38" s="74"/>
      <c r="D38" s="74"/>
      <c r="E38" s="9">
        <v>5</v>
      </c>
      <c r="F38" s="26">
        <v>3.25</v>
      </c>
      <c r="G38" s="30">
        <f t="shared" si="0"/>
        <v>0.65</v>
      </c>
      <c r="H38" s="31" t="str">
        <f t="shared" si="1"/>
        <v>مقبول</v>
      </c>
      <c r="I38" s="46"/>
      <c r="J38" s="47"/>
    </row>
    <row r="39" spans="1:10" ht="30" customHeight="1" x14ac:dyDescent="0.2">
      <c r="A39" s="10"/>
      <c r="B39" s="73" t="s">
        <v>211</v>
      </c>
      <c r="C39" s="74"/>
      <c r="D39" s="74"/>
      <c r="E39" s="9">
        <v>5</v>
      </c>
      <c r="F39" s="26">
        <v>3.25</v>
      </c>
      <c r="G39" s="30">
        <f t="shared" si="0"/>
        <v>0.65</v>
      </c>
      <c r="H39" s="31" t="str">
        <f t="shared" si="1"/>
        <v>مقبول</v>
      </c>
      <c r="I39" s="46"/>
      <c r="J39" s="47"/>
    </row>
    <row r="40" spans="1:10" ht="30" customHeight="1" x14ac:dyDescent="0.2">
      <c r="A40" s="10"/>
      <c r="B40" s="73" t="s">
        <v>212</v>
      </c>
      <c r="C40" s="74"/>
      <c r="D40" s="74"/>
      <c r="E40" s="9">
        <v>5</v>
      </c>
      <c r="F40" s="26">
        <v>3.25</v>
      </c>
      <c r="G40" s="30">
        <f t="shared" si="0"/>
        <v>0.65</v>
      </c>
      <c r="H40" s="31" t="str">
        <f t="shared" si="1"/>
        <v>مقبول</v>
      </c>
      <c r="I40" s="46"/>
      <c r="J40" s="47"/>
    </row>
    <row r="41" spans="1:10" ht="39.950000000000003" customHeight="1" x14ac:dyDescent="0.2">
      <c r="A41" s="10"/>
      <c r="B41" s="71" t="s">
        <v>213</v>
      </c>
      <c r="C41" s="72"/>
      <c r="D41" s="72"/>
      <c r="E41" s="9">
        <v>5</v>
      </c>
      <c r="F41" s="26">
        <v>3.25</v>
      </c>
      <c r="G41" s="30">
        <f t="shared" si="0"/>
        <v>0.65</v>
      </c>
      <c r="H41" s="31" t="str">
        <f t="shared" si="1"/>
        <v>مقبول</v>
      </c>
      <c r="I41" s="46"/>
      <c r="J41" s="47"/>
    </row>
    <row r="42" spans="1:10" ht="30" customHeight="1" x14ac:dyDescent="0.2">
      <c r="A42" s="10"/>
      <c r="B42" s="71" t="s">
        <v>214</v>
      </c>
      <c r="C42" s="72"/>
      <c r="D42" s="72"/>
      <c r="E42" s="9"/>
      <c r="F42" s="26"/>
      <c r="G42" s="30"/>
      <c r="H42" s="31"/>
      <c r="I42" s="46"/>
      <c r="J42" s="47"/>
    </row>
    <row r="43" spans="1:10" ht="30" customHeight="1" x14ac:dyDescent="0.2">
      <c r="A43" s="10"/>
      <c r="B43" s="73" t="s">
        <v>215</v>
      </c>
      <c r="C43" s="74"/>
      <c r="D43" s="74"/>
      <c r="E43" s="9">
        <v>5</v>
      </c>
      <c r="F43" s="26">
        <v>3.75</v>
      </c>
      <c r="G43" s="30">
        <f t="shared" si="0"/>
        <v>0.75</v>
      </c>
      <c r="H43" s="31" t="str">
        <f t="shared" si="1"/>
        <v>جيد</v>
      </c>
      <c r="I43" s="46"/>
      <c r="J43" s="47"/>
    </row>
    <row r="44" spans="1:10" ht="30" customHeight="1" x14ac:dyDescent="0.2">
      <c r="A44" s="10"/>
      <c r="B44" s="73" t="s">
        <v>216</v>
      </c>
      <c r="C44" s="74"/>
      <c r="D44" s="74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46"/>
      <c r="J44" s="47"/>
    </row>
    <row r="45" spans="1:10" ht="30" customHeight="1" x14ac:dyDescent="0.2">
      <c r="A45" s="10"/>
      <c r="B45" s="73" t="s">
        <v>217</v>
      </c>
      <c r="C45" s="74"/>
      <c r="D45" s="74"/>
      <c r="E45" s="9">
        <v>5</v>
      </c>
      <c r="F45" s="26">
        <v>3.75</v>
      </c>
      <c r="G45" s="30">
        <f t="shared" si="0"/>
        <v>0.75</v>
      </c>
      <c r="H45" s="31" t="str">
        <f t="shared" si="1"/>
        <v>جيد</v>
      </c>
      <c r="I45" s="46"/>
      <c r="J45" s="47"/>
    </row>
    <row r="46" spans="1:10" ht="30" customHeight="1" x14ac:dyDescent="0.2">
      <c r="A46" s="10"/>
      <c r="B46" s="73" t="s">
        <v>218</v>
      </c>
      <c r="C46" s="74"/>
      <c r="D46" s="74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46"/>
      <c r="J46" s="47"/>
    </row>
    <row r="47" spans="1:10" ht="39.950000000000003" customHeight="1" x14ac:dyDescent="0.2">
      <c r="A47" s="10"/>
      <c r="B47" s="73" t="s">
        <v>219</v>
      </c>
      <c r="C47" s="74"/>
      <c r="D47" s="74"/>
      <c r="E47" s="9"/>
      <c r="F47" s="26"/>
      <c r="G47" s="30"/>
      <c r="H47" s="31"/>
      <c r="I47" s="46"/>
      <c r="J47" s="47"/>
    </row>
    <row r="48" spans="1:10" ht="39.950000000000003" customHeight="1" x14ac:dyDescent="0.2">
      <c r="A48" s="10"/>
      <c r="B48" s="75" t="s">
        <v>220</v>
      </c>
      <c r="C48" s="76"/>
      <c r="D48" s="76"/>
      <c r="E48" s="9">
        <v>5</v>
      </c>
      <c r="F48" s="26">
        <v>3.25</v>
      </c>
      <c r="G48" s="30">
        <f t="shared" si="0"/>
        <v>0.65</v>
      </c>
      <c r="H48" s="31" t="str">
        <f t="shared" si="1"/>
        <v>مقبول</v>
      </c>
      <c r="I48" s="46"/>
      <c r="J48" s="47"/>
    </row>
    <row r="49" spans="1:10" ht="60" customHeight="1" x14ac:dyDescent="0.2">
      <c r="A49" s="10"/>
      <c r="B49" s="75" t="s">
        <v>221</v>
      </c>
      <c r="C49" s="76"/>
      <c r="D49" s="76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46"/>
      <c r="J49" s="47"/>
    </row>
    <row r="50" spans="1:10" ht="39.950000000000003" customHeight="1" x14ac:dyDescent="0.2">
      <c r="A50" s="10"/>
      <c r="B50" s="75" t="s">
        <v>222</v>
      </c>
      <c r="C50" s="76"/>
      <c r="D50" s="76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46"/>
      <c r="J50" s="47"/>
    </row>
    <row r="51" spans="1:10" ht="30" customHeight="1" x14ac:dyDescent="0.2">
      <c r="A51" s="10"/>
      <c r="B51" s="73" t="s">
        <v>223</v>
      </c>
      <c r="C51" s="74"/>
      <c r="D51" s="74"/>
      <c r="E51" s="9">
        <v>5</v>
      </c>
      <c r="F51" s="26">
        <v>3.75</v>
      </c>
      <c r="G51" s="30">
        <f t="shared" si="0"/>
        <v>0.75</v>
      </c>
      <c r="H51" s="31" t="str">
        <f t="shared" si="1"/>
        <v>جيد</v>
      </c>
      <c r="I51" s="46"/>
      <c r="J51" s="47"/>
    </row>
    <row r="52" spans="1:10" ht="30" customHeight="1" thickBot="1" x14ac:dyDescent="0.25">
      <c r="A52" s="10"/>
      <c r="B52" s="80" t="s">
        <v>224</v>
      </c>
      <c r="C52" s="81"/>
      <c r="D52" s="81"/>
      <c r="E52" s="32">
        <v>5</v>
      </c>
      <c r="F52" s="27">
        <v>3.75</v>
      </c>
      <c r="G52" s="33">
        <f t="shared" si="0"/>
        <v>0.75</v>
      </c>
      <c r="H52" s="34" t="str">
        <f t="shared" si="1"/>
        <v>جيد</v>
      </c>
      <c r="I52" s="54"/>
      <c r="J52" s="55"/>
    </row>
    <row r="53" spans="1:10" ht="30" customHeight="1" thickBot="1" x14ac:dyDescent="0.25">
      <c r="A53" s="4"/>
      <c r="B53" s="67" t="s">
        <v>5</v>
      </c>
      <c r="C53" s="68"/>
      <c r="D53" s="68"/>
      <c r="E53" s="29">
        <f>SUM(E8:E52)</f>
        <v>170</v>
      </c>
      <c r="F53" s="29">
        <f>SUM(F8:F52)</f>
        <v>120.75</v>
      </c>
      <c r="G53" s="64"/>
      <c r="H53" s="65"/>
      <c r="I53" s="65"/>
      <c r="J53" s="66"/>
    </row>
    <row r="54" spans="1:10" ht="30" customHeight="1" thickBot="1" x14ac:dyDescent="0.25">
      <c r="A54" s="4"/>
      <c r="B54" s="69" t="s">
        <v>54</v>
      </c>
      <c r="C54" s="70"/>
      <c r="D54" s="70"/>
      <c r="E54" s="42">
        <f>F53/E53/100*100</f>
        <v>0.71029411764705885</v>
      </c>
      <c r="F54" s="42"/>
      <c r="G54" s="42"/>
      <c r="H54" s="42"/>
      <c r="I54" s="42"/>
      <c r="J54" s="43"/>
    </row>
    <row r="55" spans="1:10" ht="30" customHeight="1" thickBot="1" x14ac:dyDescent="0.25">
      <c r="A55" s="4"/>
      <c r="B55" s="69" t="s">
        <v>55</v>
      </c>
      <c r="C55" s="70"/>
      <c r="D55" s="70"/>
      <c r="E55" s="60" t="str">
        <f>_xlfn.IFS(E54&gt;=90%,"ممتاز",E54&gt;=80%,"جيد جداً",E54&gt;=70%,"جيد",E54&gt;=60%,"مقبول",E54&lt;60%,"راسب")</f>
        <v>جيد</v>
      </c>
      <c r="F55" s="60"/>
      <c r="G55" s="60"/>
      <c r="H55" s="60"/>
      <c r="I55" s="60"/>
      <c r="J55" s="61"/>
    </row>
    <row r="56" spans="1:10" ht="42" customHeight="1" x14ac:dyDescent="0.2">
      <c r="B56" s="56" t="s">
        <v>174</v>
      </c>
      <c r="C56" s="56"/>
      <c r="D56" s="56"/>
      <c r="E56" s="62" t="s">
        <v>52</v>
      </c>
      <c r="F56" s="62"/>
      <c r="G56" s="58" t="s">
        <v>133</v>
      </c>
      <c r="H56" s="58"/>
      <c r="I56" s="58"/>
      <c r="J56" s="58"/>
    </row>
    <row r="57" spans="1:10" ht="51" customHeight="1" x14ac:dyDescent="0.2">
      <c r="A57" s="5"/>
      <c r="B57" s="57"/>
      <c r="C57" s="57"/>
      <c r="D57" s="57"/>
      <c r="E57" s="63" t="s">
        <v>53</v>
      </c>
      <c r="F57" s="63"/>
      <c r="G57" s="59"/>
      <c r="H57" s="59"/>
      <c r="I57" s="59"/>
      <c r="J57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B23:D23"/>
    <mergeCell ref="B25:D25"/>
    <mergeCell ref="B24:J24"/>
    <mergeCell ref="B26:D26"/>
    <mergeCell ref="B27:D27"/>
    <mergeCell ref="B28:D28"/>
    <mergeCell ref="B29:D29"/>
    <mergeCell ref="B30:D30"/>
    <mergeCell ref="B31:D31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I32:J32"/>
    <mergeCell ref="I33:J33"/>
    <mergeCell ref="I34:J34"/>
    <mergeCell ref="I36:J36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4 F36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4 H36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2025-10-01T08:42:53Z</dcterms:modified>
</cp:coreProperties>
</file>