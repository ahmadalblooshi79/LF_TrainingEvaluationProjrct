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6D30CB9-9635-4E9C-84F1-981A1AB22B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<sst xmlns="http://schemas.openxmlformats.org/spreadsheetml/2006/main" count="246" uniqueCount="190">
  <si>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</si>
  <si>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</si>
  <si>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</si>
  <si>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</si>
  <si>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</si>
  <si>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</si>
  <si>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</si>
  <si>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</si>
  <si>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</si>
  <si>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</si>
  <si>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</si>
  <si>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</si>
  <si>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</si>
  <si>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</si>
  <si>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</si>
  <si>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</si>
  <si>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</si>
  <si>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</si>
  <si>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</si>
  <si>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</si>
  <si>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</si>
  <si>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</si>
  <si>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</si>
  <si>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</si>
  <si>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</si>
  <si>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</si>
  <si>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</si>
  <si>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</si>
  <si>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</si>
  <si>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</si>
  <si>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</si>
  <si>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</si>
  <si>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</si>
  <si>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</si>
  <si>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</si>
  <si>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</si>
  <si>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</si>
  <si>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</si>
  <si>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</si>
  <si>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</si>
  <si>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</si>
  <si>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</si>
  <si>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</si>
  <si>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</si>
  <si>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</si>
  <si>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</si>
  <si>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</si>
  <si>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</si>
  <si>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</si>
  <si>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</si>
  <si>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</si>
  <si>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</si>
  <si>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</si>
  <si>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</si>
  <si>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</si>
  <si>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</si>
  <si>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</si>
  <si>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</si>
  <si>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</si>
  <si>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</si>
  <si>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</si>
  <si>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</si>
  <si>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</si>
  <si>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</si>
  <si>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</si>
  <si>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</si>
  <si>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</si>
  <si>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</si>
  <si>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</si>
  <si>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</si>
  <si>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</si>
  <si>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</si>
  <si>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</si>
  <si>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</si>
  <si>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</si>
  <si>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</si>
  <si>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</si>
  <si>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</si>
  <si>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</si>
  <si>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</si>
  <si>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</si>
  <si>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</si>
  <si>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</si>
  <si>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</si>
  <si>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</si>
  <si>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</si>
  <si>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</si>
  <si>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</si>
  <si>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</si>
  <si>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</si>
  <si>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</si>
  <si>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</si>
  <si>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</si>
  <si>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</si>
  <si>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</si>
  <si>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</si>
  <si>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</si>
  <si>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</si>
  <si>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</si>
  <si>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</si>
  <si>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</si>
  <si>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</si>
  <si>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</si>
  <si>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</si>
  <si>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</si>
  <si>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</si>
  <si>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</si>
  <si>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</si>
  <si>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</si>
  <si>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</si>
  <si>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</si>
  <si>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</si>
  <si>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</si>
  <si>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</si>
  <si>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</si>
  <si>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</si>
  <si>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</si>
  <si>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</si>
  <si>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</si>
  <si>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</si>
  <si>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</si>
  <si>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</si>
  <si>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</si>
  <si>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</si>
  <si>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</si>
  <si>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</si>
  <si>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</si>
  <si>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</si>
  <si>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</si>
  <si>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</si>
  <si>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</si>
  <si>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</si>
  <si>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</si>
  <si>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</si>
  <si>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</si>
  <si>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</si>
  <si>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</si>
  <si>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</si>
  <si>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</si>
  <si>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</si>
  <si>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</si>
  <si>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</si>
  <si>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</si>
  <si>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</si>
  <si>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</si>
  <si>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</si>
  <si>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</si>
  <si>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</si>
  <si>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</si>
  <si>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</si>
  <si>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</si>
  <si>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</si>
  <si>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</si>
  <si>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</si>
  <si>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</si>
  <si>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</si>
  <si>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</si>
  <si>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</si>
  <si>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</si>
  <si>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</si>
  <si>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</si>
  <si>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</si>
  <si>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</si>
  <si>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</si>
  <si>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</si>
  <si>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</si>
  <si>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</si>
  <si>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</si>
  <si>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</si>
  <si>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</si>
  <si>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</si>
  <si>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</si>
  <si>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</si>
  <si>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</si>
  <si>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</si>
  <si>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</si>
  <si>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</si>
  <si>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</si>
  <si>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</si>
  <si>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</si>
  <si>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انتشار سرية الإشارة - تمرين جاهزية مجموعة لواء الإمارات/1 (جندي الصحراء 2025/20)</t>
  </si>
  <si>
    <r>
      <t>1.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Times New Roman"/>
        <family val="1"/>
      </rPr>
      <t>الخطة</t>
    </r>
    <r>
      <rPr>
        <b/>
        <sz val="12"/>
        <color theme="1"/>
        <rFont val="Times New Roman"/>
        <family val="1"/>
      </rPr>
      <t xml:space="preserve"> (يتم التأكد من التالي): </t>
    </r>
  </si>
  <si>
    <t>أ. وجود الخطة واعتمادها.</t>
  </si>
  <si>
    <t>ب. التقيد بالإطار العام.</t>
  </si>
  <si>
    <t>جـ. التقيد بواجبات الأركان الصغرى في إعداد الخطة.</t>
  </si>
  <si>
    <r>
      <t>2.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Times New Roman"/>
        <family val="1"/>
      </rPr>
      <t>التقيد بالتدريب على تنفيذ الخطة ومدى واقعيتها للتطبيق (التدريب على مهام العمليات).</t>
    </r>
  </si>
  <si>
    <r>
      <t>3.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Times New Roman"/>
        <family val="1"/>
      </rPr>
      <t>مدى إلمام المرتب بالخطة ومتطلباتها والواجبات المحددة لكل منهم.</t>
    </r>
  </si>
  <si>
    <r>
      <t>4.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Times New Roman"/>
        <family val="1"/>
      </rPr>
      <t>مدى توفر المهمات والمعدات المطلوبة لتنفيذ الخطة ( آليات، معدات، إلخ... ).</t>
    </r>
  </si>
  <si>
    <r>
      <t>5.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Times New Roman"/>
        <family val="1"/>
      </rPr>
      <t>التأكد من التنسيق مع المعنيين لتنفيذ الخطة.</t>
    </r>
  </si>
  <si>
    <r>
      <t>6.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Times New Roman"/>
        <family val="1"/>
      </rPr>
      <t>مدى تنفيذ المستوى الخاضع للتقييم لجميع الإجراءات المطلوبة منهم في تطبيق الخطة حسب المعاضل التي تفرض من قبل فريق التقييم.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</si>
</sst>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144835</xdr:colOff>
      <xdr:row>20</xdr:row>
      <xdr:rowOff>72508</xdr:rowOff>
    </xdr:from>
    <xdr:to>
      <xdr:col>6</xdr:col>
      <xdr:colOff>272635</xdr:colOff>
      <xdr:row>20</xdr:row>
      <xdr:rowOff>400468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14811C9-6FD7-C2BF-FD1E-18EB45046D88}"/>
                </a:ext>
              </a:extLst>
            </xdr14:cNvPr>
            <xdr14:cNvContentPartPr/>
          </xdr14:nvContentPartPr>
          <xdr14:nvPr macro=""/>
          <xdr14:xfrm>
            <a:off x="10400288455" y="8985600"/>
            <a:ext cx="127800" cy="327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14811C9-6FD7-C2BF-FD1E-18EB45046D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282335" y="8979480"/>
              <a:ext cx="140040" cy="34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254275</xdr:colOff>
      <xdr:row>20</xdr:row>
      <xdr:rowOff>25348</xdr:rowOff>
    </xdr:from>
    <xdr:to>
      <xdr:col>6</xdr:col>
      <xdr:colOff>295315</xdr:colOff>
      <xdr:row>20</xdr:row>
      <xdr:rowOff>104908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6A8FF9-AF13-A3B8-B325-70173D1EC124}"/>
                </a:ext>
              </a:extLst>
            </xdr14:cNvPr>
            <xdr14:cNvContentPartPr/>
          </xdr14:nvContentPartPr>
          <xdr14:nvPr macro=""/>
          <xdr14:xfrm>
            <a:off x="10400265775" y="8938440"/>
            <a:ext cx="41040" cy="79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A6A8FF9-AF13-A3B8-B325-70173D1EC12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259655" y="8932320"/>
              <a:ext cx="5328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104155</xdr:colOff>
      <xdr:row>19</xdr:row>
      <xdr:rowOff>476520</xdr:rowOff>
    </xdr:from>
    <xdr:to>
      <xdr:col>8</xdr:col>
      <xdr:colOff>598054</xdr:colOff>
      <xdr:row>20</xdr:row>
      <xdr:rowOff>484708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AF959D9-E9B8-F866-7456-1E34E419EB49}"/>
                </a:ext>
              </a:extLst>
            </xdr14:cNvPr>
            <xdr14:cNvContentPartPr/>
          </xdr14:nvContentPartPr>
          <xdr14:nvPr macro=""/>
          <xdr14:xfrm>
            <a:off x="10398646855" y="8858520"/>
            <a:ext cx="1810080" cy="5392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AF959D9-E9B8-F866-7456-1E34E419EB4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640735" y="8852400"/>
              <a:ext cx="1822320" cy="551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8:21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70 124 6337,'0'0'0,"-2"-14"2376,-10 1 385,12 13-2761,-5-14 2400,-7 3-359,10 6-265,-1-7-143,3 12-1633,-2-5 1400,-5-8-160,4 9-152,-2-7-231,5 11-857,-7-3 616,5-1-48,-3-1 40,3 1-264,2 4-344,0-3 472,0 2-144,0 0-96,0 1-8,0 0-224,0 0 128,4 0-24,1 2-152,7 10 96,-12-12-48,10 14 56,4 6-8,1 7-48,9 7 40,-24-34-40,29 41 88,4 9 0,8 5 64,-2 4-79,-39-59-73,36 61 16,-3 0-32,-9-3 32,-7-5-49,-17-53 33,5 47 0,7-3-16,-12-3-24,0-4-24,0-37 64,0 34-144,-5-4-48,-9-2-88,2-3-24,12-25 304,-15 21-376,-4-4-152,-2-3-328,-8-3-360,29-11 1216,-32 5-1793,-9-1-1247,5 0-2890,0-4 985,36 0 4945,-41-1-6721,41 1 6721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8:22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49 112 3848,'0'0'0,"0"-5"464,-2-7 73,-1 6 351,3 6-888,0-14 1272,0 9 296,3 0 33,-1-7-121,-2 12-1480,5-4 1280,0-2-175,-3 1-161,1-7-112,-3 12-832,4-3 792,-1-1-8,-1 0-40,5 0-15,-7 4-729,3-3 728,-3 0-80,0 2-64,0-1-32,0 2-552,0-1 400,0 1 48,0 0-184,0 0-80,0 0-184,0 0 144,-3 0-64,-1 0 96,-1 3-64,5-3-112,-12 4 160,7 7-23,-10-8-57,13 8 72,2-11-152,-17 5 120,12 7-40,3-7 56,-3 10-88,5-15-48,-5 5-32,3 10 64,2-10-48,0 6 32,0-11-16,2 3 40,1 8 64,11-8-128,-9 0 80,-5-3-56,14 3-16,1 0 48,-5-1-88,2-2-16,-12 0 72,12 0 40,-5 0-232,7 3 152,-14-3-24,0 0 64,5 0-112,-5 3 56,0 0-136,0 1-89,0-4 281,0 12-272,-2-8-272,-3 10-360,-7-3-816,12-11 1720,-12 13-3625,5-9-1296,-5 12-3265,12-16 8186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18:25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4283 798 6025,'0'0'0,"0"0"0,0-14 4921,0 3-2081,3-2-879,-1 6-441,-2 7-1520,0-11 1360,0 9-159,0-1-129,0 2-88,0 1-984,0-1 624,0 1-152,0 0-200,-2 0-119,2 0-153,0 2 136,0 1-16,-3 9 112,-1-8-120,4-4-112,0 14 96,0-10 48,0 13-96,0-6 0,0-11-48,0 12 56,4-1 32,10 2-64,-2-2 32,-12-11-56,12 5 72,5 7-104,1-9-24,4 2 56,-22-5 0,20 2-24,4 1-16,-1-3 0,-3 0-64,-20 0 104,20-1-104,-1-3 32,-4-1 48,-2 0-48,-13 5 72,5-5-160,0 1 72,-3 0 48,1 2-16,-3 2 56,0 0-120,0 0 24,-5 0-81,-7 3 137,12-3 40,-14 4 0,-5 8 40,3-8 16,-10 9 1,26-13-57,-23 4 176,-4 10-72,2-2-32,1-8 8,24-4-80,-23 16 40,1-12-80,4 12 72,-1-12-144,19-4 112,-15 12-120,2-9 104,-2 0 56,3 1-16,12-4-24,-12 3-48,-3-3 72,2 0-8,1 0 24,12 0-40,-11 0-40,-1-1 8,8-2-128,-11-2 120,15 5 40,-5-5 136,-8-9-176,1 10 40,0-9-128,12 13 128,-15-4-89,4-9-23,-3 10 56,0-1-8,14 4 64,-12-2-232,0 1 152,0 1 40,0 4-8,12-4 48,-13 13-16,-1-9 0,-1 12 16,1-5 16,14-11-16,-16 13 16,4-1 8,-5 0-8,-1-1 32,18-11-48,-19 12 176,-5 0-160,0 0 0,-3-8-16,27-4 0,-29 16 40,1-12-40,-2 9 8,-4-11-8,34-2 0,-33 3 0,-2 0 16,7-3 24,4-1 0,24 1-40,-19-3 40,3-3-16,-1-7 8,8 8-24,9 5-8,-5-16 16,-6 3-16,6 1 32,0-1-8,5 13-24,-14-12-24,11 7 8,-12-10-40,5 11 16,10 4 40,-5-5 0,-9 2-40,9 3 40,-9 0-24,14 0 24,-12 4-56,-2 10 72,0-2-48,0-1 72,14-11-40,-12 13 40,0 1-8,1 0 8,1-1-32,10-13-8,-14 14 16,0-1-16,-2-2 24,1-6 8,15-5-32,-14 12 16,-2-9-8,-1 0 24,3 0 9,14-3-41,-16 3 24,1-3 0,1 0 24,3 0-24,11 0-24,-12 0 0,-2 0 16,-1-2-32,4-1 32,11 3-16,-12-4 48,0 0-56,0-2-24,6 2 32,6 4 0,-12-4-64,7 1 48,-7 3 32,7 0-113,5 0 97,-18 3 0,3 1-24,1 12 48,1-5 17,13-11-41,-15 14 16,1 2-8,0-2-16,2 3 64,12-17-56,-14 15 24,-1 0-8,2-1-8,-6-3 72,19-11-80,-10 11 32,-3-6-32,3 8-16,-2-11-88,12-2 104,-12 5-32,-4-1 24,4 0-64,0 0 15,12-4 57,-18 5-320,3-2-624,1-1-1088,-4-2-3657,18 0 5689,-12 0-4961,-5-1-2361,17 1 7322</inkml:trace>
  <inkml:trace contextRef="#ctx0" brushRef="#br0" timeOffset="1">2077 864 14571,'0'0'0,"-5"-3"1992,2-2-600,0 1-247,3 4-1145,-3-1 928,3-1-64,0 2-120,0 0-144,0 0-600,0 0 384,0 0-128,0 0-96,0 3-80,0-3-80,3 12 192,8-10 1,-7 14 7,11-3-88,-15-13-112,2 15 104,14 4 8,-2 4-32,-2 3 88,-12-26-168,15 29 112,-2 2-48,2 5-64,4 2 40,-19-38-40,11 40-40,6 3 32,-7 0-64,8-2-288,-18-41 360,14 40-865,-2-4-567,0-5-712,-10 0-1457,-2-31 3601,14 22-4937,5-10-360,-19 1 360,0-13 4937</inkml:trace>
  <inkml:trace contextRef="#ctx0" brushRef="#br0" timeOffset="2">1630 913 15899,'0'0'0,"0"-5"1392,4-7-640,-4 12-752,3-4 488,8 0-279,-11 4-33,2 0 120,-2 0-296,5 0 336,0 3 72,-3-1 16,13 10 64,-15-12-488,4 4 496,12 13-40,-1-3-88,4 2-16,-19-16-352,23 21 240,1 2-48,9 2 32,2 4-112,-35-29-112,37 31 40,4 2 0,2-2-56,-6 2 32,-37-33-16,33 30 0,-3-1 17,-4-2-34,-11-3-7,-15-24 24,11 23 49,-11-3-17,5-2-24,-5-1 40,0-17-48,-5 16 104,-11-1-8,-6-2 24,-6-9 16,28-4-136,-28 13 0,-12-13 32,-3 3 8,-4-3-120,47 0 80,-56-2 0,-3-3-16,0-8 32,-2 1 64,61 12-80,-58-15 24,-1-2 8,4-3-32,-6-2-16,61 22 16,-58-26-64,-6-1-24,-3-4 32,4-3 56,63 34 0,-66-41 48,7-2-24,7-2 32,7 1-96,45 44 40,-42-46 0,12 0 56,4-1-16,5-3 16,21 50-56,-5-48 0,0-3 8,5 5-16,10 5-48,-10 41 56,16-41-32,10 4 8,7 1 8,7 4 16,-40 32 0,49-31 72,5 2-72,5 2 120,8 0-40,-67 27-80,67-25 48,7 1 0,1 1-96,5-1 72,-80 24-24,89-21-80,5 1 24,5 1 72,8 1-72,-107 18 56,115-17 24,3-2 8,9 2-64,0-1 32,-127 18 0,125-17 0,7 0 0,2 0 32,-2 3-24,-132 14-8,129-14 0,1 0 0,-1 1-40,1 1 40,-130 12 0,127-5-16,2-8 32,-4 9-80,-3-1 32,-122 5 32,119-4-16,-12 1-64,-3 2 24,-7-1-80,-97 2 136,89-1-240,-11 1 47,-2 0-143,-14 0 96,-62 0 240,62 0-296,-5 4 8,-13 1 208,-4 6-104,-40-11 184,28 3-224,-4 1 32,-7 7-64,-15-8 8,-2-3 248,12 12-152,-12-10 24,4 11-40,1-9 136,-5-4 32,0 18-16,0-7-32,-5 4-8,-2-1-56,7-14 112,-2 15 16,-14 0-56,6 1-48,-4-1 24,14-15 64,-12 16-88,1-2 104,-4 3 48,1 0 8,14-17-72,-11 17-48,-1 2 24,-3-1 48,1 2-64,14-20 40,-13 18 40,-4-1-56,2 2-192,-3-1 232,18-18-24,-17 19-40,1-1 32,0-1 80,-6-1-224,22-16 152,-18 16-64,-2-3-8,-3-1 24,-1 1-40,24-13 88,-23 11 16,-3 2-16,-2-2 112,-1-7 32,29-4-144,-35 19 16,0-6 32,0 0-8,-3-1-80,38-12 40,-43 12-72,1-1 48,-10 0-8,-1 4 120,53-15-88,-62 12 80,-9 3-56,-9 0-128,-9 0 48,89-15 56,-99 15 80,-7 2-48,-9-2 48,-10 1-40,125-16-40,-130 17-48,-7 0 48,-2 0 40,-4 0-80,143-17 40,-148 17 136,0 0-120,-6 3 16,-3-1-40,157-19 8,-165 21-80,-2 1 104,-3 0 8,1 2-32,169-24 0,-170 26 96,3 1-168,2 1 56,89-15 152,76-13-136,-94 17-8,7-2 144,-13 4-72,12 0-168,88-19 104,-101 19-120,12-2-24,-5 3-48,10-5 0,84-15 192,-65 13-232,8-1-320,15-10-649,12 3-2704,30-5 3905,-15 3-4352,8-1-1338,7-2 5690</inkml:trace>
  <inkml:trace contextRef="#ctx0" brushRef="#br0" timeOffset="3">949 1405 15835,'0'0'0,"-4"-5"4777,1-2-3241,-2 1-472,5 6-1064,-2-3 505,-3 3-209,0 0-8,-14 3 8,19-3-296,-21 5 272,-5 10 8,-4-11-136,14 0 280,16-4-424,-19 12 272,-3-10-64,-1 10-80,-1-9-368,24-3 240,-26 14-288,2-10-328,-3 10-344,3-9-929,24-5 1889,-24 15-4041,4-10-1912,5-1-2993,15-4 8946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C1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1" t="s">
        <v>8</v>
      </c>
      <c r="C2" s="71" t="s">
        <v>44</v>
      </c>
      <c r="D2" s="71"/>
      <c r="E2" s="11" t="s">
        <v>7</v>
      </c>
      <c r="F2" s="66">
        <v>45929</v>
      </c>
      <c r="G2" s="66"/>
      <c r="H2" s="66"/>
      <c r="I2" s="66"/>
      <c r="J2" s="66"/>
    </row>
    <row r="3" spans="1:10" ht="30" customHeight="1" x14ac:dyDescent="0.3">
      <c r="B3" s="11" t="s">
        <v>9</v>
      </c>
      <c r="C3" s="71" t="s">
        <v>85</v>
      </c>
      <c r="D3" s="71"/>
      <c r="E3" s="11" t="s">
        <v>6</v>
      </c>
      <c r="F3" s="71" t="s">
        <v>122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7" t="s">
        <v>0</v>
      </c>
      <c r="C5" s="68"/>
      <c r="D5" s="68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53"/>
      <c r="J6" s="54"/>
    </row>
    <row r="7" spans="1:10" ht="24.9" customHeight="1" thickBot="1" x14ac:dyDescent="0.35">
      <c r="A7" s="9"/>
      <c r="B7" s="49" t="s">
        <v>21</v>
      </c>
      <c r="C7" s="50"/>
      <c r="D7" s="50"/>
      <c r="E7" s="28" t="s">
        <v>18</v>
      </c>
      <c r="F7" s="28" t="s">
        <v>19</v>
      </c>
      <c r="G7" s="28" t="s">
        <v>22</v>
      </c>
      <c r="H7" s="28" t="s">
        <v>20</v>
      </c>
      <c r="I7" s="55" t="s">
        <v>25</v>
      </c>
      <c r="J7" s="56"/>
    </row>
    <row r="8" spans="1:10" ht="39.9" customHeight="1" x14ac:dyDescent="0.3">
      <c r="A8" s="9"/>
      <c r="B8" s="61" t="s">
        <v>181</v>
      </c>
      <c r="C8" s="62"/>
      <c r="D8" s="62"/>
      <c r="E8" s="33"/>
      <c r="F8" s="34"/>
      <c r="G8" s="35"/>
      <c r="H8" s="36"/>
      <c r="I8" s="59"/>
      <c r="J8" s="60"/>
    </row>
    <row r="9" spans="1:10" ht="39.9" customHeight="1" x14ac:dyDescent="0.3">
      <c r="A9" s="9"/>
      <c r="B9" s="63" t="s">
        <v>182</v>
      </c>
      <c r="C9" s="64"/>
      <c r="D9" s="64"/>
      <c r="E9" s="30">
        <v>10</v>
      </c>
      <c r="F9" s="25">
        <v>7.75</v>
      </c>
      <c r="G9" s="31">
        <f>IFERROR(F9/E9,"")</f>
        <v>0.77500000000000002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9.9" customHeight="1" x14ac:dyDescent="0.3">
      <c r="A10" s="9"/>
      <c r="B10" s="63" t="s">
        <v>183</v>
      </c>
      <c r="C10" s="64"/>
      <c r="D10" s="64"/>
      <c r="E10" s="30">
        <v>5</v>
      </c>
      <c r="F10" s="25">
        <v>3.75</v>
      </c>
      <c r="G10" s="31">
        <f t="shared" ref="G10:G16" si="0">IFERROR(F10/E10,"")</f>
        <v>0.75</v>
      </c>
      <c r="H10" s="32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9.9" customHeight="1" thickBot="1" x14ac:dyDescent="0.35">
      <c r="A11" s="9"/>
      <c r="B11" s="43" t="s">
        <v>184</v>
      </c>
      <c r="C11" s="44"/>
      <c r="D11" s="44"/>
      <c r="E11" s="37">
        <v>5</v>
      </c>
      <c r="F11" s="27">
        <v>3.75</v>
      </c>
      <c r="G11" s="38">
        <f t="shared" si="0"/>
        <v>0.75</v>
      </c>
      <c r="H11" s="39" t="str">
        <f t="shared" si="1"/>
        <v>جيد</v>
      </c>
      <c r="I11" s="89"/>
      <c r="J11" s="90"/>
    </row>
    <row r="12" spans="1:10" ht="39.9" customHeight="1" thickBot="1" x14ac:dyDescent="0.35">
      <c r="A12" s="9"/>
      <c r="B12" s="45" t="s">
        <v>185</v>
      </c>
      <c r="C12" s="46"/>
      <c r="D12" s="46"/>
      <c r="E12" s="40">
        <v>20</v>
      </c>
      <c r="F12" s="41">
        <v>15.75</v>
      </c>
      <c r="G12" s="42">
        <f t="shared" si="0"/>
        <v>0.78749999999999998</v>
      </c>
      <c r="H12" s="26" t="str">
        <f t="shared" si="1"/>
        <v>جيد</v>
      </c>
      <c r="I12" s="47"/>
      <c r="J12" s="48"/>
    </row>
    <row r="13" spans="1:10" ht="39.9" customHeight="1" thickBot="1" x14ac:dyDescent="0.35">
      <c r="A13" s="9"/>
      <c r="B13" s="45" t="s">
        <v>186</v>
      </c>
      <c r="C13" s="46"/>
      <c r="D13" s="46"/>
      <c r="E13" s="40">
        <v>10</v>
      </c>
      <c r="F13" s="41">
        <v>7.75</v>
      </c>
      <c r="G13" s="42">
        <f t="shared" si="0"/>
        <v>0.77500000000000002</v>
      </c>
      <c r="H13" s="26" t="str">
        <f t="shared" si="1"/>
        <v>جيد</v>
      </c>
      <c r="I13" s="47"/>
      <c r="J13" s="48"/>
    </row>
    <row r="14" spans="1:10" ht="39.9" customHeight="1" thickBot="1" x14ac:dyDescent="0.35">
      <c r="A14" s="9"/>
      <c r="B14" s="45" t="s">
        <v>187</v>
      </c>
      <c r="C14" s="46"/>
      <c r="D14" s="46"/>
      <c r="E14" s="40">
        <v>10</v>
      </c>
      <c r="F14" s="41">
        <v>7.75</v>
      </c>
      <c r="G14" s="42">
        <f t="shared" si="0"/>
        <v>0.77500000000000002</v>
      </c>
      <c r="H14" s="26" t="str">
        <f t="shared" si="1"/>
        <v>جيد</v>
      </c>
      <c r="I14" s="47"/>
      <c r="J14" s="48"/>
    </row>
    <row r="15" spans="1:10" ht="39.9" customHeight="1" thickBot="1" x14ac:dyDescent="0.35">
      <c r="A15" s="9"/>
      <c r="B15" s="45" t="s">
        <v>188</v>
      </c>
      <c r="C15" s="46"/>
      <c r="D15" s="46"/>
      <c r="E15" s="40">
        <v>5</v>
      </c>
      <c r="F15" s="41">
        <v>3.75</v>
      </c>
      <c r="G15" s="42">
        <f t="shared" si="0"/>
        <v>0.75</v>
      </c>
      <c r="H15" s="26" t="str">
        <f t="shared" si="1"/>
        <v>جيد</v>
      </c>
      <c r="I15" s="47"/>
      <c r="J15" s="48"/>
    </row>
    <row r="16" spans="1:10" ht="39.9" customHeight="1" thickBot="1" x14ac:dyDescent="0.35">
      <c r="A16" s="9"/>
      <c r="B16" s="45" t="s">
        <v>189</v>
      </c>
      <c r="C16" s="46"/>
      <c r="D16" s="46"/>
      <c r="E16" s="40">
        <v>5</v>
      </c>
      <c r="F16" s="41">
        <v>3.75</v>
      </c>
      <c r="G16" s="42">
        <f t="shared" si="0"/>
        <v>0.75</v>
      </c>
      <c r="H16" s="26" t="str">
        <f t="shared" si="1"/>
        <v>جيد</v>
      </c>
      <c r="I16" s="47"/>
      <c r="J16" s="48"/>
    </row>
    <row r="17" spans="1:10" ht="30" customHeight="1" thickBot="1" x14ac:dyDescent="0.35">
      <c r="A17" s="4"/>
      <c r="B17" s="85" t="s">
        <v>5</v>
      </c>
      <c r="C17" s="86"/>
      <c r="D17" s="86"/>
      <c r="E17" s="29">
        <f>SUM(E8:E16)</f>
        <v>70</v>
      </c>
      <c r="F17" s="29">
        <f>SUM(F8:F16)</f>
        <v>54</v>
      </c>
      <c r="G17" s="74"/>
      <c r="H17" s="75"/>
      <c r="I17" s="75"/>
      <c r="J17" s="76"/>
    </row>
    <row r="18" spans="1:10" ht="30" customHeight="1" thickBot="1" x14ac:dyDescent="0.35">
      <c r="A18" s="4"/>
      <c r="B18" s="87" t="s">
        <v>54</v>
      </c>
      <c r="C18" s="88"/>
      <c r="D18" s="88"/>
      <c r="E18" s="83">
        <f>F17/E17/100*100</f>
        <v>0.77142857142857146</v>
      </c>
      <c r="F18" s="83"/>
      <c r="G18" s="83"/>
      <c r="H18" s="83"/>
      <c r="I18" s="83"/>
      <c r="J18" s="84"/>
    </row>
    <row r="19" spans="1:10" ht="30" customHeight="1" thickBot="1" x14ac:dyDescent="0.35">
      <c r="A19" s="4"/>
      <c r="B19" s="87" t="s">
        <v>55</v>
      </c>
      <c r="C19" s="88"/>
      <c r="D19" s="88"/>
      <c r="E19" s="81" t="str">
        <f>_xlfn.IFS(E18&gt;=90%,"ممتاز",E18&gt;=80%,"جيد جداً",E18&gt;=70%,"جيد",E18&gt;=60%,"مقبول",E18&lt;60%,"راسب")</f>
        <v>جيد</v>
      </c>
      <c r="F19" s="81"/>
      <c r="G19" s="81"/>
      <c r="H19" s="81"/>
      <c r="I19" s="81"/>
      <c r="J19" s="82"/>
    </row>
    <row r="20" spans="1:10" ht="42" customHeight="1" x14ac:dyDescent="0.3">
      <c r="B20" s="77" t="s">
        <v>174</v>
      </c>
      <c r="C20" s="77"/>
      <c r="D20" s="77"/>
      <c r="E20" s="72" t="s">
        <v>52</v>
      </c>
      <c r="F20" s="72"/>
      <c r="G20" s="79" t="s">
        <v>122</v>
      </c>
      <c r="H20" s="79"/>
      <c r="I20" s="79"/>
      <c r="J20" s="79"/>
    </row>
    <row r="21" spans="1:10" ht="51" customHeight="1" x14ac:dyDescent="0.3">
      <c r="A21" s="5"/>
      <c r="B21" s="78"/>
      <c r="C21" s="78"/>
      <c r="D21" s="78"/>
      <c r="E21" s="73" t="s">
        <v>53</v>
      </c>
      <c r="F21" s="73"/>
      <c r="G21" s="80"/>
      <c r="H21" s="80"/>
      <c r="I21" s="80"/>
      <c r="J21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F0178844-6A42-4AAF-AE1D-013FC1061507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7E9231D-51CF-464C-A69E-92D328CB1D5A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67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2025-10-08T17:34:22Z</dcterms:modified>
</cp:coreProperties>
</file>