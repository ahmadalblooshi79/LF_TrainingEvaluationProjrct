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DB2CDE8-C28C-4F0C-84F4-9EC918F0BF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5" i="2"/>
  <c r="H35" i="2"/>
  <c r="G36" i="2"/>
  <c r="H36" i="2" s="1"/>
  <c r="G37" i="2"/>
  <c r="H37" i="2"/>
  <c r="G38" i="2"/>
  <c r="H38" i="2"/>
  <c r="G39" i="2"/>
  <c r="H39" i="2"/>
  <c r="G40" i="2"/>
  <c r="H40" i="2"/>
  <c r="G41" i="2"/>
  <c r="H41" i="2"/>
  <c r="G42" i="2"/>
  <c r="H42" i="2"/>
  <c r="G44" i="2"/>
  <c r="H44" i="2"/>
  <c r="G45" i="2"/>
  <c r="H45" i="2"/>
  <c r="G46" i="2"/>
  <c r="H46" i="2"/>
  <c r="G47" i="2"/>
  <c r="H47" i="2"/>
  <c r="F48" i="2"/>
  <c r="E48" i="2"/>
  <c r="E49" i="2"/>
  <c r="E50" i="2" s="1"/>
</calcChain>
</file>

<file path=xl/sharedStrings.xml><?xml version="1.0" encoding="utf-8"?>
<sst xmlns="http://schemas.openxmlformats.org/spreadsheetml/2006/main" count="277" uniqueCount="221">
  <si>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</si>
  <si>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</si>
  <si>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</si>
  <si>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</si>
  <si>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</si>
  <si>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</si>
  <si>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</si>
  <si>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</si>
  <si>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</si>
  <si>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</si>
  <si>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</si>
  <si>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</si>
  <si>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</si>
  <si>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</si>
  <si>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</si>
  <si>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</si>
  <si>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</si>
  <si>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</si>
  <si>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</si>
  <si>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</si>
  <si>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</si>
  <si>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</si>
  <si>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</si>
  <si>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</si>
  <si>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</si>
  <si>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</si>
  <si>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</si>
  <si>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</si>
  <si>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</si>
  <si>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</si>
  <si>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</si>
  <si>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</si>
  <si>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</si>
  <si>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</si>
  <si>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</si>
  <si>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</si>
  <si>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</si>
  <si>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</si>
  <si>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</si>
  <si>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</si>
  <si>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</si>
  <si>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</si>
  <si>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</si>
  <si>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</si>
  <si>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</si>
  <si>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</si>
  <si>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</si>
  <si>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</si>
  <si>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</si>
  <si>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</si>
  <si>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</si>
  <si>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</si>
  <si>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</si>
  <si>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</si>
  <si>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</si>
  <si>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</si>
  <si>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</si>
  <si>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</si>
  <si>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</si>
  <si>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</si>
  <si>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</si>
  <si>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</si>
  <si>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</si>
  <si>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</si>
  <si>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</si>
  <si>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</si>
  <si>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</si>
  <si>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</si>
  <si>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</si>
  <si>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</si>
  <si>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</si>
  <si>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</si>
  <si>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</si>
  <si>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</si>
  <si>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</si>
  <si>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</si>
  <si>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</si>
  <si>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</si>
  <si>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</si>
  <si>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</si>
  <si>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</si>
  <si>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</si>
  <si>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</si>
  <si>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</si>
  <si>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</si>
  <si>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</si>
  <si>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</si>
  <si>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</si>
  <si>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</si>
  <si>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</si>
  <si>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</si>
  <si>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</si>
  <si>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</si>
  <si>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</si>
  <si>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</si>
  <si>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</si>
  <si>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</si>
  <si>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</si>
  <si>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</si>
  <si>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</si>
  <si>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</si>
  <si>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</si>
  <si>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</si>
  <si>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</si>
  <si>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</si>
  <si>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</si>
  <si>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</si>
  <si>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</si>
  <si>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</si>
  <si>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</si>
  <si>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</si>
  <si>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</si>
  <si>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</si>
  <si>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</si>
  <si>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</si>
  <si>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</si>
  <si>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</si>
  <si>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</si>
  <si>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</si>
  <si>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</si>
  <si>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</si>
  <si>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</si>
  <si>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</si>
  <si>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</si>
  <si>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</si>
  <si>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</si>
  <si>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</si>
  <si>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</si>
  <si>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</si>
  <si>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</si>
  <si>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</si>
  <si>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</si>
  <si>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</si>
  <si>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</si>
  <si>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</si>
  <si>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</si>
  <si>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</si>
  <si>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</si>
  <si>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</si>
  <si>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</si>
  <si>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</si>
  <si>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</si>
  <si>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</si>
  <si>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</si>
  <si>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</si>
  <si>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</si>
  <si>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</si>
  <si>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</si>
  <si>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</si>
  <si>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</si>
  <si>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</si>
  <si>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</si>
  <si>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</si>
  <si>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</si>
  <si>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</si>
  <si>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</si>
  <si>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</si>
  <si>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</si>
  <si>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</si>
  <si>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</si>
  <si>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</si>
  <si>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</si>
  <si>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</si>
  <si>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</si>
  <si>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</si>
  <si>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</si>
  <si>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</si>
  <si>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</si>
  <si>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</si>
  <si>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</si>
  <si>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</si>
  <si>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</si>
  <si>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</si>
  <si>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</si>
  <si>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</si>
  <si>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</si>
  <si>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</si>
  <si>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</si>
  <si>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</si>
  <si>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</si>
  <si>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تأمين سرية الـ م د لمنطقة التجمع الأمامية
تمرين جاهزية مجموعة لواء الإمارات/1 (جندي الصحراء 2025/20)</t>
  </si>
  <si>
    <t>مرحلة التخطيط</t>
  </si>
  <si>
    <r>
      <t>1.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فهم القادة في سرية الـ م/د للموقف باستخدام معدات الاتصال المتوفرة، والخرائط، وتقارير الموقف، ومصادر المعلومات المتوفرة الأخرى.</t>
    </r>
  </si>
  <si>
    <r>
      <t>2.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الاستطلاع من الخارطة أو من الأرض ذا أمكن</t>
    </r>
  </si>
  <si>
    <r>
      <t>3.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التخطيط لتأمين منطقة التجمع لمجموعة اللواء التي يجب أن توفر ما يلي:</t>
    </r>
  </si>
  <si>
    <t>أ. أن تكون خارج مدى مراقبة العدو الأرضية من مواقعه الأمامية.</t>
  </si>
  <si>
    <t>ب. أن تكون محمية ومستورة.</t>
  </si>
  <si>
    <t xml:space="preserve">جـ. أن تكون واسعة بحيث تساعد القوات على الانفتاح والانتشار </t>
  </si>
  <si>
    <t>د. لها مداخل ومخارج جيدة.</t>
  </si>
  <si>
    <t>هـ. أن يتم وضع الإشارات والعلامات فيها بعناية وحذر.</t>
  </si>
  <si>
    <r>
      <t>4.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تقوم سرية الـ م/د بتحديد موقع الوحدات في منطقة التجمع.</t>
    </r>
  </si>
  <si>
    <r>
      <t>5.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تحديد أولوية العمل وتوفير أعمال الصيانة وإعادة التزويد.</t>
    </r>
  </si>
  <si>
    <r>
      <t>6.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تقوم سرية الـ م/د بالتحضير لاحتلال منطقة التجمع.</t>
    </r>
  </si>
  <si>
    <r>
      <t>7.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إجراء التجارب خلال ساعات النهار وفي ظل ظروف الرؤية المحدودة إن أمكن</t>
    </r>
  </si>
  <si>
    <t>مرحلة التنفيذ</t>
  </si>
  <si>
    <r>
      <t>1.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حركة سرية الـ م/د وتأمين منطقة التجمع حسب الخطة الموضوعة.</t>
    </r>
  </si>
  <si>
    <r>
      <t>2.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تطبق إجراءات الحماية أثناء الحركة.</t>
    </r>
  </si>
  <si>
    <r>
      <t>3.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تنظيم الدخول لمنطقة التجمع وحسب تسلسل بدء الحركة ونظام المسير لكل فصيل ويأخذ كل فصيل قطاع محدد.</t>
    </r>
  </si>
  <si>
    <r>
      <t>4.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السيطرة على الطرق المؤدية من وإلى منطقة التجمع.</t>
    </r>
  </si>
  <si>
    <r>
      <t>5.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توزيع القوة في منطقة التجمع (الدفاع الدائري).</t>
    </r>
  </si>
  <si>
    <t>أ. وصول القوة إلى منطقة التجمع.</t>
  </si>
  <si>
    <t>ب. إنشاء دفاع محلي.</t>
  </si>
  <si>
    <t>جـ. تخصيص المواقع في منطقة التجمع.</t>
  </si>
  <si>
    <t xml:space="preserve">د. تأشير نقاط الالتقاء. </t>
  </si>
  <si>
    <t>هـ. تأشير مواقع الآليات (ليلاً / نهاراً).</t>
  </si>
  <si>
    <t>و. تأشير مواقع القيادة الرئيسية.</t>
  </si>
  <si>
    <t>ز. تأشير مواقع الإسناد (الصيانة - الإسناد الطبي - الأرزاق).</t>
  </si>
  <si>
    <r>
      <t>6.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تنفيذ إجراءات الحماية في منطقة التجمع وكما يلي:</t>
    </r>
  </si>
  <si>
    <t>أ‌. تأسيس وإدامة الأمن والحماية.</t>
  </si>
  <si>
    <t>ب. توضيع وتمويه الآليات.</t>
  </si>
  <si>
    <t>جـ. توضيع مراكز المراقبة.</t>
  </si>
  <si>
    <t>د. توضيع أجهزة الإنذار الكيميائية والجرثومية والإشعاعية والنووية.</t>
  </si>
  <si>
    <t>هـ. تأسيس الاتصالات مع الوحدات المجاورة / التنسيق مع الأجنحة.</t>
  </si>
  <si>
    <t>و. تحضير بطاقات المدى وخطط النيران.</t>
  </si>
  <si>
    <t>ز. اختيار مواقع بديلة وثانوية ونقاط تجمع للآليات.</t>
  </si>
  <si>
    <t>ح. تنفيذ إجراءات المعركة.</t>
  </si>
  <si>
    <r>
      <t>7.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استكمال التحضيرات والتفتيشات وسد النقص وكما يلي:</t>
    </r>
  </si>
  <si>
    <t>أ. إدامة الآليات ومعدات الاتصال والأسلحة.</t>
  </si>
  <si>
    <t>ب. التأكد من حالة الأسلحة وتضبيط الموجهات واختبار الرماية وأي تحضيرات أخرى ضرورية.</t>
  </si>
  <si>
    <t>جـ. تنفيذ عمليات إعادة التزويد للإمداد والوقود والذخيرة.</t>
  </si>
  <si>
    <r>
      <t>8.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المكوث في منطقة التجمع أقل وقت ممكن لتنفيذ الواجبات والعمل بشكل متوازي للجميع لتحقيق أقل وقت ممكن في منطقة التجمع.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</si>
</sst>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5" borderId="25" xfId="0" applyFont="1" applyFill="1" applyBorder="1" applyAlignment="1">
      <alignment vertical="center" wrapText="1" readingOrder="2"/>
    </xf>
    <xf numFmtId="0" fontId="1" fillId="5" borderId="26" xfId="0" applyFont="1" applyFill="1" applyBorder="1" applyAlignment="1">
      <alignment vertical="center" wrapText="1" readingOrder="2"/>
    </xf>
    <xf numFmtId="0" fontId="1" fillId="5" borderId="27" xfId="0" applyFont="1" applyFill="1" applyBorder="1" applyAlignment="1">
      <alignment vertical="center" wrapText="1" readingOrder="2"/>
    </xf>
    <xf numFmtId="0" fontId="12" fillId="0" borderId="24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100797</xdr:colOff>
      <xdr:row>50</xdr:row>
      <xdr:rowOff>460320</xdr:rowOff>
    </xdr:from>
    <xdr:to>
      <xdr:col>9</xdr:col>
      <xdr:colOff>94263</xdr:colOff>
      <xdr:row>53</xdr:row>
      <xdr:rowOff>121102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40A4717F-13BB-5822-C5F1-F6EEB36F15D0}"/>
                </a:ext>
              </a:extLst>
            </xdr14:cNvPr>
            <xdr14:cNvContentPartPr/>
          </xdr14:nvContentPartPr>
          <xdr14:nvPr macro=""/>
          <xdr14:xfrm>
            <a:off x="11438345465" y="20272320"/>
            <a:ext cx="2140920" cy="1011600"/>
          </xdr14:xfrm>
        </xdr:contentPart>
      </mc:Choice>
      <mc:Fallback xmlns=""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40A4717F-13BB-5822-C5F1-F6EEB36F15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336825" y="20263680"/>
              <a:ext cx="2158560" cy="1029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9:36:30.4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643 1417,'0'0,"0"0,0 0,0 0,0 0,0 0,0 0,0 0,0 0,0 0,0 0,0 0,0 0,0 0,0 0,0 0,0 0,0 0,0 0,0 0,-15 16,15 0,0-13,-12 11,-3 2,12-13,-22 26,10 4,12-27,-22 36,11-9,11-27,-9 21,12 6,0-28,0 6,0 22,0-28,29 6,57-27,-74 13,88-27,56-35,-131 54,107-60,51-10,-151 68,121-72,101-77,-208 134,164-107,17-12,-188 122,105-79,27-11,-142 96,84-43,-28-3,-70 55,41-29,16 6,-59 28,2-6,-1 3,-43 32,-14-7,36-14,-71 59,-7 3,74-55,-48 45,-69 43,106-83,-99 84,24-2,79-81,-36 33,11-16,37-27,-30 20,22-10,13-13,-13 11,29-31,-12 15,-6 21,17-36,-13 15,27-12,14-2,-35 14,15-12,20-19,-36 28,15 10,22-21,-34 13,-3 6,9-3,-13 0,-4 16,2-14,0 12,-15 3,13-14,4 10,-2 3,0-13,15-6,-3 3,18 0,-25 0,18 0,5-16,-24 14,35 4,-10-2,-25 0,20 0,-10 0,-11 0,7 16,5-16,-13 0,-19 16,17-14,-13 13,-1 1,11-13,-9 10,-16 3,24-13,-20-6,9 21,13-16,-10-4,-1 2,11 0,17 0,-13 0,10 0,17-18,-23 16,30-12,6-2,-34 14,57-45,47-18,-95 55,79-45,32-26,-105 66,111-51,7-15,-118 67,81-38,11-13,-95 53,45-25,33-12,-81 41,24-16,28-9,-58 28,36-22,-5-6,-35 28,29-6,-21-5,-13 13,23 6,-25-19,0 13,0 22,-27-19,21 0,-18 32,-88 17,92-41,-103 65,-48 25,146-82,-147 81,-56 50,192-123,-183 99,-21 7,199-108,-174 119,-39 5,213-122,-189 114,-38 26,226-139,-186 129,-42 9,227-137,-155 94,-29 10,193-110,-130 74,37-28,107-57,-45 30,-6-6,60-28,-7 22,-10-27,24 0,23 0,-34 17,13-15,19-21,-15 17,23-12,46-18,-61 27,80-55,52-23,-119 71,137-89,52-29,-175 108,154-86,64-55,-214 137,174-95,40-25,-212 121,169-97,43-40,-212 134,142-108,28-26,-180 136,117-94,-8-10,-119 108,54-55,-22-4,-44 68,8-55,-6 19,-11 41,-32-32,3-9,20 41,-29-49,-21-9,46 55,-48-43,-27 5,72 41,-72-16,-26-9,92 28,-75-6,-18 11,96 0,-51 0,-32 32,85-26,-55 37,0 6,60-41,-51 65,19-7,34-56,-26 61,3 27,28-82,-6 65,21 0,-9-67,37 37,3 32,-35-71,84 40,20-3,-92-41,103 17,19 7,-118-27,108 6,10 22,-118-28,37 6,10 5,-61-13,50 11,-18 18,-33-26,25 21,8 5,-33-26,12 22,7 4,-21-27,-14 39,-8 4,15-39,-28 31,-14 9,35-41,-56 49,-10 8,63-55,-65 45,-10-6,72-40,-59 31,17 9,46-41,-40 0,22 8,20-13,-16 11,11-14,9 0,-10 16,13-32,0 13,43-11,27-34,-57 40,102-66,55-24,-140 82,152-98,74-16,-214 108,186-103,54-21,-232 121,143-80,47-9,-199 95,146-93,11 15,-166 82,79-35,-14 1,-79 41,36-16,-11-9,-37 28,-41 27,35-21,-44-2,-68 49,93-40,-132 49,-77 24,195-67,-217 102,-62 31,265-124,-231 101,-35 54,264-148,-213 120,-36 12,250-135,-189 110,-46 41,237-148,-178 119,-31 14,213-136,-156 76,-30 43,192-121,-141 65,23 8,128-82,-62 16,16 17,61-41,-33 33,14-25,26-13,-4-6,5 3,18 0,-12 0,24-33,15 1,-35 26,71-53,-78 59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2"/>
  <sheetViews>
    <sheetView rightToLeft="1" tabSelected="1" view="pageBreakPreview" topLeftCell="A44" zoomScale="130" zoomScaleNormal="100" zoomScaleSheetLayoutView="130" workbookViewId="0">
      <selection activeCell="F36" sqref="F3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47" t="s">
        <v>180</v>
      </c>
      <c r="C1" s="47"/>
      <c r="D1" s="47"/>
      <c r="E1" s="47"/>
      <c r="F1" s="47"/>
      <c r="G1" s="47"/>
      <c r="H1" s="47"/>
      <c r="I1" s="47"/>
      <c r="J1" s="47"/>
    </row>
    <row r="2" spans="1:10" ht="30" customHeight="1" x14ac:dyDescent="0.3">
      <c r="B2" s="10" t="s">
        <v>8</v>
      </c>
      <c r="C2" s="53" t="s">
        <v>27</v>
      </c>
      <c r="D2" s="53"/>
      <c r="E2" s="10" t="s">
        <v>7</v>
      </c>
      <c r="F2" s="48">
        <v>45952</v>
      </c>
      <c r="G2" s="48"/>
      <c r="H2" s="48"/>
      <c r="I2" s="48"/>
      <c r="J2" s="48"/>
    </row>
    <row r="3" spans="1:10" ht="30" customHeight="1" x14ac:dyDescent="0.3">
      <c r="B3" s="10" t="s">
        <v>9</v>
      </c>
      <c r="C3" s="53" t="s">
        <v>70</v>
      </c>
      <c r="D3" s="53"/>
      <c r="E3" s="10" t="s">
        <v>6</v>
      </c>
      <c r="F3" s="53" t="s">
        <v>115</v>
      </c>
      <c r="G3" s="53"/>
      <c r="H3" s="53"/>
      <c r="I3" s="53"/>
      <c r="J3" s="53"/>
    </row>
    <row r="4" spans="1:10" ht="30" customHeight="1" thickBot="1" x14ac:dyDescent="0.35">
      <c r="B4" s="6"/>
      <c r="C4" s="76"/>
      <c r="D4" s="76"/>
      <c r="E4" s="6"/>
      <c r="F4" s="76"/>
      <c r="G4" s="76"/>
      <c r="H4" s="76"/>
      <c r="I4" s="76"/>
      <c r="J4" s="76"/>
    </row>
    <row r="5" spans="1:10" ht="24.9" customHeight="1" x14ac:dyDescent="0.3">
      <c r="A5" s="8"/>
      <c r="B5" s="49" t="s">
        <v>0</v>
      </c>
      <c r="C5" s="50"/>
      <c r="D5" s="50"/>
      <c r="E5" s="60" t="s">
        <v>1</v>
      </c>
      <c r="F5" s="60"/>
      <c r="G5" s="60"/>
      <c r="H5" s="60"/>
      <c r="I5" s="60" t="s">
        <v>2</v>
      </c>
      <c r="J5" s="61"/>
    </row>
    <row r="6" spans="1:10" ht="24.9" customHeight="1" thickBot="1" x14ac:dyDescent="0.35">
      <c r="A6" s="8"/>
      <c r="B6" s="51"/>
      <c r="C6" s="52"/>
      <c r="D6" s="52"/>
      <c r="E6" s="9" t="s">
        <v>3</v>
      </c>
      <c r="F6" s="9" t="s">
        <v>4</v>
      </c>
      <c r="G6" s="9" t="s">
        <v>23</v>
      </c>
      <c r="H6" s="9" t="s">
        <v>24</v>
      </c>
      <c r="I6" s="62"/>
      <c r="J6" s="63"/>
    </row>
    <row r="7" spans="1:10" ht="24.9" customHeight="1" thickBot="1" x14ac:dyDescent="0.35">
      <c r="A7" s="8"/>
      <c r="B7" s="56" t="s">
        <v>21</v>
      </c>
      <c r="C7" s="57"/>
      <c r="D7" s="57"/>
      <c r="E7" s="26" t="s">
        <v>18</v>
      </c>
      <c r="F7" s="26" t="s">
        <v>19</v>
      </c>
      <c r="G7" s="26" t="s">
        <v>22</v>
      </c>
      <c r="H7" s="26" t="s">
        <v>20</v>
      </c>
      <c r="I7" s="64" t="s">
        <v>25</v>
      </c>
      <c r="J7" s="65"/>
    </row>
    <row r="8" spans="1:10" ht="30" customHeight="1" x14ac:dyDescent="0.3">
      <c r="A8" s="8"/>
      <c r="B8" s="33" t="s">
        <v>181</v>
      </c>
      <c r="C8" s="34"/>
      <c r="D8" s="34"/>
      <c r="E8" s="34"/>
      <c r="F8" s="34"/>
      <c r="G8" s="34"/>
      <c r="H8" s="34"/>
      <c r="I8" s="34"/>
      <c r="J8" s="35"/>
    </row>
    <row r="9" spans="1:10" ht="39.9" customHeight="1" x14ac:dyDescent="0.3">
      <c r="A9" s="8"/>
      <c r="B9" s="38" t="s">
        <v>182</v>
      </c>
      <c r="C9" s="39"/>
      <c r="D9" s="39"/>
      <c r="E9" s="7">
        <v>5</v>
      </c>
      <c r="F9" s="24">
        <v>4</v>
      </c>
      <c r="G9" s="28">
        <f>IFERROR(F9/E9,"")</f>
        <v>0.8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8"/>
      <c r="J9" s="59"/>
    </row>
    <row r="10" spans="1:10" ht="30" customHeight="1" x14ac:dyDescent="0.3">
      <c r="A10" s="8"/>
      <c r="B10" s="38" t="s">
        <v>183</v>
      </c>
      <c r="C10" s="39"/>
      <c r="D10" s="39"/>
      <c r="E10" s="7">
        <v>5</v>
      </c>
      <c r="F10" s="24">
        <v>4.25</v>
      </c>
      <c r="G10" s="28">
        <f t="shared" ref="G10:G47" si="0">IFERROR(F10/E10,"")</f>
        <v>0.85</v>
      </c>
      <c r="H10" s="29" t="str">
        <f t="shared" ref="H10:H47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8"/>
      <c r="J10" s="59"/>
    </row>
    <row r="11" spans="1:10" ht="39.9" customHeight="1" x14ac:dyDescent="0.3">
      <c r="A11" s="8"/>
      <c r="B11" s="38" t="s">
        <v>184</v>
      </c>
      <c r="C11" s="39"/>
      <c r="D11" s="39"/>
      <c r="E11" s="7"/>
      <c r="F11" s="24"/>
      <c r="G11" s="28"/>
      <c r="H11" s="29"/>
      <c r="I11" s="58"/>
      <c r="J11" s="59"/>
    </row>
    <row r="12" spans="1:10" ht="30" customHeight="1" x14ac:dyDescent="0.3">
      <c r="A12" s="8"/>
      <c r="B12" s="36" t="s">
        <v>185</v>
      </c>
      <c r="C12" s="37"/>
      <c r="D12" s="37"/>
      <c r="E12" s="7">
        <v>5</v>
      </c>
      <c r="F12" s="24">
        <v>4.25</v>
      </c>
      <c r="G12" s="28">
        <f t="shared" si="0"/>
        <v>0.85</v>
      </c>
      <c r="H12" s="29" t="str">
        <f t="shared" si="1"/>
        <v>جيد جداً</v>
      </c>
      <c r="I12" s="58"/>
      <c r="J12" s="59"/>
    </row>
    <row r="13" spans="1:10" ht="30" customHeight="1" x14ac:dyDescent="0.3">
      <c r="A13" s="8"/>
      <c r="B13" s="36" t="s">
        <v>186</v>
      </c>
      <c r="C13" s="37"/>
      <c r="D13" s="37"/>
      <c r="E13" s="7">
        <v>5</v>
      </c>
      <c r="F13" s="24">
        <v>4</v>
      </c>
      <c r="G13" s="28">
        <f t="shared" si="0"/>
        <v>0.8</v>
      </c>
      <c r="H13" s="29" t="str">
        <f t="shared" si="1"/>
        <v>جيد جداً</v>
      </c>
      <c r="I13" s="58"/>
      <c r="J13" s="59"/>
    </row>
    <row r="14" spans="1:10" ht="30" customHeight="1" x14ac:dyDescent="0.3">
      <c r="A14" s="8"/>
      <c r="B14" s="36" t="s">
        <v>187</v>
      </c>
      <c r="C14" s="37"/>
      <c r="D14" s="37"/>
      <c r="E14" s="7">
        <v>5</v>
      </c>
      <c r="F14" s="24">
        <v>4</v>
      </c>
      <c r="G14" s="28">
        <f t="shared" si="0"/>
        <v>0.8</v>
      </c>
      <c r="H14" s="29" t="str">
        <f t="shared" si="1"/>
        <v>جيد جداً</v>
      </c>
      <c r="I14" s="58"/>
      <c r="J14" s="59"/>
    </row>
    <row r="15" spans="1:10" ht="30" customHeight="1" x14ac:dyDescent="0.3">
      <c r="A15" s="8"/>
      <c r="B15" s="36" t="s">
        <v>188</v>
      </c>
      <c r="C15" s="37"/>
      <c r="D15" s="37"/>
      <c r="E15" s="7">
        <v>5</v>
      </c>
      <c r="F15" s="24">
        <v>4</v>
      </c>
      <c r="G15" s="28">
        <f t="shared" si="0"/>
        <v>0.8</v>
      </c>
      <c r="H15" s="29" t="str">
        <f t="shared" si="1"/>
        <v>جيد جداً</v>
      </c>
      <c r="I15" s="58"/>
      <c r="J15" s="59"/>
    </row>
    <row r="16" spans="1:10" ht="30" customHeight="1" x14ac:dyDescent="0.3">
      <c r="A16" s="8"/>
      <c r="B16" s="36" t="s">
        <v>189</v>
      </c>
      <c r="C16" s="37"/>
      <c r="D16" s="37"/>
      <c r="E16" s="7">
        <v>5</v>
      </c>
      <c r="F16" s="24">
        <v>3.75</v>
      </c>
      <c r="G16" s="28">
        <f t="shared" si="0"/>
        <v>0.75</v>
      </c>
      <c r="H16" s="29" t="str">
        <f t="shared" si="1"/>
        <v>جيد</v>
      </c>
      <c r="I16" s="58"/>
      <c r="J16" s="59"/>
    </row>
    <row r="17" spans="1:10" ht="30" customHeight="1" x14ac:dyDescent="0.3">
      <c r="A17" s="8"/>
      <c r="B17" s="38" t="s">
        <v>190</v>
      </c>
      <c r="C17" s="39"/>
      <c r="D17" s="39"/>
      <c r="E17" s="7">
        <v>5</v>
      </c>
      <c r="F17" s="24">
        <v>3.75</v>
      </c>
      <c r="G17" s="28">
        <f t="shared" si="0"/>
        <v>0.75</v>
      </c>
      <c r="H17" s="29" t="str">
        <f t="shared" si="1"/>
        <v>جيد</v>
      </c>
      <c r="I17" s="58"/>
      <c r="J17" s="59"/>
    </row>
    <row r="18" spans="1:10" ht="30" customHeight="1" x14ac:dyDescent="0.3">
      <c r="A18" s="8"/>
      <c r="B18" s="38" t="s">
        <v>191</v>
      </c>
      <c r="C18" s="39"/>
      <c r="D18" s="39"/>
      <c r="E18" s="7">
        <v>5</v>
      </c>
      <c r="F18" s="24">
        <v>3.75</v>
      </c>
      <c r="G18" s="28">
        <f t="shared" si="0"/>
        <v>0.75</v>
      </c>
      <c r="H18" s="29" t="str">
        <f t="shared" si="1"/>
        <v>جيد</v>
      </c>
      <c r="I18" s="58"/>
      <c r="J18" s="59"/>
    </row>
    <row r="19" spans="1:10" ht="30" customHeight="1" x14ac:dyDescent="0.3">
      <c r="A19" s="8"/>
      <c r="B19" s="38" t="s">
        <v>192</v>
      </c>
      <c r="C19" s="39"/>
      <c r="D19" s="39"/>
      <c r="E19" s="7">
        <v>5</v>
      </c>
      <c r="F19" s="24">
        <v>3.75</v>
      </c>
      <c r="G19" s="28">
        <f t="shared" si="0"/>
        <v>0.75</v>
      </c>
      <c r="H19" s="29" t="str">
        <f t="shared" si="1"/>
        <v>جيد</v>
      </c>
      <c r="I19" s="58"/>
      <c r="J19" s="59"/>
    </row>
    <row r="20" spans="1:10" ht="39.9" customHeight="1" thickBot="1" x14ac:dyDescent="0.35">
      <c r="A20" s="8"/>
      <c r="B20" s="40" t="s">
        <v>193</v>
      </c>
      <c r="C20" s="41"/>
      <c r="D20" s="41"/>
      <c r="E20" s="30">
        <v>5</v>
      </c>
      <c r="F20" s="25">
        <v>3.75</v>
      </c>
      <c r="G20" s="31">
        <f t="shared" si="0"/>
        <v>0.75</v>
      </c>
      <c r="H20" s="32" t="str">
        <f t="shared" si="1"/>
        <v>جيد</v>
      </c>
      <c r="I20" s="74"/>
      <c r="J20" s="75"/>
    </row>
    <row r="21" spans="1:10" ht="30" customHeight="1" x14ac:dyDescent="0.3">
      <c r="A21" s="8"/>
      <c r="B21" s="33" t="s">
        <v>194</v>
      </c>
      <c r="C21" s="34"/>
      <c r="D21" s="34"/>
      <c r="E21" s="34"/>
      <c r="F21" s="34"/>
      <c r="G21" s="34"/>
      <c r="H21" s="34"/>
      <c r="I21" s="34"/>
      <c r="J21" s="35"/>
    </row>
    <row r="22" spans="1:10" ht="30" customHeight="1" x14ac:dyDescent="0.3">
      <c r="A22" s="8"/>
      <c r="B22" s="38" t="s">
        <v>195</v>
      </c>
      <c r="C22" s="39"/>
      <c r="D22" s="39"/>
      <c r="E22" s="7">
        <v>5</v>
      </c>
      <c r="F22" s="24">
        <v>3.75</v>
      </c>
      <c r="G22" s="28">
        <f t="shared" si="0"/>
        <v>0.75</v>
      </c>
      <c r="H22" s="29" t="str">
        <f t="shared" si="1"/>
        <v>جيد</v>
      </c>
      <c r="I22" s="58"/>
      <c r="J22" s="59"/>
    </row>
    <row r="23" spans="1:10" ht="30" customHeight="1" x14ac:dyDescent="0.3">
      <c r="A23" s="8"/>
      <c r="B23" s="38" t="s">
        <v>196</v>
      </c>
      <c r="C23" s="39"/>
      <c r="D23" s="39"/>
      <c r="E23" s="7">
        <v>5</v>
      </c>
      <c r="F23" s="24">
        <v>3.75</v>
      </c>
      <c r="G23" s="28">
        <f t="shared" si="0"/>
        <v>0.75</v>
      </c>
      <c r="H23" s="29" t="str">
        <f t="shared" si="1"/>
        <v>جيد</v>
      </c>
      <c r="I23" s="58"/>
      <c r="J23" s="59"/>
    </row>
    <row r="24" spans="1:10" ht="39.9" customHeight="1" x14ac:dyDescent="0.3">
      <c r="A24" s="8"/>
      <c r="B24" s="38" t="s">
        <v>197</v>
      </c>
      <c r="C24" s="39"/>
      <c r="D24" s="39"/>
      <c r="E24" s="7">
        <v>5</v>
      </c>
      <c r="F24" s="24">
        <v>3.5</v>
      </c>
      <c r="G24" s="28">
        <f t="shared" si="0"/>
        <v>0.7</v>
      </c>
      <c r="H24" s="29" t="str">
        <f t="shared" si="1"/>
        <v>جيد</v>
      </c>
      <c r="I24" s="58"/>
      <c r="J24" s="59"/>
    </row>
    <row r="25" spans="1:10" ht="30" customHeight="1" x14ac:dyDescent="0.3">
      <c r="A25" s="8"/>
      <c r="B25" s="38" t="s">
        <v>198</v>
      </c>
      <c r="C25" s="39"/>
      <c r="D25" s="39"/>
      <c r="E25" s="7">
        <v>5</v>
      </c>
      <c r="F25" s="24">
        <v>3.5</v>
      </c>
      <c r="G25" s="28">
        <f t="shared" si="0"/>
        <v>0.7</v>
      </c>
      <c r="H25" s="29" t="str">
        <f t="shared" si="1"/>
        <v>جيد</v>
      </c>
      <c r="I25" s="58"/>
      <c r="J25" s="59"/>
    </row>
    <row r="26" spans="1:10" ht="30" customHeight="1" x14ac:dyDescent="0.3">
      <c r="A26" s="8"/>
      <c r="B26" s="38" t="s">
        <v>199</v>
      </c>
      <c r="C26" s="39"/>
      <c r="D26" s="39"/>
      <c r="E26" s="7"/>
      <c r="F26" s="24"/>
      <c r="G26" s="28"/>
      <c r="H26" s="29"/>
      <c r="I26" s="58"/>
      <c r="J26" s="59"/>
    </row>
    <row r="27" spans="1:10" ht="30" customHeight="1" x14ac:dyDescent="0.3">
      <c r="A27" s="8"/>
      <c r="B27" s="36" t="s">
        <v>200</v>
      </c>
      <c r="C27" s="37"/>
      <c r="D27" s="37"/>
      <c r="E27" s="7">
        <v>5</v>
      </c>
      <c r="F27" s="24">
        <v>3.75</v>
      </c>
      <c r="G27" s="28">
        <f t="shared" si="0"/>
        <v>0.75</v>
      </c>
      <c r="H27" s="29" t="str">
        <f t="shared" si="1"/>
        <v>جيد</v>
      </c>
      <c r="I27" s="58"/>
      <c r="J27" s="59"/>
    </row>
    <row r="28" spans="1:10" ht="30" customHeight="1" x14ac:dyDescent="0.3">
      <c r="A28" s="8"/>
      <c r="B28" s="36" t="s">
        <v>201</v>
      </c>
      <c r="C28" s="37"/>
      <c r="D28" s="37"/>
      <c r="E28" s="7">
        <v>5</v>
      </c>
      <c r="F28" s="24">
        <v>3.75</v>
      </c>
      <c r="G28" s="28">
        <f t="shared" si="0"/>
        <v>0.75</v>
      </c>
      <c r="H28" s="29" t="str">
        <f t="shared" si="1"/>
        <v>جيد</v>
      </c>
      <c r="I28" s="58"/>
      <c r="J28" s="59"/>
    </row>
    <row r="29" spans="1:10" ht="30" customHeight="1" x14ac:dyDescent="0.3">
      <c r="A29" s="8"/>
      <c r="B29" s="36" t="s">
        <v>202</v>
      </c>
      <c r="C29" s="37"/>
      <c r="D29" s="37"/>
      <c r="E29" s="7">
        <v>5</v>
      </c>
      <c r="F29" s="24">
        <v>3.75</v>
      </c>
      <c r="G29" s="28">
        <f t="shared" si="0"/>
        <v>0.75</v>
      </c>
      <c r="H29" s="29" t="str">
        <f t="shared" si="1"/>
        <v>جيد</v>
      </c>
      <c r="I29" s="58"/>
      <c r="J29" s="59"/>
    </row>
    <row r="30" spans="1:10" ht="30" customHeight="1" x14ac:dyDescent="0.3">
      <c r="A30" s="8"/>
      <c r="B30" s="36" t="s">
        <v>203</v>
      </c>
      <c r="C30" s="37"/>
      <c r="D30" s="37"/>
      <c r="E30" s="7">
        <v>5</v>
      </c>
      <c r="F30" s="24">
        <v>3.5</v>
      </c>
      <c r="G30" s="28">
        <f t="shared" si="0"/>
        <v>0.7</v>
      </c>
      <c r="H30" s="29" t="str">
        <f t="shared" si="1"/>
        <v>جيد</v>
      </c>
      <c r="I30" s="58"/>
      <c r="J30" s="59"/>
    </row>
    <row r="31" spans="1:10" ht="30" customHeight="1" x14ac:dyDescent="0.3">
      <c r="A31" s="8"/>
      <c r="B31" s="36" t="s">
        <v>204</v>
      </c>
      <c r="C31" s="37"/>
      <c r="D31" s="37"/>
      <c r="E31" s="7">
        <v>5</v>
      </c>
      <c r="F31" s="24">
        <v>3.5</v>
      </c>
      <c r="G31" s="28">
        <f t="shared" si="0"/>
        <v>0.7</v>
      </c>
      <c r="H31" s="29" t="str">
        <f t="shared" si="1"/>
        <v>جيد</v>
      </c>
      <c r="I31" s="58"/>
      <c r="J31" s="59"/>
    </row>
    <row r="32" spans="1:10" ht="30" customHeight="1" x14ac:dyDescent="0.3">
      <c r="A32" s="8"/>
      <c r="B32" s="36" t="s">
        <v>205</v>
      </c>
      <c r="C32" s="37"/>
      <c r="D32" s="37"/>
      <c r="E32" s="7">
        <v>5</v>
      </c>
      <c r="F32" s="24">
        <v>3.75</v>
      </c>
      <c r="G32" s="28">
        <f t="shared" si="0"/>
        <v>0.75</v>
      </c>
      <c r="H32" s="29" t="str">
        <f t="shared" si="1"/>
        <v>جيد</v>
      </c>
      <c r="I32" s="58"/>
      <c r="J32" s="59"/>
    </row>
    <row r="33" spans="1:10" ht="30" customHeight="1" x14ac:dyDescent="0.3">
      <c r="A33" s="8"/>
      <c r="B33" s="36" t="s">
        <v>206</v>
      </c>
      <c r="C33" s="37"/>
      <c r="D33" s="37"/>
      <c r="E33" s="7">
        <v>5</v>
      </c>
      <c r="F33" s="24">
        <v>3.5</v>
      </c>
      <c r="G33" s="28">
        <f t="shared" si="0"/>
        <v>0.7</v>
      </c>
      <c r="H33" s="29" t="str">
        <f t="shared" si="1"/>
        <v>جيد</v>
      </c>
      <c r="I33" s="58"/>
      <c r="J33" s="59"/>
    </row>
    <row r="34" spans="1:10" ht="30" customHeight="1" x14ac:dyDescent="0.3">
      <c r="A34" s="8"/>
      <c r="B34" s="38" t="s">
        <v>207</v>
      </c>
      <c r="C34" s="39"/>
      <c r="D34" s="39"/>
      <c r="E34" s="7"/>
      <c r="F34" s="24"/>
      <c r="G34" s="28"/>
      <c r="H34" s="29"/>
      <c r="I34" s="58"/>
      <c r="J34" s="59"/>
    </row>
    <row r="35" spans="1:10" ht="30" customHeight="1" x14ac:dyDescent="0.3">
      <c r="A35" s="8"/>
      <c r="B35" s="36" t="s">
        <v>208</v>
      </c>
      <c r="C35" s="37"/>
      <c r="D35" s="37"/>
      <c r="E35" s="7">
        <v>5</v>
      </c>
      <c r="F35" s="24">
        <v>3.75</v>
      </c>
      <c r="G35" s="28">
        <f t="shared" si="0"/>
        <v>0.75</v>
      </c>
      <c r="H35" s="29" t="str">
        <f t="shared" si="1"/>
        <v>جيد</v>
      </c>
      <c r="I35" s="58"/>
      <c r="J35" s="59"/>
    </row>
    <row r="36" spans="1:10" ht="30" customHeight="1" x14ac:dyDescent="0.3">
      <c r="A36" s="8"/>
      <c r="B36" s="36" t="s">
        <v>209</v>
      </c>
      <c r="C36" s="37"/>
      <c r="D36" s="37"/>
      <c r="E36" s="7">
        <v>5</v>
      </c>
      <c r="F36" s="24">
        <v>3.5</v>
      </c>
      <c r="G36" s="28">
        <f t="shared" si="0"/>
        <v>0.7</v>
      </c>
      <c r="H36" s="29" t="str">
        <f t="shared" si="1"/>
        <v>جيد</v>
      </c>
      <c r="I36" s="58"/>
      <c r="J36" s="59"/>
    </row>
    <row r="37" spans="1:10" ht="30" customHeight="1" x14ac:dyDescent="0.3">
      <c r="A37" s="8"/>
      <c r="B37" s="36" t="s">
        <v>210</v>
      </c>
      <c r="C37" s="37"/>
      <c r="D37" s="37"/>
      <c r="E37" s="7">
        <v>5</v>
      </c>
      <c r="F37" s="24">
        <v>3.5</v>
      </c>
      <c r="G37" s="28">
        <f t="shared" si="0"/>
        <v>0.7</v>
      </c>
      <c r="H37" s="29" t="str">
        <f t="shared" si="1"/>
        <v>جيد</v>
      </c>
      <c r="I37" s="58"/>
      <c r="J37" s="59"/>
    </row>
    <row r="38" spans="1:10" ht="30" customHeight="1" x14ac:dyDescent="0.3">
      <c r="A38" s="8"/>
      <c r="B38" s="36" t="s">
        <v>211</v>
      </c>
      <c r="C38" s="37"/>
      <c r="D38" s="37"/>
      <c r="E38" s="7">
        <v>5</v>
      </c>
      <c r="F38" s="24">
        <v>3.75</v>
      </c>
      <c r="G38" s="28">
        <f t="shared" si="0"/>
        <v>0.75</v>
      </c>
      <c r="H38" s="29" t="str">
        <f t="shared" si="1"/>
        <v>جيد</v>
      </c>
      <c r="I38" s="58"/>
      <c r="J38" s="59"/>
    </row>
    <row r="39" spans="1:10" ht="30" customHeight="1" x14ac:dyDescent="0.3">
      <c r="A39" s="8"/>
      <c r="B39" s="36" t="s">
        <v>212</v>
      </c>
      <c r="C39" s="37"/>
      <c r="D39" s="37"/>
      <c r="E39" s="7">
        <v>5</v>
      </c>
      <c r="F39" s="24">
        <v>3.75</v>
      </c>
      <c r="G39" s="28">
        <f t="shared" si="0"/>
        <v>0.75</v>
      </c>
      <c r="H39" s="29" t="str">
        <f t="shared" si="1"/>
        <v>جيد</v>
      </c>
      <c r="I39" s="58"/>
      <c r="J39" s="59"/>
    </row>
    <row r="40" spans="1:10" ht="30" customHeight="1" x14ac:dyDescent="0.3">
      <c r="A40" s="8"/>
      <c r="B40" s="36" t="s">
        <v>213</v>
      </c>
      <c r="C40" s="37"/>
      <c r="D40" s="37"/>
      <c r="E40" s="7">
        <v>5</v>
      </c>
      <c r="F40" s="24">
        <v>3.75</v>
      </c>
      <c r="G40" s="28">
        <f t="shared" si="0"/>
        <v>0.75</v>
      </c>
      <c r="H40" s="29" t="str">
        <f t="shared" si="1"/>
        <v>جيد</v>
      </c>
      <c r="I40" s="58"/>
      <c r="J40" s="59"/>
    </row>
    <row r="41" spans="1:10" ht="30" customHeight="1" x14ac:dyDescent="0.3">
      <c r="A41" s="8"/>
      <c r="B41" s="36" t="s">
        <v>214</v>
      </c>
      <c r="C41" s="37"/>
      <c r="D41" s="37"/>
      <c r="E41" s="7">
        <v>5</v>
      </c>
      <c r="F41" s="24">
        <v>3.5</v>
      </c>
      <c r="G41" s="28">
        <f t="shared" si="0"/>
        <v>0.7</v>
      </c>
      <c r="H41" s="29" t="str">
        <f t="shared" si="1"/>
        <v>جيد</v>
      </c>
      <c r="I41" s="58"/>
      <c r="J41" s="59"/>
    </row>
    <row r="42" spans="1:10" ht="30" customHeight="1" x14ac:dyDescent="0.3">
      <c r="A42" s="8"/>
      <c r="B42" s="36" t="s">
        <v>215</v>
      </c>
      <c r="C42" s="37"/>
      <c r="D42" s="37"/>
      <c r="E42" s="7">
        <v>5</v>
      </c>
      <c r="F42" s="24">
        <v>3.75</v>
      </c>
      <c r="G42" s="28">
        <f t="shared" si="0"/>
        <v>0.75</v>
      </c>
      <c r="H42" s="29" t="str">
        <f t="shared" si="1"/>
        <v>جيد</v>
      </c>
      <c r="I42" s="58"/>
      <c r="J42" s="59"/>
    </row>
    <row r="43" spans="1:10" ht="30" customHeight="1" x14ac:dyDescent="0.3">
      <c r="A43" s="8"/>
      <c r="B43" s="38" t="s">
        <v>216</v>
      </c>
      <c r="C43" s="39"/>
      <c r="D43" s="39"/>
      <c r="E43" s="7"/>
      <c r="F43" s="24"/>
      <c r="G43" s="28"/>
      <c r="H43" s="29"/>
      <c r="I43" s="58"/>
      <c r="J43" s="59"/>
    </row>
    <row r="44" spans="1:10" ht="30" customHeight="1" x14ac:dyDescent="0.3">
      <c r="A44" s="8"/>
      <c r="B44" s="36" t="s">
        <v>217</v>
      </c>
      <c r="C44" s="37"/>
      <c r="D44" s="37"/>
      <c r="E44" s="7">
        <v>5</v>
      </c>
      <c r="F44" s="24">
        <v>3.75</v>
      </c>
      <c r="G44" s="28">
        <f t="shared" si="0"/>
        <v>0.75</v>
      </c>
      <c r="H44" s="29" t="str">
        <f t="shared" si="1"/>
        <v>جيد</v>
      </c>
      <c r="I44" s="58"/>
      <c r="J44" s="59"/>
    </row>
    <row r="45" spans="1:10" ht="39.9" customHeight="1" x14ac:dyDescent="0.3">
      <c r="A45" s="8"/>
      <c r="B45" s="36" t="s">
        <v>218</v>
      </c>
      <c r="C45" s="37"/>
      <c r="D45" s="37"/>
      <c r="E45" s="7">
        <v>5</v>
      </c>
      <c r="F45" s="24">
        <v>3.75</v>
      </c>
      <c r="G45" s="28">
        <f t="shared" si="0"/>
        <v>0.75</v>
      </c>
      <c r="H45" s="29" t="str">
        <f t="shared" si="1"/>
        <v>جيد</v>
      </c>
      <c r="I45" s="58"/>
      <c r="J45" s="59"/>
    </row>
    <row r="46" spans="1:10" ht="30" customHeight="1" x14ac:dyDescent="0.3">
      <c r="A46" s="8"/>
      <c r="B46" s="36" t="s">
        <v>219</v>
      </c>
      <c r="C46" s="37"/>
      <c r="D46" s="37"/>
      <c r="E46" s="7">
        <v>5</v>
      </c>
      <c r="F46" s="24">
        <v>3.5</v>
      </c>
      <c r="G46" s="28">
        <f t="shared" si="0"/>
        <v>0.7</v>
      </c>
      <c r="H46" s="29" t="str">
        <f t="shared" si="1"/>
        <v>جيد</v>
      </c>
      <c r="I46" s="58"/>
      <c r="J46" s="59"/>
    </row>
    <row r="47" spans="1:10" ht="39.9" customHeight="1" thickBot="1" x14ac:dyDescent="0.35">
      <c r="A47" s="8"/>
      <c r="B47" s="40" t="s">
        <v>220</v>
      </c>
      <c r="C47" s="41"/>
      <c r="D47" s="41"/>
      <c r="E47" s="30">
        <v>5</v>
      </c>
      <c r="F47" s="25">
        <v>3.75</v>
      </c>
      <c r="G47" s="31">
        <f t="shared" si="0"/>
        <v>0.75</v>
      </c>
      <c r="H47" s="32" t="str">
        <f t="shared" si="1"/>
        <v>جيد</v>
      </c>
      <c r="I47" s="74"/>
      <c r="J47" s="75"/>
    </row>
    <row r="48" spans="1:10" ht="30" customHeight="1" thickBot="1" x14ac:dyDescent="0.35">
      <c r="A48" s="4"/>
      <c r="B48" s="77" t="s">
        <v>5</v>
      </c>
      <c r="C48" s="78"/>
      <c r="D48" s="78"/>
      <c r="E48" s="27">
        <f>SUM(E8:E47)</f>
        <v>170</v>
      </c>
      <c r="F48" s="27">
        <f>SUM(F8:F47)</f>
        <v>127.25</v>
      </c>
      <c r="G48" s="44"/>
      <c r="H48" s="45"/>
      <c r="I48" s="45"/>
      <c r="J48" s="46"/>
    </row>
    <row r="49" spans="1:10" ht="30" customHeight="1" thickBot="1" x14ac:dyDescent="0.35">
      <c r="A49" s="4"/>
      <c r="B49" s="72" t="s">
        <v>54</v>
      </c>
      <c r="C49" s="73"/>
      <c r="D49" s="73"/>
      <c r="E49" s="54">
        <f>F48/E48/100*100</f>
        <v>0.74852941176470589</v>
      </c>
      <c r="F49" s="54"/>
      <c r="G49" s="54"/>
      <c r="H49" s="54"/>
      <c r="I49" s="54"/>
      <c r="J49" s="55"/>
    </row>
    <row r="50" spans="1:10" ht="30" customHeight="1" thickBot="1" x14ac:dyDescent="0.35">
      <c r="A50" s="4"/>
      <c r="B50" s="72" t="s">
        <v>55</v>
      </c>
      <c r="C50" s="73"/>
      <c r="D50" s="73"/>
      <c r="E50" s="70" t="str">
        <f>_xlfn.IFS(E49&gt;=90%,"ممتاز",E49&gt;=80%,"جيد جداً",E49&gt;=70%,"جيد",E49&gt;=60%,"مقبول",E49&lt;60%,"راسب")</f>
        <v>جيد</v>
      </c>
      <c r="F50" s="70"/>
      <c r="G50" s="70"/>
      <c r="H50" s="70"/>
      <c r="I50" s="70"/>
      <c r="J50" s="71"/>
    </row>
    <row r="51" spans="1:10" ht="42" customHeight="1" x14ac:dyDescent="0.3">
      <c r="B51" s="66" t="s">
        <v>174</v>
      </c>
      <c r="C51" s="66"/>
      <c r="D51" s="66"/>
      <c r="E51" s="42" t="s">
        <v>52</v>
      </c>
      <c r="F51" s="42"/>
      <c r="G51" s="68" t="s">
        <v>115</v>
      </c>
      <c r="H51" s="68"/>
      <c r="I51" s="68"/>
      <c r="J51" s="68"/>
    </row>
    <row r="52" spans="1:10" ht="51" customHeight="1" x14ac:dyDescent="0.3">
      <c r="A52" s="5"/>
      <c r="B52" s="67"/>
      <c r="C52" s="67"/>
      <c r="D52" s="67"/>
      <c r="E52" s="43" t="s">
        <v>53</v>
      </c>
      <c r="F52" s="43"/>
      <c r="G52" s="69"/>
      <c r="H52" s="69"/>
      <c r="I52" s="69"/>
      <c r="J52" s="69"/>
    </row>
  </sheetData>
  <sheetProtection formatCells="0" formatColumns="0" formatRows="0" insertColumns="0" insertRows="0" insertHyperlinks="0" deleteColumns="0" deleteRows="0" selectLockedCells="1" sort="0" autoFilter="0" pivotTables="0"/>
  <mergeCells count="101">
    <mergeCell ref="F4:J4"/>
    <mergeCell ref="C4:D4"/>
    <mergeCell ref="I32:J32"/>
    <mergeCell ref="I33:J33"/>
    <mergeCell ref="I34:J34"/>
    <mergeCell ref="I35:J35"/>
    <mergeCell ref="I36:J36"/>
    <mergeCell ref="B48:D48"/>
    <mergeCell ref="I26:J26"/>
    <mergeCell ref="I27:J27"/>
    <mergeCell ref="I45:J45"/>
    <mergeCell ref="I46:J46"/>
    <mergeCell ref="I47:J47"/>
    <mergeCell ref="I9:J9"/>
    <mergeCell ref="B18:D18"/>
    <mergeCell ref="B19:D19"/>
    <mergeCell ref="B20:D20"/>
    <mergeCell ref="B22:D22"/>
    <mergeCell ref="B23:D23"/>
    <mergeCell ref="B24:D24"/>
    <mergeCell ref="B25:D25"/>
    <mergeCell ref="B9:D9"/>
    <mergeCell ref="B10:D10"/>
    <mergeCell ref="B11:D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9:J19"/>
    <mergeCell ref="I20:J20"/>
    <mergeCell ref="I22:J22"/>
    <mergeCell ref="I23:J23"/>
    <mergeCell ref="I24:J24"/>
    <mergeCell ref="I25:J25"/>
    <mergeCell ref="B1:J1"/>
    <mergeCell ref="F2:J2"/>
    <mergeCell ref="B5:D6"/>
    <mergeCell ref="C2:D2"/>
    <mergeCell ref="C3:D3"/>
    <mergeCell ref="F3:J3"/>
    <mergeCell ref="E49:J4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B17:D17"/>
    <mergeCell ref="I40:J40"/>
    <mergeCell ref="I41:J41"/>
    <mergeCell ref="I42:J42"/>
    <mergeCell ref="I43:J43"/>
    <mergeCell ref="I44:J44"/>
    <mergeCell ref="B49:D49"/>
    <mergeCell ref="B44:D44"/>
    <mergeCell ref="B45:D45"/>
    <mergeCell ref="B46:D46"/>
    <mergeCell ref="B47:D47"/>
    <mergeCell ref="B42:D42"/>
    <mergeCell ref="B43:D43"/>
    <mergeCell ref="E51:F51"/>
    <mergeCell ref="E52:F52"/>
    <mergeCell ref="G48:J48"/>
    <mergeCell ref="B51:D52"/>
    <mergeCell ref="G51:J51"/>
    <mergeCell ref="G52:J52"/>
    <mergeCell ref="E50:J50"/>
    <mergeCell ref="B50:D50"/>
    <mergeCell ref="B8:J8"/>
    <mergeCell ref="B21:J21"/>
    <mergeCell ref="B35:D35"/>
    <mergeCell ref="B36:D36"/>
    <mergeCell ref="B37:D37"/>
    <mergeCell ref="B38:D38"/>
    <mergeCell ref="B39:D39"/>
    <mergeCell ref="B40:D40"/>
    <mergeCell ref="B41:D41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12:D12"/>
    <mergeCell ref="B13:D13"/>
    <mergeCell ref="B14:D14"/>
    <mergeCell ref="B15:D15"/>
    <mergeCell ref="B16:D16"/>
    <mergeCell ref="I11:J11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0">
    <cfRule type="expression" dxfId="21" priority="57">
      <formula>$E50="راسب"</formula>
    </cfRule>
  </conditionalFormatting>
  <conditionalFormatting sqref="E50:J50">
    <cfRule type="expression" dxfId="20" priority="60">
      <formula>$E50="جيد جداً"</formula>
    </cfRule>
    <cfRule type="expression" dxfId="19" priority="59">
      <formula>$E50="جيد"</formula>
    </cfRule>
    <cfRule type="expression" dxfId="18" priority="58">
      <formula>$E50="مقبول"</formula>
    </cfRule>
    <cfRule type="expression" dxfId="17" priority="61">
      <formula>$E50="ممتاز"</formula>
    </cfRule>
  </conditionalFormatting>
  <conditionalFormatting sqref="F9:F20">
    <cfRule type="containsText" dxfId="16" priority="4" operator="containsText" text="أدخل العلامة">
      <formula>NOT(ISERROR(SEARCH("أدخل العلامة",F9)))</formula>
    </cfRule>
  </conditionalFormatting>
  <conditionalFormatting sqref="F22:F47">
    <cfRule type="containsText" dxfId="15" priority="14" operator="containsText" text="أدخل العلامة">
      <formula>NOT(ISERROR(SEARCH("أدخل العلامة",F22)))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1:J51">
    <cfRule type="containsText" dxfId="12" priority="15" operator="containsText" text="أدخل اسم المحكم">
      <formula>NOT(ISERROR(SEARCH("أدخل اسم المحكم",G51)))</formula>
    </cfRule>
  </conditionalFormatting>
  <conditionalFormatting sqref="H9:H20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2:H47">
    <cfRule type="containsText" dxfId="5" priority="38" operator="containsText" text="أدخل العلامة">
      <formula>NOT(ISERROR(SEARCH("أدخل العلامة",H22)))</formula>
    </cfRule>
    <cfRule type="containsText" dxfId="4" priority="39" operator="containsText" text="ممتاز">
      <formula>NOT(ISERROR(SEARCH("ممتاز",H22)))</formula>
    </cfRule>
    <cfRule type="containsText" dxfId="3" priority="40" operator="containsText" text="جيد جداً">
      <formula>NOT(ISERROR(SEARCH("جيد جداً",H22)))</formula>
    </cfRule>
    <cfRule type="containsText" dxfId="2" priority="41" operator="containsText" text="جيد">
      <formula>NOT(ISERROR(SEARCH("جيد",H22)))</formula>
    </cfRule>
    <cfRule type="containsText" dxfId="1" priority="42" operator="containsText" text="مقبول">
      <formula>NOT(ISERROR(SEARCH("مقبول",H22)))</formula>
    </cfRule>
    <cfRule type="containsText" dxfId="0" priority="43" operator="containsText" text="راسب">
      <formula>NOT(ISERROR(SEARCH("راسب",H22)))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F44:F47 F35:F42 F27:F33 F22:F25 F12:F20 F9:F10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G51:J51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2025-10-23T20:25:26Z</dcterms:modified>
</cp:coreProperties>
</file>