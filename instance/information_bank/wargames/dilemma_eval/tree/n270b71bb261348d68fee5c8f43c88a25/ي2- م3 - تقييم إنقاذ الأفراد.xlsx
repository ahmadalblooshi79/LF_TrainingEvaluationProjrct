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681D512-A3EB-4278-8A8C-292AAC5FE6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/>
  <c r="G11" i="2"/>
  <c r="H11" i="2" s="1"/>
  <c r="G12" i="2"/>
  <c r="H12" i="2"/>
  <c r="G13" i="2"/>
  <c r="H13" i="2"/>
  <c r="G14" i="2"/>
  <c r="H14" i="2"/>
  <c r="G16" i="2"/>
  <c r="H16" i="2" s="1"/>
  <c r="G17" i="2"/>
  <c r="H17" i="2" s="1"/>
  <c r="G18" i="2"/>
  <c r="H18" i="2" s="1"/>
  <c r="G19" i="2"/>
  <c r="H19" i="2"/>
  <c r="G20" i="2"/>
  <c r="H20" i="2" s="1"/>
  <c r="G21" i="2"/>
  <c r="H21" i="2" s="1"/>
  <c r="F22" i="2"/>
  <c r="E23" i="2" s="1"/>
  <c r="E24" i="2" s="1"/>
  <c r="E22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<sst xmlns="http://schemas.openxmlformats.org/spreadsheetml/2006/main" count="250" uniqueCount="194">
  <si>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</si>
  <si>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</si>
  <si>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</si>
  <si>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</si>
  <si>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</si>
  <si>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</si>
  <si>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</si>
  <si>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</si>
  <si>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</si>
  <si>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</si>
  <si>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</si>
  <si>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</si>
  <si>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</si>
  <si>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</si>
  <si>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</si>
  <si>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</si>
  <si>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</si>
  <si>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</si>
  <si>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</si>
  <si>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</si>
  <si>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</si>
  <si>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</si>
  <si>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</si>
  <si>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</si>
  <si>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</si>
  <si>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</si>
  <si>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</si>
  <si>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</si>
  <si>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</si>
  <si>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</si>
  <si>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</si>
  <si>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</si>
  <si>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</si>
  <si>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</si>
  <si>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</si>
  <si>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</si>
  <si>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</si>
  <si>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</si>
  <si>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</si>
  <si>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</si>
  <si>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</si>
  <si>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</si>
  <si>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</si>
  <si>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</si>
  <si>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</si>
  <si>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</si>
  <si>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</si>
  <si>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</si>
  <si>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</si>
  <si>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</si>
  <si>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</si>
  <si>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</si>
  <si>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</si>
  <si>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</si>
  <si>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</si>
  <si>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</si>
  <si>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</si>
  <si>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</si>
  <si>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</si>
  <si>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</si>
  <si>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</si>
  <si>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</si>
  <si>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</si>
  <si>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</si>
  <si>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</si>
  <si>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</si>
  <si>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</si>
  <si>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</si>
  <si>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</si>
  <si>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</si>
  <si>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</si>
  <si>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</si>
  <si>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</si>
  <si>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</si>
  <si>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</si>
  <si>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</si>
  <si>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</si>
  <si>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</si>
  <si>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</si>
  <si>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</si>
  <si>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</si>
  <si>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</si>
  <si>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</si>
  <si>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</si>
  <si>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</si>
  <si>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</si>
  <si>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</si>
  <si>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</si>
  <si>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</si>
  <si>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</si>
  <si>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</si>
  <si>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</si>
  <si>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</si>
  <si>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</si>
  <si>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</si>
  <si>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</si>
  <si>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</si>
  <si>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</si>
  <si>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</si>
  <si>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</si>
  <si>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</si>
  <si>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</si>
  <si>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</si>
  <si>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</si>
  <si>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</si>
  <si>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</si>
  <si>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</si>
  <si>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</si>
  <si>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</si>
  <si>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</si>
  <si>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</si>
  <si>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</si>
  <si>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</si>
  <si>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</si>
  <si>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</si>
  <si>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</si>
  <si>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</si>
  <si>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</si>
  <si>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</si>
  <si>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</si>
  <si>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</si>
  <si>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</si>
  <si>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</si>
  <si>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</si>
  <si>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</si>
  <si>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</si>
  <si>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</si>
  <si>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</si>
  <si>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</si>
  <si>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</si>
  <si>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</si>
  <si>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</si>
  <si>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</si>
  <si>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</si>
  <si>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</si>
  <si>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</si>
  <si>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</si>
  <si>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</si>
  <si>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</si>
  <si>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</si>
  <si>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</si>
  <si>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</si>
  <si>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</si>
  <si>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</si>
  <si>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</si>
  <si>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</si>
  <si>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</si>
  <si>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</si>
  <si>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</si>
  <si>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</si>
  <si>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</si>
  <si>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</si>
  <si>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</si>
  <si>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</si>
  <si>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</si>
  <si>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</si>
  <si>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</si>
  <si>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</si>
  <si>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</si>
  <si>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</si>
  <si>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</si>
  <si>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</si>
  <si>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</si>
  <si>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</si>
  <si>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</si>
  <si>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</si>
  <si>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</si>
  <si>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</si>
  <si>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</si>
  <si>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</si>
  <si>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</si>
  <si>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</si>
  <si>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</si>
  <si>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</si>
  <si>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</si>
  <si>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</si>
  <si>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</si>
  <si>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</si>
  <si>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</si>
  <si>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</si>
  <si>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</si>
  <si>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</si>
  <si>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</si>
  <si>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</si>
  <si>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</si>
  <si>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</si>
  <si>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</si>
  <si>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</si>
  <si>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</si>
  <si>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</si>
  <si>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</si>
  <si>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</si>
  <si>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</si>
  <si>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اليوم/2 - تقييم معضلة/3 -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</si>
</sst>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160454</xdr:colOff>
      <xdr:row>24</xdr:row>
      <xdr:rowOff>480205</xdr:rowOff>
    </xdr:from>
    <xdr:to>
      <xdr:col>8</xdr:col>
      <xdr:colOff>574511</xdr:colOff>
      <xdr:row>25</xdr:row>
      <xdr:rowOff>380245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40402AF-A10E-5995-3004-75C217C0E17B}"/>
                </a:ext>
              </a:extLst>
            </xdr14:cNvPr>
            <xdr14:cNvContentPartPr/>
          </xdr14:nvContentPartPr>
          <xdr14:nvPr macro=""/>
          <xdr14:xfrm>
            <a:off x="10423128289" y="9615240"/>
            <a:ext cx="1068480" cy="433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40402AF-A10E-5995-3004-75C217C0E17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119649" y="9606240"/>
              <a:ext cx="1086120" cy="45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64031</xdr:colOff>
      <xdr:row>25</xdr:row>
      <xdr:rowOff>120325</xdr:rowOff>
    </xdr:from>
    <xdr:to>
      <xdr:col>9</xdr:col>
      <xdr:colOff>432007</xdr:colOff>
      <xdr:row>26</xdr:row>
      <xdr:rowOff>3903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AA6ED90-CA8A-D52C-57A9-91A08C2D6F2B}"/>
                </a:ext>
              </a:extLst>
            </xdr14:cNvPr>
            <xdr14:cNvContentPartPr/>
          </xdr14:nvContentPartPr>
          <xdr14:nvPr macro=""/>
          <xdr14:xfrm>
            <a:off x="10422616369" y="9788760"/>
            <a:ext cx="1022400" cy="5335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AA6ED90-CA8A-D52C-57A9-91A08C2D6F2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607369" y="9779760"/>
              <a:ext cx="1040040" cy="551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7:51:12.9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2238 718 5593,'0'0'0,"1"-1"1800,0-4-352,-1 5-1448,4-9 681,6 5-417,-7 0-208,7 1-80,-5-2-32,8 1-8,-13 4 64,11-3-64,1-1 72,1 2 16,0-2 8,1 2 0,0-1-16,-14 3-16,14-2 0,2 1 16,-1 0-16,1 0 0,-1-1 0,0 2 24,0 0 8,-15 0-32,17 0 8,0 0 16,0 0-16,-1 0-8,2 0 16,-1 0-32,-17 0 16,19 0-16,0 0 8,-1 3 0,0-1-8,0 0 16,-18-2 0,18 3-8,1-1-32,1 2 0,-2-1 0,1 7-16,0-8-16,-19-2 72,18 10-48,0-6-24,-1 8 8,-2-3 7,1 1 17,-3 1 8,-13-11 32,13 13-16,-1-1 16,0 1-8,-1 1-16,0 0 8,-6 0-8,-5-14 24,10 14-24,-6 1 8,1 0 0,0 1-8,-2-1 0,1 1 0,-4-16 24,1 16-24,-1 0 16,0 2-16,-2-1 16,-1 0 16,-6 0 0,9-17-8,-3 13 48,-8 1-24,8-1 0,-9-2-16,8 0-24,-10-1 24,14-10-8,-4 3 32,-10 9 0,10-9-16,-10 6 24,4-9-16,1 4 0,9-4-24,-11 2 56,0 0-8,0-2-15,0 0-1,-2 0-24,0 0 8,13 0-16,-13-2 32,-1-1-8,0-1-16,3-1 16,-3 0-8,1 1-8,13 4-8,-13-10 88,-1 8-64,-1-3 0,2 0-8,-3 1-56,2 1 48,14 3-8,-14-4 64,-3 1-40,0-1 16,0 3-40,-1 0-40,-1 1 80,19 0-40,-19 0 48,-4 0 16,2 0-8,-2 0-16,-2 0 0,1 3 48,24-3-88,-27 3 176,0-1-32,-1-2 32,-2 2-32,1 1-72,1-3 96,28 0-168,-29 2 88,0-2-8,1 0 0,-1 0-96,-1-1 32,-1 0-8,31 1-8,-33-4 32,1 1 8,0-2-40,0-6 24,0 7-16,0-6 8,32 10-16,-34-10-16,-1 0-48,1 0-64,-2-1-16,-1 0 96,1 0 24,36 11 24,-38-12-48,1 2 32,-1-1-112,0 0 8,-1 6 104,1-7-56,38 12 72,-38-3-64,-1-7 0,-2 8-88,1-2 72,-1-6 56,-1 7-16,42 3 40,-38-5-40,-2-5-40,3 8-8,0-2 72,0 1 16,1-2-24,36 5 24,-34-5 0,2-4-32,-1 5 0,2 0 96,1-5-48,0 5-32,30 4 16,-27-10-8,2-1-112,1 0-24,2 0-56,3-2-153,1 1-87,18 12 440,-17-13-528,3-3-120,1 1 16,1 0-16,1 0 40,1-1 80,10 16 528,-3-17-473,-7-1 105,8 0 136,-2 0 112,0-1 48,2-1 40,2 20 32,0-21-80,0 2 8,1 0-16,3 0-16,5 0 16,1 0 24,-10 19 64,9-21-56,4 1 40,1-1 32,3 4-24,2-3 8,1 2 8,-20 18-8,24-18-24,1-2 64,3 1-32,3 0 0,1-2-24,3 3-16,-35 18 32,36-19-16,0 2 8,1 2 24,2-2 8,1 3-8,4-1-8,-44 15-8,42-14 16,1 2-16,0 0 8,-1 1 0,1 0-16,-1 1 8,-42 10 0,41-4 8,-2-7 0,0 8 16,-2-1 8,-1 0 0,-2 1 0,-34 3-32,34-3 56,-2 3 16,-2 0 24,0 0 0,-3 0 32,-1 3-8,-26-3-120,26 3 176,-1 1 24,-1 6 24,-2-8 65,-3 8 7,3-7 16,-22-3-312,18 12 320,1-8-8,-2 8-16,-3-9 8,0 12-40,-2-5-16,-12-10-248,12 12 216,-2 2-32,0-2-8,-7 1-16,7 0 0,-8 1 0,-2-14-160,4 17 152,-3 0 0,0 0 0,-1 1-16,0-2 0,-3 2 16,3-18-152,-13 18 144,10 0 17,-13 0-17,4 0-16,-2 1-16,-4 2-16,18-21-96,-18 21 104,-5 2 40,-2 0 0,-2 0-8,-2 1 8,-4 0-24,33-24-120,-33 25 112,-1-1 64,-2 0 32,2-1 56,-5-1 0,-2 2-16,41-24-248,-40 23 288,-2 0-8,0 0 40,-1-2-16,-2 3-16,-1-2-32,46-22-256,-48 21 216,-2 1-15,3-2-41,-2 1 0,-1 0-48,1 0 0,49-21-112,-50 22 96,2 0-16,-2-2 8,1 1-32,-1-5 16,1 1-24,49-17-48,-46 16 56,0-1-16,1 0-16,3-2-8,-2-1-16,3 0-8,41-12 8,-38 11 48,1-2-72,0 1 0,2-1-8,2-5-120,2 9-128,31-13 280,-29 4-584,1 5-441,3-6-487,2-1-528,3 1-257,1-3 297,19 0 2000,-17 0-1369,0 0 577,4-2 472,0-1-2104,13 3 2424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7:51:14.1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2837 1 7697,'0'0'0,"0"0"3121,1 0-961,0-1-1015,-1 1-505,0 0-240,0 0-400,0 0 296,0 0-96,-2 3-16,-1-3-40,1 0-32,-8 2 40,10-2-152,-2 4 56,-10 8 0,-1-3-56,-3 3 40,-4 0 32,-4 5-16,-4-2 16,28-15-72,-29 18-16,-4 2 48,-2-2-8,2 1-88,-2 1 8,-1 2-64,36-22 120,-37 20-120,-1 0 144,-2-2-8,2 3-24,0-2-56,1 1-88,37-20 152,-37 19-256,1-1-56,0-1-432,0 1-441,4-1-599,0-3-504,32-14 2288,-33 15-2329,4-3 361,1-1 623,0-1 593,0-6-1952,28-4 2704</inkml:trace>
  <inkml:trace contextRef="#ctx0" brushRef="#br0" timeOffset="1">1578 507 7009,'0'0'0,"-14"-1"2689,0 1-1001,-4 0-840,1 0-320,17 0-528,-14 2 320,-3 2-72,0 7-8,0-8-24,0 7 49,1-7 7,16-3-272,-16 12 224,-1-8 16,-1 9-72,0-3-16,0-7-40,1 12-48,-1-4 0,18-11-64,-18 3 24,1 10-16,0-3-8,2-6 0,1 7 24,2-7-24,12-4 0,-12 10-24,1-8-64,1 2-120,-4-2-232,4 0-185,0 1-175,10-3 800,-9 0-896,5 0 16,-7 0 8,8 0 80,-9 0 87,2 0 161,10 0 544,-4 0-384,-10-1 160,3-1 128,8 1 64,-14 0 40,6 0 16,11 1-24,-12-1 40,0-2 40,1 2 80,-2-1 80,0-1 96,0 1 72,13 2-408,-15-3 433,2 2 7,0-1-16,1 1-48,1-1-48,-1 1-24,12 1-304,-11-1 256,-2 0-40,2 0-32,2-1-48,-2 1-8,2-1-40,9 2-88,-4-1 88,-9-2-16,9 2-16,-7-1 0,9-1-32,-2 1 8,4 2-32,-9-4 8,6 1 32,1-1-48,-8 1 16,8-1-24,-1 2-24,3 2 40,-13-4-24,11 0 8,-1 1 8,-10-1 8,10 1 0,3 3 0,-11-4-16,2 0 16,-1 1-8,0-1 16,7 1-8,-13-1 16,16 4-16,-11-4 8,-1 2 8,-2 0 16,1-1 8,-2 1 24,0 1 40,15 1-104,-13-2 168,-3 1 56,0 1 48,0 0 16,-1 0 33,-1 0-1,18 0-320,-19 0 288,0 0-24,-1 0-32,-1 3-24,-2-1-56,2-2-16,21 0-136,-22 2 144,2 1-40,-1-3-8,1 2 0,1-2-56,-1 0 32,20 0-72,-18 0 0,0 3 80,2-3-16,-2 0-8,0 0 48,2 0-32,16 0-72,-17 0 32,3-2 40,2 0-40,0 0-24,1-2 32,0 0-40,11 4 0,-10-3-24,0-7 8,7 7-24,-10-2-40,11-7-24,-1 2-160,3 10 264,-4-9-248,2-3-24,-1 0-24,3 2-8,0-3-56,0 1-152,0 12 512,0-13-617,3-3 57,0 2 8,9-1 128,-2 0 168,-1-1-48,-9 16 304,12-13-216,3-1 24,-1 1-8,2-1 56,0 0-24,2 0 32,-18 14 136,18-12-88,2 2 8,-2 6 40,1-6 64,-1 6-32,-2-1 64,-16 5-56,18-2 48,-2 1 40,0 1 16,-2 2 72,-2 2 32,1 8-128,-13-12-80,11 10 112,0 2-16,-2 5-32,-4 1 128,6 3-64,-7 0-64,-4-21-64,3 24 72,1 2-48,-1 2 48,-2 3 104,-1 2-88,0 1 16,0-34-104,0 37 152,-3 1-8,-7 0 160,8 0 88,-9 3 0,8 1 49,3-42-441,-13 42 416,10 0-16,-8 0 88,9-4 0,-2 0 24,1 1-48,3-39-464,-3 36 384,3 0-8,0-4 48,0-1-112,4 0 17,7-1-89,-11-30-240,9 29 200,3 0 40,3-3 64,1-1 56,3-1-136,2-2 8,-21-22-232,24 22 152,2-4-24,3 0 240,3-3-136,4-2-72,4 0-32,-40-13-128,43 11-40,2 0 168,2-7-8,4 5-184,1-6 104,3-1-96,-55-2 56,58 0-40,1 2 136,3-2-200,2 0-56,1-1-152,2-2-440,-67 3 752,71-4-1488,1-7-1233,5 2-1800,2-2 400,4-4 1209,4-1 1199,-87 16 1713,90-22-2784,-90 22 2784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A2" zoomScale="130" zoomScaleNormal="100" zoomScaleSheetLayoutView="130" workbookViewId="0">
      <selection activeCell="F9" sqref="F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9" t="s">
        <v>193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3">
      <c r="B2" s="11" t="s">
        <v>8</v>
      </c>
      <c r="C2" s="75" t="s">
        <v>41</v>
      </c>
      <c r="D2" s="75"/>
      <c r="E2" s="11" t="s">
        <v>7</v>
      </c>
      <c r="F2" s="70">
        <v>45944</v>
      </c>
      <c r="G2" s="70"/>
      <c r="H2" s="70"/>
      <c r="I2" s="70"/>
      <c r="J2" s="70"/>
    </row>
    <row r="3" spans="1:10" ht="30" customHeight="1" x14ac:dyDescent="0.3">
      <c r="B3" s="11" t="s">
        <v>9</v>
      </c>
      <c r="C3" s="75" t="s">
        <v>82</v>
      </c>
      <c r="D3" s="75"/>
      <c r="E3" s="11" t="s">
        <v>6</v>
      </c>
      <c r="F3" s="75" t="s">
        <v>92</v>
      </c>
      <c r="G3" s="75"/>
      <c r="H3" s="75"/>
      <c r="I3" s="75"/>
      <c r="J3" s="7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71" t="s">
        <v>0</v>
      </c>
      <c r="C5" s="72"/>
      <c r="D5" s="72"/>
      <c r="E5" s="76" t="s">
        <v>1</v>
      </c>
      <c r="F5" s="76"/>
      <c r="G5" s="76"/>
      <c r="H5" s="76"/>
      <c r="I5" s="76" t="s">
        <v>2</v>
      </c>
      <c r="J5" s="77"/>
    </row>
    <row r="6" spans="1:10" ht="24.9" customHeight="1" thickBot="1" x14ac:dyDescent="0.35">
      <c r="A6" s="9"/>
      <c r="B6" s="73"/>
      <c r="C6" s="74"/>
      <c r="D6" s="74"/>
      <c r="E6" s="10" t="s">
        <v>3</v>
      </c>
      <c r="F6" s="10" t="s">
        <v>4</v>
      </c>
      <c r="G6" s="10" t="s">
        <v>23</v>
      </c>
      <c r="H6" s="10" t="s">
        <v>24</v>
      </c>
      <c r="I6" s="78"/>
      <c r="J6" s="79"/>
    </row>
    <row r="7" spans="1:10" ht="24.9" customHeight="1" thickBot="1" x14ac:dyDescent="0.35">
      <c r="A7" s="9"/>
      <c r="B7" s="59" t="s">
        <v>21</v>
      </c>
      <c r="C7" s="60"/>
      <c r="D7" s="60"/>
      <c r="E7" s="30" t="s">
        <v>18</v>
      </c>
      <c r="F7" s="30" t="s">
        <v>19</v>
      </c>
      <c r="G7" s="30" t="s">
        <v>22</v>
      </c>
      <c r="H7" s="30" t="s">
        <v>20</v>
      </c>
      <c r="I7" s="61" t="s">
        <v>25</v>
      </c>
      <c r="J7" s="62"/>
    </row>
    <row r="8" spans="1:10" ht="30" customHeight="1" x14ac:dyDescent="0.3">
      <c r="A8" s="9"/>
      <c r="B8" s="65" t="s">
        <v>178</v>
      </c>
      <c r="C8" s="66"/>
      <c r="D8" s="66"/>
      <c r="E8" s="35"/>
      <c r="F8" s="36"/>
      <c r="G8" s="37"/>
      <c r="H8" s="38"/>
      <c r="I8" s="86"/>
      <c r="J8" s="87"/>
    </row>
    <row r="9" spans="1:10" ht="30" customHeight="1" x14ac:dyDescent="0.3">
      <c r="A9" s="9"/>
      <c r="B9" s="48" t="s">
        <v>182</v>
      </c>
      <c r="C9" s="49"/>
      <c r="D9" s="49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3"/>
      <c r="J9" s="64"/>
    </row>
    <row r="10" spans="1:10" ht="30" customHeight="1" x14ac:dyDescent="0.3">
      <c r="A10" s="9"/>
      <c r="B10" s="48" t="s">
        <v>183</v>
      </c>
      <c r="C10" s="49"/>
      <c r="D10" s="49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63"/>
      <c r="J10" s="64"/>
    </row>
    <row r="11" spans="1:10" ht="30" customHeight="1" x14ac:dyDescent="0.3">
      <c r="A11" s="9"/>
      <c r="B11" s="48" t="s">
        <v>184</v>
      </c>
      <c r="C11" s="49"/>
      <c r="D11" s="49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63"/>
      <c r="J11" s="64"/>
    </row>
    <row r="12" spans="1:10" ht="30" customHeight="1" x14ac:dyDescent="0.3">
      <c r="A12" s="9"/>
      <c r="B12" s="48" t="s">
        <v>185</v>
      </c>
      <c r="C12" s="49"/>
      <c r="D12" s="49"/>
      <c r="E12" s="32">
        <v>3</v>
      </c>
      <c r="F12" s="25">
        <v>2.25</v>
      </c>
      <c r="G12" s="33">
        <f t="shared" si="0"/>
        <v>0.75</v>
      </c>
      <c r="H12" s="34" t="str">
        <f t="shared" si="1"/>
        <v>جيد</v>
      </c>
      <c r="I12" s="63"/>
      <c r="J12" s="64"/>
    </row>
    <row r="13" spans="1:10" ht="30" customHeight="1" x14ac:dyDescent="0.3">
      <c r="A13" s="9"/>
      <c r="B13" s="48" t="s">
        <v>186</v>
      </c>
      <c r="C13" s="49"/>
      <c r="D13" s="49"/>
      <c r="E13" s="32">
        <v>3</v>
      </c>
      <c r="F13" s="25">
        <v>2.25</v>
      </c>
      <c r="G13" s="33">
        <f t="shared" si="0"/>
        <v>0.75</v>
      </c>
      <c r="H13" s="34" t="str">
        <f t="shared" si="1"/>
        <v>جيد</v>
      </c>
      <c r="I13" s="63"/>
      <c r="J13" s="64"/>
    </row>
    <row r="14" spans="1:10" ht="30" customHeight="1" thickBot="1" x14ac:dyDescent="0.35">
      <c r="A14" s="9"/>
      <c r="B14" s="67" t="s">
        <v>187</v>
      </c>
      <c r="C14" s="68"/>
      <c r="D14" s="68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7"/>
      <c r="J14" s="58"/>
    </row>
    <row r="15" spans="1:10" ht="30" customHeight="1" x14ac:dyDescent="0.3">
      <c r="A15" s="9"/>
      <c r="B15" s="65" t="s">
        <v>179</v>
      </c>
      <c r="C15" s="66"/>
      <c r="D15" s="66"/>
      <c r="E15" s="35"/>
      <c r="F15" s="36"/>
      <c r="G15" s="37"/>
      <c r="H15" s="38"/>
      <c r="I15" s="86"/>
      <c r="J15" s="87"/>
    </row>
    <row r="16" spans="1:10" ht="30" customHeight="1" x14ac:dyDescent="0.3">
      <c r="A16" s="9"/>
      <c r="B16" s="48" t="s">
        <v>188</v>
      </c>
      <c r="C16" s="49"/>
      <c r="D16" s="49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63"/>
      <c r="J16" s="64"/>
    </row>
    <row r="17" spans="1:10" ht="30" customHeight="1" x14ac:dyDescent="0.3">
      <c r="A17" s="9"/>
      <c r="B17" s="48" t="s">
        <v>180</v>
      </c>
      <c r="C17" s="49"/>
      <c r="D17" s="49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63"/>
      <c r="J17" s="64"/>
    </row>
    <row r="18" spans="1:10" ht="30" customHeight="1" x14ac:dyDescent="0.3">
      <c r="A18" s="9"/>
      <c r="B18" s="48" t="s">
        <v>181</v>
      </c>
      <c r="C18" s="49"/>
      <c r="D18" s="49"/>
      <c r="E18" s="32">
        <v>3</v>
      </c>
      <c r="F18" s="25">
        <v>2</v>
      </c>
      <c r="G18" s="33">
        <f t="shared" si="0"/>
        <v>0.66666666666666663</v>
      </c>
      <c r="H18" s="34" t="str">
        <f t="shared" si="1"/>
        <v>مقبول</v>
      </c>
      <c r="I18" s="63"/>
      <c r="J18" s="64"/>
    </row>
    <row r="19" spans="1:10" ht="30" customHeight="1" x14ac:dyDescent="0.3">
      <c r="A19" s="9"/>
      <c r="B19" s="48" t="s">
        <v>189</v>
      </c>
      <c r="C19" s="49"/>
      <c r="D19" s="49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63"/>
      <c r="J19" s="64"/>
    </row>
    <row r="20" spans="1:10" ht="30" customHeight="1" x14ac:dyDescent="0.3">
      <c r="A20" s="9"/>
      <c r="B20" s="48" t="s">
        <v>190</v>
      </c>
      <c r="C20" s="49"/>
      <c r="D20" s="49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63"/>
      <c r="J20" s="64"/>
    </row>
    <row r="21" spans="1:10" ht="30" customHeight="1" thickBot="1" x14ac:dyDescent="0.35">
      <c r="A21" s="9"/>
      <c r="B21" s="67" t="s">
        <v>191</v>
      </c>
      <c r="C21" s="68"/>
      <c r="D21" s="68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7"/>
      <c r="J21" s="58"/>
    </row>
    <row r="22" spans="1:10" ht="30" customHeight="1" thickBot="1" x14ac:dyDescent="0.35">
      <c r="A22" s="4"/>
      <c r="B22" s="88" t="s">
        <v>5</v>
      </c>
      <c r="C22" s="89"/>
      <c r="D22" s="89"/>
      <c r="E22" s="31">
        <f>SUM(E8:E21)</f>
        <v>36</v>
      </c>
      <c r="F22" s="31">
        <f>SUM(F8:F21)</f>
        <v>26.5</v>
      </c>
      <c r="G22" s="52"/>
      <c r="H22" s="53"/>
      <c r="I22" s="53"/>
      <c r="J22" s="54"/>
    </row>
    <row r="23" spans="1:10" ht="30" customHeight="1" thickBot="1" x14ac:dyDescent="0.35">
      <c r="A23" s="4"/>
      <c r="B23" s="90" t="s">
        <v>54</v>
      </c>
      <c r="C23" s="91"/>
      <c r="D23" s="91"/>
      <c r="E23" s="55">
        <f>F22/E22/100*100</f>
        <v>0.73611111111111116</v>
      </c>
      <c r="F23" s="55"/>
      <c r="G23" s="55"/>
      <c r="H23" s="55"/>
      <c r="I23" s="55"/>
      <c r="J23" s="56"/>
    </row>
    <row r="24" spans="1:10" ht="30" customHeight="1" thickBot="1" x14ac:dyDescent="0.35">
      <c r="A24" s="4"/>
      <c r="B24" s="90" t="s">
        <v>55</v>
      </c>
      <c r="C24" s="91"/>
      <c r="D24" s="91"/>
      <c r="E24" s="46" t="str">
        <f>_xlfn.IFS(E23&gt;=90%,"ممتاز",E23&gt;=80%,"جيد جداً",E23&gt;=70%,"جيد",E23&gt;=60%,"مقبول",E23&lt;60%,"راسب")</f>
        <v>جيد</v>
      </c>
      <c r="F24" s="46"/>
      <c r="G24" s="46"/>
      <c r="H24" s="46"/>
      <c r="I24" s="46"/>
      <c r="J24" s="47"/>
    </row>
    <row r="25" spans="1:10" ht="42" customHeight="1" x14ac:dyDescent="0.3">
      <c r="B25" s="42" t="s">
        <v>192</v>
      </c>
      <c r="C25" s="42"/>
      <c r="D25" s="42"/>
      <c r="E25" s="50" t="s">
        <v>52</v>
      </c>
      <c r="F25" s="50"/>
      <c r="G25" s="44" t="s">
        <v>92</v>
      </c>
      <c r="H25" s="44"/>
      <c r="I25" s="44"/>
      <c r="J25" s="44"/>
    </row>
    <row r="26" spans="1:10" ht="51" customHeight="1" x14ac:dyDescent="0.3">
      <c r="A26" s="5"/>
      <c r="B26" s="43"/>
      <c r="C26" s="43"/>
      <c r="D26" s="43"/>
      <c r="E26" s="51" t="s">
        <v>53</v>
      </c>
      <c r="F26" s="51"/>
      <c r="G26" s="45"/>
      <c r="H26" s="45"/>
      <c r="I26" s="45"/>
      <c r="J26" s="45"/>
    </row>
    <row r="27" spans="1:10" ht="15.6" x14ac:dyDescent="0.3">
      <c r="A27" s="27">
        <v>3</v>
      </c>
      <c r="B27" s="80" t="s">
        <v>175</v>
      </c>
      <c r="C27" s="81"/>
    </row>
    <row r="28" spans="1:10" ht="15.6" x14ac:dyDescent="0.3">
      <c r="A28" s="28">
        <v>2</v>
      </c>
      <c r="B28" s="82" t="s">
        <v>176</v>
      </c>
      <c r="C28" s="83"/>
    </row>
    <row r="29" spans="1:10" ht="15.6" x14ac:dyDescent="0.3">
      <c r="A29" s="29">
        <v>1</v>
      </c>
      <c r="B29" s="84" t="s">
        <v>177</v>
      </c>
      <c r="C29" s="8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2025-10-15T17:33:22Z</dcterms:modified>
</cp:coreProperties>
</file>