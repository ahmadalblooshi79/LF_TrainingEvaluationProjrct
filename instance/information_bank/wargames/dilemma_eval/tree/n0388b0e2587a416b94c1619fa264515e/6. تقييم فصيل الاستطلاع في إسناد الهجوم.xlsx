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2BC3AFE8-C067-44FF-BA89-B9756F61AB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20" i="2"/>
  <c r="H20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F52" i="2"/>
  <c r="E52" i="2"/>
  <c r="E53" i="2"/>
  <c r="E54" i="2"/>
</calcChain>
</file>

<file path=xl/sharedStrings.xml><?xml version="1.0" encoding="utf-8"?>
<sst xmlns="http://schemas.openxmlformats.org/spreadsheetml/2006/main" count="277" uniqueCount="221">
  <si>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</si>
  <si>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</si>
  <si>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</si>
  <si>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</si>
  <si>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</si>
  <si>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</si>
  <si>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</si>
  <si>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</si>
  <si>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</si>
  <si>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</si>
  <si>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</si>
  <si>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</si>
  <si>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</si>
  <si>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</si>
  <si>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</si>
  <si>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</si>
  <si>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</si>
  <si>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</si>
  <si>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</si>
  <si>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</si>
  <si>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</si>
  <si>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</si>
  <si>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</si>
  <si>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</si>
  <si>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</si>
  <si>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</si>
  <si>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</si>
  <si>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</si>
  <si>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</si>
  <si>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</si>
  <si>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</si>
  <si>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</si>
  <si>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</si>
  <si>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</si>
  <si>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</si>
  <si>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</si>
  <si>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</si>
  <si>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</si>
  <si>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</si>
  <si>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</si>
  <si>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</si>
  <si>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</si>
  <si>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</si>
  <si>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</si>
  <si>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</si>
  <si>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</si>
  <si>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</si>
  <si>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</si>
  <si>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</si>
  <si>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</si>
  <si>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</si>
  <si>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</si>
  <si>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</si>
  <si>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</si>
  <si>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</si>
  <si>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</si>
  <si>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</si>
  <si>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</si>
  <si>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</si>
  <si>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</si>
  <si>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</si>
  <si>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</si>
  <si>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</si>
  <si>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</si>
  <si>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</si>
  <si>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</si>
  <si>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</si>
  <si>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</si>
  <si>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</si>
  <si>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</si>
  <si>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</si>
  <si>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</si>
  <si>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</si>
  <si>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</si>
  <si>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</si>
  <si>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</si>
  <si>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</si>
  <si>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</si>
  <si>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</si>
  <si>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</si>
  <si>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</si>
  <si>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</si>
  <si>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</si>
  <si>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</si>
  <si>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</si>
  <si>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</si>
  <si>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</si>
  <si>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</si>
  <si>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</si>
  <si>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</si>
  <si>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</si>
  <si>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</si>
  <si>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</si>
  <si>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</si>
  <si>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</si>
  <si>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</si>
  <si>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</si>
  <si>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</si>
  <si>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</si>
  <si>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</si>
  <si>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</si>
  <si>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</si>
  <si>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</si>
  <si>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</si>
  <si>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</si>
  <si>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</si>
  <si>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</si>
  <si>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</si>
  <si>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</si>
  <si>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</si>
  <si>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</si>
  <si>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</si>
  <si>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</si>
  <si>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</si>
  <si>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</si>
  <si>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</si>
  <si>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</si>
  <si>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</si>
  <si>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</si>
  <si>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</si>
  <si>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</si>
  <si>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</si>
  <si>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</si>
  <si>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</si>
  <si>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</si>
  <si>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</si>
  <si>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</si>
  <si>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</si>
  <si>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</si>
  <si>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</si>
  <si>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</si>
  <si>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</si>
  <si>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</si>
  <si>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</si>
  <si>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</si>
  <si>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</si>
  <si>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</si>
  <si>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</si>
  <si>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</si>
  <si>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</si>
  <si>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</si>
  <si>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</si>
  <si>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</si>
  <si>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</si>
  <si>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</si>
  <si>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</si>
  <si>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</si>
  <si>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</si>
  <si>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</si>
  <si>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</si>
  <si>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</si>
  <si>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</si>
  <si>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</si>
  <si>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</si>
  <si>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</si>
  <si>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</si>
  <si>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</si>
  <si>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</si>
  <si>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</si>
  <si>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</si>
  <si>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</si>
  <si>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</si>
  <si>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</si>
  <si>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</si>
  <si>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</si>
  <si>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</si>
  <si>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</si>
  <si>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</si>
  <si>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</si>
  <si>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</si>
  <si>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</si>
  <si>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</si>
  <si>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</si>
  <si>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</si>
  <si>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</si>
  <si>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</si>
  <si>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</si>
  <si>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أ. البدء بإجراءات التخطيط من خلال إجراءات المعركة الثمانية.</t>
  </si>
  <si>
    <t xml:space="preserve"> تنفيذ الاستطلاع من الخارطة وتحديد ما يلي بشكل أولي.</t>
  </si>
  <si>
    <t>جـ.    تحديد منطقة التجمع المحددة من المستوى الأعلى.</t>
  </si>
  <si>
    <t>د.     تحديد طرق الحركة لمنطقة التجمع.</t>
  </si>
  <si>
    <t>هـ.    تحديد المقتربات وممرات الحركة من منطقة التجمع وحتى منطقة التشكيل وخط البدء.</t>
  </si>
  <si>
    <t>و.    دمج وتوحيد متطلبات الاستخبارات وخطة الاستطلاع.</t>
  </si>
  <si>
    <t>إجراءات التحضير.</t>
  </si>
  <si>
    <t>أ. تنقيح الخطة بناءً على الاستخبارات المحدثة باستمرار.</t>
  </si>
  <si>
    <t>ب. تنفيذ الاستطلاع الواسع من أجل:</t>
  </si>
  <si>
    <t>(1)     تحديد حجم وتأليف وتوزيعات قوة العدو في منطقة الأهداف.</t>
  </si>
  <si>
    <t>(2)    تحديد موقع ونوع وعمق وتأليف الموانع والممرات حول الموانع.</t>
  </si>
  <si>
    <t>(3)   تحديد طرق الهجوم المعاكس أو التعزيزات المعادية.</t>
  </si>
  <si>
    <t>(4)   تحديد نوع التحصينات المعادية وجهد القدرة على البقاء.</t>
  </si>
  <si>
    <t>(5)    تحديد مناطق اشتباك العدو.</t>
  </si>
  <si>
    <t>(6)    تحديد نقاط ضعف العدو.</t>
  </si>
  <si>
    <t>(7)    تحديد الفجوات في دفاع العدو.</t>
  </si>
  <si>
    <t>(8)    تحديد الأجنحة المكشوفة أو الضعيفة للعدو.</t>
  </si>
  <si>
    <t>(9)    تحديد المقتربات غير المراقبة أو المدافع عنها والتي تؤدي إلى أجنحة أو مؤخرة العدو.</t>
  </si>
  <si>
    <t>(10)   تحديد الطرق التي تتوفر فيها التخفية والتستر التي تسمح للقوات الصديقة بالاقتراب من دفاعات العدو.</t>
  </si>
  <si>
    <t>(11)   تحديد الموانع أو التحصينات الضعيفة في دفاع العدو خاصة على طول الأجنحة.</t>
  </si>
  <si>
    <r>
      <t>10.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متابعة انتقالات مراكز القيادة والسيطرة ووسائله الإلكترونية.</t>
    </r>
  </si>
  <si>
    <r>
      <t>11.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تحديد درجة التجهيز الهندسي لخطوط العدو الدفاعية في العمق ومدى احتلالها بالقوات.</t>
    </r>
  </si>
  <si>
    <r>
      <t>12.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تحديد طبيعة الأرض وطبيعة الموانع (ألغام – أسلاك – مناطق مدمرة) في اتجاهات تقدم القوات ومدى توفر مصادر المياه.</t>
    </r>
  </si>
  <si>
    <r>
      <t>13.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متابعة الموقف الكيميائي في قطاع هجوم قواتنا.</t>
    </r>
  </si>
  <si>
    <r>
      <t>14.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اكتشاف ظهور أسلحة جديدة للعدو أو اتباعه أساليب قتال جديدة.</t>
    </r>
  </si>
  <si>
    <r>
      <t>15.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تحديد توقيت بدء انسحاب العدو واتجاهه ومتابعته.</t>
    </r>
  </si>
  <si>
    <t>1.    يعمل قائد فصيل الاستطلاع على فهم الموقف باستخدام معدات الاتصال المتوفرة، والخرائط.</t>
  </si>
  <si>
    <t>3.    إصدار أمر العمليات للفصائل، وتقديم ايجازات للتأكد من أنهم يفهمون قصد القائد ومفهوم عملياته.</t>
  </si>
  <si>
    <t>1.    تقوم فصيل الاستطلاع بالتحضير والاستعداد للمهمة من خلال:</t>
  </si>
  <si>
    <t>2.    تنفيذ تفتيشات وتفقدات ما قبل القتال.</t>
  </si>
  <si>
    <t>3.    الإشراف على الفصائل لضمان أن التخطيط والتحضير يجري بطريقة صحيحة وتتفق مع قصد القائد.</t>
  </si>
  <si>
    <t>4.     توضيع القوات للحركة.</t>
  </si>
  <si>
    <t>1.    الحركة من منطقة التجمع إلى منطقة التشكيل وخط البدء، بأسلوب الحركة والتشكيلة المناسبين.</t>
  </si>
  <si>
    <t xml:space="preserve">2.    تأمين خط البدء بالمعلومات.   </t>
  </si>
  <si>
    <t>3.    تحديد نتائج القصف التمهيدي ودرجـة تأثيره على القوة البشريـة وأسلحـة ومعدات ودفاعات العدو (تحديد خسائر العدو).</t>
  </si>
  <si>
    <t>4.    متابعة الانتقالات والأماكن الجديدة لمواقع أسلحة التدمير الشامل لعدو.</t>
  </si>
  <si>
    <t>5.    متابعة انتقالات مدفعية العدو وهاوناته والأسلحة المضادة للدبابات.</t>
  </si>
  <si>
    <t>6.    اكتشاف نقاط المقاومة للعدو والتي مازالت تعرقل تقدم قواتنا.</t>
  </si>
  <si>
    <t>7.    تحديد طبيعة نشاط العدو الجوي.</t>
  </si>
  <si>
    <t>8.    اكتشاف تقدم احتياطات العدو وخطوط البدء لتوجيه الهجمات المعاكسة ومتابعتها.</t>
  </si>
  <si>
    <t>9.    اكتشاف إعادة تجميع العدو لقواته.</t>
  </si>
  <si>
    <t>2.    يستلم قائد الفصيل أمر العمليات من المستوى الأعلى ويتم القيام بما يلي:</t>
  </si>
  <si>
    <t>ينفذ فصيل الاستطلاع الهجوم من خلال الإجراءات التالية:</t>
  </si>
  <si>
    <r>
      <rPr>
        <b/>
        <sz val="14"/>
        <color rgb="FF000000"/>
        <rFont val="Arial"/>
        <family val="2"/>
      </rPr>
      <t>تقييم فصيل الاستطلاع في إسناد الهجوم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</si>
</sst>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0"/>
      <color theme="1"/>
      <name val="Calibri Light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21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21" xfId="0" applyFont="1" applyBorder="1" applyAlignment="1">
      <alignment horizontal="right" vertical="center" wrapText="1" indent="4" readingOrder="2"/>
    </xf>
    <xf numFmtId="0" fontId="12" fillId="0" borderId="3" xfId="0" applyFont="1" applyBorder="1" applyAlignment="1">
      <alignment horizontal="right" vertical="center" wrapText="1" indent="4" readingOrder="2"/>
    </xf>
    <xf numFmtId="0" fontId="15" fillId="0" borderId="21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12" fillId="0" borderId="21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305745</xdr:colOff>
      <xdr:row>54</xdr:row>
      <xdr:rowOff>514840</xdr:rowOff>
    </xdr:from>
    <xdr:to>
      <xdr:col>9</xdr:col>
      <xdr:colOff>5834</xdr:colOff>
      <xdr:row>56</xdr:row>
      <xdr:rowOff>18683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40FFB8A-0F33-82A2-18B9-608D27EF91BD}"/>
                </a:ext>
              </a:extLst>
            </xdr14:cNvPr>
            <xdr14:cNvContentPartPr/>
          </xdr14:nvContentPartPr>
          <xdr14:nvPr macro=""/>
          <xdr14:xfrm>
            <a:off x="10398580985" y="22866840"/>
            <a:ext cx="1674360" cy="6814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40FFB8A-0F33-82A2-18B9-608D27EF91B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571985" y="22857840"/>
              <a:ext cx="1692000" cy="699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8T07:06:23.0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4428 437,'0'0,"0"0,0 0,0 0,0 0,0 0,0 0,0 0,0 0,0 0,0 0,-14 0,-3 0,11 0,-3 0,-22 0,16 8,0 0,-18-8,20 9,-4-2,-13 10,21-8,2-2,-10 25,11-15,-1-2,20 19,-3-17,-3-2,9 17,-2-24,2 0,14 25,-13-25,-1 0,14 8,-4-16,-6 0,28 16,-33-16,0 0,1 16,-16-8,0 0,0 9,0-8,0-2,-16 9,1 10,0-4,-33 11,16-16,3-2,-32 33,19-29,4-4,-21 17,16-15,6-2,-23 18,28-25,1 0,-32 8,40-8,0 0,-24 8,15 1,4-1,-18 0,20 1,6-2,-13 1,10 1,0-1,-8 0,5 1,5-2,-9 17,5-23,4-2,-12 26,20-24,-4-2,-29 9,29-7,4-1,-20 8,20-16,-4 0,-14 0,16-9,-2 2,-13 7,23-17,-2 1,-22-16,16 6,0 3,-1-41,9 4,-3 6,-3-42,3 43,3 8,7-68,7 69,3 7,-10-28,7 39,-1 4,11-11,2 7,-7 4,3-10,-7 13,0 4,7-17,-6 24,-2 0,9-8,-16 8,0 0,0-1,0 34,-9-16,2-2,-24 9,15 1,1-2,-16 19,-1-1,1-2,-45 18,26-15,7-4,-50 35,44-39,4-4,-31 27,25-23,9-4,-20 11,22-15,2-3,-40 1,39 1,1-2,-55 18,60-17,3 0,-46 16,37-15,1-1,-25 16,31-23,1-2,-29 25,28-14,2-3,-33 17,30-15,6-2,-20 1,15 2,1-3,-15 1,16 1,-3-1,-27 0,27-8,3 0,-16-8,13 9,3-1,-31-8,36 0,4 0,-26-17,22 8,4 2,-12-9,20-1,-4 1,-13-16,30 14,0 3,0-49,17 12,-4 7,50-84,-23 68,-4 7,58-91,-43 76,-9 9,67-69,-61 85,-3 6,31-27,-43 40,-3 2,17 7,-22-2,-4 3,9-1,-13 16,-4 0,20 0,-19 8,2 0,0 9,-16 0,0-2,0 33,-18-21,4-5,-33 59,8-21,2-6,-72 59,36-53,6-7,-102 77,88-80,6-3,-95 50,96-72,9-2,-58 26,65-23,6-4,-24 27,35-32,3-2,-8 18,22-17,1 0,-23 1,31-1,0 0,-2 0,10-8,0 0,19 4,-10-8,61-20,18 7,-6 2,110-25,-54 6,-16 3,181-58,-132 38,-19 5,196-75,-176 44,-21 9,167-71,-169 54,-21 9,158-77,-147 50,-16 11,71-78,-116 102,-3 7,24-44,-59 63,-5 3,4-34,-32 57,0 0,-12 8,8 0,-12 0,-7 9,0-2,-38 25,12 20,5-6,-81 67,60-28,6-8,-80 102,65-77,9-11,-59 136,76-116,4-11,-36 142,48-121,4-15,-18 104,46-210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6"/>
  <sheetViews>
    <sheetView rightToLeft="1" tabSelected="1" view="pageBreakPreview" topLeftCell="C49" zoomScale="130" zoomScaleNormal="100" zoomScaleSheetLayoutView="130" workbookViewId="0">
      <selection activeCell="F3" sqref="F3:J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3" t="s">
        <v>220</v>
      </c>
      <c r="C1" s="63"/>
      <c r="D1" s="63"/>
      <c r="E1" s="63"/>
      <c r="F1" s="63"/>
      <c r="G1" s="63"/>
      <c r="H1" s="63"/>
      <c r="I1" s="63"/>
      <c r="J1" s="63"/>
    </row>
    <row r="2" spans="1:10" ht="30" customHeight="1" x14ac:dyDescent="0.3">
      <c r="B2" s="13" t="s">
        <v>8</v>
      </c>
      <c r="C2" s="69" t="s">
        <v>10</v>
      </c>
      <c r="D2" s="69"/>
      <c r="E2" s="13" t="s">
        <v>7</v>
      </c>
      <c r="F2" s="64">
        <v>45908</v>
      </c>
      <c r="G2" s="64"/>
      <c r="H2" s="64"/>
      <c r="I2" s="64"/>
      <c r="J2" s="64"/>
    </row>
    <row r="3" spans="1:10" ht="30" customHeight="1" x14ac:dyDescent="0.3">
      <c r="B3" s="13" t="s">
        <v>9</v>
      </c>
      <c r="C3" s="69" t="s">
        <v>65</v>
      </c>
      <c r="D3" s="69"/>
      <c r="E3" s="13" t="s">
        <v>6</v>
      </c>
      <c r="F3" s="69" t="s">
        <v>114</v>
      </c>
      <c r="G3" s="69"/>
      <c r="H3" s="69"/>
      <c r="I3" s="69"/>
      <c r="J3" s="69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65" t="s">
        <v>0</v>
      </c>
      <c r="C5" s="66"/>
      <c r="D5" s="66"/>
      <c r="E5" s="74" t="s">
        <v>1</v>
      </c>
      <c r="F5" s="74"/>
      <c r="G5" s="74"/>
      <c r="H5" s="74"/>
      <c r="I5" s="74" t="s">
        <v>2</v>
      </c>
      <c r="J5" s="75"/>
    </row>
    <row r="6" spans="1:10" ht="24.9" customHeight="1" thickBot="1" x14ac:dyDescent="0.35">
      <c r="A6" s="11"/>
      <c r="B6" s="67"/>
      <c r="C6" s="68"/>
      <c r="D6" s="68"/>
      <c r="E6" s="12" t="s">
        <v>3</v>
      </c>
      <c r="F6" s="12" t="s">
        <v>4</v>
      </c>
      <c r="G6" s="12" t="s">
        <v>23</v>
      </c>
      <c r="H6" s="12" t="s">
        <v>24</v>
      </c>
      <c r="I6" s="76"/>
      <c r="J6" s="77"/>
    </row>
    <row r="7" spans="1:10" ht="24.9" customHeight="1" thickBot="1" x14ac:dyDescent="0.35">
      <c r="A7" s="11"/>
      <c r="B7" s="72" t="s">
        <v>21</v>
      </c>
      <c r="C7" s="73"/>
      <c r="D7" s="73"/>
      <c r="E7" s="29" t="s">
        <v>18</v>
      </c>
      <c r="F7" s="29" t="s">
        <v>19</v>
      </c>
      <c r="G7" s="29" t="s">
        <v>22</v>
      </c>
      <c r="H7" s="29" t="s">
        <v>20</v>
      </c>
      <c r="I7" s="78" t="s">
        <v>25</v>
      </c>
      <c r="J7" s="79"/>
    </row>
    <row r="8" spans="1:10" ht="30" customHeight="1" x14ac:dyDescent="0.3">
      <c r="A8" s="11"/>
      <c r="B8" s="42" t="s">
        <v>176</v>
      </c>
      <c r="C8" s="43"/>
      <c r="D8" s="43"/>
      <c r="E8" s="33"/>
      <c r="F8" s="34"/>
      <c r="G8" s="35"/>
      <c r="H8" s="36"/>
      <c r="I8" s="61"/>
      <c r="J8" s="62"/>
    </row>
    <row r="9" spans="1:10" ht="39.9" customHeight="1" x14ac:dyDescent="0.3">
      <c r="A9" s="11"/>
      <c r="B9" s="44" t="s">
        <v>203</v>
      </c>
      <c r="C9" s="45"/>
      <c r="D9" s="45"/>
      <c r="E9" s="9">
        <v>5</v>
      </c>
      <c r="F9" s="27">
        <v>3.75</v>
      </c>
      <c r="G9" s="31">
        <f>IFERROR(F9/E9,"")</f>
        <v>0.75</v>
      </c>
      <c r="H9" s="3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2"/>
      <c r="J9" s="53"/>
    </row>
    <row r="10" spans="1:10" ht="30" customHeight="1" x14ac:dyDescent="0.3">
      <c r="A10" s="11"/>
      <c r="B10" s="44" t="s">
        <v>218</v>
      </c>
      <c r="C10" s="45"/>
      <c r="D10" s="45"/>
      <c r="E10" s="30"/>
      <c r="F10" s="27"/>
      <c r="G10" s="31"/>
      <c r="H10" s="32"/>
      <c r="I10" s="52"/>
      <c r="J10" s="53"/>
    </row>
    <row r="11" spans="1:10" ht="30" customHeight="1" x14ac:dyDescent="0.3">
      <c r="A11" s="11"/>
      <c r="B11" s="50" t="s">
        <v>177</v>
      </c>
      <c r="C11" s="51"/>
      <c r="D11" s="51"/>
      <c r="E11" s="9">
        <v>5</v>
      </c>
      <c r="F11" s="27">
        <v>3.75</v>
      </c>
      <c r="G11" s="31">
        <f t="shared" ref="G11:G51" si="0">IFERROR(F11/E11,"")</f>
        <v>0.75</v>
      </c>
      <c r="H11" s="32" t="str">
        <f t="shared" ref="H11:H51" si="1">_xlfn.IFS(F11="أدخل العلامة","",F11="لا ينطبق","تم الإلغاء",G11&gt;=90%,"ممتاز",G11&gt;=80%,"جيد جداً",G11&gt;=70%,"جيد",G11&gt;=60%,"مقبول",G11&lt;60%,"راسب")</f>
        <v>جيد</v>
      </c>
      <c r="I11" s="52"/>
      <c r="J11" s="53"/>
    </row>
    <row r="12" spans="1:10" ht="30" customHeight="1" x14ac:dyDescent="0.3">
      <c r="A12" s="11"/>
      <c r="B12" s="50" t="s">
        <v>178</v>
      </c>
      <c r="C12" s="51"/>
      <c r="D12" s="51"/>
      <c r="E12" s="9">
        <v>5</v>
      </c>
      <c r="F12" s="27">
        <v>4.25</v>
      </c>
      <c r="G12" s="31">
        <f t="shared" si="0"/>
        <v>0.85</v>
      </c>
      <c r="H12" s="32" t="str">
        <f t="shared" si="1"/>
        <v>جيد جداً</v>
      </c>
      <c r="I12" s="52"/>
      <c r="J12" s="53"/>
    </row>
    <row r="13" spans="1:10" ht="30" customHeight="1" x14ac:dyDescent="0.3">
      <c r="A13" s="11"/>
      <c r="B13" s="50" t="s">
        <v>179</v>
      </c>
      <c r="C13" s="51"/>
      <c r="D13" s="51"/>
      <c r="E13" s="9">
        <v>5</v>
      </c>
      <c r="F13" s="27">
        <v>4.25</v>
      </c>
      <c r="G13" s="31">
        <f t="shared" si="0"/>
        <v>0.85</v>
      </c>
      <c r="H13" s="32" t="str">
        <f t="shared" si="1"/>
        <v>جيد جداً</v>
      </c>
      <c r="I13" s="52"/>
      <c r="J13" s="53"/>
    </row>
    <row r="14" spans="1:10" ht="30" customHeight="1" x14ac:dyDescent="0.3">
      <c r="A14" s="11"/>
      <c r="B14" s="50" t="s">
        <v>180</v>
      </c>
      <c r="C14" s="51"/>
      <c r="D14" s="51"/>
      <c r="E14" s="9">
        <v>5</v>
      </c>
      <c r="F14" s="27">
        <v>4.25</v>
      </c>
      <c r="G14" s="31">
        <f t="shared" si="0"/>
        <v>0.85</v>
      </c>
      <c r="H14" s="32" t="str">
        <f t="shared" si="1"/>
        <v>جيد جداً</v>
      </c>
      <c r="I14" s="52"/>
      <c r="J14" s="53"/>
    </row>
    <row r="15" spans="1:10" ht="39.9" customHeight="1" x14ac:dyDescent="0.3">
      <c r="A15" s="11"/>
      <c r="B15" s="50" t="s">
        <v>181</v>
      </c>
      <c r="C15" s="51"/>
      <c r="D15" s="51"/>
      <c r="E15" s="9">
        <v>5</v>
      </c>
      <c r="F15" s="27">
        <v>3.75</v>
      </c>
      <c r="G15" s="31">
        <f t="shared" si="0"/>
        <v>0.75</v>
      </c>
      <c r="H15" s="32" t="str">
        <f t="shared" si="1"/>
        <v>جيد</v>
      </c>
      <c r="I15" s="52"/>
      <c r="J15" s="53"/>
    </row>
    <row r="16" spans="1:10" ht="30" customHeight="1" x14ac:dyDescent="0.3">
      <c r="A16" s="11"/>
      <c r="B16" s="50" t="s">
        <v>182</v>
      </c>
      <c r="C16" s="51"/>
      <c r="D16" s="51"/>
      <c r="E16" s="9">
        <v>5</v>
      </c>
      <c r="F16" s="27">
        <v>3.75</v>
      </c>
      <c r="G16" s="31">
        <f t="shared" si="0"/>
        <v>0.75</v>
      </c>
      <c r="H16" s="32" t="str">
        <f t="shared" si="1"/>
        <v>جيد</v>
      </c>
      <c r="I16" s="52"/>
      <c r="J16" s="53"/>
    </row>
    <row r="17" spans="1:10" ht="39.9" customHeight="1" thickBot="1" x14ac:dyDescent="0.35">
      <c r="A17" s="11"/>
      <c r="B17" s="40" t="s">
        <v>204</v>
      </c>
      <c r="C17" s="41"/>
      <c r="D17" s="41"/>
      <c r="E17" s="37">
        <v>5</v>
      </c>
      <c r="F17" s="28">
        <v>3.5</v>
      </c>
      <c r="G17" s="38">
        <f t="shared" si="0"/>
        <v>0.7</v>
      </c>
      <c r="H17" s="39" t="str">
        <f t="shared" si="1"/>
        <v>جيد</v>
      </c>
      <c r="I17" s="59"/>
      <c r="J17" s="60"/>
    </row>
    <row r="18" spans="1:10" ht="30" customHeight="1" x14ac:dyDescent="0.3">
      <c r="A18" s="11"/>
      <c r="B18" s="42" t="s">
        <v>183</v>
      </c>
      <c r="C18" s="43"/>
      <c r="D18" s="43"/>
      <c r="E18" s="33"/>
      <c r="F18" s="34"/>
      <c r="G18" s="35"/>
      <c r="H18" s="36"/>
      <c r="I18" s="61"/>
      <c r="J18" s="62"/>
    </row>
    <row r="19" spans="1:10" ht="30" customHeight="1" x14ac:dyDescent="0.3">
      <c r="A19" s="11"/>
      <c r="B19" s="48" t="s">
        <v>205</v>
      </c>
      <c r="C19" s="49"/>
      <c r="D19" s="49"/>
      <c r="E19" s="9"/>
      <c r="F19" s="27"/>
      <c r="G19" s="31"/>
      <c r="H19" s="32"/>
      <c r="I19" s="52"/>
      <c r="J19" s="53"/>
    </row>
    <row r="20" spans="1:10" ht="30" customHeight="1" x14ac:dyDescent="0.3">
      <c r="A20" s="11"/>
      <c r="B20" s="50" t="s">
        <v>184</v>
      </c>
      <c r="C20" s="51"/>
      <c r="D20" s="51"/>
      <c r="E20" s="9">
        <v>5</v>
      </c>
      <c r="F20" s="27">
        <v>3.75</v>
      </c>
      <c r="G20" s="31">
        <f t="shared" si="0"/>
        <v>0.75</v>
      </c>
      <c r="H20" s="32" t="str">
        <f t="shared" si="1"/>
        <v>جيد</v>
      </c>
      <c r="I20" s="52"/>
      <c r="J20" s="53"/>
    </row>
    <row r="21" spans="1:10" ht="30" customHeight="1" x14ac:dyDescent="0.3">
      <c r="A21" s="11"/>
      <c r="B21" s="50" t="s">
        <v>185</v>
      </c>
      <c r="C21" s="51"/>
      <c r="D21" s="51"/>
      <c r="E21" s="30"/>
      <c r="F21" s="27"/>
      <c r="G21" s="31"/>
      <c r="H21" s="32"/>
      <c r="I21" s="52"/>
      <c r="J21" s="53"/>
    </row>
    <row r="22" spans="1:10" ht="39.9" customHeight="1" x14ac:dyDescent="0.3">
      <c r="A22" s="11"/>
      <c r="B22" s="46" t="s">
        <v>186</v>
      </c>
      <c r="C22" s="47"/>
      <c r="D22" s="47"/>
      <c r="E22" s="9">
        <v>5</v>
      </c>
      <c r="F22" s="27">
        <v>3.75</v>
      </c>
      <c r="G22" s="31">
        <f t="shared" si="0"/>
        <v>0.75</v>
      </c>
      <c r="H22" s="32" t="str">
        <f t="shared" si="1"/>
        <v>جيد</v>
      </c>
      <c r="I22" s="52"/>
      <c r="J22" s="53"/>
    </row>
    <row r="23" spans="1:10" ht="39.9" customHeight="1" x14ac:dyDescent="0.3">
      <c r="A23" s="11"/>
      <c r="B23" s="46" t="s">
        <v>187</v>
      </c>
      <c r="C23" s="47"/>
      <c r="D23" s="47"/>
      <c r="E23" s="9">
        <v>5</v>
      </c>
      <c r="F23" s="27">
        <v>3.75</v>
      </c>
      <c r="G23" s="31">
        <f t="shared" si="0"/>
        <v>0.75</v>
      </c>
      <c r="H23" s="32" t="str">
        <f t="shared" si="1"/>
        <v>جيد</v>
      </c>
      <c r="I23" s="52"/>
      <c r="J23" s="53"/>
    </row>
    <row r="24" spans="1:10" ht="30" customHeight="1" x14ac:dyDescent="0.3">
      <c r="A24" s="11"/>
      <c r="B24" s="46" t="s">
        <v>188</v>
      </c>
      <c r="C24" s="47"/>
      <c r="D24" s="47"/>
      <c r="E24" s="9">
        <v>5</v>
      </c>
      <c r="F24" s="27">
        <v>4</v>
      </c>
      <c r="G24" s="31">
        <f t="shared" si="0"/>
        <v>0.8</v>
      </c>
      <c r="H24" s="32" t="str">
        <f t="shared" si="1"/>
        <v>جيد جداً</v>
      </c>
      <c r="I24" s="52"/>
      <c r="J24" s="53"/>
    </row>
    <row r="25" spans="1:10" ht="30" customHeight="1" x14ac:dyDescent="0.3">
      <c r="A25" s="11"/>
      <c r="B25" s="46" t="s">
        <v>189</v>
      </c>
      <c r="C25" s="47"/>
      <c r="D25" s="47"/>
      <c r="E25" s="9">
        <v>5</v>
      </c>
      <c r="F25" s="27">
        <v>3.75</v>
      </c>
      <c r="G25" s="31">
        <f t="shared" si="0"/>
        <v>0.75</v>
      </c>
      <c r="H25" s="32" t="str">
        <f t="shared" si="1"/>
        <v>جيد</v>
      </c>
      <c r="I25" s="52"/>
      <c r="J25" s="53"/>
    </row>
    <row r="26" spans="1:10" ht="30" customHeight="1" x14ac:dyDescent="0.3">
      <c r="A26" s="11"/>
      <c r="B26" s="46" t="s">
        <v>190</v>
      </c>
      <c r="C26" s="47"/>
      <c r="D26" s="47"/>
      <c r="E26" s="9">
        <v>5</v>
      </c>
      <c r="F26" s="27">
        <v>3.75</v>
      </c>
      <c r="G26" s="31">
        <f t="shared" si="0"/>
        <v>0.75</v>
      </c>
      <c r="H26" s="32" t="str">
        <f t="shared" si="1"/>
        <v>جيد</v>
      </c>
      <c r="I26" s="52"/>
      <c r="J26" s="53"/>
    </row>
    <row r="27" spans="1:10" ht="30" customHeight="1" x14ac:dyDescent="0.3">
      <c r="A27" s="11"/>
      <c r="B27" s="46" t="s">
        <v>191</v>
      </c>
      <c r="C27" s="47"/>
      <c r="D27" s="47"/>
      <c r="E27" s="9">
        <v>5</v>
      </c>
      <c r="F27" s="27">
        <v>3.75</v>
      </c>
      <c r="G27" s="31">
        <f t="shared" si="0"/>
        <v>0.75</v>
      </c>
      <c r="H27" s="32" t="str">
        <f t="shared" si="1"/>
        <v>جيد</v>
      </c>
      <c r="I27" s="52"/>
      <c r="J27" s="53"/>
    </row>
    <row r="28" spans="1:10" ht="30" customHeight="1" x14ac:dyDescent="0.3">
      <c r="A28" s="11"/>
      <c r="B28" s="46" t="s">
        <v>192</v>
      </c>
      <c r="C28" s="47"/>
      <c r="D28" s="47"/>
      <c r="E28" s="9">
        <v>5</v>
      </c>
      <c r="F28" s="27">
        <v>3.75</v>
      </c>
      <c r="G28" s="31">
        <f t="shared" si="0"/>
        <v>0.75</v>
      </c>
      <c r="H28" s="32" t="str">
        <f t="shared" si="1"/>
        <v>جيد</v>
      </c>
      <c r="I28" s="52"/>
      <c r="J28" s="53"/>
    </row>
    <row r="29" spans="1:10" ht="30" customHeight="1" x14ac:dyDescent="0.3">
      <c r="A29" s="11"/>
      <c r="B29" s="46" t="s">
        <v>193</v>
      </c>
      <c r="C29" s="47"/>
      <c r="D29" s="47"/>
      <c r="E29" s="9">
        <v>5</v>
      </c>
      <c r="F29" s="27">
        <v>3.75</v>
      </c>
      <c r="G29" s="31">
        <f t="shared" si="0"/>
        <v>0.75</v>
      </c>
      <c r="H29" s="32" t="str">
        <f t="shared" si="1"/>
        <v>جيد</v>
      </c>
      <c r="I29" s="52"/>
      <c r="J29" s="53"/>
    </row>
    <row r="30" spans="1:10" ht="39.9" customHeight="1" x14ac:dyDescent="0.3">
      <c r="A30" s="11"/>
      <c r="B30" s="46" t="s">
        <v>194</v>
      </c>
      <c r="C30" s="47"/>
      <c r="D30" s="47"/>
      <c r="E30" s="9">
        <v>5</v>
      </c>
      <c r="F30" s="27">
        <v>3.75</v>
      </c>
      <c r="G30" s="31">
        <f t="shared" si="0"/>
        <v>0.75</v>
      </c>
      <c r="H30" s="32" t="str">
        <f t="shared" si="1"/>
        <v>جيد</v>
      </c>
      <c r="I30" s="52"/>
      <c r="J30" s="53"/>
    </row>
    <row r="31" spans="1:10" ht="39.9" customHeight="1" x14ac:dyDescent="0.3">
      <c r="A31" s="11"/>
      <c r="B31" s="46" t="s">
        <v>195</v>
      </c>
      <c r="C31" s="47"/>
      <c r="D31" s="47"/>
      <c r="E31" s="9">
        <v>5</v>
      </c>
      <c r="F31" s="27">
        <v>3.75</v>
      </c>
      <c r="G31" s="31">
        <f t="shared" si="0"/>
        <v>0.75</v>
      </c>
      <c r="H31" s="32" t="str">
        <f t="shared" si="1"/>
        <v>جيد</v>
      </c>
      <c r="I31" s="52"/>
      <c r="J31" s="53"/>
    </row>
    <row r="32" spans="1:10" ht="39.9" customHeight="1" x14ac:dyDescent="0.3">
      <c r="A32" s="11"/>
      <c r="B32" s="46" t="s">
        <v>196</v>
      </c>
      <c r="C32" s="47"/>
      <c r="D32" s="47"/>
      <c r="E32" s="9">
        <v>5</v>
      </c>
      <c r="F32" s="27">
        <v>3.75</v>
      </c>
      <c r="G32" s="31">
        <f t="shared" si="0"/>
        <v>0.75</v>
      </c>
      <c r="H32" s="32" t="str">
        <f t="shared" si="1"/>
        <v>جيد</v>
      </c>
      <c r="I32" s="52"/>
      <c r="J32" s="53"/>
    </row>
    <row r="33" spans="1:10" ht="30" customHeight="1" x14ac:dyDescent="0.3">
      <c r="A33" s="11"/>
      <c r="B33" s="44" t="s">
        <v>206</v>
      </c>
      <c r="C33" s="45"/>
      <c r="D33" s="45"/>
      <c r="E33" s="9">
        <v>5</v>
      </c>
      <c r="F33" s="27">
        <v>4.25</v>
      </c>
      <c r="G33" s="31">
        <f t="shared" si="0"/>
        <v>0.85</v>
      </c>
      <c r="H33" s="32" t="str">
        <f t="shared" si="1"/>
        <v>جيد جداً</v>
      </c>
      <c r="I33" s="52"/>
      <c r="J33" s="53"/>
    </row>
    <row r="34" spans="1:10" ht="39.9" customHeight="1" x14ac:dyDescent="0.3">
      <c r="A34" s="11"/>
      <c r="B34" s="44" t="s">
        <v>207</v>
      </c>
      <c r="C34" s="45"/>
      <c r="D34" s="45"/>
      <c r="E34" s="9">
        <v>5</v>
      </c>
      <c r="F34" s="27">
        <v>3.75</v>
      </c>
      <c r="G34" s="31">
        <f t="shared" si="0"/>
        <v>0.75</v>
      </c>
      <c r="H34" s="32" t="str">
        <f t="shared" si="1"/>
        <v>جيد</v>
      </c>
      <c r="I34" s="52"/>
      <c r="J34" s="53"/>
    </row>
    <row r="35" spans="1:10" ht="30" customHeight="1" thickBot="1" x14ac:dyDescent="0.35">
      <c r="A35" s="11"/>
      <c r="B35" s="40" t="s">
        <v>208</v>
      </c>
      <c r="C35" s="41"/>
      <c r="D35" s="41"/>
      <c r="E35" s="37">
        <v>5</v>
      </c>
      <c r="F35" s="28">
        <v>4.25</v>
      </c>
      <c r="G35" s="38">
        <f t="shared" si="0"/>
        <v>0.85</v>
      </c>
      <c r="H35" s="39" t="str">
        <f t="shared" si="1"/>
        <v>جيد جداً</v>
      </c>
      <c r="I35" s="59"/>
      <c r="J35" s="60"/>
    </row>
    <row r="36" spans="1:10" ht="30" customHeight="1" x14ac:dyDescent="0.3">
      <c r="A36" s="11"/>
      <c r="B36" s="42" t="s">
        <v>219</v>
      </c>
      <c r="C36" s="43"/>
      <c r="D36" s="43"/>
      <c r="E36" s="33"/>
      <c r="F36" s="34"/>
      <c r="G36" s="35"/>
      <c r="H36" s="36"/>
      <c r="I36" s="61"/>
      <c r="J36" s="62"/>
    </row>
    <row r="37" spans="1:10" ht="39.9" customHeight="1" x14ac:dyDescent="0.3">
      <c r="A37" s="11"/>
      <c r="B37" s="44" t="s">
        <v>209</v>
      </c>
      <c r="C37" s="45"/>
      <c r="D37" s="45"/>
      <c r="E37" s="9">
        <v>5</v>
      </c>
      <c r="F37" s="27">
        <v>4.25</v>
      </c>
      <c r="G37" s="31">
        <f t="shared" si="0"/>
        <v>0.85</v>
      </c>
      <c r="H37" s="32" t="str">
        <f t="shared" si="1"/>
        <v>جيد جداً</v>
      </c>
      <c r="I37" s="52"/>
      <c r="J37" s="53"/>
    </row>
    <row r="38" spans="1:10" ht="30" customHeight="1" x14ac:dyDescent="0.3">
      <c r="A38" s="11"/>
      <c r="B38" s="44" t="s">
        <v>210</v>
      </c>
      <c r="C38" s="45"/>
      <c r="D38" s="45"/>
      <c r="E38" s="9">
        <v>5</v>
      </c>
      <c r="F38" s="27">
        <v>4.25</v>
      </c>
      <c r="G38" s="31">
        <f t="shared" si="0"/>
        <v>0.85</v>
      </c>
      <c r="H38" s="32" t="str">
        <f t="shared" si="1"/>
        <v>جيد جداً</v>
      </c>
      <c r="I38" s="52"/>
      <c r="J38" s="53"/>
    </row>
    <row r="39" spans="1:10" ht="39.9" customHeight="1" x14ac:dyDescent="0.3">
      <c r="A39" s="11"/>
      <c r="B39" s="44" t="s">
        <v>211</v>
      </c>
      <c r="C39" s="45"/>
      <c r="D39" s="45"/>
      <c r="E39" s="9">
        <v>5</v>
      </c>
      <c r="F39" s="27">
        <v>3.75</v>
      </c>
      <c r="G39" s="31">
        <f t="shared" si="0"/>
        <v>0.75</v>
      </c>
      <c r="H39" s="32" t="str">
        <f t="shared" si="1"/>
        <v>جيد</v>
      </c>
      <c r="I39" s="52"/>
      <c r="J39" s="53"/>
    </row>
    <row r="40" spans="1:10" ht="30" customHeight="1" x14ac:dyDescent="0.3">
      <c r="A40" s="11"/>
      <c r="B40" s="44" t="s">
        <v>212</v>
      </c>
      <c r="C40" s="45"/>
      <c r="D40" s="45"/>
      <c r="E40" s="9">
        <v>5</v>
      </c>
      <c r="F40" s="27">
        <v>3.75</v>
      </c>
      <c r="G40" s="31">
        <f t="shared" si="0"/>
        <v>0.75</v>
      </c>
      <c r="H40" s="32" t="str">
        <f t="shared" si="1"/>
        <v>جيد</v>
      </c>
      <c r="I40" s="52"/>
      <c r="J40" s="53"/>
    </row>
    <row r="41" spans="1:10" ht="30" customHeight="1" x14ac:dyDescent="0.3">
      <c r="A41" s="11"/>
      <c r="B41" s="44" t="s">
        <v>213</v>
      </c>
      <c r="C41" s="45"/>
      <c r="D41" s="45"/>
      <c r="E41" s="9">
        <v>5</v>
      </c>
      <c r="F41" s="27">
        <v>3.75</v>
      </c>
      <c r="G41" s="31">
        <f t="shared" si="0"/>
        <v>0.75</v>
      </c>
      <c r="H41" s="32" t="str">
        <f t="shared" si="1"/>
        <v>جيد</v>
      </c>
      <c r="I41" s="52"/>
      <c r="J41" s="53"/>
    </row>
    <row r="42" spans="1:10" ht="30" customHeight="1" x14ac:dyDescent="0.3">
      <c r="A42" s="11"/>
      <c r="B42" s="44" t="s">
        <v>214</v>
      </c>
      <c r="C42" s="45"/>
      <c r="D42" s="45"/>
      <c r="E42" s="9">
        <v>5</v>
      </c>
      <c r="F42" s="27">
        <v>3.75</v>
      </c>
      <c r="G42" s="31">
        <f t="shared" si="0"/>
        <v>0.75</v>
      </c>
      <c r="H42" s="32" t="str">
        <f t="shared" si="1"/>
        <v>جيد</v>
      </c>
      <c r="I42" s="52"/>
      <c r="J42" s="53"/>
    </row>
    <row r="43" spans="1:10" ht="30" customHeight="1" x14ac:dyDescent="0.3">
      <c r="A43" s="11"/>
      <c r="B43" s="44" t="s">
        <v>215</v>
      </c>
      <c r="C43" s="45"/>
      <c r="D43" s="45"/>
      <c r="E43" s="9">
        <v>5</v>
      </c>
      <c r="F43" s="27">
        <v>3.75</v>
      </c>
      <c r="G43" s="31">
        <f t="shared" si="0"/>
        <v>0.75</v>
      </c>
      <c r="H43" s="32" t="str">
        <f t="shared" si="1"/>
        <v>جيد</v>
      </c>
      <c r="I43" s="52"/>
      <c r="J43" s="53"/>
    </row>
    <row r="44" spans="1:10" ht="39.9" customHeight="1" x14ac:dyDescent="0.3">
      <c r="A44" s="11"/>
      <c r="B44" s="44" t="s">
        <v>216</v>
      </c>
      <c r="C44" s="45"/>
      <c r="D44" s="45"/>
      <c r="E44" s="9">
        <v>5</v>
      </c>
      <c r="F44" s="27">
        <v>3.75</v>
      </c>
      <c r="G44" s="31">
        <f t="shared" si="0"/>
        <v>0.75</v>
      </c>
      <c r="H44" s="32" t="str">
        <f t="shared" si="1"/>
        <v>جيد</v>
      </c>
      <c r="I44" s="52"/>
      <c r="J44" s="53"/>
    </row>
    <row r="45" spans="1:10" ht="30" customHeight="1" x14ac:dyDescent="0.3">
      <c r="A45" s="11"/>
      <c r="B45" s="44" t="s">
        <v>217</v>
      </c>
      <c r="C45" s="45"/>
      <c r="D45" s="45"/>
      <c r="E45" s="9">
        <v>5</v>
      </c>
      <c r="F45" s="27">
        <v>3.75</v>
      </c>
      <c r="G45" s="31">
        <f t="shared" si="0"/>
        <v>0.75</v>
      </c>
      <c r="H45" s="32" t="str">
        <f t="shared" si="1"/>
        <v>جيد</v>
      </c>
      <c r="I45" s="52"/>
      <c r="J45" s="53"/>
    </row>
    <row r="46" spans="1:10" ht="30" customHeight="1" x14ac:dyDescent="0.3">
      <c r="A46" s="11"/>
      <c r="B46" s="44" t="s">
        <v>197</v>
      </c>
      <c r="C46" s="45"/>
      <c r="D46" s="45"/>
      <c r="E46" s="9">
        <v>5</v>
      </c>
      <c r="F46" s="27">
        <v>3.75</v>
      </c>
      <c r="G46" s="31">
        <f t="shared" si="0"/>
        <v>0.75</v>
      </c>
      <c r="H46" s="32" t="str">
        <f t="shared" si="1"/>
        <v>جيد</v>
      </c>
      <c r="I46" s="52"/>
      <c r="J46" s="53"/>
    </row>
    <row r="47" spans="1:10" ht="39.9" customHeight="1" x14ac:dyDescent="0.3">
      <c r="A47" s="11"/>
      <c r="B47" s="44" t="s">
        <v>198</v>
      </c>
      <c r="C47" s="45"/>
      <c r="D47" s="45"/>
      <c r="E47" s="9">
        <v>5</v>
      </c>
      <c r="F47" s="27">
        <v>3.75</v>
      </c>
      <c r="G47" s="31">
        <f t="shared" si="0"/>
        <v>0.75</v>
      </c>
      <c r="H47" s="32" t="str">
        <f t="shared" si="1"/>
        <v>جيد</v>
      </c>
      <c r="I47" s="52"/>
      <c r="J47" s="53"/>
    </row>
    <row r="48" spans="1:10" ht="39.9" customHeight="1" x14ac:dyDescent="0.3">
      <c r="A48" s="11"/>
      <c r="B48" s="44" t="s">
        <v>199</v>
      </c>
      <c r="C48" s="45"/>
      <c r="D48" s="45"/>
      <c r="E48" s="9">
        <v>5</v>
      </c>
      <c r="F48" s="27">
        <v>3.75</v>
      </c>
      <c r="G48" s="31">
        <f t="shared" si="0"/>
        <v>0.75</v>
      </c>
      <c r="H48" s="32" t="str">
        <f t="shared" si="1"/>
        <v>جيد</v>
      </c>
      <c r="I48" s="52"/>
      <c r="J48" s="53"/>
    </row>
    <row r="49" spans="1:10" ht="30" customHeight="1" x14ac:dyDescent="0.3">
      <c r="A49" s="11"/>
      <c r="B49" s="44" t="s">
        <v>200</v>
      </c>
      <c r="C49" s="45"/>
      <c r="D49" s="45"/>
      <c r="E49" s="9">
        <v>5</v>
      </c>
      <c r="F49" s="27">
        <v>3.75</v>
      </c>
      <c r="G49" s="31">
        <f t="shared" si="0"/>
        <v>0.75</v>
      </c>
      <c r="H49" s="32" t="str">
        <f t="shared" si="1"/>
        <v>جيد</v>
      </c>
      <c r="I49" s="52"/>
      <c r="J49" s="53"/>
    </row>
    <row r="50" spans="1:10" ht="30" customHeight="1" x14ac:dyDescent="0.3">
      <c r="A50" s="11"/>
      <c r="B50" s="44" t="s">
        <v>201</v>
      </c>
      <c r="C50" s="45"/>
      <c r="D50" s="45"/>
      <c r="E50" s="9">
        <v>5</v>
      </c>
      <c r="F50" s="27">
        <v>3.75</v>
      </c>
      <c r="G50" s="31">
        <f t="shared" si="0"/>
        <v>0.75</v>
      </c>
      <c r="H50" s="32" t="str">
        <f t="shared" si="1"/>
        <v>جيد</v>
      </c>
      <c r="I50" s="52"/>
      <c r="J50" s="53"/>
    </row>
    <row r="51" spans="1:10" ht="30" customHeight="1" thickBot="1" x14ac:dyDescent="0.35">
      <c r="A51" s="11"/>
      <c r="B51" s="40" t="s">
        <v>202</v>
      </c>
      <c r="C51" s="41"/>
      <c r="D51" s="41"/>
      <c r="E51" s="37">
        <v>5</v>
      </c>
      <c r="F51" s="28">
        <v>3.75</v>
      </c>
      <c r="G51" s="38">
        <f t="shared" si="0"/>
        <v>0.75</v>
      </c>
      <c r="H51" s="39" t="str">
        <f t="shared" si="1"/>
        <v>جيد</v>
      </c>
      <c r="I51" s="59"/>
      <c r="J51" s="60"/>
    </row>
    <row r="52" spans="1:10" ht="30" customHeight="1" thickBot="1" x14ac:dyDescent="0.35">
      <c r="A52" s="4"/>
      <c r="B52" s="86" t="s">
        <v>5</v>
      </c>
      <c r="C52" s="87"/>
      <c r="D52" s="87"/>
      <c r="E52" s="10">
        <f>SUM(E8:E51)</f>
        <v>190</v>
      </c>
      <c r="F52" s="10">
        <f>SUM(F8:F51)</f>
        <v>146</v>
      </c>
      <c r="G52" s="56"/>
      <c r="H52" s="57"/>
      <c r="I52" s="57"/>
      <c r="J52" s="58"/>
    </row>
    <row r="53" spans="1:10" ht="30" customHeight="1" thickBot="1" x14ac:dyDescent="0.35">
      <c r="A53" s="4"/>
      <c r="B53" s="86" t="s">
        <v>54</v>
      </c>
      <c r="C53" s="87"/>
      <c r="D53" s="87"/>
      <c r="E53" s="70">
        <f>F52/E52/100*100</f>
        <v>0.76842105263157889</v>
      </c>
      <c r="F53" s="70"/>
      <c r="G53" s="70"/>
      <c r="H53" s="70"/>
      <c r="I53" s="70"/>
      <c r="J53" s="71"/>
    </row>
    <row r="54" spans="1:10" ht="30" customHeight="1" thickBot="1" x14ac:dyDescent="0.35">
      <c r="A54" s="4"/>
      <c r="B54" s="86" t="s">
        <v>55</v>
      </c>
      <c r="C54" s="87"/>
      <c r="D54" s="87"/>
      <c r="E54" s="84" t="str">
        <f>_xlfn.IFS(E53&gt;=90%,"ممتاز",E53&gt;=80%,"جيد جداً",E53&gt;=70%,"جيد",E53&gt;=60%,"مقبول",E53&lt;60%,"راسب")</f>
        <v>جيد</v>
      </c>
      <c r="F54" s="84"/>
      <c r="G54" s="84"/>
      <c r="H54" s="84"/>
      <c r="I54" s="84"/>
      <c r="J54" s="85"/>
    </row>
    <row r="55" spans="1:10" ht="42" customHeight="1" x14ac:dyDescent="0.3">
      <c r="B55" s="80" t="s">
        <v>175</v>
      </c>
      <c r="C55" s="80"/>
      <c r="D55" s="80"/>
      <c r="E55" s="54" t="s">
        <v>52</v>
      </c>
      <c r="F55" s="54"/>
      <c r="G55" s="82" t="s">
        <v>114</v>
      </c>
      <c r="H55" s="82"/>
      <c r="I55" s="82"/>
      <c r="J55" s="82"/>
    </row>
    <row r="56" spans="1:10" ht="51" customHeight="1" x14ac:dyDescent="0.3">
      <c r="A56" s="5"/>
      <c r="B56" s="81"/>
      <c r="C56" s="81"/>
      <c r="D56" s="81"/>
      <c r="E56" s="55" t="s">
        <v>53</v>
      </c>
      <c r="F56" s="55"/>
      <c r="G56" s="83"/>
      <c r="H56" s="83"/>
      <c r="I56" s="83"/>
      <c r="J56" s="8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9">
    <mergeCell ref="I28:J28"/>
    <mergeCell ref="I29:J29"/>
    <mergeCell ref="B55:D56"/>
    <mergeCell ref="G55:J55"/>
    <mergeCell ref="G56:J56"/>
    <mergeCell ref="E54:J54"/>
    <mergeCell ref="I40:J40"/>
    <mergeCell ref="I41:J41"/>
    <mergeCell ref="I42:J42"/>
    <mergeCell ref="I43:J43"/>
    <mergeCell ref="I44:J44"/>
    <mergeCell ref="I49:J49"/>
    <mergeCell ref="I50:J50"/>
    <mergeCell ref="I51:J51"/>
    <mergeCell ref="B52:D52"/>
    <mergeCell ref="B53:D53"/>
    <mergeCell ref="B54:D54"/>
    <mergeCell ref="B44:D44"/>
    <mergeCell ref="B45:D45"/>
    <mergeCell ref="B46:D46"/>
    <mergeCell ref="B47:D47"/>
    <mergeCell ref="B48:D48"/>
    <mergeCell ref="B49:D49"/>
    <mergeCell ref="B50:D50"/>
    <mergeCell ref="B1:J1"/>
    <mergeCell ref="F2:J2"/>
    <mergeCell ref="B5:D6"/>
    <mergeCell ref="C2:D2"/>
    <mergeCell ref="C3:D3"/>
    <mergeCell ref="F3:J3"/>
    <mergeCell ref="E53:J53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32:J32"/>
    <mergeCell ref="I33:J33"/>
    <mergeCell ref="I34:J34"/>
    <mergeCell ref="I35:J35"/>
    <mergeCell ref="I36:J36"/>
    <mergeCell ref="I8:J8"/>
    <mergeCell ref="I11:J11"/>
    <mergeCell ref="I9:J9"/>
    <mergeCell ref="E55:F55"/>
    <mergeCell ref="E56:F56"/>
    <mergeCell ref="G52:J52"/>
    <mergeCell ref="I45:J45"/>
    <mergeCell ref="I46:J46"/>
    <mergeCell ref="I47:J47"/>
    <mergeCell ref="I48:J4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12:J12"/>
    <mergeCell ref="I13:J13"/>
    <mergeCell ref="I14:J14"/>
    <mergeCell ref="I15:J15"/>
    <mergeCell ref="I16:J16"/>
    <mergeCell ref="I17:J17"/>
    <mergeCell ref="I18:J18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51:D51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4">
    <cfRule type="expression" dxfId="14" priority="57">
      <formula>$E54="راسب"</formula>
    </cfRule>
  </conditionalFormatting>
  <conditionalFormatting sqref="E54:J54">
    <cfRule type="expression" dxfId="13" priority="58">
      <formula>$E54="مقبول"</formula>
    </cfRule>
    <cfRule type="expression" dxfId="12" priority="59">
      <formula>$E54="جيد"</formula>
    </cfRule>
    <cfRule type="expression" dxfId="11" priority="60">
      <formula>$E54="جيد جداً"</formula>
    </cfRule>
    <cfRule type="expression" dxfId="10" priority="61">
      <formula>$E54="ممتاز"</formula>
    </cfRule>
  </conditionalFormatting>
  <conditionalFormatting sqref="F8:F51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5:J55">
    <cfRule type="containsText" dxfId="6" priority="15" operator="containsText" text="أدخل اسم المحكم">
      <formula>NOT(ISERROR(SEARCH("أدخل اسم المحكم",G55)))</formula>
    </cfRule>
  </conditionalFormatting>
  <conditionalFormatting sqref="H8:H5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F37:F51 F22:F35 F20 F11:F17 F9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G55:J55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102</v>
      </c>
    </row>
    <row r="213" spans="1:1" ht="20.100000000000001" customHeight="1" x14ac:dyDescent="0.3">
      <c r="A213" s="21" t="s">
        <v>103</v>
      </c>
    </row>
    <row r="214" spans="1:1" ht="20.100000000000001" customHeight="1" x14ac:dyDescent="0.3">
      <c r="A214" s="21" t="s">
        <v>104</v>
      </c>
    </row>
    <row r="215" spans="1:1" ht="20.100000000000001" customHeight="1" x14ac:dyDescent="0.3">
      <c r="A215" s="21" t="s">
        <v>105</v>
      </c>
    </row>
    <row r="216" spans="1:1" ht="20.100000000000001" customHeight="1" x14ac:dyDescent="0.3">
      <c r="A216" s="21" t="s">
        <v>106</v>
      </c>
    </row>
    <row r="217" spans="1:1" ht="20.100000000000001" customHeight="1" x14ac:dyDescent="0.3">
      <c r="A217" s="21" t="s">
        <v>107</v>
      </c>
    </row>
    <row r="218" spans="1:1" ht="20.100000000000001" customHeight="1" x14ac:dyDescent="0.3">
      <c r="A218" s="21" t="s">
        <v>108</v>
      </c>
    </row>
    <row r="219" spans="1:1" ht="20.100000000000001" customHeight="1" x14ac:dyDescent="0.3">
      <c r="A219" s="21" t="s">
        <v>109</v>
      </c>
    </row>
    <row r="220" spans="1:1" ht="20.100000000000001" customHeight="1" x14ac:dyDescent="0.3">
      <c r="A220" s="21" t="s">
        <v>110</v>
      </c>
    </row>
    <row r="221" spans="1:1" ht="20.100000000000001" customHeight="1" x14ac:dyDescent="0.3">
      <c r="A221" s="21" t="s">
        <v>111</v>
      </c>
    </row>
    <row r="222" spans="1:1" ht="20.100000000000001" customHeight="1" x14ac:dyDescent="0.3">
      <c r="A222" s="21" t="s">
        <v>112</v>
      </c>
    </row>
    <row r="223" spans="1:1" ht="20.100000000000001" customHeight="1" x14ac:dyDescent="0.3">
      <c r="A223" s="21" t="s">
        <v>113</v>
      </c>
    </row>
    <row r="224" spans="1:1" ht="20.100000000000001" customHeight="1" x14ac:dyDescent="0.3">
      <c r="A224" s="21" t="s">
        <v>114</v>
      </c>
    </row>
    <row r="225" spans="1:1" ht="20.100000000000001" customHeight="1" x14ac:dyDescent="0.3">
      <c r="A225" s="21" t="s">
        <v>115</v>
      </c>
    </row>
    <row r="226" spans="1:1" ht="20.100000000000001" customHeight="1" x14ac:dyDescent="0.3">
      <c r="A226" s="21" t="s">
        <v>116</v>
      </c>
    </row>
    <row r="227" spans="1:1" ht="20.100000000000001" customHeight="1" x14ac:dyDescent="0.3">
      <c r="A227" s="21" t="s">
        <v>117</v>
      </c>
    </row>
    <row r="228" spans="1:1" ht="20.100000000000001" customHeight="1" x14ac:dyDescent="0.3">
      <c r="A228" s="21" t="s">
        <v>118</v>
      </c>
    </row>
    <row r="229" spans="1:1" ht="20.100000000000001" customHeight="1" x14ac:dyDescent="0.3">
      <c r="A229" s="21" t="s">
        <v>119</v>
      </c>
    </row>
    <row r="230" spans="1:1" ht="20.100000000000001" customHeight="1" x14ac:dyDescent="0.3">
      <c r="A230" s="21" t="s">
        <v>120</v>
      </c>
    </row>
    <row r="231" spans="1:1" ht="20.100000000000001" customHeight="1" x14ac:dyDescent="0.3">
      <c r="A231" s="21" t="s">
        <v>121</v>
      </c>
    </row>
    <row r="232" spans="1:1" ht="20.100000000000001" customHeight="1" x14ac:dyDescent="0.3">
      <c r="A232" s="21" t="s">
        <v>122</v>
      </c>
    </row>
    <row r="233" spans="1:1" ht="20.100000000000001" customHeight="1" x14ac:dyDescent="0.3">
      <c r="A233" s="21" t="s">
        <v>123</v>
      </c>
    </row>
    <row r="234" spans="1:1" ht="20.100000000000001" customHeight="1" x14ac:dyDescent="0.3">
      <c r="A234" s="21" t="s">
        <v>124</v>
      </c>
    </row>
    <row r="235" spans="1:1" ht="20.100000000000001" customHeight="1" x14ac:dyDescent="0.3">
      <c r="A235" s="23" t="s">
        <v>125</v>
      </c>
    </row>
    <row r="236" spans="1:1" ht="20.100000000000001" customHeight="1" x14ac:dyDescent="0.3">
      <c r="A236" s="21" t="s">
        <v>126</v>
      </c>
    </row>
    <row r="237" spans="1:1" ht="20.100000000000001" customHeight="1" x14ac:dyDescent="0.3">
      <c r="A237" s="21" t="s">
        <v>127</v>
      </c>
    </row>
    <row r="238" spans="1:1" ht="20.100000000000001" customHeight="1" x14ac:dyDescent="0.3">
      <c r="A238" s="21" t="s">
        <v>128</v>
      </c>
    </row>
    <row r="239" spans="1:1" ht="20.100000000000001" customHeight="1" x14ac:dyDescent="0.3">
      <c r="A239" s="21" t="s">
        <v>129</v>
      </c>
    </row>
    <row r="240" spans="1:1" ht="20.100000000000001" customHeight="1" x14ac:dyDescent="0.3">
      <c r="A240" s="21" t="s">
        <v>130</v>
      </c>
    </row>
    <row r="241" spans="1:1" ht="20.100000000000001" customHeight="1" x14ac:dyDescent="0.3">
      <c r="A241" s="21" t="s">
        <v>131</v>
      </c>
    </row>
    <row r="242" spans="1:1" ht="20.100000000000001" customHeight="1" x14ac:dyDescent="0.3">
      <c r="A242" s="21" t="s">
        <v>132</v>
      </c>
    </row>
    <row r="243" spans="1:1" ht="20.100000000000001" customHeight="1" x14ac:dyDescent="0.3">
      <c r="A243" s="21" t="s">
        <v>133</v>
      </c>
    </row>
    <row r="244" spans="1:1" ht="20.100000000000001" customHeight="1" x14ac:dyDescent="0.3">
      <c r="A244" s="21" t="s">
        <v>134</v>
      </c>
    </row>
    <row r="245" spans="1:1" ht="20.100000000000001" customHeight="1" x14ac:dyDescent="0.3">
      <c r="A245" s="21" t="s">
        <v>135</v>
      </c>
    </row>
    <row r="246" spans="1:1" ht="20.100000000000001" customHeight="1" x14ac:dyDescent="0.3">
      <c r="A246" s="21" t="s">
        <v>136</v>
      </c>
    </row>
    <row r="247" spans="1:1" ht="20.100000000000001" customHeight="1" x14ac:dyDescent="0.3">
      <c r="A247" s="21" t="s">
        <v>127</v>
      </c>
    </row>
    <row r="248" spans="1:1" ht="20.100000000000001" customHeight="1" x14ac:dyDescent="0.3">
      <c r="A248" s="21" t="s">
        <v>137</v>
      </c>
    </row>
    <row r="249" spans="1:1" ht="20.100000000000001" customHeight="1" x14ac:dyDescent="0.3">
      <c r="A249" s="21" t="s">
        <v>138</v>
      </c>
    </row>
    <row r="250" spans="1:1" ht="20.100000000000001" customHeight="1" x14ac:dyDescent="0.3">
      <c r="A250" s="23" t="s">
        <v>139</v>
      </c>
    </row>
    <row r="251" spans="1:1" ht="20.100000000000001" customHeight="1" x14ac:dyDescent="0.3">
      <c r="A251" s="24" t="s">
        <v>140</v>
      </c>
    </row>
    <row r="252" spans="1:1" ht="20.100000000000001" customHeight="1" x14ac:dyDescent="0.3">
      <c r="A252" s="21" t="s">
        <v>141</v>
      </c>
    </row>
    <row r="253" spans="1:1" ht="20.100000000000001" customHeight="1" x14ac:dyDescent="0.3">
      <c r="A253" s="21" t="s">
        <v>142</v>
      </c>
    </row>
    <row r="254" spans="1:1" ht="20.100000000000001" customHeight="1" x14ac:dyDescent="0.3">
      <c r="A254" s="25" t="s">
        <v>143</v>
      </c>
    </row>
    <row r="255" spans="1:1" ht="20.100000000000001" customHeight="1" x14ac:dyDescent="0.3">
      <c r="A255" s="25" t="s">
        <v>144</v>
      </c>
    </row>
    <row r="256" spans="1:1" ht="20.100000000000001" customHeight="1" x14ac:dyDescent="0.3">
      <c r="A256" s="26" t="s">
        <v>145</v>
      </c>
    </row>
    <row r="257" spans="1:1" ht="20.100000000000001" customHeight="1" x14ac:dyDescent="0.3">
      <c r="A257" s="21" t="s">
        <v>146</v>
      </c>
    </row>
    <row r="258" spans="1:1" ht="20.100000000000001" customHeight="1" x14ac:dyDescent="0.3">
      <c r="A258" s="26" t="s">
        <v>147</v>
      </c>
    </row>
    <row r="259" spans="1:1" ht="20.100000000000001" customHeight="1" x14ac:dyDescent="0.3">
      <c r="A259" s="21" t="s">
        <v>148</v>
      </c>
    </row>
    <row r="260" spans="1:1" ht="20.100000000000001" customHeight="1" x14ac:dyDescent="0.3">
      <c r="A260" s="26" t="s">
        <v>149</v>
      </c>
    </row>
    <row r="261" spans="1:1" ht="20.100000000000001" customHeight="1" x14ac:dyDescent="0.3">
      <c r="A261" s="21" t="s">
        <v>150</v>
      </c>
    </row>
    <row r="262" spans="1:1" ht="20.100000000000001" customHeight="1" x14ac:dyDescent="0.3">
      <c r="A262" s="21" t="s">
        <v>151</v>
      </c>
    </row>
    <row r="263" spans="1:1" ht="20.100000000000001" customHeight="1" x14ac:dyDescent="0.3">
      <c r="A263" s="26" t="s">
        <v>152</v>
      </c>
    </row>
    <row r="264" spans="1:1" ht="20.100000000000001" customHeight="1" x14ac:dyDescent="0.3">
      <c r="A264" s="26" t="s">
        <v>153</v>
      </c>
    </row>
    <row r="265" spans="1:1" ht="20.100000000000001" customHeight="1" x14ac:dyDescent="0.3">
      <c r="A265" s="26" t="s">
        <v>154</v>
      </c>
    </row>
    <row r="266" spans="1:1" ht="20.100000000000001" customHeight="1" x14ac:dyDescent="0.3">
      <c r="A266" s="21" t="s">
        <v>155</v>
      </c>
    </row>
    <row r="267" spans="1:1" ht="20.100000000000001" customHeight="1" x14ac:dyDescent="0.3">
      <c r="A267" s="21" t="s">
        <v>156</v>
      </c>
    </row>
    <row r="268" spans="1:1" ht="20.100000000000001" customHeight="1" x14ac:dyDescent="0.3">
      <c r="A268" s="21" t="s">
        <v>157</v>
      </c>
    </row>
    <row r="269" spans="1:1" ht="20.100000000000001" customHeight="1" x14ac:dyDescent="0.3">
      <c r="A269" s="21" t="s">
        <v>158</v>
      </c>
    </row>
    <row r="270" spans="1:1" ht="20.100000000000001" customHeight="1" x14ac:dyDescent="0.3">
      <c r="A270" s="26" t="s">
        <v>159</v>
      </c>
    </row>
    <row r="271" spans="1:1" ht="20.100000000000001" customHeight="1" x14ac:dyDescent="0.3">
      <c r="A271" s="26" t="s">
        <v>160</v>
      </c>
    </row>
    <row r="272" spans="1:1" ht="20.100000000000001" customHeight="1" x14ac:dyDescent="0.3">
      <c r="A272" s="21" t="s">
        <v>161</v>
      </c>
    </row>
    <row r="273" spans="1:1" ht="20.100000000000001" customHeight="1" x14ac:dyDescent="0.3">
      <c r="A273" s="26" t="s">
        <v>162</v>
      </c>
    </row>
    <row r="274" spans="1:1" ht="20.100000000000001" customHeight="1" x14ac:dyDescent="0.3">
      <c r="A274" s="26" t="s">
        <v>163</v>
      </c>
    </row>
    <row r="275" spans="1:1" ht="20.100000000000001" customHeight="1" x14ac:dyDescent="0.3">
      <c r="A275" s="21" t="s">
        <v>164</v>
      </c>
    </row>
    <row r="276" spans="1:1" ht="20.100000000000001" customHeight="1" x14ac:dyDescent="0.3">
      <c r="A276" s="21" t="s">
        <v>165</v>
      </c>
    </row>
    <row r="277" spans="1:1" ht="20.100000000000001" customHeight="1" x14ac:dyDescent="0.3">
      <c r="A277" s="26" t="s">
        <v>166</v>
      </c>
    </row>
    <row r="278" spans="1:1" ht="20.100000000000001" customHeight="1" x14ac:dyDescent="0.3">
      <c r="A278" s="21" t="s">
        <v>167</v>
      </c>
    </row>
    <row r="279" spans="1:1" ht="20.100000000000001" customHeight="1" x14ac:dyDescent="0.3">
      <c r="A279" s="21" t="s">
        <v>168</v>
      </c>
    </row>
    <row r="280" spans="1:1" ht="20.100000000000001" customHeight="1" x14ac:dyDescent="0.3">
      <c r="A280" s="21" t="s">
        <v>169</v>
      </c>
    </row>
    <row r="281" spans="1:1" ht="20.100000000000001" customHeight="1" x14ac:dyDescent="0.3">
      <c r="A281" s="21" t="s">
        <v>170</v>
      </c>
    </row>
    <row r="282" spans="1:1" ht="20.100000000000001" customHeight="1" x14ac:dyDescent="0.3">
      <c r="A282" s="26" t="s">
        <v>171</v>
      </c>
    </row>
    <row r="283" spans="1:1" ht="20.100000000000001" customHeight="1" x14ac:dyDescent="0.3">
      <c r="A283" s="26" t="s">
        <v>172</v>
      </c>
    </row>
    <row r="284" spans="1:1" ht="20.100000000000001" customHeight="1" x14ac:dyDescent="0.3">
      <c r="A284" s="26" t="s">
        <v>173</v>
      </c>
    </row>
    <row r="285" spans="1:1" ht="20.100000000000001" customHeight="1" thickBot="1" x14ac:dyDescent="0.35">
      <c r="A285" s="21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2025-10-08T20:11:18Z</dcterms:modified>
</cp:coreProperties>
</file>