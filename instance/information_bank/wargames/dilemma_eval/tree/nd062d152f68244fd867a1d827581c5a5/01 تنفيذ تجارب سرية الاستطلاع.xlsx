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13F4136-9C06-4AE6-A032-7F9EF284A3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F43" i="2"/>
  <c r="E43" i="2"/>
  <c r="E44" i="2"/>
  <c r="E45" i="2"/>
</calcChain>
</file>

<file path=xl/sharedStrings.xml><?xml version="1.0" encoding="utf-8"?>
<sst xmlns="http://schemas.openxmlformats.org/spreadsheetml/2006/main" count="268" uniqueCount="212">
  <si>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</si>
  <si>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</si>
  <si>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</si>
  <si>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</si>
  <si>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</si>
  <si>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</si>
  <si>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</si>
  <si>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</si>
  <si>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</si>
  <si>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</si>
  <si>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</si>
  <si>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</si>
  <si>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</si>
  <si>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</si>
  <si>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</si>
  <si>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</si>
  <si>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</si>
  <si>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</si>
  <si>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</si>
  <si>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</si>
  <si>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</si>
  <si>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</si>
  <si>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</si>
  <si>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</si>
  <si>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</si>
  <si>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</si>
  <si>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</si>
  <si>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</si>
  <si>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</si>
  <si>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</si>
  <si>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</si>
  <si>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</si>
  <si>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</si>
  <si>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</si>
  <si>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</si>
  <si>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</si>
  <si>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</si>
  <si>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</si>
  <si>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</si>
  <si>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</si>
  <si>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</si>
  <si>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</si>
  <si>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</si>
  <si>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</si>
  <si>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</si>
  <si>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</si>
  <si>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</si>
  <si>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</si>
  <si>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</si>
  <si>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</si>
  <si>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</si>
  <si>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</si>
  <si>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</si>
  <si>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</si>
  <si>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</si>
  <si>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</si>
  <si>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</si>
  <si>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</si>
  <si>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</si>
  <si>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</si>
  <si>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</si>
  <si>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</si>
  <si>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</si>
  <si>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</si>
  <si>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</si>
  <si>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</si>
  <si>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</si>
  <si>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</si>
  <si>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</si>
  <si>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</si>
  <si>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</si>
  <si>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</si>
  <si>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</si>
  <si>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</si>
  <si>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</si>
  <si>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</si>
  <si>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</si>
  <si>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</si>
  <si>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</si>
  <si>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</si>
  <si>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</si>
  <si>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</si>
  <si>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</si>
  <si>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</si>
  <si>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</si>
  <si>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</si>
  <si>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</si>
  <si>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</si>
  <si>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</si>
  <si>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</si>
  <si>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</si>
  <si>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</si>
  <si>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</si>
  <si>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</si>
  <si>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</si>
  <si>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</si>
  <si>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</si>
  <si>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</si>
  <si>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</si>
  <si>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</si>
  <si>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</si>
  <si>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</si>
  <si>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</si>
  <si>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</si>
  <si>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</si>
  <si>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</si>
  <si>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</si>
  <si>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</si>
  <si>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</si>
  <si>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</si>
  <si>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</si>
  <si>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</si>
  <si>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</si>
  <si>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</si>
  <si>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</si>
  <si>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</si>
  <si>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</si>
  <si>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</si>
  <si>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</si>
  <si>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</si>
  <si>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</si>
  <si>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</si>
  <si>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</si>
  <si>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</si>
  <si>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</si>
  <si>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</si>
  <si>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</si>
  <si>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</si>
  <si>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</si>
  <si>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</si>
  <si>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</si>
  <si>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</si>
  <si>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</si>
  <si>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</si>
  <si>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</si>
  <si>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</si>
  <si>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</si>
  <si>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</si>
  <si>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</si>
  <si>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</si>
  <si>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</si>
  <si>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</si>
  <si>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</si>
  <si>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</si>
  <si>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</si>
  <si>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</si>
  <si>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</si>
  <si>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</si>
  <si>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</si>
  <si>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</si>
  <si>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</si>
  <si>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</si>
  <si>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</si>
  <si>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</si>
  <si>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</si>
  <si>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</si>
  <si>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</si>
  <si>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</si>
  <si>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</si>
  <si>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</si>
  <si>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</si>
  <si>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</si>
  <si>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</si>
  <si>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</si>
  <si>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</si>
  <si>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</si>
  <si>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</si>
  <si>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</si>
  <si>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</si>
  <si>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</si>
  <si>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</si>
  <si>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</si>
  <si>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</si>
  <si>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</si>
  <si>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</si>
  <si>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</si>
  <si>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</si>
  <si>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يعمل القادة في السرية على فهم الموقف باستخدام معدات الاتصال المتوفرة، والخرائط، وملخصات الاستخبارات، وتقارير الموقف، ومصادر المعلومات المتوفرة الأخرى.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</si>
  <si>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يعمل قائد السرية على تخطيط وترتيب أولويات العمل خلال التجارب من خلال تنفيذ الإجراءات التالية:</t>
    </r>
  </si>
  <si>
    <t>ب. اختيار الأحداث التي سيتم إجراء التجارب عليها وترتيبها حسب الأولوية وتحديد التوقيتات اللازمة لكل حدث.</t>
  </si>
  <si>
    <t>هـ. اختيار مكان التجارب.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</si>
  <si>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اختيار أحد أساليب التجارب مثل التجارب باستخدام كامل القوة، باستخدام جزء من القوة، باستخدام نماذج تمثل طبيعة الأرض، باستخدام المخططات، باستخدام الخارطة أو التجارب باستخدام شبكة الاتصالات.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</si>
  <si>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التأكيد على زمان ومكان التجربة وكما جاء في أمر عمليات السرية أو الأمر الإنذاري.</t>
    </r>
  </si>
  <si>
    <t>مرحلة التحضير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</si>
  <si>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يُحَضِّر قائد السرية لإجراء التجارب بمساعدة نائبه ووكيل السرية ويقوموا بالإجراءات التالية:</t>
    </r>
  </si>
  <si>
    <t>ب. تخصيص الوقت للتجارب.</t>
  </si>
  <si>
    <t>جـ. مراجعة التجميع للواجب للعملية.</t>
  </si>
  <si>
    <t xml:space="preserve">و. التأكد من توفر الشفافات والمخططات اللازمة. 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</si>
  <si>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يكمل القادة المرؤوسين تحضيراتهم للتجارب من خلال: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</si>
  <si>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يتحرك المشاركون إلى موقع التجربة.</t>
    </r>
  </si>
  <si>
    <t>مرحلة التنفيذ</t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</si>
  <si>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يقوم قائد السرية بما يلي:</t>
    </r>
  </si>
  <si>
    <t>ب. التأكيد على التجميع للواجب للعملية.</t>
  </si>
  <si>
    <t>جـ. عرض مفهوم السرية.</t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</si>
  <si>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يدير القائد التجارب كما يلي:</t>
    </r>
  </si>
  <si>
    <t>ب. اعتماد التجميع للواجب للعملية.</t>
  </si>
  <si>
    <t>جـ. الالتزام بالتوقيتات خلال إجراء التجارب.</t>
  </si>
  <si>
    <t>د. تنفيذ الأحداث الهامة حسب تسلسلها والأولوية لكل حدث وتكون الأحداث ضد عمل العدو الذي تم اختياره في مرحلة التخطيط.</t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</si>
  <si>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يقوم قادة الفصائل بتطبيق أدوارهم في العملية وحسب تسلسل الأحداث.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</si>
  <si>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بعد انتهاء التجارب يتم تعديل الخطة حسب الحاجة وإبلاغ المعنيين بذلك حسب الأوامر التعبوية المستديمة.</t>
    </r>
  </si>
  <si>
    <t>أ.   اختيار نوع التجارب التي سيتم تنفيذه (الإيجازات التأكيدية، إيجازات القادة المرؤوسين، تجارب الأسلحة الموحدة).</t>
  </si>
  <si>
    <t>جـ.  تحديد المشاركين في التجارب.</t>
  </si>
  <si>
    <t>د.  اختيار عمل العدو الذي سيتم تمثيله خلال التجارب.</t>
  </si>
  <si>
    <t>أ.   تدقيق قائمة الأحداث الهامة التي سيتم تطبيق التجارب عليها.</t>
  </si>
  <si>
    <t>د.   التأكد من حضور المشاركين في التجارب.</t>
  </si>
  <si>
    <t>هـ.  التأكد من جاهزية المعدات اللازمة للتجارب.</t>
  </si>
  <si>
    <t>أ.   إنهاء عملية التخطيط الخاصة بهم.</t>
  </si>
  <si>
    <t>ب.  تحضير أية أمور تتعلق بتنفيذ المهمة لمناقشتها أثناء التجارب مع قيادة السرية.</t>
  </si>
  <si>
    <t>أ.   إيجاز المشاركين عن أسلوب تنفيذ التجارب.</t>
  </si>
  <si>
    <t>د.  تأكيد الأحداث الهامة التي سيتم التركيز عليها خلال التجارب.</t>
  </si>
  <si>
    <t>أ.   تفقد المشاركين والمعدات الضرورية.</t>
  </si>
  <si>
    <t>تنفيذ تجارب سرية الاستطلاع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</si>
</sst>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5" borderId="24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7" fillId="6" borderId="25" xfId="0" applyFont="1" applyFill="1" applyBorder="1" applyAlignment="1">
      <alignment horizontal="right" vertical="center" wrapText="1" readingOrder="2"/>
    </xf>
    <xf numFmtId="0" fontId="7" fillId="6" borderId="26" xfId="0" applyFont="1" applyFill="1" applyBorder="1" applyAlignment="1">
      <alignment horizontal="right" vertical="center" wrapText="1" readingOrder="2"/>
    </xf>
    <xf numFmtId="0" fontId="7" fillId="6" borderId="27" xfId="0" applyFont="1" applyFill="1" applyBorder="1" applyAlignment="1">
      <alignment horizontal="right" vertical="center" wrapText="1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5" xfId="0" applyFont="1" applyBorder="1" applyAlignment="1" applyProtection="1">
      <alignment vertical="center" wrapText="1" readingOrder="2"/>
      <protection locked="0"/>
    </xf>
    <xf numFmtId="0" fontId="6" fillId="0" borderId="15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130569</xdr:colOff>
      <xdr:row>46</xdr:row>
      <xdr:rowOff>53800</xdr:rowOff>
    </xdr:from>
    <xdr:to>
      <xdr:col>8</xdr:col>
      <xdr:colOff>450456</xdr:colOff>
      <xdr:row>46</xdr:row>
      <xdr:rowOff>450160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38FC246-86EC-5D0A-72FD-3FDCC3C7298A}"/>
                </a:ext>
              </a:extLst>
            </xdr14:cNvPr>
            <xdr14:cNvContentPartPr/>
          </xdr14:nvContentPartPr>
          <xdr14:nvPr macro=""/>
          <xdr14:xfrm>
            <a:off x="10431385280" y="19501920"/>
            <a:ext cx="1633680" cy="396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38FC246-86EC-5D0A-72FD-3FDCC3C729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1379160" y="19495800"/>
              <a:ext cx="1645920" cy="408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5T07:05:16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3714 637,'0'0,"0"0,0 0,0 0,0 0,0 0,0 0,0 0,0 0,0 0,0 0,0 0,-12 0,10 0,2 0,-7 11,5-9,-7-4,-1 13,8-9,4 7,-2 13,0-17,0 12,21 5,-19-18,60 26,15 14,-67-38,65 21,24 17,-85-38,80 10,-7 17,-77-28,55 2,11 15,-68-20,17-4,5 2,-25 0,2 0,-7 11,0-10,-12-13,3 12,9 0,-11 11,-65 0,69-10,-82 9,-41 1,114-10,-130 9,-28 1,152-10,-140 9,-33 1,174-10,-154 20,13-21,143 0,-101 11,-12-11,120 0,-60 0,-6 0,69 0,-36 0,3-11,37 10,-23-9,6-1,20 10,-5-20,7-1,0 19,0-27,9-15,-6 39,27-43,12-6,-34 47,51-50,4-9,-51 57,54-35,9-10,-65 46,55-38,1 3,-56 38,35-10,-3-6,-37 19,23-5,-7-3,-18 9,27-18,-20 9,-6 9,3 4,5-2,-10 0,-27 0,22 0,-37 22,-36-11,65-10,-77 20,-29 12,98-28,-103 23,-20-6,122-18,-122 14,-9 16,128-29,-83 12,-2-6,92-9,-55 7,5 2,57-9,-24-4,0 2,28 0,-11 0,4 0,9 0,6-11,-13 11,8 0,-7 0,-13 0,20 0,-8-11,-20 11,23 0,-51 0,-30-11,77 9,-86 4,-32-2,107 0,-107 0,-25 0,131 0,-116 0,1 0,117 0,-45 0,-1 11,59-9,-37-4,14 2,23 0,-7 0,5 0,32-11,-2 11,-17 0,16-11,58 0,-67 9,77-19,30-1,-100 19,119-27,48 8,-156 19,128-27,27 8,-155 19,128-16,-24 8,-114 9,60-7,-3 20,-63-10,31-2,-11 12,-27-10,-10 9,-7 1,10-9,-71 29,-35 13,92-37,-86 30,-39 19,119-48,-152 50,-52 19,191-64,-158 41,-23 12,183-56,-118 24,-11 0,138-29,-81 12,29 5,65-19,-43 5,20-8,30 0,-1 0,-7 0,10 0,16-11,7 0,-19 9,60-18,15-14,-65 29,94-45,57-5,-136 46,141-60,58-8,-184 64,177-62,40-25,-212 83,156-32,34-18,-197 56,157-66,20 11,-181 55,103-34,11-21,-126 55,48 11,-5-22,-56 18,20-14,2 7,-26 9,-2-8,-1 5,-20 22,-6-6,20-10,-7 9,-55 23,52-28,-41 34,-35 16,77-46,-96 60,-34 19,120-74,-99 72,-42 13,138-84,-103 81,-14 3,120-84,-100 70,-8 37,108-103,-97 83,118-102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7"/>
  <sheetViews>
    <sheetView rightToLeft="1" tabSelected="1" view="pageBreakPreview" topLeftCell="A42" zoomScale="130" zoomScaleNormal="100" zoomScaleSheetLayoutView="130" workbookViewId="0">
      <selection activeCell="D49" sqref="D4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4" t="s">
        <v>211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3">
      <c r="B2" s="9" t="s">
        <v>8</v>
      </c>
      <c r="C2" s="70" t="s">
        <v>10</v>
      </c>
      <c r="D2" s="70"/>
      <c r="E2" s="9" t="s">
        <v>7</v>
      </c>
      <c r="F2" s="65">
        <v>45951</v>
      </c>
      <c r="G2" s="65"/>
      <c r="H2" s="65"/>
      <c r="I2" s="65"/>
      <c r="J2" s="65"/>
    </row>
    <row r="3" spans="1:10" ht="30" customHeight="1" x14ac:dyDescent="0.3">
      <c r="B3" s="9" t="s">
        <v>9</v>
      </c>
      <c r="C3" s="70" t="s">
        <v>65</v>
      </c>
      <c r="D3" s="70"/>
      <c r="E3" s="9" t="s">
        <v>6</v>
      </c>
      <c r="F3" s="70" t="s">
        <v>114</v>
      </c>
      <c r="G3" s="70"/>
      <c r="H3" s="70"/>
      <c r="I3" s="70"/>
      <c r="J3" s="70"/>
    </row>
    <row r="4" spans="1:10" ht="30" customHeight="1" thickBot="1" x14ac:dyDescent="0.35">
      <c r="B4" s="71"/>
      <c r="C4" s="71"/>
      <c r="D4" s="71"/>
      <c r="E4" s="6"/>
      <c r="F4" s="72"/>
      <c r="G4" s="72"/>
      <c r="H4" s="72"/>
      <c r="I4" s="72"/>
      <c r="J4" s="72"/>
    </row>
    <row r="5" spans="1:10" ht="24.9" customHeight="1" x14ac:dyDescent="0.3">
      <c r="A5" s="7"/>
      <c r="B5" s="66" t="s">
        <v>0</v>
      </c>
      <c r="C5" s="67"/>
      <c r="D5" s="67"/>
      <c r="E5" s="73" t="s">
        <v>1</v>
      </c>
      <c r="F5" s="73"/>
      <c r="G5" s="73"/>
      <c r="H5" s="73"/>
      <c r="I5" s="73" t="s">
        <v>2</v>
      </c>
      <c r="J5" s="74"/>
    </row>
    <row r="6" spans="1:10" ht="24.9" customHeight="1" thickBot="1" x14ac:dyDescent="0.35">
      <c r="A6" s="7"/>
      <c r="B6" s="68"/>
      <c r="C6" s="69"/>
      <c r="D6" s="69"/>
      <c r="E6" s="8" t="s">
        <v>3</v>
      </c>
      <c r="F6" s="8" t="s">
        <v>4</v>
      </c>
      <c r="G6" s="8" t="s">
        <v>23</v>
      </c>
      <c r="H6" s="8" t="s">
        <v>24</v>
      </c>
      <c r="I6" s="75"/>
      <c r="J6" s="76"/>
    </row>
    <row r="7" spans="1:10" ht="24.9" customHeight="1" thickBot="1" x14ac:dyDescent="0.35">
      <c r="A7" s="7"/>
      <c r="B7" s="79" t="s">
        <v>21</v>
      </c>
      <c r="C7" s="80"/>
      <c r="D7" s="80"/>
      <c r="E7" s="25" t="s">
        <v>18</v>
      </c>
      <c r="F7" s="25" t="s">
        <v>19</v>
      </c>
      <c r="G7" s="25" t="s">
        <v>22</v>
      </c>
      <c r="H7" s="25" t="s">
        <v>20</v>
      </c>
      <c r="I7" s="77" t="s">
        <v>25</v>
      </c>
      <c r="J7" s="78"/>
    </row>
    <row r="8" spans="1:10" ht="39.9" customHeight="1" x14ac:dyDescent="0.3">
      <c r="A8" s="7"/>
      <c r="B8" s="38" t="s">
        <v>176</v>
      </c>
      <c r="C8" s="39"/>
      <c r="D8" s="39"/>
      <c r="E8" s="39"/>
      <c r="F8" s="39"/>
      <c r="G8" s="39"/>
      <c r="H8" s="39"/>
      <c r="I8" s="39"/>
      <c r="J8" s="40"/>
    </row>
    <row r="9" spans="1:10" ht="54.75" customHeight="1" x14ac:dyDescent="0.3">
      <c r="A9" s="7"/>
      <c r="B9" s="41" t="s">
        <v>177</v>
      </c>
      <c r="C9" s="42"/>
      <c r="D9" s="42"/>
      <c r="E9" s="29">
        <v>5</v>
      </c>
      <c r="F9" s="23">
        <v>3.75</v>
      </c>
      <c r="G9" s="27">
        <f>IFERROR(F9/E9,"")</f>
        <v>0.75</v>
      </c>
      <c r="H9" s="2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9.9" customHeight="1" x14ac:dyDescent="0.3">
      <c r="A10" s="7"/>
      <c r="B10" s="41" t="s">
        <v>178</v>
      </c>
      <c r="C10" s="42"/>
      <c r="D10" s="42"/>
      <c r="E10" s="29"/>
      <c r="F10" s="23"/>
      <c r="G10" s="27"/>
      <c r="H10" s="28"/>
      <c r="I10" s="43"/>
      <c r="J10" s="44"/>
    </row>
    <row r="11" spans="1:10" ht="39.9" customHeight="1" x14ac:dyDescent="0.3">
      <c r="A11" s="7"/>
      <c r="B11" s="34" t="s">
        <v>200</v>
      </c>
      <c r="C11" s="35"/>
      <c r="D11" s="35"/>
      <c r="E11" s="29">
        <v>5</v>
      </c>
      <c r="F11" s="23">
        <v>3.75</v>
      </c>
      <c r="G11" s="27">
        <f t="shared" ref="G11:G42" si="0">IFERROR(F11/E11,"")</f>
        <v>0.75</v>
      </c>
      <c r="H11" s="28" t="str">
        <f t="shared" ref="H11:H42" si="1">_xlfn.IFS(F11="أدخل العلامة","",F11="لا ينطبق","تم الإلغاء",G11&gt;=90%,"ممتاز",G11&gt;=80%,"جيد جداً",G11&gt;=70%,"جيد",G11&gt;=60%,"مقبول",G11&lt;60%,"راسب")</f>
        <v>جيد</v>
      </c>
      <c r="I11" s="43"/>
      <c r="J11" s="44"/>
    </row>
    <row r="12" spans="1:10" ht="39.9" customHeight="1" x14ac:dyDescent="0.3">
      <c r="A12" s="7"/>
      <c r="B12" s="34" t="s">
        <v>179</v>
      </c>
      <c r="C12" s="35"/>
      <c r="D12" s="35"/>
      <c r="E12" s="29">
        <v>5</v>
      </c>
      <c r="F12" s="23">
        <v>3.75</v>
      </c>
      <c r="G12" s="27">
        <f t="shared" si="0"/>
        <v>0.75</v>
      </c>
      <c r="H12" s="28" t="str">
        <f t="shared" si="1"/>
        <v>جيد</v>
      </c>
      <c r="I12" s="43"/>
      <c r="J12" s="44"/>
    </row>
    <row r="13" spans="1:10" ht="30" customHeight="1" x14ac:dyDescent="0.3">
      <c r="A13" s="7"/>
      <c r="B13" s="34" t="s">
        <v>201</v>
      </c>
      <c r="C13" s="35"/>
      <c r="D13" s="35"/>
      <c r="E13" s="29">
        <v>5</v>
      </c>
      <c r="F13" s="23">
        <v>3.75</v>
      </c>
      <c r="G13" s="27">
        <f t="shared" si="0"/>
        <v>0.75</v>
      </c>
      <c r="H13" s="28" t="str">
        <f t="shared" si="1"/>
        <v>جيد</v>
      </c>
      <c r="I13" s="43"/>
      <c r="J13" s="44"/>
    </row>
    <row r="14" spans="1:10" ht="30" customHeight="1" x14ac:dyDescent="0.3">
      <c r="A14" s="7"/>
      <c r="B14" s="34" t="s">
        <v>202</v>
      </c>
      <c r="C14" s="35"/>
      <c r="D14" s="35"/>
      <c r="E14" s="29">
        <v>5</v>
      </c>
      <c r="F14" s="23">
        <v>3.75</v>
      </c>
      <c r="G14" s="27">
        <f t="shared" si="0"/>
        <v>0.75</v>
      </c>
      <c r="H14" s="28" t="str">
        <f t="shared" si="1"/>
        <v>جيد</v>
      </c>
      <c r="I14" s="43"/>
      <c r="J14" s="44"/>
    </row>
    <row r="15" spans="1:10" ht="30" customHeight="1" x14ac:dyDescent="0.3">
      <c r="A15" s="7"/>
      <c r="B15" s="34" t="s">
        <v>180</v>
      </c>
      <c r="C15" s="35"/>
      <c r="D15" s="35"/>
      <c r="E15" s="29">
        <v>5</v>
      </c>
      <c r="F15" s="23">
        <v>3.75</v>
      </c>
      <c r="G15" s="27">
        <f t="shared" si="0"/>
        <v>0.75</v>
      </c>
      <c r="H15" s="28" t="str">
        <f t="shared" si="1"/>
        <v>جيد</v>
      </c>
      <c r="I15" s="43"/>
      <c r="J15" s="44"/>
    </row>
    <row r="16" spans="1:10" ht="54" customHeight="1" x14ac:dyDescent="0.3">
      <c r="A16" s="7"/>
      <c r="B16" s="41" t="s">
        <v>181</v>
      </c>
      <c r="C16" s="42"/>
      <c r="D16" s="42"/>
      <c r="E16" s="29">
        <v>5</v>
      </c>
      <c r="F16" s="23">
        <v>3.75</v>
      </c>
      <c r="G16" s="27">
        <f t="shared" si="0"/>
        <v>0.75</v>
      </c>
      <c r="H16" s="28" t="str">
        <f t="shared" si="1"/>
        <v>جيد</v>
      </c>
      <c r="I16" s="43"/>
      <c r="J16" s="44"/>
    </row>
    <row r="17" spans="1:10" ht="39.9" customHeight="1" thickBot="1" x14ac:dyDescent="0.35">
      <c r="A17" s="7"/>
      <c r="B17" s="36" t="s">
        <v>182</v>
      </c>
      <c r="C17" s="37"/>
      <c r="D17" s="37"/>
      <c r="E17" s="30">
        <v>5</v>
      </c>
      <c r="F17" s="24">
        <v>3.75</v>
      </c>
      <c r="G17" s="31">
        <f t="shared" si="0"/>
        <v>0.75</v>
      </c>
      <c r="H17" s="32" t="str">
        <f t="shared" si="1"/>
        <v>جيد</v>
      </c>
      <c r="I17" s="51"/>
      <c r="J17" s="52"/>
    </row>
    <row r="18" spans="1:10" ht="30" customHeight="1" x14ac:dyDescent="0.3">
      <c r="A18" s="7"/>
      <c r="B18" s="38" t="s">
        <v>183</v>
      </c>
      <c r="C18" s="39"/>
      <c r="D18" s="39"/>
      <c r="E18" s="39"/>
      <c r="F18" s="39"/>
      <c r="G18" s="39"/>
      <c r="H18" s="39"/>
      <c r="I18" s="39"/>
      <c r="J18" s="40"/>
    </row>
    <row r="19" spans="1:10" ht="39.9" customHeight="1" x14ac:dyDescent="0.3">
      <c r="A19" s="7"/>
      <c r="B19" s="41" t="s">
        <v>184</v>
      </c>
      <c r="C19" s="42"/>
      <c r="D19" s="42"/>
      <c r="E19" s="29"/>
      <c r="F19" s="33">
        <v>3.75</v>
      </c>
      <c r="G19" s="27"/>
      <c r="H19" s="28"/>
      <c r="I19" s="43"/>
      <c r="J19" s="44"/>
    </row>
    <row r="20" spans="1:10" ht="30" customHeight="1" x14ac:dyDescent="0.3">
      <c r="A20" s="7"/>
      <c r="B20" s="34" t="s">
        <v>203</v>
      </c>
      <c r="C20" s="35"/>
      <c r="D20" s="35"/>
      <c r="E20" s="29">
        <v>5</v>
      </c>
      <c r="F20" s="33">
        <v>3.75</v>
      </c>
      <c r="G20" s="27">
        <f t="shared" si="0"/>
        <v>0.75</v>
      </c>
      <c r="H20" s="28" t="str">
        <f t="shared" si="1"/>
        <v>جيد</v>
      </c>
      <c r="I20" s="43"/>
      <c r="J20" s="44"/>
    </row>
    <row r="21" spans="1:10" ht="30" customHeight="1" x14ac:dyDescent="0.3">
      <c r="A21" s="7"/>
      <c r="B21" s="34" t="s">
        <v>185</v>
      </c>
      <c r="C21" s="35"/>
      <c r="D21" s="35"/>
      <c r="E21" s="29">
        <v>5</v>
      </c>
      <c r="F21" s="33">
        <v>3.75</v>
      </c>
      <c r="G21" s="27">
        <f t="shared" si="0"/>
        <v>0.75</v>
      </c>
      <c r="H21" s="28" t="str">
        <f t="shared" si="1"/>
        <v>جيد</v>
      </c>
      <c r="I21" s="43"/>
      <c r="J21" s="44"/>
    </row>
    <row r="22" spans="1:10" ht="30" customHeight="1" x14ac:dyDescent="0.3">
      <c r="A22" s="7"/>
      <c r="B22" s="34" t="s">
        <v>186</v>
      </c>
      <c r="C22" s="35"/>
      <c r="D22" s="35"/>
      <c r="E22" s="29">
        <v>5</v>
      </c>
      <c r="F22" s="33">
        <v>3.75</v>
      </c>
      <c r="G22" s="27">
        <f t="shared" si="0"/>
        <v>0.75</v>
      </c>
      <c r="H22" s="28" t="str">
        <f t="shared" si="1"/>
        <v>جيد</v>
      </c>
      <c r="I22" s="43"/>
      <c r="J22" s="44"/>
    </row>
    <row r="23" spans="1:10" ht="30" customHeight="1" x14ac:dyDescent="0.3">
      <c r="A23" s="7"/>
      <c r="B23" s="34" t="s">
        <v>204</v>
      </c>
      <c r="C23" s="35"/>
      <c r="D23" s="35"/>
      <c r="E23" s="29">
        <v>5</v>
      </c>
      <c r="F23" s="23">
        <v>3.75</v>
      </c>
      <c r="G23" s="27">
        <f t="shared" si="0"/>
        <v>0.75</v>
      </c>
      <c r="H23" s="28" t="str">
        <f t="shared" si="1"/>
        <v>جيد</v>
      </c>
      <c r="I23" s="43"/>
      <c r="J23" s="44"/>
    </row>
    <row r="24" spans="1:10" ht="30" customHeight="1" x14ac:dyDescent="0.3">
      <c r="A24" s="7"/>
      <c r="B24" s="34" t="s">
        <v>205</v>
      </c>
      <c r="C24" s="35"/>
      <c r="D24" s="35"/>
      <c r="E24" s="29">
        <v>5</v>
      </c>
      <c r="F24" s="23">
        <v>3.75</v>
      </c>
      <c r="G24" s="27">
        <f t="shared" si="0"/>
        <v>0.75</v>
      </c>
      <c r="H24" s="28" t="str">
        <f t="shared" si="1"/>
        <v>جيد</v>
      </c>
      <c r="I24" s="43"/>
      <c r="J24" s="44"/>
    </row>
    <row r="25" spans="1:10" ht="30" customHeight="1" x14ac:dyDescent="0.3">
      <c r="A25" s="7"/>
      <c r="B25" s="34" t="s">
        <v>187</v>
      </c>
      <c r="C25" s="35"/>
      <c r="D25" s="35"/>
      <c r="E25" s="29">
        <v>5</v>
      </c>
      <c r="F25" s="23">
        <v>3.75</v>
      </c>
      <c r="G25" s="27">
        <f t="shared" si="0"/>
        <v>0.75</v>
      </c>
      <c r="H25" s="28" t="str">
        <f t="shared" si="1"/>
        <v>جيد</v>
      </c>
      <c r="I25" s="43"/>
      <c r="J25" s="44"/>
    </row>
    <row r="26" spans="1:10" ht="30" customHeight="1" x14ac:dyDescent="0.3">
      <c r="A26" s="7"/>
      <c r="B26" s="41" t="s">
        <v>188</v>
      </c>
      <c r="C26" s="42"/>
      <c r="D26" s="42"/>
      <c r="E26" s="29"/>
      <c r="F26" s="23"/>
      <c r="G26" s="27"/>
      <c r="H26" s="28"/>
      <c r="I26" s="43"/>
      <c r="J26" s="44"/>
    </row>
    <row r="27" spans="1:10" ht="30" customHeight="1" x14ac:dyDescent="0.3">
      <c r="A27" s="7"/>
      <c r="B27" s="34" t="s">
        <v>206</v>
      </c>
      <c r="C27" s="35"/>
      <c r="D27" s="35"/>
      <c r="E27" s="29">
        <v>5</v>
      </c>
      <c r="F27" s="23">
        <v>3.75</v>
      </c>
      <c r="G27" s="27">
        <f t="shared" si="0"/>
        <v>0.75</v>
      </c>
      <c r="H27" s="28" t="str">
        <f t="shared" si="1"/>
        <v>جيد</v>
      </c>
      <c r="I27" s="43"/>
      <c r="J27" s="44"/>
    </row>
    <row r="28" spans="1:10" ht="39.9" customHeight="1" x14ac:dyDescent="0.3">
      <c r="A28" s="7"/>
      <c r="B28" s="34" t="s">
        <v>207</v>
      </c>
      <c r="C28" s="35"/>
      <c r="D28" s="35"/>
      <c r="E28" s="29">
        <v>5</v>
      </c>
      <c r="F28" s="23">
        <v>3.75</v>
      </c>
      <c r="G28" s="27">
        <f t="shared" si="0"/>
        <v>0.75</v>
      </c>
      <c r="H28" s="28" t="str">
        <f t="shared" si="1"/>
        <v>جيد</v>
      </c>
      <c r="I28" s="43"/>
      <c r="J28" s="44"/>
    </row>
    <row r="29" spans="1:10" ht="30" customHeight="1" thickBot="1" x14ac:dyDescent="0.35">
      <c r="A29" s="7"/>
      <c r="B29" s="36" t="s">
        <v>189</v>
      </c>
      <c r="C29" s="37"/>
      <c r="D29" s="37"/>
      <c r="E29" s="30">
        <v>5</v>
      </c>
      <c r="F29" s="24">
        <v>3.75</v>
      </c>
      <c r="G29" s="31">
        <f t="shared" si="0"/>
        <v>0.75</v>
      </c>
      <c r="H29" s="32" t="str">
        <f t="shared" si="1"/>
        <v>جيد</v>
      </c>
      <c r="I29" s="51"/>
      <c r="J29" s="52"/>
    </row>
    <row r="30" spans="1:10" ht="30" customHeight="1" x14ac:dyDescent="0.3">
      <c r="A30" s="7"/>
      <c r="B30" s="38" t="s">
        <v>190</v>
      </c>
      <c r="C30" s="39"/>
      <c r="D30" s="39"/>
      <c r="E30" s="39"/>
      <c r="F30" s="39"/>
      <c r="G30" s="39"/>
      <c r="H30" s="39"/>
      <c r="I30" s="39"/>
      <c r="J30" s="40"/>
    </row>
    <row r="31" spans="1:10" ht="30" customHeight="1" x14ac:dyDescent="0.3">
      <c r="A31" s="7"/>
      <c r="B31" s="41" t="s">
        <v>191</v>
      </c>
      <c r="C31" s="42"/>
      <c r="D31" s="42"/>
      <c r="E31" s="29"/>
      <c r="F31" s="23"/>
      <c r="G31" s="27"/>
      <c r="H31" s="28"/>
      <c r="I31" s="43"/>
      <c r="J31" s="44"/>
    </row>
    <row r="32" spans="1:10" ht="30" customHeight="1" x14ac:dyDescent="0.3">
      <c r="A32" s="7"/>
      <c r="B32" s="34" t="s">
        <v>208</v>
      </c>
      <c r="C32" s="35"/>
      <c r="D32" s="35"/>
      <c r="E32" s="29">
        <v>5</v>
      </c>
      <c r="F32" s="23">
        <v>3.75</v>
      </c>
      <c r="G32" s="27">
        <f t="shared" si="0"/>
        <v>0.75</v>
      </c>
      <c r="H32" s="28" t="str">
        <f t="shared" si="1"/>
        <v>جيد</v>
      </c>
      <c r="I32" s="43"/>
      <c r="J32" s="44"/>
    </row>
    <row r="33" spans="1:10" ht="30" customHeight="1" x14ac:dyDescent="0.3">
      <c r="A33" s="7"/>
      <c r="B33" s="34" t="s">
        <v>192</v>
      </c>
      <c r="C33" s="35"/>
      <c r="D33" s="35"/>
      <c r="E33" s="29">
        <v>5</v>
      </c>
      <c r="F33" s="23">
        <v>3.75</v>
      </c>
      <c r="G33" s="27">
        <f t="shared" si="0"/>
        <v>0.75</v>
      </c>
      <c r="H33" s="28" t="str">
        <f t="shared" si="1"/>
        <v>جيد</v>
      </c>
      <c r="I33" s="43"/>
      <c r="J33" s="44"/>
    </row>
    <row r="34" spans="1:10" ht="30" customHeight="1" x14ac:dyDescent="0.3">
      <c r="A34" s="7"/>
      <c r="B34" s="34" t="s">
        <v>193</v>
      </c>
      <c r="C34" s="35"/>
      <c r="D34" s="35"/>
      <c r="E34" s="29">
        <v>5</v>
      </c>
      <c r="F34" s="23">
        <v>3.75</v>
      </c>
      <c r="G34" s="27">
        <f t="shared" si="0"/>
        <v>0.75</v>
      </c>
      <c r="H34" s="28" t="str">
        <f t="shared" si="1"/>
        <v>جيد</v>
      </c>
      <c r="I34" s="43"/>
      <c r="J34" s="44"/>
    </row>
    <row r="35" spans="1:10" ht="30" customHeight="1" x14ac:dyDescent="0.3">
      <c r="A35" s="7"/>
      <c r="B35" s="34" t="s">
        <v>209</v>
      </c>
      <c r="C35" s="35"/>
      <c r="D35" s="35"/>
      <c r="E35" s="29">
        <v>5</v>
      </c>
      <c r="F35" s="23">
        <v>3.75</v>
      </c>
      <c r="G35" s="27">
        <f t="shared" si="0"/>
        <v>0.75</v>
      </c>
      <c r="H35" s="28" t="str">
        <f t="shared" si="1"/>
        <v>جيد</v>
      </c>
      <c r="I35" s="43"/>
      <c r="J35" s="44"/>
    </row>
    <row r="36" spans="1:10" ht="30" customHeight="1" x14ac:dyDescent="0.3">
      <c r="A36" s="7"/>
      <c r="B36" s="41" t="s">
        <v>194</v>
      </c>
      <c r="C36" s="42"/>
      <c r="D36" s="42"/>
      <c r="E36" s="29"/>
      <c r="F36" s="23"/>
      <c r="G36" s="27"/>
      <c r="H36" s="28"/>
      <c r="I36" s="43"/>
      <c r="J36" s="44"/>
    </row>
    <row r="37" spans="1:10" ht="30" customHeight="1" x14ac:dyDescent="0.3">
      <c r="A37" s="7"/>
      <c r="B37" s="34" t="s">
        <v>210</v>
      </c>
      <c r="C37" s="35"/>
      <c r="D37" s="35"/>
      <c r="E37" s="29">
        <v>5</v>
      </c>
      <c r="F37" s="23">
        <v>3.75</v>
      </c>
      <c r="G37" s="27">
        <f t="shared" si="0"/>
        <v>0.75</v>
      </c>
      <c r="H37" s="28" t="str">
        <f t="shared" si="1"/>
        <v>جيد</v>
      </c>
      <c r="I37" s="43"/>
      <c r="J37" s="44"/>
    </row>
    <row r="38" spans="1:10" ht="30" customHeight="1" x14ac:dyDescent="0.3">
      <c r="A38" s="7"/>
      <c r="B38" s="34" t="s">
        <v>195</v>
      </c>
      <c r="C38" s="35"/>
      <c r="D38" s="35"/>
      <c r="E38" s="29">
        <v>5</v>
      </c>
      <c r="F38" s="23">
        <v>3.75</v>
      </c>
      <c r="G38" s="27">
        <f t="shared" si="0"/>
        <v>0.75</v>
      </c>
      <c r="H38" s="28" t="str">
        <f t="shared" si="1"/>
        <v>جيد</v>
      </c>
      <c r="I38" s="43"/>
      <c r="J38" s="44"/>
    </row>
    <row r="39" spans="1:10" ht="30" customHeight="1" x14ac:dyDescent="0.3">
      <c r="A39" s="7"/>
      <c r="B39" s="34" t="s">
        <v>196</v>
      </c>
      <c r="C39" s="35"/>
      <c r="D39" s="35"/>
      <c r="E39" s="29">
        <v>5</v>
      </c>
      <c r="F39" s="23">
        <v>3.75</v>
      </c>
      <c r="G39" s="27">
        <f t="shared" si="0"/>
        <v>0.75</v>
      </c>
      <c r="H39" s="28" t="str">
        <f t="shared" si="1"/>
        <v>جيد</v>
      </c>
      <c r="I39" s="43"/>
      <c r="J39" s="44"/>
    </row>
    <row r="40" spans="1:10" ht="39.9" customHeight="1" x14ac:dyDescent="0.3">
      <c r="A40" s="7"/>
      <c r="B40" s="34" t="s">
        <v>197</v>
      </c>
      <c r="C40" s="35"/>
      <c r="D40" s="35"/>
      <c r="E40" s="29">
        <v>5</v>
      </c>
      <c r="F40" s="23">
        <v>3.75</v>
      </c>
      <c r="G40" s="27">
        <f t="shared" si="0"/>
        <v>0.75</v>
      </c>
      <c r="H40" s="28" t="str">
        <f t="shared" si="1"/>
        <v>جيد</v>
      </c>
      <c r="I40" s="43"/>
      <c r="J40" s="44"/>
    </row>
    <row r="41" spans="1:10" ht="30" customHeight="1" x14ac:dyDescent="0.3">
      <c r="A41" s="7"/>
      <c r="B41" s="41" t="s">
        <v>198</v>
      </c>
      <c r="C41" s="42"/>
      <c r="D41" s="42"/>
      <c r="E41" s="29">
        <v>5</v>
      </c>
      <c r="F41" s="23">
        <v>3.75</v>
      </c>
      <c r="G41" s="27">
        <f t="shared" si="0"/>
        <v>0.75</v>
      </c>
      <c r="H41" s="28" t="str">
        <f t="shared" si="1"/>
        <v>جيد</v>
      </c>
      <c r="I41" s="43"/>
      <c r="J41" s="44"/>
    </row>
    <row r="42" spans="1:10" ht="39.9" customHeight="1" thickBot="1" x14ac:dyDescent="0.35">
      <c r="A42" s="7"/>
      <c r="B42" s="36" t="s">
        <v>199</v>
      </c>
      <c r="C42" s="37"/>
      <c r="D42" s="37"/>
      <c r="E42" s="30">
        <v>5</v>
      </c>
      <c r="F42" s="24">
        <v>3.75</v>
      </c>
      <c r="G42" s="31">
        <f t="shared" si="0"/>
        <v>0.75</v>
      </c>
      <c r="H42" s="32" t="str">
        <f t="shared" si="1"/>
        <v>جيد</v>
      </c>
      <c r="I42" s="51"/>
      <c r="J42" s="52"/>
    </row>
    <row r="43" spans="1:10" ht="30" customHeight="1" thickBot="1" x14ac:dyDescent="0.35">
      <c r="A43" s="4"/>
      <c r="B43" s="60" t="s">
        <v>5</v>
      </c>
      <c r="C43" s="61"/>
      <c r="D43" s="61"/>
      <c r="E43" s="26">
        <f>SUM(E8:E42)</f>
        <v>135</v>
      </c>
      <c r="F43" s="26">
        <f>SUM(F8:F42)</f>
        <v>105</v>
      </c>
      <c r="G43" s="57"/>
      <c r="H43" s="58"/>
      <c r="I43" s="58"/>
      <c r="J43" s="59"/>
    </row>
    <row r="44" spans="1:10" ht="30" customHeight="1" thickBot="1" x14ac:dyDescent="0.35">
      <c r="A44" s="4"/>
      <c r="B44" s="62" t="s">
        <v>54</v>
      </c>
      <c r="C44" s="63"/>
      <c r="D44" s="63"/>
      <c r="E44" s="53">
        <f>F43/E43/100*100</f>
        <v>0.77777777777777779</v>
      </c>
      <c r="F44" s="53"/>
      <c r="G44" s="53"/>
      <c r="H44" s="53"/>
      <c r="I44" s="53"/>
      <c r="J44" s="54"/>
    </row>
    <row r="45" spans="1:10" ht="30" customHeight="1" thickBot="1" x14ac:dyDescent="0.35">
      <c r="A45" s="4"/>
      <c r="B45" s="62" t="s">
        <v>55</v>
      </c>
      <c r="C45" s="63"/>
      <c r="D45" s="63"/>
      <c r="E45" s="49" t="str">
        <f>_xlfn.IFS(E44&gt;=90%,"ممتاز",E44&gt;=80%,"جيد جداً",E44&gt;=70%,"جيد",E44&gt;=60%,"مقبول",E44&lt;60%,"راسب")</f>
        <v>جيد</v>
      </c>
      <c r="F45" s="49"/>
      <c r="G45" s="49"/>
      <c r="H45" s="49"/>
      <c r="I45" s="49"/>
      <c r="J45" s="50"/>
    </row>
    <row r="46" spans="1:10" ht="42" customHeight="1" x14ac:dyDescent="0.3">
      <c r="B46" s="45" t="s">
        <v>175</v>
      </c>
      <c r="C46" s="45"/>
      <c r="D46" s="45"/>
      <c r="E46" s="55" t="s">
        <v>52</v>
      </c>
      <c r="F46" s="55"/>
      <c r="G46" s="47" t="s">
        <v>114</v>
      </c>
      <c r="H46" s="47"/>
      <c r="I46" s="47"/>
      <c r="J46" s="47"/>
    </row>
    <row r="47" spans="1:10" ht="51" customHeight="1" x14ac:dyDescent="0.3">
      <c r="A47" s="5"/>
      <c r="B47" s="46"/>
      <c r="C47" s="46"/>
      <c r="D47" s="46"/>
      <c r="E47" s="56" t="s">
        <v>53</v>
      </c>
      <c r="F47" s="56"/>
      <c r="G47" s="48"/>
      <c r="H47" s="48"/>
      <c r="I47" s="48"/>
      <c r="J47" s="4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0">
    <mergeCell ref="B7:D7"/>
    <mergeCell ref="I38:J38"/>
    <mergeCell ref="I39:J39"/>
    <mergeCell ref="I31:J31"/>
    <mergeCell ref="I15:J15"/>
    <mergeCell ref="I16:J16"/>
    <mergeCell ref="I17:J17"/>
    <mergeCell ref="I28:J28"/>
    <mergeCell ref="I29:J29"/>
    <mergeCell ref="I26:J26"/>
    <mergeCell ref="I27:J27"/>
    <mergeCell ref="I32:J32"/>
    <mergeCell ref="I33:J33"/>
    <mergeCell ref="I34:J34"/>
    <mergeCell ref="I35:J35"/>
    <mergeCell ref="I37:J37"/>
    <mergeCell ref="I7:J7"/>
    <mergeCell ref="I10:J10"/>
    <mergeCell ref="I19:J19"/>
    <mergeCell ref="I20:J20"/>
    <mergeCell ref="I11:J11"/>
    <mergeCell ref="I12:J12"/>
    <mergeCell ref="I13:J13"/>
    <mergeCell ref="I14:J14"/>
    <mergeCell ref="I9:J9"/>
    <mergeCell ref="I21:J21"/>
    <mergeCell ref="I22:J22"/>
    <mergeCell ref="I23:J23"/>
    <mergeCell ref="I24:J24"/>
    <mergeCell ref="I25:J25"/>
    <mergeCell ref="B1:J1"/>
    <mergeCell ref="F2:J2"/>
    <mergeCell ref="B5:D6"/>
    <mergeCell ref="C2:D2"/>
    <mergeCell ref="C3:D3"/>
    <mergeCell ref="F3:J3"/>
    <mergeCell ref="B4:D4"/>
    <mergeCell ref="F4:J4"/>
    <mergeCell ref="E5:H5"/>
    <mergeCell ref="I5:J6"/>
    <mergeCell ref="B46:D47"/>
    <mergeCell ref="G46:J46"/>
    <mergeCell ref="G47:J47"/>
    <mergeCell ref="E45:J45"/>
    <mergeCell ref="I40:J40"/>
    <mergeCell ref="I41:J41"/>
    <mergeCell ref="I42:J42"/>
    <mergeCell ref="E44:J44"/>
    <mergeCell ref="E46:F46"/>
    <mergeCell ref="E47:F47"/>
    <mergeCell ref="G43:J43"/>
    <mergeCell ref="B43:D43"/>
    <mergeCell ref="B44:D44"/>
    <mergeCell ref="B45:D45"/>
    <mergeCell ref="B40:D40"/>
    <mergeCell ref="B41:D41"/>
    <mergeCell ref="B14:D14"/>
    <mergeCell ref="B15:D15"/>
    <mergeCell ref="B16:D16"/>
    <mergeCell ref="B20:D20"/>
    <mergeCell ref="B21:D21"/>
    <mergeCell ref="B19:D19"/>
    <mergeCell ref="B9:D9"/>
    <mergeCell ref="B10:D10"/>
    <mergeCell ref="B11:D11"/>
    <mergeCell ref="B12:D12"/>
    <mergeCell ref="B13:D13"/>
    <mergeCell ref="B35:D35"/>
    <mergeCell ref="B36:D36"/>
    <mergeCell ref="I36:J36"/>
    <mergeCell ref="B25:D25"/>
    <mergeCell ref="B22:D22"/>
    <mergeCell ref="B23:D23"/>
    <mergeCell ref="B24:D24"/>
    <mergeCell ref="B37:D37"/>
    <mergeCell ref="B38:D38"/>
    <mergeCell ref="B39:D39"/>
    <mergeCell ref="B42:D42"/>
    <mergeCell ref="B8:J8"/>
    <mergeCell ref="B18:J18"/>
    <mergeCell ref="B30:J30"/>
    <mergeCell ref="B26:D26"/>
    <mergeCell ref="B27:D27"/>
    <mergeCell ref="B28:D28"/>
    <mergeCell ref="B29:D29"/>
    <mergeCell ref="B31:D31"/>
    <mergeCell ref="B32:D32"/>
    <mergeCell ref="B33:D33"/>
    <mergeCell ref="B34:D34"/>
    <mergeCell ref="B17:D1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5">
    <cfRule type="expression" dxfId="21" priority="57">
      <formula>$E45="راسب"</formula>
    </cfRule>
  </conditionalFormatting>
  <conditionalFormatting sqref="E45:J45">
    <cfRule type="expression" dxfId="20" priority="60">
      <formula>$E45="جيد جداً"</formula>
    </cfRule>
    <cfRule type="expression" dxfId="19" priority="59">
      <formula>$E45="جيد"</formula>
    </cfRule>
    <cfRule type="expression" dxfId="18" priority="58">
      <formula>$E45="مقبول"</formula>
    </cfRule>
    <cfRule type="expression" dxfId="17" priority="61">
      <formula>$E45="ممتاز"</formula>
    </cfRule>
  </conditionalFormatting>
  <conditionalFormatting sqref="F9:F17">
    <cfRule type="containsText" dxfId="16" priority="4" operator="containsText" text="أدخل العلامة">
      <formula>NOT(ISERROR(SEARCH("أدخل العلامة",F9)))</formula>
    </cfRule>
  </conditionalFormatting>
  <conditionalFormatting sqref="F19:F29 F31:F42">
    <cfRule type="containsText" dxfId="15" priority="14" operator="containsText" text="أدخل العلامة">
      <formula>NOT(ISERROR(SEARCH("أدخل العلامة",F19)))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6:J46">
    <cfRule type="containsText" dxfId="12" priority="15" operator="containsText" text="أدخل اسم المحكم">
      <formula>NOT(ISERROR(SEARCH("أدخل اسم المحكم",G46)))</formula>
    </cfRule>
  </conditionalFormatting>
  <conditionalFormatting sqref="H9:H1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9:H29 H31:H42">
    <cfRule type="containsText" dxfId="5" priority="38" operator="containsText" text="أدخل العلامة">
      <formula>NOT(ISERROR(SEARCH("أدخل العلامة",H19)))</formula>
    </cfRule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F37:F42 F32:F35 F27:F29 F20:F25 F11:F17 F9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G46:J46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45901</v>
      </c>
    </row>
    <row r="40" spans="1:9" ht="20.100000000000001" customHeight="1" thickBot="1" x14ac:dyDescent="0.35">
      <c r="A40" s="10">
        <v>45902</v>
      </c>
    </row>
    <row r="41" spans="1:9" ht="20.100000000000001" customHeight="1" thickBot="1" x14ac:dyDescent="0.35">
      <c r="A41" s="10">
        <v>45903</v>
      </c>
    </row>
    <row r="42" spans="1:9" ht="20.100000000000001" customHeight="1" thickBot="1" x14ac:dyDescent="0.35">
      <c r="A42" s="10">
        <v>45904</v>
      </c>
    </row>
    <row r="43" spans="1:9" ht="20.100000000000001" customHeight="1" thickBot="1" x14ac:dyDescent="0.35">
      <c r="A43" s="10">
        <v>45905</v>
      </c>
    </row>
    <row r="44" spans="1:9" ht="20.100000000000001" customHeight="1" thickBot="1" x14ac:dyDescent="0.35">
      <c r="A44" s="10">
        <v>45906</v>
      </c>
    </row>
    <row r="45" spans="1:9" ht="20.100000000000001" customHeight="1" thickBot="1" x14ac:dyDescent="0.35">
      <c r="A45" s="10">
        <v>45907</v>
      </c>
    </row>
    <row r="46" spans="1:9" ht="20.100000000000001" customHeight="1" thickBot="1" x14ac:dyDescent="0.35">
      <c r="A46" s="10">
        <v>45908</v>
      </c>
    </row>
    <row r="47" spans="1:9" ht="20.100000000000001" customHeight="1" thickBot="1" x14ac:dyDescent="0.35">
      <c r="A47" s="10">
        <v>45909</v>
      </c>
    </row>
    <row r="48" spans="1:9" ht="20.100000000000001" customHeight="1" thickBot="1" x14ac:dyDescent="0.35">
      <c r="A48" s="10">
        <v>45910</v>
      </c>
    </row>
    <row r="49" spans="1:1" ht="20.100000000000001" customHeight="1" thickBot="1" x14ac:dyDescent="0.35">
      <c r="A49" s="10">
        <v>45911</v>
      </c>
    </row>
    <row r="50" spans="1:1" ht="20.100000000000001" customHeight="1" thickBot="1" x14ac:dyDescent="0.35">
      <c r="A50" s="10">
        <v>45912</v>
      </c>
    </row>
    <row r="51" spans="1:1" ht="20.100000000000001" customHeight="1" thickBot="1" x14ac:dyDescent="0.35">
      <c r="A51" s="10">
        <v>45913</v>
      </c>
    </row>
    <row r="52" spans="1:1" ht="20.100000000000001" customHeight="1" thickBot="1" x14ac:dyDescent="0.35">
      <c r="A52" s="10">
        <v>45914</v>
      </c>
    </row>
    <row r="53" spans="1:1" ht="20.100000000000001" customHeight="1" thickBot="1" x14ac:dyDescent="0.35">
      <c r="A53" s="10">
        <v>45915</v>
      </c>
    </row>
    <row r="54" spans="1:1" ht="20.100000000000001" customHeight="1" thickBot="1" x14ac:dyDescent="0.35">
      <c r="A54" s="10">
        <v>45916</v>
      </c>
    </row>
    <row r="55" spans="1:1" ht="20.100000000000001" customHeight="1" thickBot="1" x14ac:dyDescent="0.35">
      <c r="A55" s="10">
        <v>45917</v>
      </c>
    </row>
    <row r="56" spans="1:1" ht="20.100000000000001" customHeight="1" thickBot="1" x14ac:dyDescent="0.35">
      <c r="A56" s="10">
        <v>45918</v>
      </c>
    </row>
    <row r="57" spans="1:1" ht="20.100000000000001" customHeight="1" thickBot="1" x14ac:dyDescent="0.35">
      <c r="A57" s="10">
        <v>45919</v>
      </c>
    </row>
    <row r="58" spans="1:1" ht="20.100000000000001" customHeight="1" thickBot="1" x14ac:dyDescent="0.35">
      <c r="A58" s="10">
        <v>45920</v>
      </c>
    </row>
    <row r="59" spans="1:1" ht="20.100000000000001" customHeight="1" thickBot="1" x14ac:dyDescent="0.35">
      <c r="A59" s="10">
        <v>45921</v>
      </c>
    </row>
    <row r="60" spans="1:1" ht="20.100000000000001" customHeight="1" thickBot="1" x14ac:dyDescent="0.35">
      <c r="A60" s="10">
        <v>45922</v>
      </c>
    </row>
    <row r="61" spans="1:1" ht="20.100000000000001" customHeight="1" thickBot="1" x14ac:dyDescent="0.35">
      <c r="A61" s="10">
        <v>45923</v>
      </c>
    </row>
    <row r="62" spans="1:1" ht="20.100000000000001" customHeight="1" thickBot="1" x14ac:dyDescent="0.35">
      <c r="A62" s="10">
        <v>45924</v>
      </c>
    </row>
    <row r="63" spans="1:1" ht="20.100000000000001" customHeight="1" thickBot="1" x14ac:dyDescent="0.35">
      <c r="A63" s="10">
        <v>45925</v>
      </c>
    </row>
    <row r="64" spans="1:1" ht="20.100000000000001" customHeight="1" thickBot="1" x14ac:dyDescent="0.35">
      <c r="A64" s="10">
        <v>45926</v>
      </c>
    </row>
    <row r="65" spans="1:1" ht="20.100000000000001" customHeight="1" thickBot="1" x14ac:dyDescent="0.35">
      <c r="A65" s="10">
        <v>45927</v>
      </c>
    </row>
    <row r="66" spans="1:1" ht="20.100000000000001" customHeight="1" thickBot="1" x14ac:dyDescent="0.35">
      <c r="A66" s="10">
        <v>45928</v>
      </c>
    </row>
    <row r="67" spans="1:1" ht="20.100000000000001" customHeight="1" thickBot="1" x14ac:dyDescent="0.35">
      <c r="A67" s="10">
        <v>45929</v>
      </c>
    </row>
    <row r="68" spans="1:1" ht="20.100000000000001" customHeight="1" thickBot="1" x14ac:dyDescent="0.35">
      <c r="A68" s="10">
        <v>45930</v>
      </c>
    </row>
    <row r="69" spans="1:1" ht="20.100000000000001" customHeight="1" thickBot="1" x14ac:dyDescent="0.35">
      <c r="A69" s="10">
        <v>45931</v>
      </c>
    </row>
    <row r="70" spans="1:1" ht="20.100000000000001" customHeight="1" thickBot="1" x14ac:dyDescent="0.35">
      <c r="A70" s="10">
        <v>45932</v>
      </c>
    </row>
    <row r="71" spans="1:1" ht="20.100000000000001" customHeight="1" thickBot="1" x14ac:dyDescent="0.35">
      <c r="A71" s="10">
        <v>45933</v>
      </c>
    </row>
    <row r="72" spans="1:1" ht="20.100000000000001" customHeight="1" thickBot="1" x14ac:dyDescent="0.35">
      <c r="A72" s="10">
        <v>45934</v>
      </c>
    </row>
    <row r="73" spans="1:1" ht="20.100000000000001" customHeight="1" thickBot="1" x14ac:dyDescent="0.35">
      <c r="A73" s="10">
        <v>45935</v>
      </c>
    </row>
    <row r="74" spans="1:1" ht="20.100000000000001" customHeight="1" thickBot="1" x14ac:dyDescent="0.35">
      <c r="A74" s="10">
        <v>45936</v>
      </c>
    </row>
    <row r="75" spans="1:1" ht="20.100000000000001" customHeight="1" thickBot="1" x14ac:dyDescent="0.35">
      <c r="A75" s="10">
        <v>45937</v>
      </c>
    </row>
    <row r="76" spans="1:1" ht="20.100000000000001" customHeight="1" thickBot="1" x14ac:dyDescent="0.35">
      <c r="A76" s="10">
        <v>45938</v>
      </c>
    </row>
    <row r="77" spans="1:1" ht="20.100000000000001" customHeight="1" thickBot="1" x14ac:dyDescent="0.35">
      <c r="A77" s="10">
        <v>45939</v>
      </c>
    </row>
    <row r="78" spans="1:1" ht="20.100000000000001" customHeight="1" thickBot="1" x14ac:dyDescent="0.35">
      <c r="A78" s="10">
        <v>45940</v>
      </c>
    </row>
    <row r="79" spans="1:1" ht="20.100000000000001" customHeight="1" thickBot="1" x14ac:dyDescent="0.35">
      <c r="A79" s="10">
        <v>45941</v>
      </c>
    </row>
    <row r="80" spans="1:1" ht="20.100000000000001" customHeight="1" thickBot="1" x14ac:dyDescent="0.35">
      <c r="A80" s="10">
        <v>45942</v>
      </c>
    </row>
    <row r="81" spans="1:1" ht="20.100000000000001" customHeight="1" thickBot="1" x14ac:dyDescent="0.35">
      <c r="A81" s="10">
        <v>45943</v>
      </c>
    </row>
    <row r="82" spans="1:1" ht="20.100000000000001" customHeight="1" thickBot="1" x14ac:dyDescent="0.35">
      <c r="A82" s="10">
        <v>45944</v>
      </c>
    </row>
    <row r="83" spans="1:1" ht="20.100000000000001" customHeight="1" thickBot="1" x14ac:dyDescent="0.35">
      <c r="A83" s="10">
        <v>45945</v>
      </c>
    </row>
    <row r="84" spans="1:1" ht="20.100000000000001" customHeight="1" thickBot="1" x14ac:dyDescent="0.35">
      <c r="A84" s="10">
        <v>45946</v>
      </c>
    </row>
    <row r="85" spans="1:1" ht="20.100000000000001" customHeight="1" thickBot="1" x14ac:dyDescent="0.35">
      <c r="A85" s="10">
        <v>45947</v>
      </c>
    </row>
    <row r="86" spans="1:1" ht="20.100000000000001" customHeight="1" thickBot="1" x14ac:dyDescent="0.35">
      <c r="A86" s="10">
        <v>45948</v>
      </c>
    </row>
    <row r="87" spans="1:1" ht="20.100000000000001" customHeight="1" thickBot="1" x14ac:dyDescent="0.35">
      <c r="A87" s="10">
        <v>45949</v>
      </c>
    </row>
    <row r="88" spans="1:1" ht="20.100000000000001" customHeight="1" thickBot="1" x14ac:dyDescent="0.35">
      <c r="A88" s="10">
        <v>45950</v>
      </c>
    </row>
    <row r="89" spans="1:1" ht="20.100000000000001" customHeight="1" thickBot="1" x14ac:dyDescent="0.35">
      <c r="A89" s="10">
        <v>45951</v>
      </c>
    </row>
    <row r="90" spans="1:1" ht="20.100000000000001" customHeight="1" thickBot="1" x14ac:dyDescent="0.35">
      <c r="A90" s="10">
        <v>45952</v>
      </c>
    </row>
    <row r="91" spans="1:1" ht="20.100000000000001" customHeight="1" thickBot="1" x14ac:dyDescent="0.35">
      <c r="A91" s="10">
        <v>45953</v>
      </c>
    </row>
    <row r="92" spans="1:1" ht="20.100000000000001" customHeight="1" thickBot="1" x14ac:dyDescent="0.35">
      <c r="A92" s="10">
        <v>45954</v>
      </c>
    </row>
    <row r="93" spans="1:1" ht="20.100000000000001" customHeight="1" thickBot="1" x14ac:dyDescent="0.35">
      <c r="A93" s="10">
        <v>45955</v>
      </c>
    </row>
    <row r="94" spans="1:1" ht="20.100000000000001" customHeight="1" thickBot="1" x14ac:dyDescent="0.35">
      <c r="A94" s="10">
        <v>45956</v>
      </c>
    </row>
    <row r="95" spans="1:1" ht="20.100000000000001" customHeight="1" thickBot="1" x14ac:dyDescent="0.35">
      <c r="A95" s="10">
        <v>45957</v>
      </c>
    </row>
    <row r="96" spans="1:1" ht="20.100000000000001" customHeight="1" thickBot="1" x14ac:dyDescent="0.35">
      <c r="A96" s="10">
        <v>45958</v>
      </c>
    </row>
    <row r="97" spans="1:9" ht="20.100000000000001" customHeight="1" thickBot="1" x14ac:dyDescent="0.35">
      <c r="A97" s="10">
        <v>45959</v>
      </c>
    </row>
    <row r="98" spans="1:9" ht="20.100000000000001" customHeight="1" thickBot="1" x14ac:dyDescent="0.35">
      <c r="A98" s="10">
        <v>45960</v>
      </c>
    </row>
    <row r="99" spans="1:9" ht="20.100000000000001" customHeight="1" thickBot="1" x14ac:dyDescent="0.35">
      <c r="A99" s="10">
        <v>45961</v>
      </c>
    </row>
    <row r="100" spans="1:9" ht="20.100000000000001" customHeight="1" thickBot="1" x14ac:dyDescent="0.35">
      <c r="A100" s="10">
        <v>45962</v>
      </c>
    </row>
    <row r="101" spans="1:9" ht="20.100000000000001" customHeight="1" thickBot="1" x14ac:dyDescent="0.35">
      <c r="A101" s="10">
        <v>45963</v>
      </c>
    </row>
    <row r="102" spans="1:9" ht="20.100000000000001" customHeight="1" thickBot="1" x14ac:dyDescent="0.35">
      <c r="A102" s="10">
        <v>45964</v>
      </c>
    </row>
    <row r="103" spans="1:9" ht="20.100000000000001" customHeight="1" thickBot="1" x14ac:dyDescent="0.35">
      <c r="A103" s="10">
        <v>45965</v>
      </c>
    </row>
    <row r="104" spans="1:9" ht="20.100000000000001" customHeight="1" thickBot="1" x14ac:dyDescent="0.35">
      <c r="A104" s="10">
        <v>45966</v>
      </c>
    </row>
    <row r="105" spans="1:9" ht="20.100000000000001" customHeight="1" thickBot="1" x14ac:dyDescent="0.35">
      <c r="A105" s="10">
        <v>45967</v>
      </c>
    </row>
    <row r="106" spans="1:9" ht="20.100000000000001" customHeight="1" thickBot="1" x14ac:dyDescent="0.35">
      <c r="A106" s="10">
        <v>45968</v>
      </c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102</v>
      </c>
    </row>
    <row r="213" spans="1:1" ht="20.100000000000001" customHeight="1" x14ac:dyDescent="0.3">
      <c r="A213" s="17" t="s">
        <v>103</v>
      </c>
    </row>
    <row r="214" spans="1:1" ht="20.100000000000001" customHeight="1" x14ac:dyDescent="0.3">
      <c r="A214" s="17" t="s">
        <v>104</v>
      </c>
    </row>
    <row r="215" spans="1:1" ht="20.100000000000001" customHeight="1" x14ac:dyDescent="0.3">
      <c r="A215" s="17" t="s">
        <v>105</v>
      </c>
    </row>
    <row r="216" spans="1:1" ht="20.100000000000001" customHeight="1" x14ac:dyDescent="0.3">
      <c r="A216" s="17" t="s">
        <v>106</v>
      </c>
    </row>
    <row r="217" spans="1:1" ht="20.100000000000001" customHeight="1" x14ac:dyDescent="0.3">
      <c r="A217" s="17" t="s">
        <v>107</v>
      </c>
    </row>
    <row r="218" spans="1:1" ht="20.100000000000001" customHeight="1" x14ac:dyDescent="0.3">
      <c r="A218" s="17" t="s">
        <v>108</v>
      </c>
    </row>
    <row r="219" spans="1:1" ht="20.100000000000001" customHeight="1" x14ac:dyDescent="0.3">
      <c r="A219" s="17" t="s">
        <v>109</v>
      </c>
    </row>
    <row r="220" spans="1:1" ht="20.100000000000001" customHeight="1" x14ac:dyDescent="0.3">
      <c r="A220" s="17" t="s">
        <v>110</v>
      </c>
    </row>
    <row r="221" spans="1:1" ht="20.100000000000001" customHeight="1" x14ac:dyDescent="0.3">
      <c r="A221" s="17" t="s">
        <v>111</v>
      </c>
    </row>
    <row r="222" spans="1:1" ht="20.100000000000001" customHeight="1" x14ac:dyDescent="0.3">
      <c r="A222" s="17" t="s">
        <v>112</v>
      </c>
    </row>
    <row r="223" spans="1:1" ht="20.100000000000001" customHeight="1" x14ac:dyDescent="0.3">
      <c r="A223" s="17" t="s">
        <v>113</v>
      </c>
    </row>
    <row r="224" spans="1:1" ht="20.100000000000001" customHeight="1" x14ac:dyDescent="0.3">
      <c r="A224" s="17" t="s">
        <v>114</v>
      </c>
    </row>
    <row r="225" spans="1:1" ht="20.100000000000001" customHeight="1" x14ac:dyDescent="0.3">
      <c r="A225" s="17" t="s">
        <v>115</v>
      </c>
    </row>
    <row r="226" spans="1:1" ht="20.100000000000001" customHeight="1" x14ac:dyDescent="0.3">
      <c r="A226" s="17" t="s">
        <v>116</v>
      </c>
    </row>
    <row r="227" spans="1:1" ht="20.100000000000001" customHeight="1" x14ac:dyDescent="0.3">
      <c r="A227" s="17" t="s">
        <v>117</v>
      </c>
    </row>
    <row r="228" spans="1:1" ht="20.100000000000001" customHeight="1" x14ac:dyDescent="0.3">
      <c r="A228" s="17" t="s">
        <v>118</v>
      </c>
    </row>
    <row r="229" spans="1:1" ht="20.100000000000001" customHeight="1" x14ac:dyDescent="0.3">
      <c r="A229" s="17" t="s">
        <v>119</v>
      </c>
    </row>
    <row r="230" spans="1:1" ht="20.100000000000001" customHeight="1" x14ac:dyDescent="0.3">
      <c r="A230" s="17" t="s">
        <v>120</v>
      </c>
    </row>
    <row r="231" spans="1:1" ht="20.100000000000001" customHeight="1" x14ac:dyDescent="0.3">
      <c r="A231" s="17" t="s">
        <v>121</v>
      </c>
    </row>
    <row r="232" spans="1:1" ht="20.100000000000001" customHeight="1" x14ac:dyDescent="0.3">
      <c r="A232" s="17" t="s">
        <v>122</v>
      </c>
    </row>
    <row r="233" spans="1:1" ht="20.100000000000001" customHeight="1" x14ac:dyDescent="0.3">
      <c r="A233" s="17" t="s">
        <v>123</v>
      </c>
    </row>
    <row r="234" spans="1:1" ht="20.100000000000001" customHeight="1" x14ac:dyDescent="0.3">
      <c r="A234" s="17" t="s">
        <v>124</v>
      </c>
    </row>
    <row r="235" spans="1:1" ht="20.100000000000001" customHeight="1" x14ac:dyDescent="0.3">
      <c r="A235" s="19" t="s">
        <v>125</v>
      </c>
    </row>
    <row r="236" spans="1:1" ht="20.100000000000001" customHeight="1" x14ac:dyDescent="0.3">
      <c r="A236" s="17" t="s">
        <v>126</v>
      </c>
    </row>
    <row r="237" spans="1:1" ht="20.100000000000001" customHeight="1" x14ac:dyDescent="0.3">
      <c r="A237" s="17" t="s">
        <v>127</v>
      </c>
    </row>
    <row r="238" spans="1:1" ht="20.100000000000001" customHeight="1" x14ac:dyDescent="0.3">
      <c r="A238" s="17" t="s">
        <v>128</v>
      </c>
    </row>
    <row r="239" spans="1:1" ht="20.100000000000001" customHeight="1" x14ac:dyDescent="0.3">
      <c r="A239" s="17" t="s">
        <v>129</v>
      </c>
    </row>
    <row r="240" spans="1:1" ht="20.100000000000001" customHeight="1" x14ac:dyDescent="0.3">
      <c r="A240" s="17" t="s">
        <v>130</v>
      </c>
    </row>
    <row r="241" spans="1:1" ht="20.100000000000001" customHeight="1" x14ac:dyDescent="0.3">
      <c r="A241" s="17" t="s">
        <v>131</v>
      </c>
    </row>
    <row r="242" spans="1:1" ht="20.100000000000001" customHeight="1" x14ac:dyDescent="0.3">
      <c r="A242" s="17" t="s">
        <v>132</v>
      </c>
    </row>
    <row r="243" spans="1:1" ht="20.100000000000001" customHeight="1" x14ac:dyDescent="0.3">
      <c r="A243" s="17" t="s">
        <v>133</v>
      </c>
    </row>
    <row r="244" spans="1:1" ht="20.100000000000001" customHeight="1" x14ac:dyDescent="0.3">
      <c r="A244" s="17" t="s">
        <v>134</v>
      </c>
    </row>
    <row r="245" spans="1:1" ht="20.100000000000001" customHeight="1" x14ac:dyDescent="0.3">
      <c r="A245" s="17" t="s">
        <v>135</v>
      </c>
    </row>
    <row r="246" spans="1:1" ht="20.100000000000001" customHeight="1" x14ac:dyDescent="0.3">
      <c r="A246" s="17" t="s">
        <v>136</v>
      </c>
    </row>
    <row r="247" spans="1:1" ht="20.100000000000001" customHeight="1" x14ac:dyDescent="0.3">
      <c r="A247" s="17" t="s">
        <v>127</v>
      </c>
    </row>
    <row r="248" spans="1:1" ht="20.100000000000001" customHeight="1" x14ac:dyDescent="0.3">
      <c r="A248" s="17" t="s">
        <v>137</v>
      </c>
    </row>
    <row r="249" spans="1:1" ht="20.100000000000001" customHeight="1" x14ac:dyDescent="0.3">
      <c r="A249" s="17" t="s">
        <v>138</v>
      </c>
    </row>
    <row r="250" spans="1:1" ht="20.100000000000001" customHeight="1" x14ac:dyDescent="0.3">
      <c r="A250" s="19" t="s">
        <v>139</v>
      </c>
    </row>
    <row r="251" spans="1:1" ht="20.100000000000001" customHeight="1" x14ac:dyDescent="0.3">
      <c r="A251" s="20" t="s">
        <v>140</v>
      </c>
    </row>
    <row r="252" spans="1:1" ht="20.100000000000001" customHeight="1" x14ac:dyDescent="0.3">
      <c r="A252" s="17" t="s">
        <v>141</v>
      </c>
    </row>
    <row r="253" spans="1:1" ht="20.100000000000001" customHeight="1" x14ac:dyDescent="0.3">
      <c r="A253" s="17" t="s">
        <v>142</v>
      </c>
    </row>
    <row r="254" spans="1:1" ht="20.100000000000001" customHeight="1" x14ac:dyDescent="0.3">
      <c r="A254" s="21" t="s">
        <v>143</v>
      </c>
    </row>
    <row r="255" spans="1:1" ht="20.100000000000001" customHeight="1" x14ac:dyDescent="0.3">
      <c r="A255" s="21" t="s">
        <v>144</v>
      </c>
    </row>
    <row r="256" spans="1:1" ht="20.100000000000001" customHeight="1" x14ac:dyDescent="0.3">
      <c r="A256" s="22" t="s">
        <v>145</v>
      </c>
    </row>
    <row r="257" spans="1:1" ht="20.100000000000001" customHeight="1" x14ac:dyDescent="0.3">
      <c r="A257" s="17" t="s">
        <v>146</v>
      </c>
    </row>
    <row r="258" spans="1:1" ht="20.100000000000001" customHeight="1" x14ac:dyDescent="0.3">
      <c r="A258" s="22" t="s">
        <v>147</v>
      </c>
    </row>
    <row r="259" spans="1:1" ht="20.100000000000001" customHeight="1" x14ac:dyDescent="0.3">
      <c r="A259" s="17" t="s">
        <v>148</v>
      </c>
    </row>
    <row r="260" spans="1:1" ht="20.100000000000001" customHeight="1" x14ac:dyDescent="0.3">
      <c r="A260" s="22" t="s">
        <v>149</v>
      </c>
    </row>
    <row r="261" spans="1:1" ht="20.100000000000001" customHeight="1" x14ac:dyDescent="0.3">
      <c r="A261" s="17" t="s">
        <v>150</v>
      </c>
    </row>
    <row r="262" spans="1:1" ht="20.100000000000001" customHeight="1" x14ac:dyDescent="0.3">
      <c r="A262" s="17" t="s">
        <v>151</v>
      </c>
    </row>
    <row r="263" spans="1:1" ht="20.100000000000001" customHeight="1" x14ac:dyDescent="0.3">
      <c r="A263" s="22" t="s">
        <v>152</v>
      </c>
    </row>
    <row r="264" spans="1:1" ht="20.100000000000001" customHeight="1" x14ac:dyDescent="0.3">
      <c r="A264" s="22" t="s">
        <v>153</v>
      </c>
    </row>
    <row r="265" spans="1:1" ht="20.100000000000001" customHeight="1" x14ac:dyDescent="0.3">
      <c r="A265" s="22" t="s">
        <v>154</v>
      </c>
    </row>
    <row r="266" spans="1:1" ht="20.100000000000001" customHeight="1" x14ac:dyDescent="0.3">
      <c r="A266" s="17" t="s">
        <v>155</v>
      </c>
    </row>
    <row r="267" spans="1:1" ht="20.100000000000001" customHeight="1" x14ac:dyDescent="0.3">
      <c r="A267" s="17" t="s">
        <v>156</v>
      </c>
    </row>
    <row r="268" spans="1:1" ht="20.100000000000001" customHeight="1" x14ac:dyDescent="0.3">
      <c r="A268" s="17" t="s">
        <v>157</v>
      </c>
    </row>
    <row r="269" spans="1:1" ht="20.100000000000001" customHeight="1" x14ac:dyDescent="0.3">
      <c r="A269" s="17" t="s">
        <v>158</v>
      </c>
    </row>
    <row r="270" spans="1:1" ht="20.100000000000001" customHeight="1" x14ac:dyDescent="0.3">
      <c r="A270" s="22" t="s">
        <v>159</v>
      </c>
    </row>
    <row r="271" spans="1:1" ht="20.100000000000001" customHeight="1" x14ac:dyDescent="0.3">
      <c r="A271" s="22" t="s">
        <v>160</v>
      </c>
    </row>
    <row r="272" spans="1:1" ht="20.100000000000001" customHeight="1" x14ac:dyDescent="0.3">
      <c r="A272" s="17" t="s">
        <v>161</v>
      </c>
    </row>
    <row r="273" spans="1:1" ht="20.100000000000001" customHeight="1" x14ac:dyDescent="0.3">
      <c r="A273" s="22" t="s">
        <v>162</v>
      </c>
    </row>
    <row r="274" spans="1:1" ht="20.100000000000001" customHeight="1" x14ac:dyDescent="0.3">
      <c r="A274" s="22" t="s">
        <v>163</v>
      </c>
    </row>
    <row r="275" spans="1:1" ht="20.100000000000001" customHeight="1" x14ac:dyDescent="0.3">
      <c r="A275" s="17" t="s">
        <v>164</v>
      </c>
    </row>
    <row r="276" spans="1:1" ht="20.100000000000001" customHeight="1" x14ac:dyDescent="0.3">
      <c r="A276" s="17" t="s">
        <v>165</v>
      </c>
    </row>
    <row r="277" spans="1:1" ht="20.100000000000001" customHeight="1" x14ac:dyDescent="0.3">
      <c r="A277" s="22" t="s">
        <v>166</v>
      </c>
    </row>
    <row r="278" spans="1:1" ht="20.100000000000001" customHeight="1" x14ac:dyDescent="0.3">
      <c r="A278" s="17" t="s">
        <v>167</v>
      </c>
    </row>
    <row r="279" spans="1:1" ht="20.100000000000001" customHeight="1" x14ac:dyDescent="0.3">
      <c r="A279" s="17" t="s">
        <v>168</v>
      </c>
    </row>
    <row r="280" spans="1:1" ht="20.100000000000001" customHeight="1" x14ac:dyDescent="0.3">
      <c r="A280" s="17" t="s">
        <v>169</v>
      </c>
    </row>
    <row r="281" spans="1:1" ht="20.100000000000001" customHeight="1" x14ac:dyDescent="0.3">
      <c r="A281" s="17" t="s">
        <v>170</v>
      </c>
    </row>
    <row r="282" spans="1:1" ht="20.100000000000001" customHeight="1" x14ac:dyDescent="0.3">
      <c r="A282" s="22" t="s">
        <v>171</v>
      </c>
    </row>
    <row r="283" spans="1:1" ht="20.100000000000001" customHeight="1" x14ac:dyDescent="0.3">
      <c r="A283" s="22" t="s">
        <v>172</v>
      </c>
    </row>
    <row r="284" spans="1:1" ht="20.100000000000001" customHeight="1" x14ac:dyDescent="0.3">
      <c r="A284" s="22" t="s">
        <v>173</v>
      </c>
    </row>
    <row r="285" spans="1:1" ht="20.100000000000001" customHeight="1" thickBot="1" x14ac:dyDescent="0.35">
      <c r="A285" s="17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2025-10-25T19:08:13Z</dcterms:modified>
</cp:coreProperties>
</file>