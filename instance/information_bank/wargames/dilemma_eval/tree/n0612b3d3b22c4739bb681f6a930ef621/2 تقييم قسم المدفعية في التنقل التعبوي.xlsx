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33EC5C9A-12E8-48B9-8023-DC26EA2655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التقييم'!$A$1:$J$50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40" i="2"/>
  <c r="H40" i="2"/>
  <c r="G41" i="2"/>
  <c r="H41" i="2"/>
  <c r="G42" i="2"/>
  <c r="H42" i="2"/>
  <c r="G43" i="2"/>
  <c r="H43" i="2"/>
  <c r="G44" i="2"/>
  <c r="H44" i="2"/>
  <c r="G45" i="2"/>
  <c r="H45" i="2"/>
  <c r="F46" i="2"/>
  <c r="E46" i="2"/>
  <c r="E47" i="2"/>
  <c r="E48" i="2"/>
</calcChain>
</file>

<file path=xl/sharedStrings.xml><?xml version="1.0" encoding="utf-8"?>
<sst xmlns="http://schemas.openxmlformats.org/spreadsheetml/2006/main" count="277" uniqueCount="221">
  <si>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</si>
  <si>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</si>
  <si>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</si>
  <si>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</si>
  <si>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</si>
  <si>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</si>
  <si>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</si>
  <si>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</si>
  <si>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</si>
  <si>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</si>
  <si>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</si>
  <si>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</si>
  <si>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</si>
  <si>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</si>
  <si>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</si>
  <si>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</si>
  <si>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</si>
  <si>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</si>
  <si>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</si>
  <si>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</si>
  <si>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</si>
  <si>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</si>
  <si>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</si>
  <si>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</si>
  <si>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</si>
  <si>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</si>
  <si>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</si>
  <si>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</si>
  <si>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</si>
  <si>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</si>
  <si>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</si>
  <si>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</si>
  <si>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</si>
  <si>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</si>
  <si>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</si>
  <si>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</si>
  <si>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</si>
  <si>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</si>
  <si>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</si>
  <si>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</si>
  <si>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</si>
  <si>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</si>
  <si>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</si>
  <si>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</si>
  <si>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</si>
  <si>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</si>
  <si>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</si>
  <si>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</si>
  <si>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</si>
  <si>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</si>
  <si>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</si>
  <si>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</si>
  <si>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</si>
  <si>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</si>
  <si>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</si>
  <si>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</si>
  <si>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</si>
  <si>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</si>
  <si>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</si>
  <si>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</si>
  <si>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</si>
  <si>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</si>
  <si>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</si>
  <si>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</si>
  <si>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</si>
  <si>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</si>
  <si>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</si>
  <si>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</si>
  <si>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</si>
  <si>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</si>
  <si>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</si>
  <si>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</si>
  <si>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</si>
  <si>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</si>
  <si>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</si>
  <si>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</si>
  <si>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</si>
  <si>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</si>
  <si>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</si>
  <si>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</si>
  <si>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</si>
  <si>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</si>
  <si>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</si>
  <si>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</si>
  <si>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</si>
  <si>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</si>
  <si>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</si>
  <si>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</si>
  <si>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</si>
  <si>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</si>
  <si>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</si>
  <si>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</si>
  <si>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</si>
  <si>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</si>
  <si>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</si>
  <si>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</si>
  <si>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</si>
  <si>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</si>
  <si>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</si>
  <si>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</si>
  <si>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</si>
  <si>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</si>
  <si>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</si>
  <si>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</si>
  <si>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</si>
  <si>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</si>
  <si>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</si>
  <si>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</si>
  <si>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</si>
  <si>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</si>
  <si>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</si>
  <si>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</si>
  <si>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</si>
  <si>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</si>
  <si>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</si>
  <si>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</si>
  <si>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</si>
  <si>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</si>
  <si>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</si>
  <si>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</si>
  <si>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</si>
  <si>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</si>
  <si>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</si>
  <si>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</si>
  <si>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</si>
  <si>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</si>
  <si>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</si>
  <si>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</si>
  <si>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</si>
  <si>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</si>
  <si>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</si>
  <si>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</si>
  <si>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</si>
  <si>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</si>
  <si>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</si>
  <si>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</si>
  <si>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</si>
  <si>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</si>
  <si>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</si>
  <si>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</si>
  <si>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</si>
  <si>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</si>
  <si>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</si>
  <si>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</si>
  <si>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</si>
  <si>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</si>
  <si>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</si>
  <si>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</si>
  <si>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</si>
  <si>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</si>
  <si>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</si>
  <si>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</si>
  <si>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</si>
  <si>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</si>
  <si>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</si>
  <si>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</si>
  <si>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</si>
  <si>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</si>
  <si>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</si>
  <si>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</si>
  <si>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</si>
  <si>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</si>
  <si>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</si>
  <si>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</si>
  <si>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</si>
  <si>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</si>
  <si>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</si>
  <si>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</si>
  <si>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</si>
  <si>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</si>
  <si>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</si>
  <si>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</si>
  <si>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</si>
  <si>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</si>
  <si>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</si>
  <si>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</si>
  <si>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</si>
  <si>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</si>
  <si>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</si>
  <si>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</si>
  <si>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التحضير.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</si>
  <si>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من الخارطة وانتخاب الموقع بشكل عام والطُرق الرئيسية والبديلة من الموقع الحالي الى الموقع الجديد.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</si>
  <si>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الكشف التفصيلي للموقع على الارض.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</si>
  <si>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قائد القسم بالكشف والاستطلاع من الجو إذا سمح الوقت وتوفرت مصادر الاستطلاع الجوي.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</si>
  <si>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يقوم القائد بإعطاء ايجاز حول الموقع الجديد لجميع العناصر الرئيسيين في القسم بحيث يتضمن المعلومات الرئيسية التالية:</t>
    </r>
  </si>
  <si>
    <t>أ. احداثيات الموقع الجديد.</t>
  </si>
  <si>
    <t xml:space="preserve">ب. وقت الحركة الى الموقع الجديد. </t>
  </si>
  <si>
    <t>جـ. اسلوب الحركة.</t>
  </si>
  <si>
    <t>د. طريق الحركة.</t>
  </si>
  <si>
    <t>هـ. المهمة.</t>
  </si>
  <si>
    <t>و. موقف القوات الصديقة وموقف العدو.</t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</si>
  <si>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تنظيم وتجهيز جماعة المقدمة وحسب الاوامر التعبوية المستديمة للوحدة.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</si>
  <si>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تحضير الموقع بشكل جيد لتسهيل عملية الاحتلال وكما يلي:</t>
    </r>
  </si>
  <si>
    <t>أ. اعداد وتحضير خطة الحركة للأليات المجنزرة والآليات المدولبة.</t>
  </si>
  <si>
    <t>ب. اعطاء ايجاز لأُدلاء المدافع والآليات (إيجاز الدليل).</t>
  </si>
  <si>
    <t>جـ. تحضير نقاط دخول وخروج من والى الموقع.</t>
  </si>
  <si>
    <t>د. التأكد من توفر الهوائيات الطويلة على الآليات لتوفير الاتصال لمسافة بعيدة.</t>
  </si>
  <si>
    <t>هـ. تحديد المقتربات التي يمكن الحركة من خلالها بسرعة عالية.</t>
  </si>
  <si>
    <r>
      <t xml:space="preserve">مرحلة التخطيط. </t>
    </r>
    <r>
      <rPr>
        <sz val="12"/>
        <color rgb="FF000000"/>
        <rFont val="Arial"/>
        <family val="2"/>
      </rPr>
      <t>الاستعداد للحركة الى الموقع الجديد وتنفيذ الأعمال التالية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</si>
  <si>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تفهم الجميع لتعليمات الحركة والتي تتضمن:</t>
    </r>
  </si>
  <si>
    <t>أ. نقطة البدء.</t>
  </si>
  <si>
    <t>ب. نقطة الانتشار.</t>
  </si>
  <si>
    <t>د. نقاط السيطرة.</t>
  </si>
  <si>
    <t>هـ. أسلوب وطريق الحركة.</t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</si>
  <si>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الوحدة بالتفتيش العملياتي وضمان أن جميع الآليات في العمل قبل بدء الحركة.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</si>
  <si>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اعطاء ايجاز للسائقين حول تعليمات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</si>
  <si>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خطة تحميل المهمات والمعدات وأنها مؤمنة ومحمية حسب خطة التحميل.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</si>
  <si>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تركيب اجهزة الاتصال وأن جميع معدات الاتصال جاهزة للعمل.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</si>
  <si>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توزيع الأفراد على الآليات وقيامهم بإجراء أي تعديلات لازمة على تحميل المهمات والمعدات.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</si>
  <si>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قيام اعداد اُوَل المدافع بتفقد الاضواء ومعدات الرؤية الليلية (ان لزم الأمر).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</si>
  <si>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مراقبة الضبط والربط العسكري المتعلق بمدى الالتزام بتعليمات الاضاءة والصوت أثناء الحركة ليلاً.</t>
    </r>
  </si>
  <si>
    <t>مرحلة التنفيذ.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</si>
  <si>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استخدام أحد اساليب التحرك التعبوي على الطرق (الرتل المفتوح - الرتل المُغلق - الحركة حسب طبيعة الأرض – التسلل - تشكيلة حركة خاصة) وحسب توجيهات القائد.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</si>
  <si>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التأكد من محافظة السائقين على الفاصل بين الآليات بمسافة (100) متر إذا كانت التشكيلة " رتل مفتوح" ومسافة تقل عن (100) متر لتشكيلة "الرتل المغلق". 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</si>
  <si>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 xml:space="preserve">المحافظة على الضبط والربط المتمثل بالالتزام بتعليمات المسير وكذلك تأمين الحماية اثناء الحركة. 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</si>
  <si>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الابلاغ عند اجتياز نقطة البدء ونقاط السيطرة ونقطة الانتشار وبتوقيتات محددة إلا إذا تم فرض "الصمت اللاسلكي".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</si>
  <si>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التأكد من حركة السائقين على الطرق المحددة مع استغلال طبيعة الارض والاستفادة من الاشجار والمقاطع الصخرية والتلال المتوفرة في منطقة التحرك التعبوي.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</si>
  <si>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Arial"/>
        <family val="2"/>
      </rPr>
      <t>السيطرة على حركة الآليات بشكل فردي عند استخدام اسلوب "التسلل".</t>
    </r>
  </si>
  <si>
    <r>
      <rPr>
        <b/>
        <sz val="14"/>
        <color rgb="FF000000"/>
        <rFont val="Arial"/>
        <family val="2"/>
      </rPr>
      <t>تقييم قسم المدفعية في التنقل التعبوي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</si>
  <si>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ملازم/1 حمد النقبي</t>
  </si>
  <si>
    <t>الرئد/ خليفة مصبح الدهماني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</si>
</sst>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7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B4C6E7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indent="2" readingOrder="2"/>
    </xf>
    <xf numFmtId="0" fontId="12" fillId="0" borderId="3" xfId="0" applyFont="1" applyBorder="1" applyAlignment="1">
      <alignment horizontal="right" vertical="center" wrapText="1" indent="2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indent="2" readingOrder="2"/>
    </xf>
    <xf numFmtId="0" fontId="12" fillId="0" borderId="12" xfId="0" applyFont="1" applyBorder="1" applyAlignment="1">
      <alignment horizontal="right" vertical="center" wrapText="1" indent="2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5" borderId="5" xfId="0" applyFont="1" applyFill="1" applyBorder="1" applyAlignment="1">
      <alignment vertical="center" wrapText="1" readingOrder="2"/>
    </xf>
    <xf numFmtId="0" fontId="1" fillId="5" borderId="4" xfId="0" applyFont="1" applyFill="1" applyBorder="1" applyAlignment="1">
      <alignment vertical="center" wrapText="1" readingOrder="2"/>
    </xf>
    <xf numFmtId="0" fontId="1" fillId="5" borderId="6" xfId="0" applyFont="1" applyFill="1" applyBorder="1" applyAlignment="1">
      <alignment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customXml" Target="../ink/ink8.xml"/><Relationship Id="rId3" Type="http://schemas.openxmlformats.org/officeDocument/2006/relationships/customXml" Target="../ink/ink2.xml"/><Relationship Id="rId7" Type="http://schemas.openxmlformats.org/officeDocument/2006/relationships/customXml" Target="../ink/ink5.xml"/><Relationship Id="rId12" Type="http://schemas.openxmlformats.org/officeDocument/2006/relationships/image" Target="../media/image5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2.png"/><Relationship Id="rId11" Type="http://schemas.openxmlformats.org/officeDocument/2006/relationships/customXml" Target="../ink/ink7.xml"/><Relationship Id="rId5" Type="http://schemas.openxmlformats.org/officeDocument/2006/relationships/customXml" Target="../ink/ink4.xml"/><Relationship Id="rId10" Type="http://schemas.openxmlformats.org/officeDocument/2006/relationships/image" Target="../media/image4.png"/><Relationship Id="rId4" Type="http://schemas.openxmlformats.org/officeDocument/2006/relationships/customXml" Target="../ink/ink3.xml"/><Relationship Id="rId9" Type="http://schemas.openxmlformats.org/officeDocument/2006/relationships/customXml" Target="../ink/ink6.xm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466785</xdr:colOff>
      <xdr:row>49</xdr:row>
      <xdr:rowOff>243572</xdr:rowOff>
    </xdr:from>
    <xdr:to>
      <xdr:col>4</xdr:col>
      <xdr:colOff>467145</xdr:colOff>
      <xdr:row>49</xdr:row>
      <xdr:rowOff>243932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8877C7D-533D-730B-35CF-752C516FD227}"/>
                </a:ext>
              </a:extLst>
            </xdr14:cNvPr>
            <xdr14:cNvContentPartPr/>
          </xdr14:nvContentPartPr>
          <xdr14:nvPr macro=""/>
          <xdr14:xfrm>
            <a:off x="10401410129" y="244774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38877C7D-533D-730B-35CF-752C516FD22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1404009" y="24471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611145</xdr:colOff>
      <xdr:row>49</xdr:row>
      <xdr:rowOff>457052</xdr:rowOff>
    </xdr:from>
    <xdr:to>
      <xdr:col>4</xdr:col>
      <xdr:colOff>611505</xdr:colOff>
      <xdr:row>49</xdr:row>
      <xdr:rowOff>457412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51FD7EEA-1948-6B45-64FA-2BD2CF5AB8DD}"/>
                </a:ext>
              </a:extLst>
            </xdr14:cNvPr>
            <xdr14:cNvContentPartPr/>
          </xdr14:nvContentPartPr>
          <xdr14:nvPr macro=""/>
          <xdr14:xfrm>
            <a:off x="10401265769" y="2469096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51FD7EEA-1948-6B45-64FA-2BD2CF5AB8D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01259649" y="246848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172271</xdr:colOff>
      <xdr:row>48</xdr:row>
      <xdr:rowOff>387662</xdr:rowOff>
    </xdr:from>
    <xdr:to>
      <xdr:col>7</xdr:col>
      <xdr:colOff>172631</xdr:colOff>
      <xdr:row>48</xdr:row>
      <xdr:rowOff>388022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3E72C98-66D2-D605-67AA-77E9F1A564A4}"/>
                </a:ext>
              </a:extLst>
            </xdr14:cNvPr>
            <xdr14:cNvContentPartPr/>
          </xdr14:nvContentPartPr>
          <xdr14:nvPr macro=""/>
          <xdr14:xfrm>
            <a:off x="10399730369" y="240904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3E72C98-66D2-D605-67AA-77E9F1A564A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724249" y="240843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259031</xdr:colOff>
      <xdr:row>48</xdr:row>
      <xdr:rowOff>278222</xdr:rowOff>
    </xdr:from>
    <xdr:to>
      <xdr:col>7</xdr:col>
      <xdr:colOff>259391</xdr:colOff>
      <xdr:row>48</xdr:row>
      <xdr:rowOff>284342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DD9359B-F401-A0A5-1AF9-0B20A7EA0947}"/>
                </a:ext>
              </a:extLst>
            </xdr14:cNvPr>
            <xdr14:cNvContentPartPr/>
          </xdr14:nvContentPartPr>
          <xdr14:nvPr macro=""/>
          <xdr14:xfrm>
            <a:off x="10399643609" y="23981040"/>
            <a:ext cx="360" cy="612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DD9359B-F401-A0A5-1AF9-0B20A7EA094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637489" y="23974920"/>
              <a:ext cx="126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249226</xdr:colOff>
      <xdr:row>49</xdr:row>
      <xdr:rowOff>173012</xdr:rowOff>
    </xdr:from>
    <xdr:to>
      <xdr:col>9</xdr:col>
      <xdr:colOff>230835</xdr:colOff>
      <xdr:row>49</xdr:row>
      <xdr:rowOff>482972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0AF00E9-1D7F-A2F7-5F5F-22854076EF2C}"/>
                </a:ext>
              </a:extLst>
            </xdr14:cNvPr>
            <xdr14:cNvContentPartPr/>
          </xdr14:nvContentPartPr>
          <xdr14:nvPr macro=""/>
          <xdr14:xfrm>
            <a:off x="10398355984" y="24406920"/>
            <a:ext cx="1955880" cy="30996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0AF00E9-1D7F-A2F7-5F5F-22854076EF2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349864" y="24400800"/>
              <a:ext cx="1968120" cy="3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40776</xdr:colOff>
      <xdr:row>49</xdr:row>
      <xdr:rowOff>124772</xdr:rowOff>
    </xdr:from>
    <xdr:to>
      <xdr:col>9</xdr:col>
      <xdr:colOff>92235</xdr:colOff>
      <xdr:row>49</xdr:row>
      <xdr:rowOff>236012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74C53CC6-872C-24AF-B66D-78E62F26B14A}"/>
                </a:ext>
              </a:extLst>
            </xdr14:cNvPr>
            <xdr14:cNvContentPartPr/>
          </xdr14:nvContentPartPr>
          <xdr14:nvPr macro=""/>
          <xdr14:xfrm>
            <a:off x="10398494584" y="24358680"/>
            <a:ext cx="1367640" cy="1112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74C53CC6-872C-24AF-B66D-78E62F26B14A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0398488464" y="24352560"/>
              <a:ext cx="1379880" cy="12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191616</xdr:colOff>
      <xdr:row>48</xdr:row>
      <xdr:rowOff>514742</xdr:rowOff>
    </xdr:from>
    <xdr:to>
      <xdr:col>9</xdr:col>
      <xdr:colOff>71715</xdr:colOff>
      <xdr:row>49</xdr:row>
      <xdr:rowOff>162572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633FB08-B4AD-49F4-3FDD-68B91ACF5D42}"/>
                </a:ext>
              </a:extLst>
            </xdr14:cNvPr>
            <xdr14:cNvContentPartPr/>
          </xdr14:nvContentPartPr>
          <xdr14:nvPr macro=""/>
          <xdr14:xfrm>
            <a:off x="10398515104" y="24217560"/>
            <a:ext cx="1196280" cy="1789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633FB08-B4AD-49F4-3FDD-68B91ACF5D42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0398508984" y="24211440"/>
              <a:ext cx="120852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418426</xdr:colOff>
      <xdr:row>49</xdr:row>
      <xdr:rowOff>66092</xdr:rowOff>
    </xdr:from>
    <xdr:to>
      <xdr:col>6</xdr:col>
      <xdr:colOff>431026</xdr:colOff>
      <xdr:row>49</xdr:row>
      <xdr:rowOff>118652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8CB357E-37BF-1E8E-0358-A7136F0CE646}"/>
                </a:ext>
              </a:extLst>
            </xdr14:cNvPr>
            <xdr14:cNvContentPartPr/>
          </xdr14:nvContentPartPr>
          <xdr14:nvPr macro=""/>
          <xdr14:xfrm>
            <a:off x="10400130064" y="24300000"/>
            <a:ext cx="12600" cy="525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8CB357E-37BF-1E8E-0358-A7136F0CE646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10400123944" y="24293880"/>
              <a:ext cx="24840" cy="64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49:47.6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0,'0'0,"0"0,0 0,0 0,0 0,0 0,0 0,0 0,0 0,0 0,0 0,0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50:41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50:46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0,0 0,0 0,0 0,0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9T08:50:47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0,'0'0,"0"0,0 0,0 0,0 0,0 0,0 0,0 0,0 0,0 0,0 0,0 16,0-16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1:32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4351 861 14883,'0'0'0,"0"0"0,-1-50 1920,-3 1-1320,2-2-248,-1 7-128,3 44-224,0-17 112,3 2-16,0-4 24,9 1-24,-12 18-96,3-19 96,1 2-16,10 0 8,-11 0 17,-3 17-105,4-16 88,9-2-32,-8 2-16,8-1-48,-13 17 8,2-17 0,3 1 8,-2 1-8,1 1 16,-4 14-16,3-13 0,0 0 8,0-1-40,0 0 32,-3 14 0,2-17 24,1 1-24,0-1 48,-3-3-64,0 20 16,3-21-56,-3-2 24,3 2 32,-3 1-24,0 20 24,0-22 16,0 4-8,2 1-64,-2 0 64,0 17-8,3-15 48,-1 3-48,-2 0 80,3 8-72,-3 4-8,3-13-24,-3 9 16,0 0-8,3-1-8,-3 5 24,0-4-16,0 0 8,0 1 8,0-1 8,0 4-8,0-3 32,0-1-24,0 1-16,0 0 32,0 3-24,0-3 0,0 0 0,0 2 48,3-2-72,-3 3 24,0-3-16,0 2 56,0-1-56,3 1-8,-3 1 24,2-1-48,1 1-88,0 0-113,0 0-55,-3 0 304,4 4-288,12 9-24,0-9 112,4 16 48,-20-20 152,22 17-176,3 3-56,4 1-40,0 2-48,-29-23 320,29 20-312,3 0 8,-1-2 112,0-2 56,-31-16 136,31 15-96,0-3 104,2-8 96,-2 9-104,-31-13 0,38 3 80,-2 8-8,3-8-72,0 1 72,-39-4-72,33 4 40,-2 1 8,0-3-80,-4 1 120,-27-3-88,26 3 24,-3 0 32,-3-3 8,-7 0 8,-13 0-72,4 3 96,8-3-72,-12 0 24,0 3-272,0-3 224,-2 3-224,-2-1 40,-9 10-40,0-9 248,13-3-24,-17 14 32,-5-10-24,2 15-8,-3-5-40,23-14 40,-20 14-8,-2 0-8,-1 0 64,2-2-8,21-12-40,-23 11 0,0-7 16,0 12-8,-2-13-8,25-3 0,-24 11 64,-5-11 32,-1 3 16,-3-3 120,33 0-232,-39 0 248,-5-4-8,-3-2 32,-1-5-80,48 11-192,-50-4 200,-2-2-16,-1 0-96,1 0-16,52 6-72,-53-4 128,-3-1-8,1 0 16,0 2 56,55 3-192,-53-1 96,1 1-40,0 3 8,6 1-64,46-4 0,-46 13-16,4-9-8,1 8 24,-7-8-8,48-4 8,-48 11 32,-5-8 16,1 1-72,-3 1 48,55-5-24,-58 11-48,-3-8 24,-5 0 24,0 1 0,66-4 0,-68 4 40,-4-1-16,2-3 0,-4 0 0,74 0-24,-70-1 32,0-4 40,3 2-24,3-1 0,64 4-48,-62-3 0,4 0 24,1 2 16,3 0 56,54 1-96,-55-2 96,3 1 1,1-2-17,0 0-88,51 3 8,-53-3 88,-3 0-40,1 1-16,-2-1-56,57 3 24,-54-2-8,2 1-8,-2-1-16,3 1 112,51 1-80,-53 0-24,26 0 96,-5 0-32,2 0-16,30 0-24,-36 3 48,-2 0-88,-2 0 104,0 1-48,40-4-16,-46 4-16,-1 7 16,1-11-88,-3 5-8,49-5 96,-45 4-56,-2-1 32,2 0-56,0-3 24,45 0 56,-49 0-88,2 0-9,0-2 65,2-2-32,45 4 64,-46-11-32,-1 6-40,1-6-64,21 10 304,25 1-168,-29-3 136,2 0-56,-3 0 57,-2 2-330,32 1 193,-36-2-160,-1 2-32,-1 0-72,-4 0 80,42 0 184,-44 3-392,1 0 96,-3 1-88,-2 0 136,48-4 248,-46 12 4145,-1-9-4233,-2 1 144,2 7-112,47-11 56,-44 3 32,3 1 232,3-1 272,2 0 408,36-3-944,-32 3 1793,5-3 383,1 0-87,4 0 31,22 0-2120,-18-1 1016,3-1-432,2-2-200,3 1-928,10 3 544,-4-4-520,-1 1-536,2 1-808,3 2-377,0 0 2241,0 0-3113,13 5-999,-1 9-7179,2-1 5418,-14-13 5873,0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1:32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3693 54 15195,'0'0'0,"-4"-16"1088,4 16-1088,-5-11 272,-5-1-144,7 8-120,-2 2 64,5 2-72,-12-1 0,1 0 16,-5-1 0,-4-1 16,20 3-32,-23-1 16,-3 1-16,-3 0 0,-3 3-16,32-3 16,-36 11 16,-4-7-56,-6 13 32,-2-4-16,48-13 24,-52 13 72,-5 3-72,-6 1 16,-6 1 8,69-18-24,-73 20-32,-5 0 40,-7-3-40,-3-1 8,88-16 24,-95 13-8,-4-9-40,-5 9 16,-7-13-24,111 0 56,-114 0-96,-3-2 144,-2-2 40,4-10 136,115 14-224,-116-6 376,4-10 168,54 12 232,-14-7 49,72 11-825,-70-5 800,-15-6-144,1 7-128,-11-9-224,95 13-304,-97-3 152,-9-1-128,3 0-168,54 1 264,49 3-120,-56-2 80,2 2-16,-5 0 72,2 0-320,57 0 184,-62 0-176,5 5-104,-4-1 16,4 9-192,57-13 456,-58 4-600,7 10-80,1-2-393,4 0 137,46-12 936,-44 13-960,8 1 72,1 2 136,9 1-273,26-17 1025,-19 16-1080,8-1-328,10 1-769,1-2-1711,0-14 3888,12 14-4009,-12-14 4009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1:33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2996 299 12754,'0'0'0,"-5"-17"2313,-5 4-1425,10 13-888,-4-14 472,-8 1-80,11 12-152,0 0-136,1 1-104,-2-3 152,1 0 24,-3-1-72,0-1 8,4 5-112,-4-4 96,-7-7 0,6 6 48,1-9 72,4 14-216,-5-4 144,1-13-72,3 6 48,-1 0-16,2 11-104,-1-15 89,1 1-57,0-2 8,4 0-16,-4 16-24,4-14 8,7-2-8,-7 5 0,10-3-104,-14 14 104,4-6-24,13-7-97,-6 9 57,1 0-32,-12 4 96,12-3-144,0 2 112,3 1-176,-3 0-16,-12 0 224,16 4-200,1 10-24,2-3 88,2 3 96,-21-14 40,21 14-24,-1-1 8,-1 1 16,-3-1-48,-16-13 48,10 13 8,-6-9-56,1 10 8,-3-10-32,-2-4 72,0 15-104,0-3 104,-1 5 24,-3 4-16,4-21-8,-10 22 72,-3 3-120,-5 2 24,-6-3-8,24-24 32,-30 23 0,-10-2-32,-7-6 56,-6-10-72,53-5 48,-67 12-16,-7-12 88,-6 0-48,-6-4-48,86 4 24,-91-14-24,-4 1 80,-10-1 40,-3-3 160,108 17-256,-117-15 336,-6-2 136,1-2 217,-1 2 215,123 17-904,-122-14 1048,7 1-8,58 12-112,-9-3-191,66 4-737,-66-2 560,-11 1-352,5 1-72,-8 3-168,80-3 32,-74 4-216,-11 13 216,7-4-216,3 3 88,75-16 128,-68 18-64,2 3-24,4 0 64,32-8 176,30-13-152,-32 12 256,-1 1-216,-2 0 16,1 0-192,34-13 136,-38 15-472,5-2 119,-3 0 25,1-2-200,35-11 528,-37 13-488,3-9-232,-2 14 32,3-14 72,33-4 616,-34 13-472,2-10 336,4 1-8,2 0 32,26-4 112,-23 5-241,5-5-239,5 0-72,11 0-232,2 0 784,0 0-1056,2 0-969,14 0-3520,6-2-264,-22 2 5809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9T08:51:34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35 145 23188,'0'0'0,"-2"-46"1809,-2 7-977,4 39-832,-3-40 560,2 20-536,-1 20-864,1 12-840,1-12 1680,-3 25-2865,-15 22-8369,18-47 11234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0"/>
  <sheetViews>
    <sheetView rightToLeft="1" tabSelected="1" view="pageBreakPreview" topLeftCell="B44" zoomScale="130" zoomScaleNormal="100" zoomScaleSheetLayoutView="130" workbookViewId="0">
      <selection activeCell="C4" sqref="C4:D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8" t="s">
        <v>218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3">
      <c r="B2" s="10" t="s">
        <v>8</v>
      </c>
      <c r="C2" s="54" t="s">
        <v>48</v>
      </c>
      <c r="D2" s="54"/>
      <c r="E2" s="10" t="s">
        <v>7</v>
      </c>
      <c r="F2" s="49">
        <v>45938</v>
      </c>
      <c r="G2" s="49"/>
      <c r="H2" s="49"/>
      <c r="I2" s="49"/>
      <c r="J2" s="49"/>
    </row>
    <row r="3" spans="1:10" ht="30" customHeight="1" x14ac:dyDescent="0.3">
      <c r="B3" s="10" t="s">
        <v>9</v>
      </c>
      <c r="C3" s="54" t="s">
        <v>68</v>
      </c>
      <c r="D3" s="54"/>
      <c r="E3" s="10" t="s">
        <v>6</v>
      </c>
      <c r="F3" s="54" t="s">
        <v>114</v>
      </c>
      <c r="G3" s="54"/>
      <c r="H3" s="54"/>
      <c r="I3" s="54"/>
      <c r="J3" s="54"/>
    </row>
    <row r="4" spans="1:10" ht="30" customHeight="1" thickBot="1" x14ac:dyDescent="0.35">
      <c r="B4" s="6"/>
      <c r="C4" s="80" t="s">
        <v>219</v>
      </c>
      <c r="D4" s="80"/>
      <c r="E4" s="6"/>
      <c r="F4" s="80" t="s">
        <v>220</v>
      </c>
      <c r="G4" s="80"/>
      <c r="H4" s="80"/>
      <c r="I4" s="80"/>
      <c r="J4" s="80"/>
    </row>
    <row r="5" spans="1:10" ht="24.9" customHeight="1" x14ac:dyDescent="0.3">
      <c r="A5" s="8"/>
      <c r="B5" s="50" t="s">
        <v>0</v>
      </c>
      <c r="C5" s="51"/>
      <c r="D5" s="51"/>
      <c r="E5" s="55" t="s">
        <v>1</v>
      </c>
      <c r="F5" s="55"/>
      <c r="G5" s="55"/>
      <c r="H5" s="55"/>
      <c r="I5" s="55" t="s">
        <v>2</v>
      </c>
      <c r="J5" s="56"/>
    </row>
    <row r="6" spans="1:10" ht="24.9" customHeight="1" thickBot="1" x14ac:dyDescent="0.35">
      <c r="A6" s="8"/>
      <c r="B6" s="52"/>
      <c r="C6" s="53"/>
      <c r="D6" s="53"/>
      <c r="E6" s="9" t="s">
        <v>3</v>
      </c>
      <c r="F6" s="9" t="s">
        <v>4</v>
      </c>
      <c r="G6" s="9" t="s">
        <v>23</v>
      </c>
      <c r="H6" s="9" t="s">
        <v>24</v>
      </c>
      <c r="I6" s="57"/>
      <c r="J6" s="58"/>
    </row>
    <row r="7" spans="1:10" ht="24.9" customHeight="1" thickBot="1" x14ac:dyDescent="0.35">
      <c r="A7" s="8"/>
      <c r="B7" s="46" t="s">
        <v>21</v>
      </c>
      <c r="C7" s="47"/>
      <c r="D7" s="47"/>
      <c r="E7" s="25" t="s">
        <v>18</v>
      </c>
      <c r="F7" s="25" t="s">
        <v>19</v>
      </c>
      <c r="G7" s="25" t="s">
        <v>22</v>
      </c>
      <c r="H7" s="25" t="s">
        <v>20</v>
      </c>
      <c r="I7" s="41" t="s">
        <v>25</v>
      </c>
      <c r="J7" s="42"/>
    </row>
    <row r="8" spans="1:10" ht="39.9" customHeight="1" x14ac:dyDescent="0.3">
      <c r="A8" s="8"/>
      <c r="B8" s="43" t="s">
        <v>180</v>
      </c>
      <c r="C8" s="44"/>
      <c r="D8" s="44"/>
      <c r="E8" s="44"/>
      <c r="F8" s="44"/>
      <c r="G8" s="44"/>
      <c r="H8" s="44"/>
      <c r="I8" s="44"/>
      <c r="J8" s="45"/>
    </row>
    <row r="9" spans="1:10" ht="39.9" customHeight="1" x14ac:dyDescent="0.3">
      <c r="A9" s="8"/>
      <c r="B9" s="33" t="s">
        <v>181</v>
      </c>
      <c r="C9" s="34"/>
      <c r="D9" s="34"/>
      <c r="E9" s="7">
        <v>5</v>
      </c>
      <c r="F9" s="24">
        <v>3.75</v>
      </c>
      <c r="G9" s="26">
        <f>IFERROR(F9/E9,"")</f>
        <v>0.75</v>
      </c>
      <c r="H9" s="27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7"/>
      <c r="J9" s="38"/>
    </row>
    <row r="10" spans="1:10" ht="39.9" customHeight="1" x14ac:dyDescent="0.3">
      <c r="A10" s="8"/>
      <c r="B10" s="33" t="s">
        <v>182</v>
      </c>
      <c r="C10" s="34"/>
      <c r="D10" s="34"/>
      <c r="E10" s="7">
        <v>5</v>
      </c>
      <c r="F10" s="32">
        <v>4.25</v>
      </c>
      <c r="G10" s="26">
        <f t="shared" ref="G10:G45" si="0">IFERROR(F10/E10,"")</f>
        <v>0.85</v>
      </c>
      <c r="H10" s="27" t="str">
        <f t="shared" ref="H10:H45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37"/>
      <c r="J10" s="38"/>
    </row>
    <row r="11" spans="1:10" ht="39.9" customHeight="1" x14ac:dyDescent="0.3">
      <c r="A11" s="8"/>
      <c r="B11" s="33" t="s">
        <v>183</v>
      </c>
      <c r="C11" s="34"/>
      <c r="D11" s="34"/>
      <c r="E11" s="7">
        <v>5</v>
      </c>
      <c r="F11" s="24">
        <v>2.25</v>
      </c>
      <c r="G11" s="26">
        <f t="shared" si="0"/>
        <v>0.45</v>
      </c>
      <c r="H11" s="27" t="str">
        <f t="shared" si="1"/>
        <v>راسب</v>
      </c>
      <c r="I11" s="37"/>
      <c r="J11" s="38"/>
    </row>
    <row r="12" spans="1:10" ht="39.9" customHeight="1" x14ac:dyDescent="0.3">
      <c r="A12" s="8"/>
      <c r="B12" s="33" t="s">
        <v>184</v>
      </c>
      <c r="C12" s="34"/>
      <c r="D12" s="34"/>
      <c r="E12" s="7"/>
      <c r="F12" s="24"/>
      <c r="G12" s="26"/>
      <c r="H12" s="27"/>
      <c r="I12" s="37"/>
      <c r="J12" s="38"/>
    </row>
    <row r="13" spans="1:10" ht="39.9" customHeight="1" x14ac:dyDescent="0.3">
      <c r="A13" s="8"/>
      <c r="B13" s="35" t="s">
        <v>185</v>
      </c>
      <c r="C13" s="36"/>
      <c r="D13" s="36"/>
      <c r="E13" s="7">
        <v>5</v>
      </c>
      <c r="F13" s="24">
        <v>3.5</v>
      </c>
      <c r="G13" s="26">
        <f t="shared" si="0"/>
        <v>0.7</v>
      </c>
      <c r="H13" s="27" t="str">
        <f t="shared" si="1"/>
        <v>جيد</v>
      </c>
      <c r="I13" s="37"/>
      <c r="J13" s="38"/>
    </row>
    <row r="14" spans="1:10" ht="39.9" customHeight="1" x14ac:dyDescent="0.3">
      <c r="A14" s="8"/>
      <c r="B14" s="35" t="s">
        <v>186</v>
      </c>
      <c r="C14" s="36"/>
      <c r="D14" s="36"/>
      <c r="E14" s="7">
        <v>5</v>
      </c>
      <c r="F14" s="32">
        <v>3.75</v>
      </c>
      <c r="G14" s="26">
        <f t="shared" si="0"/>
        <v>0.75</v>
      </c>
      <c r="H14" s="27" t="str">
        <f t="shared" si="1"/>
        <v>جيد</v>
      </c>
      <c r="I14" s="37"/>
      <c r="J14" s="38"/>
    </row>
    <row r="15" spans="1:10" ht="39.9" customHeight="1" x14ac:dyDescent="0.3">
      <c r="A15" s="8"/>
      <c r="B15" s="35" t="s">
        <v>187</v>
      </c>
      <c r="C15" s="36"/>
      <c r="D15" s="36"/>
      <c r="E15" s="7">
        <v>5</v>
      </c>
      <c r="F15" s="32">
        <v>3.75</v>
      </c>
      <c r="G15" s="26">
        <f t="shared" si="0"/>
        <v>0.75</v>
      </c>
      <c r="H15" s="27" t="str">
        <f t="shared" si="1"/>
        <v>جيد</v>
      </c>
      <c r="I15" s="37"/>
      <c r="J15" s="38"/>
    </row>
    <row r="16" spans="1:10" ht="39.9" customHeight="1" x14ac:dyDescent="0.3">
      <c r="A16" s="8"/>
      <c r="B16" s="35" t="s">
        <v>188</v>
      </c>
      <c r="C16" s="36"/>
      <c r="D16" s="36"/>
      <c r="E16" s="7">
        <v>5</v>
      </c>
      <c r="F16" s="32">
        <v>3.75</v>
      </c>
      <c r="G16" s="26">
        <f t="shared" si="0"/>
        <v>0.75</v>
      </c>
      <c r="H16" s="27" t="str">
        <f t="shared" si="1"/>
        <v>جيد</v>
      </c>
      <c r="I16" s="37"/>
      <c r="J16" s="38"/>
    </row>
    <row r="17" spans="1:10" ht="39.9" customHeight="1" x14ac:dyDescent="0.3">
      <c r="A17" s="8"/>
      <c r="B17" s="35" t="s">
        <v>189</v>
      </c>
      <c r="C17" s="36"/>
      <c r="D17" s="36"/>
      <c r="E17" s="7">
        <v>5</v>
      </c>
      <c r="F17" s="32">
        <v>4</v>
      </c>
      <c r="G17" s="26">
        <f t="shared" si="0"/>
        <v>0.8</v>
      </c>
      <c r="H17" s="27" t="str">
        <f t="shared" si="1"/>
        <v>جيد جداً</v>
      </c>
      <c r="I17" s="37"/>
      <c r="J17" s="38"/>
    </row>
    <row r="18" spans="1:10" ht="39.9" customHeight="1" x14ac:dyDescent="0.3">
      <c r="A18" s="8"/>
      <c r="B18" s="35" t="s">
        <v>190</v>
      </c>
      <c r="C18" s="36"/>
      <c r="D18" s="36"/>
      <c r="E18" s="7">
        <v>5</v>
      </c>
      <c r="F18" s="32">
        <v>3</v>
      </c>
      <c r="G18" s="26">
        <f t="shared" si="0"/>
        <v>0.6</v>
      </c>
      <c r="H18" s="27" t="str">
        <f t="shared" si="1"/>
        <v>مقبول</v>
      </c>
      <c r="I18" s="37"/>
      <c r="J18" s="38"/>
    </row>
    <row r="19" spans="1:10" ht="39.9" customHeight="1" x14ac:dyDescent="0.3">
      <c r="A19" s="8"/>
      <c r="B19" s="33" t="s">
        <v>191</v>
      </c>
      <c r="C19" s="34"/>
      <c r="D19" s="34"/>
      <c r="E19" s="7">
        <v>5</v>
      </c>
      <c r="F19" s="32">
        <v>3.75</v>
      </c>
      <c r="G19" s="26">
        <f t="shared" si="0"/>
        <v>0.75</v>
      </c>
      <c r="H19" s="27" t="str">
        <f t="shared" si="1"/>
        <v>جيد</v>
      </c>
      <c r="I19" s="37"/>
      <c r="J19" s="38"/>
    </row>
    <row r="20" spans="1:10" ht="39.9" customHeight="1" x14ac:dyDescent="0.3">
      <c r="A20" s="8"/>
      <c r="B20" s="33" t="s">
        <v>192</v>
      </c>
      <c r="C20" s="34"/>
      <c r="D20" s="34"/>
      <c r="E20" s="7"/>
      <c r="F20" s="32"/>
      <c r="G20" s="26" t="str">
        <f t="shared" si="0"/>
        <v/>
      </c>
      <c r="H20" s="27" t="str">
        <f t="shared" si="1"/>
        <v>ممتاز</v>
      </c>
      <c r="I20" s="37"/>
      <c r="J20" s="38"/>
    </row>
    <row r="21" spans="1:10" ht="39.9" customHeight="1" x14ac:dyDescent="0.3">
      <c r="A21" s="8"/>
      <c r="B21" s="35" t="s">
        <v>193</v>
      </c>
      <c r="C21" s="36"/>
      <c r="D21" s="36"/>
      <c r="E21" s="7">
        <v>5</v>
      </c>
      <c r="F21" s="32">
        <v>3.5</v>
      </c>
      <c r="G21" s="26">
        <f t="shared" si="0"/>
        <v>0.7</v>
      </c>
      <c r="H21" s="27" t="str">
        <f t="shared" si="1"/>
        <v>جيد</v>
      </c>
      <c r="I21" s="37"/>
      <c r="J21" s="38"/>
    </row>
    <row r="22" spans="1:10" ht="39.9" customHeight="1" x14ac:dyDescent="0.3">
      <c r="A22" s="8"/>
      <c r="B22" s="35" t="s">
        <v>194</v>
      </c>
      <c r="C22" s="36"/>
      <c r="D22" s="36"/>
      <c r="E22" s="7">
        <v>5</v>
      </c>
      <c r="F22" s="32">
        <v>4.25</v>
      </c>
      <c r="G22" s="26">
        <f t="shared" si="0"/>
        <v>0.85</v>
      </c>
      <c r="H22" s="27" t="str">
        <f t="shared" si="1"/>
        <v>جيد جداً</v>
      </c>
      <c r="I22" s="37"/>
      <c r="J22" s="38"/>
    </row>
    <row r="23" spans="1:10" ht="39.9" customHeight="1" x14ac:dyDescent="0.3">
      <c r="A23" s="8"/>
      <c r="B23" s="35" t="s">
        <v>195</v>
      </c>
      <c r="C23" s="36"/>
      <c r="D23" s="36"/>
      <c r="E23" s="7">
        <v>5</v>
      </c>
      <c r="F23" s="32">
        <v>3.5</v>
      </c>
      <c r="G23" s="26">
        <f t="shared" si="0"/>
        <v>0.7</v>
      </c>
      <c r="H23" s="27" t="str">
        <f t="shared" si="1"/>
        <v>جيد</v>
      </c>
      <c r="I23" s="37"/>
      <c r="J23" s="38"/>
    </row>
    <row r="24" spans="1:10" ht="39.9" customHeight="1" x14ac:dyDescent="0.3">
      <c r="A24" s="8"/>
      <c r="B24" s="35" t="s">
        <v>196</v>
      </c>
      <c r="C24" s="36"/>
      <c r="D24" s="36"/>
      <c r="E24" s="7">
        <v>5</v>
      </c>
      <c r="F24" s="32">
        <v>3.5</v>
      </c>
      <c r="G24" s="26">
        <f t="shared" si="0"/>
        <v>0.7</v>
      </c>
      <c r="H24" s="27" t="str">
        <f t="shared" si="1"/>
        <v>جيد</v>
      </c>
      <c r="I24" s="37"/>
      <c r="J24" s="38"/>
    </row>
    <row r="25" spans="1:10" ht="39.9" customHeight="1" thickBot="1" x14ac:dyDescent="0.35">
      <c r="A25" s="8"/>
      <c r="B25" s="39" t="s">
        <v>197</v>
      </c>
      <c r="C25" s="40"/>
      <c r="D25" s="40"/>
      <c r="E25" s="29">
        <v>5</v>
      </c>
      <c r="F25" s="32">
        <v>3.75</v>
      </c>
      <c r="G25" s="30">
        <f t="shared" si="0"/>
        <v>0.75</v>
      </c>
      <c r="H25" s="31" t="str">
        <f t="shared" si="1"/>
        <v>جيد</v>
      </c>
      <c r="I25" s="59"/>
      <c r="J25" s="60"/>
    </row>
    <row r="26" spans="1:10" ht="39.9" customHeight="1" x14ac:dyDescent="0.3">
      <c r="A26" s="8"/>
      <c r="B26" s="43" t="s">
        <v>198</v>
      </c>
      <c r="C26" s="44"/>
      <c r="D26" s="44"/>
      <c r="E26" s="44"/>
      <c r="F26" s="44"/>
      <c r="G26" s="44"/>
      <c r="H26" s="44"/>
      <c r="I26" s="44"/>
      <c r="J26" s="45"/>
    </row>
    <row r="27" spans="1:10" ht="39.9" customHeight="1" x14ac:dyDescent="0.3">
      <c r="A27" s="8"/>
      <c r="B27" s="33" t="s">
        <v>199</v>
      </c>
      <c r="C27" s="34"/>
      <c r="D27" s="34"/>
      <c r="E27" s="7"/>
      <c r="F27" s="24"/>
      <c r="G27" s="26"/>
      <c r="H27" s="27"/>
      <c r="I27" s="37"/>
      <c r="J27" s="38"/>
    </row>
    <row r="28" spans="1:10" ht="39.9" customHeight="1" x14ac:dyDescent="0.3">
      <c r="A28" s="8"/>
      <c r="B28" s="35" t="s">
        <v>200</v>
      </c>
      <c r="C28" s="36"/>
      <c r="D28" s="36"/>
      <c r="E28" s="7">
        <v>5</v>
      </c>
      <c r="F28" s="24">
        <v>3.75</v>
      </c>
      <c r="G28" s="26">
        <f t="shared" si="0"/>
        <v>0.75</v>
      </c>
      <c r="H28" s="27" t="str">
        <f t="shared" si="1"/>
        <v>جيد</v>
      </c>
      <c r="I28" s="37"/>
      <c r="J28" s="38"/>
    </row>
    <row r="29" spans="1:10" ht="39.9" customHeight="1" x14ac:dyDescent="0.3">
      <c r="A29" s="8"/>
      <c r="B29" s="35" t="s">
        <v>201</v>
      </c>
      <c r="C29" s="36"/>
      <c r="D29" s="36"/>
      <c r="E29" s="7">
        <v>5</v>
      </c>
      <c r="F29" s="32">
        <v>3.75</v>
      </c>
      <c r="G29" s="26">
        <f t="shared" si="0"/>
        <v>0.75</v>
      </c>
      <c r="H29" s="27" t="str">
        <f t="shared" si="1"/>
        <v>جيد</v>
      </c>
      <c r="I29" s="37"/>
      <c r="J29" s="38"/>
    </row>
    <row r="30" spans="1:10" ht="39.9" customHeight="1" x14ac:dyDescent="0.3">
      <c r="A30" s="8"/>
      <c r="B30" s="35" t="s">
        <v>202</v>
      </c>
      <c r="C30" s="36"/>
      <c r="D30" s="36"/>
      <c r="E30" s="7">
        <v>5</v>
      </c>
      <c r="F30" s="32">
        <v>3.75</v>
      </c>
      <c r="G30" s="26">
        <f t="shared" si="0"/>
        <v>0.75</v>
      </c>
      <c r="H30" s="27" t="str">
        <f t="shared" si="1"/>
        <v>جيد</v>
      </c>
      <c r="I30" s="37"/>
      <c r="J30" s="38"/>
    </row>
    <row r="31" spans="1:10" ht="39.9" customHeight="1" x14ac:dyDescent="0.3">
      <c r="A31" s="8"/>
      <c r="B31" s="35" t="s">
        <v>203</v>
      </c>
      <c r="C31" s="36"/>
      <c r="D31" s="36"/>
      <c r="E31" s="7">
        <v>5</v>
      </c>
      <c r="F31" s="32">
        <v>4.25</v>
      </c>
      <c r="G31" s="26">
        <f t="shared" si="0"/>
        <v>0.85</v>
      </c>
      <c r="H31" s="27" t="str">
        <f t="shared" si="1"/>
        <v>جيد جداً</v>
      </c>
      <c r="I31" s="37"/>
      <c r="J31" s="38"/>
    </row>
    <row r="32" spans="1:10" ht="39.9" customHeight="1" x14ac:dyDescent="0.3">
      <c r="A32" s="8"/>
      <c r="B32" s="33" t="s">
        <v>204</v>
      </c>
      <c r="C32" s="34"/>
      <c r="D32" s="34"/>
      <c r="E32" s="7">
        <v>5</v>
      </c>
      <c r="F32" s="32">
        <v>3.75</v>
      </c>
      <c r="G32" s="26">
        <f t="shared" si="0"/>
        <v>0.75</v>
      </c>
      <c r="H32" s="27" t="str">
        <f t="shared" si="1"/>
        <v>جيد</v>
      </c>
      <c r="I32" s="37"/>
      <c r="J32" s="38"/>
    </row>
    <row r="33" spans="1:10" ht="39.9" customHeight="1" x14ac:dyDescent="0.3">
      <c r="A33" s="8"/>
      <c r="B33" s="33" t="s">
        <v>205</v>
      </c>
      <c r="C33" s="34"/>
      <c r="D33" s="34"/>
      <c r="E33" s="7">
        <v>5</v>
      </c>
      <c r="F33" s="32">
        <v>3.75</v>
      </c>
      <c r="G33" s="26">
        <f t="shared" si="0"/>
        <v>0.75</v>
      </c>
      <c r="H33" s="27" t="str">
        <f t="shared" si="1"/>
        <v>جيد</v>
      </c>
      <c r="I33" s="37"/>
      <c r="J33" s="38"/>
    </row>
    <row r="34" spans="1:10" ht="39.9" customHeight="1" x14ac:dyDescent="0.3">
      <c r="A34" s="8"/>
      <c r="B34" s="33" t="s">
        <v>206</v>
      </c>
      <c r="C34" s="34"/>
      <c r="D34" s="34"/>
      <c r="E34" s="7">
        <v>5</v>
      </c>
      <c r="F34" s="32">
        <v>3.75</v>
      </c>
      <c r="G34" s="26">
        <f t="shared" si="0"/>
        <v>0.75</v>
      </c>
      <c r="H34" s="27" t="str">
        <f t="shared" si="1"/>
        <v>جيد</v>
      </c>
      <c r="I34" s="37"/>
      <c r="J34" s="38"/>
    </row>
    <row r="35" spans="1:10" ht="39.9" customHeight="1" x14ac:dyDescent="0.3">
      <c r="A35" s="8"/>
      <c r="B35" s="33" t="s">
        <v>207</v>
      </c>
      <c r="C35" s="34"/>
      <c r="D35" s="34"/>
      <c r="E35" s="7">
        <v>5</v>
      </c>
      <c r="F35" s="32">
        <v>3.75</v>
      </c>
      <c r="G35" s="26">
        <f t="shared" si="0"/>
        <v>0.75</v>
      </c>
      <c r="H35" s="27" t="str">
        <f t="shared" si="1"/>
        <v>جيد</v>
      </c>
      <c r="I35" s="37"/>
      <c r="J35" s="38"/>
    </row>
    <row r="36" spans="1:10" ht="39.9" customHeight="1" x14ac:dyDescent="0.3">
      <c r="A36" s="8"/>
      <c r="B36" s="33" t="s">
        <v>208</v>
      </c>
      <c r="C36" s="34"/>
      <c r="D36" s="34"/>
      <c r="E36" s="7">
        <v>5</v>
      </c>
      <c r="F36" s="32">
        <v>4.5</v>
      </c>
      <c r="G36" s="26">
        <f t="shared" si="0"/>
        <v>0.9</v>
      </c>
      <c r="H36" s="27" t="str">
        <f t="shared" si="1"/>
        <v>ممتاز</v>
      </c>
      <c r="I36" s="37"/>
      <c r="J36" s="38"/>
    </row>
    <row r="37" spans="1:10" ht="39.9" customHeight="1" x14ac:dyDescent="0.3">
      <c r="A37" s="8"/>
      <c r="B37" s="33" t="s">
        <v>209</v>
      </c>
      <c r="C37" s="34"/>
      <c r="D37" s="34"/>
      <c r="E37" s="7">
        <v>5</v>
      </c>
      <c r="F37" s="32">
        <v>4</v>
      </c>
      <c r="G37" s="26">
        <f t="shared" si="0"/>
        <v>0.8</v>
      </c>
      <c r="H37" s="27" t="str">
        <f t="shared" si="1"/>
        <v>جيد جداً</v>
      </c>
      <c r="I37" s="37"/>
      <c r="J37" s="38"/>
    </row>
    <row r="38" spans="1:10" ht="39.9" customHeight="1" thickBot="1" x14ac:dyDescent="0.35">
      <c r="A38" s="8"/>
      <c r="B38" s="78" t="s">
        <v>210</v>
      </c>
      <c r="C38" s="79"/>
      <c r="D38" s="79"/>
      <c r="E38" s="29">
        <v>5</v>
      </c>
      <c r="F38" s="32">
        <v>3.75</v>
      </c>
      <c r="G38" s="30">
        <f t="shared" si="0"/>
        <v>0.75</v>
      </c>
      <c r="H38" s="31" t="str">
        <f t="shared" si="1"/>
        <v>جيد</v>
      </c>
      <c r="I38" s="59"/>
      <c r="J38" s="60"/>
    </row>
    <row r="39" spans="1:10" ht="39.9" customHeight="1" x14ac:dyDescent="0.3">
      <c r="A39" s="8"/>
      <c r="B39" s="43" t="s">
        <v>211</v>
      </c>
      <c r="C39" s="44"/>
      <c r="D39" s="44"/>
      <c r="E39" s="44"/>
      <c r="F39" s="44"/>
      <c r="G39" s="44"/>
      <c r="H39" s="44"/>
      <c r="I39" s="44"/>
      <c r="J39" s="45"/>
    </row>
    <row r="40" spans="1:10" ht="60" customHeight="1" x14ac:dyDescent="0.3">
      <c r="A40" s="8"/>
      <c r="B40" s="33" t="s">
        <v>212</v>
      </c>
      <c r="C40" s="34"/>
      <c r="D40" s="34"/>
      <c r="E40" s="7">
        <v>5</v>
      </c>
      <c r="F40" s="24">
        <v>4.25</v>
      </c>
      <c r="G40" s="26">
        <f t="shared" si="0"/>
        <v>0.85</v>
      </c>
      <c r="H40" s="27" t="str">
        <f t="shared" si="1"/>
        <v>جيد جداً</v>
      </c>
      <c r="I40" s="37"/>
      <c r="J40" s="38"/>
    </row>
    <row r="41" spans="1:10" ht="53.25" customHeight="1" x14ac:dyDescent="0.3">
      <c r="A41" s="8"/>
      <c r="B41" s="33" t="s">
        <v>213</v>
      </c>
      <c r="C41" s="34"/>
      <c r="D41" s="34"/>
      <c r="E41" s="7">
        <v>5</v>
      </c>
      <c r="F41" s="32">
        <v>4</v>
      </c>
      <c r="G41" s="26">
        <f t="shared" si="0"/>
        <v>0.8</v>
      </c>
      <c r="H41" s="27" t="str">
        <f t="shared" si="1"/>
        <v>جيد جداً</v>
      </c>
      <c r="I41" s="37"/>
      <c r="J41" s="38"/>
    </row>
    <row r="42" spans="1:10" ht="39.9" customHeight="1" x14ac:dyDescent="0.3">
      <c r="A42" s="8"/>
      <c r="B42" s="33" t="s">
        <v>214</v>
      </c>
      <c r="C42" s="34"/>
      <c r="D42" s="34"/>
      <c r="E42" s="7">
        <v>5</v>
      </c>
      <c r="F42" s="32">
        <v>3.75</v>
      </c>
      <c r="G42" s="26">
        <f t="shared" si="0"/>
        <v>0.75</v>
      </c>
      <c r="H42" s="27" t="str">
        <f t="shared" si="1"/>
        <v>جيد</v>
      </c>
      <c r="I42" s="37"/>
      <c r="J42" s="38"/>
    </row>
    <row r="43" spans="1:10" ht="39.9" customHeight="1" x14ac:dyDescent="0.3">
      <c r="A43" s="8"/>
      <c r="B43" s="33" t="s">
        <v>215</v>
      </c>
      <c r="C43" s="34"/>
      <c r="D43" s="34"/>
      <c r="E43" s="7">
        <v>5</v>
      </c>
      <c r="F43" s="32">
        <v>3.75</v>
      </c>
      <c r="G43" s="26">
        <f t="shared" si="0"/>
        <v>0.75</v>
      </c>
      <c r="H43" s="27" t="str">
        <f t="shared" si="1"/>
        <v>جيد</v>
      </c>
      <c r="I43" s="37"/>
      <c r="J43" s="38"/>
    </row>
    <row r="44" spans="1:10" ht="53.25" customHeight="1" x14ac:dyDescent="0.3">
      <c r="A44" s="8"/>
      <c r="B44" s="33" t="s">
        <v>216</v>
      </c>
      <c r="C44" s="34"/>
      <c r="D44" s="34"/>
      <c r="E44" s="7">
        <v>5</v>
      </c>
      <c r="F44" s="32">
        <v>3.75</v>
      </c>
      <c r="G44" s="26">
        <f t="shared" si="0"/>
        <v>0.75</v>
      </c>
      <c r="H44" s="27" t="str">
        <f t="shared" si="1"/>
        <v>جيد</v>
      </c>
      <c r="I44" s="37"/>
      <c r="J44" s="38"/>
    </row>
    <row r="45" spans="1:10" ht="39.9" customHeight="1" thickBot="1" x14ac:dyDescent="0.35">
      <c r="A45" s="8"/>
      <c r="B45" s="78" t="s">
        <v>217</v>
      </c>
      <c r="C45" s="79"/>
      <c r="D45" s="79"/>
      <c r="E45" s="29">
        <v>5</v>
      </c>
      <c r="F45" s="32">
        <v>4</v>
      </c>
      <c r="G45" s="30">
        <f t="shared" si="0"/>
        <v>0.8</v>
      </c>
      <c r="H45" s="31" t="str">
        <f t="shared" si="1"/>
        <v>جيد جداً</v>
      </c>
      <c r="I45" s="59"/>
      <c r="J45" s="60"/>
    </row>
    <row r="46" spans="1:10" ht="30" customHeight="1" thickBot="1" x14ac:dyDescent="0.35">
      <c r="A46" s="4"/>
      <c r="B46" s="74" t="s">
        <v>5</v>
      </c>
      <c r="C46" s="75"/>
      <c r="D46" s="75"/>
      <c r="E46" s="28">
        <f>SUM(E8:E45)</f>
        <v>160</v>
      </c>
      <c r="F46" s="28">
        <f>SUM(F8:F45)</f>
        <v>120.5</v>
      </c>
      <c r="G46" s="71"/>
      <c r="H46" s="72"/>
      <c r="I46" s="72"/>
      <c r="J46" s="73"/>
    </row>
    <row r="47" spans="1:10" ht="30" customHeight="1" thickBot="1" x14ac:dyDescent="0.35">
      <c r="A47" s="4"/>
      <c r="B47" s="76" t="s">
        <v>54</v>
      </c>
      <c r="C47" s="77"/>
      <c r="D47" s="77"/>
      <c r="E47" s="67">
        <f>F46/E46/100*100</f>
        <v>0.75312500000000004</v>
      </c>
      <c r="F47" s="67"/>
      <c r="G47" s="67"/>
      <c r="H47" s="67"/>
      <c r="I47" s="67"/>
      <c r="J47" s="68"/>
    </row>
    <row r="48" spans="1:10" ht="30" customHeight="1" thickBot="1" x14ac:dyDescent="0.35">
      <c r="A48" s="4"/>
      <c r="B48" s="76" t="s">
        <v>55</v>
      </c>
      <c r="C48" s="77"/>
      <c r="D48" s="77"/>
      <c r="E48" s="65" t="str">
        <f>_xlfn.IFS(E47&gt;=90%,"ممتاز",E47&gt;=80%,"جيد جداً",E47&gt;=70%,"جيد",E47&gt;=60%,"مقبول",E47&lt;60%,"راسب")</f>
        <v>جيد</v>
      </c>
      <c r="F48" s="65"/>
      <c r="G48" s="65"/>
      <c r="H48" s="65"/>
      <c r="I48" s="65"/>
      <c r="J48" s="66"/>
    </row>
    <row r="49" spans="1:10" ht="42" customHeight="1" x14ac:dyDescent="0.3">
      <c r="B49" s="61" t="s">
        <v>174</v>
      </c>
      <c r="C49" s="61"/>
      <c r="D49" s="61"/>
      <c r="E49" s="69" t="s">
        <v>52</v>
      </c>
      <c r="F49" s="69"/>
      <c r="G49" s="63" t="s">
        <v>114</v>
      </c>
      <c r="H49" s="63"/>
      <c r="I49" s="63"/>
      <c r="J49" s="63"/>
    </row>
    <row r="50" spans="1:10" ht="51" customHeight="1" x14ac:dyDescent="0.3">
      <c r="A50" s="5"/>
      <c r="B50" s="62"/>
      <c r="C50" s="62"/>
      <c r="D50" s="62"/>
      <c r="E50" s="70" t="s">
        <v>53</v>
      </c>
      <c r="F50" s="70"/>
      <c r="G50" s="64"/>
      <c r="H50" s="64"/>
      <c r="I50" s="64"/>
      <c r="J50" s="64"/>
    </row>
  </sheetData>
  <sheetProtection formatCells="0" formatColumns="0" formatRows="0" insertColumns="0" insertRows="0" insertHyperlinks="0" deleteColumns="0" deleteRows="0" selectLockedCells="1" sort="0" autoFilter="0" pivotTables="0"/>
  <mergeCells count="96">
    <mergeCell ref="B38:D38"/>
    <mergeCell ref="B27:D27"/>
    <mergeCell ref="B28:D28"/>
    <mergeCell ref="B29:D29"/>
    <mergeCell ref="I38:J38"/>
    <mergeCell ref="B30:D30"/>
    <mergeCell ref="B31:D31"/>
    <mergeCell ref="B32:D32"/>
    <mergeCell ref="B33:D33"/>
    <mergeCell ref="B34:D34"/>
    <mergeCell ref="B44:D44"/>
    <mergeCell ref="B48:D48"/>
    <mergeCell ref="B45:D45"/>
    <mergeCell ref="B39:J39"/>
    <mergeCell ref="B40:D40"/>
    <mergeCell ref="B41:D41"/>
    <mergeCell ref="B42:D42"/>
    <mergeCell ref="B43:D43"/>
    <mergeCell ref="I11:J11"/>
    <mergeCell ref="I12:J12"/>
    <mergeCell ref="I13:J13"/>
    <mergeCell ref="I14:J14"/>
    <mergeCell ref="I15:J15"/>
    <mergeCell ref="B49:D50"/>
    <mergeCell ref="G49:J49"/>
    <mergeCell ref="G50:J50"/>
    <mergeCell ref="E48:J48"/>
    <mergeCell ref="I40:J40"/>
    <mergeCell ref="I41:J41"/>
    <mergeCell ref="I42:J42"/>
    <mergeCell ref="I43:J43"/>
    <mergeCell ref="I44:J44"/>
    <mergeCell ref="E47:J47"/>
    <mergeCell ref="I45:J45"/>
    <mergeCell ref="E49:F49"/>
    <mergeCell ref="E50:F50"/>
    <mergeCell ref="G46:J46"/>
    <mergeCell ref="B46:D46"/>
    <mergeCell ref="B47:D47"/>
    <mergeCell ref="I22:J22"/>
    <mergeCell ref="I23:J23"/>
    <mergeCell ref="I24:J24"/>
    <mergeCell ref="I25:J25"/>
    <mergeCell ref="I37:J37"/>
    <mergeCell ref="I36:J36"/>
    <mergeCell ref="I31:J31"/>
    <mergeCell ref="I32:J32"/>
    <mergeCell ref="I33:J33"/>
    <mergeCell ref="I34:J34"/>
    <mergeCell ref="I35:J35"/>
    <mergeCell ref="B26:J26"/>
    <mergeCell ref="B35:D35"/>
    <mergeCell ref="B36:D36"/>
    <mergeCell ref="B37:D37"/>
    <mergeCell ref="B1:J1"/>
    <mergeCell ref="F2:J2"/>
    <mergeCell ref="B5:D6"/>
    <mergeCell ref="C2:D2"/>
    <mergeCell ref="C3:D3"/>
    <mergeCell ref="F3:J3"/>
    <mergeCell ref="E5:H5"/>
    <mergeCell ref="I5:J6"/>
    <mergeCell ref="C4:D4"/>
    <mergeCell ref="F4:J4"/>
    <mergeCell ref="I7:J7"/>
    <mergeCell ref="I10:J10"/>
    <mergeCell ref="I19:J19"/>
    <mergeCell ref="I20:J20"/>
    <mergeCell ref="B8:J8"/>
    <mergeCell ref="I9:J9"/>
    <mergeCell ref="B7:D7"/>
    <mergeCell ref="B9:D9"/>
    <mergeCell ref="B16:D16"/>
    <mergeCell ref="B17:D17"/>
    <mergeCell ref="B18:D18"/>
    <mergeCell ref="B19:D19"/>
    <mergeCell ref="B20:D20"/>
    <mergeCell ref="B15:D15"/>
    <mergeCell ref="B10:D10"/>
    <mergeCell ref="I16:J16"/>
    <mergeCell ref="B11:D11"/>
    <mergeCell ref="B12:D12"/>
    <mergeCell ref="B13:D13"/>
    <mergeCell ref="B14:D14"/>
    <mergeCell ref="I30:J30"/>
    <mergeCell ref="B22:D22"/>
    <mergeCell ref="B23:D23"/>
    <mergeCell ref="B24:D24"/>
    <mergeCell ref="B25:D25"/>
    <mergeCell ref="I21:J21"/>
    <mergeCell ref="B21:D21"/>
    <mergeCell ref="I17:J17"/>
    <mergeCell ref="I18:J18"/>
    <mergeCell ref="I28:J28"/>
    <mergeCell ref="I29:J29"/>
    <mergeCell ref="I27:J27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8">
    <cfRule type="expression" dxfId="21" priority="57">
      <formula>$E48="راسب"</formula>
    </cfRule>
  </conditionalFormatting>
  <conditionalFormatting sqref="E48:J48">
    <cfRule type="expression" dxfId="20" priority="60">
      <formula>$E48="جيد جداً"</formula>
    </cfRule>
    <cfRule type="expression" dxfId="19" priority="59">
      <formula>$E48="جيد"</formula>
    </cfRule>
    <cfRule type="expression" dxfId="18" priority="58">
      <formula>$E48="مقبول"</formula>
    </cfRule>
    <cfRule type="expression" dxfId="17" priority="61">
      <formula>$E48="ممتاز"</formula>
    </cfRule>
  </conditionalFormatting>
  <conditionalFormatting sqref="F9:F25">
    <cfRule type="containsText" dxfId="16" priority="4" operator="containsText" text="أدخل العلامة">
      <formula>NOT(ISERROR(SEARCH("أدخل العلامة",F9)))</formula>
    </cfRule>
  </conditionalFormatting>
  <conditionalFormatting sqref="F27:F38 F40:F45">
    <cfRule type="containsText" dxfId="15" priority="14" operator="containsText" text="أدخل العلامة">
      <formula>NOT(ISERROR(SEARCH("أدخل العلامة",F27)))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49:J49">
    <cfRule type="containsText" dxfId="12" priority="15" operator="containsText" text="أدخل اسم المحكم">
      <formula>NOT(ISERROR(SEARCH("أدخل اسم المحكم",G49)))</formula>
    </cfRule>
  </conditionalFormatting>
  <conditionalFormatting sqref="H9:H25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27:H38 H40:H45">
    <cfRule type="containsText" dxfId="5" priority="38" operator="containsText" text="أدخل العلامة">
      <formula>NOT(ISERROR(SEARCH("أدخل العلامة",H27)))</formula>
    </cfRule>
    <cfRule type="containsText" dxfId="4" priority="39" operator="containsText" text="ممتاز">
      <formula>NOT(ISERROR(SEARCH("ممتاز",H27)))</formula>
    </cfRule>
    <cfRule type="containsText" dxfId="3" priority="40" operator="containsText" text="جيد جداً">
      <formula>NOT(ISERROR(SEARCH("جيد جداً",H27)))</formula>
    </cfRule>
    <cfRule type="containsText" dxfId="2" priority="41" operator="containsText" text="جيد">
      <formula>NOT(ISERROR(SEARCH("جيد",H27)))</formula>
    </cfRule>
    <cfRule type="containsText" dxfId="1" priority="42" operator="containsText" text="مقبول">
      <formula>NOT(ISERROR(SEARCH("مقبول",H27)))</formula>
    </cfRule>
    <cfRule type="containsText" dxfId="0" priority="43" operator="containsText" text="راسب">
      <formula>NOT(ISERROR(SEARCH("راسب",H27)))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F40:F45 F28:F38 F13:F25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G49:J49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7" t="s">
        <v>62</v>
      </c>
    </row>
    <row r="3" spans="1:3" ht="20.100000000000001" customHeight="1" thickBot="1" x14ac:dyDescent="0.35">
      <c r="A3" s="2" t="s">
        <v>26</v>
      </c>
      <c r="C3" s="17" t="s">
        <v>63</v>
      </c>
    </row>
    <row r="4" spans="1:3" ht="20.100000000000001" customHeight="1" thickBot="1" x14ac:dyDescent="0.35">
      <c r="A4" s="2" t="s">
        <v>36</v>
      </c>
      <c r="C4" s="17" t="s">
        <v>64</v>
      </c>
    </row>
    <row r="5" spans="1:3" ht="20.100000000000001" customHeight="1" thickBot="1" x14ac:dyDescent="0.35">
      <c r="A5" s="2" t="s">
        <v>37</v>
      </c>
      <c r="C5" s="17" t="s">
        <v>65</v>
      </c>
    </row>
    <row r="6" spans="1:3" ht="20.100000000000001" customHeight="1" thickBot="1" x14ac:dyDescent="0.35">
      <c r="A6" s="2" t="s">
        <v>38</v>
      </c>
      <c r="C6" s="17" t="s">
        <v>66</v>
      </c>
    </row>
    <row r="7" spans="1:3" ht="20.100000000000001" customHeight="1" thickBot="1" x14ac:dyDescent="0.35">
      <c r="A7" s="2" t="s">
        <v>39</v>
      </c>
      <c r="C7" s="17" t="s">
        <v>67</v>
      </c>
    </row>
    <row r="8" spans="1:3" ht="20.100000000000001" customHeight="1" thickBot="1" x14ac:dyDescent="0.35">
      <c r="A8" s="2" t="s">
        <v>40</v>
      </c>
      <c r="C8" s="17" t="s">
        <v>68</v>
      </c>
    </row>
    <row r="9" spans="1:3" ht="20.100000000000001" customHeight="1" thickBot="1" x14ac:dyDescent="0.35">
      <c r="A9" s="2" t="s">
        <v>41</v>
      </c>
      <c r="C9" s="17" t="s">
        <v>69</v>
      </c>
    </row>
    <row r="10" spans="1:3" ht="20.100000000000001" customHeight="1" thickBot="1" x14ac:dyDescent="0.35">
      <c r="A10" s="2" t="s">
        <v>42</v>
      </c>
      <c r="C10" s="17" t="s">
        <v>70</v>
      </c>
    </row>
    <row r="11" spans="1:3" ht="20.100000000000001" customHeight="1" thickBot="1" x14ac:dyDescent="0.35">
      <c r="A11" s="2" t="s">
        <v>43</v>
      </c>
      <c r="C11" s="17" t="s">
        <v>71</v>
      </c>
    </row>
    <row r="12" spans="1:3" ht="20.100000000000001" customHeight="1" thickBot="1" x14ac:dyDescent="0.35">
      <c r="A12" s="2" t="s">
        <v>44</v>
      </c>
      <c r="C12" s="17" t="s">
        <v>72</v>
      </c>
    </row>
    <row r="13" spans="1:3" ht="20.100000000000001" customHeight="1" thickBot="1" x14ac:dyDescent="0.35">
      <c r="A13" s="2" t="s">
        <v>45</v>
      </c>
      <c r="C13" s="17" t="s">
        <v>73</v>
      </c>
    </row>
    <row r="14" spans="1:3" ht="20.100000000000001" customHeight="1" thickBot="1" x14ac:dyDescent="0.35">
      <c r="A14" s="2" t="s">
        <v>46</v>
      </c>
      <c r="C14" s="17" t="s">
        <v>74</v>
      </c>
    </row>
    <row r="15" spans="1:3" ht="20.100000000000001" customHeight="1" thickBot="1" x14ac:dyDescent="0.35">
      <c r="A15" s="2" t="s">
        <v>47</v>
      </c>
      <c r="C15" s="17" t="s">
        <v>75</v>
      </c>
    </row>
    <row r="16" spans="1:3" ht="20.100000000000001" customHeight="1" thickBot="1" x14ac:dyDescent="0.35">
      <c r="A16" s="2" t="s">
        <v>10</v>
      </c>
      <c r="C16" s="17" t="s">
        <v>76</v>
      </c>
    </row>
    <row r="17" spans="1:3" ht="20.100000000000001" customHeight="1" thickBot="1" x14ac:dyDescent="0.35">
      <c r="A17" s="2" t="s">
        <v>27</v>
      </c>
      <c r="C17" s="17" t="s">
        <v>77</v>
      </c>
    </row>
    <row r="18" spans="1:3" ht="20.100000000000001" customHeight="1" thickBot="1" x14ac:dyDescent="0.35">
      <c r="A18" s="2" t="s">
        <v>48</v>
      </c>
      <c r="C18" s="17" t="s">
        <v>78</v>
      </c>
    </row>
    <row r="19" spans="1:3" ht="20.100000000000001" customHeight="1" thickBot="1" x14ac:dyDescent="0.35">
      <c r="A19" s="2" t="s">
        <v>49</v>
      </c>
      <c r="C19" s="17" t="s">
        <v>79</v>
      </c>
    </row>
    <row r="20" spans="1:3" ht="20.100000000000001" customHeight="1" thickBot="1" x14ac:dyDescent="0.35">
      <c r="A20" s="2" t="s">
        <v>50</v>
      </c>
      <c r="C20" s="17" t="s">
        <v>80</v>
      </c>
    </row>
    <row r="21" spans="1:3" ht="20.100000000000001" customHeight="1" thickBot="1" x14ac:dyDescent="0.35">
      <c r="A21" s="2" t="s">
        <v>51</v>
      </c>
      <c r="C21" s="17" t="s">
        <v>81</v>
      </c>
    </row>
    <row r="22" spans="1:3" ht="20.100000000000001" customHeight="1" thickBot="1" x14ac:dyDescent="0.35">
      <c r="A22" s="2" t="s">
        <v>11</v>
      </c>
      <c r="C22" s="17" t="s">
        <v>82</v>
      </c>
    </row>
    <row r="23" spans="1:3" ht="20.100000000000001" customHeight="1" thickBot="1" x14ac:dyDescent="0.35">
      <c r="A23" s="2" t="s">
        <v>12</v>
      </c>
      <c r="C23" s="17" t="s">
        <v>83</v>
      </c>
    </row>
    <row r="24" spans="1:3" ht="20.100000000000001" customHeight="1" thickBot="1" x14ac:dyDescent="0.35">
      <c r="A24" s="2" t="s">
        <v>15</v>
      </c>
      <c r="C24" s="17" t="s">
        <v>84</v>
      </c>
    </row>
    <row r="25" spans="1:3" ht="20.100000000000001" customHeight="1" thickBot="1" x14ac:dyDescent="0.35">
      <c r="A25" s="2" t="s">
        <v>28</v>
      </c>
      <c r="C25" s="17" t="s">
        <v>85</v>
      </c>
    </row>
    <row r="26" spans="1:3" ht="20.100000000000001" customHeight="1" thickBot="1" x14ac:dyDescent="0.35">
      <c r="A26" s="2" t="s">
        <v>29</v>
      </c>
      <c r="C26" s="17" t="s">
        <v>86</v>
      </c>
    </row>
    <row r="27" spans="1:3" ht="20.100000000000001" customHeight="1" thickBot="1" x14ac:dyDescent="0.35">
      <c r="A27" s="2" t="s">
        <v>13</v>
      </c>
      <c r="C27" s="17" t="s">
        <v>87</v>
      </c>
    </row>
    <row r="28" spans="1:3" ht="20.100000000000001" customHeight="1" thickBot="1" x14ac:dyDescent="0.35">
      <c r="A28" s="2" t="s">
        <v>30</v>
      </c>
      <c r="C28" s="17" t="s">
        <v>88</v>
      </c>
    </row>
    <row r="29" spans="1:3" ht="20.100000000000001" customHeight="1" thickBot="1" x14ac:dyDescent="0.35">
      <c r="A29" s="2" t="s">
        <v>31</v>
      </c>
      <c r="C29" s="17" t="s">
        <v>177</v>
      </c>
    </row>
    <row r="30" spans="1:3" ht="20.100000000000001" customHeight="1" thickBot="1" x14ac:dyDescent="0.35">
      <c r="A30" s="2" t="s">
        <v>32</v>
      </c>
      <c r="C30" s="17" t="s">
        <v>178</v>
      </c>
    </row>
    <row r="31" spans="1:3" ht="20.100000000000001" customHeight="1" thickBot="1" x14ac:dyDescent="0.35">
      <c r="A31" s="2" t="s">
        <v>33</v>
      </c>
      <c r="C31" s="17" t="s">
        <v>179</v>
      </c>
    </row>
    <row r="32" spans="1:3" ht="20.100000000000001" customHeight="1" thickBot="1" x14ac:dyDescent="0.35">
      <c r="A32" s="2" t="s">
        <v>16</v>
      </c>
      <c r="C32" s="17"/>
    </row>
    <row r="33" spans="1:9" ht="20.100000000000001" customHeight="1" thickBot="1" x14ac:dyDescent="0.35">
      <c r="A33" s="2" t="s">
        <v>14</v>
      </c>
      <c r="C33" s="17"/>
    </row>
    <row r="34" spans="1:9" ht="20.100000000000001" customHeight="1" thickBot="1" x14ac:dyDescent="0.35">
      <c r="A34" s="2" t="s">
        <v>34</v>
      </c>
      <c r="C34" s="17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45901</v>
      </c>
    </row>
    <row r="40" spans="1:9" ht="20.100000000000001" customHeight="1" thickBot="1" x14ac:dyDescent="0.35">
      <c r="A40" s="11">
        <v>45902</v>
      </c>
    </row>
    <row r="41" spans="1:9" ht="20.100000000000001" customHeight="1" thickBot="1" x14ac:dyDescent="0.35">
      <c r="A41" s="11">
        <v>45903</v>
      </c>
    </row>
    <row r="42" spans="1:9" ht="20.100000000000001" customHeight="1" thickBot="1" x14ac:dyDescent="0.35">
      <c r="A42" s="11">
        <v>45904</v>
      </c>
    </row>
    <row r="43" spans="1:9" ht="20.100000000000001" customHeight="1" thickBot="1" x14ac:dyDescent="0.35">
      <c r="A43" s="11">
        <v>45905</v>
      </c>
    </row>
    <row r="44" spans="1:9" ht="20.100000000000001" customHeight="1" thickBot="1" x14ac:dyDescent="0.35">
      <c r="A44" s="11">
        <v>45906</v>
      </c>
    </row>
    <row r="45" spans="1:9" ht="20.100000000000001" customHeight="1" thickBot="1" x14ac:dyDescent="0.35">
      <c r="A45" s="11">
        <v>45907</v>
      </c>
    </row>
    <row r="46" spans="1:9" ht="20.100000000000001" customHeight="1" thickBot="1" x14ac:dyDescent="0.35">
      <c r="A46" s="11">
        <v>45908</v>
      </c>
    </row>
    <row r="47" spans="1:9" ht="20.100000000000001" customHeight="1" thickBot="1" x14ac:dyDescent="0.35">
      <c r="A47" s="11">
        <v>45909</v>
      </c>
    </row>
    <row r="48" spans="1:9" ht="20.100000000000001" customHeight="1" thickBot="1" x14ac:dyDescent="0.35">
      <c r="A48" s="11">
        <v>45910</v>
      </c>
    </row>
    <row r="49" spans="1:1" ht="20.100000000000001" customHeight="1" thickBot="1" x14ac:dyDescent="0.35">
      <c r="A49" s="11">
        <v>45911</v>
      </c>
    </row>
    <row r="50" spans="1:1" ht="20.100000000000001" customHeight="1" thickBot="1" x14ac:dyDescent="0.35">
      <c r="A50" s="11">
        <v>45912</v>
      </c>
    </row>
    <row r="51" spans="1:1" ht="20.100000000000001" customHeight="1" thickBot="1" x14ac:dyDescent="0.35">
      <c r="A51" s="11">
        <v>45913</v>
      </c>
    </row>
    <row r="52" spans="1:1" ht="20.100000000000001" customHeight="1" thickBot="1" x14ac:dyDescent="0.35">
      <c r="A52" s="11">
        <v>45914</v>
      </c>
    </row>
    <row r="53" spans="1:1" ht="20.100000000000001" customHeight="1" thickBot="1" x14ac:dyDescent="0.35">
      <c r="A53" s="11">
        <v>45915</v>
      </c>
    </row>
    <row r="54" spans="1:1" ht="20.100000000000001" customHeight="1" thickBot="1" x14ac:dyDescent="0.35">
      <c r="A54" s="11">
        <v>45916</v>
      </c>
    </row>
    <row r="55" spans="1:1" ht="20.100000000000001" customHeight="1" thickBot="1" x14ac:dyDescent="0.35">
      <c r="A55" s="11">
        <v>45917</v>
      </c>
    </row>
    <row r="56" spans="1:1" ht="20.100000000000001" customHeight="1" thickBot="1" x14ac:dyDescent="0.35">
      <c r="A56" s="11">
        <v>45918</v>
      </c>
    </row>
    <row r="57" spans="1:1" ht="20.100000000000001" customHeight="1" thickBot="1" x14ac:dyDescent="0.35">
      <c r="A57" s="11">
        <v>45919</v>
      </c>
    </row>
    <row r="58" spans="1:1" ht="20.100000000000001" customHeight="1" thickBot="1" x14ac:dyDescent="0.35">
      <c r="A58" s="11">
        <v>45920</v>
      </c>
    </row>
    <row r="59" spans="1:1" ht="20.100000000000001" customHeight="1" thickBot="1" x14ac:dyDescent="0.35">
      <c r="A59" s="11">
        <v>45921</v>
      </c>
    </row>
    <row r="60" spans="1:1" ht="20.100000000000001" customHeight="1" thickBot="1" x14ac:dyDescent="0.35">
      <c r="A60" s="11">
        <v>45922</v>
      </c>
    </row>
    <row r="61" spans="1:1" ht="20.100000000000001" customHeight="1" thickBot="1" x14ac:dyDescent="0.35">
      <c r="A61" s="11">
        <v>45923</v>
      </c>
    </row>
    <row r="62" spans="1:1" ht="20.100000000000001" customHeight="1" thickBot="1" x14ac:dyDescent="0.35">
      <c r="A62" s="11">
        <v>45924</v>
      </c>
    </row>
    <row r="63" spans="1:1" ht="20.100000000000001" customHeight="1" thickBot="1" x14ac:dyDescent="0.35">
      <c r="A63" s="11">
        <v>45925</v>
      </c>
    </row>
    <row r="64" spans="1:1" ht="20.100000000000001" customHeight="1" thickBot="1" x14ac:dyDescent="0.35">
      <c r="A64" s="11">
        <v>45926</v>
      </c>
    </row>
    <row r="65" spans="1:1" ht="20.100000000000001" customHeight="1" thickBot="1" x14ac:dyDescent="0.35">
      <c r="A65" s="11">
        <v>45927</v>
      </c>
    </row>
    <row r="66" spans="1:1" ht="20.100000000000001" customHeight="1" thickBot="1" x14ac:dyDescent="0.35">
      <c r="A66" s="11">
        <v>45928</v>
      </c>
    </row>
    <row r="67" spans="1:1" ht="20.100000000000001" customHeight="1" thickBot="1" x14ac:dyDescent="0.35">
      <c r="A67" s="11">
        <v>45929</v>
      </c>
    </row>
    <row r="68" spans="1:1" ht="20.100000000000001" customHeight="1" thickBot="1" x14ac:dyDescent="0.35">
      <c r="A68" s="11">
        <v>45930</v>
      </c>
    </row>
    <row r="69" spans="1:1" ht="20.100000000000001" customHeight="1" thickBot="1" x14ac:dyDescent="0.35">
      <c r="A69" s="11">
        <v>45931</v>
      </c>
    </row>
    <row r="70" spans="1:1" ht="20.100000000000001" customHeight="1" thickBot="1" x14ac:dyDescent="0.35">
      <c r="A70" s="11">
        <v>45932</v>
      </c>
    </row>
    <row r="71" spans="1:1" ht="20.100000000000001" customHeight="1" thickBot="1" x14ac:dyDescent="0.35">
      <c r="A71" s="11">
        <v>45933</v>
      </c>
    </row>
    <row r="72" spans="1:1" ht="20.100000000000001" customHeight="1" thickBot="1" x14ac:dyDescent="0.35">
      <c r="A72" s="11">
        <v>45934</v>
      </c>
    </row>
    <row r="73" spans="1:1" ht="20.100000000000001" customHeight="1" thickBot="1" x14ac:dyDescent="0.35">
      <c r="A73" s="11">
        <v>45935</v>
      </c>
    </row>
    <row r="74" spans="1:1" ht="20.100000000000001" customHeight="1" thickBot="1" x14ac:dyDescent="0.35">
      <c r="A74" s="11">
        <v>45936</v>
      </c>
    </row>
    <row r="75" spans="1:1" ht="20.100000000000001" customHeight="1" thickBot="1" x14ac:dyDescent="0.35">
      <c r="A75" s="11">
        <v>45937</v>
      </c>
    </row>
    <row r="76" spans="1:1" ht="20.100000000000001" customHeight="1" thickBot="1" x14ac:dyDescent="0.35">
      <c r="A76" s="11">
        <v>45938</v>
      </c>
    </row>
    <row r="77" spans="1:1" ht="20.100000000000001" customHeight="1" thickBot="1" x14ac:dyDescent="0.35">
      <c r="A77" s="11">
        <v>45939</v>
      </c>
    </row>
    <row r="78" spans="1:1" ht="20.100000000000001" customHeight="1" thickBot="1" x14ac:dyDescent="0.35">
      <c r="A78" s="11">
        <v>45940</v>
      </c>
    </row>
    <row r="79" spans="1:1" ht="20.100000000000001" customHeight="1" thickBot="1" x14ac:dyDescent="0.35">
      <c r="A79" s="11">
        <v>45941</v>
      </c>
    </row>
    <row r="80" spans="1:1" ht="20.100000000000001" customHeight="1" thickBot="1" x14ac:dyDescent="0.35">
      <c r="A80" s="11">
        <v>45942</v>
      </c>
    </row>
    <row r="81" spans="1:1" ht="20.100000000000001" customHeight="1" thickBot="1" x14ac:dyDescent="0.35">
      <c r="A81" s="11">
        <v>45943</v>
      </c>
    </row>
    <row r="82" spans="1:1" ht="20.100000000000001" customHeight="1" thickBot="1" x14ac:dyDescent="0.35">
      <c r="A82" s="11">
        <v>45944</v>
      </c>
    </row>
    <row r="83" spans="1:1" ht="20.100000000000001" customHeight="1" thickBot="1" x14ac:dyDescent="0.35">
      <c r="A83" s="11">
        <v>45945</v>
      </c>
    </row>
    <row r="84" spans="1:1" ht="20.100000000000001" customHeight="1" thickBot="1" x14ac:dyDescent="0.35">
      <c r="A84" s="11">
        <v>45946</v>
      </c>
    </row>
    <row r="85" spans="1:1" ht="20.100000000000001" customHeight="1" thickBot="1" x14ac:dyDescent="0.35">
      <c r="A85" s="11">
        <v>45947</v>
      </c>
    </row>
    <row r="86" spans="1:1" ht="20.100000000000001" customHeight="1" thickBot="1" x14ac:dyDescent="0.35">
      <c r="A86" s="11">
        <v>45948</v>
      </c>
    </row>
    <row r="87" spans="1:1" ht="20.100000000000001" customHeight="1" thickBot="1" x14ac:dyDescent="0.35">
      <c r="A87" s="11">
        <v>45949</v>
      </c>
    </row>
    <row r="88" spans="1:1" ht="20.100000000000001" customHeight="1" thickBot="1" x14ac:dyDescent="0.35">
      <c r="A88" s="11">
        <v>45950</v>
      </c>
    </row>
    <row r="89" spans="1:1" ht="20.100000000000001" customHeight="1" thickBot="1" x14ac:dyDescent="0.35">
      <c r="A89" s="11">
        <v>45951</v>
      </c>
    </row>
    <row r="90" spans="1:1" ht="20.100000000000001" customHeight="1" thickBot="1" x14ac:dyDescent="0.35">
      <c r="A90" s="11">
        <v>45952</v>
      </c>
    </row>
    <row r="91" spans="1:1" ht="20.100000000000001" customHeight="1" thickBot="1" x14ac:dyDescent="0.35">
      <c r="A91" s="11">
        <v>45953</v>
      </c>
    </row>
    <row r="92" spans="1:1" ht="20.100000000000001" customHeight="1" thickBot="1" x14ac:dyDescent="0.35">
      <c r="A92" s="11">
        <v>45954</v>
      </c>
    </row>
    <row r="93" spans="1:1" ht="20.100000000000001" customHeight="1" thickBot="1" x14ac:dyDescent="0.35">
      <c r="A93" s="11">
        <v>45955</v>
      </c>
    </row>
    <row r="94" spans="1:1" ht="20.100000000000001" customHeight="1" thickBot="1" x14ac:dyDescent="0.35">
      <c r="A94" s="11">
        <v>45956</v>
      </c>
    </row>
    <row r="95" spans="1:1" ht="20.100000000000001" customHeight="1" thickBot="1" x14ac:dyDescent="0.35">
      <c r="A95" s="11">
        <v>45957</v>
      </c>
    </row>
    <row r="96" spans="1:1" ht="20.100000000000001" customHeight="1" thickBot="1" x14ac:dyDescent="0.35">
      <c r="A96" s="11">
        <v>45958</v>
      </c>
    </row>
    <row r="97" spans="1:9" ht="20.100000000000001" customHeight="1" thickBot="1" x14ac:dyDescent="0.35">
      <c r="A97" s="11">
        <v>45959</v>
      </c>
    </row>
    <row r="98" spans="1:9" ht="20.100000000000001" customHeight="1" thickBot="1" x14ac:dyDescent="0.35">
      <c r="A98" s="11">
        <v>45960</v>
      </c>
    </row>
    <row r="99" spans="1:9" ht="20.100000000000001" customHeight="1" thickBot="1" x14ac:dyDescent="0.35">
      <c r="A99" s="11">
        <v>45961</v>
      </c>
    </row>
    <row r="100" spans="1:9" ht="20.100000000000001" customHeight="1" thickBot="1" x14ac:dyDescent="0.35">
      <c r="A100" s="11">
        <v>45962</v>
      </c>
    </row>
    <row r="101" spans="1:9" ht="20.100000000000001" customHeight="1" thickBot="1" x14ac:dyDescent="0.35">
      <c r="A101" s="11">
        <v>45963</v>
      </c>
    </row>
    <row r="102" spans="1:9" ht="20.100000000000001" customHeight="1" thickBot="1" x14ac:dyDescent="0.35">
      <c r="A102" s="11">
        <v>45964</v>
      </c>
    </row>
    <row r="103" spans="1:9" ht="20.100000000000001" customHeight="1" thickBot="1" x14ac:dyDescent="0.35">
      <c r="A103" s="11">
        <v>45965</v>
      </c>
    </row>
    <row r="104" spans="1:9" ht="20.100000000000001" customHeight="1" thickBot="1" x14ac:dyDescent="0.35">
      <c r="A104" s="11">
        <v>45966</v>
      </c>
    </row>
    <row r="105" spans="1:9" ht="20.100000000000001" customHeight="1" thickBot="1" x14ac:dyDescent="0.35">
      <c r="A105" s="11">
        <v>45967</v>
      </c>
    </row>
    <row r="106" spans="1:9" ht="20.100000000000001" customHeight="1" thickBot="1" x14ac:dyDescent="0.35">
      <c r="A106" s="11">
        <v>45968</v>
      </c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8" t="s">
        <v>89</v>
      </c>
    </row>
    <row r="200" spans="1:1" ht="20.100000000000001" customHeight="1" x14ac:dyDescent="0.3">
      <c r="A200" s="18" t="s">
        <v>90</v>
      </c>
    </row>
    <row r="201" spans="1:1" ht="20.100000000000001" customHeight="1" x14ac:dyDescent="0.3">
      <c r="A201" s="18" t="s">
        <v>91</v>
      </c>
    </row>
    <row r="202" spans="1:1" ht="20.100000000000001" customHeight="1" x14ac:dyDescent="0.3">
      <c r="A202" s="18" t="s">
        <v>92</v>
      </c>
    </row>
    <row r="203" spans="1:1" ht="20.100000000000001" customHeight="1" x14ac:dyDescent="0.3">
      <c r="A203" s="18" t="s">
        <v>93</v>
      </c>
    </row>
    <row r="204" spans="1:1" ht="20.100000000000001" customHeight="1" x14ac:dyDescent="0.3">
      <c r="A204" s="18" t="s">
        <v>94</v>
      </c>
    </row>
    <row r="205" spans="1:1" ht="20.100000000000001" customHeight="1" x14ac:dyDescent="0.3">
      <c r="A205" s="18" t="s">
        <v>95</v>
      </c>
    </row>
    <row r="206" spans="1:1" ht="20.100000000000001" customHeight="1" x14ac:dyDescent="0.3">
      <c r="A206" s="18" t="s">
        <v>96</v>
      </c>
    </row>
    <row r="207" spans="1:1" ht="20.100000000000001" customHeight="1" x14ac:dyDescent="0.3">
      <c r="A207" s="18" t="s">
        <v>97</v>
      </c>
    </row>
    <row r="208" spans="1:1" ht="20.100000000000001" customHeight="1" x14ac:dyDescent="0.3">
      <c r="A208" s="19" t="s">
        <v>98</v>
      </c>
    </row>
    <row r="209" spans="1:1" ht="20.100000000000001" customHeight="1" x14ac:dyDescent="0.3">
      <c r="A209" s="19" t="s">
        <v>99</v>
      </c>
    </row>
    <row r="210" spans="1:1" ht="20.100000000000001" customHeight="1" x14ac:dyDescent="0.3">
      <c r="A210" s="18" t="s">
        <v>100</v>
      </c>
    </row>
    <row r="211" spans="1:1" ht="20.100000000000001" customHeight="1" x14ac:dyDescent="0.3">
      <c r="A211" s="18" t="s">
        <v>101</v>
      </c>
    </row>
    <row r="212" spans="1:1" ht="20.100000000000001" customHeight="1" x14ac:dyDescent="0.3">
      <c r="A212" s="18" t="s">
        <v>175</v>
      </c>
    </row>
    <row r="213" spans="1:1" ht="20.100000000000001" customHeight="1" x14ac:dyDescent="0.3">
      <c r="A213" s="18" t="s">
        <v>102</v>
      </c>
    </row>
    <row r="214" spans="1:1" ht="20.100000000000001" customHeight="1" x14ac:dyDescent="0.3">
      <c r="A214" s="18" t="s">
        <v>103</v>
      </c>
    </row>
    <row r="215" spans="1:1" ht="20.100000000000001" customHeight="1" x14ac:dyDescent="0.3">
      <c r="A215" s="18" t="s">
        <v>104</v>
      </c>
    </row>
    <row r="216" spans="1:1" ht="20.100000000000001" customHeight="1" x14ac:dyDescent="0.3">
      <c r="A216" s="18" t="s">
        <v>105</v>
      </c>
    </row>
    <row r="217" spans="1:1" ht="20.100000000000001" customHeight="1" x14ac:dyDescent="0.3">
      <c r="A217" s="18" t="s">
        <v>106</v>
      </c>
    </row>
    <row r="218" spans="1:1" ht="20.100000000000001" customHeight="1" x14ac:dyDescent="0.3">
      <c r="A218" s="18" t="s">
        <v>107</v>
      </c>
    </row>
    <row r="219" spans="1:1" ht="20.100000000000001" customHeight="1" x14ac:dyDescent="0.3">
      <c r="A219" s="18" t="s">
        <v>108</v>
      </c>
    </row>
    <row r="220" spans="1:1" ht="20.100000000000001" customHeight="1" x14ac:dyDescent="0.3">
      <c r="A220" s="18" t="s">
        <v>109</v>
      </c>
    </row>
    <row r="221" spans="1:1" ht="20.100000000000001" customHeight="1" x14ac:dyDescent="0.3">
      <c r="A221" s="18" t="s">
        <v>110</v>
      </c>
    </row>
    <row r="222" spans="1:1" ht="20.100000000000001" customHeight="1" x14ac:dyDescent="0.3">
      <c r="A222" s="18" t="s">
        <v>111</v>
      </c>
    </row>
    <row r="223" spans="1:1" ht="20.100000000000001" customHeight="1" x14ac:dyDescent="0.3">
      <c r="A223" s="18" t="s">
        <v>112</v>
      </c>
    </row>
    <row r="224" spans="1:1" ht="20.100000000000001" customHeight="1" x14ac:dyDescent="0.3">
      <c r="A224" s="18" t="s">
        <v>176</v>
      </c>
    </row>
    <row r="225" spans="1:1" ht="20.100000000000001" customHeight="1" x14ac:dyDescent="0.3">
      <c r="A225" s="18" t="s">
        <v>113</v>
      </c>
    </row>
    <row r="226" spans="1:1" ht="20.100000000000001" customHeight="1" x14ac:dyDescent="0.3">
      <c r="A226" s="18" t="s">
        <v>114</v>
      </c>
    </row>
    <row r="227" spans="1:1" ht="20.100000000000001" customHeight="1" x14ac:dyDescent="0.3">
      <c r="A227" s="18" t="s">
        <v>115</v>
      </c>
    </row>
    <row r="228" spans="1:1" ht="20.100000000000001" customHeight="1" x14ac:dyDescent="0.3">
      <c r="A228" s="18" t="s">
        <v>116</v>
      </c>
    </row>
    <row r="229" spans="1:1" ht="20.100000000000001" customHeight="1" x14ac:dyDescent="0.3">
      <c r="A229" s="18" t="s">
        <v>117</v>
      </c>
    </row>
    <row r="230" spans="1:1" ht="20.100000000000001" customHeight="1" x14ac:dyDescent="0.3">
      <c r="A230" s="18" t="s">
        <v>118</v>
      </c>
    </row>
    <row r="231" spans="1:1" ht="20.100000000000001" customHeight="1" x14ac:dyDescent="0.3">
      <c r="A231" s="18" t="s">
        <v>119</v>
      </c>
    </row>
    <row r="232" spans="1:1" ht="20.100000000000001" customHeight="1" x14ac:dyDescent="0.3">
      <c r="A232" s="18" t="s">
        <v>120</v>
      </c>
    </row>
    <row r="233" spans="1:1" ht="20.100000000000001" customHeight="1" x14ac:dyDescent="0.3">
      <c r="A233" s="18" t="s">
        <v>121</v>
      </c>
    </row>
    <row r="234" spans="1:1" ht="20.100000000000001" customHeight="1" x14ac:dyDescent="0.3">
      <c r="A234" s="18" t="s">
        <v>122</v>
      </c>
    </row>
    <row r="235" spans="1:1" ht="20.100000000000001" customHeight="1" x14ac:dyDescent="0.3">
      <c r="A235" s="18" t="s">
        <v>123</v>
      </c>
    </row>
    <row r="236" spans="1:1" ht="20.100000000000001" customHeight="1" x14ac:dyDescent="0.3">
      <c r="A236" s="20" t="s">
        <v>124</v>
      </c>
    </row>
    <row r="237" spans="1:1" ht="20.100000000000001" customHeight="1" x14ac:dyDescent="0.3">
      <c r="A237" s="18" t="s">
        <v>125</v>
      </c>
    </row>
    <row r="238" spans="1:1" ht="20.100000000000001" customHeight="1" x14ac:dyDescent="0.3">
      <c r="A238" s="18" t="s">
        <v>126</v>
      </c>
    </row>
    <row r="239" spans="1:1" ht="20.100000000000001" customHeight="1" x14ac:dyDescent="0.3">
      <c r="A239" s="18" t="s">
        <v>127</v>
      </c>
    </row>
    <row r="240" spans="1:1" ht="20.100000000000001" customHeight="1" x14ac:dyDescent="0.3">
      <c r="A240" s="18" t="s">
        <v>128</v>
      </c>
    </row>
    <row r="241" spans="1:1" ht="20.100000000000001" customHeight="1" x14ac:dyDescent="0.3">
      <c r="A241" s="18" t="s">
        <v>129</v>
      </c>
    </row>
    <row r="242" spans="1:1" ht="20.100000000000001" customHeight="1" x14ac:dyDescent="0.3">
      <c r="A242" s="18" t="s">
        <v>130</v>
      </c>
    </row>
    <row r="243" spans="1:1" ht="20.100000000000001" customHeight="1" x14ac:dyDescent="0.3">
      <c r="A243" s="18" t="s">
        <v>131</v>
      </c>
    </row>
    <row r="244" spans="1:1" ht="20.100000000000001" customHeight="1" x14ac:dyDescent="0.3">
      <c r="A244" s="18" t="s">
        <v>132</v>
      </c>
    </row>
    <row r="245" spans="1:1" ht="20.100000000000001" customHeight="1" x14ac:dyDescent="0.3">
      <c r="A245" s="18" t="s">
        <v>133</v>
      </c>
    </row>
    <row r="246" spans="1:1" ht="20.100000000000001" customHeight="1" x14ac:dyDescent="0.3">
      <c r="A246" s="18" t="s">
        <v>134</v>
      </c>
    </row>
    <row r="247" spans="1:1" ht="20.100000000000001" customHeight="1" x14ac:dyDescent="0.3">
      <c r="A247" s="18" t="s">
        <v>135</v>
      </c>
    </row>
    <row r="248" spans="1:1" ht="20.100000000000001" customHeight="1" x14ac:dyDescent="0.3">
      <c r="A248" s="18" t="s">
        <v>126</v>
      </c>
    </row>
    <row r="249" spans="1:1" ht="20.100000000000001" customHeight="1" x14ac:dyDescent="0.3">
      <c r="A249" s="18" t="s">
        <v>136</v>
      </c>
    </row>
    <row r="250" spans="1:1" ht="20.100000000000001" customHeight="1" x14ac:dyDescent="0.3">
      <c r="A250" s="18" t="s">
        <v>137</v>
      </c>
    </row>
    <row r="251" spans="1:1" ht="20.100000000000001" customHeight="1" x14ac:dyDescent="0.3">
      <c r="A251" s="20" t="s">
        <v>138</v>
      </c>
    </row>
    <row r="252" spans="1:1" ht="20.100000000000001" customHeight="1" x14ac:dyDescent="0.3">
      <c r="A252" s="21" t="s">
        <v>139</v>
      </c>
    </row>
    <row r="253" spans="1:1" ht="20.100000000000001" customHeight="1" x14ac:dyDescent="0.3">
      <c r="A253" s="18" t="s">
        <v>140</v>
      </c>
    </row>
    <row r="254" spans="1:1" ht="20.100000000000001" customHeight="1" x14ac:dyDescent="0.3">
      <c r="A254" s="18" t="s">
        <v>141</v>
      </c>
    </row>
    <row r="255" spans="1:1" ht="20.100000000000001" customHeight="1" x14ac:dyDescent="0.3">
      <c r="A255" s="22" t="s">
        <v>142</v>
      </c>
    </row>
    <row r="256" spans="1:1" ht="20.100000000000001" customHeight="1" x14ac:dyDescent="0.3">
      <c r="A256" s="22" t="s">
        <v>143</v>
      </c>
    </row>
    <row r="257" spans="1:1" ht="20.100000000000001" customHeight="1" x14ac:dyDescent="0.3">
      <c r="A257" s="23" t="s">
        <v>144</v>
      </c>
    </row>
    <row r="258" spans="1:1" ht="20.100000000000001" customHeight="1" x14ac:dyDescent="0.3">
      <c r="A258" s="18" t="s">
        <v>145</v>
      </c>
    </row>
    <row r="259" spans="1:1" ht="20.100000000000001" customHeight="1" x14ac:dyDescent="0.3">
      <c r="A259" s="23" t="s">
        <v>146</v>
      </c>
    </row>
    <row r="260" spans="1:1" ht="20.100000000000001" customHeight="1" x14ac:dyDescent="0.3">
      <c r="A260" s="18" t="s">
        <v>147</v>
      </c>
    </row>
    <row r="261" spans="1:1" ht="20.100000000000001" customHeight="1" x14ac:dyDescent="0.3">
      <c r="A261" s="23" t="s">
        <v>148</v>
      </c>
    </row>
    <row r="262" spans="1:1" ht="20.100000000000001" customHeight="1" x14ac:dyDescent="0.3">
      <c r="A262" s="18" t="s">
        <v>149</v>
      </c>
    </row>
    <row r="263" spans="1:1" ht="20.100000000000001" customHeight="1" x14ac:dyDescent="0.3">
      <c r="A263" s="18" t="s">
        <v>150</v>
      </c>
    </row>
    <row r="264" spans="1:1" ht="20.100000000000001" customHeight="1" x14ac:dyDescent="0.3">
      <c r="A264" s="23" t="s">
        <v>151</v>
      </c>
    </row>
    <row r="265" spans="1:1" ht="20.100000000000001" customHeight="1" x14ac:dyDescent="0.3">
      <c r="A265" s="23" t="s">
        <v>152</v>
      </c>
    </row>
    <row r="266" spans="1:1" ht="20.100000000000001" customHeight="1" x14ac:dyDescent="0.3">
      <c r="A266" s="23" t="s">
        <v>153</v>
      </c>
    </row>
    <row r="267" spans="1:1" ht="20.100000000000001" customHeight="1" x14ac:dyDescent="0.3">
      <c r="A267" s="18" t="s">
        <v>154</v>
      </c>
    </row>
    <row r="268" spans="1:1" ht="20.100000000000001" customHeight="1" x14ac:dyDescent="0.3">
      <c r="A268" s="18" t="s">
        <v>155</v>
      </c>
    </row>
    <row r="269" spans="1:1" ht="20.100000000000001" customHeight="1" x14ac:dyDescent="0.3">
      <c r="A269" s="18" t="s">
        <v>156</v>
      </c>
    </row>
    <row r="270" spans="1:1" ht="20.100000000000001" customHeight="1" x14ac:dyDescent="0.3">
      <c r="A270" s="18" t="s">
        <v>157</v>
      </c>
    </row>
    <row r="271" spans="1:1" ht="20.100000000000001" customHeight="1" x14ac:dyDescent="0.3">
      <c r="A271" s="23" t="s">
        <v>158</v>
      </c>
    </row>
    <row r="272" spans="1:1" ht="20.100000000000001" customHeight="1" x14ac:dyDescent="0.3">
      <c r="A272" s="23" t="s">
        <v>159</v>
      </c>
    </row>
    <row r="273" spans="1:1" ht="20.100000000000001" customHeight="1" x14ac:dyDescent="0.3">
      <c r="A273" s="18" t="s">
        <v>160</v>
      </c>
    </row>
    <row r="274" spans="1:1" ht="20.100000000000001" customHeight="1" x14ac:dyDescent="0.3">
      <c r="A274" s="23" t="s">
        <v>161</v>
      </c>
    </row>
    <row r="275" spans="1:1" ht="20.100000000000001" customHeight="1" x14ac:dyDescent="0.3">
      <c r="A275" s="23" t="s">
        <v>162</v>
      </c>
    </row>
    <row r="276" spans="1:1" ht="20.100000000000001" customHeight="1" x14ac:dyDescent="0.3">
      <c r="A276" s="18" t="s">
        <v>163</v>
      </c>
    </row>
    <row r="277" spans="1:1" ht="20.100000000000001" customHeight="1" x14ac:dyDescent="0.3">
      <c r="A277" s="18" t="s">
        <v>164</v>
      </c>
    </row>
    <row r="278" spans="1:1" ht="20.100000000000001" customHeight="1" x14ac:dyDescent="0.3">
      <c r="A278" s="23" t="s">
        <v>165</v>
      </c>
    </row>
    <row r="279" spans="1:1" ht="20.100000000000001" customHeight="1" x14ac:dyDescent="0.3">
      <c r="A279" s="18" t="s">
        <v>166</v>
      </c>
    </row>
    <row r="280" spans="1:1" ht="20.100000000000001" customHeight="1" x14ac:dyDescent="0.3">
      <c r="A280" s="18" t="s">
        <v>167</v>
      </c>
    </row>
    <row r="281" spans="1:1" ht="20.100000000000001" customHeight="1" x14ac:dyDescent="0.3">
      <c r="A281" s="18" t="s">
        <v>168</v>
      </c>
    </row>
    <row r="282" spans="1:1" ht="20.100000000000001" customHeight="1" x14ac:dyDescent="0.3">
      <c r="A282" s="18" t="s">
        <v>169</v>
      </c>
    </row>
    <row r="283" spans="1:1" ht="20.100000000000001" customHeight="1" x14ac:dyDescent="0.3">
      <c r="A283" s="23" t="s">
        <v>170</v>
      </c>
    </row>
    <row r="284" spans="1:1" ht="20.100000000000001" customHeight="1" x14ac:dyDescent="0.3">
      <c r="A284" s="23" t="s">
        <v>171</v>
      </c>
    </row>
    <row r="285" spans="1:1" ht="20.100000000000001" customHeight="1" x14ac:dyDescent="0.3">
      <c r="A285" s="23" t="s">
        <v>172</v>
      </c>
    </row>
    <row r="286" spans="1:1" ht="20.100000000000001" customHeight="1" thickBot="1" x14ac:dyDescent="0.35">
      <c r="A286" s="18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2025-10-09T20:59:05Z</dcterms:modified>
</cp:coreProperties>
</file>