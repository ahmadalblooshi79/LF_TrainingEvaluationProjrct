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55765C5-CEF3-7C45-B36E-004D782C0D01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H20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F27" i="2"/>
  <c r="E27" i="2"/>
  <c r="E28" i="2"/>
  <c r="E29" i="2"/>
</calcChain>
</file>

<file path=xl/sharedStrings.xml><?xml version="1.0" encoding="utf-8"?>
<sst xmlns="http://schemas.openxmlformats.org/spreadsheetml/2006/main" count="258" uniqueCount="197">
  <si>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</si>
  <si>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</si>
  <si>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</si>
  <si>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</si>
  <si>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</si>
  <si>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</si>
  <si>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</si>
  <si>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</si>
  <si>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</si>
  <si>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</si>
  <si>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</si>
  <si>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</si>
  <si>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</si>
  <si>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</si>
  <si>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</si>
  <si>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</si>
  <si>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</si>
  <si>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</si>
  <si>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</si>
  <si>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</si>
  <si>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</si>
  <si>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</si>
  <si>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</si>
  <si>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</si>
  <si>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</si>
  <si>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</si>
  <si>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</si>
  <si>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</si>
  <si>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</si>
  <si>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</si>
  <si>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</si>
  <si>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</si>
  <si>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</si>
  <si>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</si>
  <si>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</si>
  <si>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</si>
  <si>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</si>
  <si>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</si>
  <si>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</si>
  <si>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</si>
  <si>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</si>
  <si>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</si>
  <si>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</si>
  <si>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</si>
  <si>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</si>
  <si>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</si>
  <si>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</si>
  <si>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</si>
  <si>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</si>
  <si>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</si>
  <si>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</si>
  <si>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</si>
  <si>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</si>
  <si>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</si>
  <si>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</si>
  <si>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</si>
  <si>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</si>
  <si>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</si>
  <si>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</si>
  <si>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</si>
  <si>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</si>
  <si>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</si>
  <si>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</si>
  <si>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</si>
  <si>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</si>
  <si>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</si>
  <si>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</si>
  <si>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</si>
  <si>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</si>
  <si>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</si>
  <si>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</si>
  <si>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</si>
  <si>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</si>
  <si>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</si>
  <si>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</si>
  <si>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</si>
  <si>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</si>
  <si>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</si>
  <si>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</si>
  <si>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</si>
  <si>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</si>
  <si>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</si>
  <si>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</si>
  <si>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</si>
  <si>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</si>
  <si>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</si>
  <si>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</si>
  <si>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</si>
  <si>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</si>
  <si>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</si>
  <si>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</si>
  <si>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</si>
  <si>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</si>
  <si>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</si>
  <si>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</si>
  <si>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</si>
  <si>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</si>
  <si>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</si>
  <si>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</si>
  <si>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</si>
  <si>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</si>
  <si>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</si>
  <si>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</si>
  <si>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</si>
  <si>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</si>
  <si>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</si>
  <si>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</si>
  <si>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</si>
  <si>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</si>
  <si>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</si>
  <si>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</si>
  <si>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</si>
  <si>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</si>
  <si>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</si>
  <si>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</si>
  <si>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</si>
  <si>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</si>
  <si>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</si>
  <si>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</si>
  <si>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</si>
  <si>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</si>
  <si>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</si>
  <si>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</si>
  <si>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</si>
  <si>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</si>
  <si>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</si>
  <si>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</si>
  <si>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</si>
  <si>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</si>
  <si>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</si>
  <si>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</si>
  <si>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</si>
  <si>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</si>
  <si>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</si>
  <si>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</si>
  <si>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</si>
  <si>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</si>
  <si>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</si>
  <si>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</si>
  <si>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</si>
  <si>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</si>
  <si>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</si>
  <si>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</si>
  <si>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</si>
  <si>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</si>
  <si>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</si>
  <si>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</si>
  <si>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</si>
  <si>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</si>
  <si>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</si>
  <si>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</si>
  <si>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</si>
  <si>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</si>
  <si>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</si>
  <si>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</si>
  <si>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</si>
  <si>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</si>
  <si>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</si>
  <si>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</si>
  <si>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</si>
  <si>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</si>
  <si>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</si>
  <si>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</si>
  <si>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</si>
  <si>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</si>
  <si>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</si>
  <si>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</si>
  <si>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</si>
  <si>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</si>
  <si>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</si>
  <si>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</si>
  <si>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</si>
  <si>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</si>
  <si>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</si>
  <si>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</si>
  <si>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</si>
  <si>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</si>
  <si>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14.  عبور نقطة البدء على التوقيت المحدد.</t>
  </si>
  <si>
    <t>15.  الحفاظ على السرعة المحددة.</t>
  </si>
  <si>
    <t>1.      يحدد تسلسل القيادة.</t>
  </si>
  <si>
    <t>2.      تحديد توقيت الحركة.</t>
  </si>
  <si>
    <t>3.      نشاطات العدو المعروفة / المشتبه بها على خط المسير.</t>
  </si>
  <si>
    <t>4.      الأخطار / المناطق الحرجة.</t>
  </si>
  <si>
    <t>5.      خط المسير التعبوي ونقاط التفقد.</t>
  </si>
  <si>
    <t>6.      خط المسير البديل.</t>
  </si>
  <si>
    <t>7.      موقع نقطة التجمع عند الوصول.</t>
  </si>
  <si>
    <t>8.      تنظيم القافلة.</t>
  </si>
  <si>
    <t>9.      سرعة القافلة.</t>
  </si>
  <si>
    <t>10. المسافات الفاصلة بين الآليات.</t>
  </si>
  <si>
    <t>11. الخطط الاحتياطية في حالة (تعطل آلية - فقدان آلية - حصول حادث مع آلية - انفصال آلية عن الرتل - عمل من قبل العدو).</t>
  </si>
  <si>
    <t>12. تبدأ جماعة المقدمة الحركة على التوقيت المحدد.</t>
  </si>
  <si>
    <t>13. تفقد أجهزة اللاسلكي.</t>
  </si>
  <si>
    <t>16. الحفاظ على المسافات الفاصلة.</t>
  </si>
  <si>
    <t>17. دخول جماعات المقدمة إلى منطقة التجمع التعبوية الأمامية.</t>
  </si>
  <si>
    <t>18. التأكد من أن المنطقة آمنة وجاهزة لاحتلالها من قبل الجسم الرئيسي.</t>
  </si>
  <si>
    <t>19. تأمين الحماية للقوات بالمصادر المتوفرة.</t>
  </si>
  <si>
    <r>
      <rPr>
        <b/>
        <sz val="14"/>
        <color rgb="FF000000"/>
        <rFont val="Arial"/>
        <family val="2"/>
      </rPr>
      <t>تقييم فصيل مشاة راجل في التنقل التعبوي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</si>
</sst>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19166</xdr:colOff>
      <xdr:row>29</xdr:row>
      <xdr:rowOff>504923</xdr:rowOff>
    </xdr:from>
    <xdr:to>
      <xdr:col>8</xdr:col>
      <xdr:colOff>137246</xdr:colOff>
      <xdr:row>30</xdr:row>
      <xdr:rowOff>359033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0AFBD31-AA30-9CD5-155C-FAFB11712EDE}"/>
                </a:ext>
              </a:extLst>
            </xdr14:cNvPr>
            <xdr14:cNvContentPartPr/>
          </xdr14:nvContentPartPr>
          <xdr14:nvPr macro=""/>
          <xdr14:xfrm>
            <a:off x="10399096118" y="11842560"/>
            <a:ext cx="118080" cy="3852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0AFBD31-AA30-9CD5-155C-FAFB11712ED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89998" y="11836440"/>
              <a:ext cx="130320" cy="39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235537</xdr:colOff>
      <xdr:row>29</xdr:row>
      <xdr:rowOff>513563</xdr:rowOff>
    </xdr:from>
    <xdr:to>
      <xdr:col>8</xdr:col>
      <xdr:colOff>637646</xdr:colOff>
      <xdr:row>30</xdr:row>
      <xdr:rowOff>427073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43E5817-F1C7-D12C-FB39-1FBAC1FE17FC}"/>
                </a:ext>
              </a:extLst>
            </xdr14:cNvPr>
            <xdr14:cNvContentPartPr/>
          </xdr14:nvContentPartPr>
          <xdr14:nvPr macro=""/>
          <xdr14:xfrm>
            <a:off x="10398595718" y="11851200"/>
            <a:ext cx="1060200" cy="4446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43E5817-F1C7-D12C-FB39-1FBAC1FE17F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589598" y="11845080"/>
              <a:ext cx="1072440" cy="456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6:58:48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328 1069 14387,'0'0'0,"-20"-23"1200,-1 2-864,21 21-336,-22-30 224,3 0 24,14 0-192,-5-2-88,10 32 32,-4-33 0,-11-1-24,10 0 56,-9 1 72,14 33-104,-10-34 24,-4 0-72,2 0 80,-3 0 32,15 34-64,-14-33-16,2 0 16,0 1-48,2-4-72,10 36 120,-12-37-272,0-3-320,0 3-360,5 2-385,7 35 1337,-12-33-1576,5 2-320,-3 2 199,3 4 369,7 25 1328,-3-22-864,-1 4 520,-1 1 168,5 3 72,0 14 104,-3-15-120,3 10 72,0-9 24,0 2 56,0 12-32,3-5 24,-1-11-40,3 5-8,0-1 8,-5 12 16,2-11-56,3-2-40,10 2-80,-13-2-193,-2 13 369,14-6-448,-9-7-200,12 12-240,-5-2 120,-12 3 768,12 0-688,0 3 144,0 8 272,-12-11 272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6:58:50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2384 61 296,'0'0'0,"0"0"0,19-1 424,-2-2 56,2 2 184,-16-1 336,-3 2-1000,0 0 1248,0 3 393,-3 8-17,-9-6-320,12-5-1304,-19 18 857,-3 1-505,-7 2-216,-4 2-96,33-23-40,-39 27-8,-6 0-64,-6 1-88,-2 6 48,53-34 112,-60 36-128,-3 2 56,-1 3 112,-4-1 104,68-40-144,-67 40 352,-5-2 256,-1-2 296,-1 0 128,74-36-1032,-82 38 1000,5 0-87,-2-2-321,2-2-48,77-34-544,-77 31 536,2-2-152,1-1-40,-3-1-184,77-27-160,-72 27 128,-3-1 16,0 1-16,3-2 128,0-1-176,72-24-80,-70 25 72,5-3-32,-2 0-88,67-22 48,-62 21 56,4-3-64,3 0-32,4-1 64,5-3 0,46-14-24,-36 13 56,5-1 16,7-7-8,2 9-56,22-14-8,-14 3-24,14 1-48,-7-1-312,4 0-200,3-3 584,0 0-768,5 3-80,17-3 176,-3 0 176,-19 0 496,24 0-305,5 0 137,4-3 56,11-9 64,-44 12 48,48-12-32,2-4-8,11-5 104,-1-4 0,-60 25-64,69-27 136,4-4 8,1 0-104,3-5-7,-77 36-33,79-35-41,-2-2 1,3-3 72,-1 0-24,-79 40-8,80-41 97,4-3 71,7-4-40,-2-1-32,-89 49-96,94-51 104,0 1-136,-5 2-8,0 1 48,-89 47-8,84-44-168,-7 0 120,0 3-56,0 1 8,-77 40 96,74-38 24,-4 2-145,-5 2 154,-7 0 15,-58 34-48,55-30 104,-7 1 88,-7 7-24,-10 5 48,-31 17-216,22-13 200,-5 7 88,-15 1 72,3 2 232,-5 3-592,0-2 800,0 2 64,-5 0-112,-11 5-479,16-5-273,-22 14-200,-5-3-305,-9 9-207,-7 4-48,43-24 760,-48 30-616,-5 3 72,0 1 288,-7 1 64,60-35 192,-63 37-128,1 5 80,-8 0-56,3 2 200,67-44-96,-75 44 88,1 0 32,-8 0 40,0-1-80,82-43-80,-84 41 216,2 3 64,3-4-48,-5 0 48,84-40-280,-73 36 280,1-5-8,7-4 112,8-6 56,57-21-440,-49 14 408,4-9-72,1 6-47,6-11-81,38 0-208,-36 0 80,9 0-56,-4 0-8,7-1-104,24 1 88,-19-3 24,-3 0-32,10-1-40,10 1 128,2 3-80,-7-3-128,4 0-96,1 2-121,2-1-279,0 2 624,2-1-608,10-2 40,0 0-24,5-1 16,-17 4 576,19-3-576,3 0-32,4-1-49,-2 0 41,-24 4 616,37-12-624,-4 7 8,1-12-24,0 2-208,-34 15 848,31-17-969,0-1 1,0-4 176,3-2 312,-34 24 480,24-22-256,3 2 208,-6 1 56,-9 6 32,-12 13-40,5-4 488,0 1 560,-5 3 425,-3 3 199,3-3-1672,-14 13 1328,-3 5-704,-7 7-456,-7 6-160,31-31-8,-31 37-72,-3 1 48,-2 2 24,5-2 56,31-38-56,-34 39 8,3-2 0,-1 0-8,3-5-80,29-32 80,-24 30-112,3-3 0,6-3-152,8-2-40,7-22 304,-14 17-320,11-2-168,-1 0 8,-4-1 40,8-14 440,0 13-464,0-1 160,5 0 16,7-8 16,-12-4 272,5 14-208,9-9 23,-2-1 105,0 7 96,-12-11-16,15 0 96,-3 4 17,7-1-1,-2 0 32,-17-3-144,22 0 176,-3 0 24,5-1 128,0-4-136,-24 5-192,22-11 192,6 0-8,4-2 8,-1-3 184,-31 16-376,41-20 488,2-2 144,3-4-48,4-1-80,-50 27-504,58-30 328,7 0-15,5-2 7,12-3 88,-82 35-408,86-35 424,8-2-56,0-4-160,7-2-128,-101 43-80,98-45 8,8-7-104,7 0-32,8-5-136,-121 57 264,127-60-432,8-1-136,2-1-785,5-7-1391,-142 69 2744,139-64-6618,-139 64 6618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topLeftCell="D16" zoomScale="145" zoomScaleNormal="100" zoomScaleSheetLayoutView="145" workbookViewId="0">
      <selection activeCell="G31" sqref="G31:J3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33203125" style="1" customWidth="1"/>
    <col min="11" max="16384" width="9.01171875" style="1"/>
  </cols>
  <sheetData>
    <row r="1" spans="1:10" ht="45" customHeight="1" x14ac:dyDescent="0.2">
      <c r="B1" s="52" t="s">
        <v>196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2">
      <c r="B2" s="12" t="s">
        <v>8</v>
      </c>
      <c r="C2" s="58" t="s">
        <v>40</v>
      </c>
      <c r="D2" s="58"/>
      <c r="E2" s="12" t="s">
        <v>7</v>
      </c>
      <c r="F2" s="53">
        <v>45909</v>
      </c>
      <c r="G2" s="53"/>
      <c r="H2" s="53"/>
      <c r="I2" s="53"/>
      <c r="J2" s="53"/>
    </row>
    <row r="3" spans="1:10" ht="30" customHeight="1" x14ac:dyDescent="0.2">
      <c r="B3" s="12" t="s">
        <v>9</v>
      </c>
      <c r="C3" s="58" t="s">
        <v>83</v>
      </c>
      <c r="D3" s="58"/>
      <c r="E3" s="12" t="s">
        <v>6</v>
      </c>
      <c r="F3" s="58" t="s">
        <v>107</v>
      </c>
      <c r="G3" s="58"/>
      <c r="H3" s="58"/>
      <c r="I3" s="58"/>
      <c r="J3" s="58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4" t="s">
        <v>0</v>
      </c>
      <c r="C5" s="55"/>
      <c r="D5" s="55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25">
      <c r="A6" s="10"/>
      <c r="B6" s="56"/>
      <c r="C6" s="57"/>
      <c r="D6" s="57"/>
      <c r="E6" s="11" t="s">
        <v>3</v>
      </c>
      <c r="F6" s="11" t="s">
        <v>4</v>
      </c>
      <c r="G6" s="11" t="s">
        <v>23</v>
      </c>
      <c r="H6" s="11" t="s">
        <v>24</v>
      </c>
      <c r="I6" s="61"/>
      <c r="J6" s="62"/>
    </row>
    <row r="7" spans="1:10" ht="24.95" customHeight="1" x14ac:dyDescent="0.2">
      <c r="A7" s="10"/>
      <c r="B7" s="63" t="s">
        <v>21</v>
      </c>
      <c r="C7" s="64"/>
      <c r="D7" s="64"/>
      <c r="E7" s="19" t="s">
        <v>18</v>
      </c>
      <c r="F7" s="19" t="s">
        <v>19</v>
      </c>
      <c r="G7" s="19" t="s">
        <v>22</v>
      </c>
      <c r="H7" s="19" t="s">
        <v>20</v>
      </c>
      <c r="I7" s="48" t="s">
        <v>25</v>
      </c>
      <c r="J7" s="49"/>
    </row>
    <row r="8" spans="1:10" ht="30" customHeight="1" x14ac:dyDescent="0.2">
      <c r="A8" s="10"/>
      <c r="B8" s="31" t="s">
        <v>179</v>
      </c>
      <c r="C8" s="31"/>
      <c r="D8" s="31"/>
      <c r="E8" s="9">
        <v>5</v>
      </c>
      <c r="F8" s="30">
        <v>3.5</v>
      </c>
      <c r="G8" s="21">
        <f t="shared" ref="G8:G26" si="0">IFERROR(F8/E8,"")</f>
        <v>0.7</v>
      </c>
      <c r="H8" s="22" t="str">
        <f t="shared" ref="H8:H26" si="1">_xlfn.IFS(F8="أدخل العلامة","",F8="لا ينطبق","تم الإلغاء",G8&gt;=90%,"ممتاز",G8&gt;=80%,"جيد جداً",G8&gt;=70%,"جيد",G8&gt;=60%,"مقبول",G8&lt;60%,"راسب")</f>
        <v>جيد</v>
      </c>
      <c r="I8" s="32"/>
      <c r="J8" s="32"/>
    </row>
    <row r="9" spans="1:10" ht="30" customHeight="1" x14ac:dyDescent="0.2">
      <c r="A9" s="10"/>
      <c r="B9" s="31" t="s">
        <v>180</v>
      </c>
      <c r="C9" s="31"/>
      <c r="D9" s="31"/>
      <c r="E9" s="9">
        <v>5</v>
      </c>
      <c r="F9" s="30">
        <v>4</v>
      </c>
      <c r="G9" s="21">
        <f t="shared" si="0"/>
        <v>0.8</v>
      </c>
      <c r="H9" s="22" t="str">
        <f t="shared" si="1"/>
        <v>جيد جداً</v>
      </c>
      <c r="I9" s="32"/>
      <c r="J9" s="32"/>
    </row>
    <row r="10" spans="1:10" ht="30" customHeight="1" x14ac:dyDescent="0.2">
      <c r="A10" s="10"/>
      <c r="B10" s="31" t="s">
        <v>181</v>
      </c>
      <c r="C10" s="31"/>
      <c r="D10" s="31"/>
      <c r="E10" s="9">
        <v>5</v>
      </c>
      <c r="F10" s="30">
        <v>3.5</v>
      </c>
      <c r="G10" s="21">
        <f t="shared" si="0"/>
        <v>0.7</v>
      </c>
      <c r="H10" s="22" t="str">
        <f t="shared" si="1"/>
        <v>جيد</v>
      </c>
      <c r="I10" s="32"/>
      <c r="J10" s="32"/>
    </row>
    <row r="11" spans="1:10" ht="30" customHeight="1" x14ac:dyDescent="0.2">
      <c r="A11" s="10"/>
      <c r="B11" s="31" t="s">
        <v>182</v>
      </c>
      <c r="C11" s="31"/>
      <c r="D11" s="31"/>
      <c r="E11" s="9">
        <v>5</v>
      </c>
      <c r="F11" s="30">
        <v>3.5</v>
      </c>
      <c r="G11" s="21">
        <f t="shared" si="0"/>
        <v>0.7</v>
      </c>
      <c r="H11" s="22" t="str">
        <f t="shared" si="1"/>
        <v>جيد</v>
      </c>
      <c r="I11" s="32"/>
      <c r="J11" s="32"/>
    </row>
    <row r="12" spans="1:10" ht="30" customHeight="1" x14ac:dyDescent="0.2">
      <c r="A12" s="10"/>
      <c r="B12" s="31" t="s">
        <v>183</v>
      </c>
      <c r="C12" s="31"/>
      <c r="D12" s="31"/>
      <c r="E12" s="9">
        <v>5</v>
      </c>
      <c r="F12" s="30">
        <v>3.5</v>
      </c>
      <c r="G12" s="21">
        <f t="shared" si="0"/>
        <v>0.7</v>
      </c>
      <c r="H12" s="22" t="str">
        <f t="shared" si="1"/>
        <v>جيد</v>
      </c>
      <c r="I12" s="32"/>
      <c r="J12" s="32"/>
    </row>
    <row r="13" spans="1:10" ht="30" customHeight="1" x14ac:dyDescent="0.2">
      <c r="A13" s="10"/>
      <c r="B13" s="31" t="s">
        <v>184</v>
      </c>
      <c r="C13" s="31"/>
      <c r="D13" s="31"/>
      <c r="E13" s="9">
        <v>5</v>
      </c>
      <c r="F13" s="30">
        <v>3.5</v>
      </c>
      <c r="G13" s="21">
        <f t="shared" si="0"/>
        <v>0.7</v>
      </c>
      <c r="H13" s="22" t="str">
        <f t="shared" si="1"/>
        <v>جيد</v>
      </c>
      <c r="I13" s="32"/>
      <c r="J13" s="32"/>
    </row>
    <row r="14" spans="1:10" ht="30" customHeight="1" x14ac:dyDescent="0.2">
      <c r="A14" s="10"/>
      <c r="B14" s="31" t="s">
        <v>185</v>
      </c>
      <c r="C14" s="31"/>
      <c r="D14" s="31"/>
      <c r="E14" s="9">
        <v>5</v>
      </c>
      <c r="F14" s="30">
        <v>3.5</v>
      </c>
      <c r="G14" s="21">
        <f t="shared" si="0"/>
        <v>0.7</v>
      </c>
      <c r="H14" s="22" t="str">
        <f t="shared" si="1"/>
        <v>جيد</v>
      </c>
      <c r="I14" s="32"/>
      <c r="J14" s="32"/>
    </row>
    <row r="15" spans="1:10" ht="30" customHeight="1" x14ac:dyDescent="0.2">
      <c r="A15" s="10"/>
      <c r="B15" s="31" t="s">
        <v>186</v>
      </c>
      <c r="C15" s="31"/>
      <c r="D15" s="31"/>
      <c r="E15" s="9">
        <v>5</v>
      </c>
      <c r="F15" s="30">
        <v>4</v>
      </c>
      <c r="G15" s="21">
        <f t="shared" si="0"/>
        <v>0.8</v>
      </c>
      <c r="H15" s="22" t="str">
        <f t="shared" si="1"/>
        <v>جيد جداً</v>
      </c>
      <c r="I15" s="32"/>
      <c r="J15" s="32"/>
    </row>
    <row r="16" spans="1:10" ht="30" customHeight="1" x14ac:dyDescent="0.2">
      <c r="A16" s="10"/>
      <c r="B16" s="31" t="s">
        <v>187</v>
      </c>
      <c r="C16" s="31"/>
      <c r="D16" s="31"/>
      <c r="E16" s="9">
        <v>5</v>
      </c>
      <c r="F16" s="30">
        <v>3.5</v>
      </c>
      <c r="G16" s="21">
        <f t="shared" si="0"/>
        <v>0.7</v>
      </c>
      <c r="H16" s="22" t="str">
        <f t="shared" si="1"/>
        <v>جيد</v>
      </c>
      <c r="I16" s="32"/>
      <c r="J16" s="32"/>
    </row>
    <row r="17" spans="1:10" ht="30" customHeight="1" x14ac:dyDescent="0.2">
      <c r="A17" s="10"/>
      <c r="B17" s="31" t="s">
        <v>188</v>
      </c>
      <c r="C17" s="31"/>
      <c r="D17" s="31"/>
      <c r="E17" s="9">
        <v>5</v>
      </c>
      <c r="F17" s="30">
        <v>3.5</v>
      </c>
      <c r="G17" s="21">
        <f t="shared" si="0"/>
        <v>0.7</v>
      </c>
      <c r="H17" s="22" t="str">
        <f t="shared" si="1"/>
        <v>جيد</v>
      </c>
      <c r="I17" s="32"/>
      <c r="J17" s="32"/>
    </row>
    <row r="18" spans="1:10" ht="52.5" customHeight="1" x14ac:dyDescent="0.2">
      <c r="A18" s="10"/>
      <c r="B18" s="31" t="s">
        <v>189</v>
      </c>
      <c r="C18" s="31"/>
      <c r="D18" s="31"/>
      <c r="E18" s="9">
        <v>10</v>
      </c>
      <c r="F18" s="30">
        <v>6</v>
      </c>
      <c r="G18" s="21">
        <f t="shared" si="0"/>
        <v>0.6</v>
      </c>
      <c r="H18" s="22" t="str">
        <f t="shared" si="1"/>
        <v>مقبول</v>
      </c>
      <c r="I18" s="32"/>
      <c r="J18" s="32"/>
    </row>
    <row r="19" spans="1:10" ht="30" customHeight="1" x14ac:dyDescent="0.2">
      <c r="A19" s="10"/>
      <c r="B19" s="31" t="s">
        <v>190</v>
      </c>
      <c r="C19" s="31"/>
      <c r="D19" s="31"/>
      <c r="E19" s="9">
        <v>5</v>
      </c>
      <c r="F19" s="30">
        <v>4</v>
      </c>
      <c r="G19" s="21">
        <f t="shared" si="0"/>
        <v>0.8</v>
      </c>
      <c r="H19" s="22" t="str">
        <f t="shared" si="1"/>
        <v>جيد جداً</v>
      </c>
      <c r="I19" s="32"/>
      <c r="J19" s="32"/>
    </row>
    <row r="20" spans="1:10" ht="30" customHeight="1" x14ac:dyDescent="0.2">
      <c r="A20" s="10"/>
      <c r="B20" s="31" t="s">
        <v>191</v>
      </c>
      <c r="C20" s="31"/>
      <c r="D20" s="31"/>
      <c r="E20" s="9">
        <v>5</v>
      </c>
      <c r="F20" s="30">
        <v>3.75</v>
      </c>
      <c r="G20" s="21">
        <f t="shared" ref="G20" si="2">IFERROR(F20/E20,"")</f>
        <v>0.75</v>
      </c>
      <c r="H20" s="22" t="str">
        <f t="shared" ref="H20" si="3">_xlfn.IFS(F20="أدخل العلامة","",F20="لا ينطبق","تم الإلغاء",G20&gt;=90%,"ممتاز",G20&gt;=80%,"جيد جداً",G20&gt;=70%,"جيد",G20&gt;=60%,"مقبول",G20&lt;60%,"راسب")</f>
        <v>جيد</v>
      </c>
      <c r="I20" s="32"/>
      <c r="J20" s="32"/>
    </row>
    <row r="21" spans="1:10" ht="30" customHeight="1" x14ac:dyDescent="0.2">
      <c r="A21" s="10"/>
      <c r="B21" s="31" t="s">
        <v>177</v>
      </c>
      <c r="C21" s="31"/>
      <c r="D21" s="31"/>
      <c r="E21" s="9">
        <v>5</v>
      </c>
      <c r="F21" s="30">
        <v>4</v>
      </c>
      <c r="G21" s="21">
        <f t="shared" si="0"/>
        <v>0.8</v>
      </c>
      <c r="H21" s="22" t="str">
        <f t="shared" si="1"/>
        <v>جيد جداً</v>
      </c>
      <c r="I21" s="32"/>
      <c r="J21" s="32"/>
    </row>
    <row r="22" spans="1:10" ht="30" customHeight="1" x14ac:dyDescent="0.2">
      <c r="A22" s="10"/>
      <c r="B22" s="31" t="s">
        <v>178</v>
      </c>
      <c r="C22" s="31"/>
      <c r="D22" s="31"/>
      <c r="E22" s="9">
        <v>5</v>
      </c>
      <c r="F22" s="30">
        <v>3.5</v>
      </c>
      <c r="G22" s="21">
        <f t="shared" si="0"/>
        <v>0.7</v>
      </c>
      <c r="H22" s="22" t="str">
        <f t="shared" si="1"/>
        <v>جيد</v>
      </c>
      <c r="I22" s="32"/>
      <c r="J22" s="32"/>
    </row>
    <row r="23" spans="1:10" ht="30" customHeight="1" x14ac:dyDescent="0.2">
      <c r="A23" s="10"/>
      <c r="B23" s="31" t="s">
        <v>192</v>
      </c>
      <c r="C23" s="31"/>
      <c r="D23" s="31"/>
      <c r="E23" s="9">
        <v>5</v>
      </c>
      <c r="F23" s="30">
        <v>3.5</v>
      </c>
      <c r="G23" s="21">
        <f t="shared" si="0"/>
        <v>0.7</v>
      </c>
      <c r="H23" s="22" t="str">
        <f t="shared" si="1"/>
        <v>جيد</v>
      </c>
      <c r="I23" s="32"/>
      <c r="J23" s="32"/>
    </row>
    <row r="24" spans="1:10" ht="30" customHeight="1" x14ac:dyDescent="0.2">
      <c r="A24" s="10"/>
      <c r="B24" s="31" t="s">
        <v>193</v>
      </c>
      <c r="C24" s="31"/>
      <c r="D24" s="31"/>
      <c r="E24" s="9">
        <v>5</v>
      </c>
      <c r="F24" s="30">
        <v>3.75</v>
      </c>
      <c r="G24" s="21">
        <f t="shared" si="0"/>
        <v>0.75</v>
      </c>
      <c r="H24" s="22" t="str">
        <f t="shared" si="1"/>
        <v>جيد</v>
      </c>
      <c r="I24" s="32"/>
      <c r="J24" s="32"/>
    </row>
    <row r="25" spans="1:10" ht="30" customHeight="1" x14ac:dyDescent="0.2">
      <c r="A25" s="10"/>
      <c r="B25" s="31" t="s">
        <v>194</v>
      </c>
      <c r="C25" s="31"/>
      <c r="D25" s="31"/>
      <c r="E25" s="9">
        <v>5</v>
      </c>
      <c r="F25" s="30">
        <v>3.75</v>
      </c>
      <c r="G25" s="21">
        <f t="shared" si="0"/>
        <v>0.75</v>
      </c>
      <c r="H25" s="22" t="str">
        <f t="shared" si="1"/>
        <v>جيد</v>
      </c>
      <c r="I25" s="32"/>
      <c r="J25" s="32"/>
    </row>
    <row r="26" spans="1:10" ht="30" customHeight="1" x14ac:dyDescent="0.2">
      <c r="A26" s="10"/>
      <c r="B26" s="31" t="s">
        <v>195</v>
      </c>
      <c r="C26" s="31"/>
      <c r="D26" s="31"/>
      <c r="E26" s="9">
        <v>5</v>
      </c>
      <c r="F26" s="30">
        <v>4</v>
      </c>
      <c r="G26" s="21">
        <f t="shared" si="0"/>
        <v>0.8</v>
      </c>
      <c r="H26" s="22" t="str">
        <f t="shared" si="1"/>
        <v>جيد جداً</v>
      </c>
      <c r="I26" s="32"/>
      <c r="J26" s="32"/>
    </row>
    <row r="27" spans="1:10" ht="30" customHeight="1" thickBot="1" x14ac:dyDescent="0.25">
      <c r="A27" s="4"/>
      <c r="B27" s="50" t="s">
        <v>5</v>
      </c>
      <c r="C27" s="51"/>
      <c r="D27" s="51"/>
      <c r="E27" s="20">
        <f>SUM(E8:E26)</f>
        <v>100</v>
      </c>
      <c r="F27" s="20">
        <f>SUM(F8:F26)</f>
        <v>72.25</v>
      </c>
      <c r="G27" s="45"/>
      <c r="H27" s="46"/>
      <c r="I27" s="46"/>
      <c r="J27" s="47"/>
    </row>
    <row r="28" spans="1:10" ht="30" customHeight="1" thickBot="1" x14ac:dyDescent="0.25">
      <c r="A28" s="4"/>
      <c r="B28" s="42" t="s">
        <v>54</v>
      </c>
      <c r="C28" s="43"/>
      <c r="D28" s="43"/>
      <c r="E28" s="39">
        <f>F27/E27/100*100</f>
        <v>0.72250000000000003</v>
      </c>
      <c r="F28" s="39"/>
      <c r="G28" s="39"/>
      <c r="H28" s="39"/>
      <c r="I28" s="39"/>
      <c r="J28" s="40"/>
    </row>
    <row r="29" spans="1:10" ht="30" customHeight="1" thickBot="1" x14ac:dyDescent="0.25">
      <c r="A29" s="4"/>
      <c r="B29" s="42" t="s">
        <v>55</v>
      </c>
      <c r="C29" s="43"/>
      <c r="D29" s="43"/>
      <c r="E29" s="37" t="str">
        <f>_xlfn.IFS(E28&gt;=90%,"ممتاز",E28&gt;=80%,"جيد جداً",E28&gt;=70%,"جيد",E28&gt;=60%,"مقبول",E28&lt;60%,"راسب")</f>
        <v>جيد</v>
      </c>
      <c r="F29" s="37"/>
      <c r="G29" s="37"/>
      <c r="H29" s="37"/>
      <c r="I29" s="37"/>
      <c r="J29" s="38"/>
    </row>
    <row r="30" spans="1:10" ht="42" customHeight="1" x14ac:dyDescent="0.2">
      <c r="B30" s="33" t="s">
        <v>63</v>
      </c>
      <c r="C30" s="33"/>
      <c r="D30" s="33"/>
      <c r="E30" s="44" t="s">
        <v>52</v>
      </c>
      <c r="F30" s="44"/>
      <c r="G30" s="35" t="s">
        <v>107</v>
      </c>
      <c r="H30" s="35"/>
      <c r="I30" s="35"/>
      <c r="J30" s="35"/>
    </row>
    <row r="31" spans="1:10" ht="51" customHeight="1" x14ac:dyDescent="0.2">
      <c r="A31" s="5"/>
      <c r="B31" s="34"/>
      <c r="C31" s="34"/>
      <c r="D31" s="34"/>
      <c r="E31" s="41" t="s">
        <v>53</v>
      </c>
      <c r="F31" s="41"/>
      <c r="G31" s="36"/>
      <c r="H31" s="36"/>
      <c r="I31" s="36"/>
      <c r="J31" s="3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9">
    <mergeCell ref="I14:J14"/>
    <mergeCell ref="I13:J13"/>
    <mergeCell ref="B7:D7"/>
    <mergeCell ref="I23:J23"/>
    <mergeCell ref="B8:D8"/>
    <mergeCell ref="B9:D9"/>
    <mergeCell ref="B10:D10"/>
    <mergeCell ref="B12:D12"/>
    <mergeCell ref="B13:D13"/>
    <mergeCell ref="B14:D14"/>
    <mergeCell ref="I17:J17"/>
    <mergeCell ref="I18:J18"/>
    <mergeCell ref="I22:J22"/>
    <mergeCell ref="B20:D20"/>
    <mergeCell ref="B22:D22"/>
    <mergeCell ref="I20:J20"/>
    <mergeCell ref="I7:J7"/>
    <mergeCell ref="B27:D27"/>
    <mergeCell ref="B28:D28"/>
    <mergeCell ref="B1:J1"/>
    <mergeCell ref="F2:J2"/>
    <mergeCell ref="B5:D6"/>
    <mergeCell ref="C2:D2"/>
    <mergeCell ref="C3:D3"/>
    <mergeCell ref="F3:J3"/>
    <mergeCell ref="E5:H5"/>
    <mergeCell ref="I5:J6"/>
    <mergeCell ref="I15:J15"/>
    <mergeCell ref="I8:J8"/>
    <mergeCell ref="I9:J9"/>
    <mergeCell ref="I10:J10"/>
    <mergeCell ref="I11:J11"/>
    <mergeCell ref="I12:J12"/>
    <mergeCell ref="B30:D31"/>
    <mergeCell ref="G30:J30"/>
    <mergeCell ref="G31:J31"/>
    <mergeCell ref="E29:J29"/>
    <mergeCell ref="E28:J28"/>
    <mergeCell ref="E31:F31"/>
    <mergeCell ref="B29:D29"/>
    <mergeCell ref="I19:J19"/>
    <mergeCell ref="I21:J21"/>
    <mergeCell ref="I16:J16"/>
    <mergeCell ref="E30:F30"/>
    <mergeCell ref="G27:J27"/>
    <mergeCell ref="B23:D23"/>
    <mergeCell ref="B26:D26"/>
    <mergeCell ref="I24:J24"/>
    <mergeCell ref="I25:J25"/>
    <mergeCell ref="I26:J26"/>
    <mergeCell ref="B24:D24"/>
    <mergeCell ref="B25:D25"/>
    <mergeCell ref="B19:D19"/>
    <mergeCell ref="B21:D21"/>
    <mergeCell ref="B11:D11"/>
    <mergeCell ref="B15:D15"/>
    <mergeCell ref="B16:D16"/>
    <mergeCell ref="B17:D17"/>
    <mergeCell ref="B18:D18"/>
  </mergeCells>
  <conditionalFormatting sqref="C2:D2">
    <cfRule type="containsText" dxfId="16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9">
    <cfRule type="expression" dxfId="14" priority="71">
      <formula>$E29="راسب"</formula>
    </cfRule>
  </conditionalFormatting>
  <conditionalFormatting sqref="E29:J29">
    <cfRule type="expression" dxfId="13" priority="72">
      <formula>$E29="مقبول"</formula>
    </cfRule>
    <cfRule type="expression" dxfId="12" priority="73">
      <formula>$E29="جيد"</formula>
    </cfRule>
    <cfRule type="expression" dxfId="11" priority="74">
      <formula>$E29="جيد جداً"</formula>
    </cfRule>
    <cfRule type="expression" dxfId="10" priority="75">
      <formula>$E29="ممتاز"</formula>
    </cfRule>
  </conditionalFormatting>
  <conditionalFormatting sqref="F8:F26">
    <cfRule type="containsText" dxfId="9" priority="28" operator="containsText" text="أدخل العلامة">
      <formula>NOT(ISERROR(SEARCH("أدخل العلامة",F8)))</formula>
    </cfRule>
  </conditionalFormatting>
  <conditionalFormatting sqref="F2:J2">
    <cfRule type="containsText" dxfId="8" priority="33" operator="containsText" text="أدخل التاريخ">
      <formula>NOT(ISERROR(SEARCH("أدخل التاريخ",F2)))</formula>
    </cfRule>
  </conditionalFormatting>
  <conditionalFormatting sqref="F3:J3">
    <cfRule type="containsText" dxfId="7" priority="30" operator="containsText" text="أدخل أسم المحكم">
      <formula>NOT(ISERROR(SEARCH("أدخل أسم المحكم",F3)))</formula>
    </cfRule>
  </conditionalFormatting>
  <conditionalFormatting sqref="G30:J30">
    <cfRule type="containsText" dxfId="6" priority="29" operator="containsText" text="أدخل اسم المحكم">
      <formula>NOT(ISERROR(SEARCH("أدخل اسم المحكم",G30)))</formula>
    </cfRule>
  </conditionalFormatting>
  <conditionalFormatting sqref="H8:H26">
    <cfRule type="containsText" dxfId="5" priority="52" operator="containsText" text="أدخل العلامة">
      <formula>NOT(ISERROR(SEARCH("أدخل العلامة",H8)))</formula>
    </cfRule>
    <cfRule type="containsText" dxfId="4" priority="53" operator="containsText" text="ممتاز">
      <formula>NOT(ISERROR(SEARCH("ممتاز",H8)))</formula>
    </cfRule>
    <cfRule type="containsText" dxfId="3" priority="54" operator="containsText" text="جيد جداً">
      <formula>NOT(ISERROR(SEARCH("جيد جداً",H8)))</formula>
    </cfRule>
    <cfRule type="containsText" dxfId="2" priority="55" operator="containsText" text="جيد">
      <formula>NOT(ISERROR(SEARCH("جيد",H8)))</formula>
    </cfRule>
    <cfRule type="containsText" dxfId="1" priority="56" operator="containsText" text="مقبول">
      <formula>NOT(ISERROR(SEARCH("مقبول",H8)))</formula>
    </cfRule>
    <cfRule type="containsText" dxfId="0" priority="5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F24:F26 F8:F17 F19:F23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G30:J30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DDECF36-2459-4895-B585-8FAEFEA4BC26}">
          <x14:formula1>
            <xm:f>'بيانات التقييم'!$A$111:$A$153</xm:f>
          </x14:formula1>
          <xm:sqref>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A199" sqref="A199:A286"/>
    </sheetView>
  </sheetViews>
  <sheetFormatPr defaultRowHeight="20.100000000000001" customHeight="1" x14ac:dyDescent="0.2"/>
  <cols>
    <col min="1" max="1" width="42.37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3" t="s">
        <v>64</v>
      </c>
    </row>
    <row r="3" spans="1:3" ht="20.100000000000001" customHeight="1" thickBot="1" x14ac:dyDescent="0.3">
      <c r="A3" s="2" t="s">
        <v>26</v>
      </c>
      <c r="C3" s="23" t="s">
        <v>65</v>
      </c>
    </row>
    <row r="4" spans="1:3" ht="20.100000000000001" customHeight="1" thickBot="1" x14ac:dyDescent="0.3">
      <c r="A4" s="2" t="s">
        <v>36</v>
      </c>
      <c r="C4" s="23" t="s">
        <v>66</v>
      </c>
    </row>
    <row r="5" spans="1:3" ht="20.100000000000001" customHeight="1" thickBot="1" x14ac:dyDescent="0.3">
      <c r="A5" s="2" t="s">
        <v>37</v>
      </c>
      <c r="C5" s="23" t="s">
        <v>67</v>
      </c>
    </row>
    <row r="6" spans="1:3" ht="20.100000000000001" customHeight="1" thickBot="1" x14ac:dyDescent="0.3">
      <c r="A6" s="2" t="s">
        <v>38</v>
      </c>
      <c r="C6" s="23" t="s">
        <v>68</v>
      </c>
    </row>
    <row r="7" spans="1:3" ht="20.100000000000001" customHeight="1" thickBot="1" x14ac:dyDescent="0.3">
      <c r="A7" s="2" t="s">
        <v>39</v>
      </c>
      <c r="C7" s="23" t="s">
        <v>69</v>
      </c>
    </row>
    <row r="8" spans="1:3" ht="20.100000000000001" customHeight="1" thickBot="1" x14ac:dyDescent="0.3">
      <c r="A8" s="2" t="s">
        <v>40</v>
      </c>
      <c r="C8" s="23" t="s">
        <v>70</v>
      </c>
    </row>
    <row r="9" spans="1:3" ht="20.100000000000001" customHeight="1" thickBot="1" x14ac:dyDescent="0.3">
      <c r="A9" s="2" t="s">
        <v>41</v>
      </c>
      <c r="C9" s="23" t="s">
        <v>71</v>
      </c>
    </row>
    <row r="10" spans="1:3" ht="20.100000000000001" customHeight="1" thickBot="1" x14ac:dyDescent="0.3">
      <c r="A10" s="2" t="s">
        <v>42</v>
      </c>
      <c r="C10" s="23" t="s">
        <v>72</v>
      </c>
    </row>
    <row r="11" spans="1:3" ht="20.100000000000001" customHeight="1" thickBot="1" x14ac:dyDescent="0.3">
      <c r="A11" s="2" t="s">
        <v>43</v>
      </c>
      <c r="C11" s="23" t="s">
        <v>73</v>
      </c>
    </row>
    <row r="12" spans="1:3" ht="20.100000000000001" customHeight="1" thickBot="1" x14ac:dyDescent="0.3">
      <c r="A12" s="2" t="s">
        <v>44</v>
      </c>
      <c r="C12" s="23" t="s">
        <v>74</v>
      </c>
    </row>
    <row r="13" spans="1:3" ht="20.100000000000001" customHeight="1" thickBot="1" x14ac:dyDescent="0.3">
      <c r="A13" s="2" t="s">
        <v>45</v>
      </c>
      <c r="C13" s="23" t="s">
        <v>75</v>
      </c>
    </row>
    <row r="14" spans="1:3" ht="20.100000000000001" customHeight="1" thickBot="1" x14ac:dyDescent="0.3">
      <c r="A14" s="2" t="s">
        <v>46</v>
      </c>
      <c r="C14" s="23" t="s">
        <v>76</v>
      </c>
    </row>
    <row r="15" spans="1:3" ht="20.100000000000001" customHeight="1" thickBot="1" x14ac:dyDescent="0.3">
      <c r="A15" s="2" t="s">
        <v>47</v>
      </c>
      <c r="C15" s="23" t="s">
        <v>77</v>
      </c>
    </row>
    <row r="16" spans="1:3" ht="20.100000000000001" customHeight="1" thickBot="1" x14ac:dyDescent="0.3">
      <c r="A16" s="2" t="s">
        <v>10</v>
      </c>
      <c r="C16" s="23" t="s">
        <v>78</v>
      </c>
    </row>
    <row r="17" spans="1:3" ht="20.100000000000001" customHeight="1" thickBot="1" x14ac:dyDescent="0.3">
      <c r="A17" s="2" t="s">
        <v>27</v>
      </c>
      <c r="C17" s="23" t="s">
        <v>79</v>
      </c>
    </row>
    <row r="18" spans="1:3" ht="20.100000000000001" customHeight="1" thickBot="1" x14ac:dyDescent="0.3">
      <c r="A18" s="2" t="s">
        <v>48</v>
      </c>
      <c r="C18" s="23" t="s">
        <v>80</v>
      </c>
    </row>
    <row r="19" spans="1:3" ht="20.100000000000001" customHeight="1" thickBot="1" x14ac:dyDescent="0.3">
      <c r="A19" s="2" t="s">
        <v>49</v>
      </c>
      <c r="C19" s="23" t="s">
        <v>81</v>
      </c>
    </row>
    <row r="20" spans="1:3" ht="20.100000000000001" customHeight="1" thickBot="1" x14ac:dyDescent="0.3">
      <c r="A20" s="2" t="s">
        <v>50</v>
      </c>
      <c r="C20" s="23" t="s">
        <v>82</v>
      </c>
    </row>
    <row r="21" spans="1:3" ht="20.100000000000001" customHeight="1" thickBot="1" x14ac:dyDescent="0.3">
      <c r="A21" s="2" t="s">
        <v>51</v>
      </c>
      <c r="C21" s="23" t="s">
        <v>83</v>
      </c>
    </row>
    <row r="22" spans="1:3" ht="20.100000000000001" customHeight="1" thickBot="1" x14ac:dyDescent="0.3">
      <c r="A22" s="2" t="s">
        <v>11</v>
      </c>
      <c r="C22" s="23" t="s">
        <v>84</v>
      </c>
    </row>
    <row r="23" spans="1:3" ht="20.100000000000001" customHeight="1" thickBot="1" x14ac:dyDescent="0.3">
      <c r="A23" s="2" t="s">
        <v>12</v>
      </c>
      <c r="C23" s="23" t="s">
        <v>85</v>
      </c>
    </row>
    <row r="24" spans="1:3" ht="20.100000000000001" customHeight="1" thickBot="1" x14ac:dyDescent="0.3">
      <c r="A24" s="2" t="s">
        <v>15</v>
      </c>
      <c r="C24" s="23" t="s">
        <v>86</v>
      </c>
    </row>
    <row r="25" spans="1:3" ht="20.100000000000001" customHeight="1" thickBot="1" x14ac:dyDescent="0.3">
      <c r="A25" s="2" t="s">
        <v>28</v>
      </c>
      <c r="C25" s="23" t="s">
        <v>87</v>
      </c>
    </row>
    <row r="26" spans="1:3" ht="20.100000000000001" customHeight="1" thickBot="1" x14ac:dyDescent="0.3">
      <c r="A26" s="2" t="s">
        <v>29</v>
      </c>
      <c r="C26" s="23" t="s">
        <v>88</v>
      </c>
    </row>
    <row r="27" spans="1:3" ht="20.100000000000001" customHeight="1" thickBot="1" x14ac:dyDescent="0.3">
      <c r="A27" s="2" t="s">
        <v>13</v>
      </c>
      <c r="C27" s="23" t="s">
        <v>89</v>
      </c>
    </row>
    <row r="28" spans="1:3" ht="20.100000000000001" customHeight="1" thickBot="1" x14ac:dyDescent="0.3">
      <c r="A28" s="2" t="s">
        <v>30</v>
      </c>
      <c r="C28" s="23" t="s">
        <v>90</v>
      </c>
    </row>
    <row r="29" spans="1:3" ht="20.100000000000001" customHeight="1" thickBot="1" x14ac:dyDescent="0.3">
      <c r="A29" s="2" t="s">
        <v>31</v>
      </c>
      <c r="C29" s="2" t="s">
        <v>61</v>
      </c>
    </row>
    <row r="30" spans="1:3" ht="20.100000000000001" customHeight="1" thickBot="1" x14ac:dyDescent="0.3">
      <c r="A30" s="2" t="s">
        <v>32</v>
      </c>
      <c r="C30" s="2" t="s">
        <v>61</v>
      </c>
    </row>
    <row r="31" spans="1:3" ht="20.100000000000001" customHeight="1" thickBot="1" x14ac:dyDescent="0.3">
      <c r="A31" s="2" t="s">
        <v>33</v>
      </c>
      <c r="C31" s="2" t="s">
        <v>61</v>
      </c>
    </row>
    <row r="32" spans="1:3" ht="20.100000000000001" customHeight="1" thickBot="1" x14ac:dyDescent="0.3">
      <c r="A32" s="2" t="s">
        <v>16</v>
      </c>
      <c r="C32" s="2" t="s">
        <v>61</v>
      </c>
    </row>
    <row r="33" spans="1:9" ht="20.100000000000001" customHeight="1" thickBot="1" x14ac:dyDescent="0.3">
      <c r="A33" s="2" t="s">
        <v>14</v>
      </c>
      <c r="C33" s="2" t="s">
        <v>61</v>
      </c>
    </row>
    <row r="34" spans="1:9" ht="20.100000000000001" customHeight="1" thickBot="1" x14ac:dyDescent="0.3">
      <c r="A34" s="2" t="s">
        <v>34</v>
      </c>
      <c r="C34" s="2" t="s">
        <v>61</v>
      </c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62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4" t="s">
        <v>91</v>
      </c>
    </row>
    <row r="200" spans="1:1" ht="20.100000000000001" customHeight="1" x14ac:dyDescent="0.2">
      <c r="A200" s="24" t="s">
        <v>92</v>
      </c>
    </row>
    <row r="201" spans="1:1" ht="20.100000000000001" customHeight="1" x14ac:dyDescent="0.2">
      <c r="A201" s="24" t="s">
        <v>93</v>
      </c>
    </row>
    <row r="202" spans="1:1" ht="20.100000000000001" customHeight="1" x14ac:dyDescent="0.2">
      <c r="A202" s="24" t="s">
        <v>94</v>
      </c>
    </row>
    <row r="203" spans="1:1" ht="20.100000000000001" customHeight="1" x14ac:dyDescent="0.2">
      <c r="A203" s="24" t="s">
        <v>95</v>
      </c>
    </row>
    <row r="204" spans="1:1" ht="20.100000000000001" customHeight="1" x14ac:dyDescent="0.2">
      <c r="A204" s="24" t="s">
        <v>96</v>
      </c>
    </row>
    <row r="205" spans="1:1" ht="20.100000000000001" customHeight="1" x14ac:dyDescent="0.2">
      <c r="A205" s="24" t="s">
        <v>97</v>
      </c>
    </row>
    <row r="206" spans="1:1" ht="20.100000000000001" customHeight="1" x14ac:dyDescent="0.2">
      <c r="A206" s="24" t="s">
        <v>98</v>
      </c>
    </row>
    <row r="207" spans="1:1" ht="20.100000000000001" customHeight="1" x14ac:dyDescent="0.2">
      <c r="A207" s="24" t="s">
        <v>99</v>
      </c>
    </row>
    <row r="208" spans="1:1" ht="20.100000000000001" customHeight="1" x14ac:dyDescent="0.2">
      <c r="A208" s="25" t="s">
        <v>100</v>
      </c>
    </row>
    <row r="209" spans="1:1" ht="20.100000000000001" customHeight="1" x14ac:dyDescent="0.2">
      <c r="A209" s="25" t="s">
        <v>101</v>
      </c>
    </row>
    <row r="210" spans="1:1" ht="20.100000000000001" customHeight="1" x14ac:dyDescent="0.2">
      <c r="A210" s="24" t="s">
        <v>102</v>
      </c>
    </row>
    <row r="211" spans="1:1" ht="20.100000000000001" customHeight="1" x14ac:dyDescent="0.2">
      <c r="A211" s="24" t="s">
        <v>103</v>
      </c>
    </row>
    <row r="212" spans="1:1" ht="20.100000000000001" customHeight="1" x14ac:dyDescent="0.2">
      <c r="A212" s="24" t="s">
        <v>104</v>
      </c>
    </row>
    <row r="213" spans="1:1" ht="20.100000000000001" customHeight="1" x14ac:dyDescent="0.2">
      <c r="A213" s="24" t="s">
        <v>105</v>
      </c>
    </row>
    <row r="214" spans="1:1" ht="20.100000000000001" customHeight="1" x14ac:dyDescent="0.2">
      <c r="A214" s="24" t="s">
        <v>106</v>
      </c>
    </row>
    <row r="215" spans="1:1" ht="20.100000000000001" customHeight="1" x14ac:dyDescent="0.2">
      <c r="A215" s="24" t="s">
        <v>107</v>
      </c>
    </row>
    <row r="216" spans="1:1" ht="20.100000000000001" customHeight="1" x14ac:dyDescent="0.2">
      <c r="A216" s="24" t="s">
        <v>108</v>
      </c>
    </row>
    <row r="217" spans="1:1" ht="20.100000000000001" customHeight="1" x14ac:dyDescent="0.2">
      <c r="A217" s="24" t="s">
        <v>109</v>
      </c>
    </row>
    <row r="218" spans="1:1" ht="20.100000000000001" customHeight="1" x14ac:dyDescent="0.2">
      <c r="A218" s="24" t="s">
        <v>110</v>
      </c>
    </row>
    <row r="219" spans="1:1" ht="20.100000000000001" customHeight="1" x14ac:dyDescent="0.2">
      <c r="A219" s="24" t="s">
        <v>111</v>
      </c>
    </row>
    <row r="220" spans="1:1" ht="20.100000000000001" customHeight="1" x14ac:dyDescent="0.2">
      <c r="A220" s="24" t="s">
        <v>112</v>
      </c>
    </row>
    <row r="221" spans="1:1" ht="20.100000000000001" customHeight="1" x14ac:dyDescent="0.2">
      <c r="A221" s="24" t="s">
        <v>113</v>
      </c>
    </row>
    <row r="222" spans="1:1" ht="20.100000000000001" customHeight="1" x14ac:dyDescent="0.2">
      <c r="A222" s="24" t="s">
        <v>114</v>
      </c>
    </row>
    <row r="223" spans="1:1" ht="20.100000000000001" customHeight="1" x14ac:dyDescent="0.2">
      <c r="A223" s="24" t="s">
        <v>115</v>
      </c>
    </row>
    <row r="224" spans="1:1" ht="20.100000000000001" customHeight="1" x14ac:dyDescent="0.2">
      <c r="A224" s="24" t="s">
        <v>116</v>
      </c>
    </row>
    <row r="225" spans="1:1" ht="20.100000000000001" customHeight="1" x14ac:dyDescent="0.2">
      <c r="A225" s="24" t="s">
        <v>117</v>
      </c>
    </row>
    <row r="226" spans="1:1" ht="20.100000000000001" customHeight="1" x14ac:dyDescent="0.2">
      <c r="A226" s="24" t="s">
        <v>118</v>
      </c>
    </row>
    <row r="227" spans="1:1" ht="20.100000000000001" customHeight="1" x14ac:dyDescent="0.2">
      <c r="A227" s="24" t="s">
        <v>119</v>
      </c>
    </row>
    <row r="228" spans="1:1" ht="20.100000000000001" customHeight="1" x14ac:dyDescent="0.2">
      <c r="A228" s="24" t="s">
        <v>120</v>
      </c>
    </row>
    <row r="229" spans="1:1" ht="20.100000000000001" customHeight="1" x14ac:dyDescent="0.2">
      <c r="A229" s="24" t="s">
        <v>121</v>
      </c>
    </row>
    <row r="230" spans="1:1" ht="20.100000000000001" customHeight="1" x14ac:dyDescent="0.2">
      <c r="A230" s="24" t="s">
        <v>122</v>
      </c>
    </row>
    <row r="231" spans="1:1" ht="20.100000000000001" customHeight="1" x14ac:dyDescent="0.2">
      <c r="A231" s="24" t="s">
        <v>123</v>
      </c>
    </row>
    <row r="232" spans="1:1" ht="20.100000000000001" customHeight="1" x14ac:dyDescent="0.2">
      <c r="A232" s="24" t="s">
        <v>124</v>
      </c>
    </row>
    <row r="233" spans="1:1" ht="20.100000000000001" customHeight="1" x14ac:dyDescent="0.2">
      <c r="A233" s="24" t="s">
        <v>125</v>
      </c>
    </row>
    <row r="234" spans="1:1" ht="20.100000000000001" customHeight="1" x14ac:dyDescent="0.2">
      <c r="A234" s="24" t="s">
        <v>126</v>
      </c>
    </row>
    <row r="235" spans="1:1" ht="20.100000000000001" customHeight="1" x14ac:dyDescent="0.2">
      <c r="A235" s="26" t="s">
        <v>127</v>
      </c>
    </row>
    <row r="236" spans="1:1" ht="20.100000000000001" customHeight="1" x14ac:dyDescent="0.2">
      <c r="A236" s="24" t="s">
        <v>128</v>
      </c>
    </row>
    <row r="237" spans="1:1" ht="20.100000000000001" customHeight="1" x14ac:dyDescent="0.2">
      <c r="A237" s="24" t="s">
        <v>129</v>
      </c>
    </row>
    <row r="238" spans="1:1" ht="20.100000000000001" customHeight="1" x14ac:dyDescent="0.2">
      <c r="A238" s="24" t="s">
        <v>130</v>
      </c>
    </row>
    <row r="239" spans="1:1" ht="20.100000000000001" customHeight="1" x14ac:dyDescent="0.2">
      <c r="A239" s="24" t="s">
        <v>131</v>
      </c>
    </row>
    <row r="240" spans="1:1" ht="20.100000000000001" customHeight="1" x14ac:dyDescent="0.2">
      <c r="A240" s="24" t="s">
        <v>132</v>
      </c>
    </row>
    <row r="241" spans="1:1" ht="20.100000000000001" customHeight="1" x14ac:dyDescent="0.2">
      <c r="A241" s="24" t="s">
        <v>133</v>
      </c>
    </row>
    <row r="242" spans="1:1" ht="20.100000000000001" customHeight="1" x14ac:dyDescent="0.2">
      <c r="A242" s="24" t="s">
        <v>134</v>
      </c>
    </row>
    <row r="243" spans="1:1" ht="20.100000000000001" customHeight="1" x14ac:dyDescent="0.2">
      <c r="A243" s="24" t="s">
        <v>135</v>
      </c>
    </row>
    <row r="244" spans="1:1" ht="20.100000000000001" customHeight="1" x14ac:dyDescent="0.2">
      <c r="A244" s="24" t="s">
        <v>136</v>
      </c>
    </row>
    <row r="245" spans="1:1" ht="20.100000000000001" customHeight="1" x14ac:dyDescent="0.2">
      <c r="A245" s="24" t="s">
        <v>137</v>
      </c>
    </row>
    <row r="246" spans="1:1" ht="20.100000000000001" customHeight="1" x14ac:dyDescent="0.2">
      <c r="A246" s="24" t="s">
        <v>138</v>
      </c>
    </row>
    <row r="247" spans="1:1" ht="20.100000000000001" customHeight="1" x14ac:dyDescent="0.2">
      <c r="A247" s="24" t="s">
        <v>129</v>
      </c>
    </row>
    <row r="248" spans="1:1" ht="20.100000000000001" customHeight="1" x14ac:dyDescent="0.2">
      <c r="A248" s="24" t="s">
        <v>139</v>
      </c>
    </row>
    <row r="249" spans="1:1" ht="20.100000000000001" customHeight="1" x14ac:dyDescent="0.2">
      <c r="A249" s="24" t="s">
        <v>140</v>
      </c>
    </row>
    <row r="250" spans="1:1" ht="20.100000000000001" customHeight="1" x14ac:dyDescent="0.2">
      <c r="A250" s="26" t="s">
        <v>141</v>
      </c>
    </row>
    <row r="251" spans="1:1" ht="20.100000000000001" customHeight="1" x14ac:dyDescent="0.2">
      <c r="A251" s="27" t="s">
        <v>142</v>
      </c>
    </row>
    <row r="252" spans="1:1" ht="20.100000000000001" customHeight="1" x14ac:dyDescent="0.2">
      <c r="A252" s="24" t="s">
        <v>143</v>
      </c>
    </row>
    <row r="253" spans="1:1" ht="20.100000000000001" customHeight="1" x14ac:dyDescent="0.2">
      <c r="A253" s="24" t="s">
        <v>144</v>
      </c>
    </row>
    <row r="254" spans="1:1" ht="20.100000000000001" customHeight="1" x14ac:dyDescent="0.2">
      <c r="A254" s="28" t="s">
        <v>145</v>
      </c>
    </row>
    <row r="255" spans="1:1" ht="20.100000000000001" customHeight="1" x14ac:dyDescent="0.2">
      <c r="A255" s="28" t="s">
        <v>146</v>
      </c>
    </row>
    <row r="256" spans="1:1" ht="20.100000000000001" customHeight="1" x14ac:dyDescent="0.2">
      <c r="A256" s="29" t="s">
        <v>147</v>
      </c>
    </row>
    <row r="257" spans="1:1" ht="20.100000000000001" customHeight="1" x14ac:dyDescent="0.2">
      <c r="A257" s="24" t="s">
        <v>148</v>
      </c>
    </row>
    <row r="258" spans="1:1" ht="20.100000000000001" customHeight="1" x14ac:dyDescent="0.2">
      <c r="A258" s="29" t="s">
        <v>149</v>
      </c>
    </row>
    <row r="259" spans="1:1" ht="20.100000000000001" customHeight="1" x14ac:dyDescent="0.2">
      <c r="A259" s="24" t="s">
        <v>150</v>
      </c>
    </row>
    <row r="260" spans="1:1" ht="20.100000000000001" customHeight="1" x14ac:dyDescent="0.2">
      <c r="A260" s="29" t="s">
        <v>151</v>
      </c>
    </row>
    <row r="261" spans="1:1" ht="20.100000000000001" customHeight="1" x14ac:dyDescent="0.2">
      <c r="A261" s="24" t="s">
        <v>152</v>
      </c>
    </row>
    <row r="262" spans="1:1" ht="20.100000000000001" customHeight="1" x14ac:dyDescent="0.2">
      <c r="A262" s="24" t="s">
        <v>153</v>
      </c>
    </row>
    <row r="263" spans="1:1" ht="20.100000000000001" customHeight="1" x14ac:dyDescent="0.2">
      <c r="A263" s="29" t="s">
        <v>154</v>
      </c>
    </row>
    <row r="264" spans="1:1" ht="20.100000000000001" customHeight="1" x14ac:dyDescent="0.2">
      <c r="A264" s="29" t="s">
        <v>155</v>
      </c>
    </row>
    <row r="265" spans="1:1" ht="20.100000000000001" customHeight="1" x14ac:dyDescent="0.2">
      <c r="A265" s="29" t="s">
        <v>156</v>
      </c>
    </row>
    <row r="266" spans="1:1" ht="20.100000000000001" customHeight="1" x14ac:dyDescent="0.2">
      <c r="A266" s="24" t="s">
        <v>157</v>
      </c>
    </row>
    <row r="267" spans="1:1" ht="20.100000000000001" customHeight="1" x14ac:dyDescent="0.2">
      <c r="A267" s="24" t="s">
        <v>158</v>
      </c>
    </row>
    <row r="268" spans="1:1" ht="20.100000000000001" customHeight="1" x14ac:dyDescent="0.2">
      <c r="A268" s="24" t="s">
        <v>159</v>
      </c>
    </row>
    <row r="269" spans="1:1" ht="20.100000000000001" customHeight="1" x14ac:dyDescent="0.2">
      <c r="A269" s="24" t="s">
        <v>160</v>
      </c>
    </row>
    <row r="270" spans="1:1" ht="20.100000000000001" customHeight="1" x14ac:dyDescent="0.2">
      <c r="A270" s="29" t="s">
        <v>161</v>
      </c>
    </row>
    <row r="271" spans="1:1" ht="20.100000000000001" customHeight="1" x14ac:dyDescent="0.2">
      <c r="A271" s="29" t="s">
        <v>162</v>
      </c>
    </row>
    <row r="272" spans="1:1" ht="20.100000000000001" customHeight="1" x14ac:dyDescent="0.2">
      <c r="A272" s="24" t="s">
        <v>163</v>
      </c>
    </row>
    <row r="273" spans="1:1" ht="20.100000000000001" customHeight="1" x14ac:dyDescent="0.2">
      <c r="A273" s="29" t="s">
        <v>164</v>
      </c>
    </row>
    <row r="274" spans="1:1" ht="20.100000000000001" customHeight="1" x14ac:dyDescent="0.2">
      <c r="A274" s="29" t="s">
        <v>165</v>
      </c>
    </row>
    <row r="275" spans="1:1" ht="20.100000000000001" customHeight="1" x14ac:dyDescent="0.2">
      <c r="A275" s="24" t="s">
        <v>166</v>
      </c>
    </row>
    <row r="276" spans="1:1" ht="20.100000000000001" customHeight="1" x14ac:dyDescent="0.2">
      <c r="A276" s="24" t="s">
        <v>167</v>
      </c>
    </row>
    <row r="277" spans="1:1" ht="20.100000000000001" customHeight="1" x14ac:dyDescent="0.2">
      <c r="A277" s="29" t="s">
        <v>168</v>
      </c>
    </row>
    <row r="278" spans="1:1" ht="20.100000000000001" customHeight="1" x14ac:dyDescent="0.2">
      <c r="A278" s="24" t="s">
        <v>169</v>
      </c>
    </row>
    <row r="279" spans="1:1" ht="20.100000000000001" customHeight="1" x14ac:dyDescent="0.2">
      <c r="A279" s="24" t="s">
        <v>170</v>
      </c>
    </row>
    <row r="280" spans="1:1" ht="20.100000000000001" customHeight="1" x14ac:dyDescent="0.2">
      <c r="A280" s="24" t="s">
        <v>171</v>
      </c>
    </row>
    <row r="281" spans="1:1" ht="20.100000000000001" customHeight="1" x14ac:dyDescent="0.2">
      <c r="A281" s="24" t="s">
        <v>172</v>
      </c>
    </row>
    <row r="282" spans="1:1" ht="20.100000000000001" customHeight="1" x14ac:dyDescent="0.2">
      <c r="A282" s="29" t="s">
        <v>173</v>
      </c>
    </row>
    <row r="283" spans="1:1" ht="20.100000000000001" customHeight="1" x14ac:dyDescent="0.2">
      <c r="A283" s="29" t="s">
        <v>174</v>
      </c>
    </row>
    <row r="284" spans="1:1" ht="20.100000000000001" customHeight="1" x14ac:dyDescent="0.2">
      <c r="A284" s="29" t="s">
        <v>175</v>
      </c>
    </row>
    <row r="285" spans="1:1" ht="20.100000000000001" customHeight="1" thickBot="1" x14ac:dyDescent="0.25">
      <c r="A285" s="24" t="s">
        <v>176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قائمة التقييم!_Hlk189049123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2025-10-06T08:24:27Z</dcterms:modified>
</cp:coreProperties>
</file>