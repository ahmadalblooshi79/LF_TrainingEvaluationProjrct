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908BB1C-D735-3047-B972-EDE67CB041F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<sst xmlns="http://schemas.openxmlformats.org/spreadsheetml/2006/main" count="244" uniqueCount="188">
  <si>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</si>
  <si>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</si>
  <si>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</si>
  <si>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</si>
  <si>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</si>
  <si>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</si>
  <si>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</si>
  <si>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</si>
  <si>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</si>
  <si>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</si>
  <si>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</si>
  <si>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</si>
  <si>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</si>
  <si>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</si>
  <si>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</si>
  <si>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</si>
  <si>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</si>
  <si>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</si>
  <si>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</si>
  <si>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</si>
  <si>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</si>
  <si>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</si>
  <si>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</si>
  <si>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</si>
  <si>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</si>
  <si>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</si>
  <si>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</si>
  <si>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</si>
  <si>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</si>
  <si>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</si>
  <si>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</si>
  <si>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</si>
  <si>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</si>
  <si>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</si>
  <si>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</si>
  <si>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</si>
  <si>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</si>
  <si>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</si>
  <si>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</si>
  <si>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</si>
  <si>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</si>
  <si>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</si>
  <si>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</si>
  <si>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</si>
  <si>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</si>
  <si>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</si>
  <si>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</si>
  <si>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</si>
  <si>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</si>
  <si>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</si>
  <si>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</si>
  <si>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</si>
  <si>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</si>
  <si>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</si>
  <si>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</si>
  <si>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</si>
  <si>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</si>
  <si>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</si>
  <si>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</si>
  <si>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</si>
  <si>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</si>
  <si>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</si>
  <si>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</si>
  <si>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</si>
  <si>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</si>
  <si>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</si>
  <si>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</si>
  <si>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</si>
  <si>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</si>
  <si>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</si>
  <si>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</si>
  <si>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</si>
  <si>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</si>
  <si>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</si>
  <si>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</si>
  <si>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</si>
  <si>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</si>
  <si>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</si>
  <si>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</si>
  <si>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</si>
  <si>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</si>
  <si>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</si>
  <si>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</si>
  <si>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</si>
  <si>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</si>
  <si>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</si>
  <si>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</si>
  <si>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</si>
  <si>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</si>
  <si>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</si>
  <si>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</si>
  <si>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</si>
  <si>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</si>
  <si>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</si>
  <si>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</si>
  <si>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</si>
  <si>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</si>
  <si>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</si>
  <si>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</si>
  <si>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</si>
  <si>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</si>
  <si>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</si>
  <si>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</si>
  <si>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</si>
  <si>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</si>
  <si>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</si>
  <si>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</si>
  <si>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</si>
  <si>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</si>
  <si>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</si>
  <si>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</si>
  <si>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</si>
  <si>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</si>
  <si>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</si>
  <si>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</si>
  <si>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</si>
  <si>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</si>
  <si>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</si>
  <si>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</si>
  <si>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</si>
  <si>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</si>
  <si>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</si>
  <si>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</si>
  <si>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</si>
  <si>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</si>
  <si>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</si>
  <si>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</si>
  <si>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</si>
  <si>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</si>
  <si>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</si>
  <si>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</si>
  <si>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</si>
  <si>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</si>
  <si>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</si>
  <si>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</si>
  <si>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</si>
  <si>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</si>
  <si>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</si>
  <si>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</si>
  <si>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</si>
  <si>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</si>
  <si>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</si>
  <si>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</si>
  <si>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</si>
  <si>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</si>
  <si>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</si>
  <si>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</si>
  <si>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</si>
  <si>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</si>
  <si>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</si>
  <si>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</si>
  <si>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</si>
  <si>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</si>
  <si>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</si>
  <si>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</si>
  <si>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</si>
  <si>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</si>
  <si>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</si>
  <si>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</si>
  <si>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</si>
  <si>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</si>
  <si>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</si>
  <si>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</si>
  <si>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</si>
  <si>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</si>
  <si>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</si>
  <si>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</si>
  <si>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</si>
  <si>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</si>
  <si>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</si>
  <si>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</si>
  <si>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</si>
  <si>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</si>
  <si>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</si>
  <si>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</si>
  <si>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</si>
  <si>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</si>
  <si>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</si>
  <si>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</si>
  <si>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</si>
  <si>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</si>
  <si>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الفصيلة (في الوسط).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</si>
  <si>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</si>
  <si>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</si>
  <si>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</si>
  <si>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</si>
  <si>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</si>
  <si>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فصيل مشاة راجل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</si>
</sst>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253875</xdr:colOff>
      <xdr:row>2</xdr:row>
      <xdr:rowOff>177540</xdr:rowOff>
    </xdr:from>
    <xdr:to>
      <xdr:col>5</xdr:col>
      <xdr:colOff>258555</xdr:colOff>
      <xdr:row>2</xdr:row>
      <xdr:rowOff>193380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42E2280D-521A-45A7-2EDF-82367A76722A}"/>
                </a:ext>
              </a:extLst>
            </xdr14:cNvPr>
            <xdr14:cNvContentPartPr/>
          </xdr14:nvContentPartPr>
          <xdr14:nvPr macro=""/>
          <xdr14:xfrm>
            <a:off x="10400960627" y="1130040"/>
            <a:ext cx="4680" cy="1584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42E2280D-521A-45A7-2EDF-82367A7672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951987" y="1121040"/>
              <a:ext cx="2232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527103</xdr:colOff>
      <xdr:row>17</xdr:row>
      <xdr:rowOff>94800</xdr:rowOff>
    </xdr:from>
    <xdr:to>
      <xdr:col>9</xdr:col>
      <xdr:colOff>180392</xdr:colOff>
      <xdr:row>19</xdr:row>
      <xdr:rowOff>47923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7961C99-F9F4-E484-575B-7A470FDF5F14}"/>
                </a:ext>
              </a:extLst>
            </xdr14:cNvPr>
            <xdr14:cNvContentPartPr/>
          </xdr14:nvContentPartPr>
          <xdr14:nvPr macro=""/>
          <xdr14:xfrm>
            <a:off x="10398406427" y="6571800"/>
            <a:ext cx="1627560" cy="113076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7961C99-F9F4-E484-575B-7A470FDF5F1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397427" y="6563160"/>
              <a:ext cx="1645200" cy="11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9072</xdr:col>
      <xdr:colOff>573449</xdr:colOff>
      <xdr:row>24</xdr:row>
      <xdr:rowOff>166210</xdr:rowOff>
    </xdr:from>
    <xdr:to>
      <xdr:col>9076</xdr:col>
      <xdr:colOff>206893</xdr:colOff>
      <xdr:row>26</xdr:row>
      <xdr:rowOff>404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DD75298-33CC-B4FE-2789-C9ECF2A9AFB8}"/>
                </a:ext>
              </a:extLst>
            </xdr14:cNvPr>
            <xdr14:cNvContentPartPr/>
          </xdr14:nvContentPartPr>
          <xdr14:nvPr macro=""/>
          <xdr14:xfrm>
            <a:off x="4657247945" y="8804520"/>
            <a:ext cx="2182680" cy="22212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4DD75298-33CC-B4FE-2789-C9ECF2A9AFB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657241825" y="8798400"/>
              <a:ext cx="2194920" cy="234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8:29:01.9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43 10770,'0'0'0,"0"-13"2472,-5 9-2520,5 4 48,-5-17-592,3 14-144,2 0-152,0 0-40,0 3 928,0 0-1041,0 0-423,2 0-960,3 0-409,-5 0 2833,0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8:30:14.6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3392 3141 14979,'0'0'0,"0"-13"3216,-3-1-1503,-2-5-337,5 19-1376,0-17 1224,-4 6-167,1-2-225,-2-1-120,5 14-712,-5-14 520,3-2-104,-10 2-232,10-2-472,2 16 288,-8-17 128,-1-1-40,9-2 224,-3 0 520,3 20-832,-14-23 440,12 0 49,-3-2-17,2 1-80,3 24-392,-4-24 272,-8-1-40,9 0 40,-2-1-40,5 26-232,-2-24 136,-3 0 136,-5 0-128,10 0 8,0 24-152,-4-26 280,-8-1-72,9-1 8,-2-5-8,5 33-208,-4-34-32,-11-2 64,10-1 0,-4 2-144,9 35 112,-5-33 112,3 3-224,-1 3-472,-2 0 568,5 27 16,-17-23 80,17 2-144,-2 1 424,0 3-424,2 17 64,-3-16-328,-4 2 344,5 3-32,-3 7 32,5 4-16,-5-16-152,5 13 72,-5-1 32,0 0-72,5 4 120,-2-3 152,2 0-320,0 0 120,0 0-72,0 3 120,0 0 48,0 0 40,5 0-72,-5 0 136,0 0-152,5 0-216,-3-3 232,0 1 48,13 2-280,-15 0 216,12-3 104,5 0-56,-3 0-216,8-1 120,-22 4 48,21-12 0,6 8 16,2-10 232,0 1-136,-29 13-112,36-14 152,2-2 80,5-2-72,8 1 296,-51 17-456,53-19 296,-5-2-376,12 1 240,-2 2-224,-58 18 64,60-18-32,0 4 368,-2 1-272,4 9 112,-62 4-176,51-17 193,9 13-193,0-7 0,-7 8 0,-53 3 0,58-5 0,-8-6 0,-6 8 0,-8-1 0,-36 4 0,36-11 0,-5 8-49,-7-2-47,-5 1 224,-19 4-128,10-3-96,-3 0 16,5 3 80,-12 0 64,0 0-64,3 0-16,-3 0 0,0 0-128,0 2 112,0-2 32,-20 3 96,6 8 48,-10 2-47,-7 7-97,31-20 0,-39 25 0,-7 4 0,-6 4-81,-9 4-31,61-37 112,-72 42-480,-14 8 120,-15 5 152,-10 4-280,111-59 488,-120 61-304,-10 3 424,0 1-200,-2 2 552,132-67-472,-133 64 576,6-4-160,7-6-528,-1-6-296,121-48 408,-108 48-144,2-1-200,8-3 328,11 0 128,87-44-112,-89 40-112,12-3-168,10-3 136,7-5-176,60-29 320,-53 22-536,12-3 256,7-5 112,8-10 128,26-4 40,-20 6-424,20-2 376,-2-4-40,2 0 88,2-3 512,10-1-528,0-11-16,8 0 0,-20 15 32,31-20 152,3-7 144,4-2 40,8-3 16,-46 32-352,48-34 760,7 1-544,3-1 192,-3 0-120,-55 34-288,56-32-320,-3-3 560,4 4-288,-4 1-112,-53 30 160,48-30-232,0 5 8,-2 1 152,-10 5 128,-36 19-56,29-15 176,-10 2 56,-7 9-200,-9-1 80,-3 5-112,7-4 288,-5 4-352,-4 0 0,2 0 64,-12 4-304,-7 8 200,-8 0-120,-4 5 88,31-17 136,-46 22-144,-7 2 112,-7 6 328,-2 3-152,62-33-144,-70 36 176,-2 4-24,-10 4-248,-7 2-88,89-46 184,-96 50-160,0-2-304,-3 2-328,5-2-336,94-48 1128,-84 43-600,9-5 408,15-7 568,15-8 544,45-23-920,-34 16 224,12-11 112,17 1-272,1-5 88,4-1-152,0 0 184,16-12-184,11-10-120,16-9-280,-43 31 400,60-44-272,12-9 56,13-1 352,1 0 280,-86 54-416,89-51 568,0 3 384,-14 5-528,-5 6-136,-70 37-288,60-28 160,-12 7-432,-10 5 224,-16 13 80,-22 3-32,14-4-48,-14 1 64,0 3 128,-4 1-32,4-1-112,-17 5 96,-3 7-64,-6 3-80,-15 6 48,41-21 0,-53 24-112,-2 3-160,-3 3-32,3-2 56,55-28 248,-55 30-192,-6-1-40,1-1-184,5 1 72,55-29 344,-58 27-336,5-3-560,10-4 640,2-6 56,41-14 200,-26 6-128,4-1 728,12-2-440,6-3-232,4 0 72,0 0-32,4-4 96,16-15-144,-1 2 232,-19 17-152,26-22 288,8-7-120,4 1 112,-1-2-64,-37 30-216,38-26 184,-4 5 16,-5 4 64,-8 3-32,-21 14-232,17-5 16,-5-9 32,-7 11-96,-3-1 0,-2 4 48,3-3 64,-3 0-16,0 3 120,0 0-24,0 0-144,-3 0 32,3 2 32,0 1 0,-2-2-80,2-1 16,0 0 72,-2 0-8,-3 1 32,5 1-16,0-2-80,2 0-48,-2 0-16,0 0 64,0 0 80,0 0-16,3 0-16,-1 0-48,-2 0 0,2 0-32,-2 0 48,0 0-32,0-3 96,0 3-80,0 0 112,0-3-112,0 3 32,0 0 64,0 0-96,0-3-160,0 3 208,0 0-64,0 0-32,0 0 48,0 0 96,0 0-160,0 0 80,0 0-64,0 0 48,0 0 48,0 0 64,0-3-32,0 1-112,0 2 32,0-3-80,0 0 16,0-1-64,0-1 240,0 5-112,0-4 96,0 0-32,0-7 64,-2 8-112,2 3-16,0-15 80,-5 11-48,0-11 49,3 3-81,2 12 0,-19-13 0,9 1 0,-2-3 0,-5 0-81,17 15 81,-17-16-176,-4 2 96,-13-2 192,3 1-64,31 15-48,-44-15 177,-1-2-177,-3 0 0,-8-1 0,56 18 0,-62-17 0,-1 1 0,-11 1 0,-8 0 0,82 15 0,-84-14-177,-8-2 145,3 1-208,3-2 32,86 17 208,-94-19-144,5 1 80,-2-4 368,2 0-208,89 22-96,-92-27 80,8-3-304,-3-4 32,13-6 32,74 40 160,-68-43-872,37 19 760,0-7 8,2-5 616,29 36-512,-31-45 832,9-8-544,-2-12 129,24-9-866,0 74 449,0-105 0,24-86-288,36 9-328,22 15 648,-82 167-32,82-121-64,14 3 456,3 0 296,11 4-400,-110 114-288,121-111 17,4 5-194,12 9-463,9 12 216,-146 85 424,157-73 16,11 12 96,5 17 344,15 14-184,-188 30-272,192-14 256,6 18-127,1 26-129,-11 17 0,-188-47 0,178 67-497,-7 14 17,-13 7 280,-11 8 152,-147-96 48,128 103 584,-15 1-200,-27 2-320,-16 1-224,-70-107 160,48 108-192,-19 6-584,-24 2 312,-17 6 400,12-122 64,-46 128-128,-31 3 832,-26 4-360,-39 7-544,142-142 200,-159 142-424,-26 2-280,-12 1 232,-10-3 272,207-142 200,-226 141-488,-8 0-1809,-26 6-13442,260-147 15739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8:31:07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0 616,'0'0,"0"0,0 0,30-10,-21 1,10 9,48-20,-38 11,10-1,210-38,-153 29,56-10,156-7,-174 16,20 1,-136 17,459-64,-314 56,-142 9,389-27,-265 19,-127 8,389-27,-272 18,-117 9,276-7,-189-2,-90 9,217-18,-155 19,-66 0,139-20,-102 20,-42 0,159-8,-126-2,-33 9,164-7,-113-2,-49 9,127-7,-87-2,-41 9,100-8,-68 0,-33 7,84-17,-52 19,-32 0,117-19,-75 19,-41 0,128-8,-87-2,-41 9,131 1,-90 0,-41 0,119-9,-87 0,-33 7,73 2,-50 0,-24 0,66 0,-51 0,-17 0,49 0,-33 0,-16 0,35-19,-19 19,-16 0,14 0,-12 0,5 0,-10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zoomScale="130" zoomScaleNormal="100" zoomScaleSheetLayoutView="130" workbookViewId="0">
      <selection activeCell="G19" sqref="G19:J1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5" t="s">
        <v>187</v>
      </c>
      <c r="C1" s="45"/>
      <c r="D1" s="45"/>
      <c r="E1" s="45"/>
      <c r="F1" s="45"/>
      <c r="G1" s="45"/>
      <c r="H1" s="45"/>
      <c r="I1" s="45"/>
      <c r="J1" s="45"/>
    </row>
    <row r="2" spans="1:10" ht="30" customHeight="1" x14ac:dyDescent="0.2">
      <c r="B2" s="12" t="s">
        <v>8</v>
      </c>
      <c r="C2" s="51" t="s">
        <v>37</v>
      </c>
      <c r="D2" s="51"/>
      <c r="E2" s="12" t="s">
        <v>7</v>
      </c>
      <c r="F2" s="46">
        <v>45939</v>
      </c>
      <c r="G2" s="46"/>
      <c r="H2" s="46"/>
      <c r="I2" s="46"/>
      <c r="J2" s="46"/>
    </row>
    <row r="3" spans="1:10" ht="30" customHeight="1" x14ac:dyDescent="0.2">
      <c r="B3" s="12" t="s">
        <v>9</v>
      </c>
      <c r="C3" s="51" t="s">
        <v>77</v>
      </c>
      <c r="D3" s="51"/>
      <c r="E3" s="12" t="s">
        <v>6</v>
      </c>
      <c r="F3" s="51" t="s">
        <v>101</v>
      </c>
      <c r="G3" s="51"/>
      <c r="H3" s="51"/>
      <c r="I3" s="51"/>
      <c r="J3" s="5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47" t="s">
        <v>0</v>
      </c>
      <c r="C5" s="48"/>
      <c r="D5" s="48"/>
      <c r="E5" s="38" t="s">
        <v>1</v>
      </c>
      <c r="F5" s="38"/>
      <c r="G5" s="38"/>
      <c r="H5" s="38"/>
      <c r="I5" s="38" t="s">
        <v>2</v>
      </c>
      <c r="J5" s="39"/>
    </row>
    <row r="6" spans="1:10" ht="24.95" customHeight="1" thickBot="1" x14ac:dyDescent="0.25">
      <c r="A6" s="10"/>
      <c r="B6" s="49"/>
      <c r="C6" s="50"/>
      <c r="D6" s="50"/>
      <c r="E6" s="11" t="s">
        <v>3</v>
      </c>
      <c r="F6" s="11" t="s">
        <v>4</v>
      </c>
      <c r="G6" s="11" t="s">
        <v>23</v>
      </c>
      <c r="H6" s="11" t="s">
        <v>24</v>
      </c>
      <c r="I6" s="40"/>
      <c r="J6" s="41"/>
    </row>
    <row r="7" spans="1:10" ht="24.95" customHeight="1" x14ac:dyDescent="0.2">
      <c r="A7" s="10"/>
      <c r="B7" s="36" t="s">
        <v>21</v>
      </c>
      <c r="C7" s="37"/>
      <c r="D7" s="37"/>
      <c r="E7" s="27" t="s">
        <v>18</v>
      </c>
      <c r="F7" s="27" t="s">
        <v>19</v>
      </c>
      <c r="G7" s="27" t="s">
        <v>22</v>
      </c>
      <c r="H7" s="27" t="s">
        <v>20</v>
      </c>
      <c r="I7" s="42" t="s">
        <v>25</v>
      </c>
      <c r="J7" s="43"/>
    </row>
    <row r="8" spans="1:10" ht="30" customHeight="1" x14ac:dyDescent="0.2">
      <c r="A8" s="10"/>
      <c r="B8" s="35" t="s">
        <v>186</v>
      </c>
      <c r="C8" s="35"/>
      <c r="D8" s="35"/>
      <c r="E8" s="9">
        <v>5</v>
      </c>
      <c r="F8" s="26">
        <v>3.5</v>
      </c>
      <c r="G8" s="29">
        <f>IFERROR(F8/E8,"")</f>
        <v>0.7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4"/>
      <c r="J8" s="44"/>
    </row>
    <row r="9" spans="1:10" ht="30" customHeight="1" x14ac:dyDescent="0.2">
      <c r="A9" s="10"/>
      <c r="B9" s="35" t="s">
        <v>185</v>
      </c>
      <c r="C9" s="35"/>
      <c r="D9" s="35"/>
      <c r="E9" s="9">
        <v>5</v>
      </c>
      <c r="F9" s="26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4"/>
    </row>
    <row r="10" spans="1:10" ht="30" customHeight="1" x14ac:dyDescent="0.2">
      <c r="A10" s="10"/>
      <c r="B10" s="35" t="s">
        <v>184</v>
      </c>
      <c r="C10" s="35"/>
      <c r="D10" s="35"/>
      <c r="E10" s="9">
        <v>5</v>
      </c>
      <c r="F10" s="26">
        <v>3.5</v>
      </c>
      <c r="G10" s="29">
        <f t="shared" ref="G10:G14" si="0">IFERROR(F10/E10,"")</f>
        <v>0.7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4"/>
    </row>
    <row r="11" spans="1:10" ht="30" customHeight="1" x14ac:dyDescent="0.2">
      <c r="A11" s="10"/>
      <c r="B11" s="35" t="s">
        <v>183</v>
      </c>
      <c r="C11" s="35"/>
      <c r="D11" s="35"/>
      <c r="E11" s="9">
        <v>5</v>
      </c>
      <c r="F11" s="26">
        <v>3.75</v>
      </c>
      <c r="G11" s="29">
        <f t="shared" si="0"/>
        <v>0.75</v>
      </c>
      <c r="H11" s="30" t="str">
        <f t="shared" si="1"/>
        <v>جيد</v>
      </c>
      <c r="I11" s="44"/>
      <c r="J11" s="44"/>
    </row>
    <row r="12" spans="1:10" ht="30" customHeight="1" x14ac:dyDescent="0.2">
      <c r="A12" s="10"/>
      <c r="B12" s="35" t="s">
        <v>182</v>
      </c>
      <c r="C12" s="35"/>
      <c r="D12" s="35"/>
      <c r="E12" s="9">
        <v>5</v>
      </c>
      <c r="F12" s="26">
        <v>3.75</v>
      </c>
      <c r="G12" s="29">
        <f t="shared" si="0"/>
        <v>0.75</v>
      </c>
      <c r="H12" s="30" t="str">
        <f t="shared" si="1"/>
        <v>جيد</v>
      </c>
      <c r="I12" s="44"/>
      <c r="J12" s="44"/>
    </row>
    <row r="13" spans="1:10" ht="30" customHeight="1" x14ac:dyDescent="0.2">
      <c r="A13" s="10"/>
      <c r="B13" s="35" t="s">
        <v>181</v>
      </c>
      <c r="C13" s="35"/>
      <c r="D13" s="35"/>
      <c r="E13" s="9">
        <v>5</v>
      </c>
      <c r="F13" s="26">
        <v>3.5</v>
      </c>
      <c r="G13" s="29">
        <f t="shared" si="0"/>
        <v>0.7</v>
      </c>
      <c r="H13" s="30" t="str">
        <f t="shared" si="1"/>
        <v>جيد</v>
      </c>
      <c r="I13" s="44"/>
      <c r="J13" s="44"/>
    </row>
    <row r="14" spans="1:10" ht="30" customHeight="1" x14ac:dyDescent="0.2">
      <c r="A14" s="10"/>
      <c r="B14" s="35" t="s">
        <v>180</v>
      </c>
      <c r="C14" s="35"/>
      <c r="D14" s="35"/>
      <c r="E14" s="9">
        <v>5</v>
      </c>
      <c r="F14" s="26">
        <v>3.75</v>
      </c>
      <c r="G14" s="29">
        <f t="shared" si="0"/>
        <v>0.75</v>
      </c>
      <c r="H14" s="30" t="str">
        <f t="shared" si="1"/>
        <v>جيد</v>
      </c>
      <c r="I14" s="44"/>
      <c r="J14" s="44"/>
    </row>
    <row r="15" spans="1:10" ht="30" customHeight="1" thickBot="1" x14ac:dyDescent="0.25">
      <c r="A15" s="4"/>
      <c r="B15" s="31" t="s">
        <v>5</v>
      </c>
      <c r="C15" s="32"/>
      <c r="D15" s="32"/>
      <c r="E15" s="28">
        <f>SUM(E8:E14)</f>
        <v>35</v>
      </c>
      <c r="F15" s="28">
        <f>SUM(F8:F14)</f>
        <v>25.25</v>
      </c>
      <c r="G15" s="54"/>
      <c r="H15" s="55"/>
      <c r="I15" s="55"/>
      <c r="J15" s="56"/>
    </row>
    <row r="16" spans="1:10" ht="30" customHeight="1" thickBot="1" x14ac:dyDescent="0.25">
      <c r="A16" s="4"/>
      <c r="B16" s="33" t="s">
        <v>54</v>
      </c>
      <c r="C16" s="34"/>
      <c r="D16" s="34"/>
      <c r="E16" s="63">
        <f>F15/E15/100*100</f>
        <v>0.72142857142857142</v>
      </c>
      <c r="F16" s="63"/>
      <c r="G16" s="63"/>
      <c r="H16" s="63"/>
      <c r="I16" s="63"/>
      <c r="J16" s="64"/>
    </row>
    <row r="17" spans="1:10" ht="30" customHeight="1" thickBot="1" x14ac:dyDescent="0.25">
      <c r="A17" s="4"/>
      <c r="B17" s="33" t="s">
        <v>55</v>
      </c>
      <c r="C17" s="34"/>
      <c r="D17" s="34"/>
      <c r="E17" s="61" t="str">
        <f>_xlfn.IFS(E16&gt;=90%,"ممتاز",E16&gt;=80%,"جيد جداً",E16&gt;=70%,"جيد",E16&gt;=60%,"مقبول",E16&lt;60%,"راسب")</f>
        <v>جيد</v>
      </c>
      <c r="F17" s="61"/>
      <c r="G17" s="61"/>
      <c r="H17" s="61"/>
      <c r="I17" s="61"/>
      <c r="J17" s="62"/>
    </row>
    <row r="18" spans="1:10" ht="42" customHeight="1" x14ac:dyDescent="0.2">
      <c r="B18" s="57" t="s">
        <v>174</v>
      </c>
      <c r="C18" s="57"/>
      <c r="D18" s="57"/>
      <c r="E18" s="52" t="s">
        <v>52</v>
      </c>
      <c r="F18" s="52"/>
      <c r="G18" s="59" t="s">
        <v>101</v>
      </c>
      <c r="H18" s="59"/>
      <c r="I18" s="59"/>
      <c r="J18" s="59"/>
    </row>
    <row r="19" spans="1:10" ht="51" customHeight="1" x14ac:dyDescent="0.2">
      <c r="A19" s="5"/>
      <c r="B19" s="58"/>
      <c r="C19" s="58"/>
      <c r="D19" s="58"/>
      <c r="E19" s="53" t="s">
        <v>53</v>
      </c>
      <c r="F19" s="53"/>
      <c r="G19" s="60"/>
      <c r="H19" s="60"/>
      <c r="I19" s="60"/>
      <c r="J19" s="6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60">
      <formula>$E17="جيد جداً"</formula>
    </cfRule>
    <cfRule type="expression" dxfId="12" priority="59">
      <formula>$E17="جيد"</formula>
    </cfRule>
    <cfRule type="expression" dxfId="11" priority="58">
      <formula>$E17="مقبول"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2025-10-06T08:25:34Z</dcterms:modified>
</cp:coreProperties>
</file>