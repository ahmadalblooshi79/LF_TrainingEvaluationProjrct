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3DA24FF-2B03-458B-BBE2-DD8BC92C05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 s="1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2" i="2" s="1"/>
  <c r="E23" i="2" s="1"/>
  <c r="E21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<sst xmlns="http://schemas.openxmlformats.org/spreadsheetml/2006/main" count="250" uniqueCount="195">
  <si>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</si>
  <si>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</si>
  <si>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</si>
  <si>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</si>
  <si>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</si>
  <si>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</si>
  <si>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</si>
  <si>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</si>
  <si>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</si>
  <si>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</si>
  <si>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</si>
  <si>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</si>
  <si>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</si>
  <si>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</si>
  <si>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</si>
  <si>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</si>
  <si>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</si>
  <si>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</si>
  <si>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</si>
  <si>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</si>
  <si>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</si>
  <si>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</si>
  <si>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</si>
  <si>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</si>
  <si>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</si>
  <si>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</si>
  <si>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</si>
  <si>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</si>
  <si>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</si>
  <si>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</si>
  <si>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</si>
  <si>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</si>
  <si>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</si>
  <si>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</si>
  <si>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</si>
  <si>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</si>
  <si>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</si>
  <si>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</si>
  <si>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</si>
  <si>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</si>
  <si>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</si>
  <si>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</si>
  <si>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</si>
  <si>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</si>
  <si>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</si>
  <si>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</si>
  <si>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</si>
  <si>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</si>
  <si>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</si>
  <si>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</si>
  <si>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</si>
  <si>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</si>
  <si>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</si>
  <si>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</si>
  <si>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</si>
  <si>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</si>
  <si>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</si>
  <si>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</si>
  <si>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</si>
  <si>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</si>
  <si>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</si>
  <si>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</si>
  <si>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</si>
  <si>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</si>
  <si>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</si>
  <si>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</si>
  <si>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</si>
  <si>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</si>
  <si>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</si>
  <si>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</si>
  <si>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</si>
  <si>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</si>
  <si>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</si>
  <si>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</si>
  <si>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</si>
  <si>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</si>
  <si>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</si>
  <si>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</si>
  <si>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</si>
  <si>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</si>
  <si>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</si>
  <si>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</si>
  <si>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</si>
  <si>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</si>
  <si>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</si>
  <si>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</si>
  <si>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</si>
  <si>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</si>
  <si>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</si>
  <si>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</si>
  <si>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</si>
  <si>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</si>
  <si>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</si>
  <si>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</si>
  <si>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</si>
  <si>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</si>
  <si>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</si>
  <si>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</si>
  <si>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</si>
  <si>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</si>
  <si>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</si>
  <si>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</si>
  <si>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</si>
  <si>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</si>
  <si>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</si>
  <si>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</si>
  <si>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</si>
  <si>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</si>
  <si>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</si>
  <si>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</si>
  <si>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</si>
  <si>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</si>
  <si>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</si>
  <si>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</si>
  <si>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</si>
  <si>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</si>
  <si>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</si>
  <si>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</si>
  <si>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</si>
  <si>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</si>
  <si>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</si>
  <si>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</si>
  <si>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</si>
  <si>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</si>
  <si>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</si>
  <si>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</si>
  <si>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</si>
  <si>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</si>
  <si>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</si>
  <si>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</si>
  <si>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</si>
  <si>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</si>
  <si>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</si>
  <si>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</si>
  <si>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</si>
  <si>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</si>
  <si>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</si>
  <si>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</si>
  <si>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</si>
  <si>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</si>
  <si>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</si>
  <si>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</si>
  <si>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</si>
  <si>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</si>
  <si>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</si>
  <si>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</si>
  <si>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</si>
  <si>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</si>
  <si>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</si>
  <si>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</si>
  <si>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</si>
  <si>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</si>
  <si>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</si>
  <si>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</si>
  <si>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</si>
  <si>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</si>
  <si>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</si>
  <si>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</si>
  <si>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</si>
  <si>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</si>
  <si>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</si>
  <si>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</si>
  <si>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</si>
  <si>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</si>
  <si>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</si>
  <si>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</si>
  <si>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</si>
  <si>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</si>
  <si>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</si>
  <si>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</si>
  <si>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</si>
  <si>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</si>
  <si>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</si>
  <si>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</si>
  <si>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</si>
  <si>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</si>
  <si>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</si>
  <si>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</si>
  <si>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</si>
  <si>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</si>
  <si>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</si>
  <si>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</si>
  <si>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</si>
  <si>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</si>
  <si>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</si>
  <si>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</si>
  <si>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</si>
  <si>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</si>
  <si>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</si>
  <si>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</si>
  <si>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</si>
  <si>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</si>
  <si>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</si>
  <si>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</si>
  <si>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وكيل/1 جاسم شريف الحمادي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</si>
</sst>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207787</xdr:colOff>
      <xdr:row>23</xdr:row>
      <xdr:rowOff>516680</xdr:rowOff>
    </xdr:from>
    <xdr:to>
      <xdr:col>9</xdr:col>
      <xdr:colOff>434913</xdr:colOff>
      <xdr:row>24</xdr:row>
      <xdr:rowOff>637908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25ECDCA-DB1A-776D-A7C1-D5A94BD173D4}"/>
                </a:ext>
              </a:extLst>
            </xdr14:cNvPr>
            <xdr14:cNvContentPartPr/>
          </xdr14:nvContentPartPr>
          <xdr14:nvPr macro=""/>
          <xdr14:xfrm>
            <a:off x="10398151905" y="10930680"/>
            <a:ext cx="2201400" cy="652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25ECDCA-DB1A-776D-A7C1-D5A94BD173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45785" y="10924560"/>
              <a:ext cx="2213640" cy="66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50107</xdr:colOff>
      <xdr:row>23</xdr:row>
      <xdr:rowOff>459800</xdr:rowOff>
    </xdr:from>
    <xdr:to>
      <xdr:col>6</xdr:col>
      <xdr:colOff>585787</xdr:colOff>
      <xdr:row>24</xdr:row>
      <xdr:rowOff>340908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60DB30A-AED2-173A-AEE6-968499CFDF47}"/>
                </a:ext>
              </a:extLst>
            </xdr14:cNvPr>
            <xdr14:cNvContentPartPr/>
          </xdr14:nvContentPartPr>
          <xdr14:nvPr macro=""/>
          <xdr14:xfrm>
            <a:off x="10399975305" y="10873800"/>
            <a:ext cx="535680" cy="412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60DB30A-AED2-173A-AEE6-968499CFDF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69185" y="10867680"/>
              <a:ext cx="547920" cy="424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22:01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5684 970 2976,'0'0'0,"0"0"0,27-26 1632,-2 1-863,6-6-401,0 4-96,-31 27-272,22-19 184,0 1-56,-2 4-32,-2 1 0,-18 13-96,16-12 56,-2 10-24,0-11 32,-1 8 32,-13 5-96,3-12 184,10 9 72,-13-1 104,3-1 176,-3 5-536,0-3 584,-3 1-88,-15 2-151,-13 1-217,31-1-128,-49 14-40,-23 2 120,-21 5-16,-22 5 8,115-26-72,-137 28 72,-20 2-88,-17 1 0,-20 3-8,194-34 24,-205 34 8,-12 0 24,-9-1 8,-3-2 32,229-31-72,-231 32 120,-1-1-40,-2 0 48,4-2-8,230-29-120,-223 29 64,13-5 0,20-7-48,19-4-24,171-13 8,-146 1 0,21-1 48,24-17-136,23-4-224,78 21 312,-54-34-544,19-10-169,21-11-31,14-9 184,0 64 560,29-74-304,14-8 96,17-5 160,18-2 48,-78 89 0,95-95-32,14 2 120,12 5 160,5 2 280,-126 86-528,131-84 720,-10 7 33,-15 7 31,-23 14-72,-83 56-712,55-38 696,-23 17 32,-32 21-216,-23 1-216,23-1-296,-64 30 160,-45 15-96,-43 22-64,-42 12 40,194-79-40,-223 93 40,-23 9-40,-11 6 40,-1 3-8,258-111-32,-253 113 0,18-2-56,16-4 8,21-9 0,198-98 48,-170 87-488,31-16-344,35-21-232,35-19-128,69-31 1192,-36 14-961,35-14 305,29-23 192,38-15 128,-66 38 336,100-60-136,32-19 136,33-15 104,29-14 272,-194 108-376,216-117 736,21-1 345,11 1 287,2 9 40,-250 108-1408,243-94 1240,-11 10-199,-19 13-57,-20 12-64,-193 59-920,168-45 664,-27 18-256,-28 23-176,-26 7-160,-87-3-72,66 24 48,-16 14 96,-12 9-136,-14 7-16,-24-54 8,19 61 80,-15 6-32,1 8 40,-5 3-56,0-78-32,0 85-32,2 0-32,10-2 32,6-1 16,-18-82 16,30 78 24,8-1-72,14-8 40,11-8 40,-63-61-32,74 57-72,5-9-24,7-1-32,0 0-80,-86-47 208,91 47-144,0 4 40,0-2 8,-2 7 8,-89-56 88,88 58-352,1 10-1008,-7 4-1601,-4 7-5169,-78-79 8130,0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22:03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929 717 960,'0'0'0,"-2"-25"1392,1-1-56,1 26-1336,-1-34 1177,-2-3-241,1 1-568,1-1-72,1 37-296,0-41 304,3-1 48,10-4 40,-1-1-136,-12 47-256,17-48 224,5 0-88,6 3-72,2 6 32,-30 39-96,34-37 80,3 5-56,4 5 16,3 0-24,-44 27-16,44-19 16,-2 4 48,-4 11-32,-5 0-24,-33 4-8,31 0 0,-4 4-24,-4 13 0,-5 3 16,-18-20 8,16 26-8,-12 3 8,7 7 0,-12 7 16,1-43-16,-13 45 32,-7 5-16,-8 1 16,-11-1 16,39-50-48,-48 48 32,-9-5-8,-2-3 0,-5-3-32,64-37 8,-63 32-32,1-1 32,1-5-8,2-3 8,59-23 0,-51 17 32,3-6 24,6-7 32,7 1 16,35-5-104,-30 3 128,6-3-16,5-5 32,8-10-47,11 15-97,-1-16 56,-1-4-56,2-3-64,19-1 8,1-1-25,-20 25 81,28-26-48,3 3-32,0 1 56,2 2 16,-33 20 8,33-16-8,-2 3 64,0 10-64,-2 3 56,-29 0-48,26 0 32,-5 12-24,-5 3 16,-12 5-16,-4-20-8,2 24 48,-4 6 9,-20 3 31,-7 4-16,29-37-72,-42 41 56,-7 2-16,-10 2 24,-6-1-8,65-44-56,-68 43 80,-4 0 0,2-5-32,-3 0 24,73-38-72,-74 37 8,-1-2-8,-1-3-56,0 1-536,76-33 592,-76 30-993,0 1-4528,76-31 5521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B16" zoomScale="130" zoomScaleNormal="100" zoomScaleSheetLayoutView="130" workbookViewId="0">
      <selection activeCell="F14" sqref="F14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33</v>
      </c>
      <c r="D2" s="64"/>
      <c r="E2" s="12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/>
      <c r="D3" s="64"/>
      <c r="E3" s="12" t="s">
        <v>6</v>
      </c>
      <c r="F3" s="64" t="s">
        <v>163</v>
      </c>
      <c r="G3" s="64"/>
      <c r="H3" s="64"/>
      <c r="I3" s="64"/>
      <c r="J3" s="64"/>
    </row>
    <row r="4" spans="1:10" ht="30" customHeight="1" thickBot="1" x14ac:dyDescent="0.35">
      <c r="B4" s="6"/>
      <c r="C4" s="83" t="s">
        <v>194</v>
      </c>
      <c r="D4" s="83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181</v>
      </c>
      <c r="C8" s="76"/>
      <c r="D8" s="76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3"/>
      <c r="J8" s="74"/>
    </row>
    <row r="9" spans="1:10" ht="39.9" customHeight="1" x14ac:dyDescent="0.3">
      <c r="A9" s="10"/>
      <c r="B9" s="77" t="s">
        <v>182</v>
      </c>
      <c r="C9" s="78"/>
      <c r="D9" s="78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" customHeight="1" x14ac:dyDescent="0.3">
      <c r="A10" s="10"/>
      <c r="B10" s="77" t="s">
        <v>183</v>
      </c>
      <c r="C10" s="78"/>
      <c r="D10" s="78"/>
      <c r="E10" s="9">
        <v>5</v>
      </c>
      <c r="F10" s="26">
        <v>3.75</v>
      </c>
      <c r="G10" s="30">
        <f t="shared" ref="G10:G20" si="0">IFERROR(F10/E10,"")</f>
        <v>0.75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7" t="s">
        <v>184</v>
      </c>
      <c r="C11" s="78"/>
      <c r="D11" s="78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4"/>
      <c r="J11" s="45"/>
    </row>
    <row r="12" spans="1:10" ht="39.9" customHeight="1" x14ac:dyDescent="0.3">
      <c r="A12" s="10"/>
      <c r="B12" s="77" t="s">
        <v>185</v>
      </c>
      <c r="C12" s="78"/>
      <c r="D12" s="78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7" t="s">
        <v>186</v>
      </c>
      <c r="C13" s="78"/>
      <c r="D13" s="78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7" t="s">
        <v>187</v>
      </c>
      <c r="C14" s="78"/>
      <c r="D14" s="78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4"/>
      <c r="J14" s="45"/>
    </row>
    <row r="15" spans="1:10" ht="39.9" customHeight="1" x14ac:dyDescent="0.3">
      <c r="A15" s="10"/>
      <c r="B15" s="77" t="s">
        <v>188</v>
      </c>
      <c r="C15" s="78"/>
      <c r="D15" s="78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9.9" customHeight="1" x14ac:dyDescent="0.3">
      <c r="A16" s="10"/>
      <c r="B16" s="77" t="s">
        <v>189</v>
      </c>
      <c r="C16" s="78"/>
      <c r="D16" s="78"/>
      <c r="E16" s="9">
        <v>5</v>
      </c>
      <c r="F16" s="26">
        <v>3</v>
      </c>
      <c r="G16" s="30">
        <f t="shared" si="0"/>
        <v>0.6</v>
      </c>
      <c r="H16" s="31" t="str">
        <f t="shared" si="1"/>
        <v>مقبول</v>
      </c>
      <c r="I16" s="44"/>
      <c r="J16" s="45"/>
    </row>
    <row r="17" spans="1:10" ht="39.9" customHeight="1" x14ac:dyDescent="0.3">
      <c r="A17" s="10"/>
      <c r="B17" s="77" t="s">
        <v>193</v>
      </c>
      <c r="C17" s="78"/>
      <c r="D17" s="78"/>
      <c r="E17" s="9">
        <v>5</v>
      </c>
      <c r="F17" s="26">
        <v>3</v>
      </c>
      <c r="G17" s="30">
        <f t="shared" si="0"/>
        <v>0.6</v>
      </c>
      <c r="H17" s="31" t="str">
        <f t="shared" si="1"/>
        <v>مقبول</v>
      </c>
      <c r="I17" s="44"/>
      <c r="J17" s="45"/>
    </row>
    <row r="18" spans="1:10" ht="39.9" customHeight="1" x14ac:dyDescent="0.3">
      <c r="A18" s="10"/>
      <c r="B18" s="77" t="s">
        <v>190</v>
      </c>
      <c r="C18" s="78"/>
      <c r="D18" s="78"/>
      <c r="E18" s="9">
        <v>5</v>
      </c>
      <c r="F18" s="26">
        <v>3</v>
      </c>
      <c r="G18" s="30">
        <f t="shared" si="0"/>
        <v>0.6</v>
      </c>
      <c r="H18" s="31" t="str">
        <f t="shared" si="1"/>
        <v>مقبول</v>
      </c>
      <c r="I18" s="44"/>
      <c r="J18" s="45"/>
    </row>
    <row r="19" spans="1:10" ht="39.9" customHeight="1" x14ac:dyDescent="0.3">
      <c r="A19" s="10"/>
      <c r="B19" s="77" t="s">
        <v>191</v>
      </c>
      <c r="C19" s="78"/>
      <c r="D19" s="78"/>
      <c r="E19" s="9">
        <v>5</v>
      </c>
      <c r="F19" s="26">
        <v>3.25</v>
      </c>
      <c r="G19" s="30">
        <f t="shared" si="0"/>
        <v>0.65</v>
      </c>
      <c r="H19" s="31" t="str">
        <f t="shared" si="1"/>
        <v>مقبول</v>
      </c>
      <c r="I19" s="44"/>
      <c r="J19" s="45"/>
    </row>
    <row r="20" spans="1:10" ht="39.9" customHeight="1" thickBot="1" x14ac:dyDescent="0.35">
      <c r="A20" s="10"/>
      <c r="B20" s="81" t="s">
        <v>192</v>
      </c>
      <c r="C20" s="82"/>
      <c r="D20" s="82"/>
      <c r="E20" s="36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79"/>
      <c r="J20" s="80"/>
    </row>
    <row r="21" spans="1:10" ht="30" customHeight="1" thickBot="1" x14ac:dyDescent="0.35">
      <c r="A21" s="4"/>
      <c r="B21" s="54" t="s">
        <v>5</v>
      </c>
      <c r="C21" s="55"/>
      <c r="D21" s="55"/>
      <c r="E21" s="29">
        <f>SUM(E8:E20)</f>
        <v>65</v>
      </c>
      <c r="F21" s="29">
        <f>SUM(F8:F20)</f>
        <v>46.25</v>
      </c>
      <c r="G21" s="41"/>
      <c r="H21" s="42"/>
      <c r="I21" s="42"/>
      <c r="J21" s="43"/>
    </row>
    <row r="22" spans="1:10" ht="30" customHeight="1" thickBot="1" x14ac:dyDescent="0.35">
      <c r="A22" s="4"/>
      <c r="B22" s="56" t="s">
        <v>52</v>
      </c>
      <c r="C22" s="57"/>
      <c r="D22" s="57"/>
      <c r="E22" s="52">
        <f>F21/E21/100*100</f>
        <v>0.71153846153846156</v>
      </c>
      <c r="F22" s="52"/>
      <c r="G22" s="52"/>
      <c r="H22" s="52"/>
      <c r="I22" s="52"/>
      <c r="J22" s="53"/>
    </row>
    <row r="23" spans="1:10" ht="30" customHeight="1" thickBot="1" x14ac:dyDescent="0.35">
      <c r="A23" s="4"/>
      <c r="B23" s="56" t="s">
        <v>53</v>
      </c>
      <c r="C23" s="57"/>
      <c r="D23" s="57"/>
      <c r="E23" s="50" t="str">
        <f>_xlfn.IFS(E22&gt;=90%,"ممتاز",E22&gt;=80%,"جيد جداً",E22&gt;=70%,"جيد",E22&gt;=60%,"مقبول",E22&lt;60%,"راسب")</f>
        <v>جيد</v>
      </c>
      <c r="F23" s="50"/>
      <c r="G23" s="50"/>
      <c r="H23" s="50"/>
      <c r="I23" s="50"/>
      <c r="J23" s="51"/>
    </row>
    <row r="24" spans="1:10" ht="42" customHeight="1" x14ac:dyDescent="0.3">
      <c r="B24" s="46" t="s">
        <v>172</v>
      </c>
      <c r="C24" s="46"/>
      <c r="D24" s="46"/>
      <c r="E24" s="39" t="s">
        <v>50</v>
      </c>
      <c r="F24" s="39"/>
      <c r="G24" s="48" t="s">
        <v>163</v>
      </c>
      <c r="H24" s="48"/>
      <c r="I24" s="48"/>
      <c r="J24" s="48"/>
    </row>
    <row r="25" spans="1:10" ht="51" customHeight="1" x14ac:dyDescent="0.3">
      <c r="A25" s="5"/>
      <c r="B25" s="47"/>
      <c r="C25" s="47"/>
      <c r="D25" s="47"/>
      <c r="E25" s="40" t="s">
        <v>51</v>
      </c>
      <c r="F25" s="40"/>
      <c r="G25" s="49"/>
      <c r="H25" s="49"/>
      <c r="I25" s="49"/>
      <c r="J25" s="49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C4:D4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2025-10-20T04:48:22Z</dcterms:modified>
</cp:coreProperties>
</file>