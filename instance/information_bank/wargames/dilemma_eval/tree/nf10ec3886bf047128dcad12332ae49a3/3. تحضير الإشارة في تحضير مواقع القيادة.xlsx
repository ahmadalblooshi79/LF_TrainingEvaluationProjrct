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FE99539D-5D19-4BEE-B7C9-D346F8D0FD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8" i="2"/>
  <c r="H8" i="2"/>
  <c r="F12" i="2"/>
  <c r="E12" i="2"/>
  <c r="E13" i="2"/>
  <c r="E14" i="2"/>
</calcChain>
</file>

<file path=xl/sharedStrings.xml><?xml version="1.0" encoding="utf-8"?>
<sst xmlns="http://schemas.openxmlformats.org/spreadsheetml/2006/main" count="241" uniqueCount="185">
  <si>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</si>
  <si>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</si>
  <si>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</si>
  <si>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</si>
  <si>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</si>
  <si>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</si>
  <si>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</si>
  <si>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</si>
  <si>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</si>
  <si>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</si>
  <si>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</si>
  <si>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</si>
  <si>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</si>
  <si>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</si>
  <si>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</si>
  <si>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</si>
  <si>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</si>
  <si>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</si>
  <si>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</si>
  <si>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</si>
  <si>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</si>
  <si>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</si>
  <si>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</si>
  <si>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</si>
  <si>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</si>
  <si>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</si>
  <si>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</si>
  <si>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</si>
  <si>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</si>
  <si>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</si>
  <si>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</si>
  <si>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</si>
  <si>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</si>
  <si>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</si>
  <si>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</si>
  <si>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</si>
  <si>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</si>
  <si>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</si>
  <si>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</si>
  <si>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</si>
  <si>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</si>
  <si>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</si>
  <si>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</si>
  <si>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</si>
  <si>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</si>
  <si>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</si>
  <si>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</si>
  <si>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</si>
  <si>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</si>
  <si>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</si>
  <si>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</si>
  <si>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</si>
  <si>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</si>
  <si>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</si>
  <si>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</si>
  <si>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</si>
  <si>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</si>
  <si>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</si>
  <si>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</si>
  <si>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</si>
  <si>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</si>
  <si>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</si>
  <si>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</si>
  <si>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</si>
  <si>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</si>
  <si>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</si>
  <si>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</si>
  <si>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</si>
  <si>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</si>
  <si>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</si>
  <si>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</si>
  <si>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</si>
  <si>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</si>
  <si>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</si>
  <si>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</si>
  <si>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</si>
  <si>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</si>
  <si>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</si>
  <si>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</si>
  <si>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</si>
  <si>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</si>
  <si>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</si>
  <si>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</si>
  <si>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</si>
  <si>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</si>
  <si>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</si>
  <si>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</si>
  <si>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</si>
  <si>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</si>
  <si>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</si>
  <si>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</si>
  <si>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</si>
  <si>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</si>
  <si>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</si>
  <si>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</si>
  <si>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</si>
  <si>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</si>
  <si>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</si>
  <si>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</si>
  <si>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</si>
  <si>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</si>
  <si>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</si>
  <si>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</si>
  <si>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</si>
  <si>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</si>
  <si>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</si>
  <si>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</si>
  <si>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</si>
  <si>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</si>
  <si>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</si>
  <si>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</si>
  <si>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</si>
  <si>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</si>
  <si>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</si>
  <si>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</si>
  <si>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</si>
  <si>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</si>
  <si>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</si>
  <si>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</si>
  <si>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</si>
  <si>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</si>
  <si>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</si>
  <si>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</si>
  <si>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</si>
  <si>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</si>
  <si>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</si>
  <si>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</si>
  <si>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</si>
  <si>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</si>
  <si>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</si>
  <si>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</si>
  <si>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</si>
  <si>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</si>
  <si>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</si>
  <si>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</si>
  <si>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</si>
  <si>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</si>
  <si>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</si>
  <si>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</si>
  <si>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</si>
  <si>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</si>
  <si>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</si>
  <si>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</si>
  <si>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</si>
  <si>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</si>
  <si>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</si>
  <si>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</si>
  <si>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</si>
  <si>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</si>
  <si>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</si>
  <si>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</si>
  <si>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</si>
  <si>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</si>
  <si>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</si>
  <si>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</si>
  <si>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</si>
  <si>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</si>
  <si>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</si>
  <si>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</si>
  <si>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</si>
  <si>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</si>
  <si>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</si>
  <si>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</si>
  <si>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</si>
  <si>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</si>
  <si>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</si>
  <si>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</si>
  <si>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</si>
  <si>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</si>
  <si>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</si>
  <si>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</si>
  <si>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</si>
  <si>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</si>
  <si>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</si>
  <si>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</si>
  <si>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</si>
  <si>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</si>
  <si>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</si>
  <si>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</si>
  <si>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</si>
  <si>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سرية الإشارة في تحضير مواقع القيادة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</si>
  <si>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12"/>
        <color theme="1"/>
        <rFont val="Times New Roman"/>
        <family val="1"/>
      </rPr>
      <t xml:space="preserve">    </t>
    </r>
    <r>
      <rPr>
        <sz val="12"/>
        <color theme="1"/>
        <rFont val="Arial"/>
        <family val="2"/>
      </rPr>
      <t>تجهيز الاتصالات السلكية واللاسلكية.</t>
    </r>
  </si>
  <si>
    <r>
      <t>2.</t>
    </r>
    <r>
      <rPr>
        <sz val="12"/>
        <color theme="1"/>
        <rFont val="Times New Roman"/>
        <family val="1"/>
      </rPr>
      <t xml:space="preserve">    </t>
    </r>
    <r>
      <rPr>
        <sz val="12"/>
        <color theme="1"/>
        <rFont val="Arial"/>
        <family val="2"/>
      </rPr>
      <t>تأمين نظام القيادة والسيطرة الالي في المواقع والملاجئ.</t>
    </r>
  </si>
  <si>
    <r>
      <t>3.</t>
    </r>
    <r>
      <rPr>
        <sz val="12"/>
        <color theme="1"/>
        <rFont val="Times New Roman"/>
        <family val="1"/>
      </rPr>
      <t xml:space="preserve">    </t>
    </r>
    <r>
      <rPr>
        <sz val="12"/>
        <color theme="1"/>
        <rFont val="Arial"/>
        <family val="2"/>
      </rPr>
      <t>معرفة قوة الإشارة.</t>
    </r>
  </si>
  <si>
    <r>
      <t>4.</t>
    </r>
    <r>
      <rPr>
        <sz val="12"/>
        <color theme="1"/>
        <rFont val="Times New Roman"/>
        <family val="1"/>
      </rPr>
      <t xml:space="preserve">    </t>
    </r>
    <r>
      <rPr>
        <sz val="12"/>
        <color theme="1"/>
        <rFont val="Arial"/>
        <family val="2"/>
      </rPr>
      <t>أدامة الاتصالات.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</si>
</sst>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3" fillId="0" borderId="24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15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318110</xdr:colOff>
      <xdr:row>15</xdr:row>
      <xdr:rowOff>144388</xdr:rowOff>
    </xdr:from>
    <xdr:to>
      <xdr:col>6</xdr:col>
      <xdr:colOff>452030</xdr:colOff>
      <xdr:row>15</xdr:row>
      <xdr:rowOff>437428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BB70860-3AC8-3A9A-07A2-C80D4A90F449}"/>
                </a:ext>
              </a:extLst>
            </xdr14:cNvPr>
            <xdr14:cNvContentPartPr/>
          </xdr14:nvContentPartPr>
          <xdr14:nvPr macro=""/>
          <xdr14:xfrm>
            <a:off x="10400109060" y="6009480"/>
            <a:ext cx="133920" cy="2930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BB70860-3AC8-3A9A-07A2-C80D4A90F44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00102940" y="6003360"/>
              <a:ext cx="146160" cy="30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414950</xdr:colOff>
      <xdr:row>15</xdr:row>
      <xdr:rowOff>90028</xdr:rowOff>
    </xdr:from>
    <xdr:to>
      <xdr:col>6</xdr:col>
      <xdr:colOff>497750</xdr:colOff>
      <xdr:row>15</xdr:row>
      <xdr:rowOff>163108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40F66D3-4794-8AB9-F6F8-A1FB59AC520E}"/>
                </a:ext>
              </a:extLst>
            </xdr14:cNvPr>
            <xdr14:cNvContentPartPr/>
          </xdr14:nvContentPartPr>
          <xdr14:nvPr macro=""/>
          <xdr14:xfrm>
            <a:off x="10400063340" y="5955120"/>
            <a:ext cx="82800" cy="730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40F66D3-4794-8AB9-F6F8-A1FB59AC520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057220" y="5949000"/>
              <a:ext cx="95040" cy="8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434030</xdr:colOff>
      <xdr:row>15</xdr:row>
      <xdr:rowOff>263188</xdr:rowOff>
    </xdr:from>
    <xdr:to>
      <xdr:col>7</xdr:col>
      <xdr:colOff>325300</xdr:colOff>
      <xdr:row>15</xdr:row>
      <xdr:rowOff>452908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835292CB-5DAD-2CF0-0EDE-9886FEC86025}"/>
                </a:ext>
              </a:extLst>
            </xdr14:cNvPr>
            <xdr14:cNvContentPartPr/>
          </xdr14:nvContentPartPr>
          <xdr14:nvPr macro=""/>
          <xdr14:xfrm>
            <a:off x="10399577700" y="6128280"/>
            <a:ext cx="549360" cy="18972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835292CB-5DAD-2CF0-0EDE-9886FEC8602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9571580" y="6122160"/>
              <a:ext cx="561600" cy="20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381460</xdr:colOff>
      <xdr:row>15</xdr:row>
      <xdr:rowOff>228628</xdr:rowOff>
    </xdr:from>
    <xdr:to>
      <xdr:col>7</xdr:col>
      <xdr:colOff>602500</xdr:colOff>
      <xdr:row>15</xdr:row>
      <xdr:rowOff>493948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D7A7045E-F2B5-1F68-41BD-7E1C70B947D5}"/>
                </a:ext>
              </a:extLst>
            </xdr14:cNvPr>
            <xdr14:cNvContentPartPr/>
          </xdr14:nvContentPartPr>
          <xdr14:nvPr macro=""/>
          <xdr14:xfrm>
            <a:off x="10399300500" y="6093720"/>
            <a:ext cx="221040" cy="2653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D7A7045E-F2B5-1F68-41BD-7E1C70B947D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9294380" y="6087600"/>
              <a:ext cx="233280" cy="27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222710</xdr:colOff>
      <xdr:row>15</xdr:row>
      <xdr:rowOff>37468</xdr:rowOff>
    </xdr:from>
    <xdr:to>
      <xdr:col>9</xdr:col>
      <xdr:colOff>83719</xdr:colOff>
      <xdr:row>15</xdr:row>
      <xdr:rowOff>540388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E2D0EA9A-2255-F438-9721-EDF4F187A1BC}"/>
                </a:ext>
              </a:extLst>
            </xdr14:cNvPr>
            <xdr14:cNvContentPartPr/>
          </xdr14:nvContentPartPr>
          <xdr14:nvPr macro=""/>
          <xdr14:xfrm>
            <a:off x="10398503100" y="5902560"/>
            <a:ext cx="1835280" cy="5029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E2D0EA9A-2255-F438-9721-EDF4F187A1BC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398496980" y="5896440"/>
              <a:ext cx="1847520" cy="51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225569</xdr:colOff>
      <xdr:row>15</xdr:row>
      <xdr:rowOff>555148</xdr:rowOff>
    </xdr:from>
    <xdr:to>
      <xdr:col>8</xdr:col>
      <xdr:colOff>328889</xdr:colOff>
      <xdr:row>15</xdr:row>
      <xdr:rowOff>583228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38304649-F59A-28FC-FD59-4F03A5A5EDB8}"/>
                </a:ext>
              </a:extLst>
            </xdr14:cNvPr>
            <xdr14:cNvContentPartPr/>
          </xdr14:nvContentPartPr>
          <xdr14:nvPr macro=""/>
          <xdr14:xfrm>
            <a:off x="10398916020" y="6420240"/>
            <a:ext cx="103320" cy="280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38304649-F59A-28FC-FD59-4F03A5A5EDB8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0398909900" y="6414120"/>
              <a:ext cx="115560" cy="40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2:19:44.9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 9690,'0'0'0,"0"-3"2160,2-1-1496,-2 4-664,3-3 512,2 1-240,-1 2 64,-4 5 81,0-5-417,5 15 448,7-2-56,-9 3-48,13-1-112,-16-15-232,10 20 208,5 2-40,-3 3-24,2 4-64,-14-29-80,17 31 80,0 3 0,-1 2-56,-1 2-8,-15-38-16,14 40-16,1 1-8,2 3-24,-1-1-40,-16-43 88,15 44-104,-3-2-104,0 0-128,5-1-176,-17-41 512,14 37-688,-4-4-201,2-6-119,-7-5-88,-5-22 1096,14 19-1272,-11-4-185,11-2-263,-12-9 296,-2-4 1424,12 3-1737,-12 2-1263,0-5 3000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2:19:46.5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82 42 2048,'0'0'0,"0"0"0,0-11 992,0 6-352,0-7-168,3 6-144,-3 6-328,0-2 281,0 1 55,0 0 88,-3-1 24,3 2-448,0-1 504,-2 1 32,-3 0 24,0 0 40,5 0-600,-5 0 624,-4 0 73,2 0-17,4 0-16,3 0-664,-12 0 632,7 0-48,1 0-80,1 0-80,3 0-424,-5 0 368,3 0-120,-3 0-64,5 0-80,0 0-104,0 0 56,-2 0-24,-1 3-24,3-1-16,0-2 8,-2 3 16,2 2-56,0 6 64,-3-8-8,3-3-16,0 11 16,0-8 57,0 10-65,0-9 32,0-4-40,5 13 16,-2-9-8,-1 10 32,10-9-40,-12-5 0,5 14 8,7-10-16,-7 7-8,9-8 24,-14-3-8,3 5 16,9 6-16,-5-11 32,7 3-8,-14-3-24,3 0-8,9 0 56,-7 0-24,9 0 16,-14 0-40,2 0 56,15-2-32,-12-2 16,12 0-32,-17 4-8,5-12 32,11 10-8,-13-3-16,9 0 8,-12 5-16,7-5-16,-4 1 48,9 0-16,-12 0 56,0 4-72,2-5 24,-2 4 16,0-1-16,0 1-72,0 0 40,0 1 8,0 0-56,0 0 24,-2 0 16,2 0 16,0 0-56,0 0 0,-5 2 24,0 3 24,5-5 8,-2 4 0,-3 0 24,-2 8-16,-6-10 0,11 3 8,2-5-16,-5 13 64,-7-9-32,7 7 32,-4-8 0,9-3-64,-5 4 32,-5 1 40,6 6-32,-8-11 8,12 0-48,-5 4 40,0-1-48,-7 0-16,9 0-8,3-3 32,-4 3-64,-1-1-32,-2 1-24,-5 0-152,12-3 272,-3 3-1105,-2 0-1063,1 0-465,4-3-351,0 0 2984,0 0-4353,0 0 4353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2:19:47.7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1428 54 4993,'0'0'0,"0"-11"1096,-2 7 288,2 4-1384,-2-16 1304,-3 12-159,2-1-89,-9 1-176,12 4-880,-1-4 728,-4 1-56,-7 2-128,7-1-135,5 2-409,-2 0 296,-4 0-112,-4 0-72,5 3-32,5-3-80,-9 11 96,7-6-8,-12 9-72,4-1 56,10-13-72,-6 11 32,1 3-56,-7 2 24,10 0-32,2-16 32,-3 15-24,1 1 16,2-2 24,0-1-48,0-13 32,0 13-48,2-2-8,3-7 8,7 11 8,-12-15 40,5 4-24,8 0-24,2 7-16,-2-11 40,-13 0 24,12 0-56,-1 0 80,6 0-24,-6 0 0,-11 0 0,5-1 32,9-3-8,-10-1-8,8 1 64,-12 4-80,5-5 40,6-7 16,-9 8 32,1 0-16,-3 4-72,2-12 120,3 11 16,-5-3 0,0 1-64,0 3-72,-5-3 16,0 1-24,-6 2-72,-1 0 72,12 0 8,-13 3-32,-6 9 0,0-8 8,-1 12-64,20-16 88,-21 12-56,-3 1-16,3 0 24,3 1 8,18-14 40,-19 13-88,1-2-8,-1 2 8,3-2-8,16-11 96,-16 5-136,1 10-8,2-10 8,1 6 40,12-11 96,-13 3-64,3 0 24,5 0-65,-8-3-63,13 0 168,-3 0-136,-4 0 16,5-3-24,-1-2 88,3 5 56,-4-4-40,2-2 8,2-6 88,0 7-40,0 5-16,0-5 72,0-7-64,0 8 16,-2-2-24,2 6 0,0-11-8,0 8 56,-3-1-16,1 1-24,2 3-8,-7-1-16,-4 1-40,-1 0 8,-4 3 24,16-3 24,-17 11 0,-1-7 0,-3 10 0,-1-2 32,22-12-32,-23 13 8,0-1-8,0 3-8,2-3-8,21-12 16,-16 13-32,-5-1 32,3-8 0,-1 11-32,19-15 32,-19 5 0,3 7-24,-3-9 0,3 2 48,16-5-24,-19 4-24,6 0 0,1-1-16,-2 0 0,14-3 40,-5 0 0,-7 0 0,9 0 40,3 0 8,0 0-48,-3 0 0,3-2 0,0-2-8,0 0-32,0 4 40,0-6-32,0 0 56,0 1 16,0-1 32,0 6-72,0-6 80,0 1 8,-2 0 48,-1 3-64,3 2-72,-4-2 96,-8 2-104,10 0-40,-17 0 32,19 0 16,-14 4-24,-2 1 40,2 6-16,-3-8 0,17-3 0,-11 4-32,-6 9 8,6-10-8,-5 1 16,16-4 16,-14 11-48,2-8 40,1 0-8,-1 1 0,12-4 16,-11 5-16,6-2-16,-7-1-24,5-2 32,7 0 24,-9 3-16,5-3-32,-1 0-56,0 0 16,5 0 88,-2 0-104,-3 0 16,1-1 24,4-1-48,0 2 112,-2-4-128,2 0 8,-5-8 64,5 8 24,0 4 32,-5-5 48,5-7 24,-5 8 0,0 0 24,5 4-96,-2-6 112,-2 0 32,-8 2-16,7 1 16,5 3-144,-11-1 80,-3 1-32,3 0-8,-4 3-48,15-3 8,-16 4 72,0 9-48,-5-9-8,5 10 80,16-14-96,-21 4 32,0 11 16,5-11-16,-1 11-32,17-15 0,-13 5 0,-2 8 32,2-11-8,-2 3-24,15-5 0,-8 4 0,-4 7 8,5-11-64,-7 3 8,14-3 48,-2 3-32,-5 0-48,-5 0 8,10 0-152,2-3 224,-2 0-552,-3 2-472,2-2-488,1 3-497,2-3 2009,0 0-1864,0 0 440,0 0-193,0 0-1103,0 0 2720,0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2:19:48.1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88 6121,'0'0'0,"-5"-16"1872,-12 3-455,17 13-1417,-12-15 1488,0 9-64,0-5-56,8 6-255,4 5-1113,-15-4 952,10-2-144,-7 2-176,7 0-128,5 4-504,-4-2 368,1 1-104,1 1-112,2 0-80,0 0-72,-3 0-24,3 0-32,0 0 40,0 11 16,0-11 0,0 5 136,3 13-160,2-1 48,11 4-48,-16-21 24,15 26-64,4 1 112,0 4-48,10 3 72,-29-34-72,29 36 48,10 4-32,4 2-64,0 3-168,-43-45 216,43 45-120,1-1 24,-6-3 24,1-2-48,-39-39 120,33 35-224,-4-4-200,3-1-152,-8-4-408,-24-26 984,21 24-1696,-4-3-921,0-1-488,-3-7 593,-14-13 2512,3 14-4649,-3-14 4649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2:19:49.6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1764 688 8825,'0'0'0,"-2"-4"2353,-10 0-465,12 4-1888,-2-4 1785,-5 1-537,4-2-360,3 4-280,0 1-608,0-1 408,0-1-176,0 2-128,0 0 40,0 0-144,3 0-8,2 4 40,11 9 56,-4-1-16,-12-12-72,18 14 81,6 3 15,1 4-48,1 3 8,-26-24-56,30 29 104,0 1-112,5 2-32,0 2 8,-35-34 32,38 36-112,-2 4 48,0-2-33,-1-1 41,-35-37 56,30 34-40,0-2-8,-4-3 64,-5-2-56,-21-27 40,21 26-56,-3-3 80,-1-3-48,-6-3 8,-11-17 16,5 15-24,-3-3-32,3-8 32,-3 10 8,-2-14 16,0 3 48,0 0 16,0 1-16,-7-1-40,7-3-8,-13 3 88,-2-3-64,-3 0 24,-4 0 1,22 0-49,-25-2 24,-3-2 56,-5-7 8,-2 6-40,35 5-48,-41-15 0,1 3 24,-5-2 40,2 0 32,43 14-96,-50-16 96,2-3-56,-10-3-40,-3-3 56,61 25-56,-68-27 16,1-5 56,1 0-32,1-7-152,65 39 112,-63-40 40,2-1-64,3 0 48,0 3 144,58 38-168,-56-40 16,3 3 8,1 1 8,11 5-56,41 31 24,-40-28 88,10 2-8,-1 3 16,6 1 104,25 22-200,-24-20 136,11 1 64,0 4-72,13-1-40,0 16-88,-4-14 80,4-2-56,0-1 16,12 0-80,-12 17 40,16-19-16,5 0-32,5-1 8,4 0 80,-30 20-40,33-20 16,6 0 8,0-1 0,6-2-48,-45 23 24,49-21 24,7-2 0,5 1-24,6 1 80,-67 21-80,70-21 0,12-2 40,-1 2-16,10-1-16,-91 22-8,96-21 40,4 0-48,-1-1-48,4 4 32,-103 18 24,110-16 0,4 2 16,0 1 80,3 9-64,-117 4-32,117-13 24,-6 9 16,3 1-40,-2 2 24,-112 1-24,112-2 8,-2 2 8,-4 0-16,2 0-40,-108 0 40,101 3-24,-2 0 48,-1 1-48,-5 1 24,-93-5 0,89 4-48,0 7-48,-3-7 128,-2 9-24,-84-13-8,75 12 0,-4-8 0,-3 13-48,-5-4 24,-63-13 24,56 13 8,-2-2-56,-8 0 56,-4-6-40,-42-5 32,40 15-56,-6-3 16,1-8-32,-4 11-8,-31-15 80,25 12-24,1-1-72,-2 2-24,-6 0 24,-18-13 96,17 15-192,-2 1 16,0 1 32,-6-1-72,-9-16 216,4 18-168,1 1-16,0-1-24,-5 1 24,0-19 184,-2 20-177,-3-2 65,-11 1 16,1 2 64,15-21 32,-13 20-72,-4 0 8,-3 0 40,-4-1-24,24-19 48,-24 19 16,1-2 16,-2-1-40,-1-2 32,26-14-24,-25 14-24,-1 2 8,3-2-16,-1 0 32,24-14 0,-25 13 0,-3-2 24,-2 1 32,-3-8-56,33-4 0,-35 14 24,2-10-8,-6 9-8,-1-10 8,40-3-16,-42 11 24,-5-8 24,1 2-40,-6 6 8,52-11-16,-58 3-24,-2 1-40,-6 9 32,-1-10 40,67-3-8,-70 11-32,-5-7 40,-1 10 40,-6-9-8,82-5-40,-84 15 32,-7-10-16,-2 10-56,-2-3-40,95-12 80,-96 11-64,-5 3 32,8 0-8,-7 4 32,100-18 8,-102 15 32,-1 4-16,-2 1 16,-4 1 16,109-21-48,-108 21-48,2 2 40,-4 0 8,1-3-40,109-20 40,-114 19-24,-1 1 48,-1 2 0,2-2 0,114-20-24,-115 21-32,8-1 16,0 0 8,7 0-8,100-20 16,-103 20 112,5-1-104,-2 0 8,7-1-8,93-18-8,-86 15 24,2-3-8,4 1-16,4-9 0,76-4 0,-70 18 0,7-14 32,7 0 16,3 7-24,53-11-24,-45 0 40,5 3-32,10-3 16,7 0 24,23 0-48,-18 0 24,13 0 16,-5 0 8,10-1-48,0 1 0,0-2-40,3 1-56,12-3-48,-3-1-24,-12 5 168,19-4-152,2 0-48,5-2-88,-1 2-128,-25 4 416,30-4-664,-2-1-304,5 1-569,-5 1-599,-28 3 2136,30-2-2745,3-1 513,-5 1 656,7-9-25,-35 11 1601,28-2-2856,-28 2 2856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2:19:49.8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287 1 6705,'0'0'0,"0"0"0,0 0 1024,-5 0-288,-10 0-48,11 4-31,4-4-657,-20 4 640,4 1-208,-1 6-200,-3-8-48,20-3-184,-21 4 56,2 8-64,-1-10 16,-1 3-104,21-5 96,-20 11-144,1-8-136,-5 1-472,7 0-825,17-4 1577,-17 5-1824,15-5-537,-8-2-1223,10 2 3584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6"/>
  <sheetViews>
    <sheetView rightToLeft="1" tabSelected="1" view="pageBreakPreview" topLeftCell="D1" zoomScale="130" zoomScaleNormal="100" zoomScaleSheetLayoutView="130" workbookViewId="0">
      <selection activeCell="F2" sqref="F2:J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0" t="s">
        <v>180</v>
      </c>
      <c r="C1" s="70"/>
      <c r="D1" s="70"/>
      <c r="E1" s="70"/>
      <c r="F1" s="70"/>
      <c r="G1" s="70"/>
      <c r="H1" s="70"/>
      <c r="I1" s="70"/>
      <c r="J1" s="70"/>
    </row>
    <row r="2" spans="1:10" ht="30" customHeight="1" x14ac:dyDescent="0.3">
      <c r="B2" s="10" t="s">
        <v>8</v>
      </c>
      <c r="C2" s="76" t="s">
        <v>15</v>
      </c>
      <c r="D2" s="76"/>
      <c r="E2" s="10" t="s">
        <v>7</v>
      </c>
      <c r="F2" s="71">
        <v>45952</v>
      </c>
      <c r="G2" s="71"/>
      <c r="H2" s="71"/>
      <c r="I2" s="71"/>
      <c r="J2" s="71"/>
    </row>
    <row r="3" spans="1:10" ht="30" customHeight="1" x14ac:dyDescent="0.3">
      <c r="B3" s="10" t="s">
        <v>9</v>
      </c>
      <c r="C3" s="76" t="s">
        <v>75</v>
      </c>
      <c r="D3" s="76"/>
      <c r="E3" s="10" t="s">
        <v>6</v>
      </c>
      <c r="F3" s="76" t="s">
        <v>122</v>
      </c>
      <c r="G3" s="76"/>
      <c r="H3" s="76"/>
      <c r="I3" s="76"/>
      <c r="J3" s="76"/>
    </row>
    <row r="4" spans="1:10" ht="30" customHeight="1" thickBot="1" x14ac:dyDescent="0.35">
      <c r="B4" s="6"/>
      <c r="C4" s="81"/>
      <c r="D4" s="81"/>
      <c r="E4" s="6"/>
      <c r="F4" s="81"/>
      <c r="G4" s="81"/>
      <c r="H4" s="81"/>
      <c r="I4" s="81"/>
      <c r="J4" s="81"/>
    </row>
    <row r="5" spans="1:10" ht="24.9" customHeight="1" x14ac:dyDescent="0.3">
      <c r="A5" s="8"/>
      <c r="B5" s="72" t="s">
        <v>0</v>
      </c>
      <c r="C5" s="73"/>
      <c r="D5" s="73"/>
      <c r="E5" s="77" t="s">
        <v>1</v>
      </c>
      <c r="F5" s="77"/>
      <c r="G5" s="77"/>
      <c r="H5" s="77"/>
      <c r="I5" s="77" t="s">
        <v>2</v>
      </c>
      <c r="J5" s="78"/>
    </row>
    <row r="6" spans="1:10" ht="24.9" customHeight="1" thickBot="1" x14ac:dyDescent="0.35">
      <c r="A6" s="8"/>
      <c r="B6" s="74"/>
      <c r="C6" s="75"/>
      <c r="D6" s="75"/>
      <c r="E6" s="9" t="s">
        <v>3</v>
      </c>
      <c r="F6" s="9" t="s">
        <v>4</v>
      </c>
      <c r="G6" s="9" t="s">
        <v>23</v>
      </c>
      <c r="H6" s="9" t="s">
        <v>24</v>
      </c>
      <c r="I6" s="79"/>
      <c r="J6" s="80"/>
    </row>
    <row r="7" spans="1:10" ht="24.9" customHeight="1" thickBot="1" x14ac:dyDescent="0.35">
      <c r="A7" s="8"/>
      <c r="B7" s="45" t="s">
        <v>21</v>
      </c>
      <c r="C7" s="46"/>
      <c r="D7" s="46"/>
      <c r="E7" s="26" t="s">
        <v>18</v>
      </c>
      <c r="F7" s="26" t="s">
        <v>19</v>
      </c>
      <c r="G7" s="26" t="s">
        <v>22</v>
      </c>
      <c r="H7" s="26" t="s">
        <v>20</v>
      </c>
      <c r="I7" s="47" t="s">
        <v>25</v>
      </c>
      <c r="J7" s="48"/>
    </row>
    <row r="8" spans="1:10" ht="30" customHeight="1" x14ac:dyDescent="0.3">
      <c r="A8" s="8"/>
      <c r="B8" s="51" t="s">
        <v>181</v>
      </c>
      <c r="C8" s="52"/>
      <c r="D8" s="52"/>
      <c r="E8" s="30">
        <v>10</v>
      </c>
      <c r="F8" s="31">
        <v>8.25</v>
      </c>
      <c r="G8" s="32">
        <f>IFERROR(F8/E8,"")</f>
        <v>0.82499999999999996</v>
      </c>
      <c r="H8" s="33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37"/>
      <c r="J8" s="38"/>
    </row>
    <row r="9" spans="1:10" ht="30" customHeight="1" x14ac:dyDescent="0.3">
      <c r="A9" s="8"/>
      <c r="B9" s="53" t="s">
        <v>182</v>
      </c>
      <c r="C9" s="54"/>
      <c r="D9" s="54"/>
      <c r="E9" s="7">
        <v>10</v>
      </c>
      <c r="F9" s="24">
        <v>7</v>
      </c>
      <c r="G9" s="28">
        <f>IFERROR(F9/E9,"")</f>
        <v>0.7</v>
      </c>
      <c r="H9" s="29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9"/>
      <c r="J9" s="50"/>
    </row>
    <row r="10" spans="1:10" ht="30" customHeight="1" x14ac:dyDescent="0.3">
      <c r="A10" s="8"/>
      <c r="B10" s="53" t="s">
        <v>183</v>
      </c>
      <c r="C10" s="54"/>
      <c r="D10" s="54"/>
      <c r="E10" s="7">
        <v>10</v>
      </c>
      <c r="F10" s="24">
        <v>7.75</v>
      </c>
      <c r="G10" s="28">
        <f t="shared" ref="G10:G11" si="0">IFERROR(F10/E10,"")</f>
        <v>0.77500000000000002</v>
      </c>
      <c r="H10" s="29" t="str">
        <f t="shared" ref="H10:H11" si="1">_xlfn.IFS(F10="أدخل العلامة","",F10="لا ينطبق","تم الإلغاء",G10&gt;=90%,"ممتاز",G10&gt;=80%,"جيد جداً",G10&gt;=70%,"جيد",G10&gt;=60%,"مقبول",G10&lt;60%,"راسب")</f>
        <v>جيد</v>
      </c>
      <c r="I10" s="49"/>
      <c r="J10" s="50"/>
    </row>
    <row r="11" spans="1:10" ht="30" customHeight="1" thickBot="1" x14ac:dyDescent="0.35">
      <c r="A11" s="8"/>
      <c r="B11" s="55" t="s">
        <v>184</v>
      </c>
      <c r="C11" s="56"/>
      <c r="D11" s="56"/>
      <c r="E11" s="34">
        <v>10</v>
      </c>
      <c r="F11" s="25">
        <v>7.75</v>
      </c>
      <c r="G11" s="35">
        <f t="shared" si="0"/>
        <v>0.77500000000000002</v>
      </c>
      <c r="H11" s="36" t="str">
        <f t="shared" si="1"/>
        <v>جيد</v>
      </c>
      <c r="I11" s="57"/>
      <c r="J11" s="58"/>
    </row>
    <row r="12" spans="1:10" ht="30" customHeight="1" thickBot="1" x14ac:dyDescent="0.35">
      <c r="A12" s="4"/>
      <c r="B12" s="39" t="s">
        <v>5</v>
      </c>
      <c r="C12" s="40"/>
      <c r="D12" s="40"/>
      <c r="E12" s="27">
        <f>SUM(E8:E11)</f>
        <v>40</v>
      </c>
      <c r="F12" s="27">
        <f>SUM(F8:F11)</f>
        <v>30.75</v>
      </c>
      <c r="G12" s="42"/>
      <c r="H12" s="43"/>
      <c r="I12" s="43"/>
      <c r="J12" s="44"/>
    </row>
    <row r="13" spans="1:10" ht="30" customHeight="1" thickBot="1" x14ac:dyDescent="0.35">
      <c r="A13" s="4"/>
      <c r="B13" s="62" t="s">
        <v>54</v>
      </c>
      <c r="C13" s="63"/>
      <c r="D13" s="63"/>
      <c r="E13" s="66">
        <f>F12/E12/100*100</f>
        <v>0.76875000000000004</v>
      </c>
      <c r="F13" s="66"/>
      <c r="G13" s="66"/>
      <c r="H13" s="66"/>
      <c r="I13" s="66"/>
      <c r="J13" s="67"/>
    </row>
    <row r="14" spans="1:10" ht="30" customHeight="1" thickBot="1" x14ac:dyDescent="0.35">
      <c r="A14" s="4"/>
      <c r="B14" s="62" t="s">
        <v>55</v>
      </c>
      <c r="C14" s="63"/>
      <c r="D14" s="63"/>
      <c r="E14" s="60" t="str">
        <f>_xlfn.IFS(E13&gt;=90%,"ممتاز",E13&gt;=80%,"جيد جداً",E13&gt;=70%,"جيد",E13&gt;=60%,"مقبول",E13&lt;60%,"راسب")</f>
        <v>جيد</v>
      </c>
      <c r="F14" s="60"/>
      <c r="G14" s="60"/>
      <c r="H14" s="60"/>
      <c r="I14" s="60"/>
      <c r="J14" s="61"/>
    </row>
    <row r="15" spans="1:10" ht="42" customHeight="1" x14ac:dyDescent="0.3">
      <c r="B15" s="68" t="s">
        <v>174</v>
      </c>
      <c r="C15" s="68"/>
      <c r="D15" s="68"/>
      <c r="E15" s="64" t="s">
        <v>52</v>
      </c>
      <c r="F15" s="64"/>
      <c r="G15" s="41" t="s">
        <v>122</v>
      </c>
      <c r="H15" s="41"/>
      <c r="I15" s="41"/>
      <c r="J15" s="41"/>
    </row>
    <row r="16" spans="1:10" ht="51" customHeight="1" x14ac:dyDescent="0.3">
      <c r="A16" s="5"/>
      <c r="B16" s="69"/>
      <c r="C16" s="69"/>
      <c r="D16" s="69"/>
      <c r="E16" s="65" t="s">
        <v>53</v>
      </c>
      <c r="F16" s="65"/>
      <c r="G16" s="59"/>
      <c r="H16" s="59"/>
      <c r="I16" s="59"/>
      <c r="J16" s="5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1">
    <mergeCell ref="B1:J1"/>
    <mergeCell ref="F2:J2"/>
    <mergeCell ref="B5:D6"/>
    <mergeCell ref="C2:D2"/>
    <mergeCell ref="C3:D3"/>
    <mergeCell ref="F3:J3"/>
    <mergeCell ref="E5:H5"/>
    <mergeCell ref="I5:J6"/>
    <mergeCell ref="F4:J4"/>
    <mergeCell ref="C4:D4"/>
    <mergeCell ref="G16:J16"/>
    <mergeCell ref="E14:J14"/>
    <mergeCell ref="B13:D13"/>
    <mergeCell ref="B14:D14"/>
    <mergeCell ref="E15:F15"/>
    <mergeCell ref="E16:F16"/>
    <mergeCell ref="E13:J13"/>
    <mergeCell ref="B15:D16"/>
    <mergeCell ref="I8:J8"/>
    <mergeCell ref="B12:D12"/>
    <mergeCell ref="G15:J15"/>
    <mergeCell ref="G12:J12"/>
    <mergeCell ref="B7:D7"/>
    <mergeCell ref="I7:J7"/>
    <mergeCell ref="I10:J10"/>
    <mergeCell ref="B8:D8"/>
    <mergeCell ref="B9:D9"/>
    <mergeCell ref="B10:D10"/>
    <mergeCell ref="B11:D11"/>
    <mergeCell ref="I9:J9"/>
    <mergeCell ref="I11:J1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4">
    <cfRule type="expression" dxfId="14" priority="57">
      <formula>$E14="راسب"</formula>
    </cfRule>
  </conditionalFormatting>
  <conditionalFormatting sqref="E14:J14">
    <cfRule type="expression" dxfId="13" priority="58">
      <formula>$E14="مقبول"</formula>
    </cfRule>
    <cfRule type="expression" dxfId="12" priority="59">
      <formula>$E14="جيد"</formula>
    </cfRule>
    <cfRule type="expression" dxfId="11" priority="60">
      <formula>$E14="جيد جداً"</formula>
    </cfRule>
    <cfRule type="expression" dxfId="10" priority="61">
      <formula>$E14="ممتاز"</formula>
    </cfRule>
  </conditionalFormatting>
  <conditionalFormatting sqref="F8:F11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5:J15">
    <cfRule type="containsText" dxfId="6" priority="15" operator="containsText" text="أدخل اسم المحكم">
      <formula>NOT(ISERROR(SEARCH("أدخل اسم المحكم",G15)))</formula>
    </cfRule>
  </conditionalFormatting>
  <conditionalFormatting sqref="H8:H1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التقييم'!$A$111:$A$153</xm:f>
          </x14:formula1>
          <xm:sqref>F8:F11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G15:J15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7" t="s">
        <v>62</v>
      </c>
    </row>
    <row r="3" spans="1:3" ht="20.100000000000001" customHeight="1" thickBot="1" x14ac:dyDescent="0.35">
      <c r="A3" s="2" t="s">
        <v>26</v>
      </c>
      <c r="C3" s="17" t="s">
        <v>63</v>
      </c>
    </row>
    <row r="4" spans="1:3" ht="20.100000000000001" customHeight="1" thickBot="1" x14ac:dyDescent="0.35">
      <c r="A4" s="2" t="s">
        <v>36</v>
      </c>
      <c r="C4" s="17" t="s">
        <v>64</v>
      </c>
    </row>
    <row r="5" spans="1:3" ht="20.100000000000001" customHeight="1" thickBot="1" x14ac:dyDescent="0.35">
      <c r="A5" s="2" t="s">
        <v>37</v>
      </c>
      <c r="C5" s="17" t="s">
        <v>65</v>
      </c>
    </row>
    <row r="6" spans="1:3" ht="20.100000000000001" customHeight="1" thickBot="1" x14ac:dyDescent="0.35">
      <c r="A6" s="2" t="s">
        <v>38</v>
      </c>
      <c r="C6" s="17" t="s">
        <v>66</v>
      </c>
    </row>
    <row r="7" spans="1:3" ht="20.100000000000001" customHeight="1" thickBot="1" x14ac:dyDescent="0.35">
      <c r="A7" s="2" t="s">
        <v>39</v>
      </c>
      <c r="C7" s="17" t="s">
        <v>67</v>
      </c>
    </row>
    <row r="8" spans="1:3" ht="20.100000000000001" customHeight="1" thickBot="1" x14ac:dyDescent="0.35">
      <c r="A8" s="2" t="s">
        <v>40</v>
      </c>
      <c r="C8" s="17" t="s">
        <v>68</v>
      </c>
    </row>
    <row r="9" spans="1:3" ht="20.100000000000001" customHeight="1" thickBot="1" x14ac:dyDescent="0.35">
      <c r="A9" s="2" t="s">
        <v>41</v>
      </c>
      <c r="C9" s="17" t="s">
        <v>69</v>
      </c>
    </row>
    <row r="10" spans="1:3" ht="20.100000000000001" customHeight="1" thickBot="1" x14ac:dyDescent="0.35">
      <c r="A10" s="2" t="s">
        <v>42</v>
      </c>
      <c r="C10" s="17" t="s">
        <v>70</v>
      </c>
    </row>
    <row r="11" spans="1:3" ht="20.100000000000001" customHeight="1" thickBot="1" x14ac:dyDescent="0.35">
      <c r="A11" s="2" t="s">
        <v>43</v>
      </c>
      <c r="C11" s="17" t="s">
        <v>71</v>
      </c>
    </row>
    <row r="12" spans="1:3" ht="20.100000000000001" customHeight="1" thickBot="1" x14ac:dyDescent="0.35">
      <c r="A12" s="2" t="s">
        <v>44</v>
      </c>
      <c r="C12" s="17" t="s">
        <v>72</v>
      </c>
    </row>
    <row r="13" spans="1:3" ht="20.100000000000001" customHeight="1" thickBot="1" x14ac:dyDescent="0.35">
      <c r="A13" s="2" t="s">
        <v>45</v>
      </c>
      <c r="C13" s="17" t="s">
        <v>73</v>
      </c>
    </row>
    <row r="14" spans="1:3" ht="20.100000000000001" customHeight="1" thickBot="1" x14ac:dyDescent="0.35">
      <c r="A14" s="2" t="s">
        <v>46</v>
      </c>
      <c r="C14" s="17" t="s">
        <v>74</v>
      </c>
    </row>
    <row r="15" spans="1:3" ht="20.100000000000001" customHeight="1" thickBot="1" x14ac:dyDescent="0.35">
      <c r="A15" s="2" t="s">
        <v>47</v>
      </c>
      <c r="C15" s="17" t="s">
        <v>75</v>
      </c>
    </row>
    <row r="16" spans="1:3" ht="20.100000000000001" customHeight="1" thickBot="1" x14ac:dyDescent="0.35">
      <c r="A16" s="2" t="s">
        <v>10</v>
      </c>
      <c r="C16" s="17" t="s">
        <v>76</v>
      </c>
    </row>
    <row r="17" spans="1:3" ht="20.100000000000001" customHeight="1" thickBot="1" x14ac:dyDescent="0.35">
      <c r="A17" s="2" t="s">
        <v>27</v>
      </c>
      <c r="C17" s="17" t="s">
        <v>77</v>
      </c>
    </row>
    <row r="18" spans="1:3" ht="20.100000000000001" customHeight="1" thickBot="1" x14ac:dyDescent="0.35">
      <c r="A18" s="2" t="s">
        <v>48</v>
      </c>
      <c r="C18" s="17" t="s">
        <v>78</v>
      </c>
    </row>
    <row r="19" spans="1:3" ht="20.100000000000001" customHeight="1" thickBot="1" x14ac:dyDescent="0.35">
      <c r="A19" s="2" t="s">
        <v>49</v>
      </c>
      <c r="C19" s="17" t="s">
        <v>79</v>
      </c>
    </row>
    <row r="20" spans="1:3" ht="20.100000000000001" customHeight="1" thickBot="1" x14ac:dyDescent="0.35">
      <c r="A20" s="2" t="s">
        <v>50</v>
      </c>
      <c r="C20" s="17" t="s">
        <v>80</v>
      </c>
    </row>
    <row r="21" spans="1:3" ht="20.100000000000001" customHeight="1" thickBot="1" x14ac:dyDescent="0.35">
      <c r="A21" s="2" t="s">
        <v>51</v>
      </c>
      <c r="C21" s="17" t="s">
        <v>81</v>
      </c>
    </row>
    <row r="22" spans="1:3" ht="20.100000000000001" customHeight="1" thickBot="1" x14ac:dyDescent="0.35">
      <c r="A22" s="2" t="s">
        <v>11</v>
      </c>
      <c r="C22" s="17" t="s">
        <v>82</v>
      </c>
    </row>
    <row r="23" spans="1:3" ht="20.100000000000001" customHeight="1" thickBot="1" x14ac:dyDescent="0.35">
      <c r="A23" s="2" t="s">
        <v>12</v>
      </c>
      <c r="C23" s="17" t="s">
        <v>83</v>
      </c>
    </row>
    <row r="24" spans="1:3" ht="20.100000000000001" customHeight="1" thickBot="1" x14ac:dyDescent="0.35">
      <c r="A24" s="2" t="s">
        <v>15</v>
      </c>
      <c r="C24" s="17" t="s">
        <v>84</v>
      </c>
    </row>
    <row r="25" spans="1:3" ht="20.100000000000001" customHeight="1" thickBot="1" x14ac:dyDescent="0.35">
      <c r="A25" s="2" t="s">
        <v>28</v>
      </c>
      <c r="C25" s="17" t="s">
        <v>85</v>
      </c>
    </row>
    <row r="26" spans="1:3" ht="20.100000000000001" customHeight="1" thickBot="1" x14ac:dyDescent="0.35">
      <c r="A26" s="2" t="s">
        <v>29</v>
      </c>
      <c r="C26" s="17" t="s">
        <v>86</v>
      </c>
    </row>
    <row r="27" spans="1:3" ht="20.100000000000001" customHeight="1" thickBot="1" x14ac:dyDescent="0.35">
      <c r="A27" s="2" t="s">
        <v>13</v>
      </c>
      <c r="C27" s="17" t="s">
        <v>87</v>
      </c>
    </row>
    <row r="28" spans="1:3" ht="20.100000000000001" customHeight="1" thickBot="1" x14ac:dyDescent="0.35">
      <c r="A28" s="2" t="s">
        <v>30</v>
      </c>
      <c r="C28" s="17" t="s">
        <v>88</v>
      </c>
    </row>
    <row r="29" spans="1:3" ht="20.100000000000001" customHeight="1" thickBot="1" x14ac:dyDescent="0.35">
      <c r="A29" s="2" t="s">
        <v>31</v>
      </c>
      <c r="C29" s="17" t="s">
        <v>177</v>
      </c>
    </row>
    <row r="30" spans="1:3" ht="20.100000000000001" customHeight="1" thickBot="1" x14ac:dyDescent="0.35">
      <c r="A30" s="2" t="s">
        <v>32</v>
      </c>
      <c r="C30" s="17" t="s">
        <v>178</v>
      </c>
    </row>
    <row r="31" spans="1:3" ht="20.100000000000001" customHeight="1" thickBot="1" x14ac:dyDescent="0.35">
      <c r="A31" s="2" t="s">
        <v>33</v>
      </c>
      <c r="C31" s="17" t="s">
        <v>179</v>
      </c>
    </row>
    <row r="32" spans="1:3" ht="20.100000000000001" customHeight="1" thickBot="1" x14ac:dyDescent="0.35">
      <c r="A32" s="2" t="s">
        <v>16</v>
      </c>
      <c r="C32" s="17"/>
    </row>
    <row r="33" spans="1:9" ht="20.100000000000001" customHeight="1" thickBot="1" x14ac:dyDescent="0.35">
      <c r="A33" s="2" t="s">
        <v>14</v>
      </c>
      <c r="C33" s="17"/>
    </row>
    <row r="34" spans="1:9" ht="20.100000000000001" customHeight="1" thickBot="1" x14ac:dyDescent="0.35">
      <c r="A34" s="2" t="s">
        <v>34</v>
      </c>
      <c r="C34" s="17"/>
    </row>
    <row r="35" spans="1:9" ht="20.100000000000001" customHeight="1" x14ac:dyDescent="0.3">
      <c r="A35" s="16"/>
    </row>
    <row r="36" spans="1:9" s="15" customFormat="1" ht="20.100000000000001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1">
        <v>45931</v>
      </c>
    </row>
    <row r="40" spans="1:9" ht="20.100000000000001" customHeight="1" thickBot="1" x14ac:dyDescent="0.35">
      <c r="A40" s="11">
        <v>45932</v>
      </c>
    </row>
    <row r="41" spans="1:9" ht="20.100000000000001" customHeight="1" thickBot="1" x14ac:dyDescent="0.35">
      <c r="A41" s="11">
        <v>45933</v>
      </c>
    </row>
    <row r="42" spans="1:9" ht="20.100000000000001" customHeight="1" thickBot="1" x14ac:dyDescent="0.35">
      <c r="A42" s="11">
        <v>45934</v>
      </c>
    </row>
    <row r="43" spans="1:9" ht="20.100000000000001" customHeight="1" thickBot="1" x14ac:dyDescent="0.35">
      <c r="A43" s="11">
        <v>45935</v>
      </c>
    </row>
    <row r="44" spans="1:9" ht="20.100000000000001" customHeight="1" thickBot="1" x14ac:dyDescent="0.35">
      <c r="A44" s="11">
        <v>45936</v>
      </c>
    </row>
    <row r="45" spans="1:9" ht="20.100000000000001" customHeight="1" thickBot="1" x14ac:dyDescent="0.35">
      <c r="A45" s="11">
        <v>45937</v>
      </c>
    </row>
    <row r="46" spans="1:9" ht="20.100000000000001" customHeight="1" thickBot="1" x14ac:dyDescent="0.35">
      <c r="A46" s="11">
        <v>45938</v>
      </c>
    </row>
    <row r="47" spans="1:9" ht="20.100000000000001" customHeight="1" thickBot="1" x14ac:dyDescent="0.35">
      <c r="A47" s="11">
        <v>45939</v>
      </c>
    </row>
    <row r="48" spans="1:9" ht="20.100000000000001" customHeight="1" thickBot="1" x14ac:dyDescent="0.35">
      <c r="A48" s="11">
        <v>45940</v>
      </c>
    </row>
    <row r="49" spans="1:1" ht="20.100000000000001" customHeight="1" thickBot="1" x14ac:dyDescent="0.35">
      <c r="A49" s="11">
        <v>45941</v>
      </c>
    </row>
    <row r="50" spans="1:1" ht="20.100000000000001" customHeight="1" thickBot="1" x14ac:dyDescent="0.35">
      <c r="A50" s="11">
        <v>45942</v>
      </c>
    </row>
    <row r="51" spans="1:1" ht="20.100000000000001" customHeight="1" thickBot="1" x14ac:dyDescent="0.35">
      <c r="A51" s="11">
        <v>45943</v>
      </c>
    </row>
    <row r="52" spans="1:1" ht="20.100000000000001" customHeight="1" thickBot="1" x14ac:dyDescent="0.35">
      <c r="A52" s="11">
        <v>45944</v>
      </c>
    </row>
    <row r="53" spans="1:1" ht="20.100000000000001" customHeight="1" thickBot="1" x14ac:dyDescent="0.35">
      <c r="A53" s="11">
        <v>45945</v>
      </c>
    </row>
    <row r="54" spans="1:1" ht="20.100000000000001" customHeight="1" thickBot="1" x14ac:dyDescent="0.35">
      <c r="A54" s="11">
        <v>45946</v>
      </c>
    </row>
    <row r="55" spans="1:1" ht="20.100000000000001" customHeight="1" thickBot="1" x14ac:dyDescent="0.35">
      <c r="A55" s="11">
        <v>45947</v>
      </c>
    </row>
    <row r="56" spans="1:1" ht="20.100000000000001" customHeight="1" thickBot="1" x14ac:dyDescent="0.35">
      <c r="A56" s="11">
        <v>45948</v>
      </c>
    </row>
    <row r="57" spans="1:1" ht="20.100000000000001" customHeight="1" thickBot="1" x14ac:dyDescent="0.35">
      <c r="A57" s="11">
        <v>45949</v>
      </c>
    </row>
    <row r="58" spans="1:1" ht="20.100000000000001" customHeight="1" thickBot="1" x14ac:dyDescent="0.35">
      <c r="A58" s="11">
        <v>45950</v>
      </c>
    </row>
    <row r="59" spans="1:1" ht="20.100000000000001" customHeight="1" thickBot="1" x14ac:dyDescent="0.35">
      <c r="A59" s="11">
        <v>45951</v>
      </c>
    </row>
    <row r="60" spans="1:1" ht="20.100000000000001" customHeight="1" thickBot="1" x14ac:dyDescent="0.35">
      <c r="A60" s="11">
        <v>45952</v>
      </c>
    </row>
    <row r="61" spans="1:1" ht="20.100000000000001" customHeight="1" thickBot="1" x14ac:dyDescent="0.35">
      <c r="A61" s="11">
        <v>45953</v>
      </c>
    </row>
    <row r="62" spans="1:1" ht="20.100000000000001" customHeight="1" thickBot="1" x14ac:dyDescent="0.35">
      <c r="A62" s="11">
        <v>45954</v>
      </c>
    </row>
    <row r="63" spans="1:1" ht="20.100000000000001" customHeight="1" thickBot="1" x14ac:dyDescent="0.35">
      <c r="A63" s="11">
        <v>45955</v>
      </c>
    </row>
    <row r="64" spans="1:1" ht="20.100000000000001" customHeight="1" thickBot="1" x14ac:dyDescent="0.35">
      <c r="A64" s="11">
        <v>45956</v>
      </c>
    </row>
    <row r="65" spans="1:1" ht="20.100000000000001" customHeight="1" thickBot="1" x14ac:dyDescent="0.35">
      <c r="A65" s="11">
        <v>45957</v>
      </c>
    </row>
    <row r="66" spans="1:1" ht="20.100000000000001" customHeight="1" thickBot="1" x14ac:dyDescent="0.35">
      <c r="A66" s="11">
        <v>45958</v>
      </c>
    </row>
    <row r="67" spans="1:1" ht="20.100000000000001" customHeight="1" thickBot="1" x14ac:dyDescent="0.35">
      <c r="A67" s="11">
        <v>45959</v>
      </c>
    </row>
    <row r="68" spans="1:1" ht="20.100000000000001" customHeight="1" thickBot="1" x14ac:dyDescent="0.35">
      <c r="A68" s="11">
        <v>45960</v>
      </c>
    </row>
    <row r="69" spans="1:1" ht="20.100000000000001" customHeight="1" thickBot="1" x14ac:dyDescent="0.35">
      <c r="A69" s="11">
        <v>45961</v>
      </c>
    </row>
    <row r="70" spans="1:1" ht="20.100000000000001" customHeight="1" thickBot="1" x14ac:dyDescent="0.35">
      <c r="A70" s="11"/>
    </row>
    <row r="71" spans="1:1" ht="20.100000000000001" customHeight="1" thickBot="1" x14ac:dyDescent="0.35">
      <c r="A71" s="11"/>
    </row>
    <row r="72" spans="1:1" ht="20.100000000000001" customHeight="1" thickBot="1" x14ac:dyDescent="0.35">
      <c r="A72" s="11"/>
    </row>
    <row r="73" spans="1:1" ht="20.100000000000001" customHeight="1" thickBot="1" x14ac:dyDescent="0.35">
      <c r="A73" s="11"/>
    </row>
    <row r="74" spans="1:1" ht="20.100000000000001" customHeight="1" thickBot="1" x14ac:dyDescent="0.35">
      <c r="A74" s="11"/>
    </row>
    <row r="75" spans="1:1" ht="20.100000000000001" customHeight="1" thickBot="1" x14ac:dyDescent="0.35">
      <c r="A75" s="11"/>
    </row>
    <row r="76" spans="1:1" ht="20.100000000000001" customHeight="1" thickBot="1" x14ac:dyDescent="0.35">
      <c r="A76" s="11"/>
    </row>
    <row r="77" spans="1:1" ht="20.100000000000001" customHeight="1" thickBot="1" x14ac:dyDescent="0.35">
      <c r="A77" s="11"/>
    </row>
    <row r="78" spans="1:1" ht="20.100000000000001" customHeight="1" thickBot="1" x14ac:dyDescent="0.35">
      <c r="A78" s="11"/>
    </row>
    <row r="79" spans="1:1" ht="20.100000000000001" customHeight="1" thickBot="1" x14ac:dyDescent="0.35">
      <c r="A79" s="11"/>
    </row>
    <row r="80" spans="1:1" ht="20.100000000000001" customHeight="1" thickBot="1" x14ac:dyDescent="0.35">
      <c r="A80" s="11"/>
    </row>
    <row r="81" spans="1:1" ht="20.100000000000001" customHeight="1" thickBot="1" x14ac:dyDescent="0.35">
      <c r="A81" s="11"/>
    </row>
    <row r="82" spans="1:1" ht="20.100000000000001" customHeight="1" thickBot="1" x14ac:dyDescent="0.35">
      <c r="A82" s="11"/>
    </row>
    <row r="83" spans="1:1" ht="20.100000000000001" customHeight="1" thickBot="1" x14ac:dyDescent="0.35">
      <c r="A83" s="11"/>
    </row>
    <row r="84" spans="1:1" ht="20.100000000000001" customHeight="1" thickBot="1" x14ac:dyDescent="0.35">
      <c r="A84" s="11"/>
    </row>
    <row r="85" spans="1:1" ht="20.100000000000001" customHeight="1" thickBot="1" x14ac:dyDescent="0.35">
      <c r="A85" s="11"/>
    </row>
    <row r="86" spans="1:1" ht="20.100000000000001" customHeight="1" thickBot="1" x14ac:dyDescent="0.35">
      <c r="A86" s="11"/>
    </row>
    <row r="87" spans="1:1" ht="20.100000000000001" customHeight="1" thickBot="1" x14ac:dyDescent="0.35">
      <c r="A87" s="11"/>
    </row>
    <row r="88" spans="1:1" ht="20.100000000000001" customHeight="1" thickBot="1" x14ac:dyDescent="0.35">
      <c r="A88" s="11"/>
    </row>
    <row r="89" spans="1:1" ht="20.100000000000001" customHeight="1" thickBot="1" x14ac:dyDescent="0.35">
      <c r="A89" s="11"/>
    </row>
    <row r="90" spans="1:1" ht="20.100000000000001" customHeight="1" thickBot="1" x14ac:dyDescent="0.35">
      <c r="A90" s="11"/>
    </row>
    <row r="91" spans="1:1" ht="20.100000000000001" customHeight="1" thickBot="1" x14ac:dyDescent="0.35">
      <c r="A91" s="11"/>
    </row>
    <row r="92" spans="1:1" ht="20.100000000000001" customHeight="1" thickBot="1" x14ac:dyDescent="0.35">
      <c r="A92" s="11"/>
    </row>
    <row r="93" spans="1:1" ht="20.100000000000001" customHeight="1" thickBot="1" x14ac:dyDescent="0.35">
      <c r="A93" s="11"/>
    </row>
    <row r="94" spans="1:1" ht="20.100000000000001" customHeight="1" thickBot="1" x14ac:dyDescent="0.35">
      <c r="A94" s="11"/>
    </row>
    <row r="95" spans="1:1" ht="20.100000000000001" customHeight="1" thickBot="1" x14ac:dyDescent="0.35">
      <c r="A95" s="11"/>
    </row>
    <row r="96" spans="1:1" ht="20.100000000000001" customHeight="1" thickBot="1" x14ac:dyDescent="0.35">
      <c r="A96" s="11"/>
    </row>
    <row r="97" spans="1:9" ht="20.100000000000001" customHeight="1" thickBot="1" x14ac:dyDescent="0.35">
      <c r="A97" s="11"/>
    </row>
    <row r="98" spans="1:9" ht="20.100000000000001" customHeight="1" thickBot="1" x14ac:dyDescent="0.35">
      <c r="A98" s="11"/>
    </row>
    <row r="99" spans="1:9" ht="20.100000000000001" customHeight="1" thickBot="1" x14ac:dyDescent="0.35">
      <c r="A99" s="11"/>
    </row>
    <row r="100" spans="1:9" ht="20.100000000000001" customHeight="1" thickBot="1" x14ac:dyDescent="0.35">
      <c r="A100" s="11"/>
    </row>
    <row r="101" spans="1:9" ht="20.100000000000001" customHeight="1" thickBot="1" x14ac:dyDescent="0.35">
      <c r="A101" s="11"/>
    </row>
    <row r="102" spans="1:9" ht="20.100000000000001" customHeight="1" thickBot="1" x14ac:dyDescent="0.35">
      <c r="A102" s="11"/>
    </row>
    <row r="103" spans="1:9" ht="20.100000000000001" customHeight="1" thickBot="1" x14ac:dyDescent="0.35">
      <c r="A103" s="11"/>
    </row>
    <row r="104" spans="1:9" ht="20.100000000000001" customHeight="1" thickBot="1" x14ac:dyDescent="0.35">
      <c r="A104" s="11"/>
    </row>
    <row r="105" spans="1:9" ht="20.100000000000001" customHeight="1" thickBot="1" x14ac:dyDescent="0.35">
      <c r="A105" s="11"/>
    </row>
    <row r="106" spans="1:9" ht="20.100000000000001" customHeight="1" thickBot="1" x14ac:dyDescent="0.35">
      <c r="A106" s="11"/>
    </row>
    <row r="107" spans="1:9" ht="20.100000000000001" customHeight="1" x14ac:dyDescent="0.3">
      <c r="A107" s="12"/>
    </row>
    <row r="108" spans="1:9" ht="20.100000000000001" customHeight="1" x14ac:dyDescent="0.3">
      <c r="A108" s="12"/>
    </row>
    <row r="109" spans="1:9" s="15" customFormat="1" ht="20.100000000000001" customHeight="1" x14ac:dyDescent="0.3">
      <c r="A109" s="13"/>
      <c r="B109" s="14"/>
      <c r="C109" s="14"/>
      <c r="D109" s="14"/>
      <c r="E109" s="14"/>
      <c r="F109" s="14"/>
      <c r="G109" s="14"/>
      <c r="H109" s="14"/>
      <c r="I109" s="14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8" t="s">
        <v>89</v>
      </c>
    </row>
    <row r="200" spans="1:1" ht="20.100000000000001" customHeight="1" x14ac:dyDescent="0.3">
      <c r="A200" s="18" t="s">
        <v>90</v>
      </c>
    </row>
    <row r="201" spans="1:1" ht="20.100000000000001" customHeight="1" x14ac:dyDescent="0.3">
      <c r="A201" s="18" t="s">
        <v>91</v>
      </c>
    </row>
    <row r="202" spans="1:1" ht="20.100000000000001" customHeight="1" x14ac:dyDescent="0.3">
      <c r="A202" s="18" t="s">
        <v>92</v>
      </c>
    </row>
    <row r="203" spans="1:1" ht="20.100000000000001" customHeight="1" x14ac:dyDescent="0.3">
      <c r="A203" s="18" t="s">
        <v>93</v>
      </c>
    </row>
    <row r="204" spans="1:1" ht="20.100000000000001" customHeight="1" x14ac:dyDescent="0.3">
      <c r="A204" s="18" t="s">
        <v>94</v>
      </c>
    </row>
    <row r="205" spans="1:1" ht="20.100000000000001" customHeight="1" x14ac:dyDescent="0.3">
      <c r="A205" s="18" t="s">
        <v>95</v>
      </c>
    </row>
    <row r="206" spans="1:1" ht="20.100000000000001" customHeight="1" x14ac:dyDescent="0.3">
      <c r="A206" s="18" t="s">
        <v>96</v>
      </c>
    </row>
    <row r="207" spans="1:1" ht="20.100000000000001" customHeight="1" x14ac:dyDescent="0.3">
      <c r="A207" s="18" t="s">
        <v>97</v>
      </c>
    </row>
    <row r="208" spans="1:1" ht="20.100000000000001" customHeight="1" x14ac:dyDescent="0.3">
      <c r="A208" s="19" t="s">
        <v>98</v>
      </c>
    </row>
    <row r="209" spans="1:1" ht="20.100000000000001" customHeight="1" x14ac:dyDescent="0.3">
      <c r="A209" s="19" t="s">
        <v>99</v>
      </c>
    </row>
    <row r="210" spans="1:1" ht="20.100000000000001" customHeight="1" x14ac:dyDescent="0.3">
      <c r="A210" s="18" t="s">
        <v>100</v>
      </c>
    </row>
    <row r="211" spans="1:1" ht="20.100000000000001" customHeight="1" x14ac:dyDescent="0.3">
      <c r="A211" s="18" t="s">
        <v>101</v>
      </c>
    </row>
    <row r="212" spans="1:1" ht="20.100000000000001" customHeight="1" x14ac:dyDescent="0.3">
      <c r="A212" s="18" t="s">
        <v>175</v>
      </c>
    </row>
    <row r="213" spans="1:1" ht="20.100000000000001" customHeight="1" x14ac:dyDescent="0.3">
      <c r="A213" s="18" t="s">
        <v>102</v>
      </c>
    </row>
    <row r="214" spans="1:1" ht="20.100000000000001" customHeight="1" x14ac:dyDescent="0.3">
      <c r="A214" s="18" t="s">
        <v>103</v>
      </c>
    </row>
    <row r="215" spans="1:1" ht="20.100000000000001" customHeight="1" x14ac:dyDescent="0.3">
      <c r="A215" s="18" t="s">
        <v>104</v>
      </c>
    </row>
    <row r="216" spans="1:1" ht="20.100000000000001" customHeight="1" x14ac:dyDescent="0.3">
      <c r="A216" s="18" t="s">
        <v>105</v>
      </c>
    </row>
    <row r="217" spans="1:1" ht="20.100000000000001" customHeight="1" x14ac:dyDescent="0.3">
      <c r="A217" s="18" t="s">
        <v>106</v>
      </c>
    </row>
    <row r="218" spans="1:1" ht="20.100000000000001" customHeight="1" x14ac:dyDescent="0.3">
      <c r="A218" s="18" t="s">
        <v>107</v>
      </c>
    </row>
    <row r="219" spans="1:1" ht="20.100000000000001" customHeight="1" x14ac:dyDescent="0.3">
      <c r="A219" s="18" t="s">
        <v>108</v>
      </c>
    </row>
    <row r="220" spans="1:1" ht="20.100000000000001" customHeight="1" x14ac:dyDescent="0.3">
      <c r="A220" s="18" t="s">
        <v>109</v>
      </c>
    </row>
    <row r="221" spans="1:1" ht="20.100000000000001" customHeight="1" x14ac:dyDescent="0.3">
      <c r="A221" s="18" t="s">
        <v>110</v>
      </c>
    </row>
    <row r="222" spans="1:1" ht="20.100000000000001" customHeight="1" x14ac:dyDescent="0.3">
      <c r="A222" s="18" t="s">
        <v>111</v>
      </c>
    </row>
    <row r="223" spans="1:1" ht="20.100000000000001" customHeight="1" x14ac:dyDescent="0.3">
      <c r="A223" s="18" t="s">
        <v>112</v>
      </c>
    </row>
    <row r="224" spans="1:1" ht="20.100000000000001" customHeight="1" x14ac:dyDescent="0.3">
      <c r="A224" s="18" t="s">
        <v>176</v>
      </c>
    </row>
    <row r="225" spans="1:1" ht="20.100000000000001" customHeight="1" x14ac:dyDescent="0.3">
      <c r="A225" s="18" t="s">
        <v>113</v>
      </c>
    </row>
    <row r="226" spans="1:1" ht="20.100000000000001" customHeight="1" x14ac:dyDescent="0.3">
      <c r="A226" s="18" t="s">
        <v>114</v>
      </c>
    </row>
    <row r="227" spans="1:1" ht="20.100000000000001" customHeight="1" x14ac:dyDescent="0.3">
      <c r="A227" s="18" t="s">
        <v>115</v>
      </c>
    </row>
    <row r="228" spans="1:1" ht="20.100000000000001" customHeight="1" x14ac:dyDescent="0.3">
      <c r="A228" s="18" t="s">
        <v>116</v>
      </c>
    </row>
    <row r="229" spans="1:1" ht="20.100000000000001" customHeight="1" x14ac:dyDescent="0.3">
      <c r="A229" s="18" t="s">
        <v>117</v>
      </c>
    </row>
    <row r="230" spans="1:1" ht="20.100000000000001" customHeight="1" x14ac:dyDescent="0.3">
      <c r="A230" s="18" t="s">
        <v>118</v>
      </c>
    </row>
    <row r="231" spans="1:1" ht="20.100000000000001" customHeight="1" x14ac:dyDescent="0.3">
      <c r="A231" s="18" t="s">
        <v>119</v>
      </c>
    </row>
    <row r="232" spans="1:1" ht="20.100000000000001" customHeight="1" x14ac:dyDescent="0.3">
      <c r="A232" s="18" t="s">
        <v>120</v>
      </c>
    </row>
    <row r="233" spans="1:1" ht="20.100000000000001" customHeight="1" x14ac:dyDescent="0.3">
      <c r="A233" s="18" t="s">
        <v>121</v>
      </c>
    </row>
    <row r="234" spans="1:1" ht="20.100000000000001" customHeight="1" x14ac:dyDescent="0.3">
      <c r="A234" s="18" t="s">
        <v>122</v>
      </c>
    </row>
    <row r="235" spans="1:1" ht="20.100000000000001" customHeight="1" x14ac:dyDescent="0.3">
      <c r="A235" s="18" t="s">
        <v>123</v>
      </c>
    </row>
    <row r="236" spans="1:1" ht="20.100000000000001" customHeight="1" x14ac:dyDescent="0.3">
      <c r="A236" s="20" t="s">
        <v>124</v>
      </c>
    </row>
    <row r="237" spans="1:1" ht="20.100000000000001" customHeight="1" x14ac:dyDescent="0.3">
      <c r="A237" s="18" t="s">
        <v>125</v>
      </c>
    </row>
    <row r="238" spans="1:1" ht="20.100000000000001" customHeight="1" x14ac:dyDescent="0.3">
      <c r="A238" s="18" t="s">
        <v>126</v>
      </c>
    </row>
    <row r="239" spans="1:1" ht="20.100000000000001" customHeight="1" x14ac:dyDescent="0.3">
      <c r="A239" s="18" t="s">
        <v>127</v>
      </c>
    </row>
    <row r="240" spans="1:1" ht="20.100000000000001" customHeight="1" x14ac:dyDescent="0.3">
      <c r="A240" s="18" t="s">
        <v>128</v>
      </c>
    </row>
    <row r="241" spans="1:1" ht="20.100000000000001" customHeight="1" x14ac:dyDescent="0.3">
      <c r="A241" s="18" t="s">
        <v>129</v>
      </c>
    </row>
    <row r="242" spans="1:1" ht="20.100000000000001" customHeight="1" x14ac:dyDescent="0.3">
      <c r="A242" s="18" t="s">
        <v>130</v>
      </c>
    </row>
    <row r="243" spans="1:1" ht="20.100000000000001" customHeight="1" x14ac:dyDescent="0.3">
      <c r="A243" s="18" t="s">
        <v>131</v>
      </c>
    </row>
    <row r="244" spans="1:1" ht="20.100000000000001" customHeight="1" x14ac:dyDescent="0.3">
      <c r="A244" s="18" t="s">
        <v>132</v>
      </c>
    </row>
    <row r="245" spans="1:1" ht="20.100000000000001" customHeight="1" x14ac:dyDescent="0.3">
      <c r="A245" s="18" t="s">
        <v>133</v>
      </c>
    </row>
    <row r="246" spans="1:1" ht="20.100000000000001" customHeight="1" x14ac:dyDescent="0.3">
      <c r="A246" s="18" t="s">
        <v>134</v>
      </c>
    </row>
    <row r="247" spans="1:1" ht="20.100000000000001" customHeight="1" x14ac:dyDescent="0.3">
      <c r="A247" s="18" t="s">
        <v>135</v>
      </c>
    </row>
    <row r="248" spans="1:1" ht="20.100000000000001" customHeight="1" x14ac:dyDescent="0.3">
      <c r="A248" s="18" t="s">
        <v>126</v>
      </c>
    </row>
    <row r="249" spans="1:1" ht="20.100000000000001" customHeight="1" x14ac:dyDescent="0.3">
      <c r="A249" s="18" t="s">
        <v>136</v>
      </c>
    </row>
    <row r="250" spans="1:1" ht="20.100000000000001" customHeight="1" x14ac:dyDescent="0.3">
      <c r="A250" s="18" t="s">
        <v>137</v>
      </c>
    </row>
    <row r="251" spans="1:1" ht="20.100000000000001" customHeight="1" x14ac:dyDescent="0.3">
      <c r="A251" s="20" t="s">
        <v>138</v>
      </c>
    </row>
    <row r="252" spans="1:1" ht="20.100000000000001" customHeight="1" x14ac:dyDescent="0.3">
      <c r="A252" s="21" t="s">
        <v>139</v>
      </c>
    </row>
    <row r="253" spans="1:1" ht="20.100000000000001" customHeight="1" x14ac:dyDescent="0.3">
      <c r="A253" s="18" t="s">
        <v>140</v>
      </c>
    </row>
    <row r="254" spans="1:1" ht="20.100000000000001" customHeight="1" x14ac:dyDescent="0.3">
      <c r="A254" s="18" t="s">
        <v>141</v>
      </c>
    </row>
    <row r="255" spans="1:1" ht="20.100000000000001" customHeight="1" x14ac:dyDescent="0.3">
      <c r="A255" s="22" t="s">
        <v>142</v>
      </c>
    </row>
    <row r="256" spans="1:1" ht="20.100000000000001" customHeight="1" x14ac:dyDescent="0.3">
      <c r="A256" s="22" t="s">
        <v>143</v>
      </c>
    </row>
    <row r="257" spans="1:1" ht="20.100000000000001" customHeight="1" x14ac:dyDescent="0.3">
      <c r="A257" s="23" t="s">
        <v>144</v>
      </c>
    </row>
    <row r="258" spans="1:1" ht="20.100000000000001" customHeight="1" x14ac:dyDescent="0.3">
      <c r="A258" s="18" t="s">
        <v>145</v>
      </c>
    </row>
    <row r="259" spans="1:1" ht="20.100000000000001" customHeight="1" x14ac:dyDescent="0.3">
      <c r="A259" s="23" t="s">
        <v>146</v>
      </c>
    </row>
    <row r="260" spans="1:1" ht="20.100000000000001" customHeight="1" x14ac:dyDescent="0.3">
      <c r="A260" s="18" t="s">
        <v>147</v>
      </c>
    </row>
    <row r="261" spans="1:1" ht="20.100000000000001" customHeight="1" x14ac:dyDescent="0.3">
      <c r="A261" s="23" t="s">
        <v>148</v>
      </c>
    </row>
    <row r="262" spans="1:1" ht="20.100000000000001" customHeight="1" x14ac:dyDescent="0.3">
      <c r="A262" s="18" t="s">
        <v>149</v>
      </c>
    </row>
    <row r="263" spans="1:1" ht="20.100000000000001" customHeight="1" x14ac:dyDescent="0.3">
      <c r="A263" s="18" t="s">
        <v>150</v>
      </c>
    </row>
    <row r="264" spans="1:1" ht="20.100000000000001" customHeight="1" x14ac:dyDescent="0.3">
      <c r="A264" s="23" t="s">
        <v>151</v>
      </c>
    </row>
    <row r="265" spans="1:1" ht="20.100000000000001" customHeight="1" x14ac:dyDescent="0.3">
      <c r="A265" s="23" t="s">
        <v>152</v>
      </c>
    </row>
    <row r="266" spans="1:1" ht="20.100000000000001" customHeight="1" x14ac:dyDescent="0.3">
      <c r="A266" s="23" t="s">
        <v>153</v>
      </c>
    </row>
    <row r="267" spans="1:1" ht="20.100000000000001" customHeight="1" x14ac:dyDescent="0.3">
      <c r="A267" s="18" t="s">
        <v>154</v>
      </c>
    </row>
    <row r="268" spans="1:1" ht="20.100000000000001" customHeight="1" x14ac:dyDescent="0.3">
      <c r="A268" s="18" t="s">
        <v>155</v>
      </c>
    </row>
    <row r="269" spans="1:1" ht="20.100000000000001" customHeight="1" x14ac:dyDescent="0.3">
      <c r="A269" s="18" t="s">
        <v>156</v>
      </c>
    </row>
    <row r="270" spans="1:1" ht="20.100000000000001" customHeight="1" x14ac:dyDescent="0.3">
      <c r="A270" s="18" t="s">
        <v>157</v>
      </c>
    </row>
    <row r="271" spans="1:1" ht="20.100000000000001" customHeight="1" x14ac:dyDescent="0.3">
      <c r="A271" s="23" t="s">
        <v>158</v>
      </c>
    </row>
    <row r="272" spans="1:1" ht="20.100000000000001" customHeight="1" x14ac:dyDescent="0.3">
      <c r="A272" s="23" t="s">
        <v>159</v>
      </c>
    </row>
    <row r="273" spans="1:1" ht="20.100000000000001" customHeight="1" x14ac:dyDescent="0.3">
      <c r="A273" s="18" t="s">
        <v>160</v>
      </c>
    </row>
    <row r="274" spans="1:1" ht="20.100000000000001" customHeight="1" x14ac:dyDescent="0.3">
      <c r="A274" s="23" t="s">
        <v>161</v>
      </c>
    </row>
    <row r="275" spans="1:1" ht="20.100000000000001" customHeight="1" x14ac:dyDescent="0.3">
      <c r="A275" s="23" t="s">
        <v>162</v>
      </c>
    </row>
    <row r="276" spans="1:1" ht="20.100000000000001" customHeight="1" x14ac:dyDescent="0.3">
      <c r="A276" s="18" t="s">
        <v>163</v>
      </c>
    </row>
    <row r="277" spans="1:1" ht="20.100000000000001" customHeight="1" x14ac:dyDescent="0.3">
      <c r="A277" s="18" t="s">
        <v>164</v>
      </c>
    </row>
    <row r="278" spans="1:1" ht="20.100000000000001" customHeight="1" x14ac:dyDescent="0.3">
      <c r="A278" s="23" t="s">
        <v>165</v>
      </c>
    </row>
    <row r="279" spans="1:1" ht="20.100000000000001" customHeight="1" x14ac:dyDescent="0.3">
      <c r="A279" s="18" t="s">
        <v>166</v>
      </c>
    </row>
    <row r="280" spans="1:1" ht="20.100000000000001" customHeight="1" x14ac:dyDescent="0.3">
      <c r="A280" s="18" t="s">
        <v>167</v>
      </c>
    </row>
    <row r="281" spans="1:1" ht="20.100000000000001" customHeight="1" x14ac:dyDescent="0.3">
      <c r="A281" s="18" t="s">
        <v>168</v>
      </c>
    </row>
    <row r="282" spans="1:1" ht="20.100000000000001" customHeight="1" x14ac:dyDescent="0.3">
      <c r="A282" s="18" t="s">
        <v>169</v>
      </c>
    </row>
    <row r="283" spans="1:1" ht="20.100000000000001" customHeight="1" x14ac:dyDescent="0.3">
      <c r="A283" s="23" t="s">
        <v>170</v>
      </c>
    </row>
    <row r="284" spans="1:1" ht="20.100000000000001" customHeight="1" x14ac:dyDescent="0.3">
      <c r="A284" s="23" t="s">
        <v>171</v>
      </c>
    </row>
    <row r="285" spans="1:1" ht="20.100000000000001" customHeight="1" x14ac:dyDescent="0.3">
      <c r="A285" s="23" t="s">
        <v>172</v>
      </c>
    </row>
    <row r="286" spans="1:1" ht="20.100000000000001" customHeight="1" thickBot="1" x14ac:dyDescent="0.35">
      <c r="A286" s="18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2025-10-23T15:04:29Z</dcterms:modified>
</cp:coreProperties>
</file>