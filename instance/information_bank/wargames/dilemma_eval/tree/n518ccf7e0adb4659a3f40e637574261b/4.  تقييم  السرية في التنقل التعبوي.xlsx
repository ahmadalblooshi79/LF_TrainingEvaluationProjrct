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36527AFF-0966-2F4E-B49E-2851D97F8F5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F64" i="2"/>
  <c r="E64" i="2"/>
  <c r="E65" i="2"/>
  <c r="E66" i="2"/>
</calcChain>
</file>

<file path=xl/sharedStrings.xml><?xml version="1.0" encoding="utf-8"?>
<sst xmlns="http://schemas.openxmlformats.org/spreadsheetml/2006/main" count="293" uniqueCount="237">
  <si>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</si>
  <si>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</si>
  <si>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</si>
  <si>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</si>
  <si>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</si>
  <si>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</si>
  <si>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</si>
  <si>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</si>
  <si>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</si>
  <si>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</si>
  <si>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</si>
  <si>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</si>
  <si>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</si>
  <si>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</si>
  <si>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</si>
  <si>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</si>
  <si>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</si>
  <si>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</si>
  <si>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</si>
  <si>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</si>
  <si>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</si>
  <si>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</si>
  <si>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</si>
  <si>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</si>
  <si>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</si>
  <si>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</si>
  <si>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</si>
  <si>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</si>
  <si>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</si>
  <si>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</si>
  <si>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</si>
  <si>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</si>
  <si>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</si>
  <si>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</si>
  <si>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</si>
  <si>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</si>
  <si>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</si>
  <si>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</si>
  <si>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</si>
  <si>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</si>
  <si>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</si>
  <si>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</si>
  <si>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</si>
  <si>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</si>
  <si>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</si>
  <si>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</si>
  <si>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</si>
  <si>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</si>
  <si>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</si>
  <si>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</si>
  <si>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</si>
  <si>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</si>
  <si>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</si>
  <si>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</si>
  <si>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</si>
  <si>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</si>
  <si>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</si>
  <si>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</si>
  <si>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</si>
  <si>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</si>
  <si>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</si>
  <si>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</si>
  <si>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</si>
  <si>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</si>
  <si>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</si>
  <si>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</si>
  <si>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</si>
  <si>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</si>
  <si>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</si>
  <si>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</si>
  <si>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</si>
  <si>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</si>
  <si>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</si>
  <si>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</si>
  <si>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</si>
  <si>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</si>
  <si>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</si>
  <si>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</si>
  <si>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</si>
  <si>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</si>
  <si>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</si>
  <si>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</si>
  <si>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</si>
  <si>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</si>
  <si>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</si>
  <si>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</si>
  <si>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</si>
  <si>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</si>
  <si>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</si>
  <si>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</si>
  <si>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</si>
  <si>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</si>
  <si>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</si>
  <si>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</si>
  <si>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</si>
  <si>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</si>
  <si>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</si>
  <si>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</si>
  <si>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</si>
  <si>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</si>
  <si>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</si>
  <si>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</si>
  <si>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</si>
  <si>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</si>
  <si>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</si>
  <si>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</si>
  <si>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</si>
  <si>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</si>
  <si>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</si>
  <si>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</si>
  <si>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</si>
  <si>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</si>
  <si>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</si>
  <si>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</si>
  <si>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</si>
  <si>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</si>
  <si>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</si>
  <si>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</si>
  <si>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</si>
  <si>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</si>
  <si>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</si>
  <si>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</si>
  <si>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</si>
  <si>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</si>
  <si>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</si>
  <si>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</si>
  <si>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</si>
  <si>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</si>
  <si>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</si>
  <si>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</si>
  <si>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</si>
  <si>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</si>
  <si>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</si>
  <si>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</si>
  <si>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</si>
  <si>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</si>
  <si>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</si>
  <si>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</si>
  <si>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</si>
  <si>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</si>
  <si>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</si>
  <si>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</si>
  <si>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</si>
  <si>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</si>
  <si>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</si>
  <si>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</si>
  <si>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</si>
  <si>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</si>
  <si>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</si>
  <si>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</si>
  <si>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</si>
  <si>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</si>
  <si>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</si>
  <si>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</si>
  <si>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</si>
  <si>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</si>
  <si>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</si>
  <si>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</si>
  <si>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</si>
  <si>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</si>
  <si>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</si>
  <si>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</si>
  <si>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</si>
  <si>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</si>
  <si>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</si>
  <si>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</si>
  <si>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</si>
  <si>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</si>
  <si>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</si>
  <si>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</si>
  <si>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</si>
  <si>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</si>
  <si>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</si>
  <si>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</si>
  <si>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</si>
  <si>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</si>
  <si>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</si>
  <si>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</si>
  <si>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</si>
  <si>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</si>
  <si>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التنقل التعبوي من منطقة الحشد إلى منطقة التجمع الأمامية (السرية / فريق القتال)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</si>
  <si>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مرحلة التخطيط</t>
  </si>
  <si>
    <t>1.   يعمل القادة في السرية على فهم الموقف باستخدام كافة الوسائل المتوفرة.</t>
  </si>
  <si>
    <t>2.   تستلم السرية أمر العمليات أو الأمر المجزأ لتنفيذ عملية التنقل التعبوي ويتم البدء بإجراءات التخطيط وكما يلي:</t>
  </si>
  <si>
    <t>أ.   تحديد متطلبات التنقل.</t>
  </si>
  <si>
    <t>ب. 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</si>
  <si>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</si>
  <si>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  طريق/ طرق التنقل في حالة عدم تحديدها في أمر المستوى الأعلى.</t>
  </si>
  <si>
    <t>ب.  مقتربات العدو الأكثر احتمالاً (في حال كان التماس مع العدو متوقعاً).</t>
  </si>
  <si>
    <t>جـ.  نقطة البدء ونقطة الانتشار.</t>
  </si>
  <si>
    <t>د.   المناطق الحرجة، مثل المناطق الخطرة، الممرات الضيقة، الخوانق، نقاط السيطرة على المسير.</t>
  </si>
  <si>
    <t>هـ.   منطقة التجمع ومنطقة المأوى.</t>
  </si>
  <si>
    <t>4.   تحديد عناصر جماعة المأوى وحسب الحاجة.</t>
  </si>
  <si>
    <t>5.   وضع إجراءات السيطرة للمساعدة في عملية التنقل وكما يلي:</t>
  </si>
  <si>
    <t>أ.   وضع أولويات التنقل للوحدات المرؤوسة.</t>
  </si>
  <si>
    <t>ب.  تحديد أسلوب التنقل الذي سيتم استخدامه (رتل واحد أو عدة ارتال).</t>
  </si>
  <si>
    <t>جـ.  تحديد معدل سرعة المسير.</t>
  </si>
  <si>
    <t>د.   تحديد المسافات الفاصلة بين الآليات.</t>
  </si>
  <si>
    <t>هـ.   تحديد الوقت الذي تجتاز فيه مقدمة أو ذيل الرتل النقاط الحرجة.</t>
  </si>
  <si>
    <t>و.   تحديد أماكن ونقاط التوقف المبرمج حسب الحاجة.</t>
  </si>
  <si>
    <t>ز.   تحديد نظام المسير/ ترتيب الآليات.</t>
  </si>
  <si>
    <t>6.   تحديد إجراءات الحماية التي سيتم تطبيقها قبل بدء التنقل، أثناء التنقل وبعد الوصول.</t>
  </si>
  <si>
    <t>7.   تتحديد إجراءات العمل عند حصول تماس مع قوات العدو.</t>
  </si>
  <si>
    <t>8.   تحديد إجراءات العمل في الحالات الطارئة مثل: تعطل الآليات، حوادث الآليات، تباعد المسافات بين الآليات، فقدان آلية، وخطة الإنقاذ.</t>
  </si>
  <si>
    <t>9.   تحديد وتنسيق متطلبات التزويد وإخلاء الإصابات.</t>
  </si>
  <si>
    <t>10.   تنفيذ التنسيق مع الوحدات المعنية فيما يتعلق بالمرور من خلال القوات إذا كانت خطة الحركة تتضمن ذلك.</t>
  </si>
  <si>
    <t>مرحلة التحضير</t>
  </si>
  <si>
    <t>1.   تقوم السرية بالتحضير للتنقل التعبوي كما يلي:</t>
  </si>
  <si>
    <t>أ.   استطلاع الطريق المؤدي إلى نقطة البدء وتحديد الوقت الدقيق للوصول إليها.</t>
  </si>
  <si>
    <t>ب.  تنفيذ تفقدات وتفتيشات ما قبل المعركة.</t>
  </si>
  <si>
    <t>جـ. الإشراف على إجراءات الوحدات المرؤوسة للتأكد من أن جهود التخطيط والتحضير تتوافق مع قصد القائد.</t>
  </si>
  <si>
    <t>د.   إجراء التجارب خلال ساعات النهار وفي ظل ظروف الرؤية المحدودة إن أمكن.</t>
  </si>
  <si>
    <t>هـ.   تحميل كافة الآليات وفقاً لخطة التحميل وخطة الإدامة.</t>
  </si>
  <si>
    <t>و.   إيجاز الأدلاء وتوزيعهم في مواقعهم.</t>
  </si>
  <si>
    <t>ز.   فحص أجهزة الاتصالات ونظام القيادة والسيطرة في كافة الآليات قبل البدء بالحركة.</t>
  </si>
  <si>
    <t>2.   إيجاز وإرسال جماعة المأوى للأمام.</t>
  </si>
  <si>
    <t>3.   تتحرك السرية الى منطقة الاصطفاف عند الحاجة.</t>
  </si>
  <si>
    <t>4.   توضيع عناصر السرية ضمن نظام المسير الصحيح.</t>
  </si>
  <si>
    <t>مرحلة التنفيذ</t>
  </si>
  <si>
    <t>1.   يصدر قائد السرية امره ببدء الحركة باتجاه نقطة البدء.</t>
  </si>
  <si>
    <t>2.   اجتياز نقطة البدء في الوقت المحدد في أمر العمليات أو الأمر المجزأ.</t>
  </si>
  <si>
    <t>3.   استخدام التشكيلة المحددة، أسلوب التنقل ومعدل المسير، والمحافظة على السرعة للوصول إلى نقاط الضبط والسيطرة في الأوقات كما في الأمر.</t>
  </si>
  <si>
    <t>4.   استخدام إشارات الميدان البصرية أو الأجهزة اللاسلكية للاتصال مع الوحدات وبما يتوافق مع أمر العمليات والأوامر التعبوية المستديمة.</t>
  </si>
  <si>
    <t>5.   إدامة المراقبة لجميع الجهات بما في ذلك المراقبة الجوية أثناء الحركة والوقفات.</t>
  </si>
  <si>
    <r>
      <t>6.   المحافظة على توجيه الأسلحة بالشكل المناسب لتوفير الحماية في جميع الاتجاهات خلال المسير</t>
    </r>
    <r>
      <rPr>
        <sz val="12"/>
        <color rgb="FF000000"/>
        <rFont val="Arial"/>
        <family val="2"/>
      </rPr>
      <t>.</t>
    </r>
  </si>
  <si>
    <r>
      <t xml:space="preserve">7.   تمرير المعلومات عند اجتياز نقاط الضبط والسيطرة بما يتوافق مع أمر العمليات </t>
    </r>
    <r>
      <rPr>
        <sz val="12"/>
        <color rgb="FF000000"/>
        <rFont val="Arial"/>
        <family val="2"/>
      </rPr>
      <t>والأوامر التعبوية المستديمة.</t>
    </r>
  </si>
  <si>
    <t>8.    تنفيذ الوقفات المحددة وبما يتوافق مع أمر العمليات أو الأوامر التعبوية المستديمة إذا سمح الموقف التعبوي بذلك، والقيام بإجراء الصيانة الوقائية وإعادة التزود بالوقود عند الضرورة.</t>
  </si>
  <si>
    <t>9.    التعامل مع الموانع حسب الأوامر.</t>
  </si>
  <si>
    <t>10.    تمرير موقع السرية للمستوى الأعلى وحسب الطلب.</t>
  </si>
  <si>
    <r>
      <t xml:space="preserve">11.   تطبيق إجراءات التماس مع قوات العدو حسب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>.</t>
    </r>
  </si>
  <si>
    <t>12.   تنفيذ عمليات التزويد والصيانة والإنقاذ حسب الحاجة.</t>
  </si>
  <si>
    <t>13.   الوصول إلى نقاط الانتشار واجتيازها من قبل الوحدات حسب الوقت المحدد في أمر العمليات.</t>
  </si>
  <si>
    <t>11.   إصدار الأوامر المرؤوسين، وتقديم إيجازات تأكيدية من القادة المرؤوسين فور استلامهم للأوامر للتأكد من فهمهم لقصد القائد ومفهوم عملياته.</t>
  </si>
  <si>
    <t>14.   تمرير معلومات الوصول إلى نقاط الانتشار واتمام اجتيازها دون توقف.</t>
  </si>
  <si>
    <t>15.  الالتقاء مع الأدلاء جماعة المأوى/ منطقة التجمع.</t>
  </si>
  <si>
    <t>16.  تطبيق الانتشار وإجراءات التخفية والتمويه الملائمة.</t>
  </si>
  <si>
    <t>17.  تطبيق إجراءات التعامل واستخدام إنارة الاليات خلال المسير ليلاً أو في ظروف الرؤيا المحدودة.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</si>
</sst>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Fill="1" applyBorder="1" applyAlignment="1">
      <alignment horizontal="right" vertical="center" wrapText="1" readingOrder="2"/>
    </xf>
    <xf numFmtId="0" fontId="14" fillId="0" borderId="3" xfId="0" applyFont="1" applyFill="1" applyBorder="1" applyAlignment="1">
      <alignment horizontal="right" vertical="center" wrapText="1" readingOrder="2"/>
    </xf>
    <xf numFmtId="0" fontId="14" fillId="0" borderId="23" xfId="0" applyFont="1" applyFill="1" applyBorder="1" applyAlignment="1">
      <alignment horizontal="right" vertical="center" wrapText="1" indent="3" readingOrder="2"/>
    </xf>
    <xf numFmtId="0" fontId="14" fillId="0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0" borderId="11" xfId="0" applyFont="1" applyFill="1" applyBorder="1" applyAlignment="1">
      <alignment horizontal="right" vertical="center" wrapText="1" readingOrder="2"/>
    </xf>
    <xf numFmtId="0" fontId="14" fillId="0" borderId="12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3" fillId="6" borderId="24" xfId="0" applyFont="1" applyFill="1" applyBorder="1" applyAlignment="1">
      <alignment horizontal="right" vertical="center" wrapText="1" readingOrder="2"/>
    </xf>
    <xf numFmtId="0" fontId="13" fillId="6" borderId="25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246501</xdr:colOff>
      <xdr:row>67</xdr:row>
      <xdr:rowOff>76895</xdr:rowOff>
    </xdr:from>
    <xdr:to>
      <xdr:col>8</xdr:col>
      <xdr:colOff>209760</xdr:colOff>
      <xdr:row>67</xdr:row>
      <xdr:rowOff>619775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E0D110F-0CB2-3069-A25F-5C6B66237AB7}"/>
                </a:ext>
              </a:extLst>
            </xdr14:cNvPr>
            <xdr14:cNvContentPartPr/>
          </xdr14:nvContentPartPr>
          <xdr14:nvPr macro=""/>
          <xdr14:xfrm>
            <a:off x="10399035149" y="29044440"/>
            <a:ext cx="1279440" cy="542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E0D110F-0CB2-3069-A25F-5C6B66237AB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26509" y="29035440"/>
              <a:ext cx="1297080" cy="56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05.3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3192 339 10330,'0'0'0,"0"-15"1672,3 3-1104,-3 12-568,2-13 200,6 1-152,-8 12 8,0 0 0,0 0-56,0 0 8,0 0 16,0 3-48,0-3 24,2 3-24,-2 0-16,0 1 24,0 8-8,0-12 24,5 4-24,-3 13 24,-2-3-40,0 5 0,0-19 40,0 19 48,0 7-8,-2 2 0,-1 8 40,3-36-80,-14 38 32,2 5 0,-5 3 48,-5 2-16,22-48-64,-24 51 40,-5 0 16,-2 2 32,5-1-32,26-52-56,-34 52 96,0-3-8,1-2 8,-1-4-16,34-43-80,-31 38 136,4-2-8,3-3 41,0-5-89,24-28-80,-21 26 112,-1-5-32,5-3-64,0-3 96,17-15-112,-12 4 176,7 9-48,-7-13 8,10 0-56,2 0-80,0 0 0,0 0-112,0-5-120,2-10-168,-2 15 400,3-15-505,11-6 41,-9-6 48,12-6 104,-17 33 312,17-38-256,0-2 64,-3 3 112,3 6 88,-17 31-8,14-26 64,-2 7 56,-9 3 0,9 5 48,-12 11-168,0-5 264,0 0 16,2 0 64,-2 5 128,0 0-472,0 0 449,-2 0-97,2 12-88,-8-9-288,8-3 24,-12 4-144,8 9-48,-13-11 16,2 14 24,15-16 152,-16 14-104,-4 2-16,3 1 15,-2 0 97,19-17 8,-19 14-64,5 0 96,-3-1-32,5-8-40,12-5 40,-15 15-16,10-12-40,-11 1 40,13 1-24,3-5 40,-12 4 0,7 0 0,1-1-48,1-3 56,3 0-8,-2 3 16,-1-3-64,1 0-80,2 0-56,0 0 184,-2 0-200,-1 3 0,3-3 48,0 2-72,0-2 224,-2 5-224,-3 10 16,-7 2 48,0 3 56,12-20 104,-17 24-96,3 5 0,-8-1 32,3 2 16,19-30 48,-17 30-24,-5-3 56,5 0 0,-4-4 48,21-23-80,-17 21 120,-2-5 40,7-3 48,-3-9 16,15-4-224,-9 4 256,1 0 120,4-1 120,-4-3 201,8 0-697,-4 0 760,4-11-56,0-2-264,0-4-280,0 17-160,0-21-24,0-6-144,2-6 80,3-8-24,-5 41 112,17-51-48,-5-6 32,9-6-40,1-1 0,-22 64 56,24-65-56,2-2 8,1-1 40,-1 2 64,-26 66-56,27-59 0,-3 6 0,0 9 0,-5 4-88,-19 40 88,17-34-16,-3 1 72,-2 9-32,0 3 64,-12 21-88,5-14 104,-2 9-40,1-6 48,-1 10 24,-3 1-136,0-2 96,0 1-32,0 1-88,0 0-128,0 0 152,-5 3-288,0 1-24,0 7 8,-7-8-48,12-3 352,-4 4-296,-8 8 24,0-9 8,0 12 192,12-15 72,-15 14-73,-4 5 33,-3 4 24,-4 1-56,26-24 72,-24 27 64,-5 1-40,2 4 48,-6 2 1,33-34-73,-29 35 56,-2 2 56,-3 4-8,3 1 16,31-42-120,-34 41 168,0-1 72,-2-5-8,3-2 24,33-33-256,-27 27 152,3-3-48,5-6-72,2-2-16,17-16-16,-2 12 56,-6-10-40,6 1-8,-1 0 40,3-3-48,0 0-48,0 0-128,0-1-96,3-4-112,-3 5 384,12-12-344,-10 0 48,15-3 104,-5-5 39,-12 20 153,17-23-96,2-6 32,3-2 24,0-2 32,-22 33 8,21-34-32,-4 5 48,0 0 8,-5 8 16,-12 21-40,2-16 72,10 10 64,-12 2 73,0 3 143,0 1-352,0 0 368,-2 4-80,-3 10-184,-9-2-176,14-12 72,-12 15-160,-3 2-24,1 5 88,-8 5-8,22-27 104,-24 27-64,0 3 8,0-2 32,0-2 8,24-26 16,-24 24-32,5-2 32,4-3 8,1-3-8,14-16 0,-15 12 8,6 0-8,-3-9-64,4 1 56,8-4 8,-12 4-8,8 0-16,1-4 48,-2 0-8,5 0-16,-4 0 0,4 0 32,-3 0 0,1 0-16,2 0-16,0 0 64,-7 0-16,7 0 8,-3 0 8,3 0-64,-2 0 64,-1 3-32,-1 0-32,1 0-24,3-3 24,-7 4-96,-5 12 16,2-2 16,-4 2 16,14-16 48,-15 20-40,-4 1 16,2 0 8,-4 0 24,21-21-8,-20 22 8,4-5 104,-4 0-64,6-4 40,14-13-88,-12 4 160,7 7-40,-7-11 120,12 0 32,0 0-272,0 0 352,-2-1 136,2-10 0,0-2-120,0 13-368,0-17 232,2-6-232,3-7-88,12-7-32,-17 37 120,14-47-56,5-8-16,8-6 64,2-9-16,-29 70 24,31-78-80,7-9 112,3-7-128,3 2 88,-44 92 8,45-87-8,-4 12-56,-5 7 48,0 8-8,-36 60 24,32-53-24,-8 8 24,0 9 8,-10 9 48,-14 27-56,3-18 128,9 6 0,-12 10 176,0 0-72,0 2-232,0 0 168,0 0-136,-3 12-192,-4-8-104,7-4 264,-12 13-344,7-9 64,-14 12-16,2-2 104,17-14 192,-24 18-104,0 5-40,-5 4 56,0 1 32,29-28 56,-33 35-112,-3 3 112,-5 6-32,-5 4 0,46-48 32,-46 53 64,-4-1-32,2 4 24,-3 2-32,51-58-24,-50 60 48,-6 1 8,3-1 56,0-3 72,53-57-184,-52 55 264,-1 0 48,0-2 0,-3 3-48,56-56-264,-57 49 296,-1-2 24,10-4 72,0-6-31,48-37-361,-46 35 248,5-3-64,3-7-88,6-5-48,32-20-48,-28 14 88,6-2-24,3-8-56,7 0 40,12-4-48,-3 3 80,-4-3-56,2 0 16,5 0-120,0 0 80,0-3-136,0-1-24,0 0-64,5-8 24,-5 12 200,12-4-232,0-12-49,2 2 105,8-4 80,-22 18 96,22-20-88,7-4 32,-3 1 32,1-3 0,-27 26 24,31-24 0,-5 0 24,-2 3-40,-2 1 32,-22 20-16,17-19 8,-5 5 32,-7 0 56,7 2 48,-12 12-144,0-11 288,0 5 113,-5-9 87,-7 3 56,12 12-544,-12-12 520,-10 0 56,-4 1-24,-10-1 64,36 12-616,-36-5 608,-13-7-184,1 8-31,-9-2-217,57 6-176,-61-4 96,-6 3-32,-3 1 24,1 3-48,69-3-40,-68 4 112,-1 13-64,1-4-48,1 0 16,67-13-16,-65 14 0,12 0 16,5-1-56,14-2 0,34-11 40,-29 4-184,12 11-160,13-15-249,4 2-407,0-2 1000,2 3-1152,15 0 48,5-3 192,4 3 295,-26-3 617,38 0-368,13 0 56,14-6 160,10-14 112,-75 20 40,91-19 16,10-7 48,12-4 16,14-4 40,-127 34-120,142-38 128,12-4 64,5-2-64,7-5 56,-166 49-184,171-52 192,0 0 25,14-1 135,-5 1-32,-180 52-320,178-54 208,0-2 56,-9-1-224,-3 0-64,-166 57 24,156-55 96,-21 1-168,-13 1 120,-16 4-24,-106 49-24,91-46 16,-21 6 72,-17 8-88,-12 5 224,-41 27-224,22-20 344,-18 4 312,1 5 312,-7 5-48,2 6-920,-15-13 1049,-4 9-265,-14-7-256,-8 6-208,41 5-320,-51-12 8,-11 9-144,-15 1-120,-15 5 72,92-3 184,-113 20-168,-17 6 24,-16 11 64,-11 7 136,157-44-56,-166 51 8,-14 10-48,-5 1 80,4 2-400,181-64 360,-178 66-72,12-2 64,10 0-216,9-3 56,147-61 168,-125 58-808,12-5-377,24-5-359,17-5-481,72-43 2025,-58 38-2640,13-5-1017,20-12-1344,13-5-384,12-16 5385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8"/>
  <sheetViews>
    <sheetView rightToLeft="1" tabSelected="1" view="pageBreakPreview" topLeftCell="D59" zoomScale="130" zoomScaleNormal="100" zoomScaleSheetLayoutView="130" workbookViewId="0">
      <selection activeCell="C3" sqref="C3:D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2" t="s">
        <v>180</v>
      </c>
      <c r="C1" s="42"/>
      <c r="D1" s="42"/>
      <c r="E1" s="42"/>
      <c r="F1" s="42"/>
      <c r="G1" s="42"/>
      <c r="H1" s="42"/>
      <c r="I1" s="42"/>
      <c r="J1" s="42"/>
    </row>
    <row r="2" spans="1:10" ht="30" customHeight="1" x14ac:dyDescent="0.2">
      <c r="B2" s="12" t="s">
        <v>8</v>
      </c>
      <c r="C2" s="48" t="s">
        <v>39</v>
      </c>
      <c r="D2" s="48"/>
      <c r="E2" s="12" t="s">
        <v>7</v>
      </c>
      <c r="F2" s="43">
        <v>45952</v>
      </c>
      <c r="G2" s="43"/>
      <c r="H2" s="43"/>
      <c r="I2" s="43"/>
      <c r="J2" s="43"/>
    </row>
    <row r="3" spans="1:10" ht="30" customHeight="1" x14ac:dyDescent="0.2">
      <c r="B3" s="12" t="s">
        <v>9</v>
      </c>
      <c r="C3" s="48" t="s">
        <v>80</v>
      </c>
      <c r="D3" s="48"/>
      <c r="E3" s="12" t="s">
        <v>6</v>
      </c>
      <c r="F3" s="48" t="s">
        <v>141</v>
      </c>
      <c r="G3" s="48"/>
      <c r="H3" s="48"/>
      <c r="I3" s="48"/>
      <c r="J3" s="4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4" t="s">
        <v>0</v>
      </c>
      <c r="C5" s="45"/>
      <c r="D5" s="45"/>
      <c r="E5" s="53" t="s">
        <v>1</v>
      </c>
      <c r="F5" s="53"/>
      <c r="G5" s="53"/>
      <c r="H5" s="53"/>
      <c r="I5" s="53" t="s">
        <v>2</v>
      </c>
      <c r="J5" s="54"/>
    </row>
    <row r="6" spans="1:10" ht="24.95" customHeight="1" thickBot="1" x14ac:dyDescent="0.25">
      <c r="A6" s="10"/>
      <c r="B6" s="46"/>
      <c r="C6" s="47"/>
      <c r="D6" s="47"/>
      <c r="E6" s="11" t="s">
        <v>3</v>
      </c>
      <c r="F6" s="11" t="s">
        <v>4</v>
      </c>
      <c r="G6" s="11" t="s">
        <v>23</v>
      </c>
      <c r="H6" s="11" t="s">
        <v>24</v>
      </c>
      <c r="I6" s="55"/>
      <c r="J6" s="56"/>
    </row>
    <row r="7" spans="1:10" ht="24.95" customHeight="1" thickBot="1" x14ac:dyDescent="0.25">
      <c r="A7" s="10"/>
      <c r="B7" s="51" t="s">
        <v>21</v>
      </c>
      <c r="C7" s="52"/>
      <c r="D7" s="52"/>
      <c r="E7" s="28" t="s">
        <v>18</v>
      </c>
      <c r="F7" s="28" t="s">
        <v>19</v>
      </c>
      <c r="G7" s="28" t="s">
        <v>22</v>
      </c>
      <c r="H7" s="28" t="s">
        <v>20</v>
      </c>
      <c r="I7" s="57" t="s">
        <v>25</v>
      </c>
      <c r="J7" s="58"/>
    </row>
    <row r="8" spans="1:10" ht="30" customHeight="1" x14ac:dyDescent="0.2">
      <c r="A8" s="10"/>
      <c r="B8" s="83" t="s">
        <v>181</v>
      </c>
      <c r="C8" s="84"/>
      <c r="D8" s="84"/>
      <c r="E8" s="84"/>
      <c r="F8" s="84"/>
      <c r="G8" s="84"/>
      <c r="H8" s="84"/>
      <c r="I8" s="84"/>
      <c r="J8" s="85"/>
    </row>
    <row r="9" spans="1:10" ht="30" customHeight="1" x14ac:dyDescent="0.2">
      <c r="A9" s="10"/>
      <c r="B9" s="71" t="s">
        <v>182</v>
      </c>
      <c r="C9" s="72"/>
      <c r="D9" s="72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9.950000000000003" customHeight="1" x14ac:dyDescent="0.2">
      <c r="A10" s="10"/>
      <c r="B10" s="71" t="s">
        <v>183</v>
      </c>
      <c r="C10" s="72"/>
      <c r="D10" s="72"/>
      <c r="E10" s="9"/>
      <c r="F10" s="26"/>
      <c r="G10" s="30"/>
      <c r="H10" s="31"/>
      <c r="I10" s="40"/>
      <c r="J10" s="41"/>
    </row>
    <row r="11" spans="1:10" ht="30" customHeight="1" x14ac:dyDescent="0.2">
      <c r="A11" s="10"/>
      <c r="B11" s="73" t="s">
        <v>184</v>
      </c>
      <c r="C11" s="74"/>
      <c r="D11" s="74"/>
      <c r="E11" s="9">
        <v>5</v>
      </c>
      <c r="F11" s="26">
        <v>3.75</v>
      </c>
      <c r="G11" s="30">
        <f t="shared" ref="G11:G63" si="0">IFERROR(F11/E11,"")</f>
        <v>0.75</v>
      </c>
      <c r="H11" s="31" t="str">
        <f t="shared" ref="H11:H63" si="1">_xlfn.IFS(F11="أدخل العلامة","",F11="لا ينطبق","تم الإلغاء",G11&gt;=90%,"ممتاز",G11&gt;=80%,"جيد جداً",G11&gt;=70%,"جيد",G11&gt;=60%,"مقبول",G11&lt;60%,"راسب")</f>
        <v>جيد</v>
      </c>
      <c r="I11" s="40"/>
      <c r="J11" s="41"/>
    </row>
    <row r="12" spans="1:10" ht="39.950000000000003" customHeight="1" x14ac:dyDescent="0.2">
      <c r="A12" s="10"/>
      <c r="B12" s="73" t="s">
        <v>185</v>
      </c>
      <c r="C12" s="74"/>
      <c r="D12" s="74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0"/>
      <c r="J12" s="41"/>
    </row>
    <row r="13" spans="1:10" ht="30" customHeight="1" x14ac:dyDescent="0.2">
      <c r="A13" s="10"/>
      <c r="B13" s="71" t="s">
        <v>186</v>
      </c>
      <c r="C13" s="72"/>
      <c r="D13" s="72"/>
      <c r="E13" s="9"/>
      <c r="F13" s="26"/>
      <c r="G13" s="30"/>
      <c r="H13" s="31"/>
      <c r="I13" s="40"/>
      <c r="J13" s="41"/>
    </row>
    <row r="14" spans="1:10" ht="39.950000000000003" customHeight="1" x14ac:dyDescent="0.2">
      <c r="A14" s="10"/>
      <c r="B14" s="73" t="s">
        <v>187</v>
      </c>
      <c r="C14" s="74"/>
      <c r="D14" s="74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0"/>
      <c r="J14" s="41"/>
    </row>
    <row r="15" spans="1:10" ht="39.950000000000003" customHeight="1" x14ac:dyDescent="0.2">
      <c r="A15" s="10"/>
      <c r="B15" s="73" t="s">
        <v>188</v>
      </c>
      <c r="C15" s="74"/>
      <c r="D15" s="74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0"/>
      <c r="J15" s="41"/>
    </row>
    <row r="16" spans="1:10" ht="30" customHeight="1" x14ac:dyDescent="0.2">
      <c r="A16" s="10"/>
      <c r="B16" s="73" t="s">
        <v>189</v>
      </c>
      <c r="C16" s="74"/>
      <c r="D16" s="74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0"/>
      <c r="J16" s="41"/>
    </row>
    <row r="17" spans="1:10" ht="39.950000000000003" customHeight="1" x14ac:dyDescent="0.2">
      <c r="A17" s="10"/>
      <c r="B17" s="73" t="s">
        <v>190</v>
      </c>
      <c r="C17" s="74"/>
      <c r="D17" s="74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0"/>
      <c r="J17" s="41"/>
    </row>
    <row r="18" spans="1:10" ht="30" customHeight="1" x14ac:dyDescent="0.2">
      <c r="A18" s="10"/>
      <c r="B18" s="73" t="s">
        <v>191</v>
      </c>
      <c r="C18" s="74"/>
      <c r="D18" s="74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0"/>
      <c r="J18" s="41"/>
    </row>
    <row r="19" spans="1:10" ht="30" customHeight="1" x14ac:dyDescent="0.2">
      <c r="A19" s="10"/>
      <c r="B19" s="71" t="s">
        <v>192</v>
      </c>
      <c r="C19" s="72"/>
      <c r="D19" s="72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0"/>
      <c r="J19" s="41"/>
    </row>
    <row r="20" spans="1:10" ht="30" customHeight="1" x14ac:dyDescent="0.2">
      <c r="A20" s="10"/>
      <c r="B20" s="71" t="s">
        <v>193</v>
      </c>
      <c r="C20" s="72"/>
      <c r="D20" s="72"/>
      <c r="E20" s="9"/>
      <c r="F20" s="26"/>
      <c r="G20" s="30"/>
      <c r="H20" s="31"/>
      <c r="I20" s="40"/>
      <c r="J20" s="41"/>
    </row>
    <row r="21" spans="1:10" ht="30" customHeight="1" x14ac:dyDescent="0.2">
      <c r="A21" s="10"/>
      <c r="B21" s="73" t="s">
        <v>194</v>
      </c>
      <c r="C21" s="74"/>
      <c r="D21" s="74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0"/>
      <c r="J21" s="41"/>
    </row>
    <row r="22" spans="1:10" ht="39.950000000000003" customHeight="1" x14ac:dyDescent="0.2">
      <c r="A22" s="10"/>
      <c r="B22" s="73" t="s">
        <v>195</v>
      </c>
      <c r="C22" s="74"/>
      <c r="D22" s="74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0"/>
      <c r="J22" s="41"/>
    </row>
    <row r="23" spans="1:10" ht="30" customHeight="1" x14ac:dyDescent="0.2">
      <c r="A23" s="10"/>
      <c r="B23" s="73" t="s">
        <v>196</v>
      </c>
      <c r="C23" s="74"/>
      <c r="D23" s="74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40"/>
      <c r="J23" s="41"/>
    </row>
    <row r="24" spans="1:10" ht="30" customHeight="1" x14ac:dyDescent="0.2">
      <c r="A24" s="10"/>
      <c r="B24" s="73" t="s">
        <v>197</v>
      </c>
      <c r="C24" s="74"/>
      <c r="D24" s="74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40"/>
      <c r="J24" s="41"/>
    </row>
    <row r="25" spans="1:10" ht="30" customHeight="1" x14ac:dyDescent="0.2">
      <c r="A25" s="10"/>
      <c r="B25" s="73" t="s">
        <v>198</v>
      </c>
      <c r="C25" s="74"/>
      <c r="D25" s="74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0"/>
      <c r="J25" s="41"/>
    </row>
    <row r="26" spans="1:10" ht="30" customHeight="1" x14ac:dyDescent="0.2">
      <c r="A26" s="10"/>
      <c r="B26" s="73" t="s">
        <v>199</v>
      </c>
      <c r="C26" s="74"/>
      <c r="D26" s="74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0"/>
      <c r="J26" s="41"/>
    </row>
    <row r="27" spans="1:10" ht="30" customHeight="1" x14ac:dyDescent="0.2">
      <c r="A27" s="10"/>
      <c r="B27" s="73" t="s">
        <v>200</v>
      </c>
      <c r="C27" s="74"/>
      <c r="D27" s="74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0"/>
      <c r="J27" s="41"/>
    </row>
    <row r="28" spans="1:10" ht="39.950000000000003" customHeight="1" x14ac:dyDescent="0.2">
      <c r="A28" s="10"/>
      <c r="B28" s="71" t="s">
        <v>201</v>
      </c>
      <c r="C28" s="72"/>
      <c r="D28" s="72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0"/>
      <c r="J28" s="41"/>
    </row>
    <row r="29" spans="1:10" ht="30" customHeight="1" x14ac:dyDescent="0.2">
      <c r="A29" s="10"/>
      <c r="B29" s="71" t="s">
        <v>202</v>
      </c>
      <c r="C29" s="72"/>
      <c r="D29" s="72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0"/>
      <c r="J29" s="41"/>
    </row>
    <row r="30" spans="1:10" ht="39.950000000000003" customHeight="1" x14ac:dyDescent="0.2">
      <c r="A30" s="10"/>
      <c r="B30" s="71" t="s">
        <v>203</v>
      </c>
      <c r="C30" s="72"/>
      <c r="D30" s="72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0"/>
      <c r="J30" s="41"/>
    </row>
    <row r="31" spans="1:10" ht="30" customHeight="1" x14ac:dyDescent="0.2">
      <c r="A31" s="10"/>
      <c r="B31" s="71" t="s">
        <v>204</v>
      </c>
      <c r="C31" s="72"/>
      <c r="D31" s="72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0"/>
      <c r="J31" s="41"/>
    </row>
    <row r="32" spans="1:10" ht="39.950000000000003" customHeight="1" x14ac:dyDescent="0.2">
      <c r="A32" s="10"/>
      <c r="B32" s="71" t="s">
        <v>205</v>
      </c>
      <c r="C32" s="72"/>
      <c r="D32" s="72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0"/>
      <c r="J32" s="41"/>
    </row>
    <row r="33" spans="1:10" ht="50.1" customHeight="1" thickBot="1" x14ac:dyDescent="0.25">
      <c r="A33" s="10"/>
      <c r="B33" s="77" t="s">
        <v>232</v>
      </c>
      <c r="C33" s="78"/>
      <c r="D33" s="78"/>
      <c r="E33" s="32">
        <v>5</v>
      </c>
      <c r="F33" s="27">
        <v>3.75</v>
      </c>
      <c r="G33" s="33">
        <f t="shared" si="0"/>
        <v>0.75</v>
      </c>
      <c r="H33" s="34" t="str">
        <f t="shared" si="1"/>
        <v>جيد</v>
      </c>
      <c r="I33" s="65"/>
      <c r="J33" s="66"/>
    </row>
    <row r="34" spans="1:10" ht="30" customHeight="1" x14ac:dyDescent="0.2">
      <c r="A34" s="10"/>
      <c r="B34" s="83" t="s">
        <v>206</v>
      </c>
      <c r="C34" s="84"/>
      <c r="D34" s="84"/>
      <c r="E34" s="84"/>
      <c r="F34" s="84"/>
      <c r="G34" s="84"/>
      <c r="H34" s="84"/>
      <c r="I34" s="84"/>
      <c r="J34" s="85"/>
    </row>
    <row r="35" spans="1:10" ht="30" customHeight="1" x14ac:dyDescent="0.2">
      <c r="A35" s="10"/>
      <c r="B35" s="79" t="s">
        <v>207</v>
      </c>
      <c r="C35" s="80"/>
      <c r="D35" s="80"/>
      <c r="E35" s="9"/>
      <c r="F35" s="26"/>
      <c r="G35" s="30"/>
      <c r="H35" s="31"/>
      <c r="I35" s="40"/>
      <c r="J35" s="41"/>
    </row>
    <row r="36" spans="1:10" ht="39.950000000000003" customHeight="1" x14ac:dyDescent="0.2">
      <c r="A36" s="10"/>
      <c r="B36" s="75" t="s">
        <v>208</v>
      </c>
      <c r="C36" s="76"/>
      <c r="D36" s="76"/>
      <c r="E36" s="9">
        <v>5</v>
      </c>
      <c r="F36" s="26">
        <v>3.75</v>
      </c>
      <c r="G36" s="30">
        <f t="shared" si="0"/>
        <v>0.75</v>
      </c>
      <c r="H36" s="31" t="str">
        <f t="shared" si="1"/>
        <v>جيد</v>
      </c>
      <c r="I36" s="40"/>
      <c r="J36" s="41"/>
    </row>
    <row r="37" spans="1:10" ht="30" customHeight="1" x14ac:dyDescent="0.2">
      <c r="A37" s="10"/>
      <c r="B37" s="75" t="s">
        <v>209</v>
      </c>
      <c r="C37" s="76"/>
      <c r="D37" s="76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40"/>
      <c r="J37" s="41"/>
    </row>
    <row r="38" spans="1:10" ht="39.950000000000003" customHeight="1" x14ac:dyDescent="0.2">
      <c r="A38" s="10"/>
      <c r="B38" s="75" t="s">
        <v>210</v>
      </c>
      <c r="C38" s="76"/>
      <c r="D38" s="76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40"/>
      <c r="J38" s="41"/>
    </row>
    <row r="39" spans="1:10" ht="39.950000000000003" customHeight="1" x14ac:dyDescent="0.2">
      <c r="A39" s="10"/>
      <c r="B39" s="75" t="s">
        <v>211</v>
      </c>
      <c r="C39" s="76"/>
      <c r="D39" s="76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40"/>
      <c r="J39" s="41"/>
    </row>
    <row r="40" spans="1:10" ht="30" customHeight="1" x14ac:dyDescent="0.2">
      <c r="A40" s="10"/>
      <c r="B40" s="75" t="s">
        <v>212</v>
      </c>
      <c r="C40" s="76"/>
      <c r="D40" s="76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40"/>
      <c r="J40" s="41"/>
    </row>
    <row r="41" spans="1:10" ht="30" customHeight="1" x14ac:dyDescent="0.2">
      <c r="A41" s="10"/>
      <c r="B41" s="75" t="s">
        <v>213</v>
      </c>
      <c r="C41" s="76"/>
      <c r="D41" s="76"/>
      <c r="E41" s="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40"/>
      <c r="J41" s="41"/>
    </row>
    <row r="42" spans="1:10" ht="39.950000000000003" customHeight="1" x14ac:dyDescent="0.2">
      <c r="A42" s="10"/>
      <c r="B42" s="75" t="s">
        <v>214</v>
      </c>
      <c r="C42" s="76"/>
      <c r="D42" s="76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40"/>
      <c r="J42" s="41"/>
    </row>
    <row r="43" spans="1:10" ht="30" customHeight="1" x14ac:dyDescent="0.2">
      <c r="A43" s="10"/>
      <c r="B43" s="79" t="s">
        <v>215</v>
      </c>
      <c r="C43" s="80"/>
      <c r="D43" s="80"/>
      <c r="E43" s="9">
        <v>5</v>
      </c>
      <c r="F43" s="26">
        <v>3.5</v>
      </c>
      <c r="G43" s="30">
        <f t="shared" si="0"/>
        <v>0.7</v>
      </c>
      <c r="H43" s="31" t="str">
        <f t="shared" si="1"/>
        <v>جيد</v>
      </c>
      <c r="I43" s="40"/>
      <c r="J43" s="41"/>
    </row>
    <row r="44" spans="1:10" ht="30" customHeight="1" x14ac:dyDescent="0.2">
      <c r="A44" s="10"/>
      <c r="B44" s="79" t="s">
        <v>216</v>
      </c>
      <c r="C44" s="80"/>
      <c r="D44" s="80"/>
      <c r="E44" s="9">
        <v>5</v>
      </c>
      <c r="F44" s="26">
        <v>3.5</v>
      </c>
      <c r="G44" s="30">
        <f t="shared" si="0"/>
        <v>0.7</v>
      </c>
      <c r="H44" s="31" t="str">
        <f t="shared" si="1"/>
        <v>جيد</v>
      </c>
      <c r="I44" s="40"/>
      <c r="J44" s="41"/>
    </row>
    <row r="45" spans="1:10" ht="30" customHeight="1" thickBot="1" x14ac:dyDescent="0.25">
      <c r="A45" s="10"/>
      <c r="B45" s="81" t="s">
        <v>217</v>
      </c>
      <c r="C45" s="82"/>
      <c r="D45" s="82"/>
      <c r="E45" s="32">
        <v>5</v>
      </c>
      <c r="F45" s="27">
        <v>3.5</v>
      </c>
      <c r="G45" s="33">
        <f t="shared" si="0"/>
        <v>0.7</v>
      </c>
      <c r="H45" s="34" t="str">
        <f t="shared" si="1"/>
        <v>جيد</v>
      </c>
      <c r="I45" s="65"/>
      <c r="J45" s="66"/>
    </row>
    <row r="46" spans="1:10" ht="30" customHeight="1" x14ac:dyDescent="0.2">
      <c r="A46" s="10"/>
      <c r="B46" s="83" t="s">
        <v>218</v>
      </c>
      <c r="C46" s="84"/>
      <c r="D46" s="84"/>
      <c r="E46" s="84"/>
      <c r="F46" s="84"/>
      <c r="G46" s="84"/>
      <c r="H46" s="84"/>
      <c r="I46" s="84"/>
      <c r="J46" s="85"/>
    </row>
    <row r="47" spans="1:10" ht="30" customHeight="1" x14ac:dyDescent="0.2">
      <c r="A47" s="10"/>
      <c r="B47" s="79" t="s">
        <v>219</v>
      </c>
      <c r="C47" s="80"/>
      <c r="D47" s="80"/>
      <c r="E47" s="9">
        <v>5</v>
      </c>
      <c r="F47" s="26">
        <v>3.5</v>
      </c>
      <c r="G47" s="30">
        <f t="shared" si="0"/>
        <v>0.7</v>
      </c>
      <c r="H47" s="31" t="str">
        <f t="shared" si="1"/>
        <v>جيد</v>
      </c>
      <c r="I47" s="40"/>
      <c r="J47" s="41"/>
    </row>
    <row r="48" spans="1:10" ht="30" customHeight="1" x14ac:dyDescent="0.2">
      <c r="A48" s="10"/>
      <c r="B48" s="79" t="s">
        <v>220</v>
      </c>
      <c r="C48" s="80"/>
      <c r="D48" s="80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40"/>
      <c r="J48" s="41"/>
    </row>
    <row r="49" spans="1:10" ht="39.950000000000003" customHeight="1" x14ac:dyDescent="0.2">
      <c r="A49" s="10"/>
      <c r="B49" s="79" t="s">
        <v>221</v>
      </c>
      <c r="C49" s="80"/>
      <c r="D49" s="80"/>
      <c r="E49" s="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40"/>
      <c r="J49" s="41"/>
    </row>
    <row r="50" spans="1:10" ht="39.950000000000003" customHeight="1" x14ac:dyDescent="0.2">
      <c r="A50" s="10"/>
      <c r="B50" s="86" t="s">
        <v>222</v>
      </c>
      <c r="C50" s="87"/>
      <c r="D50" s="87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40"/>
      <c r="J50" s="41"/>
    </row>
    <row r="51" spans="1:10" ht="39.950000000000003" customHeight="1" x14ac:dyDescent="0.2">
      <c r="A51" s="10"/>
      <c r="B51" s="86" t="s">
        <v>223</v>
      </c>
      <c r="C51" s="87"/>
      <c r="D51" s="87"/>
      <c r="E51" s="9">
        <v>5</v>
      </c>
      <c r="F51" s="26">
        <v>3.5</v>
      </c>
      <c r="G51" s="30">
        <f t="shared" si="0"/>
        <v>0.7</v>
      </c>
      <c r="H51" s="31" t="str">
        <f t="shared" si="1"/>
        <v>جيد</v>
      </c>
      <c r="I51" s="40"/>
      <c r="J51" s="41"/>
    </row>
    <row r="52" spans="1:10" ht="39.950000000000003" customHeight="1" x14ac:dyDescent="0.2">
      <c r="A52" s="10"/>
      <c r="B52" s="79" t="s">
        <v>224</v>
      </c>
      <c r="C52" s="80"/>
      <c r="D52" s="80"/>
      <c r="E52" s="9">
        <v>5</v>
      </c>
      <c r="F52" s="26">
        <v>3.5</v>
      </c>
      <c r="G52" s="30">
        <f t="shared" si="0"/>
        <v>0.7</v>
      </c>
      <c r="H52" s="31" t="str">
        <f t="shared" si="1"/>
        <v>جيد</v>
      </c>
      <c r="I52" s="40"/>
      <c r="J52" s="41"/>
    </row>
    <row r="53" spans="1:10" ht="39.950000000000003" customHeight="1" x14ac:dyDescent="0.2">
      <c r="A53" s="10"/>
      <c r="B53" s="79" t="s">
        <v>225</v>
      </c>
      <c r="C53" s="80"/>
      <c r="D53" s="80"/>
      <c r="E53" s="9">
        <v>5</v>
      </c>
      <c r="F53" s="26">
        <v>3.75</v>
      </c>
      <c r="G53" s="30">
        <f t="shared" si="0"/>
        <v>0.75</v>
      </c>
      <c r="H53" s="31" t="str">
        <f t="shared" si="1"/>
        <v>جيد</v>
      </c>
      <c r="I53" s="40"/>
      <c r="J53" s="41"/>
    </row>
    <row r="54" spans="1:10" ht="50.1" customHeight="1" x14ac:dyDescent="0.2">
      <c r="A54" s="10"/>
      <c r="B54" s="79" t="s">
        <v>226</v>
      </c>
      <c r="C54" s="80"/>
      <c r="D54" s="80"/>
      <c r="E54" s="9">
        <v>5</v>
      </c>
      <c r="F54" s="26">
        <v>3.75</v>
      </c>
      <c r="G54" s="30">
        <f t="shared" si="0"/>
        <v>0.75</v>
      </c>
      <c r="H54" s="31" t="str">
        <f t="shared" si="1"/>
        <v>جيد</v>
      </c>
      <c r="I54" s="40"/>
      <c r="J54" s="41"/>
    </row>
    <row r="55" spans="1:10" ht="30" customHeight="1" x14ac:dyDescent="0.2">
      <c r="A55" s="10"/>
      <c r="B55" s="79" t="s">
        <v>227</v>
      </c>
      <c r="C55" s="80"/>
      <c r="D55" s="80"/>
      <c r="E55" s="9">
        <v>5</v>
      </c>
      <c r="F55" s="26">
        <v>3.75</v>
      </c>
      <c r="G55" s="30">
        <f t="shared" si="0"/>
        <v>0.75</v>
      </c>
      <c r="H55" s="31" t="str">
        <f t="shared" si="1"/>
        <v>جيد</v>
      </c>
      <c r="I55" s="40"/>
      <c r="J55" s="41"/>
    </row>
    <row r="56" spans="1:10" ht="30" customHeight="1" x14ac:dyDescent="0.2">
      <c r="A56" s="10"/>
      <c r="B56" s="79" t="s">
        <v>228</v>
      </c>
      <c r="C56" s="80"/>
      <c r="D56" s="80"/>
      <c r="E56" s="9">
        <v>5</v>
      </c>
      <c r="F56" s="26">
        <v>3.5</v>
      </c>
      <c r="G56" s="30">
        <f t="shared" si="0"/>
        <v>0.7</v>
      </c>
      <c r="H56" s="31" t="str">
        <f t="shared" si="1"/>
        <v>جيد</v>
      </c>
      <c r="I56" s="40"/>
      <c r="J56" s="41"/>
    </row>
    <row r="57" spans="1:10" ht="39.950000000000003" customHeight="1" x14ac:dyDescent="0.2">
      <c r="A57" s="10"/>
      <c r="B57" s="79" t="s">
        <v>229</v>
      </c>
      <c r="C57" s="80"/>
      <c r="D57" s="80"/>
      <c r="E57" s="9">
        <v>5</v>
      </c>
      <c r="F57" s="26">
        <v>3.5</v>
      </c>
      <c r="G57" s="30">
        <f t="shared" si="0"/>
        <v>0.7</v>
      </c>
      <c r="H57" s="31" t="str">
        <f t="shared" si="1"/>
        <v>جيد</v>
      </c>
      <c r="I57" s="40"/>
      <c r="J57" s="41"/>
    </row>
    <row r="58" spans="1:10" ht="30" customHeight="1" x14ac:dyDescent="0.2">
      <c r="A58" s="10"/>
      <c r="B58" s="79" t="s">
        <v>230</v>
      </c>
      <c r="C58" s="80"/>
      <c r="D58" s="80"/>
      <c r="E58" s="9">
        <v>5</v>
      </c>
      <c r="F58" s="26">
        <v>3.75</v>
      </c>
      <c r="G58" s="30">
        <f t="shared" si="0"/>
        <v>0.75</v>
      </c>
      <c r="H58" s="31" t="str">
        <f t="shared" si="1"/>
        <v>جيد</v>
      </c>
      <c r="I58" s="40"/>
      <c r="J58" s="41"/>
    </row>
    <row r="59" spans="1:10" ht="39.950000000000003" customHeight="1" x14ac:dyDescent="0.2">
      <c r="A59" s="10"/>
      <c r="B59" s="79" t="s">
        <v>231</v>
      </c>
      <c r="C59" s="80"/>
      <c r="D59" s="80"/>
      <c r="E59" s="9">
        <v>5</v>
      </c>
      <c r="F59" s="26">
        <v>3.5</v>
      </c>
      <c r="G59" s="30">
        <f t="shared" si="0"/>
        <v>0.7</v>
      </c>
      <c r="H59" s="31" t="str">
        <f t="shared" si="1"/>
        <v>جيد</v>
      </c>
      <c r="I59" s="40"/>
      <c r="J59" s="41"/>
    </row>
    <row r="60" spans="1:10" ht="39.950000000000003" customHeight="1" x14ac:dyDescent="0.2">
      <c r="A60" s="10"/>
      <c r="B60" s="79" t="s">
        <v>233</v>
      </c>
      <c r="C60" s="80"/>
      <c r="D60" s="80"/>
      <c r="E60" s="9">
        <v>5</v>
      </c>
      <c r="F60" s="26">
        <v>3.5</v>
      </c>
      <c r="G60" s="30">
        <f t="shared" si="0"/>
        <v>0.7</v>
      </c>
      <c r="H60" s="31" t="str">
        <f t="shared" si="1"/>
        <v>جيد</v>
      </c>
      <c r="I60" s="40"/>
      <c r="J60" s="41"/>
    </row>
    <row r="61" spans="1:10" ht="30" customHeight="1" x14ac:dyDescent="0.2">
      <c r="A61" s="10"/>
      <c r="B61" s="79" t="s">
        <v>234</v>
      </c>
      <c r="C61" s="80"/>
      <c r="D61" s="80"/>
      <c r="E61" s="9">
        <v>5</v>
      </c>
      <c r="F61" s="26">
        <v>3.75</v>
      </c>
      <c r="G61" s="30">
        <f t="shared" si="0"/>
        <v>0.75</v>
      </c>
      <c r="H61" s="31" t="str">
        <f t="shared" si="1"/>
        <v>جيد</v>
      </c>
      <c r="I61" s="40"/>
      <c r="J61" s="41"/>
    </row>
    <row r="62" spans="1:10" ht="30" customHeight="1" x14ac:dyDescent="0.2">
      <c r="A62" s="10"/>
      <c r="B62" s="79" t="s">
        <v>235</v>
      </c>
      <c r="C62" s="80"/>
      <c r="D62" s="80"/>
      <c r="E62" s="9">
        <v>5</v>
      </c>
      <c r="F62" s="26">
        <v>3.5</v>
      </c>
      <c r="G62" s="30">
        <f t="shared" si="0"/>
        <v>0.7</v>
      </c>
      <c r="H62" s="31" t="str">
        <f t="shared" si="1"/>
        <v>جيد</v>
      </c>
      <c r="I62" s="40"/>
      <c r="J62" s="41"/>
    </row>
    <row r="63" spans="1:10" ht="39.950000000000003" customHeight="1" thickBot="1" x14ac:dyDescent="0.25">
      <c r="A63" s="10"/>
      <c r="B63" s="81" t="s">
        <v>236</v>
      </c>
      <c r="C63" s="82"/>
      <c r="D63" s="82"/>
      <c r="E63" s="32">
        <v>5</v>
      </c>
      <c r="F63" s="27">
        <v>3.75</v>
      </c>
      <c r="G63" s="33">
        <f t="shared" si="0"/>
        <v>0.75</v>
      </c>
      <c r="H63" s="34" t="str">
        <f t="shared" si="1"/>
        <v>جيد</v>
      </c>
      <c r="I63" s="65"/>
      <c r="J63" s="66"/>
    </row>
    <row r="64" spans="1:10" ht="30" customHeight="1" thickBot="1" x14ac:dyDescent="0.25">
      <c r="A64" s="4"/>
      <c r="B64" s="67" t="s">
        <v>5</v>
      </c>
      <c r="C64" s="68"/>
      <c r="D64" s="68"/>
      <c r="E64" s="29">
        <f>SUM(E8:E63)</f>
        <v>245</v>
      </c>
      <c r="F64" s="29">
        <f>SUM(F8:F63)</f>
        <v>177.75</v>
      </c>
      <c r="G64" s="37"/>
      <c r="H64" s="38"/>
      <c r="I64" s="38"/>
      <c r="J64" s="39"/>
    </row>
    <row r="65" spans="1:10" ht="30" customHeight="1" thickBot="1" x14ac:dyDescent="0.25">
      <c r="A65" s="4"/>
      <c r="B65" s="69" t="s">
        <v>54</v>
      </c>
      <c r="C65" s="70"/>
      <c r="D65" s="70"/>
      <c r="E65" s="49">
        <f>F64/E64/100*100</f>
        <v>0.72551020408163269</v>
      </c>
      <c r="F65" s="49"/>
      <c r="G65" s="49"/>
      <c r="H65" s="49"/>
      <c r="I65" s="49"/>
      <c r="J65" s="50"/>
    </row>
    <row r="66" spans="1:10" ht="30" customHeight="1" thickBot="1" x14ac:dyDescent="0.25">
      <c r="A66" s="4"/>
      <c r="B66" s="69" t="s">
        <v>55</v>
      </c>
      <c r="C66" s="70"/>
      <c r="D66" s="70"/>
      <c r="E66" s="63" t="str">
        <f>_xlfn.IFS(E65&gt;=90%,"ممتاز",E65&gt;=80%,"جيد جداً",E65&gt;=70%,"جيد",E65&gt;=60%,"مقبول",E65&lt;60%,"راسب")</f>
        <v>جيد</v>
      </c>
      <c r="F66" s="63"/>
      <c r="G66" s="63"/>
      <c r="H66" s="63"/>
      <c r="I66" s="63"/>
      <c r="J66" s="64"/>
    </row>
    <row r="67" spans="1:10" ht="42" customHeight="1" x14ac:dyDescent="0.2">
      <c r="B67" s="59" t="s">
        <v>174</v>
      </c>
      <c r="C67" s="59"/>
      <c r="D67" s="59"/>
      <c r="E67" s="35" t="s">
        <v>52</v>
      </c>
      <c r="F67" s="35"/>
      <c r="G67" s="61" t="s">
        <v>141</v>
      </c>
      <c r="H67" s="61"/>
      <c r="I67" s="61"/>
      <c r="J67" s="61"/>
    </row>
    <row r="68" spans="1:10" ht="51" customHeight="1" x14ac:dyDescent="0.2">
      <c r="A68" s="5"/>
      <c r="B68" s="60"/>
      <c r="C68" s="60"/>
      <c r="D68" s="60"/>
      <c r="E68" s="36" t="s">
        <v>53</v>
      </c>
      <c r="F68" s="36"/>
      <c r="G68" s="62"/>
      <c r="H68" s="62"/>
      <c r="I68" s="62"/>
      <c r="J68" s="6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30">
    <mergeCell ref="B8:J8"/>
    <mergeCell ref="B34:J34"/>
    <mergeCell ref="B46:J46"/>
    <mergeCell ref="B52:D52"/>
    <mergeCell ref="B53:D53"/>
    <mergeCell ref="B54:D54"/>
    <mergeCell ref="B55:D55"/>
    <mergeCell ref="B56:D56"/>
    <mergeCell ref="B57:D57"/>
    <mergeCell ref="B43:D43"/>
    <mergeCell ref="B44:D44"/>
    <mergeCell ref="B45:D45"/>
    <mergeCell ref="B47:D47"/>
    <mergeCell ref="B48:D48"/>
    <mergeCell ref="B49:D49"/>
    <mergeCell ref="B50:D50"/>
    <mergeCell ref="B51:D51"/>
    <mergeCell ref="B35:D35"/>
    <mergeCell ref="B25:D25"/>
    <mergeCell ref="B36:D36"/>
    <mergeCell ref="B37:D37"/>
    <mergeCell ref="B38:D38"/>
    <mergeCell ref="B39:D39"/>
    <mergeCell ref="B40:D40"/>
    <mergeCell ref="B41:D41"/>
    <mergeCell ref="B42:D42"/>
    <mergeCell ref="B26:D26"/>
    <mergeCell ref="B27:D27"/>
    <mergeCell ref="B28:D28"/>
    <mergeCell ref="B29:D29"/>
    <mergeCell ref="B30:D30"/>
    <mergeCell ref="B31:D31"/>
    <mergeCell ref="B32:D32"/>
    <mergeCell ref="B33:D33"/>
    <mergeCell ref="I29:J29"/>
    <mergeCell ref="I58:J58"/>
    <mergeCell ref="I59:J59"/>
    <mergeCell ref="I60:J60"/>
    <mergeCell ref="I26:J26"/>
    <mergeCell ref="I27:J27"/>
    <mergeCell ref="I63:J63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B17:D17"/>
    <mergeCell ref="B18:D18"/>
    <mergeCell ref="B19:D19"/>
    <mergeCell ref="B20:D20"/>
    <mergeCell ref="B21:D21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45:J45"/>
    <mergeCell ref="I47:J47"/>
    <mergeCell ref="I61:J61"/>
    <mergeCell ref="I62:J62"/>
    <mergeCell ref="I33:J33"/>
    <mergeCell ref="I35:J35"/>
    <mergeCell ref="B64:D64"/>
    <mergeCell ref="B65:D65"/>
    <mergeCell ref="B66:D66"/>
    <mergeCell ref="B61:D61"/>
    <mergeCell ref="B62:D62"/>
    <mergeCell ref="B63:D63"/>
    <mergeCell ref="B58:D58"/>
    <mergeCell ref="B59:D59"/>
    <mergeCell ref="B60:D60"/>
    <mergeCell ref="I22:J22"/>
    <mergeCell ref="I23:J23"/>
    <mergeCell ref="I24:J24"/>
    <mergeCell ref="I25:J25"/>
    <mergeCell ref="B67:D68"/>
    <mergeCell ref="G67:J67"/>
    <mergeCell ref="G68:J68"/>
    <mergeCell ref="E66:J66"/>
    <mergeCell ref="I39:J39"/>
    <mergeCell ref="I40:J40"/>
    <mergeCell ref="I41:J41"/>
    <mergeCell ref="I42:J42"/>
    <mergeCell ref="I43:J43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4:J44"/>
    <mergeCell ref="E67:F67"/>
    <mergeCell ref="E68:F68"/>
    <mergeCell ref="G64:J64"/>
    <mergeCell ref="I9:J9"/>
    <mergeCell ref="B1:J1"/>
    <mergeCell ref="F2:J2"/>
    <mergeCell ref="B5:D6"/>
    <mergeCell ref="C2:D2"/>
    <mergeCell ref="C3:D3"/>
    <mergeCell ref="F3:J3"/>
    <mergeCell ref="E65:J65"/>
    <mergeCell ref="B7:D7"/>
    <mergeCell ref="I37:J37"/>
    <mergeCell ref="I38:J38"/>
    <mergeCell ref="I30:J30"/>
    <mergeCell ref="I31:J31"/>
    <mergeCell ref="E5:H5"/>
    <mergeCell ref="I36:J36"/>
    <mergeCell ref="I5:J6"/>
    <mergeCell ref="I7:J7"/>
    <mergeCell ref="I10:J10"/>
    <mergeCell ref="I19:J19"/>
    <mergeCell ref="I20:J20"/>
    <mergeCell ref="I21:J21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6">
    <cfRule type="expression" dxfId="20" priority="57">
      <formula>$E66="راسب"</formula>
    </cfRule>
  </conditionalFormatting>
  <conditionalFormatting sqref="E66:J66">
    <cfRule type="expression" dxfId="19" priority="58">
      <formula>$E66="مقبول"</formula>
    </cfRule>
    <cfRule type="expression" dxfId="18" priority="59">
      <formula>$E66="جيد"</formula>
    </cfRule>
    <cfRule type="expression" dxfId="17" priority="60">
      <formula>$E66="جيد جداً"</formula>
    </cfRule>
    <cfRule type="expression" dxfId="16" priority="61">
      <formula>$E66="ممتاز"</formula>
    </cfRule>
  </conditionalFormatting>
  <conditionalFormatting sqref="F9:F33">
    <cfRule type="containsText" dxfId="15" priority="4" operator="containsText" text="أدخل العلامة">
      <formula>NOT(ISERROR(SEARCH("أدخل العلامة",F9)))</formula>
    </cfRule>
  </conditionalFormatting>
  <conditionalFormatting sqref="F35:F45 H35:H45 F47:F63 H47:H63">
    <cfRule type="containsText" dxfId="14" priority="38" operator="containsText" text="أدخل العلامة">
      <formula>NOT(ISERROR(SEARCH("أدخل العلامة",F35)))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67:J67">
    <cfRule type="containsText" dxfId="11" priority="15" operator="containsText" text="أدخل اسم المحكم">
      <formula>NOT(ISERROR(SEARCH("أدخل اسم المحكم",G67)))</formula>
    </cfRule>
  </conditionalFormatting>
  <conditionalFormatting sqref="H9:H33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35:H45 H47:H63">
    <cfRule type="containsText" dxfId="4" priority="39" operator="containsText" text="ممتاز">
      <formula>NOT(ISERROR(SEARCH("ممتاز",H35)))</formula>
    </cfRule>
    <cfRule type="containsText" dxfId="3" priority="40" operator="containsText" text="جيد جداً">
      <formula>NOT(ISERROR(SEARCH("جيد جداً",H35)))</formula>
    </cfRule>
    <cfRule type="containsText" dxfId="2" priority="41" operator="containsText" text="جيد">
      <formula>NOT(ISERROR(SEARCH("جيد",H35)))</formula>
    </cfRule>
    <cfRule type="containsText" dxfId="1" priority="42" operator="containsText" text="مقبول">
      <formula>NOT(ISERROR(SEARCH("مقبول",H35)))</formula>
    </cfRule>
    <cfRule type="containsText" dxfId="0" priority="43" operator="containsText" text="راسب">
      <formula>NOT(ISERROR(SEARCH("راسب",H35)))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F47:F63 F36:F45 F14:F19 F11:F12 F9 F21:F33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G67:J67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2025-10-20T16:19:15Z</dcterms:modified>
</cp:coreProperties>
</file>