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0C025558-DE8B-524E-8B43-78738D1F8F2E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التقييم'!$A$1:$J$26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8" i="2"/>
  <c r="H8" i="2"/>
  <c r="F22" i="2"/>
  <c r="E22" i="2"/>
  <c r="E23" i="2"/>
  <c r="E24" i="2"/>
</calcChain>
</file>

<file path=xl/sharedStrings.xml><?xml version="1.0" encoding="utf-8"?>
<sst xmlns="http://schemas.openxmlformats.org/spreadsheetml/2006/main" count="252" uniqueCount="196">
  <si>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</si>
  <si>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</si>
  <si>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</si>
  <si>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</si>
  <si>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</si>
  <si>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</si>
  <si>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</si>
  <si>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</si>
  <si>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</si>
  <si>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</si>
  <si>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</si>
  <si>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</si>
  <si>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</si>
  <si>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</si>
  <si>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</si>
  <si>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</si>
  <si>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</si>
  <si>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</si>
  <si>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</si>
  <si>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</si>
  <si>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</si>
  <si>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</si>
  <si>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</si>
  <si>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</si>
  <si>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</si>
  <si>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</si>
  <si>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</si>
  <si>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</si>
  <si>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</si>
  <si>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</si>
  <si>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</si>
  <si>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</si>
  <si>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</si>
  <si>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</si>
  <si>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</si>
  <si>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</si>
  <si>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</si>
  <si>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</si>
  <si>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</si>
  <si>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</si>
  <si>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</si>
  <si>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</si>
  <si>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</si>
  <si>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</si>
  <si>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</si>
  <si>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</si>
  <si>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</si>
  <si>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</si>
  <si>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</si>
  <si>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</si>
  <si>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</si>
  <si>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</si>
  <si>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</si>
  <si>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</si>
  <si>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</si>
  <si>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</si>
  <si>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</si>
  <si>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</si>
  <si>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</si>
  <si>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</si>
  <si>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</si>
  <si>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</si>
  <si>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</si>
  <si>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</si>
  <si>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</si>
  <si>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</si>
  <si>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</si>
  <si>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</si>
  <si>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</si>
  <si>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</si>
  <si>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</si>
  <si>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</si>
  <si>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</si>
  <si>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</si>
  <si>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</si>
  <si>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</si>
  <si>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</si>
  <si>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</si>
  <si>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</si>
  <si>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</si>
  <si>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</si>
  <si>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</si>
  <si>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</si>
  <si>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</si>
  <si>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</si>
  <si>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</si>
  <si>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</si>
  <si>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</si>
  <si>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</si>
  <si>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</si>
  <si>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</si>
  <si>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</si>
  <si>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</si>
  <si>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</si>
  <si>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</si>
  <si>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</si>
  <si>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</si>
  <si>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</si>
  <si>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</si>
  <si>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</si>
  <si>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</si>
  <si>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</si>
  <si>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</si>
  <si>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</si>
  <si>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</si>
  <si>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</si>
  <si>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</si>
  <si>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</si>
  <si>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</si>
  <si>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</si>
  <si>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</si>
  <si>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</si>
  <si>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</si>
  <si>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</si>
  <si>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</si>
  <si>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</si>
  <si>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</si>
  <si>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</si>
  <si>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</si>
  <si>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</si>
  <si>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</si>
  <si>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</si>
  <si>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</si>
  <si>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</si>
  <si>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</si>
  <si>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</si>
  <si>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</si>
  <si>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</si>
  <si>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</si>
  <si>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</si>
  <si>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</si>
  <si>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</si>
  <si>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</si>
  <si>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</si>
  <si>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</si>
  <si>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</si>
  <si>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</si>
  <si>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</si>
  <si>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</si>
  <si>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</si>
  <si>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</si>
  <si>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</si>
  <si>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</si>
  <si>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</si>
  <si>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</si>
  <si>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</si>
  <si>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</si>
  <si>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</si>
  <si>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</si>
  <si>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</si>
  <si>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</si>
  <si>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</si>
  <si>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</si>
  <si>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</si>
  <si>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</si>
  <si>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</si>
  <si>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</si>
  <si>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</si>
  <si>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</si>
  <si>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</si>
  <si>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</si>
  <si>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</si>
  <si>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</si>
  <si>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</si>
  <si>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</si>
  <si>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</si>
  <si>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</si>
  <si>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</si>
  <si>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</si>
  <si>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</si>
  <si>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</si>
  <si>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</si>
  <si>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</si>
  <si>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</si>
  <si>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</si>
  <si>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</si>
  <si>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</si>
  <si>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</si>
  <si>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</si>
  <si>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</si>
  <si>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2.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تجهيز مكتبة التهديدات/ قائمة الترددات المعادية.</t>
    </r>
  </si>
  <si>
    <r>
      <t>3.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تحديد المواقع التي سيتم تنفيذ الوثبات بها على طول خط المسير.</t>
    </r>
  </si>
  <si>
    <r>
      <t>4.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مقاومة الاستطلاع الإلكتروني المعادي.</t>
    </r>
  </si>
  <si>
    <r>
      <t>5.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تتبع حركة العدو في مناطق الاهتمام.</t>
    </r>
  </si>
  <si>
    <r>
      <t>13.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توزيع المحطات بما يضمن توفير التغطية الكاملة عن طريق الحركة بشكل وثبات خلف القوة ومستفيدة من مدى الاستطلاع.</t>
    </r>
  </si>
  <si>
    <r>
      <t>1.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إشراف قائد السرية على السرية أثناء تحضيرها للتقدم للتماس بالتنسيق مع قائد مجموعة اللواء ومعرفة الأسلوب المناسب للحركة.</t>
    </r>
  </si>
  <si>
    <r>
      <t>6.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توفير غطاء إلكتروني مستمر لحماية العناصـر الأماميـة والجانبيـة والخلفية.</t>
    </r>
  </si>
  <si>
    <r>
      <t>7.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ضرورة إيجاد العدو مبكرًا قبل أن يكتشف العدو القوات الصديقة المتقدمة.</t>
    </r>
  </si>
  <si>
    <r>
      <t>8.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تخصيص عناصر حماية من القوة (مسؤولية مجموعة اللواء).</t>
    </r>
  </si>
  <si>
    <r>
      <t>9.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التحرك ضمن القافلة العسكرية وتتوزع المحطات خلف جماعة المقدمة ومن ضمن جماعة المؤخرة وذلك لتوفير أكبر تغطية لكامل القوة والمناطق المحيطة لتوفير الإسناد والإنذار والحماية للقوات.</t>
    </r>
  </si>
  <si>
    <r>
      <t>10.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تمرير المعلومات إلى قائد القوة/ قائد التحرك فورًا وذلك لتوفير الإنذار والحماية للقوات.</t>
    </r>
  </si>
  <si>
    <r>
      <t>11.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توزع المحطات بشكل دائري حول منطقة التوقف/ المبيت في حالة الوقفات وفقًا لمبادئ الانفتاح مع المحافظة على تشكيل قاعدة جيدة للتحديد</t>
    </r>
  </si>
  <si>
    <r>
      <t>12.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تأكد وكيل السرية من تنفيذ أعمال الصيانة والفحص للمعدات والمحطات خلال الوقفات.</t>
    </r>
  </si>
  <si>
    <r>
      <t>14.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تجنب استخدام محطات الإعاقة اللاسلكية إلا في حالة التماس مع العدو والتحول للهجوم.</t>
    </r>
  </si>
  <si>
    <r>
      <rPr>
        <b/>
        <sz val="14"/>
        <color rgb="FF000000"/>
        <rFont val="Arial"/>
        <family val="2"/>
      </rPr>
      <t>تقييم سرية الحرب الإلكترونية في إسناد التقدم للتماس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</si>
  <si>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نقيب مهندس سلطان سعيد النيادي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</si>
</sst>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4"/>
      <color theme="1"/>
      <name val="Arial"/>
      <family val="2"/>
    </font>
    <font>
      <sz val="7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3" fillId="5" borderId="23" xfId="0" applyFont="1" applyFill="1" applyBorder="1" applyAlignment="1">
      <alignment horizontal="right" vertical="center" wrapText="1" readingOrder="2"/>
    </xf>
    <xf numFmtId="0" fontId="13" fillId="5" borderId="3" xfId="0" applyFont="1" applyFill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3" fillId="5" borderId="11" xfId="0" applyFont="1" applyFill="1" applyBorder="1" applyAlignment="1">
      <alignment horizontal="right" vertical="center" wrapText="1" readingOrder="2"/>
    </xf>
    <xf numFmtId="0" fontId="13" fillId="5" borderId="12" xfId="0" applyFont="1" applyFill="1" applyBorder="1" applyAlignment="1">
      <alignment horizontal="right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3" fillId="5" borderId="5" xfId="0" applyFont="1" applyFill="1" applyBorder="1" applyAlignment="1">
      <alignment horizontal="right" vertical="center" wrapText="1" readingOrder="2"/>
    </xf>
    <xf numFmtId="0" fontId="13" fillId="5" borderId="4" xfId="0" applyFont="1" applyFill="1" applyBorder="1" applyAlignment="1">
      <alignment horizontal="right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38586</xdr:colOff>
      <xdr:row>25</xdr:row>
      <xdr:rowOff>22582</xdr:rowOff>
    </xdr:from>
    <xdr:to>
      <xdr:col>8</xdr:col>
      <xdr:colOff>464096</xdr:colOff>
      <xdr:row>26</xdr:row>
      <xdr:rowOff>15458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33F41AAD-1808-98E1-41E2-052F14487AD5}"/>
                </a:ext>
              </a:extLst>
            </xdr14:cNvPr>
            <xdr14:cNvContentPartPr/>
          </xdr14:nvContentPartPr>
          <xdr14:nvPr macro=""/>
          <xdr14:xfrm>
            <a:off x="10436587560" y="12574800"/>
            <a:ext cx="1083600" cy="64404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33F41AAD-1808-98E1-41E2-052F14487AD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36581440" y="12568680"/>
              <a:ext cx="1095840" cy="656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44706</xdr:colOff>
      <xdr:row>25</xdr:row>
      <xdr:rowOff>315622</xdr:rowOff>
    </xdr:from>
    <xdr:to>
      <xdr:col>7</xdr:col>
      <xdr:colOff>67746</xdr:colOff>
      <xdr:row>25</xdr:row>
      <xdr:rowOff>363862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361DD7CE-BEBA-D3D5-5CE5-4FEF601704F2}"/>
                </a:ext>
              </a:extLst>
            </xdr14:cNvPr>
            <xdr14:cNvContentPartPr/>
          </xdr14:nvContentPartPr>
          <xdr14:nvPr macro=""/>
          <xdr14:xfrm>
            <a:off x="10437642000" y="12867840"/>
            <a:ext cx="23040" cy="4824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61DD7CE-BEBA-D3D5-5CE5-4FEF601704F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37635880" y="12861720"/>
              <a:ext cx="35280" cy="604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18:00:53.6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2365 970 11018,'0'0'0,"0"0"0,-5-21 800,0 3-504,0-8-56,0-1 0,5 27-240,-2-24 240,2-5-176,0-2-32,0 0-120,0 31 88,0-34-152,2-2 112,-2 2-16,0-3 96,0 37-40,0-34 24,0 0 0,5-1 8,-3 1 32,-2 34-64,5-32 80,-2 1 16,2 2-40,-3 2 16,-2 27-72,2-27 32,-2 1-40,5 2 48,-2 0-64,-3 24 24,4-22-8,-1-5-72,2 0 8,-1-2-16,-4 29 88,15-29-96,-10 1 72,-1 4-32,1 4 56,-5 20 0,7-15-24,-4 8 8,-1-7 0,3 11-32,-5 3 48,2-5-72,3-1-32,-2 3-56,-1 1-16,-2 2 176,5-1-168,-3-1-24,3 2 40,-2 0-8,-3 0 160,4 0-160,11 0-16,-10 5 8,11 0 40,-16-5 128,15 14-80,-3-9 16,10 15 40,-6-3 0,-16-17 24,24 21-24,3 1 40,-3 5-16,5 2 8,-29-29-8,29 28 48,0 1-8,-3-4-56,0-3 64,-26-22-48,24 21-8,1-4-24,-4-2 56,-2-1-80,-19-14 56,17 5 40,3 12-56,-4-13 0,-1 1 24,-15-5-8,14 5-104,-9 0 96,14 0 8,-14-2-8,-5-3 8,5 4 16,0-4-16,0 0 0,-1 0 0,-4 0 0,5 0 32,-5 0 24,0 0 64,0 0 48,0 0-168,0 0 336,0 0 32,0 0 40,-5 0-48,5 0-360,-17 0 216,10 0-96,-12 0-128,0 0 48,19 0-40,-22 3 16,-4 1 8,-3 1 64,-7 10-64,36-15-24,-36 5 24,-10 12-24,-5 0-8,-6 6 40,57-23-32,-63 25-72,-11 7-48,-6 4-64,-6 5-112,86-41 296,-99 48-160,-7 3 24,-7 5-16,-2 4 80,115-60 72,-113 63-160,0 4 8,2-2-16,0 1-8,111-66 176,-106 68-208,1-1 16,-1-6 40,5-1 56,101-60 96,-104 53-80,8-5 56,2-4-16,5-5-80,89-39 120,-84 38-56,0 1-16,7-3 24,0-4 32,77-32 16,-67 31-16,9-11 8,7-1 0,11-5 0,40-14 8,-37 5-24,11 10 8,2-11 8,10-1-8,14-3 16,-8 4 8,4-4-32,1 0-216,3-2-649,0 2 889,15-7-1872,-11-7-112,20 8 383,-2-15 617,-22 21 984,24-19-344,7-3 232,3-5 40,5-2 32,-39 29 40,43-29 0,3-4 0,2 4 8,5-1 32,-53 30-40,57-34 0,1 1 0,5-3 40,1 1 56,-64 35-96,65-36 88,3-7 24,4-3-64,-2-3-8,-70 49-40,74-53 40,-2 2-32,-4-1 8,2 1-48,-70 51 32,57-48 224,-6 1 64,-8 6 80,-9 3-64,-34 38-304,29-34 104,-13 8 496,-11 8 657,-2 11 327,-3 7-1584,-3-14 1784,-9 9-623,-9 0-825,-6 2-136,27 3-200,-34-2 96,1 2-32,-6 0 104,-2 14 24,41-14-192,-45 13 168,-1 3-8,0 2-152,1 3-16,45-21 8,-44 22-16,8 2-16,0 0 0,7-2-16,29-22 48,-21 19-72,1-1-64,13 1-24,-10 2-48,17-21 208,0 20-200,-2 1 40,2-1 32,0 1 24,0-21 104,0 18-88,2 1 8,13-4 48,-10-9-32,-5-6 64,14 15-24,-9-15 8,16 3-40,-16-3 40,-5 0 16,19 0-24,-4 0 16,-1-1 32,3-5-16,-17 6-8,17-17 40,2 4-24,3-3 8,0-2 32,-22 18-56,26-21 24,-2 2 16,0-4-32,-2 0-8,-22 23 0,19-22 32,3-2-16,-3 2 16,0 2-16,-19 20-16,17-21 32,-3 2-8,-9 4 16,10 10 0,-15 5-40,4-7-8,-4 2 8,0 3 8,3 2-16,-3 0 8,0 0 8,0 0-16,0 0-40,0 4 8,0-4 40,0 0-40,0 3-8,0 1 8,5-1 24,-5-3 16,2 5-8,1 9-8,4-11 16,-2 2-8,-5-5 8,2 16-16,3-13 0,0 11-8,-1-9 16,-4-5 8,15 15-16,-10-11 8,-1 11 8,11-10 8,-15-5-8,5 14 8,9-11-8,-11 2 8,1 0-8,-4-5 0,8 5 8,-6-1 0,-2-1 16,2-3-16,-2 0-8,0 0 24,0 0 8,0 0-8,0 0 24,0 0-176,5-1 320,-5-3-112,0-3 32,3-10 24,-3 17-136,0-15 208,0-2 88,0 0 56,0-2 32,0 19-384,0-19 312,-8 0-88,4 2-80,-4 11-72,8 6-72,-4-14 32,1 11-16,1 1-32,2 0-64,0 2 80,0-2-160,0 2-24,5 0 16,9 0 48,-14 0 120,14 0-72,1 4-8,-1-1 80,5 1-16,-19-4 16,20 3-32,-3 0 80,4 1-48,-2-1-8,-19-3 8,22 4 24,2-1-40,-5 1-32,3-4 32,-22 0 16,19 3 80,-2 0-104,2-3 48,-2 4 0,-17-4-24,17 0-24,2 0 48,-2 3-40,2-3 72,-19 0-56,20 5 88,4 0-112,2 1-792,1 9-5426,-27-15 6242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18:00:54.0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63 134 16115,'0'0'0,"0"0"0,-29-48 1656,10 14-2424,5-2-1032,16 21-705,-2 15 2505,22 0-7761,-22 0 7761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6"/>
  <sheetViews>
    <sheetView rightToLeft="1" tabSelected="1" view="pageBreakPreview" topLeftCell="C8" zoomScale="130" zoomScaleNormal="100" zoomScaleSheetLayoutView="130" workbookViewId="0">
      <selection activeCell="G26" sqref="G26:J26"/>
    </sheetView>
  </sheetViews>
  <sheetFormatPr defaultColWidth="9.01171875" defaultRowHeight="15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>
      <c r="B1" s="59" t="s">
        <v>194</v>
      </c>
      <c r="C1" s="59"/>
      <c r="D1" s="59"/>
      <c r="E1" s="59"/>
      <c r="F1" s="59"/>
      <c r="G1" s="59"/>
      <c r="H1" s="59"/>
      <c r="I1" s="59"/>
      <c r="J1" s="59"/>
    </row>
    <row r="2" spans="1:10" ht="30" customHeight="1">
      <c r="B2" s="12" t="s">
        <v>8</v>
      </c>
      <c r="C2" s="65" t="s">
        <v>14</v>
      </c>
      <c r="D2" s="65"/>
      <c r="E2" s="12" t="s">
        <v>7</v>
      </c>
      <c r="F2" s="60">
        <v>45953</v>
      </c>
      <c r="G2" s="60"/>
      <c r="H2" s="60"/>
      <c r="I2" s="60"/>
      <c r="J2" s="60"/>
    </row>
    <row r="3" spans="1:10" ht="30" customHeight="1">
      <c r="B3" s="12" t="s">
        <v>9</v>
      </c>
      <c r="C3" s="65" t="s">
        <v>60</v>
      </c>
      <c r="D3" s="65"/>
      <c r="E3" s="12" t="s">
        <v>6</v>
      </c>
      <c r="F3" s="65" t="s">
        <v>123</v>
      </c>
      <c r="G3" s="65"/>
      <c r="H3" s="65"/>
      <c r="I3" s="65"/>
      <c r="J3" s="65"/>
    </row>
    <row r="4" spans="1:10" ht="30" customHeight="1" thickBot="1">
      <c r="B4" s="6"/>
      <c r="C4" s="7"/>
      <c r="D4" s="7" t="s">
        <v>195</v>
      </c>
      <c r="E4" s="6"/>
      <c r="F4" s="7"/>
      <c r="G4" s="7"/>
      <c r="H4" s="8"/>
      <c r="I4" s="7"/>
      <c r="J4" s="7"/>
    </row>
    <row r="5" spans="1:10" ht="24.95" customHeight="1">
      <c r="A5" s="10"/>
      <c r="B5" s="61" t="s">
        <v>0</v>
      </c>
      <c r="C5" s="62"/>
      <c r="D5" s="62"/>
      <c r="E5" s="49" t="s">
        <v>1</v>
      </c>
      <c r="F5" s="49"/>
      <c r="G5" s="49"/>
      <c r="H5" s="49"/>
      <c r="I5" s="49" t="s">
        <v>2</v>
      </c>
      <c r="J5" s="50"/>
    </row>
    <row r="6" spans="1:10" ht="24.95" customHeight="1" thickBot="1">
      <c r="A6" s="10"/>
      <c r="B6" s="63"/>
      <c r="C6" s="64"/>
      <c r="D6" s="64"/>
      <c r="E6" s="11" t="s">
        <v>3</v>
      </c>
      <c r="F6" s="11" t="s">
        <v>4</v>
      </c>
      <c r="G6" s="11" t="s">
        <v>23</v>
      </c>
      <c r="H6" s="11" t="s">
        <v>24</v>
      </c>
      <c r="I6" s="51"/>
      <c r="J6" s="52"/>
    </row>
    <row r="7" spans="1:10" ht="24.95" customHeight="1" thickBot="1">
      <c r="A7" s="10"/>
      <c r="B7" s="47" t="s">
        <v>21</v>
      </c>
      <c r="C7" s="48"/>
      <c r="D7" s="48"/>
      <c r="E7" s="28" t="s">
        <v>18</v>
      </c>
      <c r="F7" s="28" t="s">
        <v>19</v>
      </c>
      <c r="G7" s="28" t="s">
        <v>22</v>
      </c>
      <c r="H7" s="28" t="s">
        <v>20</v>
      </c>
      <c r="I7" s="53" t="s">
        <v>25</v>
      </c>
      <c r="J7" s="54"/>
    </row>
    <row r="8" spans="1:10" ht="57" customHeight="1">
      <c r="A8" s="10"/>
      <c r="B8" s="57" t="s">
        <v>185</v>
      </c>
      <c r="C8" s="58"/>
      <c r="D8" s="58"/>
      <c r="E8" s="32">
        <v>5</v>
      </c>
      <c r="F8" s="33">
        <v>4</v>
      </c>
      <c r="G8" s="34">
        <f>IFERROR(F8/E8,"")</f>
        <v>0.8</v>
      </c>
      <c r="H8" s="35" t="str">
        <f>_xlfn.IFS(F8="أدخل العلامة","",F8="لا ينطبق","تم الإلغاء",G8&gt;=90%,"ممتاز",G8&gt;=80%,"جيد جداً",G8&gt;=70%,"جيد",G8&gt;=60%,"مقبول",G8&lt;60%,"راسب")</f>
        <v>جيد جداً</v>
      </c>
      <c r="I8" s="55"/>
      <c r="J8" s="56"/>
    </row>
    <row r="9" spans="1:10" ht="39.950000000000003" customHeight="1">
      <c r="A9" s="10"/>
      <c r="B9" s="39" t="s">
        <v>180</v>
      </c>
      <c r="C9" s="40"/>
      <c r="D9" s="40"/>
      <c r="E9" s="9">
        <v>5</v>
      </c>
      <c r="F9" s="26">
        <v>3.5</v>
      </c>
      <c r="G9" s="30">
        <f>IFERROR(F9/E9,"")</f>
        <v>0.7</v>
      </c>
      <c r="H9" s="31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1"/>
      <c r="J9" s="42"/>
    </row>
    <row r="10" spans="1:10" ht="39.950000000000003" customHeight="1">
      <c r="A10" s="10"/>
      <c r="B10" s="39" t="s">
        <v>181</v>
      </c>
      <c r="C10" s="40"/>
      <c r="D10" s="40"/>
      <c r="E10" s="9">
        <v>5</v>
      </c>
      <c r="F10" s="26">
        <v>4</v>
      </c>
      <c r="G10" s="30">
        <f t="shared" ref="G10:G21" si="0">IFERROR(F10/E10,"")</f>
        <v>0.8</v>
      </c>
      <c r="H10" s="31" t="str">
        <f t="shared" ref="H10:H21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41"/>
      <c r="J10" s="42"/>
    </row>
    <row r="11" spans="1:10" ht="39.950000000000003" customHeight="1">
      <c r="A11" s="10"/>
      <c r="B11" s="39" t="s">
        <v>182</v>
      </c>
      <c r="C11" s="40"/>
      <c r="D11" s="40"/>
      <c r="E11" s="9">
        <v>5</v>
      </c>
      <c r="F11" s="26">
        <v>3.75</v>
      </c>
      <c r="G11" s="30">
        <f t="shared" si="0"/>
        <v>0.75</v>
      </c>
      <c r="H11" s="31" t="str">
        <f t="shared" si="1"/>
        <v>جيد</v>
      </c>
      <c r="I11" s="41"/>
      <c r="J11" s="42"/>
    </row>
    <row r="12" spans="1:10" ht="39.950000000000003" customHeight="1">
      <c r="A12" s="10"/>
      <c r="B12" s="39" t="s">
        <v>183</v>
      </c>
      <c r="C12" s="40"/>
      <c r="D12" s="40"/>
      <c r="E12" s="9">
        <v>5</v>
      </c>
      <c r="F12" s="26">
        <v>3.5</v>
      </c>
      <c r="G12" s="30">
        <f t="shared" si="0"/>
        <v>0.7</v>
      </c>
      <c r="H12" s="31" t="str">
        <f t="shared" si="1"/>
        <v>جيد</v>
      </c>
      <c r="I12" s="41"/>
      <c r="J12" s="42"/>
    </row>
    <row r="13" spans="1:10" ht="39.950000000000003" customHeight="1">
      <c r="A13" s="10"/>
      <c r="B13" s="39" t="s">
        <v>186</v>
      </c>
      <c r="C13" s="40"/>
      <c r="D13" s="40"/>
      <c r="E13" s="9">
        <v>5</v>
      </c>
      <c r="F13" s="26">
        <v>4</v>
      </c>
      <c r="G13" s="30">
        <f t="shared" si="0"/>
        <v>0.8</v>
      </c>
      <c r="H13" s="31" t="str">
        <f t="shared" si="1"/>
        <v>جيد جداً</v>
      </c>
      <c r="I13" s="41"/>
      <c r="J13" s="42"/>
    </row>
    <row r="14" spans="1:10" ht="39.950000000000003" customHeight="1">
      <c r="A14" s="10"/>
      <c r="B14" s="39" t="s">
        <v>187</v>
      </c>
      <c r="C14" s="40"/>
      <c r="D14" s="40"/>
      <c r="E14" s="9">
        <v>5</v>
      </c>
      <c r="F14" s="26">
        <v>3</v>
      </c>
      <c r="G14" s="30">
        <f t="shared" si="0"/>
        <v>0.6</v>
      </c>
      <c r="H14" s="31" t="str">
        <f t="shared" si="1"/>
        <v>مقبول</v>
      </c>
      <c r="I14" s="41"/>
      <c r="J14" s="42"/>
    </row>
    <row r="15" spans="1:10" ht="39.950000000000003" customHeight="1">
      <c r="A15" s="10"/>
      <c r="B15" s="39" t="s">
        <v>188</v>
      </c>
      <c r="C15" s="40"/>
      <c r="D15" s="40"/>
      <c r="E15" s="9">
        <v>5</v>
      </c>
      <c r="F15" s="26">
        <v>3</v>
      </c>
      <c r="G15" s="30">
        <f t="shared" si="0"/>
        <v>0.6</v>
      </c>
      <c r="H15" s="31" t="str">
        <f t="shared" si="1"/>
        <v>مقبول</v>
      </c>
      <c r="I15" s="41"/>
      <c r="J15" s="42"/>
    </row>
    <row r="16" spans="1:10" ht="70.5" customHeight="1">
      <c r="A16" s="10"/>
      <c r="B16" s="39" t="s">
        <v>189</v>
      </c>
      <c r="C16" s="40"/>
      <c r="D16" s="40"/>
      <c r="E16" s="9">
        <v>5</v>
      </c>
      <c r="F16" s="26">
        <v>4</v>
      </c>
      <c r="G16" s="30">
        <f t="shared" si="0"/>
        <v>0.8</v>
      </c>
      <c r="H16" s="31" t="str">
        <f t="shared" si="1"/>
        <v>جيد جداً</v>
      </c>
      <c r="I16" s="41"/>
      <c r="J16" s="42"/>
    </row>
    <row r="17" spans="1:10" ht="39.950000000000003" customHeight="1">
      <c r="A17" s="10"/>
      <c r="B17" s="39" t="s">
        <v>190</v>
      </c>
      <c r="C17" s="40"/>
      <c r="D17" s="40"/>
      <c r="E17" s="9">
        <v>5</v>
      </c>
      <c r="F17" s="26">
        <v>3.5</v>
      </c>
      <c r="G17" s="30">
        <f t="shared" si="0"/>
        <v>0.7</v>
      </c>
      <c r="H17" s="31" t="str">
        <f t="shared" si="1"/>
        <v>جيد</v>
      </c>
      <c r="I17" s="41"/>
      <c r="J17" s="42"/>
    </row>
    <row r="18" spans="1:10" ht="61.5" customHeight="1">
      <c r="A18" s="10"/>
      <c r="B18" s="39" t="s">
        <v>191</v>
      </c>
      <c r="C18" s="40"/>
      <c r="D18" s="40"/>
      <c r="E18" s="9">
        <v>5</v>
      </c>
      <c r="F18" s="26">
        <v>4</v>
      </c>
      <c r="G18" s="30">
        <f t="shared" si="0"/>
        <v>0.8</v>
      </c>
      <c r="H18" s="31" t="str">
        <f t="shared" si="1"/>
        <v>جيد جداً</v>
      </c>
      <c r="I18" s="41"/>
      <c r="J18" s="42"/>
    </row>
    <row r="19" spans="1:10" ht="39.950000000000003" customHeight="1">
      <c r="A19" s="10"/>
      <c r="B19" s="39" t="s">
        <v>192</v>
      </c>
      <c r="C19" s="40"/>
      <c r="D19" s="40"/>
      <c r="E19" s="9">
        <v>5</v>
      </c>
      <c r="F19" s="26">
        <v>3.75</v>
      </c>
      <c r="G19" s="30">
        <f t="shared" si="0"/>
        <v>0.75</v>
      </c>
      <c r="H19" s="31" t="str">
        <f t="shared" si="1"/>
        <v>جيد</v>
      </c>
      <c r="I19" s="41"/>
      <c r="J19" s="42"/>
    </row>
    <row r="20" spans="1:10" ht="57.75" customHeight="1">
      <c r="A20" s="10"/>
      <c r="B20" s="39" t="s">
        <v>184</v>
      </c>
      <c r="C20" s="40"/>
      <c r="D20" s="40"/>
      <c r="E20" s="9">
        <v>5</v>
      </c>
      <c r="F20" s="26">
        <v>4</v>
      </c>
      <c r="G20" s="30">
        <f t="shared" si="0"/>
        <v>0.8</v>
      </c>
      <c r="H20" s="31" t="str">
        <f t="shared" si="1"/>
        <v>جيد جداً</v>
      </c>
      <c r="I20" s="41"/>
      <c r="J20" s="42"/>
    </row>
    <row r="21" spans="1:10" ht="39.950000000000003" customHeight="1" thickBot="1">
      <c r="A21" s="10"/>
      <c r="B21" s="45" t="s">
        <v>193</v>
      </c>
      <c r="C21" s="46"/>
      <c r="D21" s="46"/>
      <c r="E21" s="36">
        <v>5</v>
      </c>
      <c r="F21" s="27">
        <v>4</v>
      </c>
      <c r="G21" s="37">
        <f t="shared" si="0"/>
        <v>0.8</v>
      </c>
      <c r="H21" s="38" t="str">
        <f t="shared" si="1"/>
        <v>جيد جداً</v>
      </c>
      <c r="I21" s="43"/>
      <c r="J21" s="44"/>
    </row>
    <row r="22" spans="1:10" ht="30" customHeight="1" thickBot="1">
      <c r="A22" s="4"/>
      <c r="B22" s="79" t="s">
        <v>5</v>
      </c>
      <c r="C22" s="80"/>
      <c r="D22" s="80"/>
      <c r="E22" s="29">
        <f>SUM(E8:E21)</f>
        <v>70</v>
      </c>
      <c r="F22" s="29">
        <f>SUM(F8:F21)</f>
        <v>52</v>
      </c>
      <c r="G22" s="68"/>
      <c r="H22" s="69"/>
      <c r="I22" s="69"/>
      <c r="J22" s="70"/>
    </row>
    <row r="23" spans="1:10" ht="30" customHeight="1" thickBot="1">
      <c r="A23" s="4"/>
      <c r="B23" s="81" t="s">
        <v>54</v>
      </c>
      <c r="C23" s="82"/>
      <c r="D23" s="82"/>
      <c r="E23" s="77">
        <f>F22/E22/100*100</f>
        <v>0.74285714285714288</v>
      </c>
      <c r="F23" s="77"/>
      <c r="G23" s="77"/>
      <c r="H23" s="77"/>
      <c r="I23" s="77"/>
      <c r="J23" s="78"/>
    </row>
    <row r="24" spans="1:10" ht="30" customHeight="1" thickBot="1">
      <c r="A24" s="4"/>
      <c r="B24" s="81" t="s">
        <v>55</v>
      </c>
      <c r="C24" s="82"/>
      <c r="D24" s="82"/>
      <c r="E24" s="75" t="str">
        <f>_xlfn.IFS(E23&gt;=90%,"ممتاز",E23&gt;=80%,"جيد جداً",E23&gt;=70%,"جيد",E23&gt;=60%,"مقبول",E23&lt;60%,"راسب")</f>
        <v>جيد</v>
      </c>
      <c r="F24" s="75"/>
      <c r="G24" s="75"/>
      <c r="H24" s="75"/>
      <c r="I24" s="75"/>
      <c r="J24" s="76"/>
    </row>
    <row r="25" spans="1:10" ht="42" customHeight="1">
      <c r="B25" s="71" t="s">
        <v>174</v>
      </c>
      <c r="C25" s="71"/>
      <c r="D25" s="71"/>
      <c r="E25" s="66" t="s">
        <v>52</v>
      </c>
      <c r="F25" s="66"/>
      <c r="G25" s="73" t="s">
        <v>123</v>
      </c>
      <c r="H25" s="73"/>
      <c r="I25" s="73"/>
      <c r="J25" s="73"/>
    </row>
    <row r="26" spans="1:10" ht="51" customHeight="1">
      <c r="A26" s="5"/>
      <c r="B26" s="72"/>
      <c r="C26" s="72"/>
      <c r="D26" s="72"/>
      <c r="E26" s="67" t="s">
        <v>53</v>
      </c>
      <c r="F26" s="67"/>
      <c r="G26" s="74"/>
      <c r="H26" s="74"/>
      <c r="I26" s="74"/>
      <c r="J26" s="74"/>
    </row>
  </sheetData>
  <sheetProtection formatCells="0" formatColumns="0" formatRows="0" insertColumns="0" insertRows="0" insertHyperlinks="0" deleteColumns="0" deleteRows="0" selectLockedCells="1" sort="0" autoFilter="0" pivotTables="0"/>
  <mergeCells count="49">
    <mergeCell ref="E25:F25"/>
    <mergeCell ref="E26:F26"/>
    <mergeCell ref="G22:J22"/>
    <mergeCell ref="I9:J9"/>
    <mergeCell ref="B25:D26"/>
    <mergeCell ref="G25:J25"/>
    <mergeCell ref="G26:J26"/>
    <mergeCell ref="E24:J24"/>
    <mergeCell ref="E23:J23"/>
    <mergeCell ref="B22:D22"/>
    <mergeCell ref="B23:D23"/>
    <mergeCell ref="B24:D24"/>
    <mergeCell ref="I11:J11"/>
    <mergeCell ref="I12:J12"/>
    <mergeCell ref="I13:J13"/>
    <mergeCell ref="I14:J14"/>
    <mergeCell ref="B1:J1"/>
    <mergeCell ref="F2:J2"/>
    <mergeCell ref="B5:D6"/>
    <mergeCell ref="C2:D2"/>
    <mergeCell ref="C3:D3"/>
    <mergeCell ref="F3:J3"/>
    <mergeCell ref="B7:D7"/>
    <mergeCell ref="E5:H5"/>
    <mergeCell ref="I5:J6"/>
    <mergeCell ref="I7:J7"/>
    <mergeCell ref="I10:J10"/>
    <mergeCell ref="I8:J8"/>
    <mergeCell ref="B8:D8"/>
    <mergeCell ref="B9:D9"/>
    <mergeCell ref="B10:D10"/>
    <mergeCell ref="I20:J20"/>
    <mergeCell ref="I21:J21"/>
    <mergeCell ref="B13:D13"/>
    <mergeCell ref="B14:D14"/>
    <mergeCell ref="B15:D15"/>
    <mergeCell ref="B16:D16"/>
    <mergeCell ref="B20:D20"/>
    <mergeCell ref="B21:D21"/>
    <mergeCell ref="I15:J15"/>
    <mergeCell ref="I16:J16"/>
    <mergeCell ref="I17:J17"/>
    <mergeCell ref="I18:J18"/>
    <mergeCell ref="I19:J19"/>
    <mergeCell ref="B11:D11"/>
    <mergeCell ref="B12:D12"/>
    <mergeCell ref="B17:D17"/>
    <mergeCell ref="B18:D18"/>
    <mergeCell ref="B19:D19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4">
    <cfRule type="expression" dxfId="14" priority="57">
      <formula>$E24="راسب"</formula>
    </cfRule>
  </conditionalFormatting>
  <conditionalFormatting sqref="E24:J24">
    <cfRule type="expression" dxfId="13" priority="58">
      <formula>$E24="مقبول"</formula>
    </cfRule>
    <cfRule type="expression" dxfId="12" priority="59">
      <formula>$E24="جيد"</formula>
    </cfRule>
    <cfRule type="expression" dxfId="11" priority="60">
      <formula>$E24="جيد جداً"</formula>
    </cfRule>
    <cfRule type="expression" dxfId="10" priority="61">
      <formula>$E24="ممتاز"</formula>
    </cfRule>
  </conditionalFormatting>
  <conditionalFormatting sqref="F8:F21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5:J25">
    <cfRule type="containsText" dxfId="6" priority="15" operator="containsText" text="أدخل اسم المحكم">
      <formula>NOT(ISERROR(SEARCH("أدخل اسم المحكم",G25)))</formula>
    </cfRule>
  </conditionalFormatting>
  <conditionalFormatting sqref="H8:H21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F8:F21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G25:J25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4" workbookViewId="0">
      <selection activeCell="A64" sqref="A64"/>
    </sheetView>
  </sheetViews>
  <sheetFormatPr defaultRowHeight="20.100000000000001" customHeight="1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>
      <c r="A1" s="2" t="s">
        <v>57</v>
      </c>
      <c r="C1" s="2" t="s">
        <v>60</v>
      </c>
    </row>
    <row r="2" spans="1:3" ht="20.100000000000001" customHeight="1" thickBot="1">
      <c r="A2" s="2" t="s">
        <v>35</v>
      </c>
      <c r="C2" s="19" t="s">
        <v>62</v>
      </c>
    </row>
    <row r="3" spans="1:3" ht="20.100000000000001" customHeight="1" thickBot="1">
      <c r="A3" s="2" t="s">
        <v>26</v>
      </c>
      <c r="C3" s="19" t="s">
        <v>63</v>
      </c>
    </row>
    <row r="4" spans="1:3" ht="20.100000000000001" customHeight="1" thickBot="1">
      <c r="A4" s="2" t="s">
        <v>36</v>
      </c>
      <c r="C4" s="19" t="s">
        <v>64</v>
      </c>
    </row>
    <row r="5" spans="1:3" ht="20.100000000000001" customHeight="1" thickBot="1">
      <c r="A5" s="2" t="s">
        <v>37</v>
      </c>
      <c r="C5" s="19" t="s">
        <v>65</v>
      </c>
    </row>
    <row r="6" spans="1:3" ht="20.100000000000001" customHeight="1" thickBot="1">
      <c r="A6" s="2" t="s">
        <v>38</v>
      </c>
      <c r="C6" s="19" t="s">
        <v>66</v>
      </c>
    </row>
    <row r="7" spans="1:3" ht="20.100000000000001" customHeight="1" thickBot="1">
      <c r="A7" s="2" t="s">
        <v>39</v>
      </c>
      <c r="C7" s="19" t="s">
        <v>67</v>
      </c>
    </row>
    <row r="8" spans="1:3" ht="20.100000000000001" customHeight="1" thickBot="1">
      <c r="A8" s="2" t="s">
        <v>40</v>
      </c>
      <c r="C8" s="19" t="s">
        <v>68</v>
      </c>
    </row>
    <row r="9" spans="1:3" ht="20.100000000000001" customHeight="1" thickBot="1">
      <c r="A9" s="2" t="s">
        <v>41</v>
      </c>
      <c r="C9" s="19" t="s">
        <v>69</v>
      </c>
    </row>
    <row r="10" spans="1:3" ht="20.100000000000001" customHeight="1" thickBot="1">
      <c r="A10" s="2" t="s">
        <v>42</v>
      </c>
      <c r="C10" s="19" t="s">
        <v>70</v>
      </c>
    </row>
    <row r="11" spans="1:3" ht="20.100000000000001" customHeight="1" thickBot="1">
      <c r="A11" s="2" t="s">
        <v>43</v>
      </c>
      <c r="C11" s="19" t="s">
        <v>71</v>
      </c>
    </row>
    <row r="12" spans="1:3" ht="20.100000000000001" customHeight="1" thickBot="1">
      <c r="A12" s="2" t="s">
        <v>44</v>
      </c>
      <c r="C12" s="19" t="s">
        <v>72</v>
      </c>
    </row>
    <row r="13" spans="1:3" ht="20.100000000000001" customHeight="1" thickBot="1">
      <c r="A13" s="2" t="s">
        <v>45</v>
      </c>
      <c r="C13" s="19" t="s">
        <v>73</v>
      </c>
    </row>
    <row r="14" spans="1:3" ht="20.100000000000001" customHeight="1" thickBot="1">
      <c r="A14" s="2" t="s">
        <v>46</v>
      </c>
      <c r="C14" s="19" t="s">
        <v>74</v>
      </c>
    </row>
    <row r="15" spans="1:3" ht="20.100000000000001" customHeight="1" thickBot="1">
      <c r="A15" s="2" t="s">
        <v>47</v>
      </c>
      <c r="C15" s="19" t="s">
        <v>75</v>
      </c>
    </row>
    <row r="16" spans="1:3" ht="20.100000000000001" customHeight="1" thickBot="1">
      <c r="A16" s="2" t="s">
        <v>10</v>
      </c>
      <c r="C16" s="19" t="s">
        <v>76</v>
      </c>
    </row>
    <row r="17" spans="1:3" ht="20.100000000000001" customHeight="1" thickBot="1">
      <c r="A17" s="2" t="s">
        <v>27</v>
      </c>
      <c r="C17" s="19" t="s">
        <v>77</v>
      </c>
    </row>
    <row r="18" spans="1:3" ht="20.100000000000001" customHeight="1" thickBot="1">
      <c r="A18" s="2" t="s">
        <v>48</v>
      </c>
      <c r="C18" s="19" t="s">
        <v>78</v>
      </c>
    </row>
    <row r="19" spans="1:3" ht="20.100000000000001" customHeight="1" thickBot="1">
      <c r="A19" s="2" t="s">
        <v>49</v>
      </c>
      <c r="C19" s="19" t="s">
        <v>79</v>
      </c>
    </row>
    <row r="20" spans="1:3" ht="20.100000000000001" customHeight="1" thickBot="1">
      <c r="A20" s="2" t="s">
        <v>50</v>
      </c>
      <c r="C20" s="19" t="s">
        <v>80</v>
      </c>
    </row>
    <row r="21" spans="1:3" ht="20.100000000000001" customHeight="1" thickBot="1">
      <c r="A21" s="2" t="s">
        <v>51</v>
      </c>
      <c r="C21" s="19" t="s">
        <v>81</v>
      </c>
    </row>
    <row r="22" spans="1:3" ht="20.100000000000001" customHeight="1" thickBot="1">
      <c r="A22" s="2" t="s">
        <v>11</v>
      </c>
      <c r="C22" s="19" t="s">
        <v>82</v>
      </c>
    </row>
    <row r="23" spans="1:3" ht="20.100000000000001" customHeight="1" thickBot="1">
      <c r="A23" s="2" t="s">
        <v>12</v>
      </c>
      <c r="C23" s="19" t="s">
        <v>83</v>
      </c>
    </row>
    <row r="24" spans="1:3" ht="20.100000000000001" customHeight="1" thickBot="1">
      <c r="A24" s="2" t="s">
        <v>15</v>
      </c>
      <c r="C24" s="19" t="s">
        <v>84</v>
      </c>
    </row>
    <row r="25" spans="1:3" ht="20.100000000000001" customHeight="1" thickBot="1">
      <c r="A25" s="2" t="s">
        <v>28</v>
      </c>
      <c r="C25" s="19" t="s">
        <v>85</v>
      </c>
    </row>
    <row r="26" spans="1:3" ht="20.100000000000001" customHeight="1" thickBot="1">
      <c r="A26" s="2" t="s">
        <v>29</v>
      </c>
      <c r="C26" s="19" t="s">
        <v>86</v>
      </c>
    </row>
    <row r="27" spans="1:3" ht="20.100000000000001" customHeight="1" thickBot="1">
      <c r="A27" s="2" t="s">
        <v>13</v>
      </c>
      <c r="C27" s="19" t="s">
        <v>87</v>
      </c>
    </row>
    <row r="28" spans="1:3" ht="20.100000000000001" customHeight="1" thickBot="1">
      <c r="A28" s="2" t="s">
        <v>30</v>
      </c>
      <c r="C28" s="19" t="s">
        <v>88</v>
      </c>
    </row>
    <row r="29" spans="1:3" ht="20.100000000000001" customHeight="1" thickBot="1">
      <c r="A29" s="2" t="s">
        <v>31</v>
      </c>
      <c r="C29" s="19" t="s">
        <v>177</v>
      </c>
    </row>
    <row r="30" spans="1:3" ht="20.100000000000001" customHeight="1" thickBot="1">
      <c r="A30" s="2" t="s">
        <v>32</v>
      </c>
      <c r="C30" s="19" t="s">
        <v>178</v>
      </c>
    </row>
    <row r="31" spans="1:3" ht="20.100000000000001" customHeight="1" thickBot="1">
      <c r="A31" s="2" t="s">
        <v>33</v>
      </c>
      <c r="C31" s="19" t="s">
        <v>179</v>
      </c>
    </row>
    <row r="32" spans="1:3" ht="20.100000000000001" customHeight="1" thickBot="1">
      <c r="A32" s="2" t="s">
        <v>16</v>
      </c>
      <c r="C32" s="19"/>
    </row>
    <row r="33" spans="1:9" ht="20.100000000000001" customHeight="1" thickBot="1">
      <c r="A33" s="2" t="s">
        <v>14</v>
      </c>
      <c r="C33" s="19"/>
    </row>
    <row r="34" spans="1:9" ht="20.100000000000001" customHeight="1" thickBot="1">
      <c r="A34" s="2" t="s">
        <v>34</v>
      </c>
      <c r="C34" s="19"/>
    </row>
    <row r="35" spans="1:9" ht="20.100000000000001" customHeight="1">
      <c r="A35" s="18"/>
    </row>
    <row r="36" spans="1:9" s="17" customFormat="1" ht="20.100000000000001" customHeight="1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/>
    <row r="38" spans="1:9" ht="20.100000000000001" customHeight="1" thickBot="1">
      <c r="A38" s="2" t="s">
        <v>56</v>
      </c>
    </row>
    <row r="39" spans="1:9" ht="20.100000000000001" customHeight="1" thickBot="1">
      <c r="A39" s="13">
        <v>45931</v>
      </c>
    </row>
    <row r="40" spans="1:9" ht="20.100000000000001" customHeight="1" thickBot="1">
      <c r="A40" s="13">
        <v>45932</v>
      </c>
    </row>
    <row r="41" spans="1:9" ht="20.100000000000001" customHeight="1" thickBot="1">
      <c r="A41" s="13">
        <v>45933</v>
      </c>
    </row>
    <row r="42" spans="1:9" ht="20.100000000000001" customHeight="1" thickBot="1">
      <c r="A42" s="13">
        <v>45934</v>
      </c>
    </row>
    <row r="43" spans="1:9" ht="20.100000000000001" customHeight="1" thickBot="1">
      <c r="A43" s="13">
        <v>45935</v>
      </c>
    </row>
    <row r="44" spans="1:9" ht="20.100000000000001" customHeight="1" thickBot="1">
      <c r="A44" s="13">
        <v>45936</v>
      </c>
    </row>
    <row r="45" spans="1:9" ht="20.100000000000001" customHeight="1" thickBot="1">
      <c r="A45" s="13">
        <v>45937</v>
      </c>
    </row>
    <row r="46" spans="1:9" ht="20.100000000000001" customHeight="1" thickBot="1">
      <c r="A46" s="13">
        <v>45938</v>
      </c>
    </row>
    <row r="47" spans="1:9" ht="20.100000000000001" customHeight="1" thickBot="1">
      <c r="A47" s="13">
        <v>45939</v>
      </c>
    </row>
    <row r="48" spans="1:9" ht="20.100000000000001" customHeight="1" thickBot="1">
      <c r="A48" s="13">
        <v>45940</v>
      </c>
    </row>
    <row r="49" spans="1:1" ht="20.100000000000001" customHeight="1" thickBot="1">
      <c r="A49" s="13">
        <v>45941</v>
      </c>
    </row>
    <row r="50" spans="1:1" ht="20.100000000000001" customHeight="1" thickBot="1">
      <c r="A50" s="13">
        <v>45942</v>
      </c>
    </row>
    <row r="51" spans="1:1" ht="20.100000000000001" customHeight="1" thickBot="1">
      <c r="A51" s="13">
        <v>45943</v>
      </c>
    </row>
    <row r="52" spans="1:1" ht="20.100000000000001" customHeight="1" thickBot="1">
      <c r="A52" s="13">
        <v>45944</v>
      </c>
    </row>
    <row r="53" spans="1:1" ht="20.100000000000001" customHeight="1" thickBot="1">
      <c r="A53" s="13">
        <v>45945</v>
      </c>
    </row>
    <row r="54" spans="1:1" ht="20.100000000000001" customHeight="1" thickBot="1">
      <c r="A54" s="13">
        <v>45946</v>
      </c>
    </row>
    <row r="55" spans="1:1" ht="20.100000000000001" customHeight="1" thickBot="1">
      <c r="A55" s="13">
        <v>45947</v>
      </c>
    </row>
    <row r="56" spans="1:1" ht="20.100000000000001" customHeight="1" thickBot="1">
      <c r="A56" s="13">
        <v>45948</v>
      </c>
    </row>
    <row r="57" spans="1:1" ht="20.100000000000001" customHeight="1" thickBot="1">
      <c r="A57" s="13">
        <v>45949</v>
      </c>
    </row>
    <row r="58" spans="1:1" ht="20.100000000000001" customHeight="1" thickBot="1">
      <c r="A58" s="13">
        <v>45950</v>
      </c>
    </row>
    <row r="59" spans="1:1" ht="20.100000000000001" customHeight="1" thickBot="1">
      <c r="A59" s="13">
        <v>45951</v>
      </c>
    </row>
    <row r="60" spans="1:1" ht="20.100000000000001" customHeight="1" thickBot="1">
      <c r="A60" s="13">
        <v>45952</v>
      </c>
    </row>
    <row r="61" spans="1:1" ht="20.100000000000001" customHeight="1" thickBot="1">
      <c r="A61" s="13">
        <v>45953</v>
      </c>
    </row>
    <row r="62" spans="1:1" ht="20.100000000000001" customHeight="1" thickBot="1">
      <c r="A62" s="13">
        <v>45954</v>
      </c>
    </row>
    <row r="63" spans="1:1" ht="20.100000000000001" customHeight="1" thickBot="1">
      <c r="A63" s="13">
        <v>45955</v>
      </c>
    </row>
    <row r="64" spans="1:1" ht="20.100000000000001" customHeight="1" thickBot="1">
      <c r="A64" s="13">
        <v>45956</v>
      </c>
    </row>
    <row r="65" spans="1:1" ht="20.100000000000001" customHeight="1" thickBot="1">
      <c r="A65" s="13">
        <v>45957</v>
      </c>
    </row>
    <row r="66" spans="1:1" ht="20.100000000000001" customHeight="1" thickBot="1">
      <c r="A66" s="13">
        <v>45958</v>
      </c>
    </row>
    <row r="67" spans="1:1" ht="20.100000000000001" customHeight="1" thickBot="1">
      <c r="A67" s="13">
        <v>45959</v>
      </c>
    </row>
    <row r="68" spans="1:1" ht="20.100000000000001" customHeight="1" thickBot="1">
      <c r="A68" s="13">
        <v>45960</v>
      </c>
    </row>
    <row r="69" spans="1:1" ht="20.100000000000001" customHeight="1" thickBot="1">
      <c r="A69" s="13">
        <v>45961</v>
      </c>
    </row>
    <row r="70" spans="1:1" ht="20.100000000000001" customHeight="1" thickBot="1">
      <c r="A70" s="13"/>
    </row>
    <row r="71" spans="1:1" ht="20.100000000000001" customHeight="1" thickBot="1">
      <c r="A71" s="13"/>
    </row>
    <row r="72" spans="1:1" ht="20.100000000000001" customHeight="1" thickBot="1">
      <c r="A72" s="13"/>
    </row>
    <row r="73" spans="1:1" ht="20.100000000000001" customHeight="1" thickBot="1">
      <c r="A73" s="13"/>
    </row>
    <row r="74" spans="1:1" ht="20.100000000000001" customHeight="1" thickBot="1">
      <c r="A74" s="13"/>
    </row>
    <row r="75" spans="1:1" ht="20.100000000000001" customHeight="1" thickBot="1">
      <c r="A75" s="13"/>
    </row>
    <row r="76" spans="1:1" ht="20.100000000000001" customHeight="1" thickBot="1">
      <c r="A76" s="13"/>
    </row>
    <row r="77" spans="1:1" ht="20.100000000000001" customHeight="1" thickBot="1">
      <c r="A77" s="13"/>
    </row>
    <row r="78" spans="1:1" ht="20.100000000000001" customHeight="1" thickBot="1">
      <c r="A78" s="13"/>
    </row>
    <row r="79" spans="1:1" ht="20.100000000000001" customHeight="1" thickBot="1">
      <c r="A79" s="13"/>
    </row>
    <row r="80" spans="1:1" ht="20.100000000000001" customHeight="1" thickBot="1">
      <c r="A80" s="13"/>
    </row>
    <row r="81" spans="1:1" ht="20.100000000000001" customHeight="1" thickBot="1">
      <c r="A81" s="13"/>
    </row>
    <row r="82" spans="1:1" ht="20.100000000000001" customHeight="1" thickBot="1">
      <c r="A82" s="13"/>
    </row>
    <row r="83" spans="1:1" ht="20.100000000000001" customHeight="1" thickBot="1">
      <c r="A83" s="13"/>
    </row>
    <row r="84" spans="1:1" ht="20.100000000000001" customHeight="1" thickBot="1">
      <c r="A84" s="13"/>
    </row>
    <row r="85" spans="1:1" ht="20.100000000000001" customHeight="1" thickBot="1">
      <c r="A85" s="13"/>
    </row>
    <row r="86" spans="1:1" ht="20.100000000000001" customHeight="1" thickBot="1">
      <c r="A86" s="13"/>
    </row>
    <row r="87" spans="1:1" ht="20.100000000000001" customHeight="1" thickBot="1">
      <c r="A87" s="13"/>
    </row>
    <row r="88" spans="1:1" ht="20.100000000000001" customHeight="1" thickBot="1">
      <c r="A88" s="13"/>
    </row>
    <row r="89" spans="1:1" ht="20.100000000000001" customHeight="1" thickBot="1">
      <c r="A89" s="13"/>
    </row>
    <row r="90" spans="1:1" ht="20.100000000000001" customHeight="1" thickBot="1">
      <c r="A90" s="13"/>
    </row>
    <row r="91" spans="1:1" ht="20.100000000000001" customHeight="1" thickBot="1">
      <c r="A91" s="13"/>
    </row>
    <row r="92" spans="1:1" ht="20.100000000000001" customHeight="1" thickBot="1">
      <c r="A92" s="13"/>
    </row>
    <row r="93" spans="1:1" ht="20.100000000000001" customHeight="1" thickBot="1">
      <c r="A93" s="13"/>
    </row>
    <row r="94" spans="1:1" ht="20.100000000000001" customHeight="1" thickBot="1">
      <c r="A94" s="13"/>
    </row>
    <row r="95" spans="1:1" ht="20.100000000000001" customHeight="1" thickBot="1">
      <c r="A95" s="13"/>
    </row>
    <row r="96" spans="1:1" ht="20.100000000000001" customHeight="1" thickBot="1">
      <c r="A96" s="13"/>
    </row>
    <row r="97" spans="1:9" ht="20.100000000000001" customHeight="1" thickBot="1">
      <c r="A97" s="13"/>
    </row>
    <row r="98" spans="1:9" ht="20.100000000000001" customHeight="1" thickBot="1">
      <c r="A98" s="13"/>
    </row>
    <row r="99" spans="1:9" ht="20.100000000000001" customHeight="1" thickBot="1">
      <c r="A99" s="13"/>
    </row>
    <row r="100" spans="1:9" ht="20.100000000000001" customHeight="1" thickBot="1">
      <c r="A100" s="13"/>
    </row>
    <row r="101" spans="1:9" ht="20.100000000000001" customHeight="1" thickBot="1">
      <c r="A101" s="13"/>
    </row>
    <row r="102" spans="1:9" ht="20.100000000000001" customHeight="1" thickBot="1">
      <c r="A102" s="13"/>
    </row>
    <row r="103" spans="1:9" ht="20.100000000000001" customHeight="1" thickBot="1">
      <c r="A103" s="13"/>
    </row>
    <row r="104" spans="1:9" ht="20.100000000000001" customHeight="1" thickBot="1">
      <c r="A104" s="13"/>
    </row>
    <row r="105" spans="1:9" ht="20.100000000000001" customHeight="1" thickBot="1">
      <c r="A105" s="13"/>
    </row>
    <row r="106" spans="1:9" ht="20.100000000000001" customHeight="1" thickBot="1">
      <c r="A106" s="13"/>
    </row>
    <row r="107" spans="1:9" ht="20.100000000000001" customHeight="1">
      <c r="A107" s="14"/>
    </row>
    <row r="108" spans="1:9" ht="20.100000000000001" customHeight="1">
      <c r="A108" s="14"/>
    </row>
    <row r="109" spans="1:9" s="17" customFormat="1" ht="20.100000000000001" customHeight="1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/>
    <row r="111" spans="1:9" ht="20.100000000000001" customHeight="1" thickBot="1">
      <c r="A111" s="2" t="s">
        <v>61</v>
      </c>
    </row>
    <row r="112" spans="1:9" ht="20.100000000000001" customHeight="1" thickBot="1">
      <c r="A112" s="2" t="s">
        <v>17</v>
      </c>
    </row>
    <row r="113" spans="1:1" ht="20.100000000000001" customHeight="1" thickBot="1">
      <c r="A113" s="2">
        <v>0</v>
      </c>
    </row>
    <row r="114" spans="1:1" ht="20.100000000000001" customHeight="1" thickBot="1">
      <c r="A114" s="2">
        <v>0.25</v>
      </c>
    </row>
    <row r="115" spans="1:1" ht="20.100000000000001" customHeight="1" thickBot="1">
      <c r="A115" s="2">
        <v>0.5</v>
      </c>
    </row>
    <row r="116" spans="1:1" ht="20.100000000000001" customHeight="1" thickBot="1">
      <c r="A116" s="2">
        <v>0.75</v>
      </c>
    </row>
    <row r="117" spans="1:1" ht="20.100000000000001" customHeight="1" thickBot="1">
      <c r="A117" s="2">
        <v>1</v>
      </c>
    </row>
    <row r="118" spans="1:1" ht="20.100000000000001" customHeight="1" thickBot="1">
      <c r="A118" s="2">
        <v>1.25</v>
      </c>
    </row>
    <row r="119" spans="1:1" ht="20.100000000000001" customHeight="1" thickBot="1">
      <c r="A119" s="2">
        <v>1.5</v>
      </c>
    </row>
    <row r="120" spans="1:1" ht="20.100000000000001" customHeight="1" thickBot="1">
      <c r="A120" s="2">
        <v>1.75</v>
      </c>
    </row>
    <row r="121" spans="1:1" ht="20.100000000000001" customHeight="1" thickBot="1">
      <c r="A121" s="2">
        <v>2</v>
      </c>
    </row>
    <row r="122" spans="1:1" ht="20.100000000000001" customHeight="1" thickBot="1">
      <c r="A122" s="2">
        <v>2.25</v>
      </c>
    </row>
    <row r="123" spans="1:1" ht="20.100000000000001" customHeight="1" thickBot="1">
      <c r="A123" s="2">
        <v>2.5</v>
      </c>
    </row>
    <row r="124" spans="1:1" ht="20.100000000000001" customHeight="1" thickBot="1">
      <c r="A124" s="2">
        <v>2.75</v>
      </c>
    </row>
    <row r="125" spans="1:1" ht="20.100000000000001" customHeight="1" thickBot="1">
      <c r="A125" s="2">
        <v>3</v>
      </c>
    </row>
    <row r="126" spans="1:1" ht="20.100000000000001" customHeight="1" thickBot="1">
      <c r="A126" s="2">
        <v>3.25</v>
      </c>
    </row>
    <row r="127" spans="1:1" ht="20.100000000000001" customHeight="1" thickBot="1">
      <c r="A127" s="2">
        <v>3.5</v>
      </c>
    </row>
    <row r="128" spans="1:1" ht="20.100000000000001" customHeight="1" thickBot="1">
      <c r="A128" s="2">
        <v>3.75</v>
      </c>
    </row>
    <row r="129" spans="1:1" ht="20.100000000000001" customHeight="1" thickBot="1">
      <c r="A129" s="2">
        <v>4</v>
      </c>
    </row>
    <row r="130" spans="1:1" ht="20.100000000000001" customHeight="1" thickBot="1">
      <c r="A130" s="2">
        <v>4.25</v>
      </c>
    </row>
    <row r="131" spans="1:1" ht="20.100000000000001" customHeight="1" thickBot="1">
      <c r="A131" s="2">
        <v>4.5</v>
      </c>
    </row>
    <row r="132" spans="1:1" ht="20.100000000000001" customHeight="1" thickBot="1">
      <c r="A132" s="2">
        <v>4.75</v>
      </c>
    </row>
    <row r="133" spans="1:1" ht="20.100000000000001" customHeight="1" thickBot="1">
      <c r="A133" s="2">
        <v>5</v>
      </c>
    </row>
    <row r="134" spans="1:1" ht="20.100000000000001" customHeight="1" thickBot="1">
      <c r="A134" s="2">
        <v>5.25</v>
      </c>
    </row>
    <row r="135" spans="1:1" ht="20.100000000000001" customHeight="1" thickBot="1">
      <c r="A135" s="2">
        <v>5.5</v>
      </c>
    </row>
    <row r="136" spans="1:1" ht="20.100000000000001" customHeight="1" thickBot="1">
      <c r="A136" s="2">
        <v>5.75</v>
      </c>
    </row>
    <row r="137" spans="1:1" ht="20.100000000000001" customHeight="1" thickBot="1">
      <c r="A137" s="2">
        <v>6</v>
      </c>
    </row>
    <row r="138" spans="1:1" ht="20.100000000000001" customHeight="1" thickBot="1">
      <c r="A138" s="2">
        <v>6.25</v>
      </c>
    </row>
    <row r="139" spans="1:1" ht="20.100000000000001" customHeight="1" thickBot="1">
      <c r="A139" s="2">
        <v>6.5</v>
      </c>
    </row>
    <row r="140" spans="1:1" ht="20.100000000000001" customHeight="1" thickBot="1">
      <c r="A140" s="2">
        <v>6.75</v>
      </c>
    </row>
    <row r="141" spans="1:1" ht="20.100000000000001" customHeight="1" thickBot="1">
      <c r="A141" s="2">
        <v>7</v>
      </c>
    </row>
    <row r="142" spans="1:1" ht="20.100000000000001" customHeight="1" thickBot="1">
      <c r="A142" s="2">
        <v>7.25</v>
      </c>
    </row>
    <row r="143" spans="1:1" ht="20.100000000000001" customHeight="1" thickBot="1">
      <c r="A143" s="2">
        <v>7.5</v>
      </c>
    </row>
    <row r="144" spans="1:1" ht="20.100000000000001" customHeight="1" thickBot="1">
      <c r="A144" s="2">
        <v>7.75</v>
      </c>
    </row>
    <row r="145" spans="1:1" ht="20.100000000000001" customHeight="1" thickBot="1">
      <c r="A145" s="2">
        <v>8</v>
      </c>
    </row>
    <row r="146" spans="1:1" ht="20.100000000000001" customHeight="1" thickBot="1">
      <c r="A146" s="2">
        <v>8.25</v>
      </c>
    </row>
    <row r="147" spans="1:1" ht="20.100000000000001" customHeight="1" thickBot="1">
      <c r="A147" s="2">
        <v>8.5</v>
      </c>
    </row>
    <row r="148" spans="1:1" ht="20.100000000000001" customHeight="1" thickBot="1">
      <c r="A148" s="2">
        <v>8.75</v>
      </c>
    </row>
    <row r="149" spans="1:1" ht="20.100000000000001" customHeight="1" thickBot="1">
      <c r="A149" s="2">
        <v>9</v>
      </c>
    </row>
    <row r="150" spans="1:1" ht="20.100000000000001" customHeight="1" thickBot="1">
      <c r="A150" s="2">
        <v>9.25</v>
      </c>
    </row>
    <row r="151" spans="1:1" ht="20.100000000000001" customHeight="1" thickBot="1">
      <c r="A151" s="2">
        <v>9.5</v>
      </c>
    </row>
    <row r="152" spans="1:1" ht="20.100000000000001" customHeight="1" thickBot="1">
      <c r="A152" s="2">
        <v>9.75</v>
      </c>
    </row>
    <row r="153" spans="1:1" ht="20.100000000000001" customHeight="1" thickBot="1">
      <c r="A153" s="2">
        <v>10</v>
      </c>
    </row>
    <row r="154" spans="1:1" ht="20.100000000000001" customHeight="1" thickBot="1">
      <c r="A154" s="2">
        <v>10.25</v>
      </c>
    </row>
    <row r="155" spans="1:1" ht="20.100000000000001" customHeight="1" thickBot="1">
      <c r="A155" s="2">
        <v>10.5</v>
      </c>
    </row>
    <row r="156" spans="1:1" ht="20.100000000000001" customHeight="1" thickBot="1">
      <c r="A156" s="2">
        <v>10.75</v>
      </c>
    </row>
    <row r="157" spans="1:1" ht="20.100000000000001" customHeight="1" thickBot="1">
      <c r="A157" s="2">
        <v>11</v>
      </c>
    </row>
    <row r="158" spans="1:1" ht="20.100000000000001" customHeight="1" thickBot="1">
      <c r="A158" s="2">
        <v>11.25</v>
      </c>
    </row>
    <row r="159" spans="1:1" ht="20.100000000000001" customHeight="1" thickBot="1">
      <c r="A159" s="2">
        <v>11.5</v>
      </c>
    </row>
    <row r="160" spans="1:1" ht="20.100000000000001" customHeight="1" thickBot="1">
      <c r="A160" s="2">
        <v>11.75</v>
      </c>
    </row>
    <row r="161" spans="1:1" ht="20.100000000000001" customHeight="1" thickBot="1">
      <c r="A161" s="2">
        <v>12</v>
      </c>
    </row>
    <row r="162" spans="1:1" ht="20.100000000000001" customHeight="1" thickBot="1">
      <c r="A162" s="2">
        <v>12.25</v>
      </c>
    </row>
    <row r="163" spans="1:1" ht="20.100000000000001" customHeight="1" thickBot="1">
      <c r="A163" s="2">
        <v>12.5</v>
      </c>
    </row>
    <row r="164" spans="1:1" ht="20.100000000000001" customHeight="1" thickBot="1">
      <c r="A164" s="2">
        <v>12.75</v>
      </c>
    </row>
    <row r="165" spans="1:1" ht="20.100000000000001" customHeight="1" thickBot="1">
      <c r="A165" s="2">
        <v>13</v>
      </c>
    </row>
    <row r="166" spans="1:1" ht="20.100000000000001" customHeight="1" thickBot="1">
      <c r="A166" s="2">
        <v>13.25</v>
      </c>
    </row>
    <row r="167" spans="1:1" ht="20.100000000000001" customHeight="1" thickBot="1">
      <c r="A167" s="2">
        <v>13.5</v>
      </c>
    </row>
    <row r="168" spans="1:1" ht="20.100000000000001" customHeight="1" thickBot="1">
      <c r="A168" s="2">
        <v>13.75</v>
      </c>
    </row>
    <row r="169" spans="1:1" ht="20.100000000000001" customHeight="1" thickBot="1">
      <c r="A169" s="2">
        <v>14</v>
      </c>
    </row>
    <row r="170" spans="1:1" ht="20.100000000000001" customHeight="1" thickBot="1">
      <c r="A170" s="2">
        <v>14.25</v>
      </c>
    </row>
    <row r="171" spans="1:1" ht="20.100000000000001" customHeight="1" thickBot="1">
      <c r="A171" s="2">
        <v>14.5</v>
      </c>
    </row>
    <row r="172" spans="1:1" ht="20.100000000000001" customHeight="1" thickBot="1">
      <c r="A172" s="2">
        <v>14.75</v>
      </c>
    </row>
    <row r="173" spans="1:1" ht="20.100000000000001" customHeight="1" thickBot="1">
      <c r="A173" s="2">
        <v>15</v>
      </c>
    </row>
    <row r="174" spans="1:1" ht="20.100000000000001" customHeight="1" thickBot="1">
      <c r="A174" s="2">
        <v>15.25</v>
      </c>
    </row>
    <row r="175" spans="1:1" ht="20.100000000000001" customHeight="1" thickBot="1">
      <c r="A175" s="2">
        <v>15.5</v>
      </c>
    </row>
    <row r="176" spans="1:1" ht="20.100000000000001" customHeight="1" thickBot="1">
      <c r="A176" s="2">
        <v>15.75</v>
      </c>
    </row>
    <row r="177" spans="1:1" ht="20.100000000000001" customHeight="1" thickBot="1">
      <c r="A177" s="2">
        <v>16</v>
      </c>
    </row>
    <row r="178" spans="1:1" ht="20.100000000000001" customHeight="1" thickBot="1">
      <c r="A178" s="2">
        <v>16.25</v>
      </c>
    </row>
    <row r="179" spans="1:1" ht="20.100000000000001" customHeight="1" thickBot="1">
      <c r="A179" s="2">
        <v>16.5</v>
      </c>
    </row>
    <row r="180" spans="1:1" ht="20.100000000000001" customHeight="1" thickBot="1">
      <c r="A180" s="2">
        <v>16.75</v>
      </c>
    </row>
    <row r="181" spans="1:1" ht="20.100000000000001" customHeight="1" thickBot="1">
      <c r="A181" s="2">
        <v>17</v>
      </c>
    </row>
    <row r="182" spans="1:1" ht="20.100000000000001" customHeight="1" thickBot="1">
      <c r="A182" s="2">
        <v>17.25</v>
      </c>
    </row>
    <row r="183" spans="1:1" ht="20.100000000000001" customHeight="1" thickBot="1">
      <c r="A183" s="2">
        <v>17.5</v>
      </c>
    </row>
    <row r="184" spans="1:1" ht="20.100000000000001" customHeight="1" thickBot="1">
      <c r="A184" s="2">
        <v>17.75</v>
      </c>
    </row>
    <row r="185" spans="1:1" ht="20.100000000000001" customHeight="1" thickBot="1">
      <c r="A185" s="2">
        <v>18</v>
      </c>
    </row>
    <row r="186" spans="1:1" ht="20.100000000000001" customHeight="1" thickBot="1">
      <c r="A186" s="2">
        <v>18.25</v>
      </c>
    </row>
    <row r="187" spans="1:1" ht="20.100000000000001" customHeight="1" thickBot="1">
      <c r="A187" s="2">
        <v>18.5</v>
      </c>
    </row>
    <row r="188" spans="1:1" ht="20.100000000000001" customHeight="1" thickBot="1">
      <c r="A188" s="2">
        <v>18.75</v>
      </c>
    </row>
    <row r="189" spans="1:1" ht="20.100000000000001" customHeight="1" thickBot="1">
      <c r="A189" s="2">
        <v>19</v>
      </c>
    </row>
    <row r="190" spans="1:1" ht="20.100000000000001" customHeight="1" thickBot="1">
      <c r="A190" s="2">
        <v>19.25</v>
      </c>
    </row>
    <row r="191" spans="1:1" ht="20.100000000000001" customHeight="1" thickBot="1">
      <c r="A191" s="2">
        <v>19.5</v>
      </c>
    </row>
    <row r="192" spans="1:1" ht="20.100000000000001" customHeight="1" thickBot="1">
      <c r="A192" s="2">
        <v>19.75</v>
      </c>
    </row>
    <row r="193" spans="1:1" ht="20.100000000000001" customHeight="1" thickBot="1">
      <c r="A193" s="2">
        <v>20</v>
      </c>
    </row>
    <row r="197" spans="1:1" ht="20.100000000000001" customHeight="1" thickBot="1"/>
    <row r="198" spans="1:1" ht="20.100000000000001" customHeight="1" thickBot="1">
      <c r="A198" s="2" t="s">
        <v>59</v>
      </c>
    </row>
    <row r="199" spans="1:1" ht="20.100000000000001" customHeight="1">
      <c r="A199" s="20" t="s">
        <v>89</v>
      </c>
    </row>
    <row r="200" spans="1:1" ht="20.100000000000001" customHeight="1">
      <c r="A200" s="20" t="s">
        <v>90</v>
      </c>
    </row>
    <row r="201" spans="1:1" ht="20.100000000000001" customHeight="1">
      <c r="A201" s="20" t="s">
        <v>91</v>
      </c>
    </row>
    <row r="202" spans="1:1" ht="20.100000000000001" customHeight="1">
      <c r="A202" s="20" t="s">
        <v>92</v>
      </c>
    </row>
    <row r="203" spans="1:1" ht="20.100000000000001" customHeight="1">
      <c r="A203" s="20" t="s">
        <v>93</v>
      </c>
    </row>
    <row r="204" spans="1:1" ht="20.100000000000001" customHeight="1">
      <c r="A204" s="20" t="s">
        <v>94</v>
      </c>
    </row>
    <row r="205" spans="1:1" ht="20.100000000000001" customHeight="1">
      <c r="A205" s="20" t="s">
        <v>95</v>
      </c>
    </row>
    <row r="206" spans="1:1" ht="20.100000000000001" customHeight="1">
      <c r="A206" s="20" t="s">
        <v>96</v>
      </c>
    </row>
    <row r="207" spans="1:1" ht="20.100000000000001" customHeight="1">
      <c r="A207" s="20" t="s">
        <v>97</v>
      </c>
    </row>
    <row r="208" spans="1:1" ht="20.100000000000001" customHeight="1">
      <c r="A208" s="21" t="s">
        <v>98</v>
      </c>
    </row>
    <row r="209" spans="1:1" ht="20.100000000000001" customHeight="1">
      <c r="A209" s="21" t="s">
        <v>99</v>
      </c>
    </row>
    <row r="210" spans="1:1" ht="20.100000000000001" customHeight="1">
      <c r="A210" s="20" t="s">
        <v>100</v>
      </c>
    </row>
    <row r="211" spans="1:1" ht="20.100000000000001" customHeight="1">
      <c r="A211" s="20" t="s">
        <v>101</v>
      </c>
    </row>
    <row r="212" spans="1:1" ht="20.100000000000001" customHeight="1">
      <c r="A212" s="20" t="s">
        <v>175</v>
      </c>
    </row>
    <row r="213" spans="1:1" ht="20.100000000000001" customHeight="1">
      <c r="A213" s="20" t="s">
        <v>102</v>
      </c>
    </row>
    <row r="214" spans="1:1" ht="20.100000000000001" customHeight="1">
      <c r="A214" s="20" t="s">
        <v>103</v>
      </c>
    </row>
    <row r="215" spans="1:1" ht="20.100000000000001" customHeight="1">
      <c r="A215" s="20" t="s">
        <v>104</v>
      </c>
    </row>
    <row r="216" spans="1:1" ht="20.100000000000001" customHeight="1">
      <c r="A216" s="20" t="s">
        <v>105</v>
      </c>
    </row>
    <row r="217" spans="1:1" ht="20.100000000000001" customHeight="1">
      <c r="A217" s="20" t="s">
        <v>106</v>
      </c>
    </row>
    <row r="218" spans="1:1" ht="20.100000000000001" customHeight="1">
      <c r="A218" s="20" t="s">
        <v>107</v>
      </c>
    </row>
    <row r="219" spans="1:1" ht="20.100000000000001" customHeight="1">
      <c r="A219" s="20" t="s">
        <v>108</v>
      </c>
    </row>
    <row r="220" spans="1:1" ht="20.100000000000001" customHeight="1">
      <c r="A220" s="20" t="s">
        <v>109</v>
      </c>
    </row>
    <row r="221" spans="1:1" ht="20.100000000000001" customHeight="1">
      <c r="A221" s="20" t="s">
        <v>110</v>
      </c>
    </row>
    <row r="222" spans="1:1" ht="20.100000000000001" customHeight="1">
      <c r="A222" s="20" t="s">
        <v>111</v>
      </c>
    </row>
    <row r="223" spans="1:1" ht="20.100000000000001" customHeight="1">
      <c r="A223" s="20" t="s">
        <v>112</v>
      </c>
    </row>
    <row r="224" spans="1:1" ht="20.100000000000001" customHeight="1">
      <c r="A224" s="20" t="s">
        <v>176</v>
      </c>
    </row>
    <row r="225" spans="1:1" ht="20.100000000000001" customHeight="1">
      <c r="A225" s="20" t="s">
        <v>113</v>
      </c>
    </row>
    <row r="226" spans="1:1" ht="20.100000000000001" customHeight="1">
      <c r="A226" s="20" t="s">
        <v>114</v>
      </c>
    </row>
    <row r="227" spans="1:1" ht="20.100000000000001" customHeight="1">
      <c r="A227" s="20" t="s">
        <v>115</v>
      </c>
    </row>
    <row r="228" spans="1:1" ht="20.100000000000001" customHeight="1">
      <c r="A228" s="20" t="s">
        <v>116</v>
      </c>
    </row>
    <row r="229" spans="1:1" ht="20.100000000000001" customHeight="1">
      <c r="A229" s="20" t="s">
        <v>117</v>
      </c>
    </row>
    <row r="230" spans="1:1" ht="20.100000000000001" customHeight="1">
      <c r="A230" s="20" t="s">
        <v>118</v>
      </c>
    </row>
    <row r="231" spans="1:1" ht="20.100000000000001" customHeight="1">
      <c r="A231" s="20" t="s">
        <v>119</v>
      </c>
    </row>
    <row r="232" spans="1:1" ht="20.100000000000001" customHeight="1">
      <c r="A232" s="20" t="s">
        <v>120</v>
      </c>
    </row>
    <row r="233" spans="1:1" ht="20.100000000000001" customHeight="1">
      <c r="A233" s="20" t="s">
        <v>121</v>
      </c>
    </row>
    <row r="234" spans="1:1" ht="20.100000000000001" customHeight="1">
      <c r="A234" s="20" t="s">
        <v>122</v>
      </c>
    </row>
    <row r="235" spans="1:1" ht="20.100000000000001" customHeight="1">
      <c r="A235" s="20" t="s">
        <v>123</v>
      </c>
    </row>
    <row r="236" spans="1:1" ht="20.100000000000001" customHeight="1">
      <c r="A236" s="22" t="s">
        <v>124</v>
      </c>
    </row>
    <row r="237" spans="1:1" ht="20.100000000000001" customHeight="1">
      <c r="A237" s="20" t="s">
        <v>125</v>
      </c>
    </row>
    <row r="238" spans="1:1" ht="20.100000000000001" customHeight="1">
      <c r="A238" s="20" t="s">
        <v>126</v>
      </c>
    </row>
    <row r="239" spans="1:1" ht="20.100000000000001" customHeight="1">
      <c r="A239" s="20" t="s">
        <v>127</v>
      </c>
    </row>
    <row r="240" spans="1:1" ht="20.100000000000001" customHeight="1">
      <c r="A240" s="20" t="s">
        <v>128</v>
      </c>
    </row>
    <row r="241" spans="1:1" ht="20.100000000000001" customHeight="1">
      <c r="A241" s="20" t="s">
        <v>129</v>
      </c>
    </row>
    <row r="242" spans="1:1" ht="20.100000000000001" customHeight="1">
      <c r="A242" s="20" t="s">
        <v>130</v>
      </c>
    </row>
    <row r="243" spans="1:1" ht="20.100000000000001" customHeight="1">
      <c r="A243" s="20" t="s">
        <v>131</v>
      </c>
    </row>
    <row r="244" spans="1:1" ht="20.100000000000001" customHeight="1">
      <c r="A244" s="20" t="s">
        <v>132</v>
      </c>
    </row>
    <row r="245" spans="1:1" ht="20.100000000000001" customHeight="1">
      <c r="A245" s="20" t="s">
        <v>133</v>
      </c>
    </row>
    <row r="246" spans="1:1" ht="20.100000000000001" customHeight="1">
      <c r="A246" s="20" t="s">
        <v>134</v>
      </c>
    </row>
    <row r="247" spans="1:1" ht="20.100000000000001" customHeight="1">
      <c r="A247" s="20" t="s">
        <v>135</v>
      </c>
    </row>
    <row r="248" spans="1:1" ht="20.100000000000001" customHeight="1">
      <c r="A248" s="20" t="s">
        <v>126</v>
      </c>
    </row>
    <row r="249" spans="1:1" ht="20.100000000000001" customHeight="1">
      <c r="A249" s="20" t="s">
        <v>136</v>
      </c>
    </row>
    <row r="250" spans="1:1" ht="20.100000000000001" customHeight="1">
      <c r="A250" s="20" t="s">
        <v>137</v>
      </c>
    </row>
    <row r="251" spans="1:1" ht="20.100000000000001" customHeight="1">
      <c r="A251" s="22" t="s">
        <v>138</v>
      </c>
    </row>
    <row r="252" spans="1:1" ht="20.100000000000001" customHeight="1">
      <c r="A252" s="23" t="s">
        <v>139</v>
      </c>
    </row>
    <row r="253" spans="1:1" ht="20.100000000000001" customHeight="1">
      <c r="A253" s="20" t="s">
        <v>140</v>
      </c>
    </row>
    <row r="254" spans="1:1" ht="20.100000000000001" customHeight="1">
      <c r="A254" s="20" t="s">
        <v>141</v>
      </c>
    </row>
    <row r="255" spans="1:1" ht="20.100000000000001" customHeight="1">
      <c r="A255" s="24" t="s">
        <v>142</v>
      </c>
    </row>
    <row r="256" spans="1:1" ht="20.100000000000001" customHeight="1">
      <c r="A256" s="24" t="s">
        <v>143</v>
      </c>
    </row>
    <row r="257" spans="1:1" ht="20.100000000000001" customHeight="1">
      <c r="A257" s="25" t="s">
        <v>144</v>
      </c>
    </row>
    <row r="258" spans="1:1" ht="20.100000000000001" customHeight="1">
      <c r="A258" s="20" t="s">
        <v>145</v>
      </c>
    </row>
    <row r="259" spans="1:1" ht="20.100000000000001" customHeight="1">
      <c r="A259" s="25" t="s">
        <v>146</v>
      </c>
    </row>
    <row r="260" spans="1:1" ht="20.100000000000001" customHeight="1">
      <c r="A260" s="20" t="s">
        <v>147</v>
      </c>
    </row>
    <row r="261" spans="1:1" ht="20.100000000000001" customHeight="1">
      <c r="A261" s="25" t="s">
        <v>148</v>
      </c>
    </row>
    <row r="262" spans="1:1" ht="20.100000000000001" customHeight="1">
      <c r="A262" s="20" t="s">
        <v>149</v>
      </c>
    </row>
    <row r="263" spans="1:1" ht="20.100000000000001" customHeight="1">
      <c r="A263" s="20" t="s">
        <v>150</v>
      </c>
    </row>
    <row r="264" spans="1:1" ht="20.100000000000001" customHeight="1">
      <c r="A264" s="25" t="s">
        <v>151</v>
      </c>
    </row>
    <row r="265" spans="1:1" ht="20.100000000000001" customHeight="1">
      <c r="A265" s="25" t="s">
        <v>152</v>
      </c>
    </row>
    <row r="266" spans="1:1" ht="20.100000000000001" customHeight="1">
      <c r="A266" s="25" t="s">
        <v>153</v>
      </c>
    </row>
    <row r="267" spans="1:1" ht="20.100000000000001" customHeight="1">
      <c r="A267" s="20" t="s">
        <v>154</v>
      </c>
    </row>
    <row r="268" spans="1:1" ht="20.100000000000001" customHeight="1">
      <c r="A268" s="20" t="s">
        <v>155</v>
      </c>
    </row>
    <row r="269" spans="1:1" ht="20.100000000000001" customHeight="1">
      <c r="A269" s="20" t="s">
        <v>156</v>
      </c>
    </row>
    <row r="270" spans="1:1" ht="20.100000000000001" customHeight="1">
      <c r="A270" s="20" t="s">
        <v>157</v>
      </c>
    </row>
    <row r="271" spans="1:1" ht="20.100000000000001" customHeight="1">
      <c r="A271" s="25" t="s">
        <v>158</v>
      </c>
    </row>
    <row r="272" spans="1:1" ht="20.100000000000001" customHeight="1">
      <c r="A272" s="25" t="s">
        <v>159</v>
      </c>
    </row>
    <row r="273" spans="1:1" ht="20.100000000000001" customHeight="1">
      <c r="A273" s="20" t="s">
        <v>160</v>
      </c>
    </row>
    <row r="274" spans="1:1" ht="20.100000000000001" customHeight="1">
      <c r="A274" s="25" t="s">
        <v>161</v>
      </c>
    </row>
    <row r="275" spans="1:1" ht="20.100000000000001" customHeight="1">
      <c r="A275" s="25" t="s">
        <v>162</v>
      </c>
    </row>
    <row r="276" spans="1:1" ht="20.100000000000001" customHeight="1">
      <c r="A276" s="20" t="s">
        <v>163</v>
      </c>
    </row>
    <row r="277" spans="1:1" ht="20.100000000000001" customHeight="1">
      <c r="A277" s="20" t="s">
        <v>164</v>
      </c>
    </row>
    <row r="278" spans="1:1" ht="20.100000000000001" customHeight="1">
      <c r="A278" s="25" t="s">
        <v>165</v>
      </c>
    </row>
    <row r="279" spans="1:1" ht="20.100000000000001" customHeight="1">
      <c r="A279" s="20" t="s">
        <v>166</v>
      </c>
    </row>
    <row r="280" spans="1:1" ht="20.100000000000001" customHeight="1">
      <c r="A280" s="20" t="s">
        <v>167</v>
      </c>
    </row>
    <row r="281" spans="1:1" ht="20.100000000000001" customHeight="1">
      <c r="A281" s="20" t="s">
        <v>168</v>
      </c>
    </row>
    <row r="282" spans="1:1" ht="20.100000000000001" customHeight="1">
      <c r="A282" s="20" t="s">
        <v>169</v>
      </c>
    </row>
    <row r="283" spans="1:1" ht="20.100000000000001" customHeight="1">
      <c r="A283" s="25" t="s">
        <v>170</v>
      </c>
    </row>
    <row r="284" spans="1:1" ht="20.100000000000001" customHeight="1">
      <c r="A284" s="25" t="s">
        <v>171</v>
      </c>
    </row>
    <row r="285" spans="1:1" ht="20.100000000000001" customHeight="1">
      <c r="A285" s="25" t="s">
        <v>172</v>
      </c>
    </row>
    <row r="286" spans="1:1" ht="20.100000000000001" customHeight="1" thickBot="1">
      <c r="A286" s="20" t="s">
        <v>173</v>
      </c>
    </row>
    <row r="287" spans="1:1" ht="20.100000000000001" customHeight="1" thickBot="1">
      <c r="A287" s="2" t="s">
        <v>58</v>
      </c>
    </row>
    <row r="288" spans="1:1" ht="20.100000000000001" customHeight="1" thickBot="1">
      <c r="A288" s="2" t="s">
        <v>58</v>
      </c>
    </row>
    <row r="289" spans="1:1" ht="20.100000000000001" customHeight="1" thickBot="1">
      <c r="A289" s="2" t="s">
        <v>58</v>
      </c>
    </row>
    <row r="290" spans="1:1" ht="20.100000000000001" customHeight="1" thickBot="1">
      <c r="A290" s="2" t="s">
        <v>58</v>
      </c>
    </row>
    <row r="291" spans="1:1" ht="20.100000000000001" customHeight="1" thickBot="1">
      <c r="A291" s="2" t="s">
        <v>58</v>
      </c>
    </row>
    <row r="292" spans="1:1" ht="20.100000000000001" customHeight="1" thickBot="1">
      <c r="A292" s="2" t="s">
        <v>58</v>
      </c>
    </row>
    <row r="293" spans="1:1" ht="20.100000000000001" customHeight="1" thickBot="1">
      <c r="A293" s="2" t="s">
        <v>58</v>
      </c>
    </row>
    <row r="294" spans="1:1" ht="20.100000000000001" customHeight="1" thickBot="1">
      <c r="A294" s="2" t="s">
        <v>58</v>
      </c>
    </row>
    <row r="295" spans="1:1" ht="20.100000000000001" customHeight="1" thickBot="1">
      <c r="A295" s="2" t="s">
        <v>58</v>
      </c>
    </row>
    <row r="296" spans="1:1" ht="20.100000000000001" customHeight="1" thickBot="1">
      <c r="A296" s="2" t="s">
        <v>58</v>
      </c>
    </row>
    <row r="297" spans="1:1" ht="20.100000000000001" customHeight="1" thickBot="1">
      <c r="A297" s="2" t="s">
        <v>58</v>
      </c>
    </row>
    <row r="298" spans="1:1" ht="20.100000000000001" customHeight="1" thickBot="1">
      <c r="A298" s="2" t="s">
        <v>58</v>
      </c>
    </row>
    <row r="299" spans="1:1" ht="20.100000000000001" customHeight="1" thickBot="1">
      <c r="A299" s="2" t="s">
        <v>58</v>
      </c>
    </row>
    <row r="300" spans="1:1" ht="20.100000000000001" customHeight="1" thickBot="1">
      <c r="A300" s="2" t="s">
        <v>58</v>
      </c>
    </row>
    <row r="301" spans="1:1" ht="20.100000000000001" customHeight="1" thickBot="1">
      <c r="A301" s="2" t="s">
        <v>58</v>
      </c>
    </row>
    <row r="302" spans="1:1" ht="20.100000000000001" customHeight="1" thickBot="1">
      <c r="A302" s="2" t="s">
        <v>58</v>
      </c>
    </row>
    <row r="303" spans="1:1" ht="20.100000000000001" customHeight="1" thickBot="1">
      <c r="A303" s="2" t="s">
        <v>58</v>
      </c>
    </row>
    <row r="304" spans="1:1" ht="20.100000000000001" customHeight="1" thickBot="1">
      <c r="A304" s="2" t="s">
        <v>58</v>
      </c>
    </row>
    <row r="305" spans="1:1" ht="20.100000000000001" customHeight="1" thickBot="1">
      <c r="A305" s="2" t="s">
        <v>58</v>
      </c>
    </row>
    <row r="306" spans="1:1" ht="20.100000000000001" customHeight="1" thickBot="1">
      <c r="A306" s="2" t="s">
        <v>58</v>
      </c>
    </row>
    <row r="307" spans="1:1" ht="20.100000000000001" customHeight="1" thickBot="1">
      <c r="A307" s="2" t="s">
        <v>58</v>
      </c>
    </row>
    <row r="308" spans="1:1" ht="20.100000000000001" customHeight="1" thickBot="1">
      <c r="A308" s="2" t="s">
        <v>58</v>
      </c>
    </row>
    <row r="309" spans="1:1" ht="20.100000000000001" customHeight="1" thickBot="1">
      <c r="A309" s="2" t="s">
        <v>58</v>
      </c>
    </row>
    <row r="310" spans="1:1" ht="20.100000000000001" customHeight="1" thickBot="1">
      <c r="A310" s="2" t="s">
        <v>58</v>
      </c>
    </row>
    <row r="311" spans="1:1" ht="20.100000000000001" customHeight="1" thickBot="1">
      <c r="A311" s="2" t="s">
        <v>58</v>
      </c>
    </row>
    <row r="312" spans="1:1" ht="20.100000000000001" customHeight="1" thickBot="1">
      <c r="A312" s="2" t="s">
        <v>58</v>
      </c>
    </row>
    <row r="313" spans="1:1" ht="20.100000000000001" customHeight="1" thickBot="1">
      <c r="A313" s="2" t="s">
        <v>58</v>
      </c>
    </row>
    <row r="314" spans="1:1" ht="20.100000000000001" customHeight="1" thickBot="1">
      <c r="A314" s="2" t="s">
        <v>58</v>
      </c>
    </row>
    <row r="315" spans="1:1" ht="20.100000000000001" customHeight="1" thickBot="1">
      <c r="A315" s="2" t="s">
        <v>58</v>
      </c>
    </row>
    <row r="316" spans="1:1" ht="20.100000000000001" customHeight="1" thickBot="1">
      <c r="A316" s="2" t="s">
        <v>58</v>
      </c>
    </row>
    <row r="317" spans="1:1" ht="20.100000000000001" customHeight="1" thickBot="1">
      <c r="A317" s="2" t="s">
        <v>58</v>
      </c>
    </row>
    <row r="318" spans="1:1" ht="20.100000000000001" customHeight="1" thickBot="1">
      <c r="A318" s="2" t="s">
        <v>58</v>
      </c>
    </row>
    <row r="319" spans="1:1" ht="20.100000000000001" customHeight="1" thickBot="1">
      <c r="A319" s="2" t="s">
        <v>58</v>
      </c>
    </row>
    <row r="320" spans="1:1" ht="20.100000000000001" customHeight="1" thickBot="1">
      <c r="A320" s="2" t="s">
        <v>58</v>
      </c>
    </row>
    <row r="321" spans="1:1" ht="20.100000000000001" customHeight="1" thickBot="1">
      <c r="A321" s="2" t="s">
        <v>58</v>
      </c>
    </row>
    <row r="322" spans="1:1" ht="20.100000000000001" customHeight="1" thickBot="1">
      <c r="A322" s="2" t="s">
        <v>58</v>
      </c>
    </row>
    <row r="323" spans="1:1" ht="20.100000000000001" customHeight="1" thickBot="1">
      <c r="A323" s="2" t="s">
        <v>58</v>
      </c>
    </row>
    <row r="324" spans="1:1" ht="20.100000000000001" customHeight="1" thickBot="1">
      <c r="A324" s="2" t="s">
        <v>58</v>
      </c>
    </row>
    <row r="325" spans="1:1" ht="20.100000000000001" customHeight="1" thickBot="1">
      <c r="A325" s="2" t="s">
        <v>58</v>
      </c>
    </row>
    <row r="326" spans="1:1" ht="20.100000000000001" customHeight="1" thickBot="1">
      <c r="A326" s="2" t="s">
        <v>58</v>
      </c>
    </row>
    <row r="327" spans="1:1" ht="20.100000000000001" customHeight="1" thickBot="1">
      <c r="A327" s="2" t="s">
        <v>58</v>
      </c>
    </row>
    <row r="328" spans="1:1" ht="20.100000000000001" customHeight="1" thickBot="1">
      <c r="A328" s="2" t="s">
        <v>58</v>
      </c>
    </row>
    <row r="329" spans="1:1" ht="20.100000000000001" customHeight="1" thickBot="1">
      <c r="A329" s="2" t="s">
        <v>58</v>
      </c>
    </row>
    <row r="330" spans="1:1" ht="20.100000000000001" customHeight="1" thickBot="1">
      <c r="A330" s="2" t="s">
        <v>58</v>
      </c>
    </row>
    <row r="331" spans="1:1" ht="20.100000000000001" customHeight="1" thickBot="1">
      <c r="A331" s="2" t="s">
        <v>58</v>
      </c>
    </row>
    <row r="332" spans="1:1" ht="20.100000000000001" customHeight="1" thickBot="1">
      <c r="A332" s="2" t="s">
        <v>58</v>
      </c>
    </row>
    <row r="333" spans="1:1" ht="20.100000000000001" customHeight="1" thickBot="1">
      <c r="A333" s="2" t="s">
        <v>58</v>
      </c>
    </row>
    <row r="334" spans="1:1" ht="20.100000000000001" customHeight="1" thickBot="1">
      <c r="A334" s="2" t="s">
        <v>58</v>
      </c>
    </row>
    <row r="335" spans="1:1" ht="20.100000000000001" customHeight="1" thickBot="1">
      <c r="A335" s="2" t="s">
        <v>58</v>
      </c>
    </row>
    <row r="336" spans="1:1" ht="20.100000000000001" customHeight="1" thickBot="1">
      <c r="A336" s="2" t="s">
        <v>58</v>
      </c>
    </row>
    <row r="337" spans="1:1" ht="20.100000000000001" customHeight="1" thickBot="1">
      <c r="A337" s="2" t="s">
        <v>58</v>
      </c>
    </row>
    <row r="338" spans="1:1" ht="20.100000000000001" customHeight="1" thickBot="1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2025-10-20T15:16:07Z</dcterms:modified>
</cp:coreProperties>
</file>