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B8B72CA4-E6EE-48BD-B0F3-A0D00393DCE9}"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التقييم'!$A$1:$J$50</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9" i="2" l="1"/>
  <c r="H9" i="2" s="1"/>
  <c r="G10" i="2"/>
  <c r="H10" i="2" s="1"/>
  <c r="G11" i="2"/>
  <c r="H11" i="2"/>
  <c r="G12" i="2"/>
  <c r="H12" i="2" s="1"/>
  <c r="G13" i="2"/>
  <c r="H13" i="2" s="1"/>
  <c r="G15" i="2"/>
  <c r="H15" i="2" s="1"/>
  <c r="G16" i="2"/>
  <c r="H16" i="2" s="1"/>
  <c r="G17" i="2"/>
  <c r="H17" i="2" s="1"/>
  <c r="G18" i="2"/>
  <c r="H18" i="2" s="1"/>
  <c r="G19" i="2"/>
  <c r="H19" i="2"/>
  <c r="G20" i="2"/>
  <c r="H20" i="2"/>
  <c r="G21" i="2"/>
  <c r="H21" i="2" s="1"/>
  <c r="G22" i="2"/>
  <c r="H22" i="2" s="1"/>
  <c r="G24" i="2"/>
  <c r="H24" i="2" s="1"/>
  <c r="G25" i="2"/>
  <c r="H25" i="2" s="1"/>
  <c r="G26" i="2"/>
  <c r="H26" i="2" s="1"/>
  <c r="G27" i="2"/>
  <c r="H27" i="2"/>
  <c r="G28" i="2"/>
  <c r="H28" i="2"/>
  <c r="G29" i="2"/>
  <c r="H29" i="2" s="1"/>
  <c r="G31" i="2"/>
  <c r="H31" i="2"/>
  <c r="G32" i="2"/>
  <c r="H32" i="2"/>
  <c r="G33" i="2"/>
  <c r="H33" i="2"/>
  <c r="G34" i="2"/>
  <c r="H34" i="2" s="1"/>
  <c r="G35" i="2"/>
  <c r="H35" i="2" s="1"/>
  <c r="G36" i="2"/>
  <c r="H36" i="2"/>
  <c r="G37" i="2"/>
  <c r="H37" i="2"/>
  <c r="G38" i="2"/>
  <c r="H38" i="2" s="1"/>
  <c r="G39" i="2"/>
  <c r="H39" i="2" s="1"/>
  <c r="G40" i="2"/>
  <c r="H40" i="2" s="1"/>
  <c r="G41" i="2"/>
  <c r="H41" i="2" s="1"/>
  <c r="G42" i="2"/>
  <c r="H42" i="2" s="1"/>
  <c r="G43" i="2"/>
  <c r="H43" i="2" s="1"/>
  <c r="G44" i="2"/>
  <c r="H44" i="2"/>
  <c r="G45" i="2"/>
  <c r="H45" i="2" s="1"/>
  <c r="F46" i="2"/>
  <c r="E47" i="2" s="1"/>
  <c r="E48" i="2" s="1"/>
  <c r="E46" i="2"/>
</calcChain>
</file>

<file path=xl/sharedStrings.xml><?xml version="1.0" encoding="utf-8"?>
<sst xmlns="http://schemas.openxmlformats.org/spreadsheetml/2006/main" count="275" uniqueCount="220">
  <si>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</si>
  <si>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</si>
  <si>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</si>
  <si>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</si>
  <si>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</si>
  <si>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</si>
  <si>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</si>
  <si>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</si>
  <si>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</si>
  <si>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</si>
  <si>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</si>
  <si>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</si>
  <si>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</si>
  <si>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</si>
  <si>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</si>
  <si>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</si>
  <si>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</si>
  <si>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</si>
  <si>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</si>
  <si>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</si>
  <si>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</si>
  <si>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</si>
  <si>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</si>
  <si>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</si>
  <si>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</si>
  <si>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</si>
  <si>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</si>
  <si>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</si>
  <si>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</si>
  <si>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</si>
  <si>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</si>
  <si>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</si>
  <si>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</si>
  <si>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</si>
  <si>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</si>
  <si>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</si>
  <si>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</si>
  <si>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</si>
  <si>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</si>
  <si>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</si>
  <si>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</si>
  <si>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</si>
  <si>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</si>
  <si>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</si>
  <si>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</si>
  <si>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</si>
  <si>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</si>
  <si>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</si>
  <si>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</si>
  <si>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</si>
  <si>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</si>
  <si>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</si>
  <si>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</si>
  <si>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</si>
  <si>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</si>
  <si>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</si>
  <si>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</si>
  <si>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</si>
  <si>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</si>
  <si>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</si>
  <si>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</si>
  <si>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</si>
  <si>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</si>
  <si>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</si>
  <si>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</si>
  <si>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</si>
  <si>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</si>
  <si>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</si>
  <si>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</si>
  <si>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</si>
  <si>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</si>
  <si>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</si>
  <si>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</si>
  <si>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</si>
  <si>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</si>
  <si>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</si>
  <si>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</si>
  <si>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</si>
  <si>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</si>
  <si>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</si>
  <si>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</si>
  <si>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</si>
  <si>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</si>
  <si>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</si>
  <si>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</si>
  <si>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</si>
  <si>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</si>
  <si>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</si>
  <si>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</si>
  <si>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</si>
  <si>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</si>
  <si>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</si>
  <si>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</si>
  <si>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</si>
  <si>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</si>
  <si>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</si>
  <si>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</si>
  <si>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</si>
  <si>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</si>
  <si>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</si>
  <si>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</si>
  <si>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</si>
  <si>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</si>
  <si>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</si>
  <si>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</si>
  <si>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</si>
  <si>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</si>
  <si>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</si>
  <si>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</si>
  <si>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</si>
  <si>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</si>
  <si>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</si>
  <si>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</si>
  <si>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</si>
  <si>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</si>
  <si>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</si>
  <si>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</si>
  <si>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</si>
  <si>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</si>
  <si>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</si>
  <si>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</si>
  <si>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</si>
  <si>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</si>
  <si>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</si>
  <si>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</si>
  <si>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</si>
  <si>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</si>
  <si>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</si>
  <si>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</si>
  <si>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</si>
  <si>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</si>
  <si>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</si>
  <si>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</si>
  <si>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</si>
  <si>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</si>
  <si>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</si>
  <si>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</si>
  <si>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</si>
  <si>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</si>
  <si>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</si>
  <si>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</si>
  <si>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</si>
  <si>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</si>
  <si>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</si>
  <si>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</si>
  <si>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</si>
  <si>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</si>
  <si>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</si>
  <si>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</si>
  <si>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</si>
  <si>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</si>
  <si>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</si>
  <si>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</si>
  <si>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</si>
  <si>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</si>
  <si>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</si>
  <si>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</si>
  <si>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</si>
  <si>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</si>
  <si>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</si>
  <si>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</si>
  <si>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</si>
  <si>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</si>
  <si>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</si>
  <si>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</si>
  <si>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</si>
  <si>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</si>
  <si>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</si>
  <si>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</si>
  <si>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</si>
  <si>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</si>
  <si>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</si>
  <si>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2"/>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</si>
  <si>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مقدم ركن / عبدالرحمن محمد الطنيجي</t>
  </si>
  <si>
    <t xml:space="preserve">رائد / راشد ضاوي  راشد الطنيجي </t>
  </si>
  <si>
    <t>نقيب / حميد سعيد مسير الظاهري</t>
  </si>
  <si>
    <t>نقيب / يوسف محمد الفلاسي</t>
  </si>
  <si>
    <t>نقيب / سعيد راشد الظنحاني</t>
  </si>
  <si>
    <t xml:space="preserve">الوحــــــــــــــــــدة: </t>
  </si>
  <si>
    <t xml:space="preserve">اسم ضابط الصف: </t>
  </si>
  <si>
    <t>التخطيط لتسلسلات حركة التنقل التعبوي.</t>
  </si>
  <si>
    <r>
      <t>1.</t>
    </r>
    <r>
      <rPr>
        <sz val="7"/>
        <color theme="1"/>
        <rFont val="Times New Roman"/>
        <family val="1"/>
      </rPr>
      <t xml:space="preserve">        </t>
    </r>
    <r>
      <rPr>
        <sz val="12"/>
        <color theme="1"/>
        <rFont val="Arial"/>
        <family val="2"/>
      </rPr>
      <t>التأكد من تفهم المرؤوسين للأمر الإنذاري.</t>
    </r>
  </si>
  <si>
    <r>
      <t>2.</t>
    </r>
    <r>
      <rPr>
        <sz val="7"/>
        <color theme="1"/>
        <rFont val="Times New Roman"/>
        <family val="1"/>
      </rPr>
      <t xml:space="preserve">        </t>
    </r>
    <r>
      <rPr>
        <sz val="12"/>
        <color theme="1"/>
        <rFont val="Arial"/>
        <family val="2"/>
      </rPr>
      <t>تحضير تقدير موقف.</t>
    </r>
  </si>
  <si>
    <r>
      <t>3.</t>
    </r>
    <r>
      <rPr>
        <sz val="7"/>
        <color theme="1"/>
        <rFont val="Times New Roman"/>
        <family val="1"/>
      </rPr>
      <t xml:space="preserve">        </t>
    </r>
    <r>
      <rPr>
        <sz val="12"/>
        <color theme="1"/>
        <rFont val="Arial"/>
        <family val="2"/>
      </rPr>
      <t>العمل على تنظيم وإرسال أقسام استطلاع ومقدمة حسب الأوامر المستديمة للوحدة.</t>
    </r>
  </si>
  <si>
    <r>
      <t>4.</t>
    </r>
    <r>
      <rPr>
        <sz val="7"/>
        <color theme="1"/>
        <rFont val="Times New Roman"/>
        <family val="1"/>
      </rPr>
      <t xml:space="preserve">        </t>
    </r>
    <r>
      <rPr>
        <sz val="12"/>
        <color theme="1"/>
        <rFont val="Arial"/>
        <family val="2"/>
      </rPr>
      <t>تحضير خطط مفصلة للتنقل تتضمن (نظم المسير - مراجعة معلومات الاستطلاع).</t>
    </r>
  </si>
  <si>
    <r>
      <t>5.</t>
    </r>
    <r>
      <rPr>
        <sz val="7"/>
        <color theme="1"/>
        <rFont val="Times New Roman"/>
        <family val="1"/>
      </rPr>
      <t xml:space="preserve">        </t>
    </r>
    <r>
      <rPr>
        <sz val="12"/>
        <color theme="1"/>
        <rFont val="Arial"/>
        <family val="2"/>
      </rPr>
      <t>المشاركة في تحضير وتعميم أمر التنقل التعبوي على المرؤوسين.</t>
    </r>
  </si>
  <si>
    <t>السيطرة على التنقل.</t>
  </si>
  <si>
    <r>
      <t>1.</t>
    </r>
    <r>
      <rPr>
        <sz val="7"/>
        <color theme="1"/>
        <rFont val="Times New Roman"/>
        <family val="1"/>
      </rPr>
      <t xml:space="preserve">        </t>
    </r>
    <r>
      <rPr>
        <sz val="12"/>
        <color theme="1"/>
        <rFont val="Arial"/>
        <family val="2"/>
      </rPr>
      <t>تنظيم رتل التسلسل (الرأس - الجسم الرئيسي  - المؤخرة).</t>
    </r>
  </si>
  <si>
    <r>
      <t>2.</t>
    </r>
    <r>
      <rPr>
        <sz val="7"/>
        <color theme="1"/>
        <rFont val="Times New Roman"/>
        <family val="1"/>
      </rPr>
      <t xml:space="preserve">        </t>
    </r>
    <r>
      <rPr>
        <sz val="12"/>
        <color theme="1"/>
        <rFont val="Arial"/>
        <family val="2"/>
      </rPr>
      <t>التأكد من أن قائد كل آلية قد عين قواطع مراقبة بحيث تكون هناك مراقبة بمقدار (360) درجة حول آلياتهم، والتأكد بأن كل قائد آلية قد عين حارساً للمراقبة الجوية لتوفير الحماية.</t>
    </r>
  </si>
  <si>
    <r>
      <t>3.</t>
    </r>
    <r>
      <rPr>
        <sz val="7"/>
        <color theme="1"/>
        <rFont val="Times New Roman"/>
        <family val="1"/>
      </rPr>
      <t xml:space="preserve">        </t>
    </r>
    <r>
      <rPr>
        <sz val="12"/>
        <color theme="1"/>
        <rFont val="Arial"/>
        <family val="2"/>
      </rPr>
      <t>دخول طريق التنقل عند نقطة البداية وفي الوقت المحدد.</t>
    </r>
  </si>
  <si>
    <r>
      <t>4.</t>
    </r>
    <r>
      <rPr>
        <sz val="7"/>
        <color theme="1"/>
        <rFont val="Times New Roman"/>
        <family val="1"/>
      </rPr>
      <t xml:space="preserve">        </t>
    </r>
    <r>
      <rPr>
        <sz val="12"/>
        <color theme="1"/>
        <rFont val="Arial"/>
        <family val="2"/>
      </rPr>
      <t>الالتزام بالطريق المحدد في أمر التنقل.</t>
    </r>
  </si>
  <si>
    <r>
      <t>5.</t>
    </r>
    <r>
      <rPr>
        <sz val="7"/>
        <color theme="1"/>
        <rFont val="Times New Roman"/>
        <family val="1"/>
      </rPr>
      <t xml:space="preserve">        </t>
    </r>
    <r>
      <rPr>
        <sz val="12"/>
        <color theme="1"/>
        <rFont val="Arial"/>
        <family val="2"/>
      </rPr>
      <t>التأكد من التزام جميع الآليات بالسرعات المحددة في الأمر.</t>
    </r>
  </si>
  <si>
    <r>
      <t>6.</t>
    </r>
    <r>
      <rPr>
        <sz val="7"/>
        <color theme="1"/>
        <rFont val="Times New Roman"/>
        <family val="1"/>
      </rPr>
      <t xml:space="preserve">        </t>
    </r>
    <r>
      <rPr>
        <sz val="12"/>
        <color theme="1"/>
        <rFont val="Arial"/>
        <family val="2"/>
      </rPr>
      <t>تعديل المسير في النقاط الهامة إذا كانت سرعة الحركة بطيئة أو صعبة أو فقدت الآليات اتجاهها.</t>
    </r>
  </si>
  <si>
    <r>
      <t>7.</t>
    </r>
    <r>
      <rPr>
        <sz val="7"/>
        <color theme="1"/>
        <rFont val="Times New Roman"/>
        <family val="1"/>
      </rPr>
      <t xml:space="preserve">        </t>
    </r>
    <r>
      <rPr>
        <sz val="12"/>
        <color theme="1"/>
        <rFont val="Arial"/>
        <family val="2"/>
      </rPr>
      <t>المحافظة على الفواصل بين الآليات.</t>
    </r>
  </si>
  <si>
    <r>
      <t>8.</t>
    </r>
    <r>
      <rPr>
        <sz val="7"/>
        <color theme="1"/>
        <rFont val="Times New Roman"/>
        <family val="1"/>
      </rPr>
      <t xml:space="preserve">        </t>
    </r>
    <r>
      <rPr>
        <sz val="12"/>
        <color theme="1"/>
        <rFont val="Arial"/>
        <family val="2"/>
      </rPr>
      <t>تقليل فواصل الرتل أثناء فترات ظروف الرؤية المحدودة وزيادة فواصل الرتل أثناء فترات ظروف الرؤية الجيدة.</t>
    </r>
  </si>
  <si>
    <t>السيطرة على الأعمال أثناء الوقفات.</t>
  </si>
  <si>
    <r>
      <t>1.</t>
    </r>
    <r>
      <rPr>
        <sz val="7"/>
        <color theme="1"/>
        <rFont val="Times New Roman"/>
        <family val="1"/>
      </rPr>
      <t xml:space="preserve">        </t>
    </r>
    <r>
      <rPr>
        <sz val="12"/>
        <color theme="1"/>
        <rFont val="Arial"/>
        <family val="2"/>
      </rPr>
      <t>إدامة المراقبة في جميع الجهات أثناء التوقف.</t>
    </r>
  </si>
  <si>
    <r>
      <t>2.</t>
    </r>
    <r>
      <rPr>
        <sz val="7"/>
        <color theme="1"/>
        <rFont val="Times New Roman"/>
        <family val="1"/>
      </rPr>
      <t xml:space="preserve">        </t>
    </r>
    <r>
      <rPr>
        <sz val="12"/>
        <color theme="1"/>
        <rFont val="Arial"/>
        <family val="2"/>
      </rPr>
      <t>إدامة المراقبة الجوية أثناء التوقف.</t>
    </r>
  </si>
  <si>
    <r>
      <t>3.</t>
    </r>
    <r>
      <rPr>
        <sz val="7"/>
        <color theme="1"/>
        <rFont val="Times New Roman"/>
        <family val="1"/>
      </rPr>
      <t xml:space="preserve">        </t>
    </r>
    <r>
      <rPr>
        <sz val="12"/>
        <color theme="1"/>
        <rFont val="Arial"/>
        <family val="2"/>
      </rPr>
      <t>توزيع الأدلاء للمساعدة في حركة المرور.</t>
    </r>
  </si>
  <si>
    <r>
      <t>4.</t>
    </r>
    <r>
      <rPr>
        <sz val="7"/>
        <color theme="1"/>
        <rFont val="Times New Roman"/>
        <family val="1"/>
      </rPr>
      <t xml:space="preserve">        </t>
    </r>
    <r>
      <rPr>
        <sz val="12"/>
        <color theme="1"/>
        <rFont val="Arial"/>
        <family val="2"/>
      </rPr>
      <t>تحديد أسباب الوقفات غير المبرمجة والعمل على حلها.</t>
    </r>
  </si>
  <si>
    <r>
      <t>5.</t>
    </r>
    <r>
      <rPr>
        <sz val="7"/>
        <color theme="1"/>
        <rFont val="Times New Roman"/>
        <family val="1"/>
      </rPr>
      <t xml:space="preserve">        </t>
    </r>
    <r>
      <rPr>
        <sz val="12"/>
        <color theme="1"/>
        <rFont val="Arial"/>
        <family val="2"/>
      </rPr>
      <t>رفع تقرير الموقف للقائد الأعلى.</t>
    </r>
  </si>
  <si>
    <r>
      <t>6.</t>
    </r>
    <r>
      <rPr>
        <sz val="7"/>
        <color theme="1"/>
        <rFont val="Times New Roman"/>
        <family val="1"/>
      </rPr>
      <t xml:space="preserve">        </t>
    </r>
    <r>
      <rPr>
        <sz val="12"/>
        <color theme="1"/>
        <rFont val="Arial"/>
        <family val="2"/>
      </rPr>
      <t>التأكد من إجراء الصيانة في الوقفات المخطط لها.</t>
    </r>
  </si>
  <si>
    <t>السيطرة على الأعمال في منطقة التجمع.</t>
  </si>
  <si>
    <r>
      <t>1.</t>
    </r>
    <r>
      <rPr>
        <sz val="7"/>
        <color theme="1"/>
        <rFont val="Times New Roman"/>
        <family val="1"/>
      </rPr>
      <t xml:space="preserve">        </t>
    </r>
    <r>
      <rPr>
        <sz val="12"/>
        <color theme="1"/>
        <rFont val="Arial"/>
        <family val="2"/>
      </rPr>
      <t>التأكد بأن ضابط صف المقدمة يقود الرتل إلى القطاع المحدد.</t>
    </r>
  </si>
  <si>
    <r>
      <t>2.</t>
    </r>
    <r>
      <rPr>
        <sz val="7"/>
        <color theme="1"/>
        <rFont val="Times New Roman"/>
        <family val="1"/>
      </rPr>
      <t xml:space="preserve">        </t>
    </r>
    <r>
      <rPr>
        <sz val="12"/>
        <color theme="1"/>
        <rFont val="Arial"/>
        <family val="2"/>
      </rPr>
      <t>التأكد من تعيين فرد واحد لكل آلية يعمل على السلاح الذي يشغله طاقم ويراقب جهاز الاتصال وقاطع رماية الآلية.</t>
    </r>
  </si>
  <si>
    <r>
      <t>3.</t>
    </r>
    <r>
      <rPr>
        <sz val="7"/>
        <color theme="1"/>
        <rFont val="Times New Roman"/>
        <family val="1"/>
      </rPr>
      <t xml:space="preserve">        </t>
    </r>
    <r>
      <rPr>
        <sz val="12"/>
        <color theme="1"/>
        <rFont val="Arial"/>
        <family val="2"/>
      </rPr>
      <t>تجهيز مواقع المراقبة.</t>
    </r>
  </si>
  <si>
    <r>
      <t>4.</t>
    </r>
    <r>
      <rPr>
        <sz val="7"/>
        <color theme="1"/>
        <rFont val="Times New Roman"/>
        <family val="1"/>
      </rPr>
      <t xml:space="preserve">        </t>
    </r>
    <r>
      <rPr>
        <sz val="12"/>
        <color theme="1"/>
        <rFont val="Arial"/>
        <family val="2"/>
      </rPr>
      <t>فحص المواقع والقواطع الأساسية، والتعديل عند الضرورة.</t>
    </r>
  </si>
  <si>
    <r>
      <t>5.</t>
    </r>
    <r>
      <rPr>
        <sz val="7"/>
        <color theme="1"/>
        <rFont val="Times New Roman"/>
        <family val="1"/>
      </rPr>
      <t xml:space="preserve">        </t>
    </r>
    <r>
      <rPr>
        <sz val="12"/>
        <color theme="1"/>
        <rFont val="Arial"/>
        <family val="2"/>
      </rPr>
      <t>العمل على تمويه المواقع.</t>
    </r>
  </si>
  <si>
    <r>
      <t>6.</t>
    </r>
    <r>
      <rPr>
        <sz val="7"/>
        <color theme="1"/>
        <rFont val="Times New Roman"/>
        <family val="1"/>
      </rPr>
      <t xml:space="preserve">        </t>
    </r>
    <r>
      <rPr>
        <sz val="12"/>
        <color theme="1"/>
        <rFont val="Arial"/>
        <family val="2"/>
      </rPr>
      <t>بدء خطة الاستراحة.</t>
    </r>
  </si>
  <si>
    <r>
      <t>7.</t>
    </r>
    <r>
      <rPr>
        <sz val="7"/>
        <color theme="1"/>
        <rFont val="Times New Roman"/>
        <family val="1"/>
      </rPr>
      <t xml:space="preserve">        </t>
    </r>
    <r>
      <rPr>
        <sz val="12"/>
        <color theme="1"/>
        <rFont val="Arial"/>
        <family val="2"/>
      </rPr>
      <t>التأكد من تجهيز الأفراد لبطاقات المدى.</t>
    </r>
  </si>
  <si>
    <r>
      <t>8.</t>
    </r>
    <r>
      <rPr>
        <sz val="7"/>
        <color theme="1"/>
        <rFont val="Times New Roman"/>
        <family val="1"/>
      </rPr>
      <t xml:space="preserve">        </t>
    </r>
    <r>
      <rPr>
        <sz val="12"/>
        <color theme="1"/>
        <rFont val="Arial"/>
        <family val="2"/>
      </rPr>
      <t>تحديد مكان موقع القيادة في منطقة التجمع.</t>
    </r>
  </si>
  <si>
    <r>
      <t>9.</t>
    </r>
    <r>
      <rPr>
        <sz val="7"/>
        <color theme="1"/>
        <rFont val="Times New Roman"/>
        <family val="1"/>
      </rPr>
      <t xml:space="preserve">        </t>
    </r>
    <r>
      <rPr>
        <sz val="12"/>
        <color theme="1"/>
        <rFont val="Arial"/>
        <family val="2"/>
      </rPr>
      <t>التنسيق مع الوحدات المجاورة / العناصر على الأجنحة.</t>
    </r>
  </si>
  <si>
    <r>
      <t>10.</t>
    </r>
    <r>
      <rPr>
        <sz val="7"/>
        <color theme="1"/>
        <rFont val="Times New Roman"/>
        <family val="1"/>
      </rPr>
      <t xml:space="preserve">   </t>
    </r>
    <r>
      <rPr>
        <sz val="12"/>
        <color theme="1"/>
        <rFont val="Arial"/>
        <family val="2"/>
      </rPr>
      <t>انتخاب وتحضير المواقع البديلة.</t>
    </r>
  </si>
  <si>
    <r>
      <t>11.</t>
    </r>
    <r>
      <rPr>
        <sz val="7"/>
        <color theme="1"/>
        <rFont val="Times New Roman"/>
        <family val="1"/>
      </rPr>
      <t xml:space="preserve">   </t>
    </r>
    <r>
      <rPr>
        <sz val="12"/>
        <color theme="1"/>
        <rFont val="Arial"/>
        <family val="2"/>
      </rPr>
      <t>تحضير خطة رماية الوحدة وإيجاز قادة الآليات وإرسال نسخة منها للقائد.</t>
    </r>
  </si>
  <si>
    <r>
      <t>12.</t>
    </r>
    <r>
      <rPr>
        <sz val="7"/>
        <color theme="1"/>
        <rFont val="Times New Roman"/>
        <family val="1"/>
      </rPr>
      <t xml:space="preserve">   </t>
    </r>
    <r>
      <rPr>
        <sz val="12"/>
        <color theme="1"/>
        <rFont val="Arial"/>
        <family val="2"/>
      </rPr>
      <t>التأكد من قيام أفراد الفصيل بإجراء الصيانة الضرورية.</t>
    </r>
  </si>
  <si>
    <r>
      <t>13.</t>
    </r>
    <r>
      <rPr>
        <sz val="7"/>
        <color theme="1"/>
        <rFont val="Times New Roman"/>
        <family val="1"/>
      </rPr>
      <t xml:space="preserve">   </t>
    </r>
    <r>
      <rPr>
        <sz val="12"/>
        <color theme="1"/>
        <rFont val="Arial"/>
        <family val="2"/>
      </rPr>
      <t>التأكد من حالة الأفراد والمعدات ورفع تقرير بذلك للقائد.</t>
    </r>
  </si>
  <si>
    <r>
      <t>14.</t>
    </r>
    <r>
      <rPr>
        <sz val="7"/>
        <color theme="1"/>
        <rFont val="Times New Roman"/>
        <family val="1"/>
      </rPr>
      <t xml:space="preserve">   </t>
    </r>
    <r>
      <rPr>
        <sz val="12"/>
        <color theme="1"/>
        <rFont val="Arial"/>
        <family val="2"/>
      </rPr>
      <t>العمل على إعادة التزويد.</t>
    </r>
  </si>
  <si>
    <r>
      <t>15.</t>
    </r>
    <r>
      <rPr>
        <sz val="7"/>
        <color theme="1"/>
        <rFont val="Times New Roman"/>
        <family val="1"/>
      </rPr>
      <t xml:space="preserve">   </t>
    </r>
    <r>
      <rPr>
        <sz val="12"/>
        <color theme="1"/>
        <rFont val="Arial"/>
        <family val="2"/>
      </rPr>
      <t>التأكد من الإجراءات الأمنية.</t>
    </r>
  </si>
  <si>
    <r>
      <rPr>
        <b/>
        <sz val="14"/>
        <color rgb="FF000000"/>
        <rFont val="Arial"/>
        <family val="2"/>
      </rPr>
      <t>تقييم وكيل الكتيبة في التنقل التعبوي</t>
    </r>
    <r>
      <rPr>
        <b/>
        <u/>
        <sz val="14"/>
        <color rgb="FF000000"/>
        <rFont val="Arial"/>
        <family val="2"/>
      </rPr>
      <t xml:space="preserve">
تمرين جاهزية مجموعة لواء الإمارات/1 (جندي الصحراء 2025/20)</t>
    </r>
  </si>
  <si>
    <t xml:space="preserve">كبيروكلاء/ سالم سعيد سالم الشحي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</si>
</sst>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7"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2"/>
      <color rgb="FF000000"/>
      <name val="Arial"/>
      <family val="2"/>
    </font>
    <font>
      <sz val="10"/>
      <color theme="1"/>
      <name val="Calibri Light"/>
      <family val="2"/>
    </font>
    <font>
      <b/>
      <u/>
      <sz val="12"/>
      <color theme="1"/>
      <name val="Arial"/>
      <family val="2"/>
    </font>
    <font>
      <sz val="12"/>
      <color theme="1"/>
      <name val="Arial"/>
      <family val="2"/>
    </font>
    <font>
      <sz val="7"/>
      <color theme="1"/>
      <name val="Times New Roman"/>
      <family val="1"/>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2">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81">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8" fillId="0" borderId="3" xfId="0" applyFont="1" applyBorder="1" applyAlignment="1">
      <alignment horizontal="center" vertical="center"/>
    </xf>
    <xf numFmtId="0" fontId="9" fillId="0" borderId="3" xfId="0" applyFont="1" applyBorder="1" applyAlignment="1">
      <alignment horizontal="center" vertical="center"/>
    </xf>
    <xf numFmtId="0" fontId="9" fillId="0" borderId="17" xfId="0" applyFont="1" applyBorder="1" applyAlignment="1">
      <alignment horizontal="center" vertical="center"/>
    </xf>
    <xf numFmtId="0" fontId="10"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1"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2" fillId="0" borderId="3" xfId="0" applyFont="1" applyBorder="1" applyAlignment="1">
      <alignment horizontal="center" vertical="center" wrapText="1"/>
    </xf>
    <xf numFmtId="0" fontId="13" fillId="0" borderId="4" xfId="0" applyFont="1" applyBorder="1" applyAlignment="1">
      <alignment vertical="top" wrapText="1"/>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5" fillId="0" borderId="21" xfId="0" applyFont="1" applyBorder="1" applyAlignment="1">
      <alignment horizontal="right" vertical="center" wrapText="1" readingOrder="2"/>
    </xf>
    <xf numFmtId="0" fontId="15" fillId="0" borderId="3" xfId="0" applyFont="1" applyBorder="1" applyAlignment="1">
      <alignment horizontal="right" vertical="center" wrapText="1" readingOrder="2"/>
    </xf>
    <xf numFmtId="0" fontId="15" fillId="0" borderId="11" xfId="0" applyFont="1" applyBorder="1" applyAlignment="1">
      <alignment horizontal="right" vertical="center" wrapText="1" readingOrder="2"/>
    </xf>
    <xf numFmtId="0" fontId="15" fillId="0" borderId="12" xfId="0" applyFont="1" applyBorder="1" applyAlignment="1">
      <alignment horizontal="right" vertical="center" wrapText="1"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1" fillId="0" borderId="1" xfId="0" applyFont="1" applyBorder="1" applyAlignment="1" applyProtection="1">
      <alignment vertical="top" wrapText="1" readingOrder="2"/>
      <protection locked="0"/>
    </xf>
    <xf numFmtId="0" fontId="1"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14"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16" xfId="0" applyFont="1" applyBorder="1" applyAlignment="1">
      <alignment horizontal="center" vertical="center" wrapText="1" readingOrder="2"/>
    </xf>
    <xf numFmtId="49" fontId="5" fillId="0" borderId="0" xfId="0" applyNumberFormat="1" applyFont="1" applyAlignment="1" applyProtection="1">
      <alignment horizontal="center" vertical="top"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7" fillId="4" borderId="18" xfId="0" applyFont="1" applyFill="1" applyBorder="1" applyAlignment="1" applyProtection="1">
      <alignment horizontal="center" vertical="center" wrapText="1" readingOrder="2"/>
      <protection locked="0"/>
    </xf>
    <xf numFmtId="0" fontId="7" fillId="4" borderId="19" xfId="0" applyFont="1" applyFill="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ustomXml" Target="../ink/ink2.xml"/><Relationship Id="rId7" Type="http://schemas.openxmlformats.org/officeDocument/2006/relationships/customXml" Target="../ink/ink4.xml"/><Relationship Id="rId2" Type="http://schemas.openxmlformats.org/officeDocument/2006/relationships/image" Target="../media/image1.png"/><Relationship Id="rId1" Type="http://schemas.openxmlformats.org/officeDocument/2006/relationships/customXml" Target="../ink/ink1.xml"/><Relationship Id="rId6" Type="http://schemas.openxmlformats.org/officeDocument/2006/relationships/image" Target="../media/image3.png"/><Relationship Id="rId5" Type="http://schemas.openxmlformats.org/officeDocument/2006/relationships/customXml" Target="../ink/ink3.xm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6</xdr:col>
      <xdr:colOff>281627</xdr:colOff>
      <xdr:row>49</xdr:row>
      <xdr:rowOff>225083</xdr:rowOff>
    </xdr:from>
    <xdr:to>
      <xdr:col>7</xdr:col>
      <xdr:colOff>328775</xdr:colOff>
      <xdr:row>49</xdr:row>
      <xdr:rowOff>505523</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007993A8-7501-FD06-59DA-19EFACDE394F}"/>
                </a:ext>
              </a:extLst>
            </xdr14:cNvPr>
            <xdr14:cNvContentPartPr/>
          </xdr14:nvContentPartPr>
          <xdr14:nvPr macro=""/>
          <xdr14:xfrm>
            <a:off x="10399574225" y="19944720"/>
            <a:ext cx="705240" cy="280440"/>
          </xdr14:xfrm>
        </xdr:contentPart>
      </mc:Choice>
      <mc:Fallback xmlns="">
        <xdr:pic>
          <xdr:nvPicPr>
            <xdr:cNvPr id="2" name="Ink 1">
              <a:extLst>
                <a:ext uri="{FF2B5EF4-FFF2-40B4-BE49-F238E27FC236}">
                  <a16:creationId xmlns:a16="http://schemas.microsoft.com/office/drawing/2014/main" id="{007993A8-7501-FD06-59DA-19EFACDE394F}"/>
                </a:ext>
              </a:extLst>
            </xdr:cNvPr>
            <xdr:cNvPicPr/>
          </xdr:nvPicPr>
          <xdr:blipFill>
            <a:blip xmlns:r="http://schemas.openxmlformats.org/officeDocument/2006/relationships" r:embed="rId2"/>
            <a:stretch>
              <a:fillRect/>
            </a:stretch>
          </xdr:blipFill>
          <xdr:spPr>
            <a:xfrm>
              <a:off x="10399568105" y="19938600"/>
              <a:ext cx="717480" cy="292680"/>
            </a:xfrm>
            <a:prstGeom prst="rect">
              <a:avLst/>
            </a:prstGeom>
          </xdr:spPr>
        </xdr:pic>
      </mc:Fallback>
    </mc:AlternateContent>
    <xdr:clientData/>
  </xdr:twoCellAnchor>
  <xdr:twoCellAnchor editAs="oneCell">
    <xdr:from>
      <xdr:col>7</xdr:col>
      <xdr:colOff>326615</xdr:colOff>
      <xdr:row>49</xdr:row>
      <xdr:rowOff>219683</xdr:rowOff>
    </xdr:from>
    <xdr:to>
      <xdr:col>7</xdr:col>
      <xdr:colOff>407615</xdr:colOff>
      <xdr:row>49</xdr:row>
      <xdr:rowOff>252803</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4" name="Ink 3">
              <a:extLst>
                <a:ext uri="{FF2B5EF4-FFF2-40B4-BE49-F238E27FC236}">
                  <a16:creationId xmlns:a16="http://schemas.microsoft.com/office/drawing/2014/main" id="{075C6643-53AC-D9FC-5018-721CEDCBFAAB}"/>
                </a:ext>
              </a:extLst>
            </xdr14:cNvPr>
            <xdr14:cNvContentPartPr/>
          </xdr14:nvContentPartPr>
          <xdr14:nvPr macro=""/>
          <xdr14:xfrm>
            <a:off x="10399495385" y="19939320"/>
            <a:ext cx="81000" cy="33120"/>
          </xdr14:xfrm>
        </xdr:contentPart>
      </mc:Choice>
      <mc:Fallback xmlns="">
        <xdr:pic>
          <xdr:nvPicPr>
            <xdr:cNvPr id="4" name="Ink 3">
              <a:extLst>
                <a:ext uri="{FF2B5EF4-FFF2-40B4-BE49-F238E27FC236}">
                  <a16:creationId xmlns:a16="http://schemas.microsoft.com/office/drawing/2014/main" id="{075C6643-53AC-D9FC-5018-721CEDCBFAAB}"/>
                </a:ext>
              </a:extLst>
            </xdr:cNvPr>
            <xdr:cNvPicPr/>
          </xdr:nvPicPr>
          <xdr:blipFill>
            <a:blip xmlns:r="http://schemas.openxmlformats.org/officeDocument/2006/relationships" r:embed="rId4"/>
            <a:stretch>
              <a:fillRect/>
            </a:stretch>
          </xdr:blipFill>
          <xdr:spPr>
            <a:xfrm>
              <a:off x="10399489265" y="19933200"/>
              <a:ext cx="93240" cy="45360"/>
            </a:xfrm>
            <a:prstGeom prst="rect">
              <a:avLst/>
            </a:prstGeom>
          </xdr:spPr>
        </xdr:pic>
      </mc:Fallback>
    </mc:AlternateContent>
    <xdr:clientData/>
  </xdr:twoCellAnchor>
  <xdr:twoCellAnchor editAs="oneCell">
    <xdr:from>
      <xdr:col>7</xdr:col>
      <xdr:colOff>389975</xdr:colOff>
      <xdr:row>49</xdr:row>
      <xdr:rowOff>214283</xdr:rowOff>
    </xdr:from>
    <xdr:to>
      <xdr:col>7</xdr:col>
      <xdr:colOff>445775</xdr:colOff>
      <xdr:row>49</xdr:row>
      <xdr:rowOff>241643</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5" name="Ink 4">
              <a:extLst>
                <a:ext uri="{FF2B5EF4-FFF2-40B4-BE49-F238E27FC236}">
                  <a16:creationId xmlns:a16="http://schemas.microsoft.com/office/drawing/2014/main" id="{F14C6841-46AF-F770-69CD-822FB948FA52}"/>
                </a:ext>
              </a:extLst>
            </xdr14:cNvPr>
            <xdr14:cNvContentPartPr/>
          </xdr14:nvContentPartPr>
          <xdr14:nvPr macro=""/>
          <xdr14:xfrm>
            <a:off x="10399457225" y="19933920"/>
            <a:ext cx="55800" cy="27360"/>
          </xdr14:xfrm>
        </xdr:contentPart>
      </mc:Choice>
      <mc:Fallback xmlns="">
        <xdr:pic>
          <xdr:nvPicPr>
            <xdr:cNvPr id="5" name="Ink 4">
              <a:extLst>
                <a:ext uri="{FF2B5EF4-FFF2-40B4-BE49-F238E27FC236}">
                  <a16:creationId xmlns:a16="http://schemas.microsoft.com/office/drawing/2014/main" id="{F14C6841-46AF-F770-69CD-822FB948FA52}"/>
                </a:ext>
              </a:extLst>
            </xdr:cNvPr>
            <xdr:cNvPicPr/>
          </xdr:nvPicPr>
          <xdr:blipFill>
            <a:blip xmlns:r="http://schemas.openxmlformats.org/officeDocument/2006/relationships" r:embed="rId6"/>
            <a:stretch>
              <a:fillRect/>
            </a:stretch>
          </xdr:blipFill>
          <xdr:spPr>
            <a:xfrm>
              <a:off x="10399451105" y="19927800"/>
              <a:ext cx="68040" cy="39600"/>
            </a:xfrm>
            <a:prstGeom prst="rect">
              <a:avLst/>
            </a:prstGeom>
          </xdr:spPr>
        </xdr:pic>
      </mc:Fallback>
    </mc:AlternateContent>
    <xdr:clientData/>
  </xdr:twoCellAnchor>
  <xdr:twoCellAnchor editAs="oneCell">
    <xdr:from>
      <xdr:col>7</xdr:col>
      <xdr:colOff>325175</xdr:colOff>
      <xdr:row>49</xdr:row>
      <xdr:rowOff>51203</xdr:rowOff>
    </xdr:from>
    <xdr:to>
      <xdr:col>9</xdr:col>
      <xdr:colOff>350713</xdr:colOff>
      <xdr:row>49</xdr:row>
      <xdr:rowOff>618563</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6" name="Ink 5">
              <a:extLst>
                <a:ext uri="{FF2B5EF4-FFF2-40B4-BE49-F238E27FC236}">
                  <a16:creationId xmlns:a16="http://schemas.microsoft.com/office/drawing/2014/main" id="{4231EDCF-F971-A4A6-7E2C-B9160578010F}"/>
                </a:ext>
              </a:extLst>
            </xdr14:cNvPr>
            <xdr14:cNvContentPartPr/>
          </xdr14:nvContentPartPr>
          <xdr14:nvPr macro=""/>
          <xdr14:xfrm>
            <a:off x="10398236105" y="19770840"/>
            <a:ext cx="1341720" cy="567360"/>
          </xdr14:xfrm>
        </xdr:contentPart>
      </mc:Choice>
      <mc:Fallback xmlns="">
        <xdr:pic>
          <xdr:nvPicPr>
            <xdr:cNvPr id="6" name="Ink 5">
              <a:extLst>
                <a:ext uri="{FF2B5EF4-FFF2-40B4-BE49-F238E27FC236}">
                  <a16:creationId xmlns:a16="http://schemas.microsoft.com/office/drawing/2014/main" id="{4231EDCF-F971-A4A6-7E2C-B9160578010F}"/>
                </a:ext>
              </a:extLst>
            </xdr:cNvPr>
            <xdr:cNvPicPr/>
          </xdr:nvPicPr>
          <xdr:blipFill>
            <a:blip xmlns:r="http://schemas.openxmlformats.org/officeDocument/2006/relationships" r:embed="rId8"/>
            <a:stretch>
              <a:fillRect/>
            </a:stretch>
          </xdr:blipFill>
          <xdr:spPr>
            <a:xfrm>
              <a:off x="10398229985" y="19764720"/>
              <a:ext cx="1353960" cy="5796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15T07:09:12.235"/>
    </inkml:context>
    <inkml:brush xml:id="br0">
      <inkml:brushProperty name="width" value="0.035" units="cm"/>
      <inkml:brushProperty name="height" value="0.035" units="cm"/>
    </inkml:brush>
  </inkml:definitions>
  <inkml:trace contextRef="#ctx0" brushRef="#br0">1745 210 8,'0'0'0,"-1"0"0,1 4 0,0-4 0,0 11 8,0-6 8,4 7 16,6-7 0,-10-5-32,4 14 56,-1-11 0,-3 1-8,2 0 8,-2-4-56,0 3 40,0-3-8,0 0-8,-2 0-16,2 0-8,0 0 16,-3 3 0,-1-3 16,-1 0 0,5 0-32,-3 0 32,-3 0 8,4 0 8,-3 0 16,5 0-64,-5 0 64,0 0 0,0-2 8,-7 2 0,12 0-72,-2-1 80,-2 0-8,-3-2 24,2 0 24,5 3-120,-9-3 128,4 0-24,-6-1 16,6 1 32,5 3-152,-5-4 240,-2 1 192,-5 0-56,10-1-24,2 4-352,-12-4 248,5 1-48,-5 0 32,7 0 16,5 3-248,-15-1 304,2-2-120,-2 0 33,-2 0-49,17 3-168,-21-3 128,0 0 0,-3 1-64,1-1-16,23 3-48,-24-3 64,1 0-40,0 0-8,-3 0-16,26 3 0,-23-1-16,2 0 16,2-1 24,3 1-16,16 1-8,-14-3 24,2 0-24,7 0 32,-6 0 16,11 3-48,-5-2 104,3-3 40,2 1-24,0-2 0,0 6-120,0-11 136,0 7-72,2-8-40,11 8 16,-13 4-40,12-13-32,3 8 48,1-8-8,3 7 0,-19 6-8,16-14 0,3 8 0,-1-8 8,4 8 0,-22 6-8,20-11-8,2 7-16,1-1 24,0 0-24,-23 5 24,24-5-64,4 1 48,2 0-32,-2 1 16,-28 3 32,28-3 32,3 0-64,2 0 16,-7 2-24,-26 1 40,32-1-136,-1 1 72,-8 0-16,3 2 40,-26-2 40,18 3 16,4 2-72,-9-1 32,2 7-24,-15-11 48,5 3-32,6 8-24,-9-8-24,0 10-32,-2-13 112,5 4-136,0 13 56,-5-2 0,0 0 64,0-15 16,-5 19 16,0 2-24,-3 0 24,-4 5-24,12-26 8,-5 27-32,-12 3 32,9 1 0,-7 3 0,15-34 0,-18 37 48,1-1-24,-1 0 40,-1 0 24,19-36-88,-21 35 88,-1 1 40,-1-1 0,3 1 8,20-36-136,-25 34 152,-2-5 16,-1-2 56,1-6 64,27-21-288,-32 18 328,-3-2 32,-3-5-16,-3-6-24,41-5-320,-50 4 296,1 0-80,-7 0-136,-3-1-32,59-3-48,-61 0-24,-4 0 0,0-1 32,-8-3-88,73 4 80,-70-15-264,-5 4-520,0-3-352,2-3-336,73 17 1472,-77-19-1745,2-4 505,0-4 416,5-4 344,70 31 480,-68-35-176,0-2 32,3-2 40,6 2 32,59 37 72,-49-32-40,7 3 32,42 29 8</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15T07:09:27.574"/>
    </inkml:context>
    <inkml:brush xml:id="br0">
      <inkml:brushProperty name="width" value="0.035" units="cm"/>
      <inkml:brushProperty name="height" value="0.035" units="cm"/>
    </inkml:brush>
  </inkml:definitions>
  <inkml:trace contextRef="#ctx0" brushRef="#br0">0 91 8,'0'0'0,"0"0"0,7 0 0,-2 0 0,-2 0 0,1 0 0,-4 0 0,5 0 0,-2 0 0,2 0 0,-1 0 0,-4 0 0,5 0 0,-2 0 0,1 0 0,-1-1 0,-3 1 0,5-2 0,-1-1 0,8 0 0,-9 2 0,-3 1 0,5-3 0,-1 0 0,-1 1 0,2 0 0,-5 2 0,4-3 0,8 2 0,-12-1 0,8 1 0,-8 1 0,9-1 0,-4-1 0,-2-1 0,1 2 0,-4 1 0,3-2 0,2 1 0,-1 0 0,1-2 0,-5 3 0,3-3 0,1 0 0,-1 2 8,2-2-8,-5 3 0,2-3 0,0-1 0,3 1 0,-2 0 0,-3 3 0,2-3 0,0 0 0,1 0 0,2 1 0,-5 2 0,2-3-8,3 0 8,0 2 0,-3-1 0,-2 2 0,5-1 0,-3-1 0,1 1 0,2 1 0,-5 0 0,2-2 0,-2 1 0,0 1 0,0 0 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15T07:09:28.372"/>
    </inkml:context>
    <inkml:brush xml:id="br0">
      <inkml:brushProperty name="width" value="0.035" units="cm"/>
      <inkml:brushProperty name="height" value="0.035" units="cm"/>
    </inkml:brush>
  </inkml:definitions>
  <inkml:trace contextRef="#ctx0" brushRef="#br0">154 4 8,'0'0'0,"-2"-2"0,0 2 0,2 0 0,-3-1 0,-2 1 0,5 0 0,0 0 0,0 0 0,-4 0 0,4 0 0,0 0 0,0 0 0,0 0 0,-3 0 0,3 0 0,-2 0 0,2 0 0</inkml:trace>
  <inkml:trace contextRef="#ctx0" brushRef="#br0" timeOffset="1">51 39 8,'0'0'0,"-2"0"0,2 3 0,-3 1 0,3-4 0,-7 3 8,2 1 0,3-1 8,-1 0 8,3-3-24,-2 4 24,-1 1 8,1-3 8,2 1 0,0-3-40,-5 3 48,3-3 0,-3 0 0,3 0-24,2 0-24,-3 0 24,3-1-32,-2-2-24,-1-1-8,3 4 40,0-6-56,0 0 0,0 1 8,5-7 0,-5 12 48,5-4-40,-3-7 8,13 6 8,-13-8 24,-2 13 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15T07:09:31.765"/>
    </inkml:context>
    <inkml:brush xml:id="br0">
      <inkml:brushProperty name="width" value="0.035" units="cm"/>
      <inkml:brushProperty name="height" value="0.035" units="cm"/>
    </inkml:brush>
  </inkml:definitions>
  <inkml:trace contextRef="#ctx0" brushRef="#br0">3317 400 8,'0'0'0,"-5"0"0,5 0 0,-5 3 16,-8-1 8,11 1 8,-6-3 8,8 0-40,-4 3 64,-1 0 16,0-3 56,5 0 24,0 0-160,-2 0 176,2-3 24,0-1-24,0 1 32,0 3-208,2-1 184,0-2-48,3 0-64,-2 2-64,-3 1-8,2-2 8,3 1 16,0-1 64,-3-1 24,-2 3-112,4-1 144,1 0 16,9-1 0,-14 1 24,0 1-184,12-3 200,-10 0 120,10 0 144,-8-1 120,-4 4-584,12-4 585,-7-1-113,6 1-168,-6 0-128,-5 4-176,14-6 168,-9 1-64,6-7-8,-6 8 24,-5 4-120,12-13 104,-7 9 24,8-10-32,-10 8-24,-3 6-72,17-14 64,-14 2-24,14 0 8,-12-1 8,-5 13-56,13-13 56,-10-3-16,14-1 16,-12 0 0,-5 17-56,11-18 32,-7 1 32,11 0-24,-10 0-8,-5 17-32,13-16 40,-11 2 0,3-1 8,7 3-8,-12 12-40,3-12 56,-1 7-32,3-7 16,-1 9 24,-4 3-64,0-4 80,5 0 40,-1 0-8,-1 1-8,-3 3-104,0-2 72,0 2-16,0 0-8,0 0-16,0 0-32,0 0-32,0 0-24,0 0 64,-3 0-72,3 0 64,-4 5-72,-1-1 64,1 9-120,-1-9 88,5-4 40,-2 14-8,-1-10-56,-2 13-16,1-5 64,4-12 16,-3 13 8,1-2 0,-3 0 48,3-6-64,2-5 8,-3 17-48,3-5 64,-4 1 16,0 2-16,4-15-16,0 15 48,0 2-24,0 0-64,0-1 56,0-16-16,0 16 64,0-1-56,0 2 16,0 2-16,0-19-8,0 18-40,0 1 32,0-2 32,0 0 24,0-17-48,0 15 0,0 2 8,0 2 0,0-1-56,0-18 48,-3 19-8,-2-1 16,3 1-24,2-1 16,0-18 0,-2 19-16,2 1 48,0 0-64,-3 0 24,3-20 8,0 22 96,-2 0-112,-1 0 16,1 1 8,2-23-8,-2 21-64,2 1 40,-4-1 104,1-1-88,3-20 8,-4 18 24,4 2 24,-3-1-32,-2 1 56,5-20-72,-4 17-8,-1 1 72,0-4-8,1-1 0,4-13-56,-7 12 168,-3-1-112,5-7 16,-7 10 16,12-14-88,-13 5 40,-1 8 40,-2-11 0,1 3-40,15-5-40,-18 11 8,1-11 24,-3 3 32,-4 1-8,24-4-56,-26 3 56,1 0-8,-3 0-72,0 0 0,28-3 24,-24 2 24,-4 3 8,5-1-8,-7 0 16,30-4-40,-28 4-8,-4 8-16,-3-9 24,5 1-24,30-4 24,-33 11 8,1-11 16,-1 5-24,0-3 32,33-2-32,-32 3 0,1-3 24,-1 3 0,-1-3 32,33 0-56,-33 0 16,3 0-16,-2 0 16,6 0 0,26 0-16,-26 0 32,7 0 1,0-1-17,8-2 16,11 3-32,-2-3 96,-3 0 32,2-1 0,1 0 32,2 4-160,0-6 144,0-5-40,14 6 8,-9-8-64,-5 13-48,16-5 40,-4-11 16,2 10 32,0-8 0,-14 14-88,2-11 104,14 7-56,-11-11 32,10 10-8,-15 5-72,2-15 96,16 4 0,-15 5-8,11-11-16,-14 17-72,5-12 80,8-1 8,-10 1-64,1 1 16,-4 11-40,5-11 24,-2-2-8,-1 1 16,3 1 32,-5 11-64,1-13 16,-1 2 16,0 0 16,0-1-56,0 12 8,-1-4 40,1-10-40,-3 9-16,1 0-8,2 5 24,-5-6 40,3 0 0,-3 2 8,3 0-8,2 4-40,-12-2-48,9 1-24,2 1-24,-2 0-8,3 0 104,-4 0-104,-1 0-40,0 4 56,0 1-16,5-5 104,-5 4-48,1 9 32,1-9-16,-1 10 24,4-14 8,-4 4-40,-1 13 32,-7-5-16,7 1 32,5-13-8,-4 12 0,-10 1 8,11 1 0,-2-2-16,5-12 8,-12 13 0,6-1-16,-6 1 24,7 0-16,5-13 8,-16 13 0,7-9 0,-3 12-8,-2-12 8,14-4 0,-12 14-16,-2-10 16,1 8-16,8-9 16,5-3 0,-10 2 8,5 1 0,3 0 8,-2 0 24,4-3-40,0 0 40,0 0 40,-2 0 24,2-1-16,0 1-88,0-5 48,0 0-16,2-8 8,0 9 0,-2 4-40,4-15 48,1 4-24,-3 0-16,6-1 8,-8 12-16,2-13 16,3 2-16,-3 5 0,-2-8-8,0 14 8,0-4 0,0 0-24,5-2 24,-5 2-24,0 4 24,0-3-32,0 1 24,0 1-40,0 1-16,0 0 64,-2 0-64,-3 0 8,-7 0 16,7 3 24,5-3 16,-11 3-24,6-1 16,-14 3 0,8-1-8,11-4 16,-12 4 16,-5 1-56,-1-1 32,1 7 16,17-11-8,-25 3-8,-6 1 16,-4 8-24,-2-12 8,37 0 8,-43 0-16,0 3 0,-7-1 48,-5 1-32,55-3 0,-59 0 16,-5 0 16,-3 0-32,-6 0-24,73 0 24,-74-1-32,-3-1 8,-1 0-8,3-1 32,75 3 0,-74-5 8,-1 1-64,8 1 72,4 0-40,63 3 24,-66-1-16,5 0-8,0 1 8,1 0 56,60 0-40,-58 0-72,3 0 40,9 0-8,-1 0-40,47 0 80,-37 0-56,-1 0 72,6 0-80,1 0-16,31 0 80,-25 0 40,1 0-48,10 0 24,10 0-56,4 0 40,-5 0-56,5 0-16,0 0 24,0 0 96,0 0-48,2 0 24,16 0-96,4 0 32,6 0-104,-28 0 144,35 0-200,2 0 24,10 0-40,7 0 72,-54 0 144,60 0-209,11 0-47,8 0-240,10 0-240,-89 0 736,95-2-920,8 1-216,10 1-257,4 0 73,-117 0 1320,119 0-1128,6 0 376,5 0 352,5 0 192,-135 0 208,136 3-96,2-3 24,-5 0 32,0 2 16,-133-2 24,126 3-8,-9 12 40,-7-11 40,-12 10 24,-98-14-96,88 3 120,-5 1 16,-7 9-16,-8-10 8,-68-3-128,61 13 96,-7-9 8,-12 7 8,-12-8 32,-30-3-144,18 4 120,-10-1 24,-6 0 40,-7-3 8,5 0-192,-25 0 256,-5 0-104,-18-3-96,-10-3-32,58 6-24,-70-12-16,-7 7 40,-12-9 16,-4 3-16,93 11-24,-103-12 16,-9-2 64,-8 1 40,4 1 72,116 12-192,-120-12 432,4 8 80,-1-7 96,-2 6 97,119 5-705,-122-4 568,3 0-56,0 0-112,-2 2-112,121 2-288,-115-1 152,5 1-24,-4 0-48,6 0-8,108 0-72,-110 3 88,5-1-48,4 3-16,6-1-40,95-4 16,-91 4-32,9 8 40,42-12 72,-9 2 8,49-2-88,-47 3 48,-5 0-8,2 0-64,-4 1 32,54-4-8,-47 3-16,-7 0 24,5-3-16,12 3-40,37-3 48,-35 0 96,12 0 32,1 0 96,9-2 64,13 2-288,-5-3 208,0-1-64,5-1-136,5-7-48,-5 12 40,23-4-72,-4-9-64,11 7-16,8-9-56,-38 15 208,48-6-296,20-10-136,60-1-120,8 3-248,-136 14 800,132-6-856,-23 2 119,3 0 137,8 3 248,-120 1 352,123-2-144,3 2-24,6 0 0,-4 11 40,-128-11 128,128 3-144,1 10 144,-7-9 32,-4 9-16,-118-13-16,113 4-8,-10 9-8,-5-10 56,-12 8 8,-86-11-48,79 3 104,-8 2-8,-8 6 0,-9-11 32,-54 0-128,46 3 120,-13-3-8,-9 0 56,-19 0 176,-5 0-344,1 0 504,-2 0 1,-16 0-49,-14-5-256,31 5-200,-39-4 8,-9-7-16,-7 7 32,-6-2-32,61 6 8,-65-11 32,-8 6-16,-6 1 24,-7-7 40,86 11-80,-92-5 56,-6 1 16,-5 0-16,0 1 0,103 3-56,-103-3 104,0 2 0,3-1 8,-3 2 32,103 0-144,-103 0 136,3 0 24,-5 0-40,2 3-48,103-3-72,-101 0 8,6 3 16,6-3-24,2 0-8,9 0 32,38 0 112,-7 0-32,2 0 8,45 0-112,-49 0 128,2 0-176,-4 0-16,4-1 72,47 1-8,-51-5-8,11 1 72,5-7 56,9 6 88,26 5-208,-18-14 248,13 1 8,0 2 24,5-3-120,0 14-160,17-14 120,3-2-72,11-3 40,4 1-32,-35 18-56,45-18 56,55-21-64,0 4 16,-2 5 65,-98 30-73,87-24 8,-10 1 104,0 0 40,5 0-64,-82 23-88,82-21 96,2 1-24,0-1-160,-7-1 72,-77 22 16,75-19 96,-2-1-72,-3 1-8,-2 2 32,-68 17-48,65-18-16,-7-1 32,1 2 72,-10 0-40,-49 17-48,44-16-8,-6 5 48,-5 5 8,-6 1-48,-27 5 0,21-5 32,-9 4-48,-10 1 8,3 3 0,-5-3 8,0 4 72,-5 12-64,-11-2 56,-3 4-80,19-18 16,-23 23-24,-6 3 32,-3-1-64,2 2 104,30-27-48,-33 27-48,0 2 40,0 1-8,1 2-8,32-32 24,-28 34 64,0 3-88,4 2 8,3 2-24,21-41 40,-18 44-72,4 3-32,2 4-16,5 3 32,7-54 88,-4 61-72,4 2 72,4 1 16,10 1-32,-14-65 16,17 63-192,3-2-345,1-3-575,8-4-528,-29-54 1640,30 53-2249,10-2 409,4-3 680,3 1 560,-47-49 600,51 39-184,3-2 96,-3-8 40,-4-9 8,-47-20 40,45 13-32,-10-11 16,-35-2 16</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50"/>
  <sheetViews>
    <sheetView rightToLeft="1" tabSelected="1" view="pageBreakPreview" topLeftCell="B1" zoomScale="130" zoomScaleNormal="100" zoomScaleSheetLayoutView="130" workbookViewId="0">
      <selection activeCell="F45" sqref="F45"/>
    </sheetView>
  </sheetViews>
  <sheetFormatPr defaultColWidth="9" defaultRowHeight="14.4" x14ac:dyDescent="0.3"/>
  <cols>
    <col min="1" max="1" width="5.109375" style="1" customWidth="1"/>
    <col min="2" max="2" width="16"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66" t="s">
        <v>218</v>
      </c>
      <c r="C1" s="66"/>
      <c r="D1" s="66"/>
      <c r="E1" s="66"/>
      <c r="F1" s="66"/>
      <c r="G1" s="66"/>
      <c r="H1" s="66"/>
      <c r="I1" s="66"/>
      <c r="J1" s="66"/>
    </row>
    <row r="2" spans="1:10" ht="30" customHeight="1" x14ac:dyDescent="0.3">
      <c r="B2" s="12" t="s">
        <v>178</v>
      </c>
      <c r="C2" s="72" t="s">
        <v>38</v>
      </c>
      <c r="D2" s="72"/>
      <c r="E2" s="12" t="s">
        <v>7</v>
      </c>
      <c r="F2" s="67">
        <v>45945</v>
      </c>
      <c r="G2" s="67"/>
      <c r="H2" s="67"/>
      <c r="I2" s="67"/>
      <c r="J2" s="67"/>
    </row>
    <row r="3" spans="1:10" ht="30" customHeight="1" x14ac:dyDescent="0.3">
      <c r="B3" s="12" t="s">
        <v>179</v>
      </c>
      <c r="C3" s="72" t="s">
        <v>219</v>
      </c>
      <c r="D3" s="72"/>
      <c r="E3" s="12" t="s">
        <v>6</v>
      </c>
      <c r="F3" s="72" t="s">
        <v>160</v>
      </c>
      <c r="G3" s="72"/>
      <c r="H3" s="72"/>
      <c r="I3" s="72"/>
      <c r="J3" s="72"/>
    </row>
    <row r="4" spans="1:10" ht="30" customHeight="1" thickBot="1" x14ac:dyDescent="0.35">
      <c r="B4" s="6"/>
      <c r="C4" s="7"/>
      <c r="D4" s="7"/>
      <c r="E4" s="6"/>
      <c r="F4" s="7"/>
      <c r="G4" s="7"/>
      <c r="H4" s="8"/>
      <c r="I4" s="7"/>
      <c r="J4" s="7"/>
    </row>
    <row r="5" spans="1:10" ht="24.9" customHeight="1" x14ac:dyDescent="0.3">
      <c r="A5" s="10"/>
      <c r="B5" s="68" t="s">
        <v>0</v>
      </c>
      <c r="C5" s="69"/>
      <c r="D5" s="69"/>
      <c r="E5" s="73" t="s">
        <v>1</v>
      </c>
      <c r="F5" s="73"/>
      <c r="G5" s="73"/>
      <c r="H5" s="73"/>
      <c r="I5" s="73" t="s">
        <v>2</v>
      </c>
      <c r="J5" s="74"/>
    </row>
    <row r="6" spans="1:10" ht="24.9" customHeight="1" thickBot="1" x14ac:dyDescent="0.35">
      <c r="A6" s="10"/>
      <c r="B6" s="70"/>
      <c r="C6" s="71"/>
      <c r="D6" s="71"/>
      <c r="E6" s="11" t="s">
        <v>3</v>
      </c>
      <c r="F6" s="11" t="s">
        <v>4</v>
      </c>
      <c r="G6" s="11" t="s">
        <v>21</v>
      </c>
      <c r="H6" s="11" t="s">
        <v>22</v>
      </c>
      <c r="I6" s="75"/>
      <c r="J6" s="76"/>
    </row>
    <row r="7" spans="1:10" ht="24.9" customHeight="1" thickBot="1" x14ac:dyDescent="0.35">
      <c r="A7" s="10"/>
      <c r="B7" s="77" t="s">
        <v>19</v>
      </c>
      <c r="C7" s="78"/>
      <c r="D7" s="78"/>
      <c r="E7" s="28" t="s">
        <v>16</v>
      </c>
      <c r="F7" s="28" t="s">
        <v>17</v>
      </c>
      <c r="G7" s="28" t="s">
        <v>20</v>
      </c>
      <c r="H7" s="28" t="s">
        <v>18</v>
      </c>
      <c r="I7" s="79" t="s">
        <v>23</v>
      </c>
      <c r="J7" s="80"/>
    </row>
    <row r="8" spans="1:10" ht="30" customHeight="1" x14ac:dyDescent="0.3">
      <c r="A8" s="10"/>
      <c r="B8" s="43" t="s">
        <v>180</v>
      </c>
      <c r="C8" s="44"/>
      <c r="D8" s="44"/>
      <c r="E8" s="32"/>
      <c r="F8" s="33"/>
      <c r="G8" s="34"/>
      <c r="H8" s="35"/>
      <c r="I8" s="47"/>
      <c r="J8" s="48"/>
    </row>
    <row r="9" spans="1:10" ht="30" customHeight="1" x14ac:dyDescent="0.3">
      <c r="A9" s="10"/>
      <c r="B9" s="39" t="s">
        <v>181</v>
      </c>
      <c r="C9" s="40"/>
      <c r="D9" s="40"/>
      <c r="E9" s="31">
        <v>5</v>
      </c>
      <c r="F9" s="26">
        <v>3.75</v>
      </c>
      <c r="G9" s="29">
        <f>IFERROR(F9/E9,"")</f>
        <v>0.75</v>
      </c>
      <c r="H9" s="30" t="str">
        <f>_xlfn.IFS(F9="أدخل العلامة","",F9="لا ينطبق","تم الإلغاء",G9&gt;=90%,"ممتاز",G9&gt;=80%,"جيد جداً",G9&gt;=70%,"جيد",G9&gt;=60%,"مقبول",G9&lt;60%,"راسب")</f>
        <v>جيد</v>
      </c>
      <c r="I9" s="45"/>
      <c r="J9" s="46"/>
    </row>
    <row r="10" spans="1:10" ht="30" customHeight="1" x14ac:dyDescent="0.3">
      <c r="A10" s="10"/>
      <c r="B10" s="39" t="s">
        <v>182</v>
      </c>
      <c r="C10" s="40"/>
      <c r="D10" s="40"/>
      <c r="E10" s="31">
        <v>5</v>
      </c>
      <c r="F10" s="26">
        <v>3.75</v>
      </c>
      <c r="G10" s="29">
        <f t="shared" ref="G10:G45" si="0">IFERROR(F10/E10,"")</f>
        <v>0.75</v>
      </c>
      <c r="H10" s="30" t="str">
        <f t="shared" ref="H10:H45" si="1">_xlfn.IFS(F10="أدخل العلامة","",F10="لا ينطبق","تم الإلغاء",G10&gt;=90%,"ممتاز",G10&gt;=80%,"جيد جداً",G10&gt;=70%,"جيد",G10&gt;=60%,"مقبول",G10&lt;60%,"راسب")</f>
        <v>جيد</v>
      </c>
      <c r="I10" s="45"/>
      <c r="J10" s="46"/>
    </row>
    <row r="11" spans="1:10" ht="39.9" customHeight="1" x14ac:dyDescent="0.3">
      <c r="A11" s="10"/>
      <c r="B11" s="39" t="s">
        <v>183</v>
      </c>
      <c r="C11" s="40"/>
      <c r="D11" s="40"/>
      <c r="E11" s="31">
        <v>5</v>
      </c>
      <c r="F11" s="26">
        <v>4</v>
      </c>
      <c r="G11" s="29">
        <f t="shared" si="0"/>
        <v>0.8</v>
      </c>
      <c r="H11" s="30" t="str">
        <f t="shared" si="1"/>
        <v>جيد جداً</v>
      </c>
      <c r="I11" s="45"/>
      <c r="J11" s="46"/>
    </row>
    <row r="12" spans="1:10" ht="39.9" customHeight="1" x14ac:dyDescent="0.3">
      <c r="A12" s="10"/>
      <c r="B12" s="39" t="s">
        <v>184</v>
      </c>
      <c r="C12" s="40"/>
      <c r="D12" s="40"/>
      <c r="E12" s="31">
        <v>5</v>
      </c>
      <c r="F12" s="26">
        <v>3.75</v>
      </c>
      <c r="G12" s="29">
        <f t="shared" si="0"/>
        <v>0.75</v>
      </c>
      <c r="H12" s="30" t="str">
        <f t="shared" si="1"/>
        <v>جيد</v>
      </c>
      <c r="I12" s="45"/>
      <c r="J12" s="46"/>
    </row>
    <row r="13" spans="1:10" ht="30" customHeight="1" thickBot="1" x14ac:dyDescent="0.35">
      <c r="A13" s="10"/>
      <c r="B13" s="41" t="s">
        <v>185</v>
      </c>
      <c r="C13" s="42"/>
      <c r="D13" s="42"/>
      <c r="E13" s="36">
        <v>5</v>
      </c>
      <c r="F13" s="27">
        <v>3.75</v>
      </c>
      <c r="G13" s="37">
        <f t="shared" si="0"/>
        <v>0.75</v>
      </c>
      <c r="H13" s="38" t="str">
        <f t="shared" si="1"/>
        <v>جيد</v>
      </c>
      <c r="I13" s="51"/>
      <c r="J13" s="52"/>
    </row>
    <row r="14" spans="1:10" ht="30" customHeight="1" x14ac:dyDescent="0.3">
      <c r="A14" s="10"/>
      <c r="B14" s="43" t="s">
        <v>186</v>
      </c>
      <c r="C14" s="44"/>
      <c r="D14" s="44"/>
      <c r="E14" s="32"/>
      <c r="F14" s="33"/>
      <c r="G14" s="34"/>
      <c r="H14" s="35"/>
      <c r="I14" s="47"/>
      <c r="J14" s="48"/>
    </row>
    <row r="15" spans="1:10" ht="30" customHeight="1" x14ac:dyDescent="0.3">
      <c r="A15" s="10"/>
      <c r="B15" s="39" t="s">
        <v>187</v>
      </c>
      <c r="C15" s="40"/>
      <c r="D15" s="40"/>
      <c r="E15" s="31">
        <v>5</v>
      </c>
      <c r="F15" s="26">
        <v>3.75</v>
      </c>
      <c r="G15" s="29">
        <f t="shared" si="0"/>
        <v>0.75</v>
      </c>
      <c r="H15" s="30" t="str">
        <f t="shared" si="1"/>
        <v>جيد</v>
      </c>
      <c r="I15" s="45"/>
      <c r="J15" s="46"/>
    </row>
    <row r="16" spans="1:10" ht="51" customHeight="1" x14ac:dyDescent="0.3">
      <c r="A16" s="10"/>
      <c r="B16" s="39" t="s">
        <v>188</v>
      </c>
      <c r="C16" s="40"/>
      <c r="D16" s="40"/>
      <c r="E16" s="31">
        <v>5</v>
      </c>
      <c r="F16" s="26">
        <v>3.75</v>
      </c>
      <c r="G16" s="29">
        <f t="shared" si="0"/>
        <v>0.75</v>
      </c>
      <c r="H16" s="30" t="str">
        <f t="shared" si="1"/>
        <v>جيد</v>
      </c>
      <c r="I16" s="45"/>
      <c r="J16" s="46"/>
    </row>
    <row r="17" spans="1:10" ht="30" customHeight="1" x14ac:dyDescent="0.3">
      <c r="A17" s="10"/>
      <c r="B17" s="39" t="s">
        <v>189</v>
      </c>
      <c r="C17" s="40"/>
      <c r="D17" s="40"/>
      <c r="E17" s="31">
        <v>5</v>
      </c>
      <c r="F17" s="26">
        <v>3.75</v>
      </c>
      <c r="G17" s="29">
        <f t="shared" si="0"/>
        <v>0.75</v>
      </c>
      <c r="H17" s="30" t="str">
        <f t="shared" si="1"/>
        <v>جيد</v>
      </c>
      <c r="I17" s="45"/>
      <c r="J17" s="46"/>
    </row>
    <row r="18" spans="1:10" ht="30" customHeight="1" x14ac:dyDescent="0.3">
      <c r="A18" s="10"/>
      <c r="B18" s="39" t="s">
        <v>190</v>
      </c>
      <c r="C18" s="40"/>
      <c r="D18" s="40"/>
      <c r="E18" s="31">
        <v>5</v>
      </c>
      <c r="F18" s="26">
        <v>3.75</v>
      </c>
      <c r="G18" s="29">
        <f t="shared" si="0"/>
        <v>0.75</v>
      </c>
      <c r="H18" s="30" t="str">
        <f t="shared" si="1"/>
        <v>جيد</v>
      </c>
      <c r="I18" s="45"/>
      <c r="J18" s="46"/>
    </row>
    <row r="19" spans="1:10" ht="30" customHeight="1" x14ac:dyDescent="0.3">
      <c r="A19" s="10"/>
      <c r="B19" s="39" t="s">
        <v>191</v>
      </c>
      <c r="C19" s="40"/>
      <c r="D19" s="40"/>
      <c r="E19" s="31">
        <v>5</v>
      </c>
      <c r="F19" s="26">
        <v>4</v>
      </c>
      <c r="G19" s="29">
        <f t="shared" si="0"/>
        <v>0.8</v>
      </c>
      <c r="H19" s="30" t="str">
        <f t="shared" si="1"/>
        <v>جيد جداً</v>
      </c>
      <c r="I19" s="45"/>
      <c r="J19" s="46"/>
    </row>
    <row r="20" spans="1:10" ht="39.9" customHeight="1" x14ac:dyDescent="0.3">
      <c r="A20" s="10"/>
      <c r="B20" s="39" t="s">
        <v>192</v>
      </c>
      <c r="C20" s="40"/>
      <c r="D20" s="40"/>
      <c r="E20" s="31">
        <v>5</v>
      </c>
      <c r="F20" s="26">
        <v>3.75</v>
      </c>
      <c r="G20" s="29">
        <f t="shared" si="0"/>
        <v>0.75</v>
      </c>
      <c r="H20" s="30" t="str">
        <f t="shared" si="1"/>
        <v>جيد</v>
      </c>
      <c r="I20" s="45"/>
      <c r="J20" s="46"/>
    </row>
    <row r="21" spans="1:10" ht="30" customHeight="1" x14ac:dyDescent="0.3">
      <c r="A21" s="10"/>
      <c r="B21" s="39" t="s">
        <v>193</v>
      </c>
      <c r="C21" s="40"/>
      <c r="D21" s="40"/>
      <c r="E21" s="31">
        <v>5</v>
      </c>
      <c r="F21" s="26">
        <v>3.75</v>
      </c>
      <c r="G21" s="29">
        <f t="shared" si="0"/>
        <v>0.75</v>
      </c>
      <c r="H21" s="30" t="str">
        <f t="shared" si="1"/>
        <v>جيد</v>
      </c>
      <c r="I21" s="45"/>
      <c r="J21" s="46"/>
    </row>
    <row r="22" spans="1:10" ht="39.9" customHeight="1" thickBot="1" x14ac:dyDescent="0.35">
      <c r="A22" s="10"/>
      <c r="B22" s="41" t="s">
        <v>194</v>
      </c>
      <c r="C22" s="42"/>
      <c r="D22" s="42"/>
      <c r="E22" s="36">
        <v>5</v>
      </c>
      <c r="F22" s="27">
        <v>3.75</v>
      </c>
      <c r="G22" s="37">
        <f t="shared" si="0"/>
        <v>0.75</v>
      </c>
      <c r="H22" s="38" t="str">
        <f t="shared" si="1"/>
        <v>جيد</v>
      </c>
      <c r="I22" s="51"/>
      <c r="J22" s="52"/>
    </row>
    <row r="23" spans="1:10" ht="30" customHeight="1" x14ac:dyDescent="0.3">
      <c r="A23" s="10"/>
      <c r="B23" s="43" t="s">
        <v>195</v>
      </c>
      <c r="C23" s="44"/>
      <c r="D23" s="44"/>
      <c r="E23" s="32"/>
      <c r="F23" s="33"/>
      <c r="G23" s="34"/>
      <c r="H23" s="35"/>
      <c r="I23" s="47"/>
      <c r="J23" s="48"/>
    </row>
    <row r="24" spans="1:10" ht="30" customHeight="1" x14ac:dyDescent="0.3">
      <c r="A24" s="10"/>
      <c r="B24" s="39" t="s">
        <v>196</v>
      </c>
      <c r="C24" s="40"/>
      <c r="D24" s="40"/>
      <c r="E24" s="31">
        <v>5</v>
      </c>
      <c r="F24" s="26">
        <v>3.75</v>
      </c>
      <c r="G24" s="29">
        <f t="shared" si="0"/>
        <v>0.75</v>
      </c>
      <c r="H24" s="30" t="str">
        <f t="shared" si="1"/>
        <v>جيد</v>
      </c>
      <c r="I24" s="45"/>
      <c r="J24" s="46"/>
    </row>
    <row r="25" spans="1:10" ht="30" customHeight="1" x14ac:dyDescent="0.3">
      <c r="A25" s="10"/>
      <c r="B25" s="39" t="s">
        <v>197</v>
      </c>
      <c r="C25" s="40"/>
      <c r="D25" s="40"/>
      <c r="E25" s="31">
        <v>5</v>
      </c>
      <c r="F25" s="26">
        <v>3.75</v>
      </c>
      <c r="G25" s="29">
        <f t="shared" si="0"/>
        <v>0.75</v>
      </c>
      <c r="H25" s="30" t="str">
        <f t="shared" si="1"/>
        <v>جيد</v>
      </c>
      <c r="I25" s="45"/>
      <c r="J25" s="46"/>
    </row>
    <row r="26" spans="1:10" ht="30" customHeight="1" x14ac:dyDescent="0.3">
      <c r="A26" s="10"/>
      <c r="B26" s="39" t="s">
        <v>198</v>
      </c>
      <c r="C26" s="40"/>
      <c r="D26" s="40"/>
      <c r="E26" s="31">
        <v>5</v>
      </c>
      <c r="F26" s="26">
        <v>3.5</v>
      </c>
      <c r="G26" s="29">
        <f t="shared" si="0"/>
        <v>0.7</v>
      </c>
      <c r="H26" s="30" t="str">
        <f t="shared" si="1"/>
        <v>جيد</v>
      </c>
      <c r="I26" s="45"/>
      <c r="J26" s="46"/>
    </row>
    <row r="27" spans="1:10" ht="30" customHeight="1" x14ac:dyDescent="0.3">
      <c r="A27" s="10"/>
      <c r="B27" s="39" t="s">
        <v>199</v>
      </c>
      <c r="C27" s="40"/>
      <c r="D27" s="40"/>
      <c r="E27" s="31">
        <v>5</v>
      </c>
      <c r="F27" s="26">
        <v>4</v>
      </c>
      <c r="G27" s="29">
        <f t="shared" si="0"/>
        <v>0.8</v>
      </c>
      <c r="H27" s="30" t="str">
        <f t="shared" si="1"/>
        <v>جيد جداً</v>
      </c>
      <c r="I27" s="45"/>
      <c r="J27" s="46"/>
    </row>
    <row r="28" spans="1:10" ht="30" customHeight="1" x14ac:dyDescent="0.3">
      <c r="A28" s="10"/>
      <c r="B28" s="39" t="s">
        <v>200</v>
      </c>
      <c r="C28" s="40"/>
      <c r="D28" s="40"/>
      <c r="E28" s="31">
        <v>5</v>
      </c>
      <c r="F28" s="26">
        <v>3.5</v>
      </c>
      <c r="G28" s="29">
        <f t="shared" si="0"/>
        <v>0.7</v>
      </c>
      <c r="H28" s="30" t="str">
        <f t="shared" si="1"/>
        <v>جيد</v>
      </c>
      <c r="I28" s="45"/>
      <c r="J28" s="46"/>
    </row>
    <row r="29" spans="1:10" ht="30" customHeight="1" thickBot="1" x14ac:dyDescent="0.35">
      <c r="A29" s="10"/>
      <c r="B29" s="41" t="s">
        <v>201</v>
      </c>
      <c r="C29" s="42"/>
      <c r="D29" s="42"/>
      <c r="E29" s="36">
        <v>5</v>
      </c>
      <c r="F29" s="27">
        <v>4</v>
      </c>
      <c r="G29" s="37">
        <f t="shared" si="0"/>
        <v>0.8</v>
      </c>
      <c r="H29" s="38" t="str">
        <f t="shared" si="1"/>
        <v>جيد جداً</v>
      </c>
      <c r="I29" s="51"/>
      <c r="J29" s="52"/>
    </row>
    <row r="30" spans="1:10" ht="30" customHeight="1" x14ac:dyDescent="0.3">
      <c r="A30" s="10"/>
      <c r="B30" s="43" t="s">
        <v>202</v>
      </c>
      <c r="C30" s="44"/>
      <c r="D30" s="44"/>
      <c r="E30" s="32"/>
      <c r="F30" s="33"/>
      <c r="G30" s="34"/>
      <c r="H30" s="35"/>
      <c r="I30" s="47"/>
      <c r="J30" s="48"/>
    </row>
    <row r="31" spans="1:10" ht="30" customHeight="1" x14ac:dyDescent="0.3">
      <c r="A31" s="10"/>
      <c r="B31" s="39" t="s">
        <v>203</v>
      </c>
      <c r="C31" s="40"/>
      <c r="D31" s="40"/>
      <c r="E31" s="31">
        <v>5</v>
      </c>
      <c r="F31" s="26">
        <v>4</v>
      </c>
      <c r="G31" s="29">
        <f t="shared" si="0"/>
        <v>0.8</v>
      </c>
      <c r="H31" s="30" t="str">
        <f t="shared" si="1"/>
        <v>جيد جداً</v>
      </c>
      <c r="I31" s="45"/>
      <c r="J31" s="46"/>
    </row>
    <row r="32" spans="1:10" ht="39.9" customHeight="1" x14ac:dyDescent="0.3">
      <c r="A32" s="10"/>
      <c r="B32" s="39" t="s">
        <v>204</v>
      </c>
      <c r="C32" s="40"/>
      <c r="D32" s="40"/>
      <c r="E32" s="31">
        <v>5</v>
      </c>
      <c r="F32" s="26">
        <v>3.75</v>
      </c>
      <c r="G32" s="29">
        <f t="shared" si="0"/>
        <v>0.75</v>
      </c>
      <c r="H32" s="30" t="str">
        <f t="shared" si="1"/>
        <v>جيد</v>
      </c>
      <c r="I32" s="45"/>
      <c r="J32" s="46"/>
    </row>
    <row r="33" spans="1:10" ht="30" customHeight="1" x14ac:dyDescent="0.3">
      <c r="A33" s="10"/>
      <c r="B33" s="39" t="s">
        <v>205</v>
      </c>
      <c r="C33" s="40"/>
      <c r="D33" s="40"/>
      <c r="E33" s="31">
        <v>5</v>
      </c>
      <c r="F33" s="26">
        <v>3.75</v>
      </c>
      <c r="G33" s="29">
        <f t="shared" si="0"/>
        <v>0.75</v>
      </c>
      <c r="H33" s="30" t="str">
        <f t="shared" si="1"/>
        <v>جيد</v>
      </c>
      <c r="I33" s="45"/>
      <c r="J33" s="46"/>
    </row>
    <row r="34" spans="1:10" ht="30" customHeight="1" x14ac:dyDescent="0.3">
      <c r="A34" s="10"/>
      <c r="B34" s="39" t="s">
        <v>206</v>
      </c>
      <c r="C34" s="40"/>
      <c r="D34" s="40"/>
      <c r="E34" s="31">
        <v>5</v>
      </c>
      <c r="F34" s="26">
        <v>3.5</v>
      </c>
      <c r="G34" s="29">
        <f t="shared" si="0"/>
        <v>0.7</v>
      </c>
      <c r="H34" s="30" t="str">
        <f t="shared" si="1"/>
        <v>جيد</v>
      </c>
      <c r="I34" s="45"/>
      <c r="J34" s="46"/>
    </row>
    <row r="35" spans="1:10" ht="30" customHeight="1" x14ac:dyDescent="0.3">
      <c r="A35" s="10"/>
      <c r="B35" s="39" t="s">
        <v>207</v>
      </c>
      <c r="C35" s="40"/>
      <c r="D35" s="40"/>
      <c r="E35" s="31">
        <v>5</v>
      </c>
      <c r="F35" s="26">
        <v>3.75</v>
      </c>
      <c r="G35" s="29">
        <f t="shared" si="0"/>
        <v>0.75</v>
      </c>
      <c r="H35" s="30" t="str">
        <f t="shared" si="1"/>
        <v>جيد</v>
      </c>
      <c r="I35" s="45"/>
      <c r="J35" s="46"/>
    </row>
    <row r="36" spans="1:10" ht="30" customHeight="1" x14ac:dyDescent="0.3">
      <c r="A36" s="10"/>
      <c r="B36" s="39" t="s">
        <v>208</v>
      </c>
      <c r="C36" s="40"/>
      <c r="D36" s="40"/>
      <c r="E36" s="31">
        <v>5</v>
      </c>
      <c r="F36" s="26">
        <v>4</v>
      </c>
      <c r="G36" s="29">
        <f t="shared" si="0"/>
        <v>0.8</v>
      </c>
      <c r="H36" s="30" t="str">
        <f t="shared" si="1"/>
        <v>جيد جداً</v>
      </c>
      <c r="I36" s="45"/>
      <c r="J36" s="46"/>
    </row>
    <row r="37" spans="1:10" ht="30" customHeight="1" x14ac:dyDescent="0.3">
      <c r="A37" s="10"/>
      <c r="B37" s="39" t="s">
        <v>209</v>
      </c>
      <c r="C37" s="40"/>
      <c r="D37" s="40"/>
      <c r="E37" s="31">
        <v>5</v>
      </c>
      <c r="F37" s="26">
        <v>3.75</v>
      </c>
      <c r="G37" s="29">
        <f t="shared" si="0"/>
        <v>0.75</v>
      </c>
      <c r="H37" s="30" t="str">
        <f t="shared" si="1"/>
        <v>جيد</v>
      </c>
      <c r="I37" s="45"/>
      <c r="J37" s="46"/>
    </row>
    <row r="38" spans="1:10" ht="30" customHeight="1" x14ac:dyDescent="0.3">
      <c r="A38" s="10"/>
      <c r="B38" s="39" t="s">
        <v>210</v>
      </c>
      <c r="C38" s="40"/>
      <c r="D38" s="40"/>
      <c r="E38" s="31">
        <v>5</v>
      </c>
      <c r="F38" s="26">
        <v>3.75</v>
      </c>
      <c r="G38" s="29">
        <f t="shared" si="0"/>
        <v>0.75</v>
      </c>
      <c r="H38" s="30" t="str">
        <f t="shared" si="1"/>
        <v>جيد</v>
      </c>
      <c r="I38" s="45"/>
      <c r="J38" s="46"/>
    </row>
    <row r="39" spans="1:10" ht="30" customHeight="1" x14ac:dyDescent="0.3">
      <c r="A39" s="10"/>
      <c r="B39" s="39" t="s">
        <v>211</v>
      </c>
      <c r="C39" s="40"/>
      <c r="D39" s="40"/>
      <c r="E39" s="31">
        <v>5</v>
      </c>
      <c r="F39" s="26">
        <v>3.5</v>
      </c>
      <c r="G39" s="29">
        <f t="shared" si="0"/>
        <v>0.7</v>
      </c>
      <c r="H39" s="30" t="str">
        <f t="shared" si="1"/>
        <v>جيد</v>
      </c>
      <c r="I39" s="45"/>
      <c r="J39" s="46"/>
    </row>
    <row r="40" spans="1:10" ht="30" customHeight="1" x14ac:dyDescent="0.3">
      <c r="A40" s="10"/>
      <c r="B40" s="39" t="s">
        <v>212</v>
      </c>
      <c r="C40" s="40"/>
      <c r="D40" s="40"/>
      <c r="E40" s="31">
        <v>5</v>
      </c>
      <c r="F40" s="26">
        <v>4</v>
      </c>
      <c r="G40" s="29">
        <f t="shared" si="0"/>
        <v>0.8</v>
      </c>
      <c r="H40" s="30" t="str">
        <f t="shared" si="1"/>
        <v>جيد جداً</v>
      </c>
      <c r="I40" s="45"/>
      <c r="J40" s="46"/>
    </row>
    <row r="41" spans="1:10" ht="30" customHeight="1" x14ac:dyDescent="0.3">
      <c r="A41" s="10"/>
      <c r="B41" s="39" t="s">
        <v>213</v>
      </c>
      <c r="C41" s="40"/>
      <c r="D41" s="40"/>
      <c r="E41" s="31">
        <v>5</v>
      </c>
      <c r="F41" s="26">
        <v>3.75</v>
      </c>
      <c r="G41" s="29">
        <f t="shared" si="0"/>
        <v>0.75</v>
      </c>
      <c r="H41" s="30" t="str">
        <f t="shared" si="1"/>
        <v>جيد</v>
      </c>
      <c r="I41" s="45"/>
      <c r="J41" s="46"/>
    </row>
    <row r="42" spans="1:10" ht="30" customHeight="1" x14ac:dyDescent="0.3">
      <c r="A42" s="10"/>
      <c r="B42" s="39" t="s">
        <v>214</v>
      </c>
      <c r="C42" s="40"/>
      <c r="D42" s="40"/>
      <c r="E42" s="31">
        <v>5</v>
      </c>
      <c r="F42" s="26">
        <v>3.75</v>
      </c>
      <c r="G42" s="29">
        <f t="shared" si="0"/>
        <v>0.75</v>
      </c>
      <c r="H42" s="30" t="str">
        <f t="shared" si="1"/>
        <v>جيد</v>
      </c>
      <c r="I42" s="45"/>
      <c r="J42" s="46"/>
    </row>
    <row r="43" spans="1:10" ht="30" customHeight="1" x14ac:dyDescent="0.3">
      <c r="A43" s="10"/>
      <c r="B43" s="39" t="s">
        <v>215</v>
      </c>
      <c r="C43" s="40"/>
      <c r="D43" s="40"/>
      <c r="E43" s="31">
        <v>5</v>
      </c>
      <c r="F43" s="26">
        <v>3.75</v>
      </c>
      <c r="G43" s="29">
        <f t="shared" si="0"/>
        <v>0.75</v>
      </c>
      <c r="H43" s="30" t="str">
        <f t="shared" si="1"/>
        <v>جيد</v>
      </c>
      <c r="I43" s="45"/>
      <c r="J43" s="46"/>
    </row>
    <row r="44" spans="1:10" ht="30" customHeight="1" x14ac:dyDescent="0.3">
      <c r="A44" s="10"/>
      <c r="B44" s="39" t="s">
        <v>216</v>
      </c>
      <c r="C44" s="40"/>
      <c r="D44" s="40"/>
      <c r="E44" s="31">
        <v>5</v>
      </c>
      <c r="F44" s="26">
        <v>3.75</v>
      </c>
      <c r="G44" s="29">
        <f t="shared" si="0"/>
        <v>0.75</v>
      </c>
      <c r="H44" s="30" t="str">
        <f t="shared" si="1"/>
        <v>جيد</v>
      </c>
      <c r="I44" s="45"/>
      <c r="J44" s="46"/>
    </row>
    <row r="45" spans="1:10" ht="30" customHeight="1" thickBot="1" x14ac:dyDescent="0.35">
      <c r="A45" s="10"/>
      <c r="B45" s="41" t="s">
        <v>217</v>
      </c>
      <c r="C45" s="42"/>
      <c r="D45" s="42"/>
      <c r="E45" s="36">
        <v>5</v>
      </c>
      <c r="F45" s="27">
        <v>3.75</v>
      </c>
      <c r="G45" s="37">
        <f t="shared" si="0"/>
        <v>0.75</v>
      </c>
      <c r="H45" s="38" t="str">
        <f t="shared" si="1"/>
        <v>جيد</v>
      </c>
      <c r="I45" s="51"/>
      <c r="J45" s="52"/>
    </row>
    <row r="46" spans="1:10" ht="30" customHeight="1" thickBot="1" x14ac:dyDescent="0.35">
      <c r="A46" s="4"/>
      <c r="B46" s="49" t="s">
        <v>5</v>
      </c>
      <c r="C46" s="50"/>
      <c r="D46" s="50"/>
      <c r="E46" s="9">
        <f>SUM(E8:E45)</f>
        <v>170</v>
      </c>
      <c r="F46" s="9">
        <f>SUM(F8:F45)</f>
        <v>128.25</v>
      </c>
      <c r="G46" s="63"/>
      <c r="H46" s="64"/>
      <c r="I46" s="64"/>
      <c r="J46" s="65"/>
    </row>
    <row r="47" spans="1:10" ht="30" customHeight="1" thickBot="1" x14ac:dyDescent="0.35">
      <c r="A47" s="4"/>
      <c r="B47" s="49" t="s">
        <v>52</v>
      </c>
      <c r="C47" s="50"/>
      <c r="D47" s="50"/>
      <c r="E47" s="59">
        <f>F46/E46/100*100</f>
        <v>0.75441176470588234</v>
      </c>
      <c r="F47" s="59"/>
      <c r="G47" s="59"/>
      <c r="H47" s="59"/>
      <c r="I47" s="59"/>
      <c r="J47" s="60"/>
    </row>
    <row r="48" spans="1:10" ht="30" customHeight="1" thickBot="1" x14ac:dyDescent="0.35">
      <c r="A48" s="4"/>
      <c r="B48" s="49" t="s">
        <v>53</v>
      </c>
      <c r="C48" s="50"/>
      <c r="D48" s="50"/>
      <c r="E48" s="57" t="str">
        <f>_xlfn.IFS(E47&gt;=90%,"ممتاز",E47&gt;=80%,"جيد جداً",E47&gt;=70%,"جيد",E47&gt;=60%,"مقبول",E47&lt;60%,"راسب")</f>
        <v>جيد</v>
      </c>
      <c r="F48" s="57"/>
      <c r="G48" s="57"/>
      <c r="H48" s="57"/>
      <c r="I48" s="57"/>
      <c r="J48" s="58"/>
    </row>
    <row r="49" spans="1:10" ht="42" customHeight="1" x14ac:dyDescent="0.3">
      <c r="B49" s="53" t="s">
        <v>172</v>
      </c>
      <c r="C49" s="53"/>
      <c r="D49" s="53"/>
      <c r="E49" s="61" t="s">
        <v>50</v>
      </c>
      <c r="F49" s="61"/>
      <c r="G49" s="55" t="s">
        <v>160</v>
      </c>
      <c r="H49" s="55"/>
      <c r="I49" s="55"/>
      <c r="J49" s="55"/>
    </row>
    <row r="50" spans="1:10" ht="51" customHeight="1" x14ac:dyDescent="0.3">
      <c r="A50" s="5"/>
      <c r="B50" s="54"/>
      <c r="C50" s="54"/>
      <c r="D50" s="54"/>
      <c r="E50" s="62" t="s">
        <v>51</v>
      </c>
      <c r="F50" s="62"/>
      <c r="G50" s="56"/>
      <c r="H50" s="56"/>
      <c r="I50" s="56"/>
      <c r="J50" s="56"/>
    </row>
  </sheetData>
  <sheetProtection sheet="1" formatCells="0" formatColumns="0" formatRows="0" insertColumns="0" insertRows="0" insertHyperlinks="0" deleteColumns="0" deleteRows="0" selectLockedCells="1" sort="0" autoFilter="0" pivotTables="0"/>
  <mergeCells count="97">
    <mergeCell ref="B7:D7"/>
    <mergeCell ref="I38:J38"/>
    <mergeCell ref="I39:J39"/>
    <mergeCell ref="I30:J30"/>
    <mergeCell ref="I31:J31"/>
    <mergeCell ref="I37:J37"/>
    <mergeCell ref="I7:J7"/>
    <mergeCell ref="I10:J10"/>
    <mergeCell ref="I19:J19"/>
    <mergeCell ref="I20:J20"/>
    <mergeCell ref="I21:J21"/>
    <mergeCell ref="I22:J22"/>
    <mergeCell ref="I23:J23"/>
    <mergeCell ref="I24:J24"/>
    <mergeCell ref="I25:J25"/>
    <mergeCell ref="I26:J26"/>
    <mergeCell ref="B1:J1"/>
    <mergeCell ref="F2:J2"/>
    <mergeCell ref="B5:D6"/>
    <mergeCell ref="C2:D2"/>
    <mergeCell ref="C3:D3"/>
    <mergeCell ref="F3:J3"/>
    <mergeCell ref="E5:H5"/>
    <mergeCell ref="I5:J6"/>
    <mergeCell ref="B49:D50"/>
    <mergeCell ref="G49:J49"/>
    <mergeCell ref="G50:J50"/>
    <mergeCell ref="E48:J48"/>
    <mergeCell ref="I40:J40"/>
    <mergeCell ref="I41:J41"/>
    <mergeCell ref="I42:J42"/>
    <mergeCell ref="I43:J43"/>
    <mergeCell ref="I44:J44"/>
    <mergeCell ref="E47:J47"/>
    <mergeCell ref="I45:J45"/>
    <mergeCell ref="E49:F49"/>
    <mergeCell ref="E50:F50"/>
    <mergeCell ref="G46:J46"/>
    <mergeCell ref="B46:D46"/>
    <mergeCell ref="B47:D47"/>
    <mergeCell ref="B48:D48"/>
    <mergeCell ref="I11:J11"/>
    <mergeCell ref="I12:J12"/>
    <mergeCell ref="I13:J13"/>
    <mergeCell ref="I14:J14"/>
    <mergeCell ref="I15:J15"/>
    <mergeCell ref="I16:J16"/>
    <mergeCell ref="I17:J17"/>
    <mergeCell ref="I18:J18"/>
    <mergeCell ref="I28:J28"/>
    <mergeCell ref="I29:J29"/>
    <mergeCell ref="I27:J27"/>
    <mergeCell ref="I33:J33"/>
    <mergeCell ref="I34:J34"/>
    <mergeCell ref="I35:J35"/>
    <mergeCell ref="I36:J36"/>
    <mergeCell ref="B16:D16"/>
    <mergeCell ref="I32:J32"/>
    <mergeCell ref="B8:D8"/>
    <mergeCell ref="B9:D9"/>
    <mergeCell ref="B10:D10"/>
    <mergeCell ref="B11:D11"/>
    <mergeCell ref="B12:D12"/>
    <mergeCell ref="B31:D31"/>
    <mergeCell ref="B32:D32"/>
    <mergeCell ref="I8:J8"/>
    <mergeCell ref="I9:J9"/>
    <mergeCell ref="B13:D13"/>
    <mergeCell ref="B14:D14"/>
    <mergeCell ref="B15:D15"/>
    <mergeCell ref="B33:D33"/>
    <mergeCell ref="B34:D34"/>
    <mergeCell ref="B17:D17"/>
    <mergeCell ref="B18:D18"/>
    <mergeCell ref="B19:D19"/>
    <mergeCell ref="B20:D20"/>
    <mergeCell ref="B21:D21"/>
    <mergeCell ref="B22:D22"/>
    <mergeCell ref="B23:D23"/>
    <mergeCell ref="B24:D24"/>
    <mergeCell ref="B25:D25"/>
    <mergeCell ref="B26:D26"/>
    <mergeCell ref="B27:D27"/>
    <mergeCell ref="B28:D28"/>
    <mergeCell ref="B29:D29"/>
    <mergeCell ref="B30:D30"/>
    <mergeCell ref="B44:D44"/>
    <mergeCell ref="B45:D45"/>
    <mergeCell ref="B35:D35"/>
    <mergeCell ref="B36:D36"/>
    <mergeCell ref="B37:D37"/>
    <mergeCell ref="B38:D38"/>
    <mergeCell ref="B39:D39"/>
    <mergeCell ref="B40:D40"/>
    <mergeCell ref="B41:D41"/>
    <mergeCell ref="B42:D42"/>
    <mergeCell ref="B43:D43"/>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48">
    <cfRule type="expression" dxfId="14" priority="57">
      <formula>$E48="راسب"</formula>
    </cfRule>
  </conditionalFormatting>
  <conditionalFormatting sqref="E48:J48">
    <cfRule type="expression" dxfId="13" priority="58">
      <formula>$E48="مقبول"</formula>
    </cfRule>
    <cfRule type="expression" dxfId="12" priority="59">
      <formula>$E48="جيد"</formula>
    </cfRule>
    <cfRule type="expression" dxfId="11" priority="60">
      <formula>$E48="جيد جداً"</formula>
    </cfRule>
    <cfRule type="expression" dxfId="10" priority="61">
      <formula>$E48="ممتاز"</formula>
    </cfRule>
  </conditionalFormatting>
  <conditionalFormatting sqref="F8:F45">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49:J49">
    <cfRule type="containsText" dxfId="6" priority="15" operator="containsText" text="أدخل اسم المحكم">
      <formula>NOT(ISERROR(SEARCH("أدخل اسم المحكم",G49)))</formula>
    </cfRule>
  </conditionalFormatting>
  <conditionalFormatting sqref="H8:H45">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72"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F27846E5-4775-4613-AD3F-6A647663FDD7}">
          <x14:formula1>
            <xm:f>'بيانات التقييم'!$A$38:$A$106</xm:f>
          </x14:formula1>
          <xm:sqref>F2:J2</xm:sqref>
        </x14:dataValidation>
        <x14:dataValidation type="list" allowBlank="1" showInputMessage="1" showErrorMessage="1" xr:uid="{29F5EBBB-8CF0-4EBC-9568-49582573F3A1}">
          <x14:formula1>
            <xm:f>'بيانات التقييم'!$A$1:$A$34</xm:f>
          </x14:formula1>
          <xm:sqref>C2:D2</xm:sqref>
        </x14:dataValidation>
        <x14:dataValidation type="list" allowBlank="1" showInputMessage="1" showErrorMessage="1" xr:uid="{5A7ADC9F-6098-4415-8DD4-849A148D02E3}">
          <x14:formula1>
            <xm:f>'بيانات التقييم'!$A$111:$A$133</xm:f>
          </x14:formula1>
          <xm:sqref>F31:F45 F24:F29 F15:F22 F9:F13</xm:sqref>
        </x14:dataValidation>
        <x14:dataValidation type="list" allowBlank="1" showInputMessage="1" showErrorMessage="1" xr:uid="{BD8CB5A2-5F32-4EAD-A63C-382D3B90B847}">
          <x14:formula1>
            <xm:f>'بيانات التقييم'!$A$198:$A$286</xm:f>
          </x14:formula1>
          <xm:sqref>G49:J49 F3:J3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8"/>
  <sheetViews>
    <sheetView rightToLeft="1" topLeftCell="A54" workbookViewId="0">
      <selection activeCell="A64" sqref="A64"/>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55</v>
      </c>
      <c r="C1" s="2" t="s">
        <v>58</v>
      </c>
    </row>
    <row r="2" spans="1:3" ht="20.100000000000001" customHeight="1" thickBot="1" x14ac:dyDescent="0.35">
      <c r="A2" s="2" t="s">
        <v>33</v>
      </c>
      <c r="C2" s="19" t="s">
        <v>60</v>
      </c>
    </row>
    <row r="3" spans="1:3" ht="20.100000000000001" customHeight="1" thickBot="1" x14ac:dyDescent="0.35">
      <c r="A3" s="2" t="s">
        <v>24</v>
      </c>
      <c r="C3" s="19" t="s">
        <v>61</v>
      </c>
    </row>
    <row r="4" spans="1:3" ht="20.100000000000001" customHeight="1" thickBot="1" x14ac:dyDescent="0.35">
      <c r="A4" s="2" t="s">
        <v>34</v>
      </c>
      <c r="C4" s="19" t="s">
        <v>62</v>
      </c>
    </row>
    <row r="5" spans="1:3" ht="20.100000000000001" customHeight="1" thickBot="1" x14ac:dyDescent="0.35">
      <c r="A5" s="2" t="s">
        <v>35</v>
      </c>
      <c r="C5" s="19" t="s">
        <v>63</v>
      </c>
    </row>
    <row r="6" spans="1:3" ht="20.100000000000001" customHeight="1" thickBot="1" x14ac:dyDescent="0.35">
      <c r="A6" s="2" t="s">
        <v>36</v>
      </c>
      <c r="C6" s="19" t="s">
        <v>64</v>
      </c>
    </row>
    <row r="7" spans="1:3" ht="20.100000000000001" customHeight="1" thickBot="1" x14ac:dyDescent="0.35">
      <c r="A7" s="2" t="s">
        <v>37</v>
      </c>
      <c r="C7" s="19" t="s">
        <v>65</v>
      </c>
    </row>
    <row r="8" spans="1:3" ht="20.100000000000001" customHeight="1" thickBot="1" x14ac:dyDescent="0.35">
      <c r="A8" s="2" t="s">
        <v>38</v>
      </c>
      <c r="C8" s="19" t="s">
        <v>66</v>
      </c>
    </row>
    <row r="9" spans="1:3" ht="20.100000000000001" customHeight="1" thickBot="1" x14ac:dyDescent="0.35">
      <c r="A9" s="2" t="s">
        <v>39</v>
      </c>
      <c r="C9" s="19" t="s">
        <v>67</v>
      </c>
    </row>
    <row r="10" spans="1:3" ht="20.100000000000001" customHeight="1" thickBot="1" x14ac:dyDescent="0.35">
      <c r="A10" s="2" t="s">
        <v>40</v>
      </c>
      <c r="C10" s="19" t="s">
        <v>68</v>
      </c>
    </row>
    <row r="11" spans="1:3" ht="20.100000000000001" customHeight="1" thickBot="1" x14ac:dyDescent="0.35">
      <c r="A11" s="2" t="s">
        <v>41</v>
      </c>
      <c r="C11" s="19" t="s">
        <v>69</v>
      </c>
    </row>
    <row r="12" spans="1:3" ht="20.100000000000001" customHeight="1" thickBot="1" x14ac:dyDescent="0.35">
      <c r="A12" s="2" t="s">
        <v>42</v>
      </c>
      <c r="C12" s="19" t="s">
        <v>70</v>
      </c>
    </row>
    <row r="13" spans="1:3" ht="20.100000000000001" customHeight="1" thickBot="1" x14ac:dyDescent="0.35">
      <c r="A13" s="2" t="s">
        <v>43</v>
      </c>
      <c r="C13" s="19" t="s">
        <v>71</v>
      </c>
    </row>
    <row r="14" spans="1:3" ht="20.100000000000001" customHeight="1" thickBot="1" x14ac:dyDescent="0.35">
      <c r="A14" s="2" t="s">
        <v>44</v>
      </c>
      <c r="C14" s="19" t="s">
        <v>72</v>
      </c>
    </row>
    <row r="15" spans="1:3" ht="20.100000000000001" customHeight="1" thickBot="1" x14ac:dyDescent="0.35">
      <c r="A15" s="2" t="s">
        <v>45</v>
      </c>
      <c r="C15" s="19" t="s">
        <v>73</v>
      </c>
    </row>
    <row r="16" spans="1:3" ht="20.100000000000001" customHeight="1" thickBot="1" x14ac:dyDescent="0.35">
      <c r="A16" s="2" t="s">
        <v>8</v>
      </c>
      <c r="C16" s="19" t="s">
        <v>74</v>
      </c>
    </row>
    <row r="17" spans="1:3" ht="20.100000000000001" customHeight="1" thickBot="1" x14ac:dyDescent="0.35">
      <c r="A17" s="2" t="s">
        <v>25</v>
      </c>
      <c r="C17" s="19" t="s">
        <v>75</v>
      </c>
    </row>
    <row r="18" spans="1:3" ht="20.100000000000001" customHeight="1" thickBot="1" x14ac:dyDescent="0.35">
      <c r="A18" s="2" t="s">
        <v>46</v>
      </c>
      <c r="C18" s="19" t="s">
        <v>76</v>
      </c>
    </row>
    <row r="19" spans="1:3" ht="20.100000000000001" customHeight="1" thickBot="1" x14ac:dyDescent="0.35">
      <c r="A19" s="2" t="s">
        <v>47</v>
      </c>
      <c r="C19" s="19" t="s">
        <v>77</v>
      </c>
    </row>
    <row r="20" spans="1:3" ht="20.100000000000001" customHeight="1" thickBot="1" x14ac:dyDescent="0.35">
      <c r="A20" s="2" t="s">
        <v>48</v>
      </c>
      <c r="C20" s="19" t="s">
        <v>78</v>
      </c>
    </row>
    <row r="21" spans="1:3" ht="20.100000000000001" customHeight="1" thickBot="1" x14ac:dyDescent="0.35">
      <c r="A21" s="2" t="s">
        <v>49</v>
      </c>
      <c r="C21" s="19" t="s">
        <v>79</v>
      </c>
    </row>
    <row r="22" spans="1:3" ht="20.100000000000001" customHeight="1" thickBot="1" x14ac:dyDescent="0.35">
      <c r="A22" s="2" t="s">
        <v>9</v>
      </c>
      <c r="C22" s="19" t="s">
        <v>80</v>
      </c>
    </row>
    <row r="23" spans="1:3" ht="20.100000000000001" customHeight="1" thickBot="1" x14ac:dyDescent="0.35">
      <c r="A23" s="2" t="s">
        <v>10</v>
      </c>
      <c r="C23" s="19" t="s">
        <v>81</v>
      </c>
    </row>
    <row r="24" spans="1:3" ht="20.100000000000001" customHeight="1" thickBot="1" x14ac:dyDescent="0.35">
      <c r="A24" s="2" t="s">
        <v>13</v>
      </c>
      <c r="C24" s="19" t="s">
        <v>82</v>
      </c>
    </row>
    <row r="25" spans="1:3" ht="20.100000000000001" customHeight="1" thickBot="1" x14ac:dyDescent="0.35">
      <c r="A25" s="2" t="s">
        <v>26</v>
      </c>
      <c r="C25" s="19" t="s">
        <v>83</v>
      </c>
    </row>
    <row r="26" spans="1:3" ht="20.100000000000001" customHeight="1" thickBot="1" x14ac:dyDescent="0.35">
      <c r="A26" s="2" t="s">
        <v>27</v>
      </c>
      <c r="C26" s="19" t="s">
        <v>84</v>
      </c>
    </row>
    <row r="27" spans="1:3" ht="20.100000000000001" customHeight="1" thickBot="1" x14ac:dyDescent="0.35">
      <c r="A27" s="2" t="s">
        <v>11</v>
      </c>
      <c r="C27" s="19" t="s">
        <v>85</v>
      </c>
    </row>
    <row r="28" spans="1:3" ht="20.100000000000001" customHeight="1" thickBot="1" x14ac:dyDescent="0.35">
      <c r="A28" s="2" t="s">
        <v>28</v>
      </c>
      <c r="C28" s="19" t="s">
        <v>86</v>
      </c>
    </row>
    <row r="29" spans="1:3" ht="20.100000000000001" customHeight="1" thickBot="1" x14ac:dyDescent="0.35">
      <c r="A29" s="2" t="s">
        <v>29</v>
      </c>
      <c r="C29" s="19" t="s">
        <v>175</v>
      </c>
    </row>
    <row r="30" spans="1:3" ht="20.100000000000001" customHeight="1" thickBot="1" x14ac:dyDescent="0.35">
      <c r="A30" s="2" t="s">
        <v>30</v>
      </c>
      <c r="C30" s="19" t="s">
        <v>176</v>
      </c>
    </row>
    <row r="31" spans="1:3" ht="20.100000000000001" customHeight="1" thickBot="1" x14ac:dyDescent="0.35">
      <c r="A31" s="2" t="s">
        <v>31</v>
      </c>
      <c r="C31" s="19" t="s">
        <v>177</v>
      </c>
    </row>
    <row r="32" spans="1:3" ht="20.100000000000001" customHeight="1" thickBot="1" x14ac:dyDescent="0.35">
      <c r="A32" s="2" t="s">
        <v>14</v>
      </c>
      <c r="C32" s="19"/>
    </row>
    <row r="33" spans="1:9" ht="20.100000000000001" customHeight="1" thickBot="1" x14ac:dyDescent="0.35">
      <c r="A33" s="2" t="s">
        <v>12</v>
      </c>
      <c r="C33" s="19"/>
    </row>
    <row r="34" spans="1:9" ht="20.100000000000001" customHeight="1" thickBot="1" x14ac:dyDescent="0.35">
      <c r="A34" s="2" t="s">
        <v>32</v>
      </c>
      <c r="C34" s="19"/>
    </row>
    <row r="35" spans="1:9" ht="20.100000000000001" customHeight="1" x14ac:dyDescent="0.3">
      <c r="A35" s="18"/>
    </row>
    <row r="36" spans="1:9" s="17" customFormat="1" ht="20.100000000000001" customHeight="1" x14ac:dyDescent="0.3">
      <c r="A36" s="15"/>
      <c r="B36" s="16"/>
      <c r="C36" s="16"/>
      <c r="D36" s="16"/>
      <c r="E36" s="16"/>
      <c r="F36" s="16"/>
      <c r="G36" s="16"/>
      <c r="H36" s="16"/>
      <c r="I36" s="16"/>
    </row>
    <row r="37" spans="1:9" ht="20.100000000000001" customHeight="1" thickBot="1" x14ac:dyDescent="0.35"/>
    <row r="38" spans="1:9" ht="20.100000000000001" customHeight="1" thickBot="1" x14ac:dyDescent="0.35">
      <c r="A38" s="2" t="s">
        <v>54</v>
      </c>
    </row>
    <row r="39" spans="1:9" ht="20.100000000000001" customHeight="1" thickBot="1" x14ac:dyDescent="0.35">
      <c r="A39" s="13">
        <v>45931</v>
      </c>
    </row>
    <row r="40" spans="1:9" ht="20.100000000000001" customHeight="1" thickBot="1" x14ac:dyDescent="0.35">
      <c r="A40" s="13">
        <v>45932</v>
      </c>
    </row>
    <row r="41" spans="1:9" ht="20.100000000000001" customHeight="1" thickBot="1" x14ac:dyDescent="0.35">
      <c r="A41" s="13">
        <v>45933</v>
      </c>
    </row>
    <row r="42" spans="1:9" ht="20.100000000000001" customHeight="1" thickBot="1" x14ac:dyDescent="0.35">
      <c r="A42" s="13">
        <v>45934</v>
      </c>
    </row>
    <row r="43" spans="1:9" ht="20.100000000000001" customHeight="1" thickBot="1" x14ac:dyDescent="0.35">
      <c r="A43" s="13">
        <v>45935</v>
      </c>
    </row>
    <row r="44" spans="1:9" ht="20.100000000000001" customHeight="1" thickBot="1" x14ac:dyDescent="0.35">
      <c r="A44" s="13">
        <v>45936</v>
      </c>
    </row>
    <row r="45" spans="1:9" ht="20.100000000000001" customHeight="1" thickBot="1" x14ac:dyDescent="0.35">
      <c r="A45" s="13">
        <v>45937</v>
      </c>
    </row>
    <row r="46" spans="1:9" ht="20.100000000000001" customHeight="1" thickBot="1" x14ac:dyDescent="0.35">
      <c r="A46" s="13">
        <v>45938</v>
      </c>
    </row>
    <row r="47" spans="1:9" ht="20.100000000000001" customHeight="1" thickBot="1" x14ac:dyDescent="0.35">
      <c r="A47" s="13">
        <v>45939</v>
      </c>
    </row>
    <row r="48" spans="1:9" ht="20.100000000000001" customHeight="1" thickBot="1" x14ac:dyDescent="0.35">
      <c r="A48" s="13">
        <v>45940</v>
      </c>
    </row>
    <row r="49" spans="1:1" ht="20.100000000000001" customHeight="1" thickBot="1" x14ac:dyDescent="0.35">
      <c r="A49" s="13">
        <v>45941</v>
      </c>
    </row>
    <row r="50" spans="1:1" ht="20.100000000000001" customHeight="1" thickBot="1" x14ac:dyDescent="0.35">
      <c r="A50" s="13">
        <v>45942</v>
      </c>
    </row>
    <row r="51" spans="1:1" ht="20.100000000000001" customHeight="1" thickBot="1" x14ac:dyDescent="0.35">
      <c r="A51" s="13">
        <v>45943</v>
      </c>
    </row>
    <row r="52" spans="1:1" ht="20.100000000000001" customHeight="1" thickBot="1" x14ac:dyDescent="0.35">
      <c r="A52" s="13">
        <v>45944</v>
      </c>
    </row>
    <row r="53" spans="1:1" ht="20.100000000000001" customHeight="1" thickBot="1" x14ac:dyDescent="0.35">
      <c r="A53" s="13">
        <v>45945</v>
      </c>
    </row>
    <row r="54" spans="1:1" ht="20.100000000000001" customHeight="1" thickBot="1" x14ac:dyDescent="0.35">
      <c r="A54" s="13">
        <v>45946</v>
      </c>
    </row>
    <row r="55" spans="1:1" ht="20.100000000000001" customHeight="1" thickBot="1" x14ac:dyDescent="0.35">
      <c r="A55" s="13">
        <v>45947</v>
      </c>
    </row>
    <row r="56" spans="1:1" ht="20.100000000000001" customHeight="1" thickBot="1" x14ac:dyDescent="0.35">
      <c r="A56" s="13">
        <v>45948</v>
      </c>
    </row>
    <row r="57" spans="1:1" ht="20.100000000000001" customHeight="1" thickBot="1" x14ac:dyDescent="0.35">
      <c r="A57" s="13">
        <v>45949</v>
      </c>
    </row>
    <row r="58" spans="1:1" ht="20.100000000000001" customHeight="1" thickBot="1" x14ac:dyDescent="0.35">
      <c r="A58" s="13">
        <v>45950</v>
      </c>
    </row>
    <row r="59" spans="1:1" ht="20.100000000000001" customHeight="1" thickBot="1" x14ac:dyDescent="0.35">
      <c r="A59" s="13">
        <v>45951</v>
      </c>
    </row>
    <row r="60" spans="1:1" ht="20.100000000000001" customHeight="1" thickBot="1" x14ac:dyDescent="0.35">
      <c r="A60" s="13">
        <v>45952</v>
      </c>
    </row>
    <row r="61" spans="1:1" ht="20.100000000000001" customHeight="1" thickBot="1" x14ac:dyDescent="0.35">
      <c r="A61" s="13">
        <v>45953</v>
      </c>
    </row>
    <row r="62" spans="1:1" ht="20.100000000000001" customHeight="1" thickBot="1" x14ac:dyDescent="0.35">
      <c r="A62" s="13">
        <v>45954</v>
      </c>
    </row>
    <row r="63" spans="1:1" ht="20.100000000000001" customHeight="1" thickBot="1" x14ac:dyDescent="0.35">
      <c r="A63" s="13">
        <v>45955</v>
      </c>
    </row>
    <row r="64" spans="1:1" ht="20.100000000000001" customHeight="1" thickBot="1" x14ac:dyDescent="0.35">
      <c r="A64" s="13">
        <v>45956</v>
      </c>
    </row>
    <row r="65" spans="1:1" ht="20.100000000000001" customHeight="1" thickBot="1" x14ac:dyDescent="0.35">
      <c r="A65" s="13">
        <v>45957</v>
      </c>
    </row>
    <row r="66" spans="1:1" ht="20.100000000000001" customHeight="1" thickBot="1" x14ac:dyDescent="0.35">
      <c r="A66" s="13">
        <v>45958</v>
      </c>
    </row>
    <row r="67" spans="1:1" ht="20.100000000000001" customHeight="1" thickBot="1" x14ac:dyDescent="0.35">
      <c r="A67" s="13">
        <v>45959</v>
      </c>
    </row>
    <row r="68" spans="1:1" ht="20.100000000000001" customHeight="1" thickBot="1" x14ac:dyDescent="0.35">
      <c r="A68" s="13">
        <v>45960</v>
      </c>
    </row>
    <row r="69" spans="1:1" ht="20.100000000000001" customHeight="1" thickBot="1" x14ac:dyDescent="0.35">
      <c r="A69" s="13">
        <v>45961</v>
      </c>
    </row>
    <row r="70" spans="1:1" ht="20.100000000000001" customHeight="1" thickBot="1" x14ac:dyDescent="0.35">
      <c r="A70" s="13"/>
    </row>
    <row r="71" spans="1:1" ht="20.100000000000001" customHeight="1" thickBot="1" x14ac:dyDescent="0.35">
      <c r="A71" s="13"/>
    </row>
    <row r="72" spans="1:1" ht="20.100000000000001" customHeight="1" thickBot="1" x14ac:dyDescent="0.35">
      <c r="A72" s="13"/>
    </row>
    <row r="73" spans="1:1" ht="20.100000000000001" customHeight="1" thickBot="1" x14ac:dyDescent="0.35">
      <c r="A73" s="13"/>
    </row>
    <row r="74" spans="1:1" ht="20.100000000000001" customHeight="1" thickBot="1" x14ac:dyDescent="0.35">
      <c r="A74" s="13"/>
    </row>
    <row r="75" spans="1:1" ht="20.100000000000001" customHeight="1" thickBot="1" x14ac:dyDescent="0.35">
      <c r="A75" s="13"/>
    </row>
    <row r="76" spans="1:1" ht="20.100000000000001" customHeight="1" thickBot="1" x14ac:dyDescent="0.35">
      <c r="A76" s="13"/>
    </row>
    <row r="77" spans="1:1" ht="20.100000000000001" customHeight="1" thickBot="1" x14ac:dyDescent="0.35">
      <c r="A77" s="13"/>
    </row>
    <row r="78" spans="1:1" ht="20.100000000000001" customHeight="1" thickBot="1" x14ac:dyDescent="0.35">
      <c r="A78" s="13"/>
    </row>
    <row r="79" spans="1:1" ht="20.100000000000001" customHeight="1" thickBot="1" x14ac:dyDescent="0.35">
      <c r="A79" s="13"/>
    </row>
    <row r="80" spans="1:1" ht="20.100000000000001" customHeight="1" thickBot="1" x14ac:dyDescent="0.35">
      <c r="A80" s="13"/>
    </row>
    <row r="81" spans="1:1" ht="20.100000000000001" customHeight="1" thickBot="1" x14ac:dyDescent="0.35">
      <c r="A81" s="13"/>
    </row>
    <row r="82" spans="1:1" ht="20.100000000000001" customHeight="1" thickBot="1" x14ac:dyDescent="0.35">
      <c r="A82" s="13"/>
    </row>
    <row r="83" spans="1:1" ht="20.100000000000001" customHeight="1" thickBot="1" x14ac:dyDescent="0.35">
      <c r="A83" s="13"/>
    </row>
    <row r="84" spans="1:1" ht="20.100000000000001" customHeight="1" thickBot="1" x14ac:dyDescent="0.35">
      <c r="A84" s="13"/>
    </row>
    <row r="85" spans="1:1" ht="20.100000000000001" customHeight="1" thickBot="1" x14ac:dyDescent="0.35">
      <c r="A85" s="13"/>
    </row>
    <row r="86" spans="1:1" ht="20.100000000000001" customHeight="1" thickBot="1" x14ac:dyDescent="0.35">
      <c r="A86" s="13"/>
    </row>
    <row r="87" spans="1:1" ht="20.100000000000001" customHeight="1" thickBot="1" x14ac:dyDescent="0.35">
      <c r="A87" s="13"/>
    </row>
    <row r="88" spans="1:1" ht="20.100000000000001" customHeight="1" thickBot="1" x14ac:dyDescent="0.35">
      <c r="A88" s="13"/>
    </row>
    <row r="89" spans="1:1" ht="20.100000000000001" customHeight="1" thickBot="1" x14ac:dyDescent="0.35">
      <c r="A89" s="13"/>
    </row>
    <row r="90" spans="1:1" ht="20.100000000000001" customHeight="1" thickBot="1" x14ac:dyDescent="0.35">
      <c r="A90" s="13"/>
    </row>
    <row r="91" spans="1:1" ht="20.100000000000001" customHeight="1" thickBot="1" x14ac:dyDescent="0.35">
      <c r="A91" s="13"/>
    </row>
    <row r="92" spans="1:1" ht="20.100000000000001" customHeight="1" thickBot="1" x14ac:dyDescent="0.35">
      <c r="A92" s="13"/>
    </row>
    <row r="93" spans="1:1" ht="20.100000000000001" customHeight="1" thickBot="1" x14ac:dyDescent="0.35">
      <c r="A93" s="13"/>
    </row>
    <row r="94" spans="1:1" ht="20.100000000000001" customHeight="1" thickBot="1" x14ac:dyDescent="0.35">
      <c r="A94" s="13"/>
    </row>
    <row r="95" spans="1:1" ht="20.100000000000001" customHeight="1" thickBot="1" x14ac:dyDescent="0.35">
      <c r="A95" s="13"/>
    </row>
    <row r="96" spans="1:1" ht="20.100000000000001" customHeight="1" thickBot="1" x14ac:dyDescent="0.35">
      <c r="A96" s="13"/>
    </row>
    <row r="97" spans="1:9" ht="20.100000000000001" customHeight="1" thickBot="1" x14ac:dyDescent="0.35">
      <c r="A97" s="13"/>
    </row>
    <row r="98" spans="1:9" ht="20.100000000000001" customHeight="1" thickBot="1" x14ac:dyDescent="0.35">
      <c r="A98" s="13"/>
    </row>
    <row r="99" spans="1:9" ht="20.100000000000001" customHeight="1" thickBot="1" x14ac:dyDescent="0.35">
      <c r="A99" s="13"/>
    </row>
    <row r="100" spans="1:9" ht="20.100000000000001" customHeight="1" thickBot="1" x14ac:dyDescent="0.35">
      <c r="A100" s="13"/>
    </row>
    <row r="101" spans="1:9" ht="20.100000000000001" customHeight="1" thickBot="1" x14ac:dyDescent="0.35">
      <c r="A101" s="13"/>
    </row>
    <row r="102" spans="1:9" ht="20.100000000000001" customHeight="1" thickBot="1" x14ac:dyDescent="0.35">
      <c r="A102" s="13"/>
    </row>
    <row r="103" spans="1:9" ht="20.100000000000001" customHeight="1" thickBot="1" x14ac:dyDescent="0.35">
      <c r="A103" s="13"/>
    </row>
    <row r="104" spans="1:9" ht="20.100000000000001" customHeight="1" thickBot="1" x14ac:dyDescent="0.35">
      <c r="A104" s="13"/>
    </row>
    <row r="105" spans="1:9" ht="20.100000000000001" customHeight="1" thickBot="1" x14ac:dyDescent="0.35">
      <c r="A105" s="13"/>
    </row>
    <row r="106" spans="1:9" ht="20.100000000000001" customHeight="1" thickBot="1" x14ac:dyDescent="0.35">
      <c r="A106" s="13"/>
    </row>
    <row r="107" spans="1:9" ht="20.100000000000001" customHeight="1" x14ac:dyDescent="0.3">
      <c r="A107" s="14"/>
    </row>
    <row r="108" spans="1:9" ht="20.100000000000001" customHeight="1" x14ac:dyDescent="0.3">
      <c r="A108" s="14"/>
    </row>
    <row r="109" spans="1:9" s="17" customFormat="1" ht="20.100000000000001" customHeight="1" x14ac:dyDescent="0.3">
      <c r="A109" s="15"/>
      <c r="B109" s="16"/>
      <c r="C109" s="16"/>
      <c r="D109" s="16"/>
      <c r="E109" s="16"/>
      <c r="F109" s="16"/>
      <c r="G109" s="16"/>
      <c r="H109" s="16"/>
      <c r="I109" s="16"/>
    </row>
    <row r="110" spans="1:9" ht="20.100000000000001" customHeight="1" thickBot="1" x14ac:dyDescent="0.35"/>
    <row r="111" spans="1:9" ht="20.100000000000001" customHeight="1" thickBot="1" x14ac:dyDescent="0.35">
      <c r="A111" s="2" t="s">
        <v>59</v>
      </c>
    </row>
    <row r="112" spans="1:9" ht="20.100000000000001" customHeight="1" thickBot="1" x14ac:dyDescent="0.35">
      <c r="A112" s="2" t="s">
        <v>15</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57</v>
      </c>
    </row>
    <row r="199" spans="1:1" ht="20.100000000000001" customHeight="1" x14ac:dyDescent="0.3">
      <c r="A199" s="20" t="s">
        <v>87</v>
      </c>
    </row>
    <row r="200" spans="1:1" ht="20.100000000000001" customHeight="1" x14ac:dyDescent="0.3">
      <c r="A200" s="20" t="s">
        <v>88</v>
      </c>
    </row>
    <row r="201" spans="1:1" ht="20.100000000000001" customHeight="1" x14ac:dyDescent="0.3">
      <c r="A201" s="20" t="s">
        <v>89</v>
      </c>
    </row>
    <row r="202" spans="1:1" ht="20.100000000000001" customHeight="1" x14ac:dyDescent="0.3">
      <c r="A202" s="20" t="s">
        <v>90</v>
      </c>
    </row>
    <row r="203" spans="1:1" ht="20.100000000000001" customHeight="1" x14ac:dyDescent="0.3">
      <c r="A203" s="20" t="s">
        <v>91</v>
      </c>
    </row>
    <row r="204" spans="1:1" ht="20.100000000000001" customHeight="1" x14ac:dyDescent="0.3">
      <c r="A204" s="20" t="s">
        <v>92</v>
      </c>
    </row>
    <row r="205" spans="1:1" ht="20.100000000000001" customHeight="1" x14ac:dyDescent="0.3">
      <c r="A205" s="20" t="s">
        <v>93</v>
      </c>
    </row>
    <row r="206" spans="1:1" ht="20.100000000000001" customHeight="1" x14ac:dyDescent="0.3">
      <c r="A206" s="20" t="s">
        <v>94</v>
      </c>
    </row>
    <row r="207" spans="1:1" ht="20.100000000000001" customHeight="1" x14ac:dyDescent="0.3">
      <c r="A207" s="20" t="s">
        <v>95</v>
      </c>
    </row>
    <row r="208" spans="1:1" ht="20.100000000000001" customHeight="1" x14ac:dyDescent="0.3">
      <c r="A208" s="21" t="s">
        <v>96</v>
      </c>
    </row>
    <row r="209" spans="1:1" ht="20.100000000000001" customHeight="1" x14ac:dyDescent="0.3">
      <c r="A209" s="21" t="s">
        <v>97</v>
      </c>
    </row>
    <row r="210" spans="1:1" ht="20.100000000000001" customHeight="1" x14ac:dyDescent="0.3">
      <c r="A210" s="20" t="s">
        <v>98</v>
      </c>
    </row>
    <row r="211" spans="1:1" ht="20.100000000000001" customHeight="1" x14ac:dyDescent="0.3">
      <c r="A211" s="20" t="s">
        <v>99</v>
      </c>
    </row>
    <row r="212" spans="1:1" ht="20.100000000000001" customHeight="1" x14ac:dyDescent="0.3">
      <c r="A212" s="20" t="s">
        <v>173</v>
      </c>
    </row>
    <row r="213" spans="1:1" ht="20.100000000000001" customHeight="1" x14ac:dyDescent="0.3">
      <c r="A213" s="20" t="s">
        <v>100</v>
      </c>
    </row>
    <row r="214" spans="1:1" ht="20.100000000000001" customHeight="1" x14ac:dyDescent="0.3">
      <c r="A214" s="20" t="s">
        <v>101</v>
      </c>
    </row>
    <row r="215" spans="1:1" ht="20.100000000000001" customHeight="1" x14ac:dyDescent="0.3">
      <c r="A215" s="20" t="s">
        <v>102</v>
      </c>
    </row>
    <row r="216" spans="1:1" ht="20.100000000000001" customHeight="1" x14ac:dyDescent="0.3">
      <c r="A216" s="20" t="s">
        <v>103</v>
      </c>
    </row>
    <row r="217" spans="1:1" ht="20.100000000000001" customHeight="1" x14ac:dyDescent="0.3">
      <c r="A217" s="20" t="s">
        <v>104</v>
      </c>
    </row>
    <row r="218" spans="1:1" ht="20.100000000000001" customHeight="1" x14ac:dyDescent="0.3">
      <c r="A218" s="20" t="s">
        <v>105</v>
      </c>
    </row>
    <row r="219" spans="1:1" ht="20.100000000000001" customHeight="1" x14ac:dyDescent="0.3">
      <c r="A219" s="20" t="s">
        <v>106</v>
      </c>
    </row>
    <row r="220" spans="1:1" ht="20.100000000000001" customHeight="1" x14ac:dyDescent="0.3">
      <c r="A220" s="20" t="s">
        <v>107</v>
      </c>
    </row>
    <row r="221" spans="1:1" ht="20.100000000000001" customHeight="1" x14ac:dyDescent="0.3">
      <c r="A221" s="20" t="s">
        <v>108</v>
      </c>
    </row>
    <row r="222" spans="1:1" ht="20.100000000000001" customHeight="1" x14ac:dyDescent="0.3">
      <c r="A222" s="20" t="s">
        <v>109</v>
      </c>
    </row>
    <row r="223" spans="1:1" ht="20.100000000000001" customHeight="1" x14ac:dyDescent="0.3">
      <c r="A223" s="20" t="s">
        <v>110</v>
      </c>
    </row>
    <row r="224" spans="1:1" ht="20.100000000000001" customHeight="1" x14ac:dyDescent="0.3">
      <c r="A224" s="20" t="s">
        <v>174</v>
      </c>
    </row>
    <row r="225" spans="1:1" ht="20.100000000000001" customHeight="1" x14ac:dyDescent="0.3">
      <c r="A225" s="20" t="s">
        <v>111</v>
      </c>
    </row>
    <row r="226" spans="1:1" ht="20.100000000000001" customHeight="1" x14ac:dyDescent="0.3">
      <c r="A226" s="20" t="s">
        <v>112</v>
      </c>
    </row>
    <row r="227" spans="1:1" ht="20.100000000000001" customHeight="1" x14ac:dyDescent="0.3">
      <c r="A227" s="20" t="s">
        <v>113</v>
      </c>
    </row>
    <row r="228" spans="1:1" ht="20.100000000000001" customHeight="1" x14ac:dyDescent="0.3">
      <c r="A228" s="20" t="s">
        <v>114</v>
      </c>
    </row>
    <row r="229" spans="1:1" ht="20.100000000000001" customHeight="1" x14ac:dyDescent="0.3">
      <c r="A229" s="20" t="s">
        <v>115</v>
      </c>
    </row>
    <row r="230" spans="1:1" ht="20.100000000000001" customHeight="1" x14ac:dyDescent="0.3">
      <c r="A230" s="20" t="s">
        <v>116</v>
      </c>
    </row>
    <row r="231" spans="1:1" ht="20.100000000000001" customHeight="1" x14ac:dyDescent="0.3">
      <c r="A231" s="20" t="s">
        <v>117</v>
      </c>
    </row>
    <row r="232" spans="1:1" ht="20.100000000000001" customHeight="1" x14ac:dyDescent="0.3">
      <c r="A232" s="20" t="s">
        <v>118</v>
      </c>
    </row>
    <row r="233" spans="1:1" ht="20.100000000000001" customHeight="1" x14ac:dyDescent="0.3">
      <c r="A233" s="20" t="s">
        <v>119</v>
      </c>
    </row>
    <row r="234" spans="1:1" ht="20.100000000000001" customHeight="1" x14ac:dyDescent="0.3">
      <c r="A234" s="20" t="s">
        <v>120</v>
      </c>
    </row>
    <row r="235" spans="1:1" ht="20.100000000000001" customHeight="1" x14ac:dyDescent="0.3">
      <c r="A235" s="20" t="s">
        <v>121</v>
      </c>
    </row>
    <row r="236" spans="1:1" ht="20.100000000000001" customHeight="1" x14ac:dyDescent="0.3">
      <c r="A236" s="22" t="s">
        <v>122</v>
      </c>
    </row>
    <row r="237" spans="1:1" ht="20.100000000000001" customHeight="1" x14ac:dyDescent="0.3">
      <c r="A237" s="20" t="s">
        <v>123</v>
      </c>
    </row>
    <row r="238" spans="1:1" ht="20.100000000000001" customHeight="1" x14ac:dyDescent="0.3">
      <c r="A238" s="20" t="s">
        <v>124</v>
      </c>
    </row>
    <row r="239" spans="1:1" ht="20.100000000000001" customHeight="1" x14ac:dyDescent="0.3">
      <c r="A239" s="20" t="s">
        <v>125</v>
      </c>
    </row>
    <row r="240" spans="1:1" ht="20.100000000000001" customHeight="1" x14ac:dyDescent="0.3">
      <c r="A240" s="20" t="s">
        <v>126</v>
      </c>
    </row>
    <row r="241" spans="1:1" ht="20.100000000000001" customHeight="1" x14ac:dyDescent="0.3">
      <c r="A241" s="20" t="s">
        <v>127</v>
      </c>
    </row>
    <row r="242" spans="1:1" ht="20.100000000000001" customHeight="1" x14ac:dyDescent="0.3">
      <c r="A242" s="20" t="s">
        <v>128</v>
      </c>
    </row>
    <row r="243" spans="1:1" ht="20.100000000000001" customHeight="1" x14ac:dyDescent="0.3">
      <c r="A243" s="20" t="s">
        <v>129</v>
      </c>
    </row>
    <row r="244" spans="1:1" ht="20.100000000000001" customHeight="1" x14ac:dyDescent="0.3">
      <c r="A244" s="20" t="s">
        <v>130</v>
      </c>
    </row>
    <row r="245" spans="1:1" ht="20.100000000000001" customHeight="1" x14ac:dyDescent="0.3">
      <c r="A245" s="20" t="s">
        <v>131</v>
      </c>
    </row>
    <row r="246" spans="1:1" ht="20.100000000000001" customHeight="1" x14ac:dyDescent="0.3">
      <c r="A246" s="20" t="s">
        <v>132</v>
      </c>
    </row>
    <row r="247" spans="1:1" ht="20.100000000000001" customHeight="1" x14ac:dyDescent="0.3">
      <c r="A247" s="20" t="s">
        <v>133</v>
      </c>
    </row>
    <row r="248" spans="1:1" ht="20.100000000000001" customHeight="1" x14ac:dyDescent="0.3">
      <c r="A248" s="20" t="s">
        <v>124</v>
      </c>
    </row>
    <row r="249" spans="1:1" ht="20.100000000000001" customHeight="1" x14ac:dyDescent="0.3">
      <c r="A249" s="20" t="s">
        <v>134</v>
      </c>
    </row>
    <row r="250" spans="1:1" ht="20.100000000000001" customHeight="1" x14ac:dyDescent="0.3">
      <c r="A250" s="20" t="s">
        <v>135</v>
      </c>
    </row>
    <row r="251" spans="1:1" ht="20.100000000000001" customHeight="1" x14ac:dyDescent="0.3">
      <c r="A251" s="22" t="s">
        <v>136</v>
      </c>
    </row>
    <row r="252" spans="1:1" ht="20.100000000000001" customHeight="1" x14ac:dyDescent="0.3">
      <c r="A252" s="23" t="s">
        <v>137</v>
      </c>
    </row>
    <row r="253" spans="1:1" ht="20.100000000000001" customHeight="1" x14ac:dyDescent="0.3">
      <c r="A253" s="20" t="s">
        <v>138</v>
      </c>
    </row>
    <row r="254" spans="1:1" ht="20.100000000000001" customHeight="1" x14ac:dyDescent="0.3">
      <c r="A254" s="20" t="s">
        <v>139</v>
      </c>
    </row>
    <row r="255" spans="1:1" ht="20.100000000000001" customHeight="1" x14ac:dyDescent="0.3">
      <c r="A255" s="24" t="s">
        <v>140</v>
      </c>
    </row>
    <row r="256" spans="1:1" ht="20.100000000000001" customHeight="1" x14ac:dyDescent="0.3">
      <c r="A256" s="24" t="s">
        <v>141</v>
      </c>
    </row>
    <row r="257" spans="1:1" ht="20.100000000000001" customHeight="1" x14ac:dyDescent="0.3">
      <c r="A257" s="25" t="s">
        <v>142</v>
      </c>
    </row>
    <row r="258" spans="1:1" ht="20.100000000000001" customHeight="1" x14ac:dyDescent="0.3">
      <c r="A258" s="20" t="s">
        <v>143</v>
      </c>
    </row>
    <row r="259" spans="1:1" ht="20.100000000000001" customHeight="1" x14ac:dyDescent="0.3">
      <c r="A259" s="25" t="s">
        <v>144</v>
      </c>
    </row>
    <row r="260" spans="1:1" ht="20.100000000000001" customHeight="1" x14ac:dyDescent="0.3">
      <c r="A260" s="20" t="s">
        <v>145</v>
      </c>
    </row>
    <row r="261" spans="1:1" ht="20.100000000000001" customHeight="1" x14ac:dyDescent="0.3">
      <c r="A261" s="25" t="s">
        <v>146</v>
      </c>
    </row>
    <row r="262" spans="1:1" ht="20.100000000000001" customHeight="1" x14ac:dyDescent="0.3">
      <c r="A262" s="20" t="s">
        <v>147</v>
      </c>
    </row>
    <row r="263" spans="1:1" ht="20.100000000000001" customHeight="1" x14ac:dyDescent="0.3">
      <c r="A263" s="20" t="s">
        <v>148</v>
      </c>
    </row>
    <row r="264" spans="1:1" ht="20.100000000000001" customHeight="1" x14ac:dyDescent="0.3">
      <c r="A264" s="25" t="s">
        <v>149</v>
      </c>
    </row>
    <row r="265" spans="1:1" ht="20.100000000000001" customHeight="1" x14ac:dyDescent="0.3">
      <c r="A265" s="25" t="s">
        <v>150</v>
      </c>
    </row>
    <row r="266" spans="1:1" ht="20.100000000000001" customHeight="1" x14ac:dyDescent="0.3">
      <c r="A266" s="25" t="s">
        <v>151</v>
      </c>
    </row>
    <row r="267" spans="1:1" ht="20.100000000000001" customHeight="1" x14ac:dyDescent="0.3">
      <c r="A267" s="20" t="s">
        <v>152</v>
      </c>
    </row>
    <row r="268" spans="1:1" ht="20.100000000000001" customHeight="1" x14ac:dyDescent="0.3">
      <c r="A268" s="20" t="s">
        <v>153</v>
      </c>
    </row>
    <row r="269" spans="1:1" ht="20.100000000000001" customHeight="1" x14ac:dyDescent="0.3">
      <c r="A269" s="20" t="s">
        <v>154</v>
      </c>
    </row>
    <row r="270" spans="1:1" ht="20.100000000000001" customHeight="1" x14ac:dyDescent="0.3">
      <c r="A270" s="20" t="s">
        <v>155</v>
      </c>
    </row>
    <row r="271" spans="1:1" ht="20.100000000000001" customHeight="1" x14ac:dyDescent="0.3">
      <c r="A271" s="25" t="s">
        <v>156</v>
      </c>
    </row>
    <row r="272" spans="1:1" ht="20.100000000000001" customHeight="1" x14ac:dyDescent="0.3">
      <c r="A272" s="25" t="s">
        <v>157</v>
      </c>
    </row>
    <row r="273" spans="1:1" ht="20.100000000000001" customHeight="1" x14ac:dyDescent="0.3">
      <c r="A273" s="20" t="s">
        <v>158</v>
      </c>
    </row>
    <row r="274" spans="1:1" ht="20.100000000000001" customHeight="1" x14ac:dyDescent="0.3">
      <c r="A274" s="25" t="s">
        <v>159</v>
      </c>
    </row>
    <row r="275" spans="1:1" ht="20.100000000000001" customHeight="1" x14ac:dyDescent="0.3">
      <c r="A275" s="25" t="s">
        <v>160</v>
      </c>
    </row>
    <row r="276" spans="1:1" ht="20.100000000000001" customHeight="1" x14ac:dyDescent="0.3">
      <c r="A276" s="20" t="s">
        <v>161</v>
      </c>
    </row>
    <row r="277" spans="1:1" ht="20.100000000000001" customHeight="1" x14ac:dyDescent="0.3">
      <c r="A277" s="20" t="s">
        <v>162</v>
      </c>
    </row>
    <row r="278" spans="1:1" ht="20.100000000000001" customHeight="1" x14ac:dyDescent="0.3">
      <c r="A278" s="25" t="s">
        <v>163</v>
      </c>
    </row>
    <row r="279" spans="1:1" ht="20.100000000000001" customHeight="1" x14ac:dyDescent="0.3">
      <c r="A279" s="20" t="s">
        <v>164</v>
      </c>
    </row>
    <row r="280" spans="1:1" ht="20.100000000000001" customHeight="1" x14ac:dyDescent="0.3">
      <c r="A280" s="20" t="s">
        <v>165</v>
      </c>
    </row>
    <row r="281" spans="1:1" ht="20.100000000000001" customHeight="1" x14ac:dyDescent="0.3">
      <c r="A281" s="20" t="s">
        <v>166</v>
      </c>
    </row>
    <row r="282" spans="1:1" ht="20.100000000000001" customHeight="1" x14ac:dyDescent="0.3">
      <c r="A282" s="20" t="s">
        <v>167</v>
      </c>
    </row>
    <row r="283" spans="1:1" ht="20.100000000000001" customHeight="1" x14ac:dyDescent="0.3">
      <c r="A283" s="25" t="s">
        <v>168</v>
      </c>
    </row>
    <row r="284" spans="1:1" ht="20.100000000000001" customHeight="1" x14ac:dyDescent="0.3">
      <c r="A284" s="25" t="s">
        <v>169</v>
      </c>
    </row>
    <row r="285" spans="1:1" ht="20.100000000000001" customHeight="1" x14ac:dyDescent="0.3">
      <c r="A285" s="25" t="s">
        <v>170</v>
      </c>
    </row>
    <row r="286" spans="1:1" ht="20.100000000000001" customHeight="1" thickBot="1" x14ac:dyDescent="0.35">
      <c r="A286" s="20" t="s">
        <v>171</v>
      </c>
    </row>
    <row r="287" spans="1:1" ht="20.100000000000001" customHeight="1" thickBot="1" x14ac:dyDescent="0.35">
      <c r="A287" s="2" t="s">
        <v>56</v>
      </c>
    </row>
    <row r="288" spans="1:1" ht="20.100000000000001" customHeight="1" thickBot="1" x14ac:dyDescent="0.35">
      <c r="A288" s="2" t="s">
        <v>56</v>
      </c>
    </row>
    <row r="289" spans="1:1" ht="20.100000000000001" customHeight="1" thickBot="1" x14ac:dyDescent="0.35">
      <c r="A289" s="2" t="s">
        <v>56</v>
      </c>
    </row>
    <row r="290" spans="1:1" ht="20.100000000000001" customHeight="1" thickBot="1" x14ac:dyDescent="0.35">
      <c r="A290" s="2" t="s">
        <v>56</v>
      </c>
    </row>
    <row r="291" spans="1:1" ht="20.100000000000001" customHeight="1" thickBot="1" x14ac:dyDescent="0.35">
      <c r="A291" s="2" t="s">
        <v>56</v>
      </c>
    </row>
    <row r="292" spans="1:1" ht="20.100000000000001" customHeight="1" thickBot="1" x14ac:dyDescent="0.35">
      <c r="A292" s="2" t="s">
        <v>56</v>
      </c>
    </row>
    <row r="293" spans="1:1" ht="20.100000000000001" customHeight="1" thickBot="1" x14ac:dyDescent="0.35">
      <c r="A293" s="2" t="s">
        <v>56</v>
      </c>
    </row>
    <row r="294" spans="1:1" ht="20.100000000000001" customHeight="1" thickBot="1" x14ac:dyDescent="0.35">
      <c r="A294" s="2" t="s">
        <v>56</v>
      </c>
    </row>
    <row r="295" spans="1:1" ht="20.100000000000001" customHeight="1" thickBot="1" x14ac:dyDescent="0.35">
      <c r="A295" s="2" t="s">
        <v>56</v>
      </c>
    </row>
    <row r="296" spans="1:1" ht="20.100000000000001" customHeight="1" thickBot="1" x14ac:dyDescent="0.35">
      <c r="A296" s="2" t="s">
        <v>56</v>
      </c>
    </row>
    <row r="297" spans="1:1" ht="20.100000000000001" customHeight="1" thickBot="1" x14ac:dyDescent="0.35">
      <c r="A297" s="2" t="s">
        <v>56</v>
      </c>
    </row>
    <row r="298" spans="1:1" ht="20.100000000000001" customHeight="1" thickBot="1" x14ac:dyDescent="0.35">
      <c r="A298" s="2" t="s">
        <v>56</v>
      </c>
    </row>
    <row r="299" spans="1:1" ht="20.100000000000001" customHeight="1" thickBot="1" x14ac:dyDescent="0.35">
      <c r="A299" s="2" t="s">
        <v>56</v>
      </c>
    </row>
    <row r="300" spans="1:1" ht="20.100000000000001" customHeight="1" thickBot="1" x14ac:dyDescent="0.35">
      <c r="A300" s="2" t="s">
        <v>56</v>
      </c>
    </row>
    <row r="301" spans="1:1" ht="20.100000000000001" customHeight="1" thickBot="1" x14ac:dyDescent="0.35">
      <c r="A301" s="2" t="s">
        <v>56</v>
      </c>
    </row>
    <row r="302" spans="1:1" ht="20.100000000000001" customHeight="1" thickBot="1" x14ac:dyDescent="0.35">
      <c r="A302" s="2" t="s">
        <v>56</v>
      </c>
    </row>
    <row r="303" spans="1:1" ht="20.100000000000001" customHeight="1" thickBot="1" x14ac:dyDescent="0.35">
      <c r="A303" s="2" t="s">
        <v>56</v>
      </c>
    </row>
    <row r="304" spans="1:1" ht="20.100000000000001" customHeight="1" thickBot="1" x14ac:dyDescent="0.35">
      <c r="A304" s="2" t="s">
        <v>56</v>
      </c>
    </row>
    <row r="305" spans="1:1" ht="20.100000000000001" customHeight="1" thickBot="1" x14ac:dyDescent="0.35">
      <c r="A305" s="2" t="s">
        <v>56</v>
      </c>
    </row>
    <row r="306" spans="1:1" ht="20.100000000000001" customHeight="1" thickBot="1" x14ac:dyDescent="0.35">
      <c r="A306" s="2" t="s">
        <v>56</v>
      </c>
    </row>
    <row r="307" spans="1:1" ht="20.100000000000001" customHeight="1" thickBot="1" x14ac:dyDescent="0.35">
      <c r="A307" s="2" t="s">
        <v>56</v>
      </c>
    </row>
    <row r="308" spans="1:1" ht="20.100000000000001" customHeight="1" thickBot="1" x14ac:dyDescent="0.35">
      <c r="A308" s="2" t="s">
        <v>56</v>
      </c>
    </row>
    <row r="309" spans="1:1" ht="20.100000000000001" customHeight="1" thickBot="1" x14ac:dyDescent="0.35">
      <c r="A309" s="2" t="s">
        <v>56</v>
      </c>
    </row>
    <row r="310" spans="1:1" ht="20.100000000000001" customHeight="1" thickBot="1" x14ac:dyDescent="0.35">
      <c r="A310" s="2" t="s">
        <v>56</v>
      </c>
    </row>
    <row r="311" spans="1:1" ht="20.100000000000001" customHeight="1" thickBot="1" x14ac:dyDescent="0.35">
      <c r="A311" s="2" t="s">
        <v>56</v>
      </c>
    </row>
    <row r="312" spans="1:1" ht="20.100000000000001" customHeight="1" thickBot="1" x14ac:dyDescent="0.35">
      <c r="A312" s="2" t="s">
        <v>56</v>
      </c>
    </row>
    <row r="313" spans="1:1" ht="20.100000000000001" customHeight="1" thickBot="1" x14ac:dyDescent="0.35">
      <c r="A313" s="2" t="s">
        <v>56</v>
      </c>
    </row>
    <row r="314" spans="1:1" ht="20.100000000000001" customHeight="1" thickBot="1" x14ac:dyDescent="0.35">
      <c r="A314" s="2" t="s">
        <v>56</v>
      </c>
    </row>
    <row r="315" spans="1:1" ht="20.100000000000001" customHeight="1" thickBot="1" x14ac:dyDescent="0.35">
      <c r="A315" s="2" t="s">
        <v>56</v>
      </c>
    </row>
    <row r="316" spans="1:1" ht="20.100000000000001" customHeight="1" thickBot="1" x14ac:dyDescent="0.35">
      <c r="A316" s="2" t="s">
        <v>56</v>
      </c>
    </row>
    <row r="317" spans="1:1" ht="20.100000000000001" customHeight="1" thickBot="1" x14ac:dyDescent="0.35">
      <c r="A317" s="2" t="s">
        <v>56</v>
      </c>
    </row>
    <row r="318" spans="1:1" ht="20.100000000000001" customHeight="1" thickBot="1" x14ac:dyDescent="0.35">
      <c r="A318" s="2" t="s">
        <v>56</v>
      </c>
    </row>
    <row r="319" spans="1:1" ht="20.100000000000001" customHeight="1" thickBot="1" x14ac:dyDescent="0.35">
      <c r="A319" s="2" t="s">
        <v>56</v>
      </c>
    </row>
    <row r="320" spans="1:1" ht="20.100000000000001" customHeight="1" thickBot="1" x14ac:dyDescent="0.35">
      <c r="A320" s="2" t="s">
        <v>56</v>
      </c>
    </row>
    <row r="321" spans="1:1" ht="20.100000000000001" customHeight="1" thickBot="1" x14ac:dyDescent="0.35">
      <c r="A321" s="2" t="s">
        <v>56</v>
      </c>
    </row>
    <row r="322" spans="1:1" ht="20.100000000000001" customHeight="1" thickBot="1" x14ac:dyDescent="0.35">
      <c r="A322" s="2" t="s">
        <v>56</v>
      </c>
    </row>
    <row r="323" spans="1:1" ht="20.100000000000001" customHeight="1" thickBot="1" x14ac:dyDescent="0.35">
      <c r="A323" s="2" t="s">
        <v>56</v>
      </c>
    </row>
    <row r="324" spans="1:1" ht="20.100000000000001" customHeight="1" thickBot="1" x14ac:dyDescent="0.35">
      <c r="A324" s="2" t="s">
        <v>56</v>
      </c>
    </row>
    <row r="325" spans="1:1" ht="20.100000000000001" customHeight="1" thickBot="1" x14ac:dyDescent="0.35">
      <c r="A325" s="2" t="s">
        <v>56</v>
      </c>
    </row>
    <row r="326" spans="1:1" ht="20.100000000000001" customHeight="1" thickBot="1" x14ac:dyDescent="0.35">
      <c r="A326" s="2" t="s">
        <v>56</v>
      </c>
    </row>
    <row r="327" spans="1:1" ht="20.100000000000001" customHeight="1" thickBot="1" x14ac:dyDescent="0.35">
      <c r="A327" s="2" t="s">
        <v>56</v>
      </c>
    </row>
    <row r="328" spans="1:1" ht="20.100000000000001" customHeight="1" thickBot="1" x14ac:dyDescent="0.35">
      <c r="A328" s="2" t="s">
        <v>56</v>
      </c>
    </row>
    <row r="329" spans="1:1" ht="20.100000000000001" customHeight="1" thickBot="1" x14ac:dyDescent="0.35">
      <c r="A329" s="2" t="s">
        <v>56</v>
      </c>
    </row>
    <row r="330" spans="1:1" ht="20.100000000000001" customHeight="1" thickBot="1" x14ac:dyDescent="0.35">
      <c r="A330" s="2" t="s">
        <v>56</v>
      </c>
    </row>
    <row r="331" spans="1:1" ht="20.100000000000001" customHeight="1" thickBot="1" x14ac:dyDescent="0.35">
      <c r="A331" s="2" t="s">
        <v>56</v>
      </c>
    </row>
    <row r="332" spans="1:1" ht="20.100000000000001" customHeight="1" thickBot="1" x14ac:dyDescent="0.35">
      <c r="A332" s="2" t="s">
        <v>56</v>
      </c>
    </row>
    <row r="333" spans="1:1" ht="20.100000000000001" customHeight="1" thickBot="1" x14ac:dyDescent="0.35">
      <c r="A333" s="2" t="s">
        <v>56</v>
      </c>
    </row>
    <row r="334" spans="1:1" ht="20.100000000000001" customHeight="1" thickBot="1" x14ac:dyDescent="0.35">
      <c r="A334" s="2" t="s">
        <v>56</v>
      </c>
    </row>
    <row r="335" spans="1:1" ht="20.100000000000001" customHeight="1" thickBot="1" x14ac:dyDescent="0.35">
      <c r="A335" s="2" t="s">
        <v>56</v>
      </c>
    </row>
    <row r="336" spans="1:1" ht="20.100000000000001" customHeight="1" thickBot="1" x14ac:dyDescent="0.35">
      <c r="A336" s="2" t="s">
        <v>56</v>
      </c>
    </row>
    <row r="337" spans="1:1" ht="20.100000000000001" customHeight="1" thickBot="1" x14ac:dyDescent="0.35">
      <c r="A337" s="2" t="s">
        <v>56</v>
      </c>
    </row>
    <row r="338" spans="1:1" ht="20.100000000000001" customHeight="1" thickBot="1" x14ac:dyDescent="0.35">
      <c r="A338" s="2"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2025-10-15T21:26:12Z</dcterms:modified>
</cp:coreProperties>
</file>