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31F4761-23BC-4BC3-AD2E-F45820E55B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<sst xmlns="http://schemas.openxmlformats.org/spreadsheetml/2006/main" count="263" uniqueCount="207">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</sst>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1402560</xdr:colOff>
      <xdr:row>51</xdr:row>
      <xdr:rowOff>70343</xdr:rowOff>
    </xdr:from>
    <xdr:to>
      <xdr:col>3</xdr:col>
      <xdr:colOff>1402920</xdr:colOff>
      <xdr:row>51</xdr:row>
      <xdr:rowOff>70703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CE23399-7672-B2AC-A26B-CA767DE6A863}"/>
                </a:ext>
              </a:extLst>
            </xdr14:cNvPr>
            <xdr14:cNvContentPartPr/>
          </xdr14:nvContentPartPr>
          <xdr14:nvPr macro=""/>
          <xdr14:xfrm>
            <a:off x="10402465944" y="20742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CE23399-7672-B2AC-A26B-CA767DE6A8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2459824" y="207363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498506</xdr:colOff>
      <xdr:row>37</xdr:row>
      <xdr:rowOff>156788</xdr:rowOff>
    </xdr:from>
    <xdr:to>
      <xdr:col>7</xdr:col>
      <xdr:colOff>395896</xdr:colOff>
      <xdr:row>37</xdr:row>
      <xdr:rowOff>385748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D464478-8022-9E97-C249-E9EE49F4E2F4}"/>
                </a:ext>
              </a:extLst>
            </xdr14:cNvPr>
            <xdr14:cNvContentPartPr/>
          </xdr14:nvContentPartPr>
          <xdr14:nvPr macro=""/>
          <xdr14:xfrm>
            <a:off x="10399507104" y="17705880"/>
            <a:ext cx="555480" cy="228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D464478-8022-9E97-C249-E9EE49F4E2F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500984" y="17699760"/>
              <a:ext cx="567720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365296</xdr:colOff>
      <xdr:row>37</xdr:row>
      <xdr:rowOff>154628</xdr:rowOff>
    </xdr:from>
    <xdr:to>
      <xdr:col>9</xdr:col>
      <xdr:colOff>257275</xdr:colOff>
      <xdr:row>38</xdr:row>
      <xdr:rowOff>30083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0EFE47F-2353-B2CC-6D72-6EE9A7189DE1}"/>
                </a:ext>
              </a:extLst>
            </xdr14:cNvPr>
            <xdr14:cNvContentPartPr/>
          </xdr14:nvContentPartPr>
          <xdr14:nvPr macro=""/>
          <xdr14:xfrm>
            <a:off x="10398329544" y="17703720"/>
            <a:ext cx="1208160" cy="5220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0EFE47F-2353-B2CC-6D72-6EE9A7189DE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8323424" y="17697600"/>
              <a:ext cx="1220400" cy="534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18:00:22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0:24.5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965 635 8905,'0'0'0,"2"0"1745,-2 0-1745,3-4 1584,1-8 160,1 9-135,-5 3-313,0 0-1296,0 0 1120,3 0-95,-3 0-33,0-3 72,0 3-1064,0 0 1120,0 0-32,0-2-47,2-1-193,-2 3-848,0-3 864,0 0-176,0 0-80,0 0 129,0 3-737,0-2 672,0-1-104,0 0 0,0 0-200,0 3-368,-2-4 336,-1-1-40,-2 1-80,3 0-216,2 4 0,-2-11-136,2 8 72,-3-10 128,1 9 40,2 4-104,-4-15 0,4 3-264,-2-1-16,2 0 264,0 13 16,0-16 96,0 1 184,0-1-48,0-2-104,0 18-128,-3-19 136,1 1-24,-1-1 0,-1-1-48,4 20-64,-5-17 136,2 1-8,-2 1 32,5 2-80,0 13-80,-3-13-16,0 2 96,-2-1-112,3 1 16,2 11 16,-2-4 144,-3-12-112,2 12 96,1-12-128,2 16 0,0-4-80,-2-10 64,-2 9-80,4-9 160,0 14-64,0-3-96,0-8 96,0 8 32,0 0 64,0 3-96,0-4-32,1 1 64,-1 0-48,0 0-48,0 3 64,0 0 96,3 0-128,-1 0 16,-2 0-64,0 0 80,2 0-48,6 0 64,7 2-16,-10-1 128,-5-1-128,17 3 16,-8 0 0,3 0 16,0 0-48,-12-3 16,11 3-32,6-1 16,-6 0-32,1-1-48,-12-1 96,11 2-32,1-2 48,1 0 16,2 0 32,-15 0-64,18 0 128,-1-5-128,1 1 0,5-10 16,-23 14-16,23-3-48,-1-10 48,-4 9-16,5-7 48,-23 11-32,19-3-48,4-9 80,-4 10 0,-5-10-32,-14 12 0,11-3 32,3-1-48,-5-7 0,3 8-16,-12 3 32,12-3 32,-1-1-32,-6 1 0,12-1 64,-17 4-64,8-5 32,-3 1-16,10 0 16,-12 1-16,-3 3-16,10-4-32,-5 1 16,5 0 64,-8 0-128,-2 3 80,4 0-48,-2-3 0,3 3 32,-3 0 16,-2 0 0,0 0 48,0 0-80,0 0-112,0 0 96,0 0 224,-4 0-496,-1 0 240,5 2-16,-6-1 32,6-1 64,-5 2-104,2 0 72,-2 3 64,-7-1-96,12-4 64,-2 4 32,-9 8-80,9-8 16,-10 7 48,12-11-16,-11 5 0,-1 6 0,-2-7 0,0 10-80,14-14 80,-11 5-16,-9 9 16,5-8 0,-2 9 48,17-15-48,-18 12 32,-1-7 0,0 9 56,3-8-56,16-6-32,-18 13 16,1-2-32,4-5-24,-9 8 24,22-14 16,-11 6-48,-6 8 64,4-8-48,-4 8-16,17-14 48,-11 4 48,-4 9-64,7-9 112,-4 9-112,12-13 16,-12 4 24,-2 8-32,0-8-56,3 7 136,11-11-72,-5 5-24,-9-1 24,10 1-48,-11 6 48,15-11 0,-4 3 48,-10 1-32,2 0 24,0 2-80,12-6 40,-4 4-48,-13 1 96,15-3-24,-11 1-8,13-3-16,-10 3-136,3-1-24,-4-1 0,-1-1 136,12 0 24,-3 0 72,-13 0-128,4 0 144,1 0-24,11 0-64,-14-3 64,4-1 128,-3 0-40,-4-1-8,17 5-144,-9-12 64,-5 9-64,1-9 0,-2 8-128,15 4 128,-16-15 80,0 4-96,-5-2-64,3 0 32,18 13 48,-21-15 0,2-2 64,3-2-80,-3 2 64,19 17-48,-16-14-96,1 3 80,4 6 176,2-7-176,9 12 16,-5-3 160,-11-2-96,11-6-32,-11 8 48,16 3-80,-12-4-48,10 0 80,-19-1-64,19-6 0,2 11 32,-17 0 0,13-4 16,-8 0 48,10-1 0,2 5-64,-10-4 48,6 1-64,4 0 32,-2 0 32,2 3-48,-2 0 80,-1 0-64,3 0-96,0 0-112,0 0 192,0 2-112,0 2 64,0 8-32,3-7 32,-3-5 48,4 14 16,7-8 16,-6 10 48,7-5 0,-12-11-80,7 13-64,7-2 64,-9 2 32,8-2 80,-13-11-112,12 13 80,-7-1-176,8-1 112,-1 0-48,-12-11 32,9 6-208,6 8 256,-6-8-32,5 7-32,-14-13 16,4 4 160,12 9-128,-11-9-32,7 8 176,-12-12-176,7 4 80,-4 9-48,3-9-144,-1 0-96,-5-4 208,0 6-96,2 0-96,-2 0 96,0-1 16,0-5 80,0 12-104,0-8 144,0 9-40,-2-9 48,2-4-48,-5 13 80,-4-8-48,2 8-80,-3-9-16,10-4 64,-4 12-232,-7-8-40,6 7 104,-11-8 88,16-3 80,-14 5-88,4-1 88,-4 0-32,12 0-80,2-4 112,-18 3-32,6-1 0,9-1-24,-15 0-120,18-1 176,-5 0 16,-9 0-64,3-4 160,-1-9-128,12 13 16,-10-2-96,6-13-72,-10 13-16,9-10 312,5 12-128,-2-3-48,-1-1 120,3 0-240,0-1 16,0 5 152,0-11-64,0 8-40,0 0 200,3-1-96,-3 4 0,2-3-32,-2 3-64,0 0 160,-2 0-128,2 0 64,-3 0 64,0 0-48,-7 0-80,10 0 96,0 0-32,-16 0-80,11 2 160,-14 2-48,8 0-64,11-4 32,-14 3 16,-2 1-16,11-1 32,-13 0-80,18-3 48,-15 1 48,2 2-80,-2-1 16,3-1 48,12-1-32,-15 0-32,-1 0-48,1 0 56,-1 0 24,16 0 0,-12 2-248,-1-1-248,-1 0-761,-2 1-991,16-2 2248,-22 1-3945,-1 5-2936,-2-2-3146,25-4 10027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8:00:25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2217 487 16939,'0'0'0,"-5"4"2201,5-4-2201,-4 4 552,-5 10-128,9-10 96,0 10 96,0-14-616,0 5 656,2 9 56,2-3 16,13 2 169,-17-13-897,11 11 808,8 2-64,-3-1 216,14 0-360,-30-12-600,28 13 913,5-2 95,4 0-616,-2-6 512,-35-5-904,43 11 408,-4-7-8,5 1 56,0-1-248,-44-4-208,47 1 96,-1-1-208,-1-4 96,-5-9-48,-40 13 64,39-4 32,-2-12-112,1 2 272,1-3-712,-39 17 520,40-18 0,-3-3-32,-2-2-216,-5-3-64,-30 26 312,28-25-176,0 1 240,-7 0 136,0 1 648,-21 23-848,23-24 288,-9 0-16,3 0-144,-8 1 33,-9 23-161,4-22 0,1-3 0,0 0 0,-5 1 0,0 24 0,0-24 0,-12 1 0,1-1 0,-6 2 0,17 22 0,-18-22 0,-3 2 0,-5 2 0,2 2 0,24 16 0,-25-15 0,-3 2 0,3 2 0,-6 0 0,31 11 0,-25-5 0,-5 1 0,-1-7 0,-1 11 0,32 0 0,-35 0 0,0 1 0,-3 5 0,-1 8 0,39-14 0,-47 14 0,1 2 0,-6 2 0,1 2 0,51-20 0,-51 21 0,-4 0 0,-2 4 0,-6 0 0,63-25 0,-65 25 0,5 4 0,-3-2 0,-2 2 0,65-29 0,-58 27 0,-3 2 0,0-1 0,1 3 0,60-31 0,-63 30 0,-2 0 0,2 1 0,0 1 0,63-32 0,-61 33-849,5-2 1153,-2 3-416,5-1 288,53-33-176,-57 35 481,-3 4-481,2 0 0,-1 1 0,59-40 0,-58 43 0,0 3 0,-5-2 0,-8 2 0,71-46 0,-73 44 0,-6 1 0,0 1 0,-3-1-113,82-45 113,-86 48-1064,0-1-424,-3 1-713,1-4-2071,88-44 4272,-102 54-9410,1-6-657,101-48 10067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D1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3" t="s">
        <v>206</v>
      </c>
      <c r="C1" s="63"/>
      <c r="D1" s="63"/>
      <c r="E1" s="63"/>
      <c r="F1" s="63"/>
      <c r="G1" s="63"/>
      <c r="H1" s="63"/>
      <c r="I1" s="63"/>
      <c r="J1" s="63"/>
    </row>
    <row r="2" spans="1:10" ht="30" customHeight="1" x14ac:dyDescent="0.3">
      <c r="B2" s="12" t="s">
        <v>8</v>
      </c>
      <c r="C2" s="69" t="s">
        <v>46</v>
      </c>
      <c r="D2" s="69"/>
      <c r="E2" s="12" t="s">
        <v>7</v>
      </c>
      <c r="F2" s="64">
        <v>45955</v>
      </c>
      <c r="G2" s="64"/>
      <c r="H2" s="64"/>
      <c r="I2" s="64"/>
      <c r="J2" s="64"/>
    </row>
    <row r="3" spans="1:10" ht="30" customHeight="1" x14ac:dyDescent="0.3">
      <c r="B3" s="12" t="s">
        <v>9</v>
      </c>
      <c r="C3" s="69" t="s">
        <v>87</v>
      </c>
      <c r="D3" s="69"/>
      <c r="E3" s="12" t="s">
        <v>6</v>
      </c>
      <c r="F3" s="69" t="s">
        <v>104</v>
      </c>
      <c r="G3" s="69"/>
      <c r="H3" s="69"/>
      <c r="I3" s="69"/>
      <c r="J3" s="69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5" t="s">
        <v>0</v>
      </c>
      <c r="C5" s="66"/>
      <c r="D5" s="66"/>
      <c r="E5" s="55" t="s">
        <v>1</v>
      </c>
      <c r="F5" s="55"/>
      <c r="G5" s="55"/>
      <c r="H5" s="55"/>
      <c r="I5" s="55" t="s">
        <v>2</v>
      </c>
      <c r="J5" s="56"/>
    </row>
    <row r="6" spans="1:10" ht="24.9" customHeight="1" thickBot="1" x14ac:dyDescent="0.35">
      <c r="A6" s="10"/>
      <c r="B6" s="67"/>
      <c r="C6" s="68"/>
      <c r="D6" s="68"/>
      <c r="E6" s="11" t="s">
        <v>3</v>
      </c>
      <c r="F6" s="11" t="s">
        <v>4</v>
      </c>
      <c r="G6" s="11" t="s">
        <v>23</v>
      </c>
      <c r="H6" s="11" t="s">
        <v>24</v>
      </c>
      <c r="I6" s="57"/>
      <c r="J6" s="58"/>
    </row>
    <row r="7" spans="1:10" ht="24.9" customHeight="1" thickBot="1" x14ac:dyDescent="0.35">
      <c r="A7" s="10"/>
      <c r="B7" s="53" t="s">
        <v>21</v>
      </c>
      <c r="C7" s="54"/>
      <c r="D7" s="54"/>
      <c r="E7" s="28" t="s">
        <v>18</v>
      </c>
      <c r="F7" s="28" t="s">
        <v>19</v>
      </c>
      <c r="G7" s="28" t="s">
        <v>22</v>
      </c>
      <c r="H7" s="28" t="s">
        <v>20</v>
      </c>
      <c r="I7" s="59" t="s">
        <v>25</v>
      </c>
      <c r="J7" s="60"/>
    </row>
    <row r="8" spans="1:10" ht="39.9" customHeight="1" x14ac:dyDescent="0.3">
      <c r="A8" s="10"/>
      <c r="B8" s="81" t="s">
        <v>180</v>
      </c>
      <c r="C8" s="82"/>
      <c r="D8" s="82"/>
      <c r="E8" s="32">
        <v>5</v>
      </c>
      <c r="F8" s="33">
        <v>3.5</v>
      </c>
      <c r="G8" s="34">
        <f>IFERROR(F8/E8,"")</f>
        <v>0.7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61"/>
      <c r="J8" s="62"/>
    </row>
    <row r="9" spans="1:10" ht="39.9" customHeight="1" x14ac:dyDescent="0.3">
      <c r="A9" s="10"/>
      <c r="B9" s="79" t="s">
        <v>181</v>
      </c>
      <c r="C9" s="80"/>
      <c r="D9" s="80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79" t="s">
        <v>182</v>
      </c>
      <c r="C10" s="80"/>
      <c r="D10" s="80"/>
      <c r="E10" s="9">
        <v>5</v>
      </c>
      <c r="F10" s="26">
        <v>3.75</v>
      </c>
      <c r="G10" s="30">
        <f t="shared" ref="G10:G33" si="0">IFERROR(F10/E10,"")</f>
        <v>0.75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" customHeight="1" x14ac:dyDescent="0.3">
      <c r="A11" s="10"/>
      <c r="B11" s="79" t="s">
        <v>183</v>
      </c>
      <c r="C11" s="80"/>
      <c r="D11" s="80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5"/>
      <c r="J11" s="46"/>
    </row>
    <row r="12" spans="1:10" ht="39.9" customHeight="1" x14ac:dyDescent="0.3">
      <c r="A12" s="10"/>
      <c r="B12" s="79" t="s">
        <v>184</v>
      </c>
      <c r="C12" s="80"/>
      <c r="D12" s="80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79" t="s">
        <v>185</v>
      </c>
      <c r="C13" s="80"/>
      <c r="D13" s="80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45"/>
      <c r="J13" s="46"/>
    </row>
    <row r="14" spans="1:10" ht="39.9" customHeight="1" x14ac:dyDescent="0.3">
      <c r="A14" s="10"/>
      <c r="B14" s="79" t="s">
        <v>186</v>
      </c>
      <c r="C14" s="80"/>
      <c r="D14" s="8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79" t="s">
        <v>187</v>
      </c>
      <c r="C15" s="80"/>
      <c r="D15" s="8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79" t="s">
        <v>188</v>
      </c>
      <c r="C16" s="80"/>
      <c r="D16" s="80"/>
      <c r="E16" s="9">
        <v>5</v>
      </c>
      <c r="F16" s="26">
        <v>3.75</v>
      </c>
      <c r="G16" s="30">
        <f t="shared" si="0"/>
        <v>0.75</v>
      </c>
      <c r="H16" s="31" t="str">
        <f t="shared" si="1"/>
        <v>جيد</v>
      </c>
      <c r="I16" s="45"/>
      <c r="J16" s="46"/>
    </row>
    <row r="17" spans="1:10" ht="39.9" customHeight="1" x14ac:dyDescent="0.3">
      <c r="A17" s="10"/>
      <c r="B17" s="79" t="s">
        <v>189</v>
      </c>
      <c r="C17" s="80"/>
      <c r="D17" s="80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79" t="s">
        <v>190</v>
      </c>
      <c r="C18" s="80"/>
      <c r="D18" s="80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5"/>
      <c r="J18" s="46"/>
    </row>
    <row r="19" spans="1:10" ht="39.9" customHeight="1" x14ac:dyDescent="0.3">
      <c r="A19" s="10"/>
      <c r="B19" s="79" t="s">
        <v>191</v>
      </c>
      <c r="C19" s="80"/>
      <c r="D19" s="80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5"/>
      <c r="J19" s="46"/>
    </row>
    <row r="20" spans="1:10" ht="39.9" customHeight="1" x14ac:dyDescent="0.3">
      <c r="A20" s="10"/>
      <c r="B20" s="79" t="s">
        <v>192</v>
      </c>
      <c r="C20" s="80"/>
      <c r="D20" s="80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5"/>
      <c r="J20" s="46"/>
    </row>
    <row r="21" spans="1:10" ht="39.9" customHeight="1" x14ac:dyDescent="0.3">
      <c r="A21" s="10"/>
      <c r="B21" s="77" t="s">
        <v>193</v>
      </c>
      <c r="C21" s="78"/>
      <c r="D21" s="78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5"/>
      <c r="J21" s="46"/>
    </row>
    <row r="22" spans="1:10" ht="39.9" customHeight="1" x14ac:dyDescent="0.3">
      <c r="A22" s="10"/>
      <c r="B22" s="77" t="s">
        <v>194</v>
      </c>
      <c r="C22" s="78"/>
      <c r="D22" s="78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5"/>
      <c r="J22" s="46"/>
    </row>
    <row r="23" spans="1:10" ht="39.9" customHeight="1" x14ac:dyDescent="0.3">
      <c r="A23" s="10"/>
      <c r="B23" s="77" t="s">
        <v>195</v>
      </c>
      <c r="C23" s="78"/>
      <c r="D23" s="78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5"/>
      <c r="J23" s="46"/>
    </row>
    <row r="24" spans="1:10" ht="39.9" customHeight="1" x14ac:dyDescent="0.3">
      <c r="A24" s="10"/>
      <c r="B24" s="77" t="s">
        <v>196</v>
      </c>
      <c r="C24" s="78"/>
      <c r="D24" s="78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5"/>
      <c r="J24" s="46"/>
    </row>
    <row r="25" spans="1:10" ht="39.9" customHeight="1" x14ac:dyDescent="0.3">
      <c r="A25" s="10"/>
      <c r="B25" s="77" t="s">
        <v>197</v>
      </c>
      <c r="C25" s="78"/>
      <c r="D25" s="78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5"/>
      <c r="J25" s="46"/>
    </row>
    <row r="26" spans="1:10" ht="39.9" customHeight="1" x14ac:dyDescent="0.3">
      <c r="A26" s="10"/>
      <c r="B26" s="77" t="s">
        <v>198</v>
      </c>
      <c r="C26" s="78"/>
      <c r="D26" s="78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5"/>
      <c r="J26" s="46"/>
    </row>
    <row r="27" spans="1:10" ht="39.9" customHeight="1" x14ac:dyDescent="0.3">
      <c r="A27" s="10"/>
      <c r="B27" s="77" t="s">
        <v>199</v>
      </c>
      <c r="C27" s="78"/>
      <c r="D27" s="78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45"/>
      <c r="J27" s="46"/>
    </row>
    <row r="28" spans="1:10" ht="39.9" customHeight="1" x14ac:dyDescent="0.3">
      <c r="A28" s="10"/>
      <c r="B28" s="77" t="s">
        <v>200</v>
      </c>
      <c r="C28" s="78"/>
      <c r="D28" s="78"/>
      <c r="E28" s="9">
        <v>5</v>
      </c>
      <c r="F28" s="26">
        <v>3.75</v>
      </c>
      <c r="G28" s="30">
        <f t="shared" si="0"/>
        <v>0.75</v>
      </c>
      <c r="H28" s="31" t="str">
        <f t="shared" si="1"/>
        <v>جيد</v>
      </c>
      <c r="I28" s="45"/>
      <c r="J28" s="46"/>
    </row>
    <row r="29" spans="1:10" ht="39.9" customHeight="1" x14ac:dyDescent="0.3">
      <c r="A29" s="10"/>
      <c r="B29" s="77" t="s">
        <v>201</v>
      </c>
      <c r="C29" s="78"/>
      <c r="D29" s="78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5"/>
      <c r="J29" s="46"/>
    </row>
    <row r="30" spans="1:10" ht="39.9" customHeight="1" x14ac:dyDescent="0.3">
      <c r="A30" s="10"/>
      <c r="B30" s="77" t="s">
        <v>202</v>
      </c>
      <c r="C30" s="78"/>
      <c r="D30" s="78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5"/>
      <c r="J30" s="46"/>
    </row>
    <row r="31" spans="1:10" ht="39.9" customHeight="1" x14ac:dyDescent="0.3">
      <c r="A31" s="10"/>
      <c r="B31" s="77" t="s">
        <v>203</v>
      </c>
      <c r="C31" s="78"/>
      <c r="D31" s="78"/>
      <c r="E31" s="9">
        <v>5</v>
      </c>
      <c r="F31" s="26">
        <v>3.75</v>
      </c>
      <c r="G31" s="30">
        <f t="shared" si="0"/>
        <v>0.75</v>
      </c>
      <c r="H31" s="31" t="str">
        <f t="shared" si="1"/>
        <v>جيد</v>
      </c>
      <c r="I31" s="45"/>
      <c r="J31" s="46"/>
    </row>
    <row r="32" spans="1:10" ht="39.9" customHeight="1" x14ac:dyDescent="0.3">
      <c r="A32" s="10"/>
      <c r="B32" s="77" t="s">
        <v>204</v>
      </c>
      <c r="C32" s="78"/>
      <c r="D32" s="78"/>
      <c r="E32" s="9">
        <v>5</v>
      </c>
      <c r="F32" s="26">
        <v>3.75</v>
      </c>
      <c r="G32" s="30">
        <f t="shared" si="0"/>
        <v>0.75</v>
      </c>
      <c r="H32" s="31" t="str">
        <f t="shared" si="1"/>
        <v>جيد</v>
      </c>
      <c r="I32" s="45"/>
      <c r="J32" s="46"/>
    </row>
    <row r="33" spans="1:10" ht="39.9" customHeight="1" thickBot="1" x14ac:dyDescent="0.35">
      <c r="A33" s="10"/>
      <c r="B33" s="83" t="s">
        <v>205</v>
      </c>
      <c r="C33" s="84"/>
      <c r="D33" s="84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47"/>
      <c r="J33" s="48"/>
    </row>
    <row r="34" spans="1:10" ht="30" customHeight="1" thickBot="1" x14ac:dyDescent="0.35">
      <c r="A34" s="4"/>
      <c r="B34" s="49" t="s">
        <v>5</v>
      </c>
      <c r="C34" s="50"/>
      <c r="D34" s="50"/>
      <c r="E34" s="29">
        <f>SUM(E8:E33)</f>
        <v>130</v>
      </c>
      <c r="F34" s="29">
        <f>SUM(F8:F33)</f>
        <v>95.25</v>
      </c>
      <c r="G34" s="72"/>
      <c r="H34" s="73"/>
      <c r="I34" s="73"/>
      <c r="J34" s="74"/>
    </row>
    <row r="35" spans="1:10" ht="30" customHeight="1" thickBot="1" x14ac:dyDescent="0.35">
      <c r="A35" s="4"/>
      <c r="B35" s="51" t="s">
        <v>54</v>
      </c>
      <c r="C35" s="52"/>
      <c r="D35" s="52"/>
      <c r="E35" s="75">
        <f>F34/E34/100*100</f>
        <v>0.73269230769230764</v>
      </c>
      <c r="F35" s="75"/>
      <c r="G35" s="75"/>
      <c r="H35" s="75"/>
      <c r="I35" s="75"/>
      <c r="J35" s="76"/>
    </row>
    <row r="36" spans="1:10" ht="30" customHeight="1" thickBot="1" x14ac:dyDescent="0.35">
      <c r="A36" s="4"/>
      <c r="B36" s="51" t="s">
        <v>55</v>
      </c>
      <c r="C36" s="52"/>
      <c r="D36" s="52"/>
      <c r="E36" s="43" t="str">
        <f>_xlfn.IFS(E35&gt;=90%,"ممتاز",E35&gt;=80%,"جيد جداً",E35&gt;=70%,"جيد",E35&gt;=60%,"مقبول",E35&lt;60%,"راسب")</f>
        <v>جيد</v>
      </c>
      <c r="F36" s="43"/>
      <c r="G36" s="43"/>
      <c r="H36" s="43"/>
      <c r="I36" s="43"/>
      <c r="J36" s="44"/>
    </row>
    <row r="37" spans="1:10" ht="42" customHeight="1" x14ac:dyDescent="0.3">
      <c r="B37" s="39" t="s">
        <v>174</v>
      </c>
      <c r="C37" s="39"/>
      <c r="D37" s="39"/>
      <c r="E37" s="70" t="s">
        <v>52</v>
      </c>
      <c r="F37" s="70"/>
      <c r="G37" s="41" t="s">
        <v>104</v>
      </c>
      <c r="H37" s="41"/>
      <c r="I37" s="41"/>
      <c r="J37" s="41"/>
    </row>
    <row r="38" spans="1:10" ht="51" customHeight="1" x14ac:dyDescent="0.3">
      <c r="A38" s="5"/>
      <c r="B38" s="40"/>
      <c r="C38" s="40"/>
      <c r="D38" s="40"/>
      <c r="E38" s="71" t="s">
        <v>53</v>
      </c>
      <c r="F38" s="71"/>
      <c r="G38" s="42"/>
      <c r="H38" s="42"/>
      <c r="I38" s="42"/>
      <c r="J38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33:D3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2025-10-27T16:33:51Z</dcterms:modified>
</cp:coreProperties>
</file>