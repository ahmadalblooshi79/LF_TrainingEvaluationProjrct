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B344CD6-CC96-2148-A48E-0AB1AC192BE1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1" i="2"/>
  <c r="H21" i="2"/>
  <c r="F22" i="2"/>
  <c r="E22" i="2"/>
  <c r="E23" i="2"/>
  <c r="E24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<sst xmlns="http://schemas.openxmlformats.org/spreadsheetml/2006/main" count="250" uniqueCount="194">
  <si>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</si>
  <si>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</si>
  <si>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</si>
  <si>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</si>
  <si>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</si>
  <si>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</si>
  <si>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</si>
  <si>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</si>
  <si>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</si>
  <si>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</si>
  <si>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</si>
  <si>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</si>
  <si>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</si>
  <si>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</si>
  <si>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</si>
  <si>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</si>
  <si>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</si>
  <si>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</si>
  <si>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</si>
  <si>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</si>
  <si>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</si>
  <si>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</si>
  <si>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</si>
  <si>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</si>
  <si>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</si>
  <si>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</si>
  <si>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</si>
  <si>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</si>
  <si>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</si>
  <si>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</si>
  <si>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</si>
  <si>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</si>
  <si>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</si>
  <si>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</si>
  <si>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</si>
  <si>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</si>
  <si>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</si>
  <si>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</si>
  <si>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</si>
  <si>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</si>
  <si>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</si>
  <si>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</si>
  <si>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</si>
  <si>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</si>
  <si>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</si>
  <si>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</si>
  <si>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</si>
  <si>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</si>
  <si>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</si>
  <si>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</si>
  <si>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</si>
  <si>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</si>
  <si>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</si>
  <si>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</si>
  <si>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</si>
  <si>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</si>
  <si>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</si>
  <si>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</si>
  <si>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</si>
  <si>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</si>
  <si>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</si>
  <si>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</si>
  <si>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</si>
  <si>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</si>
  <si>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</si>
  <si>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</si>
  <si>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</si>
  <si>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</si>
  <si>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</si>
  <si>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</si>
  <si>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</si>
  <si>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</si>
  <si>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</si>
  <si>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</si>
  <si>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</si>
  <si>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</si>
  <si>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</si>
  <si>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</si>
  <si>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</si>
  <si>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</si>
  <si>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</si>
  <si>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</si>
  <si>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</si>
  <si>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</si>
  <si>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</si>
  <si>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</si>
  <si>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</si>
  <si>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</si>
  <si>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</si>
  <si>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</si>
  <si>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</si>
  <si>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</si>
  <si>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</si>
  <si>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</si>
  <si>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</si>
  <si>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</si>
  <si>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</si>
  <si>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</si>
  <si>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</si>
  <si>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</si>
  <si>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</si>
  <si>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</si>
  <si>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</si>
  <si>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</si>
  <si>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</si>
  <si>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</si>
  <si>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</si>
  <si>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</si>
  <si>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</si>
  <si>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</si>
  <si>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</si>
  <si>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</si>
  <si>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</si>
  <si>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</si>
  <si>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</si>
  <si>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</si>
  <si>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</si>
  <si>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</si>
  <si>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</si>
  <si>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</si>
  <si>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</si>
  <si>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</si>
  <si>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</si>
  <si>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</si>
  <si>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</si>
  <si>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</si>
  <si>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</si>
  <si>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</si>
  <si>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</si>
  <si>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</si>
  <si>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</si>
  <si>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</si>
  <si>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</si>
  <si>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</si>
  <si>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</si>
  <si>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</si>
  <si>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</si>
  <si>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</si>
  <si>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</si>
  <si>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</si>
  <si>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</si>
  <si>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</si>
  <si>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</si>
  <si>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</si>
  <si>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</si>
  <si>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</si>
  <si>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</si>
  <si>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</si>
  <si>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</si>
  <si>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</si>
  <si>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</si>
  <si>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</si>
  <si>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</si>
  <si>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</si>
  <si>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</si>
  <si>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</si>
  <si>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</si>
  <si>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</si>
  <si>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</si>
  <si>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</si>
  <si>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</si>
  <si>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</si>
  <si>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</si>
  <si>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</si>
  <si>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</si>
  <si>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</si>
  <si>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</si>
  <si>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</si>
  <si>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</si>
  <si>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</si>
  <si>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</si>
  <si>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</si>
  <si>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</si>
  <si>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</si>
  <si>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</si>
  <si>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</si>
  <si>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</si>
  <si>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</si>
  <si>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</si>
  <si>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</si>
  <si>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</si>
  <si>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</si>
  <si>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</si>
  <si>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</si>
  <si>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</si>
  <si>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</si>
  <si>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</si>
  <si>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</si>
  <si>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</si>
  <si>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</si>
  <si>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</si>
  <si>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</si>
  <si>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</si>
  <si>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اليوم/2 - تقييم معضلة/2 -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</si>
</sst>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370552</xdr:colOff>
      <xdr:row>24</xdr:row>
      <xdr:rowOff>512280</xdr:rowOff>
    </xdr:from>
    <xdr:to>
      <xdr:col>8</xdr:col>
      <xdr:colOff>137251</xdr:colOff>
      <xdr:row>25</xdr:row>
      <xdr:rowOff>407788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07283F3-CA1E-9C71-6E66-95B57AA68718}"/>
                </a:ext>
              </a:extLst>
            </xdr14:cNvPr>
            <xdr14:cNvContentPartPr/>
          </xdr14:nvContentPartPr>
          <xdr14:nvPr macro=""/>
          <xdr14:xfrm>
            <a:off x="10399107658" y="9656280"/>
            <a:ext cx="1082880" cy="4266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07283F3-CA1E-9C71-6E66-95B57AA6871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98658" y="9647280"/>
              <a:ext cx="1100520" cy="44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303952</xdr:colOff>
      <xdr:row>25</xdr:row>
      <xdr:rowOff>444868</xdr:rowOff>
    </xdr:from>
    <xdr:to>
      <xdr:col>6</xdr:col>
      <xdr:colOff>321592</xdr:colOff>
      <xdr:row>25</xdr:row>
      <xdr:rowOff>452788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3C76433-0FB0-9E0E-622C-8537186EAC06}"/>
                </a:ext>
              </a:extLst>
            </xdr14:cNvPr>
            <xdr14:cNvContentPartPr/>
          </xdr14:nvContentPartPr>
          <xdr14:nvPr macro=""/>
          <xdr14:xfrm>
            <a:off x="10400239498" y="10119960"/>
            <a:ext cx="17640" cy="79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3C76433-0FB0-9E0E-622C-8537186EAC0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230498" y="10110960"/>
              <a:ext cx="35280" cy="25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00:31.4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2942 135 14979,'0'0'0,"0"0"0,-2-18 1064,-10 1-368,5-2-120,-6 7-240,13 12-336,-2-12 272,-3 8-80,-2-7-64,5 8-56,2 3-72,-8-4 40,6-1-16,0 4 56,2-1-80,0 2 0,-3-1-8,1 1-64,2 0-88,0 0 32,0 0 128,0 3-160,0 8 24,5 1 64,-1 2 24,-4-14 48,12 17-8,-7 1-8,7 1-56,0-1 24,-12-18 48,5 22-64,12-2 64,-5 2 8,0 0 16,-12-22-24,10 19 16,-3 3-40,7-1 32,-14-1-16,0-20 8,5 20 56,-5 0 16,-2 0 0,-3 0 80,5-20-152,-17 20 136,3-1 32,-3 3-32,-5-1-32,22-21-104,-26 20 96,-1 0 0,-4-2-24,0 1 25,31-19-97,-32 15 40,1 0-16,0-3 24,0-7-48,31-5 0,-29 13 56,-3-11-40,4 1 8,-1 0-24,29-3 0,-27 0 24,6 0 0,4 0-32,-2 0-8,19 0 16,-15 0 16,3-1 16,0-1-16,7 2-8,5 0-8,-14-1-8,2-1-32,0 2 56,-5 0 40,17 0-56,-14 0-8,-6 0 56,6 0-24,-10 3-64,24-3 40,-22 3 40,-4 1-80,2 1 16,-5-3 24,29-2 0,-29 5-48,-2-2 16,-3-1 16,-5 1-32,39-3 48,-43 3 16,-5 1 16,0 1-8,-10 7-48,58-12 24,-57 3 40,-6 10-32,-9-2-8,-3 2 96,75-13-96,-84 16 24,0 1-48,-5 0-24,-3 3-48,92-20 96,-89 23-64,-4 1 64,-1 3 64,-5 0 48,99-27-112,-96 27 136,-3-2 56,8-2 8,4-3 32,87-20-232,-81 19 168,8-5-48,4-1-56,13-1-152,56-12 88,-52 5 128,6 10-104,10-11 48,0 8-72,36-12 0,-24 3 40,4 0-16,6-3 32,7 2-8,7-2-48,-5 0-104,2 0 56,3 0-176,0 0 112,0 0 112,0 0-104,3 3-120,2 1 160,12 8-8,-17-12 72,19 4-64,2 8 56,6-8-8,9 0-16,-36-4 32,48 4-104,0-1 120,12-3 32,8-4 48,-68 4-96,74-14 136,13-2-48,7-7-24,7-4 0,-101 27-64,105-32-16,6-7-8,2-2 48,7-5 32,-120 46-56,126-46 120,6-4 32,-2 0-104,-8-1-88,-122 51 40,121-56-72,-13 1 48,-7-2 24,-10 0 40,-91 57-40,84-51 72,-7 1-72,-9 5 104,-13 2-56,-55 43-48,41-38 128,0 2 88,-10 4 64,-9 3 256,-22 29-536,14-23 576,-11 4-8,-3 0-88,0 3-127,0 16-353,-3-15 248,-16 2-72,5 2 16,-6 6-72,20 5-120,-19-5-24,-5 2-32,-5 1-64,0 2-24,29 0 144,-26 12 0,2-8 0,0 15-144,2-4 112,22-15 32,-17 17-160,3 3-1,-1 4 129,11 6-104,4-30 136,-3 36-40,3 3 80,0 6-88,12 4-24,-12-49 72,12 53-96,3 5-8,1 6 64,4 0 40,-20-64 0,19 64 40,0-6-40,3-4 16,-3-4 48,-19-50-64,22 47-104,-3-3 104,3-1 24,-8-3-104,-14-40 80,12 37 56,-9-3-136,13-5 24,-11 0 16,-5-29 40,12 26-16,-7-5 16,0-3 0,-3-3-8,-2-15 8,3 11 24,-3-7 56,0 0-120,4 1 80,-4-5-40,0 3-16,0-3-72,0 0-152,0 0-416,0 0 656,0 0-1416,0 0-969,5-5-1584,-2-8-5120,-3 13 9089,0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00:31.8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48 15 24885,'0'0'0,"-21"-5"376,6 1-416,3 0-144,12 4 184,0-2-208,0 2-80,0 0-248,0 0-393,0 0 929,10 3-1448,-10 9-744,5-10-1441,-5 3-6241,0-5 9874,0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D9" zoomScale="130" zoomScaleNormal="100" zoomScaleSheetLayoutView="130" workbookViewId="0">
      <selection activeCell="G26" sqref="G26:J26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9" t="s">
        <v>193</v>
      </c>
      <c r="C1" s="69"/>
      <c r="D1" s="69"/>
      <c r="E1" s="69"/>
      <c r="F1" s="69"/>
      <c r="G1" s="69"/>
      <c r="H1" s="69"/>
      <c r="I1" s="69"/>
      <c r="J1" s="69"/>
    </row>
    <row r="2" spans="1:10" ht="30" customHeight="1">
      <c r="B2" s="11" t="s">
        <v>8</v>
      </c>
      <c r="C2" s="75" t="s">
        <v>37</v>
      </c>
      <c r="D2" s="75"/>
      <c r="E2" s="11" t="s">
        <v>7</v>
      </c>
      <c r="F2" s="70">
        <v>45913</v>
      </c>
      <c r="G2" s="70"/>
      <c r="H2" s="70"/>
      <c r="I2" s="70"/>
      <c r="J2" s="70"/>
    </row>
    <row r="3" spans="1:10" ht="30" customHeight="1">
      <c r="B3" s="11" t="s">
        <v>9</v>
      </c>
      <c r="C3" s="75" t="s">
        <v>78</v>
      </c>
      <c r="D3" s="75"/>
      <c r="E3" s="11" t="s">
        <v>6</v>
      </c>
      <c r="F3" s="75" t="s">
        <v>134</v>
      </c>
      <c r="G3" s="75"/>
      <c r="H3" s="75"/>
      <c r="I3" s="75"/>
      <c r="J3" s="75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71" t="s">
        <v>0</v>
      </c>
      <c r="C5" s="72"/>
      <c r="D5" s="72"/>
      <c r="E5" s="76" t="s">
        <v>1</v>
      </c>
      <c r="F5" s="76"/>
      <c r="G5" s="76"/>
      <c r="H5" s="76"/>
      <c r="I5" s="76" t="s">
        <v>2</v>
      </c>
      <c r="J5" s="77"/>
    </row>
    <row r="6" spans="1:10" ht="24.95" customHeight="1" thickBot="1">
      <c r="A6" s="9"/>
      <c r="B6" s="73"/>
      <c r="C6" s="74"/>
      <c r="D6" s="74"/>
      <c r="E6" s="10" t="s">
        <v>3</v>
      </c>
      <c r="F6" s="10" t="s">
        <v>4</v>
      </c>
      <c r="G6" s="10" t="s">
        <v>23</v>
      </c>
      <c r="H6" s="10" t="s">
        <v>24</v>
      </c>
      <c r="I6" s="78"/>
      <c r="J6" s="79"/>
    </row>
    <row r="7" spans="1:10" ht="24.95" customHeight="1" thickBot="1">
      <c r="A7" s="9"/>
      <c r="B7" s="59" t="s">
        <v>21</v>
      </c>
      <c r="C7" s="60"/>
      <c r="D7" s="60"/>
      <c r="E7" s="30" t="s">
        <v>18</v>
      </c>
      <c r="F7" s="30" t="s">
        <v>19</v>
      </c>
      <c r="G7" s="30" t="s">
        <v>22</v>
      </c>
      <c r="H7" s="30" t="s">
        <v>20</v>
      </c>
      <c r="I7" s="61" t="s">
        <v>25</v>
      </c>
      <c r="J7" s="62"/>
    </row>
    <row r="8" spans="1:10" ht="30" customHeight="1">
      <c r="A8" s="9"/>
      <c r="B8" s="65" t="s">
        <v>178</v>
      </c>
      <c r="C8" s="66"/>
      <c r="D8" s="66"/>
      <c r="E8" s="35"/>
      <c r="F8" s="36"/>
      <c r="G8" s="37"/>
      <c r="H8" s="38"/>
      <c r="I8" s="86"/>
      <c r="J8" s="87"/>
    </row>
    <row r="9" spans="1:10" ht="30" customHeight="1">
      <c r="A9" s="9"/>
      <c r="B9" s="48" t="s">
        <v>182</v>
      </c>
      <c r="C9" s="49"/>
      <c r="D9" s="49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3"/>
      <c r="J9" s="64"/>
    </row>
    <row r="10" spans="1:10" ht="30" customHeight="1">
      <c r="A10" s="9"/>
      <c r="B10" s="48" t="s">
        <v>183</v>
      </c>
      <c r="C10" s="49"/>
      <c r="D10" s="49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63"/>
      <c r="J10" s="64"/>
    </row>
    <row r="11" spans="1:10" ht="30" customHeight="1">
      <c r="A11" s="9"/>
      <c r="B11" s="48" t="s">
        <v>184</v>
      </c>
      <c r="C11" s="49"/>
      <c r="D11" s="49"/>
      <c r="E11" s="32">
        <v>3</v>
      </c>
      <c r="F11" s="25">
        <v>2</v>
      </c>
      <c r="G11" s="33">
        <f t="shared" si="0"/>
        <v>0.66666666666666663</v>
      </c>
      <c r="H11" s="34" t="str">
        <f t="shared" si="1"/>
        <v>مقبول</v>
      </c>
      <c r="I11" s="63"/>
      <c r="J11" s="64"/>
    </row>
    <row r="12" spans="1:10" ht="30" customHeight="1">
      <c r="A12" s="9"/>
      <c r="B12" s="48" t="s">
        <v>185</v>
      </c>
      <c r="C12" s="49"/>
      <c r="D12" s="49"/>
      <c r="E12" s="32">
        <v>3</v>
      </c>
      <c r="F12" s="25">
        <v>2</v>
      </c>
      <c r="G12" s="33">
        <f t="shared" si="0"/>
        <v>0.66666666666666663</v>
      </c>
      <c r="H12" s="34" t="str">
        <f t="shared" si="1"/>
        <v>مقبول</v>
      </c>
      <c r="I12" s="63"/>
      <c r="J12" s="64"/>
    </row>
    <row r="13" spans="1:10" ht="30" customHeight="1">
      <c r="A13" s="9"/>
      <c r="B13" s="48" t="s">
        <v>186</v>
      </c>
      <c r="C13" s="49"/>
      <c r="D13" s="49"/>
      <c r="E13" s="32">
        <v>3</v>
      </c>
      <c r="F13" s="25">
        <v>2</v>
      </c>
      <c r="G13" s="33">
        <f t="shared" si="0"/>
        <v>0.66666666666666663</v>
      </c>
      <c r="H13" s="34" t="str">
        <f t="shared" si="1"/>
        <v>مقبول</v>
      </c>
      <c r="I13" s="63"/>
      <c r="J13" s="64"/>
    </row>
    <row r="14" spans="1:10" ht="30" customHeight="1" thickBot="1">
      <c r="A14" s="9"/>
      <c r="B14" s="67" t="s">
        <v>187</v>
      </c>
      <c r="C14" s="68"/>
      <c r="D14" s="68"/>
      <c r="E14" s="39">
        <v>3</v>
      </c>
      <c r="F14" s="26">
        <v>2</v>
      </c>
      <c r="G14" s="40">
        <f t="shared" si="0"/>
        <v>0.66666666666666663</v>
      </c>
      <c r="H14" s="41" t="str">
        <f t="shared" si="1"/>
        <v>مقبول</v>
      </c>
      <c r="I14" s="57"/>
      <c r="J14" s="58"/>
    </row>
    <row r="15" spans="1:10" ht="30" customHeight="1">
      <c r="A15" s="9"/>
      <c r="B15" s="65" t="s">
        <v>179</v>
      </c>
      <c r="C15" s="66"/>
      <c r="D15" s="66"/>
      <c r="E15" s="35"/>
      <c r="F15" s="36"/>
      <c r="G15" s="37"/>
      <c r="H15" s="38"/>
      <c r="I15" s="86"/>
      <c r="J15" s="87"/>
    </row>
    <row r="16" spans="1:10" ht="30" customHeight="1">
      <c r="A16" s="9"/>
      <c r="B16" s="48" t="s">
        <v>188</v>
      </c>
      <c r="C16" s="49"/>
      <c r="D16" s="49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63"/>
      <c r="J16" s="64"/>
    </row>
    <row r="17" spans="1:10" ht="30" customHeight="1">
      <c r="A17" s="9"/>
      <c r="B17" s="48" t="s">
        <v>180</v>
      </c>
      <c r="C17" s="49"/>
      <c r="D17" s="49"/>
      <c r="E17" s="32">
        <v>3</v>
      </c>
      <c r="F17" s="25">
        <v>2.25</v>
      </c>
      <c r="G17" s="33">
        <f t="shared" si="0"/>
        <v>0.75</v>
      </c>
      <c r="H17" s="34" t="str">
        <f t="shared" si="1"/>
        <v>جيد</v>
      </c>
      <c r="I17" s="63"/>
      <c r="J17" s="64"/>
    </row>
    <row r="18" spans="1:10" ht="30" customHeight="1">
      <c r="A18" s="9"/>
      <c r="B18" s="48" t="s">
        <v>181</v>
      </c>
      <c r="C18" s="49"/>
      <c r="D18" s="49"/>
      <c r="E18" s="32">
        <v>3</v>
      </c>
      <c r="F18" s="25">
        <v>2.25</v>
      </c>
      <c r="G18" s="33">
        <f t="shared" si="0"/>
        <v>0.75</v>
      </c>
      <c r="H18" s="34" t="str">
        <f t="shared" si="1"/>
        <v>جيد</v>
      </c>
      <c r="I18" s="63"/>
      <c r="J18" s="64"/>
    </row>
    <row r="19" spans="1:10" ht="30" customHeight="1">
      <c r="A19" s="9"/>
      <c r="B19" s="48" t="s">
        <v>189</v>
      </c>
      <c r="C19" s="49"/>
      <c r="D19" s="49"/>
      <c r="E19" s="32">
        <v>3</v>
      </c>
      <c r="F19" s="25">
        <v>2</v>
      </c>
      <c r="G19" s="33">
        <f t="shared" si="0"/>
        <v>0.66666666666666663</v>
      </c>
      <c r="H19" s="34" t="str">
        <f t="shared" si="1"/>
        <v>مقبول</v>
      </c>
      <c r="I19" s="63"/>
      <c r="J19" s="64"/>
    </row>
    <row r="20" spans="1:10" ht="30" customHeight="1">
      <c r="A20" s="9"/>
      <c r="B20" s="48" t="s">
        <v>190</v>
      </c>
      <c r="C20" s="49"/>
      <c r="D20" s="49"/>
      <c r="E20" s="32">
        <v>3</v>
      </c>
      <c r="F20" s="25">
        <v>2</v>
      </c>
      <c r="G20" s="33">
        <f t="shared" si="0"/>
        <v>0.66666666666666663</v>
      </c>
      <c r="H20" s="34" t="str">
        <f t="shared" si="1"/>
        <v>مقبول</v>
      </c>
      <c r="I20" s="63"/>
      <c r="J20" s="64"/>
    </row>
    <row r="21" spans="1:10" ht="30" customHeight="1" thickBot="1">
      <c r="A21" s="9"/>
      <c r="B21" s="67" t="s">
        <v>191</v>
      </c>
      <c r="C21" s="68"/>
      <c r="D21" s="68"/>
      <c r="E21" s="39">
        <v>3</v>
      </c>
      <c r="F21" s="26">
        <v>2</v>
      </c>
      <c r="G21" s="40">
        <f t="shared" si="0"/>
        <v>0.66666666666666663</v>
      </c>
      <c r="H21" s="41" t="str">
        <f t="shared" si="1"/>
        <v>مقبول</v>
      </c>
      <c r="I21" s="57"/>
      <c r="J21" s="58"/>
    </row>
    <row r="22" spans="1:10" ht="30" customHeight="1" thickBot="1">
      <c r="A22" s="4"/>
      <c r="B22" s="88" t="s">
        <v>5</v>
      </c>
      <c r="C22" s="89"/>
      <c r="D22" s="89"/>
      <c r="E22" s="31">
        <f>SUM(E8:E21)</f>
        <v>36</v>
      </c>
      <c r="F22" s="31">
        <f>SUM(F8:F21)</f>
        <v>25.25</v>
      </c>
      <c r="G22" s="52"/>
      <c r="H22" s="53"/>
      <c r="I22" s="53"/>
      <c r="J22" s="54"/>
    </row>
    <row r="23" spans="1:10" ht="30" customHeight="1" thickBot="1">
      <c r="A23" s="4"/>
      <c r="B23" s="90" t="s">
        <v>54</v>
      </c>
      <c r="C23" s="91"/>
      <c r="D23" s="91"/>
      <c r="E23" s="55">
        <f>F22/E22/100*100</f>
        <v>0.70138888888888884</v>
      </c>
      <c r="F23" s="55"/>
      <c r="G23" s="55"/>
      <c r="H23" s="55"/>
      <c r="I23" s="55"/>
      <c r="J23" s="56"/>
    </row>
    <row r="24" spans="1:10" ht="30" customHeight="1" thickBot="1">
      <c r="A24" s="4"/>
      <c r="B24" s="90" t="s">
        <v>55</v>
      </c>
      <c r="C24" s="91"/>
      <c r="D24" s="91"/>
      <c r="E24" s="46" t="str">
        <f>_xlfn.IFS(E23&gt;=90%,"ممتاز",E23&gt;=80%,"جيد جداً",E23&gt;=70%,"جيد",E23&gt;=60%,"مقبول",E23&lt;60%,"راسب")</f>
        <v>جيد</v>
      </c>
      <c r="F24" s="46"/>
      <c r="G24" s="46"/>
      <c r="H24" s="46"/>
      <c r="I24" s="46"/>
      <c r="J24" s="47"/>
    </row>
    <row r="25" spans="1:10" ht="42" customHeight="1">
      <c r="B25" s="42" t="s">
        <v>192</v>
      </c>
      <c r="C25" s="42"/>
      <c r="D25" s="42"/>
      <c r="E25" s="50" t="s">
        <v>52</v>
      </c>
      <c r="F25" s="50"/>
      <c r="G25" s="44" t="s">
        <v>134</v>
      </c>
      <c r="H25" s="44"/>
      <c r="I25" s="44"/>
      <c r="J25" s="44"/>
    </row>
    <row r="26" spans="1:10" ht="51" customHeight="1">
      <c r="A26" s="5"/>
      <c r="B26" s="43"/>
      <c r="C26" s="43"/>
      <c r="D26" s="43"/>
      <c r="E26" s="51" t="s">
        <v>53</v>
      </c>
      <c r="F26" s="51"/>
      <c r="G26" s="45"/>
      <c r="H26" s="45"/>
      <c r="I26" s="45"/>
      <c r="J26" s="45"/>
    </row>
    <row r="27" spans="1:10">
      <c r="A27" s="27">
        <v>3</v>
      </c>
      <c r="B27" s="80" t="s">
        <v>175</v>
      </c>
      <c r="C27" s="81"/>
    </row>
    <row r="28" spans="1:10">
      <c r="A28" s="28">
        <v>2</v>
      </c>
      <c r="B28" s="82" t="s">
        <v>176</v>
      </c>
      <c r="C28" s="83"/>
    </row>
    <row r="29" spans="1:10">
      <c r="A29" s="29">
        <v>1</v>
      </c>
      <c r="B29" s="84" t="s">
        <v>177</v>
      </c>
      <c r="C29" s="8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2025-10-09T10:05:03Z</dcterms:modified>
</cp:coreProperties>
</file>