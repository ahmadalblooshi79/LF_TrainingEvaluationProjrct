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651C8B23-A325-4901-9783-C9519BFB0A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 s="1"/>
  <c r="G10" i="2"/>
  <c r="H10" i="2"/>
  <c r="G11" i="2"/>
  <c r="H11" i="2" s="1"/>
  <c r="G12" i="2"/>
  <c r="H12" i="2"/>
  <c r="G13" i="2"/>
  <c r="H13" i="2" s="1"/>
  <c r="G14" i="2"/>
  <c r="H14" i="2"/>
  <c r="G16" i="2"/>
  <c r="H16" i="2" s="1"/>
  <c r="G17" i="2"/>
  <c r="H17" i="2" s="1"/>
  <c r="G18" i="2"/>
  <c r="H18" i="2" s="1"/>
  <c r="G19" i="2"/>
  <c r="H19" i="2"/>
  <c r="G20" i="2"/>
  <c r="H20" i="2"/>
  <c r="G21" i="2"/>
  <c r="H21" i="2" s="1"/>
  <c r="F22" i="2"/>
  <c r="E23" i="2" s="1"/>
  <c r="E24" i="2" s="1"/>
  <c r="E22" i="2"/>
</calcChain>
</file>

<file path=xl/sharedStrings.xml><?xml version="1.0" encoding="utf-8"?>
<sst xmlns="http://schemas.openxmlformats.org/spreadsheetml/2006/main" count="250" uniqueCount="194">
  <si>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</si>
  <si>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</si>
  <si>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</si>
  <si>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</si>
  <si>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</si>
  <si>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</si>
  <si>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</si>
  <si>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</si>
  <si>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</si>
  <si>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</si>
  <si>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</si>
  <si>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</si>
  <si>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</si>
  <si>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</si>
  <si>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</si>
  <si>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</si>
  <si>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</si>
  <si>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</si>
  <si>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</si>
  <si>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</si>
  <si>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</si>
  <si>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</si>
  <si>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</si>
  <si>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</si>
  <si>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</si>
  <si>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</si>
  <si>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</si>
  <si>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</si>
  <si>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</si>
  <si>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</si>
  <si>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</si>
  <si>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</si>
  <si>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</si>
  <si>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</si>
  <si>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</si>
  <si>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</si>
  <si>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</si>
  <si>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</si>
  <si>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</si>
  <si>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</si>
  <si>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</si>
  <si>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</si>
  <si>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</si>
  <si>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</si>
  <si>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</si>
  <si>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</si>
  <si>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</si>
  <si>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</si>
  <si>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</si>
  <si>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</si>
  <si>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</si>
  <si>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</si>
  <si>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</si>
  <si>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</si>
  <si>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</si>
  <si>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</si>
  <si>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</si>
  <si>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</si>
  <si>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</si>
  <si>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</si>
  <si>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</si>
  <si>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</si>
  <si>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</si>
  <si>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</si>
  <si>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</si>
  <si>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</si>
  <si>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</si>
  <si>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</si>
  <si>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</si>
  <si>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</si>
  <si>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</si>
  <si>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</si>
  <si>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</si>
  <si>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</si>
  <si>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</si>
  <si>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</si>
  <si>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</si>
  <si>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</si>
  <si>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</si>
  <si>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</si>
  <si>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</si>
  <si>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</si>
  <si>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</si>
  <si>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</si>
  <si>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</si>
  <si>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</si>
  <si>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</si>
  <si>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</si>
  <si>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</si>
  <si>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</si>
  <si>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</si>
  <si>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</si>
  <si>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</si>
  <si>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</si>
  <si>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</si>
  <si>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</si>
  <si>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</si>
  <si>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</si>
  <si>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</si>
  <si>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</si>
  <si>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</si>
  <si>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</si>
  <si>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</si>
  <si>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</si>
  <si>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</si>
  <si>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</si>
  <si>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</si>
  <si>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</si>
  <si>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</si>
  <si>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</si>
  <si>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</si>
  <si>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</si>
  <si>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</si>
  <si>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</si>
  <si>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</si>
  <si>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</si>
  <si>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</si>
  <si>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</si>
  <si>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</si>
  <si>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</si>
  <si>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</si>
  <si>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</si>
  <si>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</si>
  <si>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</si>
  <si>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</si>
  <si>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</si>
  <si>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</si>
  <si>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</si>
  <si>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</si>
  <si>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</si>
  <si>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</si>
  <si>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</si>
  <si>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</si>
  <si>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</si>
  <si>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</si>
  <si>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</si>
  <si>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</si>
  <si>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</si>
  <si>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</si>
  <si>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</si>
  <si>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</si>
  <si>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</si>
  <si>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</si>
  <si>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</si>
  <si>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</si>
  <si>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</si>
  <si>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</si>
  <si>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</si>
  <si>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</si>
  <si>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</si>
  <si>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</si>
  <si>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</si>
  <si>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</si>
  <si>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</si>
  <si>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</si>
  <si>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</si>
  <si>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</si>
  <si>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</si>
  <si>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</si>
  <si>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</si>
  <si>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</si>
  <si>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</si>
  <si>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</si>
  <si>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</si>
  <si>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</si>
  <si>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</si>
  <si>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</si>
  <si>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</si>
  <si>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</si>
  <si>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</si>
  <si>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</si>
  <si>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</si>
  <si>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</si>
  <si>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</si>
  <si>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</si>
  <si>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</si>
  <si>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</si>
  <si>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</si>
  <si>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t>اجراءات رد فعل وحدة المناورة</t>
  </si>
  <si>
    <t>اجراءات رد فعل الوحدة الطبية</t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</si>
  <si>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التوزيع السليم للأدوار</t>
    </r>
  </si>
  <si>
    <r>
      <t>3.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تصنيف الإصابات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</si>
  <si>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إبلاغ المستوى الأعلى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</si>
  <si>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توفير الحماية للقوات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</si>
  <si>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إجراءات إسعاف الذاتي والتبادلي</t>
    </r>
  </si>
  <si>
    <r>
      <t>4.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اخراج ونقل المصابين من الآلية</t>
    </r>
  </si>
  <si>
    <r>
      <t>5.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التعامل مع الشهداء</t>
    </r>
  </si>
  <si>
    <r>
      <t>6.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نقل المصابين إلى نقطة جمع المصابين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</si>
  <si>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سرعة عناصر الإسناد الطبي إلى موقع الحدث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</si>
  <si>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إبلاغ المستوى الأعلى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</si>
  <si>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طلب إخلاء جوي حسب النسق الصحيح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</si>
  <si>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الإخلاء الطبي</t>
    </r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</si>
  <si>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</si>
  <si>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اليوم/2 - تقييم معضلة/6 - إنقاذ المصابين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</si>
</sst>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8" fillId="0" borderId="11" xfId="0" applyFont="1" applyBorder="1" applyAlignment="1">
      <alignment horizontal="right" vertical="center" wrapText="1" readingOrder="2"/>
    </xf>
    <xf numFmtId="0" fontId="8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8" fillId="0" borderId="25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186374</xdr:colOff>
      <xdr:row>25</xdr:row>
      <xdr:rowOff>26005</xdr:rowOff>
    </xdr:from>
    <xdr:to>
      <xdr:col>8</xdr:col>
      <xdr:colOff>285791</xdr:colOff>
      <xdr:row>25</xdr:row>
      <xdr:rowOff>394645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695E63F-06E6-80EA-67E8-90D2BFDEDFC9}"/>
                </a:ext>
              </a:extLst>
            </xdr14:cNvPr>
            <xdr14:cNvContentPartPr/>
          </xdr14:nvContentPartPr>
          <xdr14:nvPr macro=""/>
          <xdr14:xfrm>
            <a:off x="10423417009" y="9694440"/>
            <a:ext cx="753840" cy="3686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695E63F-06E6-80EA-67E8-90D2BFDEDFC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408009" y="9685440"/>
              <a:ext cx="771480" cy="38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595694</xdr:colOff>
      <xdr:row>25</xdr:row>
      <xdr:rowOff>177205</xdr:rowOff>
    </xdr:from>
    <xdr:to>
      <xdr:col>9</xdr:col>
      <xdr:colOff>13687</xdr:colOff>
      <xdr:row>25</xdr:row>
      <xdr:rowOff>482485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FDC0B80-4E6F-EB65-6C79-6E69CF7FC90D}"/>
                </a:ext>
              </a:extLst>
            </xdr14:cNvPr>
            <xdr14:cNvContentPartPr/>
          </xdr14:nvContentPartPr>
          <xdr14:nvPr macro=""/>
          <xdr14:xfrm>
            <a:off x="10423034689" y="9845640"/>
            <a:ext cx="726840" cy="3052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FDC0B80-4E6F-EB65-6C79-6E69CF7FC90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026049" y="9837000"/>
              <a:ext cx="744480" cy="322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8:37:59.6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1398 807 3648,'0'0'0,"-2"-3"1913,-1 1-265,1-2-736,2 2-304,0 2-608,-3-1 464,3-2-95,0 2-49,0 0-80,0 1-40,0 0 24,0 0-224,0 0 192,0 0 96,0 0-104,0-1-24,0 1 0,0-2-96,0 2-64,0 0 120,0-1-32,0 0-8,0 0-32,0 0-40,1-1-8,-1 2 0,2-2-72,0-1-24,2-1 32,-1 0-16,8 1 0,-7-2 24,-4 5 56,9-5-88,-5-4 8,8 6 16,-9-2-24,10 1-8,-8-6-8,-5 10 104,15-2-128,-4-3 24,-1 0-24,2-6-8,2 9 32,-1-3-24,-13 5 128,14-10-112,0 7-8,2-1 0,-2-1 16,2 2 8,1-1 16,-17 4 80,15-5-88,4 2 16,-1-2 16,2 1-25,-2 1 9,-1-1-24,-17 4 96,20-3-80,-2 0-16,1 2 0,-1 1 0,0 0-16,0 0 0,-18 0 112,15 0-112,3 0 8,-1 4 16,0-2-16,0 2 8,-2-1-8,-15-3 104,17 4-112,-1-1 16,-2 1 0,2 7-16,-3-9 24,-1 2-8,-12-4 96,12 12-128,-1-9-40,-7 8-8,8-7-24,-8 9 40,5-3 8,-9-10 152,3 9-136,-1 1 8,1 1-40,-2-1 0,-1 2 0,0 0 8,0-12 160,0 13-120,-10 1 24,7-1 24,-9 0 16,2 0-40,0 0-80,10-13 176,-11 15-233,-2-2-55,-2 0 24,-1 0 48,0-1 56,-1 0 16,17-12 144,-16 11-80,0 0 0,0 0 24,-1-2 16,0-5-8,1 9 24,16-13 24,-16 2 16,-2 2-24,1 6-16,-1-10 16,-1 0-32,0 0 24,19 0 16,-18 0 32,-1 0-24,0-2 8,-1-1 0,1-7 0,-1 7 64,20 3-80,-18-12 136,0 2-16,1 0 56,0 6 64,1-8 80,-1 2 97,17 10-417,-16-5 512,1-8-56,0 4-72,0-1-16,0 0-104,0 6 48,15 4-312,-16-12 168,1 7 16,-1-6-56,0 7-96,2-5 48,-3 5-32,17 4-48,-16-3 72,-2-1-48,-2 0 16,1 1-40,-1 0 8,-2 1 72,22 2-80,-23-1-8,0 0 32,0-1-40,-1 1-32,1 0 112,0 0-64,23 1 0,-24-1 40,-1-2-40,0 2-40,0 0 80,-2 0 40,2-2-8,25 3-72,-25-2 32,-1-2 8,2-1-80,-2 1 48,1-6 104,1 6-16,24 4-96,-25-9 112,0-1-32,1 6-48,0-10-40,1 4 88,2-2-48,21 12-32,-22-12-40,2 0-16,-1-3-112,1 2-16,0-3 80,1 2-40,19 14 144,-20-16-176,2 1 8,0-1-120,-1 1-56,1-3-24,1 0-144,17 18 512,-15-17-544,1-1 40,0 0 15,2 1 121,2 1 144,6-1 32,4 17 192,-12-17-176,10 1 16,-2 1-64,0-2 0,1 3 8,3-1 24,0 15 192,0-14-152,0-1 80,0 1 16,2 0 40,8 1-8,-1-2-8,-9 15 32,11-15-24,2-1-24,2-1 48,1 2 8,2 1-16,3 1 24,-21 13-16,20-12-16,3-1 24,1 0-24,1 1 24,3 0 0,-1 1-40,-27 11 32,30-11 32,1 2-24,3-1-24,1 1 24,2-1-8,0 0-16,-37 10 16,40-3 24,-1-8 8,2 7-24,1 0 0,0-1 16,-2 0-40,-40 5 16,41-3 16,0-1-16,-2 2 8,2 0-8,-1 1 8,-2 1 0,-38 0-8,36 0 16,-1 3 16,-3-1-16,1 2 0,-2-1-8,-1 8-24,-30-11 16,27 2 8,0 9-16,-1-7 24,-3 9-24,-2-10 16,-1 13 24,-20-16-32,18 11 8,0-2 8,-2 3 16,-1 0 0,-2 0 32,-2 2 24,-11-14-88,4 13 112,7 0 72,-8 0 40,0 3 32,-1-3 40,0 2-16,-2-15-280,0 16 296,0 1 8,-10 0-7,7-1-1,-12 2 8,2 0-24,13-18-280,-16 18 248,-2 1 8,-1 1 0,0-1 8,-1 0-16,-3 0-32,23-19-216,-24 21 192,-4-1-16,1-2 0,-3 1-8,-1-1 16,-2 0 0,33-18-184,-34 19 184,-3 0 0,-3 1-32,-3-1 0,-1 1-32,-5-1 8,49-19-128,-46 19 96,0 2 49,0-2-33,-1 0 0,-2 0-8,1-1-48,48-18-56,-48 18 72,0-1 8,2-1-16,1-2 16,2 0-8,2 0-32,41-14-40,-40 12 56,3-2 16,-4 1-8,4-1 0,-2-1-16,3-5-40,36-4-8,-33 11-24,1-8-16,2 1-104,0 5-160,1-6-232,1-1-345,28-2 881,-29 3-1200,1-3-248,1 0-73,3 0 409,1 0 408,1 0 320,22 0 384,-21-4-104,0 0-1848,21 4 1952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8:38:00.6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1933 1 6857,'0'0'0,"0"0"0,-11 0 2889,-1 0-1537,-1 0-656,-4 3-392,2 8-184,-1-7-80,16-4-40,-16 13 40,0-3-40,-1 0-24,1 1 56,-3-1-64,1 0 112,18-10-80,-17 12 72,-3-1-24,1 1 32,-3-1-144,2 0 64,-2-2 80,22-9-80,-23 11 0,1 0 40,0-1-8,1-1-72,-1-5-16,1 8-24,21-12 80,-21 2-152,1 8-88,1-8-64,2 0-256,1 2-264,2-2-217,14-2 1041,-14 3-1272,1-3 0,2 0-8,-1 0 127,3-3 273,-1 0 248,10 3 632,-4-4-352,-7-5 192,9 6 112,-8-1 32,9-6 8,-3 8 8,4 2 0,-3-4 0,-1 0 40,1 1 80,0-2 120,1 1 192,0 1 168,2 3-600,-3-3 728,0 1 121,1 0-41,-2-1-40,1 1-56,-1 1-144,4 1-568,-4-2 464,2 2-48,-2 0-112,-5 0-95,5 0-81,-6 0-56,10 0-72,-3 0 24,-9 3 32,2-1 8,-1 2-40,1 5-16,-3-6-32,13-3 24,-11 3-48,-2 9 0,-2-9 0,2 8 32,-1-8 16,3 10 24,11-13-24,-12 4 48,1 7 40,0-8-72,0 7-24,2-7-24,0 7-64,9-10 96,-10 2 0,1 8-8,0-8 0,-2 2 8,3 6-24,-2-10 24,10 0 0,-3 3-24,-10 0-96,10 0 32,-7 0-32,8-3-49,-9 2 17,11-2 152,-4 2-216,-5-2-8,6 0 8,-9 0 48,10 0 40,-8 0 32,10 0 96,-3-1-40,-6 0 0,6 1 32,-5-1 8,6 0 16,-8 1 56,10 0-72,-3 0 88,-7 0 24,0 0 40,1 0 8,-3 2 8,1 0 8,11-2-176,-10 3 136,-2 0 0,1 1 16,0 0 1,-5 6 31,0-7 16,16-3-200,-16 9 200,-2-5 24,1 6-24,-1-7 8,1 7-32,2-7-24,15-3-152,-19 12 120,1-8 16,0 5-48,-1-6 0,0 6-24,-2-6 8,21-3-72,-18 3 48,-2 7 0,0-10 8,3 2-16,-1 2 16,0-2 8,18-2-64,-18 0 56,-2 0-8,3 0-32,-1 0 16,-1 0 0,1-2 16,18 2-48,-20-4 40,2 0-72,1-6-32,0 5-88,2-7-72,-2 0-48,17 12 272,-16-12-368,2-1-72,-2-1 32,4-1 24,-2-1 32,5 0 7,9 16 345,-11-17-352,2 0 56,6 2 40,-9-1 120,10 2 56,-1 0 40,3 14 40,-4-14-24,0 2 8,1-1-8,1 2 16,2-1 16,0 2 0,0 10-8,0-12 8,0 2 16,0 0-8,0 6 0,1-7 0,0 7-8,-1 4-8,1-5 24,0 2 0,2-1-16,-2 3 0,0 0-40,-1 1 8,0 0 24,0 0-40,0 0-24,0 2 16,1 2 16,1 5 32,-2-5 32,0-4-32,1 13 32,-1-1 56,0 1 0,-3 4-8,1 0 24,-2 0-24,4-17-80,-3 19 16,-1 2 32,1 1 16,0 1-24,-6 1 48,6 0-32,3-24-56,-4 24 72,1 2-32,0 0-8,0 1-24,-1-1-24,2-1 32,2-25-16,0 26-8,0-1 72,0 0-8,0-1-8,2-3 48,2 1-96,-4-22 0,9 20 80,-4 0 24,7-2-16,-1-2 97,2 2-41,3-2-8,-16-16-136,17 17 80,1-2 24,3 0-40,3-1 8,1-1 8,3 0-72,-28-13-8,31 11 80,1-7-88,3 8-16,0-10 0,3 2-88,1 5-56,-39-9 168,42 0-296,1 3-185,1-1-295,3-2-472,2 0-488,1 0 319,-50 0 1417,56 0-1064,-1-4 456,3-6-1440,-58 10 2048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topLeftCell="A8" zoomScale="130" zoomScaleNormal="100" zoomScaleSheetLayoutView="130" workbookViewId="0">
      <selection activeCell="F9" sqref="F9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0" t="s">
        <v>193</v>
      </c>
      <c r="C1" s="60"/>
      <c r="D1" s="60"/>
      <c r="E1" s="60"/>
      <c r="F1" s="60"/>
      <c r="G1" s="60"/>
      <c r="H1" s="60"/>
      <c r="I1" s="60"/>
      <c r="J1" s="60"/>
    </row>
    <row r="2" spans="1:10" ht="30" customHeight="1" x14ac:dyDescent="0.3">
      <c r="B2" s="11" t="s">
        <v>8</v>
      </c>
      <c r="C2" s="66" t="s">
        <v>41</v>
      </c>
      <c r="D2" s="66"/>
      <c r="E2" s="11" t="s">
        <v>7</v>
      </c>
      <c r="F2" s="61">
        <v>45944</v>
      </c>
      <c r="G2" s="61"/>
      <c r="H2" s="61"/>
      <c r="I2" s="61"/>
      <c r="J2" s="61"/>
    </row>
    <row r="3" spans="1:10" ht="30" customHeight="1" x14ac:dyDescent="0.3">
      <c r="B3" s="11" t="s">
        <v>9</v>
      </c>
      <c r="C3" s="66" t="s">
        <v>82</v>
      </c>
      <c r="D3" s="66"/>
      <c r="E3" s="11" t="s">
        <v>6</v>
      </c>
      <c r="F3" s="66" t="s">
        <v>92</v>
      </c>
      <c r="G3" s="66"/>
      <c r="H3" s="66"/>
      <c r="I3" s="66"/>
      <c r="J3" s="66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62" t="s">
        <v>0</v>
      </c>
      <c r="C5" s="63"/>
      <c r="D5" s="63"/>
      <c r="E5" s="67" t="s">
        <v>1</v>
      </c>
      <c r="F5" s="67"/>
      <c r="G5" s="67"/>
      <c r="H5" s="67"/>
      <c r="I5" s="67" t="s">
        <v>2</v>
      </c>
      <c r="J5" s="68"/>
    </row>
    <row r="6" spans="1:10" ht="24.9" customHeight="1" thickBot="1" x14ac:dyDescent="0.35">
      <c r="A6" s="9"/>
      <c r="B6" s="64"/>
      <c r="C6" s="65"/>
      <c r="D6" s="65"/>
      <c r="E6" s="10" t="s">
        <v>3</v>
      </c>
      <c r="F6" s="10" t="s">
        <v>4</v>
      </c>
      <c r="G6" s="10" t="s">
        <v>23</v>
      </c>
      <c r="H6" s="10" t="s">
        <v>24</v>
      </c>
      <c r="I6" s="69"/>
      <c r="J6" s="70"/>
    </row>
    <row r="7" spans="1:10" ht="24.9" customHeight="1" thickBot="1" x14ac:dyDescent="0.35">
      <c r="A7" s="9"/>
      <c r="B7" s="71" t="s">
        <v>21</v>
      </c>
      <c r="C7" s="72"/>
      <c r="D7" s="72"/>
      <c r="E7" s="30" t="s">
        <v>18</v>
      </c>
      <c r="F7" s="30" t="s">
        <v>19</v>
      </c>
      <c r="G7" s="30" t="s">
        <v>22</v>
      </c>
      <c r="H7" s="30" t="s">
        <v>20</v>
      </c>
      <c r="I7" s="73" t="s">
        <v>25</v>
      </c>
      <c r="J7" s="74"/>
    </row>
    <row r="8" spans="1:10" ht="30" customHeight="1" x14ac:dyDescent="0.3">
      <c r="A8" s="9"/>
      <c r="B8" s="75" t="s">
        <v>178</v>
      </c>
      <c r="C8" s="76"/>
      <c r="D8" s="76"/>
      <c r="E8" s="35"/>
      <c r="F8" s="36"/>
      <c r="G8" s="37"/>
      <c r="H8" s="38"/>
      <c r="I8" s="48"/>
      <c r="J8" s="49"/>
    </row>
    <row r="9" spans="1:10" ht="30" customHeight="1" x14ac:dyDescent="0.3">
      <c r="A9" s="9"/>
      <c r="B9" s="77" t="s">
        <v>182</v>
      </c>
      <c r="C9" s="78"/>
      <c r="D9" s="78"/>
      <c r="E9" s="32">
        <v>3</v>
      </c>
      <c r="F9" s="25">
        <v>2.25</v>
      </c>
      <c r="G9" s="33">
        <f>IFERROR(F9/E9,"")</f>
        <v>0.75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4"/>
      <c r="J9" s="55"/>
    </row>
    <row r="10" spans="1:10" ht="30" customHeight="1" x14ac:dyDescent="0.3">
      <c r="A10" s="9"/>
      <c r="B10" s="77" t="s">
        <v>183</v>
      </c>
      <c r="C10" s="78"/>
      <c r="D10" s="78"/>
      <c r="E10" s="32">
        <v>3</v>
      </c>
      <c r="F10" s="25">
        <v>2.25</v>
      </c>
      <c r="G10" s="33">
        <f t="shared" ref="G10:G21" si="0">IFERROR(F10/E10,"")</f>
        <v>0.75</v>
      </c>
      <c r="H10" s="34" t="str">
        <f t="shared" ref="H10:H21" si="1">_xlfn.IFS(F10="أدخل العلامة","",F10="لا ينطبق","تم الإلغاء",G10&gt;=90%,"ممتاز",G10&gt;=80%,"جيد جداً",G10&gt;=70%,"جيد",G10&gt;=60%,"مقبول",G10&lt;60%,"راسب")</f>
        <v>جيد</v>
      </c>
      <c r="I10" s="54"/>
      <c r="J10" s="55"/>
    </row>
    <row r="11" spans="1:10" ht="30" customHeight="1" x14ac:dyDescent="0.3">
      <c r="A11" s="9"/>
      <c r="B11" s="77" t="s">
        <v>184</v>
      </c>
      <c r="C11" s="78"/>
      <c r="D11" s="78"/>
      <c r="E11" s="32">
        <v>3</v>
      </c>
      <c r="F11" s="25">
        <v>2.25</v>
      </c>
      <c r="G11" s="33">
        <f t="shared" si="0"/>
        <v>0.75</v>
      </c>
      <c r="H11" s="34" t="str">
        <f t="shared" si="1"/>
        <v>جيد</v>
      </c>
      <c r="I11" s="54"/>
      <c r="J11" s="55"/>
    </row>
    <row r="12" spans="1:10" ht="30" customHeight="1" x14ac:dyDescent="0.3">
      <c r="A12" s="9"/>
      <c r="B12" s="77" t="s">
        <v>185</v>
      </c>
      <c r="C12" s="78"/>
      <c r="D12" s="78"/>
      <c r="E12" s="32">
        <v>3</v>
      </c>
      <c r="F12" s="25">
        <v>2.25</v>
      </c>
      <c r="G12" s="33">
        <f t="shared" si="0"/>
        <v>0.75</v>
      </c>
      <c r="H12" s="34" t="str">
        <f t="shared" si="1"/>
        <v>جيد</v>
      </c>
      <c r="I12" s="54"/>
      <c r="J12" s="55"/>
    </row>
    <row r="13" spans="1:10" ht="30" customHeight="1" x14ac:dyDescent="0.3">
      <c r="A13" s="9"/>
      <c r="B13" s="77" t="s">
        <v>186</v>
      </c>
      <c r="C13" s="78"/>
      <c r="D13" s="78"/>
      <c r="E13" s="32">
        <v>3</v>
      </c>
      <c r="F13" s="25">
        <v>2</v>
      </c>
      <c r="G13" s="33">
        <f t="shared" si="0"/>
        <v>0.66666666666666663</v>
      </c>
      <c r="H13" s="34" t="str">
        <f t="shared" si="1"/>
        <v>مقبول</v>
      </c>
      <c r="I13" s="54"/>
      <c r="J13" s="55"/>
    </row>
    <row r="14" spans="1:10" ht="30" customHeight="1" thickBot="1" x14ac:dyDescent="0.35">
      <c r="A14" s="9"/>
      <c r="B14" s="58" t="s">
        <v>187</v>
      </c>
      <c r="C14" s="59"/>
      <c r="D14" s="59"/>
      <c r="E14" s="39">
        <v>3</v>
      </c>
      <c r="F14" s="26">
        <v>2.25</v>
      </c>
      <c r="G14" s="40">
        <f t="shared" si="0"/>
        <v>0.75</v>
      </c>
      <c r="H14" s="41" t="str">
        <f t="shared" si="1"/>
        <v>جيد</v>
      </c>
      <c r="I14" s="56"/>
      <c r="J14" s="57"/>
    </row>
    <row r="15" spans="1:10" ht="30" customHeight="1" x14ac:dyDescent="0.3">
      <c r="A15" s="9"/>
      <c r="B15" s="75" t="s">
        <v>179</v>
      </c>
      <c r="C15" s="76"/>
      <c r="D15" s="76"/>
      <c r="E15" s="35"/>
      <c r="F15" s="36"/>
      <c r="G15" s="37"/>
      <c r="H15" s="38"/>
      <c r="I15" s="48"/>
      <c r="J15" s="49"/>
    </row>
    <row r="16" spans="1:10" ht="30" customHeight="1" x14ac:dyDescent="0.3">
      <c r="A16" s="9"/>
      <c r="B16" s="77" t="s">
        <v>188</v>
      </c>
      <c r="C16" s="78"/>
      <c r="D16" s="78"/>
      <c r="E16" s="32">
        <v>3</v>
      </c>
      <c r="F16" s="25">
        <v>2.25</v>
      </c>
      <c r="G16" s="33">
        <f t="shared" si="0"/>
        <v>0.75</v>
      </c>
      <c r="H16" s="34" t="str">
        <f t="shared" si="1"/>
        <v>جيد</v>
      </c>
      <c r="I16" s="54"/>
      <c r="J16" s="55"/>
    </row>
    <row r="17" spans="1:10" ht="30" customHeight="1" x14ac:dyDescent="0.3">
      <c r="A17" s="9"/>
      <c r="B17" s="77" t="s">
        <v>180</v>
      </c>
      <c r="C17" s="78"/>
      <c r="D17" s="78"/>
      <c r="E17" s="32">
        <v>3</v>
      </c>
      <c r="F17" s="25">
        <v>2</v>
      </c>
      <c r="G17" s="33">
        <f t="shared" si="0"/>
        <v>0.66666666666666663</v>
      </c>
      <c r="H17" s="34" t="str">
        <f t="shared" si="1"/>
        <v>مقبول</v>
      </c>
      <c r="I17" s="54"/>
      <c r="J17" s="55"/>
    </row>
    <row r="18" spans="1:10" ht="30" customHeight="1" x14ac:dyDescent="0.3">
      <c r="A18" s="9"/>
      <c r="B18" s="77" t="s">
        <v>181</v>
      </c>
      <c r="C18" s="78"/>
      <c r="D18" s="78"/>
      <c r="E18" s="32">
        <v>3</v>
      </c>
      <c r="F18" s="25">
        <v>2</v>
      </c>
      <c r="G18" s="33">
        <f t="shared" si="0"/>
        <v>0.66666666666666663</v>
      </c>
      <c r="H18" s="34" t="str">
        <f t="shared" si="1"/>
        <v>مقبول</v>
      </c>
      <c r="I18" s="54"/>
      <c r="J18" s="55"/>
    </row>
    <row r="19" spans="1:10" ht="30" customHeight="1" x14ac:dyDescent="0.3">
      <c r="A19" s="9"/>
      <c r="B19" s="77" t="s">
        <v>189</v>
      </c>
      <c r="C19" s="78"/>
      <c r="D19" s="78"/>
      <c r="E19" s="32">
        <v>3</v>
      </c>
      <c r="F19" s="25">
        <v>2.25</v>
      </c>
      <c r="G19" s="33">
        <f t="shared" si="0"/>
        <v>0.75</v>
      </c>
      <c r="H19" s="34" t="str">
        <f t="shared" si="1"/>
        <v>جيد</v>
      </c>
      <c r="I19" s="54"/>
      <c r="J19" s="55"/>
    </row>
    <row r="20" spans="1:10" ht="30" customHeight="1" x14ac:dyDescent="0.3">
      <c r="A20" s="9"/>
      <c r="B20" s="77" t="s">
        <v>190</v>
      </c>
      <c r="C20" s="78"/>
      <c r="D20" s="78"/>
      <c r="E20" s="32">
        <v>3</v>
      </c>
      <c r="F20" s="25">
        <v>2.25</v>
      </c>
      <c r="G20" s="33">
        <f t="shared" si="0"/>
        <v>0.75</v>
      </c>
      <c r="H20" s="34" t="str">
        <f t="shared" si="1"/>
        <v>جيد</v>
      </c>
      <c r="I20" s="54"/>
      <c r="J20" s="55"/>
    </row>
    <row r="21" spans="1:10" ht="30" customHeight="1" thickBot="1" x14ac:dyDescent="0.35">
      <c r="A21" s="9"/>
      <c r="B21" s="58" t="s">
        <v>191</v>
      </c>
      <c r="C21" s="59"/>
      <c r="D21" s="59"/>
      <c r="E21" s="39">
        <v>3</v>
      </c>
      <c r="F21" s="26">
        <v>2.25</v>
      </c>
      <c r="G21" s="40">
        <f t="shared" si="0"/>
        <v>0.75</v>
      </c>
      <c r="H21" s="41" t="str">
        <f t="shared" si="1"/>
        <v>جيد</v>
      </c>
      <c r="I21" s="56"/>
      <c r="J21" s="57"/>
    </row>
    <row r="22" spans="1:10" ht="30" customHeight="1" thickBot="1" x14ac:dyDescent="0.35">
      <c r="A22" s="4"/>
      <c r="B22" s="50" t="s">
        <v>5</v>
      </c>
      <c r="C22" s="51"/>
      <c r="D22" s="51"/>
      <c r="E22" s="31">
        <f>SUM(E8:E21)</f>
        <v>36</v>
      </c>
      <c r="F22" s="31">
        <f>SUM(F8:F21)</f>
        <v>26.25</v>
      </c>
      <c r="G22" s="87"/>
      <c r="H22" s="88"/>
      <c r="I22" s="88"/>
      <c r="J22" s="89"/>
    </row>
    <row r="23" spans="1:10" ht="30" customHeight="1" thickBot="1" x14ac:dyDescent="0.35">
      <c r="A23" s="4"/>
      <c r="B23" s="52" t="s">
        <v>54</v>
      </c>
      <c r="C23" s="53"/>
      <c r="D23" s="53"/>
      <c r="E23" s="90">
        <f>F22/E22/100*100</f>
        <v>0.72916666666666663</v>
      </c>
      <c r="F23" s="90"/>
      <c r="G23" s="90"/>
      <c r="H23" s="90"/>
      <c r="I23" s="90"/>
      <c r="J23" s="91"/>
    </row>
    <row r="24" spans="1:10" ht="30" customHeight="1" thickBot="1" x14ac:dyDescent="0.35">
      <c r="A24" s="4"/>
      <c r="B24" s="52" t="s">
        <v>55</v>
      </c>
      <c r="C24" s="53"/>
      <c r="D24" s="53"/>
      <c r="E24" s="83" t="str">
        <f>_xlfn.IFS(E23&gt;=90%,"ممتاز",E23&gt;=80%,"جيد جداً",E23&gt;=70%,"جيد",E23&gt;=60%,"مقبول",E23&lt;60%,"راسب")</f>
        <v>جيد</v>
      </c>
      <c r="F24" s="83"/>
      <c r="G24" s="83"/>
      <c r="H24" s="83"/>
      <c r="I24" s="83"/>
      <c r="J24" s="84"/>
    </row>
    <row r="25" spans="1:10" ht="42" customHeight="1" x14ac:dyDescent="0.3">
      <c r="B25" s="79" t="s">
        <v>192</v>
      </c>
      <c r="C25" s="79"/>
      <c r="D25" s="79"/>
      <c r="E25" s="85" t="s">
        <v>52</v>
      </c>
      <c r="F25" s="85"/>
      <c r="G25" s="81" t="s">
        <v>92</v>
      </c>
      <c r="H25" s="81"/>
      <c r="I25" s="81"/>
      <c r="J25" s="81"/>
    </row>
    <row r="26" spans="1:10" ht="51" customHeight="1" x14ac:dyDescent="0.3">
      <c r="A26" s="5"/>
      <c r="B26" s="80"/>
      <c r="C26" s="80"/>
      <c r="D26" s="80"/>
      <c r="E26" s="86" t="s">
        <v>53</v>
      </c>
      <c r="F26" s="86"/>
      <c r="G26" s="82"/>
      <c r="H26" s="82"/>
      <c r="I26" s="82"/>
      <c r="J26" s="82"/>
    </row>
    <row r="27" spans="1:10" ht="15.6" x14ac:dyDescent="0.3">
      <c r="A27" s="27">
        <v>3</v>
      </c>
      <c r="B27" s="42" t="s">
        <v>175</v>
      </c>
      <c r="C27" s="43"/>
    </row>
    <row r="28" spans="1:10" ht="15.6" x14ac:dyDescent="0.3">
      <c r="A28" s="28">
        <v>2</v>
      </c>
      <c r="B28" s="44" t="s">
        <v>176</v>
      </c>
      <c r="C28" s="45"/>
    </row>
    <row r="29" spans="1:10" ht="15.6" x14ac:dyDescent="0.3">
      <c r="A29" s="29">
        <v>1</v>
      </c>
      <c r="B29" s="46" t="s">
        <v>177</v>
      </c>
      <c r="C29" s="4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2">
    <mergeCell ref="B25:D26"/>
    <mergeCell ref="G25:J25"/>
    <mergeCell ref="G26:J26"/>
    <mergeCell ref="E24:J24"/>
    <mergeCell ref="B16:D16"/>
    <mergeCell ref="B17:D17"/>
    <mergeCell ref="B18:D18"/>
    <mergeCell ref="B19:D19"/>
    <mergeCell ref="B20:D20"/>
    <mergeCell ref="E25:F25"/>
    <mergeCell ref="E26:F26"/>
    <mergeCell ref="G22:J22"/>
    <mergeCell ref="E23:J23"/>
    <mergeCell ref="I21:J21"/>
    <mergeCell ref="B7:D7"/>
    <mergeCell ref="I7:J7"/>
    <mergeCell ref="I10:J10"/>
    <mergeCell ref="I19:J19"/>
    <mergeCell ref="I20:J20"/>
    <mergeCell ref="B8:D8"/>
    <mergeCell ref="B9:D9"/>
    <mergeCell ref="B10:D10"/>
    <mergeCell ref="B11:D11"/>
    <mergeCell ref="B12:D12"/>
    <mergeCell ref="B13:D13"/>
    <mergeCell ref="B14:D14"/>
    <mergeCell ref="B15:D15"/>
    <mergeCell ref="I9:J9"/>
    <mergeCell ref="B1:J1"/>
    <mergeCell ref="F2:J2"/>
    <mergeCell ref="B5:D6"/>
    <mergeCell ref="C2:D2"/>
    <mergeCell ref="C3:D3"/>
    <mergeCell ref="F3:J3"/>
    <mergeCell ref="E5:H5"/>
    <mergeCell ref="I5:J6"/>
    <mergeCell ref="B27:C27"/>
    <mergeCell ref="B28:C28"/>
    <mergeCell ref="B29:C29"/>
    <mergeCell ref="I8:J8"/>
    <mergeCell ref="B22:D22"/>
    <mergeCell ref="B23:D23"/>
    <mergeCell ref="B24:D24"/>
    <mergeCell ref="I11:J11"/>
    <mergeCell ref="I12:J12"/>
    <mergeCell ref="I13:J13"/>
    <mergeCell ref="I14:J14"/>
    <mergeCell ref="I15:J15"/>
    <mergeCell ref="I16:J16"/>
    <mergeCell ref="I17:J17"/>
    <mergeCell ref="I18:J18"/>
    <mergeCell ref="B21:D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8:F21">
    <cfRule type="containsText" dxfId="9" priority="38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8:H2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G25:J25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F16:F21 F9:F14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102</v>
      </c>
    </row>
    <row r="213" spans="1:1" ht="20.100000000000001" customHeight="1" x14ac:dyDescent="0.3">
      <c r="A213" s="19" t="s">
        <v>103</v>
      </c>
    </row>
    <row r="214" spans="1:1" ht="20.100000000000001" customHeight="1" x14ac:dyDescent="0.3">
      <c r="A214" s="19" t="s">
        <v>104</v>
      </c>
    </row>
    <row r="215" spans="1:1" ht="20.100000000000001" customHeight="1" x14ac:dyDescent="0.3">
      <c r="A215" s="19" t="s">
        <v>105</v>
      </c>
    </row>
    <row r="216" spans="1:1" ht="20.100000000000001" customHeight="1" x14ac:dyDescent="0.3">
      <c r="A216" s="19" t="s">
        <v>106</v>
      </c>
    </row>
    <row r="217" spans="1:1" ht="20.100000000000001" customHeight="1" x14ac:dyDescent="0.3">
      <c r="A217" s="19" t="s">
        <v>107</v>
      </c>
    </row>
    <row r="218" spans="1:1" ht="20.100000000000001" customHeight="1" x14ac:dyDescent="0.3">
      <c r="A218" s="19" t="s">
        <v>108</v>
      </c>
    </row>
    <row r="219" spans="1:1" ht="20.100000000000001" customHeight="1" x14ac:dyDescent="0.3">
      <c r="A219" s="19" t="s">
        <v>109</v>
      </c>
    </row>
    <row r="220" spans="1:1" ht="20.100000000000001" customHeight="1" x14ac:dyDescent="0.3">
      <c r="A220" s="19" t="s">
        <v>110</v>
      </c>
    </row>
    <row r="221" spans="1:1" ht="20.100000000000001" customHeight="1" x14ac:dyDescent="0.3">
      <c r="A221" s="19" t="s">
        <v>111</v>
      </c>
    </row>
    <row r="222" spans="1:1" ht="20.100000000000001" customHeight="1" x14ac:dyDescent="0.3">
      <c r="A222" s="19" t="s">
        <v>112</v>
      </c>
    </row>
    <row r="223" spans="1:1" ht="20.100000000000001" customHeight="1" x14ac:dyDescent="0.3">
      <c r="A223" s="19" t="s">
        <v>113</v>
      </c>
    </row>
    <row r="224" spans="1:1" ht="20.100000000000001" customHeight="1" x14ac:dyDescent="0.3">
      <c r="A224" s="19" t="s">
        <v>114</v>
      </c>
    </row>
    <row r="225" spans="1:1" ht="20.100000000000001" customHeight="1" x14ac:dyDescent="0.3">
      <c r="A225" s="19" t="s">
        <v>115</v>
      </c>
    </row>
    <row r="226" spans="1:1" ht="20.100000000000001" customHeight="1" x14ac:dyDescent="0.3">
      <c r="A226" s="19" t="s">
        <v>116</v>
      </c>
    </row>
    <row r="227" spans="1:1" ht="20.100000000000001" customHeight="1" x14ac:dyDescent="0.3">
      <c r="A227" s="19" t="s">
        <v>117</v>
      </c>
    </row>
    <row r="228" spans="1:1" ht="20.100000000000001" customHeight="1" x14ac:dyDescent="0.3">
      <c r="A228" s="19" t="s">
        <v>118</v>
      </c>
    </row>
    <row r="229" spans="1:1" ht="20.100000000000001" customHeight="1" x14ac:dyDescent="0.3">
      <c r="A229" s="19" t="s">
        <v>119</v>
      </c>
    </row>
    <row r="230" spans="1:1" ht="20.100000000000001" customHeight="1" x14ac:dyDescent="0.3">
      <c r="A230" s="19" t="s">
        <v>120</v>
      </c>
    </row>
    <row r="231" spans="1:1" ht="20.100000000000001" customHeight="1" x14ac:dyDescent="0.3">
      <c r="A231" s="19" t="s">
        <v>121</v>
      </c>
    </row>
    <row r="232" spans="1:1" ht="20.100000000000001" customHeight="1" x14ac:dyDescent="0.3">
      <c r="A232" s="19" t="s">
        <v>122</v>
      </c>
    </row>
    <row r="233" spans="1:1" ht="20.100000000000001" customHeight="1" x14ac:dyDescent="0.3">
      <c r="A233" s="19" t="s">
        <v>123</v>
      </c>
    </row>
    <row r="234" spans="1:1" ht="20.100000000000001" customHeight="1" x14ac:dyDescent="0.3">
      <c r="A234" s="19" t="s">
        <v>124</v>
      </c>
    </row>
    <row r="235" spans="1:1" ht="20.100000000000001" customHeight="1" x14ac:dyDescent="0.3">
      <c r="A235" s="21" t="s">
        <v>125</v>
      </c>
    </row>
    <row r="236" spans="1:1" ht="20.100000000000001" customHeight="1" x14ac:dyDescent="0.3">
      <c r="A236" s="19" t="s">
        <v>126</v>
      </c>
    </row>
    <row r="237" spans="1:1" ht="20.100000000000001" customHeight="1" x14ac:dyDescent="0.3">
      <c r="A237" s="19" t="s">
        <v>127</v>
      </c>
    </row>
    <row r="238" spans="1:1" ht="20.100000000000001" customHeight="1" x14ac:dyDescent="0.3">
      <c r="A238" s="19" t="s">
        <v>128</v>
      </c>
    </row>
    <row r="239" spans="1:1" ht="20.100000000000001" customHeight="1" x14ac:dyDescent="0.3">
      <c r="A239" s="19" t="s">
        <v>129</v>
      </c>
    </row>
    <row r="240" spans="1:1" ht="20.100000000000001" customHeight="1" x14ac:dyDescent="0.3">
      <c r="A240" s="19" t="s">
        <v>130</v>
      </c>
    </row>
    <row r="241" spans="1:1" ht="20.100000000000001" customHeight="1" x14ac:dyDescent="0.3">
      <c r="A241" s="19" t="s">
        <v>131</v>
      </c>
    </row>
    <row r="242" spans="1:1" ht="20.100000000000001" customHeight="1" x14ac:dyDescent="0.3">
      <c r="A242" s="19" t="s">
        <v>132</v>
      </c>
    </row>
    <row r="243" spans="1:1" ht="20.100000000000001" customHeight="1" x14ac:dyDescent="0.3">
      <c r="A243" s="19" t="s">
        <v>133</v>
      </c>
    </row>
    <row r="244" spans="1:1" ht="20.100000000000001" customHeight="1" x14ac:dyDescent="0.3">
      <c r="A244" s="19" t="s">
        <v>134</v>
      </c>
    </row>
    <row r="245" spans="1:1" ht="20.100000000000001" customHeight="1" x14ac:dyDescent="0.3">
      <c r="A245" s="19" t="s">
        <v>135</v>
      </c>
    </row>
    <row r="246" spans="1:1" ht="20.100000000000001" customHeight="1" x14ac:dyDescent="0.3">
      <c r="A246" s="19" t="s">
        <v>136</v>
      </c>
    </row>
    <row r="247" spans="1:1" ht="20.100000000000001" customHeight="1" x14ac:dyDescent="0.3">
      <c r="A247" s="19" t="s">
        <v>127</v>
      </c>
    </row>
    <row r="248" spans="1:1" ht="20.100000000000001" customHeight="1" x14ac:dyDescent="0.3">
      <c r="A248" s="19" t="s">
        <v>137</v>
      </c>
    </row>
    <row r="249" spans="1:1" ht="20.100000000000001" customHeight="1" x14ac:dyDescent="0.3">
      <c r="A249" s="19" t="s">
        <v>138</v>
      </c>
    </row>
    <row r="250" spans="1:1" ht="20.100000000000001" customHeight="1" x14ac:dyDescent="0.3">
      <c r="A250" s="21" t="s">
        <v>139</v>
      </c>
    </row>
    <row r="251" spans="1:1" ht="20.100000000000001" customHeight="1" x14ac:dyDescent="0.3">
      <c r="A251" s="22" t="s">
        <v>140</v>
      </c>
    </row>
    <row r="252" spans="1:1" ht="20.100000000000001" customHeight="1" x14ac:dyDescent="0.3">
      <c r="A252" s="19" t="s">
        <v>141</v>
      </c>
    </row>
    <row r="253" spans="1:1" ht="20.100000000000001" customHeight="1" x14ac:dyDescent="0.3">
      <c r="A253" s="19" t="s">
        <v>142</v>
      </c>
    </row>
    <row r="254" spans="1:1" ht="20.100000000000001" customHeight="1" x14ac:dyDescent="0.3">
      <c r="A254" s="23" t="s">
        <v>143</v>
      </c>
    </row>
    <row r="255" spans="1:1" ht="20.100000000000001" customHeight="1" x14ac:dyDescent="0.3">
      <c r="A255" s="23" t="s">
        <v>144</v>
      </c>
    </row>
    <row r="256" spans="1:1" ht="20.100000000000001" customHeight="1" x14ac:dyDescent="0.3">
      <c r="A256" s="24" t="s">
        <v>145</v>
      </c>
    </row>
    <row r="257" spans="1:1" ht="20.100000000000001" customHeight="1" x14ac:dyDescent="0.3">
      <c r="A257" s="19" t="s">
        <v>146</v>
      </c>
    </row>
    <row r="258" spans="1:1" ht="20.100000000000001" customHeight="1" x14ac:dyDescent="0.3">
      <c r="A258" s="24" t="s">
        <v>147</v>
      </c>
    </row>
    <row r="259" spans="1:1" ht="20.100000000000001" customHeight="1" x14ac:dyDescent="0.3">
      <c r="A259" s="19" t="s">
        <v>148</v>
      </c>
    </row>
    <row r="260" spans="1:1" ht="20.100000000000001" customHeight="1" x14ac:dyDescent="0.3">
      <c r="A260" s="24" t="s">
        <v>149</v>
      </c>
    </row>
    <row r="261" spans="1:1" ht="20.100000000000001" customHeight="1" x14ac:dyDescent="0.3">
      <c r="A261" s="19" t="s">
        <v>150</v>
      </c>
    </row>
    <row r="262" spans="1:1" ht="20.100000000000001" customHeight="1" x14ac:dyDescent="0.3">
      <c r="A262" s="19" t="s">
        <v>151</v>
      </c>
    </row>
    <row r="263" spans="1:1" ht="20.100000000000001" customHeight="1" x14ac:dyDescent="0.3">
      <c r="A263" s="24" t="s">
        <v>152</v>
      </c>
    </row>
    <row r="264" spans="1:1" ht="20.100000000000001" customHeight="1" x14ac:dyDescent="0.3">
      <c r="A264" s="24" t="s">
        <v>153</v>
      </c>
    </row>
    <row r="265" spans="1:1" ht="20.100000000000001" customHeight="1" x14ac:dyDescent="0.3">
      <c r="A265" s="24" t="s">
        <v>154</v>
      </c>
    </row>
    <row r="266" spans="1:1" ht="20.100000000000001" customHeight="1" x14ac:dyDescent="0.3">
      <c r="A266" s="19" t="s">
        <v>155</v>
      </c>
    </row>
    <row r="267" spans="1:1" ht="20.100000000000001" customHeight="1" x14ac:dyDescent="0.3">
      <c r="A267" s="19" t="s">
        <v>156</v>
      </c>
    </row>
    <row r="268" spans="1:1" ht="20.100000000000001" customHeight="1" x14ac:dyDescent="0.3">
      <c r="A268" s="19" t="s">
        <v>157</v>
      </c>
    </row>
    <row r="269" spans="1:1" ht="20.100000000000001" customHeight="1" x14ac:dyDescent="0.3">
      <c r="A269" s="19" t="s">
        <v>158</v>
      </c>
    </row>
    <row r="270" spans="1:1" ht="20.100000000000001" customHeight="1" x14ac:dyDescent="0.3">
      <c r="A270" s="24" t="s">
        <v>159</v>
      </c>
    </row>
    <row r="271" spans="1:1" ht="20.100000000000001" customHeight="1" x14ac:dyDescent="0.3">
      <c r="A271" s="24" t="s">
        <v>160</v>
      </c>
    </row>
    <row r="272" spans="1:1" ht="20.100000000000001" customHeight="1" x14ac:dyDescent="0.3">
      <c r="A272" s="19" t="s">
        <v>161</v>
      </c>
    </row>
    <row r="273" spans="1:1" ht="20.100000000000001" customHeight="1" x14ac:dyDescent="0.3">
      <c r="A273" s="24" t="s">
        <v>162</v>
      </c>
    </row>
    <row r="274" spans="1:1" ht="20.100000000000001" customHeight="1" x14ac:dyDescent="0.3">
      <c r="A274" s="24" t="s">
        <v>163</v>
      </c>
    </row>
    <row r="275" spans="1:1" ht="20.100000000000001" customHeight="1" x14ac:dyDescent="0.3">
      <c r="A275" s="19" t="s">
        <v>164</v>
      </c>
    </row>
    <row r="276" spans="1:1" ht="20.100000000000001" customHeight="1" x14ac:dyDescent="0.3">
      <c r="A276" s="19" t="s">
        <v>165</v>
      </c>
    </row>
    <row r="277" spans="1:1" ht="20.100000000000001" customHeight="1" x14ac:dyDescent="0.3">
      <c r="A277" s="24" t="s">
        <v>166</v>
      </c>
    </row>
    <row r="278" spans="1:1" ht="20.100000000000001" customHeight="1" x14ac:dyDescent="0.3">
      <c r="A278" s="19" t="s">
        <v>167</v>
      </c>
    </row>
    <row r="279" spans="1:1" ht="20.100000000000001" customHeight="1" x14ac:dyDescent="0.3">
      <c r="A279" s="19" t="s">
        <v>168</v>
      </c>
    </row>
    <row r="280" spans="1:1" ht="20.100000000000001" customHeight="1" x14ac:dyDescent="0.3">
      <c r="A280" s="19" t="s">
        <v>169</v>
      </c>
    </row>
    <row r="281" spans="1:1" ht="20.100000000000001" customHeight="1" x14ac:dyDescent="0.3">
      <c r="A281" s="19" t="s">
        <v>170</v>
      </c>
    </row>
    <row r="282" spans="1:1" ht="20.100000000000001" customHeight="1" x14ac:dyDescent="0.3">
      <c r="A282" s="24" t="s">
        <v>171</v>
      </c>
    </row>
    <row r="283" spans="1:1" ht="20.100000000000001" customHeight="1" x14ac:dyDescent="0.3">
      <c r="A283" s="24" t="s">
        <v>172</v>
      </c>
    </row>
    <row r="284" spans="1:1" ht="20.100000000000001" customHeight="1" x14ac:dyDescent="0.3">
      <c r="A284" s="24" t="s">
        <v>173</v>
      </c>
    </row>
    <row r="285" spans="1:1" ht="20.100000000000001" customHeight="1" thickBot="1" x14ac:dyDescent="0.35">
      <c r="A285" s="19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2025-10-15T17:38:07Z</dcterms:modified>
</cp:coreProperties>
</file>