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C71D1E94-8C85-EB40-9B4F-DC58355B7E6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F30" i="2"/>
  <c r="E30" i="2"/>
  <c r="E31" i="2"/>
  <c r="E32" i="2"/>
</calcChain>
</file>

<file path=xl/sharedStrings.xml><?xml version="1.0" encoding="utf-8"?>
<sst xmlns="http://schemas.openxmlformats.org/spreadsheetml/2006/main" count="255" uniqueCount="199">
  <si>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</si>
  <si>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</si>
  <si>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</si>
  <si>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</si>
  <si>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</si>
  <si>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</si>
  <si>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</si>
  <si>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</si>
  <si>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</si>
  <si>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</si>
  <si>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</si>
  <si>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</si>
  <si>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</si>
  <si>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</si>
  <si>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</si>
  <si>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</si>
  <si>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</si>
  <si>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</si>
  <si>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</si>
  <si>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</si>
  <si>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</si>
  <si>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</si>
  <si>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</si>
  <si>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</si>
  <si>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</si>
  <si>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</si>
  <si>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</si>
  <si>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</si>
  <si>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</si>
  <si>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</si>
  <si>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</si>
  <si>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</si>
  <si>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</si>
  <si>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</si>
  <si>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</si>
  <si>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</si>
  <si>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</si>
  <si>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</si>
  <si>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</si>
  <si>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</si>
  <si>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</si>
  <si>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</si>
  <si>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</si>
  <si>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</si>
  <si>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</si>
  <si>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</si>
  <si>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</si>
  <si>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</si>
  <si>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</si>
  <si>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</si>
  <si>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</si>
  <si>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</si>
  <si>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</si>
  <si>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</si>
  <si>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</si>
  <si>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</si>
  <si>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</si>
  <si>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</si>
  <si>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</si>
  <si>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</si>
  <si>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</si>
  <si>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</si>
  <si>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</si>
  <si>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</si>
  <si>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</si>
  <si>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</si>
  <si>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</si>
  <si>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</si>
  <si>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</si>
  <si>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</si>
  <si>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</si>
  <si>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</si>
  <si>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</si>
  <si>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</si>
  <si>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</si>
  <si>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</si>
  <si>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</si>
  <si>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</si>
  <si>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</si>
  <si>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</si>
  <si>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</si>
  <si>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</si>
  <si>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</si>
  <si>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</si>
  <si>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</si>
  <si>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</si>
  <si>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</si>
  <si>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</si>
  <si>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</si>
  <si>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</si>
  <si>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</si>
  <si>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</si>
  <si>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</si>
  <si>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</si>
  <si>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</si>
  <si>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</si>
  <si>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</si>
  <si>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</si>
  <si>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</si>
  <si>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</si>
  <si>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</si>
  <si>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</si>
  <si>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</si>
  <si>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</si>
  <si>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</si>
  <si>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</si>
  <si>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</si>
  <si>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</si>
  <si>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</si>
  <si>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</si>
  <si>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</si>
  <si>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</si>
  <si>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</si>
  <si>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</si>
  <si>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</si>
  <si>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</si>
  <si>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</si>
  <si>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</si>
  <si>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</si>
  <si>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</si>
  <si>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</si>
  <si>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</si>
  <si>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</si>
  <si>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</si>
  <si>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</si>
  <si>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</si>
  <si>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</si>
  <si>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</si>
  <si>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</si>
  <si>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</si>
  <si>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</si>
  <si>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</si>
  <si>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</si>
  <si>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</si>
  <si>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</si>
  <si>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</si>
  <si>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</si>
  <si>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</si>
  <si>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</si>
  <si>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</si>
  <si>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</si>
  <si>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</si>
  <si>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</si>
  <si>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</si>
  <si>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</si>
  <si>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</si>
  <si>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</si>
  <si>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</si>
  <si>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</si>
  <si>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</si>
  <si>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</si>
  <si>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</si>
  <si>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</si>
  <si>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</si>
  <si>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</si>
  <si>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</si>
  <si>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</si>
  <si>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</si>
  <si>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</si>
  <si>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</si>
  <si>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</si>
  <si>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</si>
  <si>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</si>
  <si>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</si>
  <si>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</si>
  <si>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</si>
  <si>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</si>
  <si>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</si>
  <si>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</si>
  <si>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</si>
  <si>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</si>
  <si>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</si>
  <si>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</si>
  <si>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</si>
  <si>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</si>
  <si>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</si>
  <si>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أ.     يطلب ضابط الإسناد الناري التقييم من ضباط الرصد.</t>
  </si>
  <si>
    <t>ب.   يطلب ضابط الإسناد الناري من خلال ضابط الاستخبارات تقييم الأضرار على الأهداف المحددة.</t>
  </si>
  <si>
    <t>أ.    إدامة المعلومات عن حالة عناصر الإسناد الناري المتوفرة لتشمل ما يلي:</t>
  </si>
  <si>
    <t>(1)  المواقع.</t>
  </si>
  <si>
    <t>(2)  المهام.</t>
  </si>
  <si>
    <t>(3)  الإمكانيات.</t>
  </si>
  <si>
    <t>(4)  موقف الذخيرة.</t>
  </si>
  <si>
    <t>(5)  حالة المعدات.</t>
  </si>
  <si>
    <t>ب.   جمع وإدامة ومعرفة موقف القوات الصديقة لتشمل:</t>
  </si>
  <si>
    <t>(1)  مخططات المناورة.</t>
  </si>
  <si>
    <t>(2)  مواقع قوات المناورة ومواقع عناصر الإسناد الإداري والنقليات.</t>
  </si>
  <si>
    <t>(3)  أماكن ضباط الرصد كما تم التبليغ عنها.</t>
  </si>
  <si>
    <t>(4)  موانع القوات الصديقة وموانع العدو.</t>
  </si>
  <si>
    <t xml:space="preserve">جـ.   توقع أين ومتى يحتاج ضابط الإسناد الناري لاتخاذ قرار أو توصيات أو القيام بإجراء.  </t>
  </si>
  <si>
    <t>د.   البقاء على اطلاع على تغييرات خطة المناورة والنيران أثناء المعركة.</t>
  </si>
  <si>
    <r>
      <t>4.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مراقبة شبكات الاتصالات للوحدات لضمان اتباع الإجراءات المحددة.</t>
    </r>
  </si>
  <si>
    <r>
      <t>5.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>إدامة كافة معلومات تحديد الأهداف الحالية في قائمة البيانات المناسبة.</t>
    </r>
  </si>
  <si>
    <r>
      <t>1.</t>
    </r>
    <r>
      <rPr>
        <sz val="7"/>
        <color rgb="FF000000"/>
        <rFont val="Times New Roman"/>
        <family val="1"/>
      </rPr>
      <t xml:space="preserve"> </t>
    </r>
    <r>
      <rPr>
        <sz val="12"/>
        <color rgb="FF000000"/>
        <rFont val="Arial"/>
        <family val="2"/>
      </rPr>
      <t xml:space="preserve">   يقوم ضابط الإسناد الناري بتنسيق طلبات الإسناد الناري المخططة وذلك من خلال:</t>
    </r>
    <r>
      <rPr>
        <sz val="14"/>
        <color theme="1"/>
        <rFont val="Calibri Light"/>
        <family val="2"/>
      </rPr>
      <t xml:space="preserve">  </t>
    </r>
  </si>
  <si>
    <t>ب.    رد الفعل على المواقف المتغيرة.</t>
  </si>
  <si>
    <t>أ.     استلام طلبات الوحدات للنيران المخططة (القصف التمهيدي - الأهداف ذات الأولوية - الأهداف تحت الطلب - القصف المعاكس).</t>
  </si>
  <si>
    <r>
      <t>2.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 xml:space="preserve"> يقوم ضابط الإسناد الناري بعمل تقييم للعمليات القتالية من خلال:</t>
    </r>
  </si>
  <si>
    <r>
      <t>3.</t>
    </r>
    <r>
      <rPr>
        <sz val="7"/>
        <color theme="1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يراقب ضابط الإسناد الناري الموقف الحالي ويشمل:</t>
    </r>
  </si>
  <si>
    <r>
      <rPr>
        <b/>
        <sz val="14"/>
        <color rgb="FF000000"/>
        <rFont val="Arial"/>
        <family val="2"/>
      </rPr>
      <t>تقييم الكتيبة/ مجموعة القتال في استخدام النيران المميتة في إسناد الكتيبة/ مجموعة القتال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</si>
</sst>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0"/>
      <color theme="1"/>
      <name val="Calibri Light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4"/>
      <color theme="1"/>
      <name val="Calibri Light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13" fillId="0" borderId="3" xfId="0" applyFont="1" applyBorder="1" applyAlignment="1">
      <alignment vertical="center" wrapText="1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4" readingOrder="2"/>
    </xf>
    <xf numFmtId="0" fontId="14" fillId="0" borderId="3" xfId="0" applyFont="1" applyBorder="1" applyAlignment="1">
      <alignment horizontal="right" vertical="center" wrapText="1" indent="4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indent="2" readingOrder="2"/>
    </xf>
    <xf numFmtId="0" fontId="14" fillId="0" borderId="3" xfId="0" applyFont="1" applyBorder="1" applyAlignment="1">
      <alignment horizontal="right" vertical="center" wrapText="1" indent="2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281625</xdr:colOff>
      <xdr:row>31</xdr:row>
      <xdr:rowOff>321680</xdr:rowOff>
    </xdr:from>
    <xdr:to>
      <xdr:col>9</xdr:col>
      <xdr:colOff>324434</xdr:colOff>
      <xdr:row>35</xdr:row>
      <xdr:rowOff>88863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1F90B0F-7B2F-0A34-5186-3B3BA094F324}"/>
                </a:ext>
              </a:extLst>
            </xdr14:cNvPr>
            <xdr14:cNvContentPartPr/>
          </xdr14:nvContentPartPr>
          <xdr14:nvPr macro=""/>
          <xdr14:xfrm>
            <a:off x="10398262385" y="14926680"/>
            <a:ext cx="2017080" cy="15163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21F90B0F-7B2F-0A34-5186-3B3BA094F3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253385" y="14917680"/>
              <a:ext cx="2034720" cy="1533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49:03.9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3380 4211 16291,'0'0'0,"0"-23"1360,0 3-872,0 20-488,2-21 120,10 2-72,-5 7 144,8-5-208,-15 17 16,14-17 96,3-1-24,-3-1-80,6 1 137,-20 18-129,14-19 16,-2 0-16,0 1-64,-7-2 136,-5 20-72,12-20 16,-7-2 88,0 0-48,7-1 88,-12 23-144,0-24 328,4 1 112,-4-1 160,0 0 0,0 24-600,0-24 568,-2 2 88,-10 1-32,10 0-151,2 21-473,-17-22 432,7 1-8,5 0 32,-14-1-32,19 22-424,-5-20 416,-12-4-216,15 0-72,-3-1-16,5 25-112,-5-27 256,3 2-80,-3 1-304,0 0 272,5 24-144,-2-21-120,2-1 296,-5 1-32,0 1-232,5 20 88,-2-20 16,-10-1-72,12 2 312,-3 1-96,3 18-160,-4-20 56,-6 2-184,5-4 232,-4 2-120,9 20 16,-3-20 176,-9-1-104,0 1-216,10-1 80,2 21 64,-12-20 0,12 0 224,-3-1-240,-2 1 232,5 20-216,0-21-56,0-1 200,0 2 80,5-1-64,-5 21-160,5-20 345,0-1-257,7 1 104,-7-1-72,-5 21-120,12-19 56,-7 1-56,2-1 80,7 3-24,-14 16-56,12-15 32,0 1 104,-9 1-224,11 1-16,-14 12 104,7-11 0,5 0 0,0 6 88,0-12 88,-12 17-176,8-4 184,6-13-168,-9 13 40,9-10 56,-14 14-112,0-5-16,3-7 120,-1 7-88,-2-6-80,0 11 64,3-3-120,-1-10 168,3 10-64,-3-9 64,-2 12-48,3-5 72,4-6-160,5 8 208,-12-1-56,0 4-64,5-4 136,-1-8-48,1 9-136,7 1 40,-12 2 8,0-5 152,12 1-168,0-9 0,-2 10 0,-10 3 16,14-14-232,1 10 216,9-15 96,2 7-48,-26 12-32,29-13-16,2-1-16,5-2 16,3-1 64,-39 17-48,43-19 48,13-2 8,-6-2-8,10-1-80,-60 24 32,65-28-368,7-1 384,3-2 0,7 0 0,-82 31-16,84-31 440,0-2-376,7 0-80,-4 2 32,-87 31-16,84-30-16,0 2-32,-2 2 24,-5 2 32,-77 24-8,80-21 0,-8 1 64,-3 3-16,-4 1-48,-65 16 0,68-14 16,-13 1 0,-2 9 56,-12-8-120,-41 12 48,31 0 32,-4 0-72,-18 0 40,-4 0-64,-5 0 64,0 0-16,0 3 64,-2 9-232,-25 0 232,27-12-48,-31 22 136,-17 6-136,-15 8 0,-19 5 88,82-41-88,-96 47-56,-10 5 40,-11 7-248,-8 5 64,125-64 200,-135 66 200,-10 8-120,-8 3 424,-9 6-440,162-83-64,-170 83-328,1 1 176,1-4 152,2-3 32,166-77-32,-164 76-64,6 0 128,1 3-352,8 0 240,149-79 48,-147 79 80,13-4-96,1-1 120,6-3-24,127-71-80,-116 69-264,11-7 176,13-5-64,10-10-16,82-47 168,-69 43 0,11-5 48,5-7-160,15-4 96,38-27 16,-32 20 80,15-8-160,5-10 56,12 0 8,0-2 16,0 0 32,17-12 40,-2-5-40,-15 17-32,33-28-32,6-8 64,4-8-32,10-3-64,-53 47 64,55-51-56,6-4-24,1-1 96,3 0 224,-65 56-240,65-54 304,2 0-104,-2 2 48,3 1-312,-68 51 64,67-48-184,-2 1 216,-3 3 0,-4 3-16,-58 41-16,55-37 104,-16 3-184,-1 5-40,-6 5 120,-32 24 0,24-21-16,-7 5 0,-5 2 16,-8 10-40,-4 4 40,3-12 136,-1 12-64,-2-3-56,0 0 16,0 3-32,-5 0 0,-14 0-16,2 2 16,-4 9 48,21-11-48,-27 16-80,-4 4 64,-5 1 64,-3 3-80,39-24 32,-40 29 16,-6-1 0,0 3-72,-4-1 8,50-30 48,-44 30-136,3 0-8,5 0 24,0-3 120,36-27 0,-31 23 120,0-2 40,7-5-56,7-2-40,17-14-64,-17 11 40,5-7 8,10 1 32,-3-1-56,5-4-24,0 1-24,0 1-24,0-2 16,0 0-72,0 0 104,2 0-48,3 0 0,7-4 48,0-12-16,-12 16 16,17-13 16,2-3-48,5-2-8,0-1 112,-24 19-72,24-18-48,3-2 80,-6 2-88,3 1-56,-24 17 112,17-17 168,5 2-56,-8 0-8,-2 2 0,-12 13-104,17-12-72,-5 1-24,0 8 72,-7-10 128,-5 13-104,5 0-16,0-4-16,-5 1 112,2 1-80,-2 2 0,3 0 88,-3-3-40,0 3-32,2 0-64,-2 0 48,0-3 80,0 3 88,2 0-200,-2 0 128,0 0-96,0 0-16,0-3 16,-4 3 72,4 0-88,0 0 16,0 0 16,0-3 16,-3 3 16,1 0 64,2 0-112,0 0 16,0-3 40,0 3-56,0 0 96,0-3-96,0 3-48,0 0 80,0 0-32,0 0 80,0 0-32,0 0 8,0 0-40,0 0-216,0 0 280,0 0-48,0 0-8,0 0-96,0 0 8,0 0 192,0 0-160,0 0 64,0 0 56,0 0-304,0 0 512,2 0-232,1 0 120,-3 0-184,0 0 16,0 0 128,0 0-32,0 0-96,0 0-304,0 0 632,0 0-280,0 0 16,0 0-112,0 0-424,0 0 992,-5 0-552,5 0 32,0 0 48,0 0-64,0 0 48,0 0-16,0 0 80,0-2 112,0 2-224,0 0 48,0 0 128,0-3-176,-3 3 32,3 0-32,-2-4-128,-3 1 160,-5-2-128,-2 1 80,12 4 16,-12-4 224,-7 0-175,0-9-49,-5 10 0,24 3 0,-34-4 0,-2-8 0,-12 9 0,-7-1-241,55 4 241,-68-4-320,-9 1 96,-7 3 112,-10 0 224,94 0-112,-101 0 160,-9 2-96,-11 2 64,-11 1-160,132-5 32,-139 6-192,2 0 128,-5-2-224,0-1 336,142-3-48,-137 0 160,-3-4-96,75-9-160,-17 2-200,82 11 296,-74-19-312,-10-5 136,4-6 288,-2-8 56,82 38-168,-74-47 112,-1-14-48,18-12-144,16-9-64,41 82 144,-22-97-56,22-12 144,24-12 104,22-13 8,-46 134-200,135-271 160,47 16-584,20 32 112,-4 42 216,-198 181 96,197-154 0,12 3 472,15 6-144,12 7-456,-236 138 128,245-125-280,7 13 392,1 15-224,0 17 224,-253 80-112,252-62 328,-7 15-576,-6 17 200,-11 14-32,-228 16 80,214 0-16,-17 16 128,-19 14-96,-14 18 40,-164-48-56,142 61-88,-17 15 40,-19 13 128,-24 14-80,-82-103 0,64 113 32,-25 15-48,-27 9 32,-29 12-144,17-149 128,-46 162 48,-31 9-176,-28 10 48,-25 1 392,130-182-312,-157 182-40,-23 0-184,-22-5-272,-19 0-144,221-177 640,-238 169-552,-17-11 144,-12-8 72,-5-11-168,272-139 504,-282 131-673,6-8 97,4-9 40,0-13-112,272-101 648,-252 85-536,18-15-152,15-18-472,27-15-1009,192-37 2169,-87 12-3161,-14-1-8545,101-11 11706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4"/>
  <sheetViews>
    <sheetView rightToLeft="1" tabSelected="1" view="pageBreakPreview" topLeftCell="C20" zoomScale="130" zoomScaleNormal="100" zoomScaleSheetLayoutView="130" workbookViewId="0">
      <selection activeCell="G34" sqref="G34:J3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5" t="s">
        <v>198</v>
      </c>
      <c r="C1" s="55"/>
      <c r="D1" s="55"/>
      <c r="E1" s="55"/>
      <c r="F1" s="55"/>
      <c r="G1" s="55"/>
      <c r="H1" s="55"/>
      <c r="I1" s="55"/>
      <c r="J1" s="55"/>
    </row>
    <row r="2" spans="1:10" ht="30" customHeight="1" x14ac:dyDescent="0.2">
      <c r="B2" s="12" t="s">
        <v>8</v>
      </c>
      <c r="C2" s="61" t="s">
        <v>37</v>
      </c>
      <c r="D2" s="61"/>
      <c r="E2" s="12" t="s">
        <v>7</v>
      </c>
      <c r="F2" s="56">
        <v>45957</v>
      </c>
      <c r="G2" s="56"/>
      <c r="H2" s="56"/>
      <c r="I2" s="56"/>
      <c r="J2" s="56"/>
    </row>
    <row r="3" spans="1:10" ht="30" customHeight="1" x14ac:dyDescent="0.2">
      <c r="B3" s="12" t="s">
        <v>9</v>
      </c>
      <c r="C3" s="61" t="s">
        <v>60</v>
      </c>
      <c r="D3" s="61"/>
      <c r="E3" s="12" t="s">
        <v>6</v>
      </c>
      <c r="F3" s="61" t="s">
        <v>101</v>
      </c>
      <c r="G3" s="61"/>
      <c r="H3" s="61"/>
      <c r="I3" s="61"/>
      <c r="J3" s="61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7" t="s">
        <v>0</v>
      </c>
      <c r="C5" s="58"/>
      <c r="D5" s="58"/>
      <c r="E5" s="66" t="s">
        <v>1</v>
      </c>
      <c r="F5" s="66"/>
      <c r="G5" s="66"/>
      <c r="H5" s="66"/>
      <c r="I5" s="66" t="s">
        <v>2</v>
      </c>
      <c r="J5" s="67"/>
    </row>
    <row r="6" spans="1:10" ht="24.95" customHeight="1" thickBot="1" x14ac:dyDescent="0.25">
      <c r="A6" s="10"/>
      <c r="B6" s="59"/>
      <c r="C6" s="60"/>
      <c r="D6" s="60"/>
      <c r="E6" s="11" t="s">
        <v>3</v>
      </c>
      <c r="F6" s="11" t="s">
        <v>4</v>
      </c>
      <c r="G6" s="11" t="s">
        <v>23</v>
      </c>
      <c r="H6" s="11" t="s">
        <v>24</v>
      </c>
      <c r="I6" s="68"/>
      <c r="J6" s="69"/>
    </row>
    <row r="7" spans="1:10" ht="24.95" customHeight="1" thickBot="1" x14ac:dyDescent="0.25">
      <c r="A7" s="10"/>
      <c r="B7" s="64" t="s">
        <v>21</v>
      </c>
      <c r="C7" s="65"/>
      <c r="D7" s="65"/>
      <c r="E7" s="28" t="s">
        <v>18</v>
      </c>
      <c r="F7" s="28" t="s">
        <v>19</v>
      </c>
      <c r="G7" s="28" t="s">
        <v>22</v>
      </c>
      <c r="H7" s="28" t="s">
        <v>20</v>
      </c>
      <c r="I7" s="47" t="s">
        <v>25</v>
      </c>
      <c r="J7" s="48"/>
    </row>
    <row r="8" spans="1:10" ht="39.950000000000003" customHeight="1" x14ac:dyDescent="0.2">
      <c r="A8" s="10"/>
      <c r="B8" s="80" t="s">
        <v>193</v>
      </c>
      <c r="C8" s="81"/>
      <c r="D8" s="81"/>
      <c r="E8" s="33"/>
      <c r="F8" s="34"/>
      <c r="G8" s="35"/>
      <c r="H8" s="36"/>
      <c r="I8" s="76"/>
      <c r="J8" s="77"/>
    </row>
    <row r="9" spans="1:10" ht="39.950000000000003" customHeight="1" x14ac:dyDescent="0.2">
      <c r="A9" s="10"/>
      <c r="B9" s="82" t="s">
        <v>195</v>
      </c>
      <c r="C9" s="83"/>
      <c r="D9" s="83"/>
      <c r="E9" s="9">
        <v>5</v>
      </c>
      <c r="F9" s="26">
        <v>3.5</v>
      </c>
      <c r="G9" s="31">
        <f t="shared" ref="G9" si="0">IFERROR(F9/E9,"")</f>
        <v>0.7</v>
      </c>
      <c r="H9" s="32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 x14ac:dyDescent="0.2">
      <c r="A10" s="10"/>
      <c r="B10" s="82" t="s">
        <v>194</v>
      </c>
      <c r="C10" s="83"/>
      <c r="D10" s="83"/>
      <c r="E10" s="9">
        <v>5</v>
      </c>
      <c r="F10" s="26">
        <v>3.5</v>
      </c>
      <c r="G10" s="31">
        <f t="shared" ref="G10" si="2">IFERROR(F10/E10,"")</f>
        <v>0.7</v>
      </c>
      <c r="H10" s="32" t="str">
        <f t="shared" ref="H10" si="3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 x14ac:dyDescent="0.2">
      <c r="A11" s="10"/>
      <c r="B11" s="84" t="s">
        <v>196</v>
      </c>
      <c r="C11" s="85"/>
      <c r="D11" s="85"/>
      <c r="E11" s="9"/>
      <c r="F11" s="26"/>
      <c r="G11" s="31"/>
      <c r="H11" s="32"/>
      <c r="I11" s="45"/>
      <c r="J11" s="46"/>
    </row>
    <row r="12" spans="1:10" ht="39.950000000000003" customHeight="1" x14ac:dyDescent="0.2">
      <c r="A12" s="10"/>
      <c r="B12" s="82" t="s">
        <v>176</v>
      </c>
      <c r="C12" s="83"/>
      <c r="D12" s="83"/>
      <c r="E12" s="9">
        <v>5</v>
      </c>
      <c r="F12" s="26">
        <v>3.75</v>
      </c>
      <c r="G12" s="31">
        <f t="shared" ref="G12:G29" si="4">IFERROR(F12/E12,"")</f>
        <v>0.75</v>
      </c>
      <c r="H12" s="32" t="str">
        <f t="shared" ref="H12:H29" si="5">_xlfn.IFS(F12="أدخل العلامة","",F12="لا ينطبق","تم الإلغاء",G12&gt;=90%,"ممتاز",G12&gt;=80%,"جيد جداً",G12&gt;=70%,"جيد",G12&gt;=60%,"مقبول",G12&lt;60%,"راسب")</f>
        <v>جيد</v>
      </c>
      <c r="I12" s="45"/>
      <c r="J12" s="46"/>
    </row>
    <row r="13" spans="1:10" ht="39.950000000000003" customHeight="1" x14ac:dyDescent="0.2">
      <c r="A13" s="10"/>
      <c r="B13" s="82" t="s">
        <v>177</v>
      </c>
      <c r="C13" s="83"/>
      <c r="D13" s="83"/>
      <c r="E13" s="9">
        <v>5</v>
      </c>
      <c r="F13" s="26">
        <v>3.75</v>
      </c>
      <c r="G13" s="31">
        <f t="shared" si="4"/>
        <v>0.75</v>
      </c>
      <c r="H13" s="32" t="str">
        <f t="shared" si="5"/>
        <v>جيد</v>
      </c>
      <c r="I13" s="45"/>
      <c r="J13" s="46"/>
    </row>
    <row r="14" spans="1:10" ht="39.950000000000003" customHeight="1" x14ac:dyDescent="0.2">
      <c r="A14" s="10"/>
      <c r="B14" s="84" t="s">
        <v>197</v>
      </c>
      <c r="C14" s="85"/>
      <c r="D14" s="85"/>
      <c r="E14" s="30"/>
      <c r="F14" s="26"/>
      <c r="G14" s="31"/>
      <c r="H14" s="32"/>
      <c r="I14" s="45"/>
      <c r="J14" s="46"/>
    </row>
    <row r="15" spans="1:10" ht="39.950000000000003" customHeight="1" x14ac:dyDescent="0.2">
      <c r="A15" s="10"/>
      <c r="B15" s="82" t="s">
        <v>178</v>
      </c>
      <c r="C15" s="83"/>
      <c r="D15" s="83"/>
      <c r="E15" s="30"/>
      <c r="F15" s="26"/>
      <c r="G15" s="31"/>
      <c r="H15" s="32"/>
      <c r="I15" s="45"/>
      <c r="J15" s="46"/>
    </row>
    <row r="16" spans="1:10" ht="39.950000000000003" customHeight="1" x14ac:dyDescent="0.2">
      <c r="A16" s="10"/>
      <c r="B16" s="78" t="s">
        <v>179</v>
      </c>
      <c r="C16" s="79"/>
      <c r="D16" s="79"/>
      <c r="E16" s="9">
        <v>5</v>
      </c>
      <c r="F16" s="26">
        <v>3.5</v>
      </c>
      <c r="G16" s="31">
        <f t="shared" si="4"/>
        <v>0.7</v>
      </c>
      <c r="H16" s="32" t="str">
        <f t="shared" si="5"/>
        <v>جيد</v>
      </c>
      <c r="I16" s="45"/>
      <c r="J16" s="46"/>
    </row>
    <row r="17" spans="1:10" ht="39.950000000000003" customHeight="1" x14ac:dyDescent="0.2">
      <c r="A17" s="10"/>
      <c r="B17" s="78" t="s">
        <v>180</v>
      </c>
      <c r="C17" s="79"/>
      <c r="D17" s="79"/>
      <c r="E17" s="9">
        <v>5</v>
      </c>
      <c r="F17" s="26">
        <v>3.5</v>
      </c>
      <c r="G17" s="31">
        <f t="shared" si="4"/>
        <v>0.7</v>
      </c>
      <c r="H17" s="32" t="str">
        <f t="shared" si="5"/>
        <v>جيد</v>
      </c>
      <c r="I17" s="45"/>
      <c r="J17" s="46"/>
    </row>
    <row r="18" spans="1:10" ht="39.950000000000003" customHeight="1" x14ac:dyDescent="0.2">
      <c r="A18" s="10"/>
      <c r="B18" s="78" t="s">
        <v>181</v>
      </c>
      <c r="C18" s="79"/>
      <c r="D18" s="79"/>
      <c r="E18" s="9">
        <v>5</v>
      </c>
      <c r="F18" s="26">
        <v>3.75</v>
      </c>
      <c r="G18" s="31">
        <f t="shared" si="4"/>
        <v>0.75</v>
      </c>
      <c r="H18" s="32" t="str">
        <f t="shared" si="5"/>
        <v>جيد</v>
      </c>
      <c r="I18" s="45"/>
      <c r="J18" s="46"/>
    </row>
    <row r="19" spans="1:10" ht="39.950000000000003" customHeight="1" x14ac:dyDescent="0.2">
      <c r="A19" s="10"/>
      <c r="B19" s="78" t="s">
        <v>182</v>
      </c>
      <c r="C19" s="79"/>
      <c r="D19" s="79"/>
      <c r="E19" s="9">
        <v>5</v>
      </c>
      <c r="F19" s="26">
        <v>3.5</v>
      </c>
      <c r="G19" s="31">
        <f t="shared" si="4"/>
        <v>0.7</v>
      </c>
      <c r="H19" s="32" t="str">
        <f t="shared" si="5"/>
        <v>جيد</v>
      </c>
      <c r="I19" s="45"/>
      <c r="J19" s="46"/>
    </row>
    <row r="20" spans="1:10" ht="39.950000000000003" customHeight="1" x14ac:dyDescent="0.2">
      <c r="A20" s="10"/>
      <c r="B20" s="78" t="s">
        <v>183</v>
      </c>
      <c r="C20" s="79"/>
      <c r="D20" s="79"/>
      <c r="E20" s="9">
        <v>5</v>
      </c>
      <c r="F20" s="26">
        <v>3.5</v>
      </c>
      <c r="G20" s="31">
        <f t="shared" si="4"/>
        <v>0.7</v>
      </c>
      <c r="H20" s="32" t="str">
        <f t="shared" si="5"/>
        <v>جيد</v>
      </c>
      <c r="I20" s="45"/>
      <c r="J20" s="46"/>
    </row>
    <row r="21" spans="1:10" ht="39.950000000000003" customHeight="1" x14ac:dyDescent="0.2">
      <c r="A21" s="10"/>
      <c r="B21" s="82" t="s">
        <v>184</v>
      </c>
      <c r="C21" s="83"/>
      <c r="D21" s="83"/>
      <c r="E21" s="9"/>
      <c r="F21" s="26"/>
      <c r="G21" s="31"/>
      <c r="H21" s="32"/>
      <c r="I21" s="45"/>
      <c r="J21" s="46"/>
    </row>
    <row r="22" spans="1:10" ht="39.950000000000003" customHeight="1" x14ac:dyDescent="0.2">
      <c r="A22" s="10"/>
      <c r="B22" s="78" t="s">
        <v>185</v>
      </c>
      <c r="C22" s="79"/>
      <c r="D22" s="79"/>
      <c r="E22" s="9">
        <v>5</v>
      </c>
      <c r="F22" s="26">
        <v>3.5</v>
      </c>
      <c r="G22" s="31">
        <f t="shared" si="4"/>
        <v>0.7</v>
      </c>
      <c r="H22" s="32" t="str">
        <f t="shared" si="5"/>
        <v>جيد</v>
      </c>
      <c r="I22" s="45"/>
      <c r="J22" s="46"/>
    </row>
    <row r="23" spans="1:10" ht="39.950000000000003" customHeight="1" x14ac:dyDescent="0.2">
      <c r="A23" s="10"/>
      <c r="B23" s="78" t="s">
        <v>186</v>
      </c>
      <c r="C23" s="79"/>
      <c r="D23" s="79"/>
      <c r="E23" s="9">
        <v>5</v>
      </c>
      <c r="F23" s="26">
        <v>3.5</v>
      </c>
      <c r="G23" s="31">
        <f t="shared" si="4"/>
        <v>0.7</v>
      </c>
      <c r="H23" s="32" t="str">
        <f t="shared" si="5"/>
        <v>جيد</v>
      </c>
      <c r="I23" s="45"/>
      <c r="J23" s="46"/>
    </row>
    <row r="24" spans="1:10" ht="39.950000000000003" customHeight="1" x14ac:dyDescent="0.2">
      <c r="A24" s="10"/>
      <c r="B24" s="78" t="s">
        <v>187</v>
      </c>
      <c r="C24" s="79"/>
      <c r="D24" s="79"/>
      <c r="E24" s="9">
        <v>5</v>
      </c>
      <c r="F24" s="26">
        <v>3.75</v>
      </c>
      <c r="G24" s="31">
        <f t="shared" si="4"/>
        <v>0.75</v>
      </c>
      <c r="H24" s="32" t="str">
        <f t="shared" si="5"/>
        <v>جيد</v>
      </c>
      <c r="I24" s="45"/>
      <c r="J24" s="46"/>
    </row>
    <row r="25" spans="1:10" ht="39.950000000000003" customHeight="1" x14ac:dyDescent="0.2">
      <c r="A25" s="10"/>
      <c r="B25" s="78" t="s">
        <v>188</v>
      </c>
      <c r="C25" s="79"/>
      <c r="D25" s="79"/>
      <c r="E25" s="9">
        <v>5</v>
      </c>
      <c r="F25" s="26">
        <v>3.75</v>
      </c>
      <c r="G25" s="31">
        <f t="shared" si="4"/>
        <v>0.75</v>
      </c>
      <c r="H25" s="32" t="str">
        <f t="shared" si="5"/>
        <v>جيد</v>
      </c>
      <c r="I25" s="45"/>
      <c r="J25" s="46"/>
    </row>
    <row r="26" spans="1:10" ht="39.950000000000003" customHeight="1" x14ac:dyDescent="0.2">
      <c r="A26" s="10"/>
      <c r="B26" s="82" t="s">
        <v>189</v>
      </c>
      <c r="C26" s="83"/>
      <c r="D26" s="83"/>
      <c r="E26" s="9">
        <v>5</v>
      </c>
      <c r="F26" s="26">
        <v>3.75</v>
      </c>
      <c r="G26" s="31">
        <f t="shared" si="4"/>
        <v>0.75</v>
      </c>
      <c r="H26" s="32" t="str">
        <f t="shared" si="5"/>
        <v>جيد</v>
      </c>
      <c r="I26" s="45"/>
      <c r="J26" s="46"/>
    </row>
    <row r="27" spans="1:10" ht="39.950000000000003" customHeight="1" x14ac:dyDescent="0.2">
      <c r="A27" s="10"/>
      <c r="B27" s="82" t="s">
        <v>190</v>
      </c>
      <c r="C27" s="83"/>
      <c r="D27" s="83"/>
      <c r="E27" s="9">
        <v>5</v>
      </c>
      <c r="F27" s="26">
        <v>3.75</v>
      </c>
      <c r="G27" s="31">
        <f t="shared" si="4"/>
        <v>0.75</v>
      </c>
      <c r="H27" s="32" t="str">
        <f t="shared" si="5"/>
        <v>جيد</v>
      </c>
      <c r="I27" s="45"/>
      <c r="J27" s="46"/>
    </row>
    <row r="28" spans="1:10" ht="39.950000000000003" customHeight="1" x14ac:dyDescent="0.2">
      <c r="A28" s="10"/>
      <c r="B28" s="88" t="s">
        <v>191</v>
      </c>
      <c r="C28" s="89"/>
      <c r="D28" s="89"/>
      <c r="E28" s="9">
        <v>5</v>
      </c>
      <c r="F28" s="26">
        <v>4</v>
      </c>
      <c r="G28" s="31">
        <f t="shared" si="4"/>
        <v>0.8</v>
      </c>
      <c r="H28" s="32" t="str">
        <f t="shared" si="5"/>
        <v>جيد جداً</v>
      </c>
      <c r="I28" s="45"/>
      <c r="J28" s="46"/>
    </row>
    <row r="29" spans="1:10" ht="39.950000000000003" customHeight="1" thickBot="1" x14ac:dyDescent="0.25">
      <c r="A29" s="10"/>
      <c r="B29" s="86" t="s">
        <v>192</v>
      </c>
      <c r="C29" s="87"/>
      <c r="D29" s="87"/>
      <c r="E29" s="37">
        <v>5</v>
      </c>
      <c r="F29" s="27">
        <v>3.75</v>
      </c>
      <c r="G29" s="38">
        <f t="shared" si="4"/>
        <v>0.75</v>
      </c>
      <c r="H29" s="39" t="str">
        <f t="shared" si="5"/>
        <v>جيد</v>
      </c>
      <c r="I29" s="74"/>
      <c r="J29" s="75"/>
    </row>
    <row r="30" spans="1:10" ht="30" customHeight="1" thickBot="1" x14ac:dyDescent="0.25">
      <c r="A30" s="4"/>
      <c r="B30" s="70" t="s">
        <v>5</v>
      </c>
      <c r="C30" s="71"/>
      <c r="D30" s="71"/>
      <c r="E30" s="29">
        <f>SUM(E8:E29)</f>
        <v>85</v>
      </c>
      <c r="F30" s="29">
        <f>SUM(F8:F29)</f>
        <v>62</v>
      </c>
      <c r="G30" s="42"/>
      <c r="H30" s="43"/>
      <c r="I30" s="43"/>
      <c r="J30" s="44"/>
    </row>
    <row r="31" spans="1:10" ht="30" customHeight="1" thickBot="1" x14ac:dyDescent="0.25">
      <c r="A31" s="4"/>
      <c r="B31" s="72" t="s">
        <v>54</v>
      </c>
      <c r="C31" s="73"/>
      <c r="D31" s="73"/>
      <c r="E31" s="62">
        <f>F30/E30/100*100</f>
        <v>0.72941176470588232</v>
      </c>
      <c r="F31" s="62"/>
      <c r="G31" s="62"/>
      <c r="H31" s="62"/>
      <c r="I31" s="62"/>
      <c r="J31" s="63"/>
    </row>
    <row r="32" spans="1:10" ht="30" customHeight="1" thickBot="1" x14ac:dyDescent="0.25">
      <c r="A32" s="4"/>
      <c r="B32" s="72" t="s">
        <v>55</v>
      </c>
      <c r="C32" s="73"/>
      <c r="D32" s="73"/>
      <c r="E32" s="53" t="str">
        <f>_xlfn.IFS(E31&gt;=90%,"ممتاز",E31&gt;=80%,"جيد جداً",E31&gt;=70%,"جيد",E31&gt;=60%,"مقبول",E31&lt;60%,"راسب")</f>
        <v>جيد</v>
      </c>
      <c r="F32" s="53"/>
      <c r="G32" s="53"/>
      <c r="H32" s="53"/>
      <c r="I32" s="53"/>
      <c r="J32" s="54"/>
    </row>
    <row r="33" spans="1:10" ht="42" customHeight="1" x14ac:dyDescent="0.2">
      <c r="B33" s="49" t="s">
        <v>175</v>
      </c>
      <c r="C33" s="49"/>
      <c r="D33" s="49"/>
      <c r="E33" s="40" t="s">
        <v>52</v>
      </c>
      <c r="F33" s="40"/>
      <c r="G33" s="51" t="s">
        <v>101</v>
      </c>
      <c r="H33" s="51"/>
      <c r="I33" s="51"/>
      <c r="J33" s="51"/>
    </row>
    <row r="34" spans="1:10" ht="51" customHeight="1" x14ac:dyDescent="0.2">
      <c r="A34" s="5"/>
      <c r="B34" s="50"/>
      <c r="C34" s="50"/>
      <c r="D34" s="50"/>
      <c r="E34" s="41" t="s">
        <v>53</v>
      </c>
      <c r="F34" s="41"/>
      <c r="G34" s="52"/>
      <c r="H34" s="52"/>
      <c r="I34" s="52"/>
      <c r="J34" s="52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5">
    <mergeCell ref="B29:D2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16:D16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30:D30"/>
    <mergeCell ref="B31:D31"/>
    <mergeCell ref="B32:D32"/>
    <mergeCell ref="I10:J10"/>
    <mergeCell ref="I11:J11"/>
    <mergeCell ref="I12:J12"/>
    <mergeCell ref="I22:J22"/>
    <mergeCell ref="I23:J23"/>
    <mergeCell ref="I17:J17"/>
    <mergeCell ref="I18:J18"/>
    <mergeCell ref="I19:J19"/>
    <mergeCell ref="I20:J20"/>
    <mergeCell ref="I21:J21"/>
    <mergeCell ref="I26:J26"/>
    <mergeCell ref="I27:J27"/>
    <mergeCell ref="I28:J28"/>
    <mergeCell ref="B33:D34"/>
    <mergeCell ref="G33:J33"/>
    <mergeCell ref="G34:J34"/>
    <mergeCell ref="E32:J32"/>
    <mergeCell ref="B1:J1"/>
    <mergeCell ref="F2:J2"/>
    <mergeCell ref="B5:D6"/>
    <mergeCell ref="C2:D2"/>
    <mergeCell ref="C3:D3"/>
    <mergeCell ref="F3:J3"/>
    <mergeCell ref="E31:J31"/>
    <mergeCell ref="B7:D7"/>
    <mergeCell ref="I24:J24"/>
    <mergeCell ref="I25:J25"/>
    <mergeCell ref="E5:H5"/>
    <mergeCell ref="I5:J6"/>
    <mergeCell ref="E33:F33"/>
    <mergeCell ref="E34:F34"/>
    <mergeCell ref="G30:J30"/>
    <mergeCell ref="I9:J9"/>
    <mergeCell ref="I7:J7"/>
    <mergeCell ref="I13:J13"/>
    <mergeCell ref="I14:J14"/>
    <mergeCell ref="I15:J15"/>
    <mergeCell ref="I16:J16"/>
    <mergeCell ref="I29:J29"/>
    <mergeCell ref="I8:J8"/>
  </mergeCells>
  <conditionalFormatting sqref="C2:D2">
    <cfRule type="containsText" dxfId="16" priority="32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31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2">
    <cfRule type="expression" dxfId="14" priority="71">
      <formula>$E32="راسب"</formula>
    </cfRule>
  </conditionalFormatting>
  <conditionalFormatting sqref="E32:J32">
    <cfRule type="expression" dxfId="13" priority="75">
      <formula>$E32="ممتاز"</formula>
    </cfRule>
    <cfRule type="expression" dxfId="12" priority="74">
      <formula>$E32="جيد جداً"</formula>
    </cfRule>
    <cfRule type="expression" dxfId="11" priority="73">
      <formula>$E32="جيد"</formula>
    </cfRule>
    <cfRule type="expression" dxfId="10" priority="72">
      <formula>$E32="مقبول"</formula>
    </cfRule>
  </conditionalFormatting>
  <conditionalFormatting sqref="F8:F29">
    <cfRule type="containsText" dxfId="9" priority="1" operator="containsText" text="أدخل العلامة">
      <formula>NOT(ISERROR(SEARCH("أدخل العلامة",F8)))</formula>
    </cfRule>
  </conditionalFormatting>
  <conditionalFormatting sqref="F2:J2">
    <cfRule type="containsText" dxfId="8" priority="33" operator="containsText" text="أدخل التاريخ">
      <formula>NOT(ISERROR(SEARCH("أدخل التاريخ",F2)))</formula>
    </cfRule>
  </conditionalFormatting>
  <conditionalFormatting sqref="F3:J3">
    <cfRule type="containsText" dxfId="7" priority="30" operator="containsText" text="أدخل أسم المحكم">
      <formula>NOT(ISERROR(SEARCH("أدخل أسم المحكم",F3)))</formula>
    </cfRule>
  </conditionalFormatting>
  <conditionalFormatting sqref="G33:J33">
    <cfRule type="containsText" dxfId="6" priority="29" operator="containsText" text="أدخل اسم المحكم">
      <formula>NOT(ISERROR(SEARCH("أدخل اسم المحكم",G33)))</formula>
    </cfRule>
  </conditionalFormatting>
  <conditionalFormatting sqref="H8:H29">
    <cfRule type="containsText" dxfId="5" priority="7" operator="containsText" text="راسب">
      <formula>NOT(ISERROR(SEARCH("راسب",H8)))</formula>
    </cfRule>
    <cfRule type="containsText" dxfId="4" priority="6" operator="containsText" text="مقبول">
      <formula>NOT(ISERROR(SEARCH("مقبول",H8)))</formula>
    </cfRule>
    <cfRule type="containsText" dxfId="3" priority="5" operator="containsText" text="جيد">
      <formula>NOT(ISERROR(SEARCH("جيد",H8)))</formula>
    </cfRule>
    <cfRule type="containsText" dxfId="2" priority="4" operator="containsText" text="جيد جداً">
      <formula>NOT(ISERROR(SEARCH("جيد جداً",H8)))</formula>
    </cfRule>
    <cfRule type="containsText" dxfId="1" priority="3" operator="containsText" text="ممتاز">
      <formula>NOT(ISERROR(SEARCH("ممتاز",H8)))</formula>
    </cfRule>
    <cfRule type="containsText" dxfId="0" priority="2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F22:F29 F16:F20 F12:F13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G33:J33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2025-10-22T04:56:17Z</dcterms:modified>
</cp:coreProperties>
</file>