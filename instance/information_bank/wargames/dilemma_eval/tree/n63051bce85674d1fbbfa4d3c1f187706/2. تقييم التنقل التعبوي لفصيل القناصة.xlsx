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5B781AD6-347C-4C74-AAF9-5EB6C42901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2" l="1"/>
  <c r="H53" i="2"/>
  <c r="G52" i="2"/>
  <c r="H52" i="2"/>
  <c r="G51" i="2"/>
  <c r="H51" i="2"/>
  <c r="G50" i="2"/>
  <c r="H50" i="2"/>
  <c r="G49" i="2"/>
  <c r="H49" i="2"/>
  <c r="G48" i="2"/>
  <c r="H48" i="2"/>
  <c r="G47" i="2"/>
  <c r="H47" i="2"/>
  <c r="G45" i="2"/>
  <c r="H45" i="2"/>
  <c r="G44" i="2"/>
  <c r="H44" i="2"/>
  <c r="G43" i="2"/>
  <c r="H43" i="2"/>
  <c r="G42" i="2"/>
  <c r="H42" i="2"/>
  <c r="G41" i="2"/>
  <c r="H41" i="2"/>
  <c r="G40" i="2"/>
  <c r="H40" i="2"/>
  <c r="G39" i="2"/>
  <c r="H39" i="2"/>
  <c r="G36" i="2"/>
  <c r="H36" i="2"/>
  <c r="G35" i="2"/>
  <c r="H35" i="2"/>
  <c r="G34" i="2"/>
  <c r="H34" i="2"/>
  <c r="G33" i="2"/>
  <c r="H33" i="2"/>
  <c r="G32" i="2"/>
  <c r="H32" i="2"/>
  <c r="G31" i="2"/>
  <c r="H31" i="2"/>
  <c r="G30" i="2"/>
  <c r="H30" i="2"/>
  <c r="G29" i="2"/>
  <c r="H29" i="2"/>
  <c r="G27" i="2"/>
  <c r="H27" i="2"/>
  <c r="G26" i="2"/>
  <c r="H26" i="2"/>
  <c r="G24" i="2"/>
  <c r="H24" i="2"/>
  <c r="G23" i="2"/>
  <c r="H23" i="2"/>
  <c r="G22" i="2"/>
  <c r="H22" i="2"/>
  <c r="G21" i="2"/>
  <c r="H21" i="2"/>
  <c r="G20" i="2"/>
  <c r="H20" i="2"/>
  <c r="G19" i="2"/>
  <c r="H19" i="2"/>
  <c r="G17" i="2"/>
  <c r="H17" i="2"/>
  <c r="G16" i="2"/>
  <c r="H16" i="2"/>
  <c r="G15" i="2"/>
  <c r="H15" i="2"/>
  <c r="G14" i="2"/>
  <c r="H14" i="2"/>
  <c r="G12" i="2"/>
  <c r="H12" i="2"/>
  <c r="G11" i="2"/>
  <c r="H11" i="2"/>
  <c r="G9" i="2"/>
  <c r="H9" i="2"/>
  <c r="F54" i="2"/>
  <c r="E54" i="2"/>
  <c r="E55" i="2"/>
  <c r="E56" i="2"/>
</calcChain>
</file>

<file path=xl/sharedStrings.xml><?xml version="1.0" encoding="utf-8"?>
<sst xmlns="http://schemas.openxmlformats.org/spreadsheetml/2006/main" count="148" uniqueCount="146">
  <si>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</si>
  <si>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</si>
  <si>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</si>
  <si>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</si>
  <si>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</si>
  <si>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</si>
  <si>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</si>
  <si>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</si>
  <si>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</si>
  <si>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</si>
  <si>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</si>
  <si>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</si>
  <si>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</si>
  <si>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</si>
  <si>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</si>
  <si>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</si>
  <si>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</si>
  <si>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</si>
  <si>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</si>
  <si>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</si>
  <si>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</si>
  <si>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</si>
  <si>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</si>
  <si>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</si>
  <si>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</si>
  <si>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</si>
  <si>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</si>
  <si>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</si>
  <si>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</si>
  <si>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</si>
  <si>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</si>
  <si>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</si>
  <si>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</si>
  <si>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</si>
  <si>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</si>
  <si>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</si>
  <si>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</si>
  <si>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</si>
  <si>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</si>
  <si>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</si>
  <si>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</si>
  <si>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</si>
  <si>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</si>
  <si>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</si>
  <si>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</si>
  <si>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</si>
  <si>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</si>
  <si>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</si>
  <si>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</si>
  <si>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</si>
  <si>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</si>
  <si>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</si>
  <si>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</si>
  <si>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</si>
  <si>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</si>
  <si>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</si>
  <si>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</si>
  <si>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</si>
  <si>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</si>
  <si>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</si>
  <si>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</si>
  <si>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</si>
  <si>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</si>
  <si>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</si>
  <si>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</si>
  <si>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</si>
  <si>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</si>
  <si>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</si>
  <si>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</si>
  <si>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</si>
  <si>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</si>
  <si>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</si>
  <si>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</si>
  <si>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</si>
  <si>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</si>
  <si>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</si>
  <si>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</si>
  <si>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</si>
  <si>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</si>
  <si>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</si>
  <si>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</si>
  <si>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</si>
  <si>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</si>
  <si>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</si>
  <si>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</si>
  <si>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</si>
  <si>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</si>
  <si>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</si>
  <si>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</si>
  <si>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</si>
  <si>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</si>
  <si>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</si>
  <si>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</si>
  <si>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</si>
  <si>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</si>
  <si>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</si>
  <si>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</si>
  <si>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t>مرحلة التخطيط</t>
  </si>
  <si>
    <t xml:space="preserve">1.   يعمل قائد الفصيل على فهم الموقف كافة الوسائل المتوفرة. </t>
  </si>
  <si>
    <t>2.   يستلم فصيل القناصة أمر العمليات أوالأمر المجزأ لتنفيذ عملية التنقل التعبوي ويتم البدء بإجراءات التخطيط وكما يلي:</t>
  </si>
  <si>
    <t>أ. تحديد متطلبات التنقل.</t>
  </si>
  <si>
    <t>ب. طلب المنتجات الاستخبارية المحدّثة من المستوى الأعلى في حالة عدم استلامها مع أمر العمليات.</t>
  </si>
  <si>
    <t>3.   تنفيذ الاستطلاع من الخارطة لتحديد ما يلي:</t>
  </si>
  <si>
    <t>أ. طريق/ طرق التنقل في حالة عدم تحديدها في أمر المستوى الأعلى.</t>
  </si>
  <si>
    <t>هـ. منطقة التجمع ومنطقة المأوى.</t>
  </si>
  <si>
    <t>4.   البدء بالتحضير الاستخباري لميدان المعركة وكما يلي:</t>
  </si>
  <si>
    <t>ب. تحديد بيئة ميدان المعركة وتأثيراتها على عملية التنقل.</t>
  </si>
  <si>
    <t>جـ. تقييم العدوالذي قد يتم مواجهته خلال عملية التنقل.</t>
  </si>
  <si>
    <t>5.   التنسيق مع عناصر الاستطلاع والمراقبة مبكراً للمساعدة في عملية التخطيط (حسب الحاجة).</t>
  </si>
  <si>
    <t>6.   دمج ومزامنة عناصر الإسناد القتالي.</t>
  </si>
  <si>
    <t>7.   تخطيط الإسناد الهندسي.</t>
  </si>
  <si>
    <t>أ.   دمج جماعات القناصة مع جهود الاستطلاع وحسب الضرورة.</t>
  </si>
  <si>
    <t>ب.   دمج المتطلبات الاستخبارية المتعلقة بالعدو في المتطلبات الاستخبارية ذات الأولوية وخطة الاستطلاع والمراقبة.</t>
  </si>
  <si>
    <t>8.   التخطيط للإدامة:</t>
  </si>
  <si>
    <t>ب. تخطيط وتنسيق عمليات إخلاء الإصابات.</t>
  </si>
  <si>
    <t>جـ. تخطيط عمليات إنقاذ القناصين.</t>
  </si>
  <si>
    <t>9.   إصدار الأوامر المرؤوسين، وتقديم إيجازات تأكيدية من القادة المرؤوسين فور استلامهم للأوامر للتأكد من فهمهم لقصد القائد ومفهوم عملياته.</t>
  </si>
  <si>
    <t>10.   التأكد من توفر الطرق والظروف المناسبة للتنقل إذا لم يتم تحديد الطرق من قبل المستوى الأعلى.</t>
  </si>
  <si>
    <t>11.   إصدار الأوامر المرؤوسين، وتقديم إيجازات تأكيدية من القادة المرؤوسين فور استلامهم للأوامر للتأكد من فهمهم لقصد القائد ومفهوم عملياته.</t>
  </si>
  <si>
    <t>12.   التأكد من توفر الطرق والظروف المناسبة للتنقل إذا لم يتم تحديد الطرق من قبل المستوى الأعلى.</t>
  </si>
  <si>
    <t>13. التأكد من موقع منطقة التجمع أوالمأوى.</t>
  </si>
  <si>
    <t>مرحلة التحضير</t>
  </si>
  <si>
    <t>1.   يقوم فصيل القناصة بالتحضير للتنقل التعبوي كما يلي:</t>
  </si>
  <si>
    <t>ب الإشراف على إجراءات الوحدات المرؤوسة للتأكد من أن جهود التخطيط والتحضير تجري في الاتجاه الصحيح وتتوافق مع قصد القائد.</t>
  </si>
  <si>
    <t>جـ. إجراء التجارب خلال ساعات النهار وفي ظل ظروف الرؤية المحدودة إن أمكن.</t>
  </si>
  <si>
    <t>2.   توضيع عناصر القناصة ضمن نظام المسير الصحيح.</t>
  </si>
  <si>
    <t>مرحلة التنفيذ</t>
  </si>
  <si>
    <t>1.   اجتياز نقطة البدء في الوقت المحدد في أمر العمليات أوالأمر المجزأ.</t>
  </si>
  <si>
    <t>2.   استخدام التشكيلة المحددة، أسلوب التنقل ومعدل المسير والمحافظة على السرعة الملائمة للوصول إلى نقاط الضبط والسيطرة في الأوقات المحددة في الأمر.</t>
  </si>
  <si>
    <t>3.   استخدام إشارات التعارف البصرية أوالأجهزة اللاسلكية للاتصال مع الوحدات وبما يتوافق مع أمر العمليات والأوامر التعبوية المستديمة.</t>
  </si>
  <si>
    <t>4.   إدامة المراقبة لجميع الجهات بما في ذلك المراقبة الجوية أثناء الحركة والوقفات.</t>
  </si>
  <si>
    <t>5.    تمرير المعلومات عند اجتياز نقاط الضبط والسيطرة بما يتوافق مع أمر العمليات والأوامر التعبوية المستديمة.</t>
  </si>
  <si>
    <t>6.   تطبيق إجراءات التماس مع قوات العدوحسب أمر العمليات أوالأوامر التعبوية المستديمة.</t>
  </si>
  <si>
    <t>7.   تنفيذ عمليات التزويد حسب الحاجة.</t>
  </si>
  <si>
    <t>جـ. المناطق الحرجة، مثل المناطق الخطرة، الممرات الضيقة، الخوانق، نقاط السيطرة على المسير.</t>
  </si>
  <si>
    <t>ب. مقتربات العدوالأكثر احتمالاً (في حال كان التماس مع العدو متوقعاً).</t>
  </si>
  <si>
    <t>د.   تحديد أعمال العدوالمحتملة خلال عملية التنقل.</t>
  </si>
  <si>
    <t>أ.   استخدام جميع مصادر جمع المعلومات المتوفرة.</t>
  </si>
  <si>
    <t>أ.   التأكد من توفر الإدامة الكافية لإسناد جهود الاستطلاع والمراقبة.</t>
  </si>
  <si>
    <t>أ.   تنفيذ تفقدات وتفتيشات ما قبل المعركة.</t>
  </si>
  <si>
    <t>د.  تحميل كافة الآليات وفقاً لخطة التحميل وخطة الإدامة.</t>
  </si>
  <si>
    <t>و.  إيجاز الأدلاء وتوزيعهم في مواقعهم.</t>
  </si>
  <si>
    <t>ز.  فحص أجهزة الاتصالات في كافة الآليات قبل البدء بالحركة.</t>
  </si>
  <si>
    <r>
      <rPr>
        <b/>
        <sz val="14"/>
        <color rgb="FF000000"/>
        <rFont val="Arial"/>
        <family val="2"/>
      </rPr>
      <t>تقييم التنقل التعبوي لفصيل القناصة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</si>
  <si>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نقيب/ سعيد محمد المحرزي</t>
  </si>
  <si>
    <t>المقدم/ خليفة عبدالله السويدي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</si>
</sst>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8CCE4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5" borderId="17" xfId="0" applyFont="1" applyFill="1" applyBorder="1" applyAlignment="1">
      <alignment horizontal="right" vertical="center" wrapText="1" readingOrder="2"/>
    </xf>
    <xf numFmtId="0" fontId="7" fillId="5" borderId="18" xfId="0" applyFont="1" applyFill="1" applyBorder="1" applyAlignment="1">
      <alignment horizontal="right" vertical="center" wrapText="1" readingOrder="2"/>
    </xf>
    <xf numFmtId="0" fontId="7" fillId="5" borderId="19" xfId="0" applyFont="1" applyFill="1" applyBorder="1" applyAlignment="1">
      <alignment horizontal="right" vertical="center" wrapText="1" readingOrder="2"/>
    </xf>
    <xf numFmtId="0" fontId="9" fillId="6" borderId="20" xfId="0" applyFont="1" applyFill="1" applyBorder="1" applyAlignment="1">
      <alignment horizontal="right" vertical="center" wrapText="1" readingOrder="2"/>
    </xf>
    <xf numFmtId="0" fontId="9" fillId="6" borderId="3" xfId="0" applyFont="1" applyFill="1" applyBorder="1" applyAlignment="1">
      <alignment horizontal="right" vertical="center" wrapText="1" readingOrder="2"/>
    </xf>
    <xf numFmtId="0" fontId="9" fillId="6" borderId="20" xfId="0" applyFont="1" applyFill="1" applyBorder="1" applyAlignment="1">
      <alignment horizontal="right" vertical="center" wrapText="1" indent="2" readingOrder="2"/>
    </xf>
    <xf numFmtId="0" fontId="9" fillId="6" borderId="3" xfId="0" applyFont="1" applyFill="1" applyBorder="1" applyAlignment="1">
      <alignment horizontal="right" vertical="center" wrapText="1" indent="2" readingOrder="2"/>
    </xf>
    <xf numFmtId="0" fontId="9" fillId="6" borderId="11" xfId="0" applyFont="1" applyFill="1" applyBorder="1" applyAlignment="1">
      <alignment horizontal="right" vertical="center" wrapText="1" readingOrder="2"/>
    </xf>
    <xf numFmtId="0" fontId="9" fillId="6" borderId="12" xfId="0" applyFont="1" applyFill="1" applyBorder="1" applyAlignment="1">
      <alignment horizontal="right" vertical="center" wrapText="1" readingOrder="2"/>
    </xf>
    <xf numFmtId="0" fontId="7" fillId="7" borderId="17" xfId="0" applyFont="1" applyFill="1" applyBorder="1" applyAlignment="1">
      <alignment horizontal="right" vertical="center" wrapText="1" readingOrder="2"/>
    </xf>
    <xf numFmtId="0" fontId="7" fillId="7" borderId="18" xfId="0" applyFont="1" applyFill="1" applyBorder="1" applyAlignment="1">
      <alignment horizontal="right" vertical="center" wrapText="1" readingOrder="2"/>
    </xf>
    <xf numFmtId="0" fontId="7" fillId="7" borderId="19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11868</xdr:colOff>
      <xdr:row>57</xdr:row>
      <xdr:rowOff>65717</xdr:rowOff>
    </xdr:from>
    <xdr:to>
      <xdr:col>8</xdr:col>
      <xdr:colOff>211296</xdr:colOff>
      <xdr:row>57</xdr:row>
      <xdr:rowOff>392957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578F221-637C-E6A8-192E-3CA8E582F69D}"/>
                </a:ext>
              </a:extLst>
            </xdr14:cNvPr>
            <xdr14:cNvContentPartPr/>
          </xdr14:nvContentPartPr>
          <xdr14:nvPr macro=""/>
          <xdr14:xfrm>
            <a:off x="10493550477" y="25939080"/>
            <a:ext cx="857520" cy="327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578F221-637C-E6A8-192E-3CA8E582F69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93544357" y="25932960"/>
              <a:ext cx="86976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137496</xdr:colOff>
      <xdr:row>57</xdr:row>
      <xdr:rowOff>131957</xdr:rowOff>
    </xdr:from>
    <xdr:to>
      <xdr:col>9</xdr:col>
      <xdr:colOff>714566</xdr:colOff>
      <xdr:row>57</xdr:row>
      <xdr:rowOff>484037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640D8AE-566D-22A2-7955-F224C9DE7788}"/>
                </a:ext>
              </a:extLst>
            </xdr14:cNvPr>
            <xdr14:cNvContentPartPr/>
          </xdr14:nvContentPartPr>
          <xdr14:nvPr macro=""/>
          <xdr14:xfrm>
            <a:off x="10492389117" y="26005320"/>
            <a:ext cx="1235160" cy="3520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640D8AE-566D-22A2-7955-F224C9DE778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92382997" y="25999200"/>
              <a:ext cx="1247400" cy="364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7:34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1684 909 1720,'0'0'0,"0"0"0,0-4 1624,0-3-31,0-12-401,5 15-312,-5 4-880,0 0 768,0 0 192,0 0 217,0 0 119,0 0-5497,3 0 9786,-3 0-4337,0 0-223,0 0-161,0 0-864,0 0 792,0 0-128,0 0-24,-3-4-80,3 4-560,0 0 280,-5 0 33,5-5-169,0 5-96,0 0-48,0 0 16,0 0-32,0 0 72,0 0-112,0 0 184,0 0-144,0 0 32,0 0-16,0 0 24,0 0 16,0 0-56,0 0-24,0 0 32,0 0 40,-2-4 24,2 0 24,-2 0-56,2 4-24,0-5-8,-5 1 72,0-2-56,5 1 56,0 5-64,0-4-16,-5 0-96,0 0 144,5-1 72,0 5-104,-4-6 104,1 2-96,1-3-40,-4 1 16,6 6 16,-3-7 0,-4-10 40,4 13-40,-1-13-112,4 17 112,-5-6-72,0-16 72,0 16 32,5-15 32,0 21-64,-5-7 64,1-14-64,-3 15 24,0-16-72,7 22 48,-2-6 24,-3-18-64,-2 7 0,-9-2 56,16 19-16,-2-19-48,-6 0 48,-1 12 24,4-18 0,5 25-24,-7-7 24,4-16-8,-4 6-16,5 10 48,2 7-48,0-25 0,0 18-88,-4-14 88,4 15 0,0 6 0,0-19-72,0 12 120,0-12-96,0 15 32,0 4 16,2-17 24,2 12 16,-4-1-32,5 0-144,-5 6 136,0-7 0,2 3-24,-2 4 64,0-4-40,0 4 0,3 0-40,1 0-40,-1 0-24,-3 0 104,7 2-80,0 0 40,9 0 24,-9 2 120,-7-4-104,22 2 0,-13 1 24,15-3-24,-10 0 32,-14 0-32,18 0 16,2 0-16,-11-5-16,14 1 40,-23 4-24,10-4-8,13-1 16,-6-1-40,-8 0-32,-9 6 64,23-7-112,-18 1 88,21 0 72,-7-1 8,-19 7-56,24-17 120,-3 13-112,2-3-56,1-10 16,-24 17 32,23-6-16,1-11-32,-8 13 64,8-13-96,-24 17 80,20-5 64,2-12 0,1 13-40,-4-2 48,-19 6-72,22-17-96,-1 12 96,3-1-16,-4-11-16,-20 17 32,22-4-80,-6-3-40,1-10-16,-8 13 16,-9 4 120,21-17-81,-11 12 41,10-1 8,-15 0 40,-5 6-8,2-7-8,6 1 32,-6 2-24,0 4-16,-2 0 16,0 0-72,0 0 96,0 0-96,0 0 192,-4 0-264,-1 0 96,2 2-32,3 0 8,0-2 72,0 4-88,0 3-8,-4-5-64,1 2 48,3-4 112,-6 2-96,4 2 32,-6 1 48,6 1 16,2-6 0,-19 6-72,16 1 88,-13 10 8,7-11-24,9-6 0,-22 17 24,2-10-64,5 12 8,-8-11 16,23-8 16,-19 22-128,-2-14 104,0 11-112,0-10 64,21-9 72,-17 21 120,3-12-120,6 10 152,-15-10-168,23-9 16,-7 21 88,-16-13-72,6 12-72,10-14 112,7-6-56,-16 19-64,9-12 48,-17 10 56,19-13-32,5-4-8,-13 8 0,5 10 48,-8-14-72,8 2 0,8-6 24,-3 9-8,-5-1-16,4 1 104,-16 8-96,20-17 16,-4 4 48,-17 5-32,18 8-32,-21-11 32,24-6-16,-18 17-16,4-10 64,-7 1-72,7 9 88,14-17-64,-17 7 40,-1 1-72,13 9 24,-19-13 16,24-4-8,-6 7 0,-19 1-24,18-1 64,-9-1-40,16-6 0,-7 6 80,2-3 0,1-1-32,-16 0-72,20-2 24,-3 2-128,-14 0 104,12 2 24,-18 1-16,23-5 16,-7 6 0,-17 0-56,19 1 112,-16-3-8,21-4-48,-14 7 40,6-3-40,-19 0-48,12 0 72,15-4-24,-7 2 120,-19 1-168,7-3-16,1 0-16,18 0 80,-19 0 0,-2 0 144,-1 0-56,7-5-64,15 5-24,-24 0-104,3-4 80,2 4 0,0-4 120,19 4-96,-21-4 56,-2-1-56,1-1 88,3-1-104,19 7 16,-18-6 40,1-11-112,-6 13 56,3-18-32,20 22 48,-15-6-16,0-22 48,8 11-48,-16-4 16,23 21 0,-7-19 24,2 0 120,-14-1-96,14 3 88,5 17-136,-4-6 104,-18-20-56,15 20-48,-16-18 120,23 24-120,-14-6 72,-9-13-48,3 15 0,1-3-96,19 7 72,-23-17 64,4 13 65,1-3 7,10-10-24,8 17-112,-21-4-88,17-2 136,-3-1 64,2 1-88,5 6-24,-7-4 0,2-1 0,5 5-72,-7 0 72,7 0 0,0 0-40,0 0-72,0 0-40,0 0 104,0 0 400,0 3-624,7 1 312,-2 4-56,4 9-32,-9-17 48,14 7-8,-7 12-16,10-13 176,2 3-40,-19-9-112,13 17 120,14-11-8,-4 1-72,7 10-32,-30-17-8,29 4-56,-1 3 40,0 10 32,-4-13 16,-24-4-32,23 6-96,1 11 96,-1-12 0,-4 1 0,-19-6 0,17 6 160,-8 1-176,-4-1-8,2 1-48,-7-7 72,0 6-24,2 0 0,-2-1 48,0-1 0,0-4-24,-2 6-48,-5 1 48,4-1 64,-2-2-16,5-4-48,-18 7 72,13-1-96,-16 3-96,2-1-8,19-8 128,-16 9-160,-5 8-8,-3-11 23,-2 3-7,26-9 152,-28 17-88,2-15 8,-2 4-32,-3 1 40,31-7 72,-28 6-120,0-2 96,4 1 64,-1-1-32,25-4-8,-27 4-24,-5 3 16,-1-1 16,4 2 40,29-8-48,-33 20 96,-4-14-96,2 17-24,0-5-72,35-18 96,-38 17-32,5 0 80,7-9-48,0 9 72,26-17-72,-19 7 56,0-1-40,14-4-16,-8 0 48,13-2-48,0 0 24,-7 0 24,7 0-48,0-4-64,0 0 16,0 4 40,0-4-64,0 4 72,0-5 24,0-1-24,2-1 48,3 1-96,-5 6 48,0-19 8,2 15-8,6-13 0,-7 12 64,-1 5-64,2-19 24,-2 15 8,0-3-32,0 1 120,0 6-120,0-4 0,-2 0 0,-4-1-8,-13 5-64,19 0 72,-8 0 48,-22 0-88,5 2 80,1 3 8,24-5-48,-21 4-24,-6 0-40,2-2-776,-10 3-2080,35-5 2920,-22 0-8426,22 0 8426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8:17:35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2037 484 13482,'0'0'0,"0"0"1921,0 0-1225,0 0-696,7 0 272,-2 2-80,5 0 88,8 0-8,-18-2-272,17 5 256,0 1 80,2 0-16,-3 1-40,-16-7-280,24 8 296,2 9-39,5-12 47,2 1 0,-33-6-304,31 9 304,9-3 32,5 0-48,2-3 0,-47-3-288,52 0 272,5 0-32,0-5 32,4-1 40,-61 6-312,62-21 288,0 4 0,0 10-128,-5-21-96,-57 28-64,54-17 80,-5 0 0,1-2 32,-3 0-152,-47 19 40,48-19 120,-6 2-40,-2 10 64,-4-16-112,-36 23-32,35-17 80,-10 10-40,-1-16-56,-16 17 305,-8 6-289,19-18 96,-16 14 40,-1 0-32,1-2 64,-3 6-168,0-18 96,0 14 16,0-2-8,0-13-16,0 19-88,-5-7 112,-14-10-48,3 11 120,-8-11-296,24 17 112,-22-7 0,-3-12-16,-9 13-160,1-18 336,33 24-160,-36-6-80,6-18 0,-4 7 80,4 11 24,30 6-24,-31-21-72,-7 14 144,12 1 24,-5-11-192,31 17 96,-40-4 208,2-1-168,-7 5 16,5-4 16,40 4-72,-45 0 16,3 0-72,-2 0-40,-8 0 24,52 0 72,-49 0-112,4 4 56,-3 1-16,1 1 64,47-6 8,-40 6-40,2-1 48,-2 1 80,9-2-32,31-4-56,-31 7 64,2-1 24,1 0-32,4 1-16,24-7-40,-25 6 0,3 1 56,-7 1-96,6 9 40,23-17 0,-26 4 24,-9 14-40,1-1 16,-1 0-56,35-17 56,-40 17-24,-6 4 8,-3-2 56,-3 5-24,52-24-16,-57 23 96,3 5-24,-4-3-40,-3 1 24,61-26-56,-64 28-32,7-3-104,-5 1 8,-1 2 16,63-28 112,-62 25-168,-2 1 168,2-5-40,1 5 24,61-26 16,-69 25-24,0 5 40,-3 2 64,-2 2-8,74-34-72,-71 37-16,-10-1-72,-4 0-72,0 0-240,85-36 400,-83 34-569,2-2-487,4 0-880,-2 2-2113,79-34 4049,-80 35-9674,80-35 9674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A52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6" t="s">
        <v>143</v>
      </c>
      <c r="C1" s="46"/>
      <c r="D1" s="46"/>
      <c r="E1" s="46"/>
      <c r="F1" s="46"/>
      <c r="G1" s="46"/>
      <c r="H1" s="46"/>
      <c r="I1" s="46"/>
      <c r="J1" s="46"/>
    </row>
    <row r="2" spans="1:10" ht="30" customHeight="1" x14ac:dyDescent="0.3">
      <c r="B2" s="14" t="s">
        <v>8</v>
      </c>
      <c r="C2" s="52" t="s">
        <v>35</v>
      </c>
      <c r="D2" s="52"/>
      <c r="E2" s="14" t="s">
        <v>7</v>
      </c>
      <c r="F2" s="47">
        <v>45937</v>
      </c>
      <c r="G2" s="47"/>
      <c r="H2" s="47"/>
      <c r="I2" s="47"/>
      <c r="J2" s="47"/>
    </row>
    <row r="3" spans="1:10" ht="30" customHeight="1" x14ac:dyDescent="0.3">
      <c r="B3" s="14" t="s">
        <v>9</v>
      </c>
      <c r="C3" s="52" t="s">
        <v>144</v>
      </c>
      <c r="D3" s="52"/>
      <c r="E3" s="14" t="s">
        <v>6</v>
      </c>
      <c r="F3" s="52" t="s">
        <v>145</v>
      </c>
      <c r="G3" s="52"/>
      <c r="H3" s="52"/>
      <c r="I3" s="52"/>
      <c r="J3" s="52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48" t="s">
        <v>0</v>
      </c>
      <c r="C5" s="49"/>
      <c r="D5" s="49"/>
      <c r="E5" s="57" t="s">
        <v>1</v>
      </c>
      <c r="F5" s="57"/>
      <c r="G5" s="57"/>
      <c r="H5" s="57"/>
      <c r="I5" s="57" t="s">
        <v>2</v>
      </c>
      <c r="J5" s="58"/>
    </row>
    <row r="6" spans="1:10" ht="24.9" customHeight="1" thickBot="1" x14ac:dyDescent="0.35">
      <c r="A6" s="11"/>
      <c r="B6" s="50"/>
      <c r="C6" s="51"/>
      <c r="D6" s="51"/>
      <c r="E6" s="12" t="s">
        <v>3</v>
      </c>
      <c r="F6" s="12" t="s">
        <v>4</v>
      </c>
      <c r="G6" s="12" t="s">
        <v>23</v>
      </c>
      <c r="H6" s="12" t="s">
        <v>24</v>
      </c>
      <c r="I6" s="59"/>
      <c r="J6" s="60"/>
    </row>
    <row r="7" spans="1:10" ht="24.9" customHeight="1" thickBot="1" x14ac:dyDescent="0.35">
      <c r="A7" s="11"/>
      <c r="B7" s="55" t="s">
        <v>21</v>
      </c>
      <c r="C7" s="56"/>
      <c r="D7" s="56"/>
      <c r="E7" s="13" t="s">
        <v>18</v>
      </c>
      <c r="F7" s="13" t="s">
        <v>19</v>
      </c>
      <c r="G7" s="13" t="s">
        <v>22</v>
      </c>
      <c r="H7" s="13" t="s">
        <v>20</v>
      </c>
      <c r="I7" s="40" t="s">
        <v>25</v>
      </c>
      <c r="J7" s="61"/>
    </row>
    <row r="8" spans="1:10" ht="30" customHeight="1" x14ac:dyDescent="0.3">
      <c r="A8" s="11"/>
      <c r="B8" s="62" t="s">
        <v>97</v>
      </c>
      <c r="C8" s="63"/>
      <c r="D8" s="63"/>
      <c r="E8" s="63"/>
      <c r="F8" s="63"/>
      <c r="G8" s="63"/>
      <c r="H8" s="63"/>
      <c r="I8" s="63"/>
      <c r="J8" s="64"/>
    </row>
    <row r="9" spans="1:10" ht="30" customHeight="1" x14ac:dyDescent="0.3">
      <c r="A9" s="11"/>
      <c r="B9" s="65" t="s">
        <v>98</v>
      </c>
      <c r="C9" s="66"/>
      <c r="D9" s="66"/>
      <c r="E9" s="9">
        <v>5</v>
      </c>
      <c r="F9" s="21">
        <v>3.75</v>
      </c>
      <c r="G9" s="23">
        <f>IFERROR(F9/E9,"")</f>
        <v>0.75</v>
      </c>
      <c r="H9" s="2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29"/>
      <c r="J9" s="30"/>
    </row>
    <row r="10" spans="1:10" ht="39.9" customHeight="1" x14ac:dyDescent="0.3">
      <c r="A10" s="11"/>
      <c r="B10" s="65" t="s">
        <v>99</v>
      </c>
      <c r="C10" s="66"/>
      <c r="D10" s="66"/>
      <c r="E10" s="9"/>
      <c r="F10" s="21"/>
      <c r="G10" s="23"/>
      <c r="H10" s="24"/>
      <c r="I10" s="29"/>
      <c r="J10" s="30"/>
    </row>
    <row r="11" spans="1:10" ht="30" customHeight="1" x14ac:dyDescent="0.3">
      <c r="A11" s="11"/>
      <c r="B11" s="67" t="s">
        <v>100</v>
      </c>
      <c r="C11" s="68"/>
      <c r="D11" s="68"/>
      <c r="E11" s="9">
        <v>5</v>
      </c>
      <c r="F11" s="21">
        <v>4</v>
      </c>
      <c r="G11" s="23">
        <f t="shared" ref="G11:G53" si="0">IFERROR(F11/E11,"")</f>
        <v>0.8</v>
      </c>
      <c r="H11" s="24" t="str">
        <f t="shared" ref="H11:H53" si="1">_xlfn.IFS(F11="أدخل العلامة","",F11="لا ينطبق","تم الإلغاء",G11&gt;=90%,"ممتاز",G11&gt;=80%,"جيد جداً",G11&gt;=70%,"جيد",G11&gt;=60%,"مقبول",G11&lt;60%,"راسب")</f>
        <v>جيد جداً</v>
      </c>
      <c r="I11" s="29"/>
      <c r="J11" s="30"/>
    </row>
    <row r="12" spans="1:10" ht="39.9" customHeight="1" x14ac:dyDescent="0.3">
      <c r="A12" s="11"/>
      <c r="B12" s="67" t="s">
        <v>101</v>
      </c>
      <c r="C12" s="68"/>
      <c r="D12" s="68"/>
      <c r="E12" s="9">
        <v>5</v>
      </c>
      <c r="F12" s="21">
        <v>3.5</v>
      </c>
      <c r="G12" s="23">
        <f t="shared" si="0"/>
        <v>0.7</v>
      </c>
      <c r="H12" s="24" t="str">
        <f t="shared" si="1"/>
        <v>جيد</v>
      </c>
      <c r="I12" s="29"/>
      <c r="J12" s="30"/>
    </row>
    <row r="13" spans="1:10" ht="30" customHeight="1" x14ac:dyDescent="0.3">
      <c r="A13" s="11"/>
      <c r="B13" s="65" t="s">
        <v>102</v>
      </c>
      <c r="C13" s="66"/>
      <c r="D13" s="66"/>
      <c r="E13" s="9"/>
      <c r="F13" s="21"/>
      <c r="G13" s="23"/>
      <c r="H13" s="24"/>
      <c r="I13" s="29"/>
      <c r="J13" s="30"/>
    </row>
    <row r="14" spans="1:10" ht="39.9" customHeight="1" x14ac:dyDescent="0.3">
      <c r="A14" s="11"/>
      <c r="B14" s="67" t="s">
        <v>103</v>
      </c>
      <c r="C14" s="68"/>
      <c r="D14" s="68"/>
      <c r="E14" s="9">
        <v>5</v>
      </c>
      <c r="F14" s="21">
        <v>3.5</v>
      </c>
      <c r="G14" s="23">
        <f t="shared" si="0"/>
        <v>0.7</v>
      </c>
      <c r="H14" s="24" t="str">
        <f t="shared" si="1"/>
        <v>جيد</v>
      </c>
      <c r="I14" s="29"/>
      <c r="J14" s="30"/>
    </row>
    <row r="15" spans="1:10" ht="39.9" customHeight="1" x14ac:dyDescent="0.3">
      <c r="A15" s="11"/>
      <c r="B15" s="67" t="s">
        <v>135</v>
      </c>
      <c r="C15" s="68"/>
      <c r="D15" s="68"/>
      <c r="E15" s="9">
        <v>5</v>
      </c>
      <c r="F15" s="21">
        <v>3.5</v>
      </c>
      <c r="G15" s="23">
        <f t="shared" si="0"/>
        <v>0.7</v>
      </c>
      <c r="H15" s="24" t="str">
        <f t="shared" si="1"/>
        <v>جيد</v>
      </c>
      <c r="I15" s="29"/>
      <c r="J15" s="30"/>
    </row>
    <row r="16" spans="1:10" ht="39.9" customHeight="1" x14ac:dyDescent="0.3">
      <c r="A16" s="11"/>
      <c r="B16" s="67" t="s">
        <v>134</v>
      </c>
      <c r="C16" s="68"/>
      <c r="D16" s="68"/>
      <c r="E16" s="9">
        <v>5</v>
      </c>
      <c r="F16" s="21">
        <v>4</v>
      </c>
      <c r="G16" s="23">
        <f t="shared" si="0"/>
        <v>0.8</v>
      </c>
      <c r="H16" s="24" t="str">
        <f t="shared" si="1"/>
        <v>جيد جداً</v>
      </c>
      <c r="I16" s="29"/>
      <c r="J16" s="30"/>
    </row>
    <row r="17" spans="1:10" ht="30" customHeight="1" x14ac:dyDescent="0.3">
      <c r="A17" s="11"/>
      <c r="B17" s="67" t="s">
        <v>104</v>
      </c>
      <c r="C17" s="68"/>
      <c r="D17" s="68"/>
      <c r="E17" s="9">
        <v>5</v>
      </c>
      <c r="F17" s="21">
        <v>3.75</v>
      </c>
      <c r="G17" s="23">
        <f t="shared" si="0"/>
        <v>0.75</v>
      </c>
      <c r="H17" s="24" t="str">
        <f t="shared" si="1"/>
        <v>جيد</v>
      </c>
      <c r="I17" s="29"/>
      <c r="J17" s="30"/>
    </row>
    <row r="18" spans="1:10" ht="30" customHeight="1" x14ac:dyDescent="0.3">
      <c r="A18" s="11"/>
      <c r="B18" s="65" t="s">
        <v>105</v>
      </c>
      <c r="C18" s="66"/>
      <c r="D18" s="66"/>
      <c r="E18" s="9"/>
      <c r="F18" s="21"/>
      <c r="G18" s="23"/>
      <c r="H18" s="24"/>
      <c r="I18" s="29"/>
      <c r="J18" s="30"/>
    </row>
    <row r="19" spans="1:10" ht="30" customHeight="1" x14ac:dyDescent="0.3">
      <c r="A19" s="11"/>
      <c r="B19" s="67" t="s">
        <v>137</v>
      </c>
      <c r="C19" s="68"/>
      <c r="D19" s="68"/>
      <c r="E19" s="9">
        <v>5</v>
      </c>
      <c r="F19" s="21">
        <v>3.75</v>
      </c>
      <c r="G19" s="23">
        <f t="shared" si="0"/>
        <v>0.75</v>
      </c>
      <c r="H19" s="24" t="str">
        <f t="shared" si="1"/>
        <v>جيد</v>
      </c>
      <c r="I19" s="29"/>
      <c r="J19" s="30"/>
    </row>
    <row r="20" spans="1:10" ht="30" customHeight="1" x14ac:dyDescent="0.3">
      <c r="A20" s="11"/>
      <c r="B20" s="67" t="s">
        <v>106</v>
      </c>
      <c r="C20" s="68"/>
      <c r="D20" s="68"/>
      <c r="E20" s="9">
        <v>5</v>
      </c>
      <c r="F20" s="21">
        <v>4.25</v>
      </c>
      <c r="G20" s="23">
        <f t="shared" si="0"/>
        <v>0.85</v>
      </c>
      <c r="H20" s="24" t="str">
        <f t="shared" si="1"/>
        <v>جيد جداً</v>
      </c>
      <c r="I20" s="29"/>
      <c r="J20" s="30"/>
    </row>
    <row r="21" spans="1:10" ht="30" customHeight="1" x14ac:dyDescent="0.3">
      <c r="A21" s="11"/>
      <c r="B21" s="67" t="s">
        <v>107</v>
      </c>
      <c r="C21" s="68"/>
      <c r="D21" s="68"/>
      <c r="E21" s="9">
        <v>5</v>
      </c>
      <c r="F21" s="21">
        <v>3.5</v>
      </c>
      <c r="G21" s="23">
        <f t="shared" si="0"/>
        <v>0.7</v>
      </c>
      <c r="H21" s="24" t="str">
        <f t="shared" si="1"/>
        <v>جيد</v>
      </c>
      <c r="I21" s="29"/>
      <c r="J21" s="30"/>
    </row>
    <row r="22" spans="1:10" ht="30" customHeight="1" x14ac:dyDescent="0.3">
      <c r="A22" s="11"/>
      <c r="B22" s="67" t="s">
        <v>136</v>
      </c>
      <c r="C22" s="68"/>
      <c r="D22" s="68"/>
      <c r="E22" s="9">
        <v>5</v>
      </c>
      <c r="F22" s="21">
        <v>4.25</v>
      </c>
      <c r="G22" s="23">
        <f t="shared" si="0"/>
        <v>0.85</v>
      </c>
      <c r="H22" s="24" t="str">
        <f t="shared" si="1"/>
        <v>جيد جداً</v>
      </c>
      <c r="I22" s="29"/>
      <c r="J22" s="30"/>
    </row>
    <row r="23" spans="1:10" ht="39.9" customHeight="1" x14ac:dyDescent="0.3">
      <c r="A23" s="11"/>
      <c r="B23" s="65" t="s">
        <v>108</v>
      </c>
      <c r="C23" s="66"/>
      <c r="D23" s="66"/>
      <c r="E23" s="9">
        <v>5</v>
      </c>
      <c r="F23" s="21">
        <v>3.5</v>
      </c>
      <c r="G23" s="23">
        <f t="shared" si="0"/>
        <v>0.7</v>
      </c>
      <c r="H23" s="24" t="str">
        <f t="shared" si="1"/>
        <v>جيد</v>
      </c>
      <c r="I23" s="29"/>
      <c r="J23" s="30"/>
    </row>
    <row r="24" spans="1:10" ht="30" customHeight="1" x14ac:dyDescent="0.3">
      <c r="A24" s="11"/>
      <c r="B24" s="65" t="s">
        <v>109</v>
      </c>
      <c r="C24" s="66"/>
      <c r="D24" s="66"/>
      <c r="E24" s="9">
        <v>5</v>
      </c>
      <c r="F24" s="21">
        <v>3.5</v>
      </c>
      <c r="G24" s="23">
        <f t="shared" si="0"/>
        <v>0.7</v>
      </c>
      <c r="H24" s="24" t="str">
        <f t="shared" si="1"/>
        <v>جيد</v>
      </c>
      <c r="I24" s="29"/>
      <c r="J24" s="30"/>
    </row>
    <row r="25" spans="1:10" ht="30" customHeight="1" x14ac:dyDescent="0.3">
      <c r="A25" s="11"/>
      <c r="B25" s="65" t="s">
        <v>110</v>
      </c>
      <c r="C25" s="66"/>
      <c r="D25" s="66"/>
      <c r="E25" s="9"/>
      <c r="F25" s="21"/>
      <c r="G25" s="23"/>
      <c r="H25" s="24"/>
      <c r="I25" s="29"/>
      <c r="J25" s="30"/>
    </row>
    <row r="26" spans="1:10" ht="39.9" customHeight="1" x14ac:dyDescent="0.3">
      <c r="A26" s="11"/>
      <c r="B26" s="67" t="s">
        <v>111</v>
      </c>
      <c r="C26" s="68"/>
      <c r="D26" s="68"/>
      <c r="E26" s="9">
        <v>5</v>
      </c>
      <c r="F26" s="21">
        <v>3.75</v>
      </c>
      <c r="G26" s="23">
        <f t="shared" si="0"/>
        <v>0.75</v>
      </c>
      <c r="H26" s="24" t="str">
        <f t="shared" si="1"/>
        <v>جيد</v>
      </c>
      <c r="I26" s="29"/>
      <c r="J26" s="30"/>
    </row>
    <row r="27" spans="1:10" ht="56.25" customHeight="1" x14ac:dyDescent="0.3">
      <c r="A27" s="11"/>
      <c r="B27" s="67" t="s">
        <v>112</v>
      </c>
      <c r="C27" s="68"/>
      <c r="D27" s="68"/>
      <c r="E27" s="9">
        <v>5</v>
      </c>
      <c r="F27" s="21">
        <v>4</v>
      </c>
      <c r="G27" s="23">
        <f t="shared" si="0"/>
        <v>0.8</v>
      </c>
      <c r="H27" s="24" t="str">
        <f t="shared" si="1"/>
        <v>جيد جداً</v>
      </c>
      <c r="I27" s="29"/>
      <c r="J27" s="30"/>
    </row>
    <row r="28" spans="1:10" ht="30" customHeight="1" x14ac:dyDescent="0.3">
      <c r="A28" s="11"/>
      <c r="B28" s="65" t="s">
        <v>113</v>
      </c>
      <c r="C28" s="66"/>
      <c r="D28" s="66"/>
      <c r="E28" s="9"/>
      <c r="F28" s="21"/>
      <c r="G28" s="23"/>
      <c r="H28" s="24"/>
      <c r="I28" s="29"/>
      <c r="J28" s="30"/>
    </row>
    <row r="29" spans="1:10" ht="39.9" customHeight="1" x14ac:dyDescent="0.3">
      <c r="A29" s="11"/>
      <c r="B29" s="67" t="s">
        <v>138</v>
      </c>
      <c r="C29" s="68"/>
      <c r="D29" s="68"/>
      <c r="E29" s="9">
        <v>5</v>
      </c>
      <c r="F29" s="21">
        <v>3.75</v>
      </c>
      <c r="G29" s="23">
        <f t="shared" si="0"/>
        <v>0.75</v>
      </c>
      <c r="H29" s="24" t="str">
        <f t="shared" si="1"/>
        <v>جيد</v>
      </c>
      <c r="I29" s="29"/>
      <c r="J29" s="30"/>
    </row>
    <row r="30" spans="1:10" ht="30" customHeight="1" x14ac:dyDescent="0.3">
      <c r="A30" s="11"/>
      <c r="B30" s="67" t="s">
        <v>114</v>
      </c>
      <c r="C30" s="68"/>
      <c r="D30" s="68"/>
      <c r="E30" s="9">
        <v>5</v>
      </c>
      <c r="F30" s="21">
        <v>3.75</v>
      </c>
      <c r="G30" s="23">
        <f t="shared" si="0"/>
        <v>0.75</v>
      </c>
      <c r="H30" s="24" t="str">
        <f t="shared" si="1"/>
        <v>جيد</v>
      </c>
      <c r="I30" s="29"/>
      <c r="J30" s="30"/>
    </row>
    <row r="31" spans="1:10" ht="30" customHeight="1" x14ac:dyDescent="0.3">
      <c r="A31" s="11"/>
      <c r="B31" s="67" t="s">
        <v>115</v>
      </c>
      <c r="C31" s="68"/>
      <c r="D31" s="68"/>
      <c r="E31" s="9">
        <v>5</v>
      </c>
      <c r="F31" s="21">
        <v>3.5</v>
      </c>
      <c r="G31" s="23">
        <f t="shared" si="0"/>
        <v>0.7</v>
      </c>
      <c r="H31" s="24" t="str">
        <f t="shared" si="1"/>
        <v>جيد</v>
      </c>
      <c r="I31" s="29"/>
      <c r="J31" s="30"/>
    </row>
    <row r="32" spans="1:10" ht="56.25" customHeight="1" x14ac:dyDescent="0.3">
      <c r="A32" s="11"/>
      <c r="B32" s="65" t="s">
        <v>116</v>
      </c>
      <c r="C32" s="66"/>
      <c r="D32" s="66"/>
      <c r="E32" s="9">
        <v>5</v>
      </c>
      <c r="F32" s="21">
        <v>3.75</v>
      </c>
      <c r="G32" s="23">
        <f t="shared" si="0"/>
        <v>0.75</v>
      </c>
      <c r="H32" s="24" t="str">
        <f t="shared" si="1"/>
        <v>جيد</v>
      </c>
      <c r="I32" s="29"/>
      <c r="J32" s="30"/>
    </row>
    <row r="33" spans="1:10" ht="39.9" customHeight="1" x14ac:dyDescent="0.3">
      <c r="A33" s="11"/>
      <c r="B33" s="65" t="s">
        <v>117</v>
      </c>
      <c r="C33" s="66"/>
      <c r="D33" s="66"/>
      <c r="E33" s="9">
        <v>5</v>
      </c>
      <c r="F33" s="21">
        <v>4</v>
      </c>
      <c r="G33" s="23">
        <f t="shared" si="0"/>
        <v>0.8</v>
      </c>
      <c r="H33" s="24" t="str">
        <f t="shared" si="1"/>
        <v>جيد جداً</v>
      </c>
      <c r="I33" s="29"/>
      <c r="J33" s="30"/>
    </row>
    <row r="34" spans="1:10" ht="55.5" customHeight="1" x14ac:dyDescent="0.3">
      <c r="A34" s="11"/>
      <c r="B34" s="65" t="s">
        <v>118</v>
      </c>
      <c r="C34" s="66"/>
      <c r="D34" s="66"/>
      <c r="E34" s="9">
        <v>5</v>
      </c>
      <c r="F34" s="21">
        <v>3.5</v>
      </c>
      <c r="G34" s="23">
        <f t="shared" si="0"/>
        <v>0.7</v>
      </c>
      <c r="H34" s="24" t="str">
        <f t="shared" si="1"/>
        <v>جيد</v>
      </c>
      <c r="I34" s="29"/>
      <c r="J34" s="30"/>
    </row>
    <row r="35" spans="1:10" ht="39.9" customHeight="1" x14ac:dyDescent="0.3">
      <c r="A35" s="11"/>
      <c r="B35" s="65" t="s">
        <v>119</v>
      </c>
      <c r="C35" s="66"/>
      <c r="D35" s="66"/>
      <c r="E35" s="9">
        <v>5</v>
      </c>
      <c r="F35" s="21">
        <v>3.75</v>
      </c>
      <c r="G35" s="23">
        <f t="shared" si="0"/>
        <v>0.75</v>
      </c>
      <c r="H35" s="24" t="str">
        <f t="shared" si="1"/>
        <v>جيد</v>
      </c>
      <c r="I35" s="29"/>
      <c r="J35" s="30"/>
    </row>
    <row r="36" spans="1:10" ht="30" customHeight="1" thickBot="1" x14ac:dyDescent="0.35">
      <c r="A36" s="11"/>
      <c r="B36" s="69" t="s">
        <v>120</v>
      </c>
      <c r="C36" s="70"/>
      <c r="D36" s="70"/>
      <c r="E36" s="25">
        <v>5</v>
      </c>
      <c r="F36" s="22">
        <v>3.75</v>
      </c>
      <c r="G36" s="26">
        <f t="shared" si="0"/>
        <v>0.75</v>
      </c>
      <c r="H36" s="27" t="str">
        <f t="shared" si="1"/>
        <v>جيد</v>
      </c>
      <c r="I36" s="37"/>
      <c r="J36" s="38"/>
    </row>
    <row r="37" spans="1:10" ht="30" customHeight="1" x14ac:dyDescent="0.3">
      <c r="A37" s="11"/>
      <c r="B37" s="71" t="s">
        <v>121</v>
      </c>
      <c r="C37" s="72"/>
      <c r="D37" s="72"/>
      <c r="E37" s="72"/>
      <c r="F37" s="72"/>
      <c r="G37" s="72"/>
      <c r="H37" s="72"/>
      <c r="I37" s="72"/>
      <c r="J37" s="73"/>
    </row>
    <row r="38" spans="1:10" ht="30" customHeight="1" x14ac:dyDescent="0.3">
      <c r="A38" s="11"/>
      <c r="B38" s="65" t="s">
        <v>122</v>
      </c>
      <c r="C38" s="66"/>
      <c r="D38" s="66"/>
      <c r="E38" s="9"/>
      <c r="F38" s="21"/>
      <c r="G38" s="23"/>
      <c r="H38" s="24"/>
      <c r="I38" s="29"/>
      <c r="J38" s="30"/>
    </row>
    <row r="39" spans="1:10" ht="30" customHeight="1" x14ac:dyDescent="0.3">
      <c r="A39" s="11"/>
      <c r="B39" s="67" t="s">
        <v>139</v>
      </c>
      <c r="C39" s="68"/>
      <c r="D39" s="68"/>
      <c r="E39" s="9">
        <v>5</v>
      </c>
      <c r="F39" s="21">
        <v>3.75</v>
      </c>
      <c r="G39" s="23">
        <f t="shared" si="0"/>
        <v>0.75</v>
      </c>
      <c r="H39" s="24" t="str">
        <f t="shared" si="1"/>
        <v>جيد</v>
      </c>
      <c r="I39" s="29"/>
      <c r="J39" s="30"/>
    </row>
    <row r="40" spans="1:10" ht="60" customHeight="1" x14ac:dyDescent="0.3">
      <c r="A40" s="11"/>
      <c r="B40" s="67" t="s">
        <v>123</v>
      </c>
      <c r="C40" s="68"/>
      <c r="D40" s="68"/>
      <c r="E40" s="9">
        <v>5</v>
      </c>
      <c r="F40" s="21">
        <v>3.5</v>
      </c>
      <c r="G40" s="23">
        <f t="shared" si="0"/>
        <v>0.7</v>
      </c>
      <c r="H40" s="24" t="str">
        <f t="shared" si="1"/>
        <v>جيد</v>
      </c>
      <c r="I40" s="29"/>
      <c r="J40" s="30"/>
    </row>
    <row r="41" spans="1:10" ht="39.9" customHeight="1" x14ac:dyDescent="0.3">
      <c r="A41" s="11"/>
      <c r="B41" s="67" t="s">
        <v>124</v>
      </c>
      <c r="C41" s="68"/>
      <c r="D41" s="68"/>
      <c r="E41" s="9">
        <v>5</v>
      </c>
      <c r="F41" s="21">
        <v>3.5</v>
      </c>
      <c r="G41" s="23">
        <f t="shared" si="0"/>
        <v>0.7</v>
      </c>
      <c r="H41" s="24" t="str">
        <f t="shared" si="1"/>
        <v>جيد</v>
      </c>
      <c r="I41" s="29"/>
      <c r="J41" s="30"/>
    </row>
    <row r="42" spans="1:10" ht="30" customHeight="1" x14ac:dyDescent="0.3">
      <c r="A42" s="11"/>
      <c r="B42" s="67" t="s">
        <v>140</v>
      </c>
      <c r="C42" s="68"/>
      <c r="D42" s="68"/>
      <c r="E42" s="9">
        <v>5</v>
      </c>
      <c r="F42" s="21">
        <v>3.5</v>
      </c>
      <c r="G42" s="23">
        <f t="shared" si="0"/>
        <v>0.7</v>
      </c>
      <c r="H42" s="24" t="str">
        <f t="shared" si="1"/>
        <v>جيد</v>
      </c>
      <c r="I42" s="29"/>
      <c r="J42" s="30"/>
    </row>
    <row r="43" spans="1:10" ht="30" customHeight="1" x14ac:dyDescent="0.3">
      <c r="A43" s="11"/>
      <c r="B43" s="67" t="s">
        <v>141</v>
      </c>
      <c r="C43" s="68"/>
      <c r="D43" s="68"/>
      <c r="E43" s="9">
        <v>5</v>
      </c>
      <c r="F43" s="21">
        <v>3.5</v>
      </c>
      <c r="G43" s="23">
        <f t="shared" si="0"/>
        <v>0.7</v>
      </c>
      <c r="H43" s="24" t="str">
        <f t="shared" si="1"/>
        <v>جيد</v>
      </c>
      <c r="I43" s="29"/>
      <c r="J43" s="30"/>
    </row>
    <row r="44" spans="1:10" ht="39.9" customHeight="1" x14ac:dyDescent="0.3">
      <c r="A44" s="11"/>
      <c r="B44" s="67" t="s">
        <v>142</v>
      </c>
      <c r="C44" s="68"/>
      <c r="D44" s="68"/>
      <c r="E44" s="9">
        <v>5</v>
      </c>
      <c r="F44" s="21">
        <v>3.5</v>
      </c>
      <c r="G44" s="23">
        <f t="shared" si="0"/>
        <v>0.7</v>
      </c>
      <c r="H44" s="24" t="str">
        <f t="shared" si="1"/>
        <v>جيد</v>
      </c>
      <c r="I44" s="29"/>
      <c r="J44" s="30"/>
    </row>
    <row r="45" spans="1:10" ht="30" customHeight="1" thickBot="1" x14ac:dyDescent="0.35">
      <c r="A45" s="11"/>
      <c r="B45" s="69" t="s">
        <v>125</v>
      </c>
      <c r="C45" s="70"/>
      <c r="D45" s="70"/>
      <c r="E45" s="25">
        <v>5</v>
      </c>
      <c r="F45" s="22">
        <v>3.5</v>
      </c>
      <c r="G45" s="26">
        <f t="shared" si="0"/>
        <v>0.7</v>
      </c>
      <c r="H45" s="27" t="str">
        <f t="shared" si="1"/>
        <v>جيد</v>
      </c>
      <c r="I45" s="37"/>
      <c r="J45" s="38"/>
    </row>
    <row r="46" spans="1:10" ht="30" customHeight="1" x14ac:dyDescent="0.3">
      <c r="A46" s="11"/>
      <c r="B46" s="71" t="s">
        <v>126</v>
      </c>
      <c r="C46" s="72"/>
      <c r="D46" s="72"/>
      <c r="E46" s="72"/>
      <c r="F46" s="72"/>
      <c r="G46" s="72"/>
      <c r="H46" s="72"/>
      <c r="I46" s="72"/>
      <c r="J46" s="73"/>
    </row>
    <row r="47" spans="1:10" ht="39.9" customHeight="1" x14ac:dyDescent="0.3">
      <c r="A47" s="11"/>
      <c r="B47" s="65" t="s">
        <v>127</v>
      </c>
      <c r="C47" s="66"/>
      <c r="D47" s="66"/>
      <c r="E47" s="9">
        <v>5</v>
      </c>
      <c r="F47" s="21">
        <v>4</v>
      </c>
      <c r="G47" s="23">
        <f t="shared" si="0"/>
        <v>0.8</v>
      </c>
      <c r="H47" s="24" t="str">
        <f t="shared" si="1"/>
        <v>جيد جداً</v>
      </c>
      <c r="I47" s="29"/>
      <c r="J47" s="30"/>
    </row>
    <row r="48" spans="1:10" ht="57.75" customHeight="1" x14ac:dyDescent="0.3">
      <c r="A48" s="11"/>
      <c r="B48" s="65" t="s">
        <v>128</v>
      </c>
      <c r="C48" s="66"/>
      <c r="D48" s="66"/>
      <c r="E48" s="9">
        <v>5</v>
      </c>
      <c r="F48" s="21">
        <v>3.5</v>
      </c>
      <c r="G48" s="23">
        <f t="shared" si="0"/>
        <v>0.7</v>
      </c>
      <c r="H48" s="24" t="str">
        <f t="shared" si="1"/>
        <v>جيد</v>
      </c>
      <c r="I48" s="29"/>
      <c r="J48" s="30"/>
    </row>
    <row r="49" spans="1:10" ht="57.75" customHeight="1" x14ac:dyDescent="0.3">
      <c r="A49" s="11"/>
      <c r="B49" s="65" t="s">
        <v>129</v>
      </c>
      <c r="C49" s="66"/>
      <c r="D49" s="66"/>
      <c r="E49" s="9">
        <v>5</v>
      </c>
      <c r="F49" s="21">
        <v>3.75</v>
      </c>
      <c r="G49" s="23">
        <f t="shared" si="0"/>
        <v>0.75</v>
      </c>
      <c r="H49" s="24" t="str">
        <f t="shared" si="1"/>
        <v>جيد</v>
      </c>
      <c r="I49" s="29"/>
      <c r="J49" s="30"/>
    </row>
    <row r="50" spans="1:10" ht="39.9" customHeight="1" x14ac:dyDescent="0.3">
      <c r="A50" s="11"/>
      <c r="B50" s="65" t="s">
        <v>130</v>
      </c>
      <c r="C50" s="66"/>
      <c r="D50" s="66"/>
      <c r="E50" s="9">
        <v>5</v>
      </c>
      <c r="F50" s="28">
        <v>4.25</v>
      </c>
      <c r="G50" s="23">
        <f t="shared" si="0"/>
        <v>0.85</v>
      </c>
      <c r="H50" s="24" t="str">
        <f t="shared" si="1"/>
        <v>جيد جداً</v>
      </c>
      <c r="I50" s="29"/>
      <c r="J50" s="30"/>
    </row>
    <row r="51" spans="1:10" ht="39.9" customHeight="1" x14ac:dyDescent="0.3">
      <c r="A51" s="11"/>
      <c r="B51" s="65" t="s">
        <v>131</v>
      </c>
      <c r="C51" s="66"/>
      <c r="D51" s="66"/>
      <c r="E51" s="9">
        <v>5</v>
      </c>
      <c r="F51" s="28">
        <v>4.25</v>
      </c>
      <c r="G51" s="23">
        <f t="shared" si="0"/>
        <v>0.85</v>
      </c>
      <c r="H51" s="24" t="str">
        <f t="shared" si="1"/>
        <v>جيد جداً</v>
      </c>
      <c r="I51" s="29"/>
      <c r="J51" s="30"/>
    </row>
    <row r="52" spans="1:10" ht="39.9" customHeight="1" x14ac:dyDescent="0.3">
      <c r="A52" s="11"/>
      <c r="B52" s="65" t="s">
        <v>132</v>
      </c>
      <c r="C52" s="66"/>
      <c r="D52" s="66"/>
      <c r="E52" s="9">
        <v>5</v>
      </c>
      <c r="F52" s="21">
        <v>4.25</v>
      </c>
      <c r="G52" s="23">
        <f t="shared" si="0"/>
        <v>0.85</v>
      </c>
      <c r="H52" s="24" t="str">
        <f t="shared" si="1"/>
        <v>جيد جداً</v>
      </c>
      <c r="I52" s="29"/>
      <c r="J52" s="30"/>
    </row>
    <row r="53" spans="1:10" ht="30" customHeight="1" thickBot="1" x14ac:dyDescent="0.35">
      <c r="A53" s="11"/>
      <c r="B53" s="69" t="s">
        <v>133</v>
      </c>
      <c r="C53" s="70"/>
      <c r="D53" s="70"/>
      <c r="E53" s="25">
        <v>5</v>
      </c>
      <c r="F53" s="22">
        <v>3.75</v>
      </c>
      <c r="G53" s="26">
        <f t="shared" si="0"/>
        <v>0.75</v>
      </c>
      <c r="H53" s="27" t="str">
        <f t="shared" si="1"/>
        <v>جيد</v>
      </c>
      <c r="I53" s="37"/>
      <c r="J53" s="38"/>
    </row>
    <row r="54" spans="1:10" ht="30" customHeight="1" thickBot="1" x14ac:dyDescent="0.35">
      <c r="A54" s="4"/>
      <c r="B54" s="39" t="s">
        <v>5</v>
      </c>
      <c r="C54" s="40"/>
      <c r="D54" s="40"/>
      <c r="E54" s="10">
        <f>SUM(E8:E53)</f>
        <v>185</v>
      </c>
      <c r="F54" s="10">
        <f>SUM(F8:F53)</f>
        <v>138.75</v>
      </c>
      <c r="G54" s="43"/>
      <c r="H54" s="44"/>
      <c r="I54" s="44"/>
      <c r="J54" s="45"/>
    </row>
    <row r="55" spans="1:10" ht="30" customHeight="1" thickBot="1" x14ac:dyDescent="0.35">
      <c r="A55" s="4"/>
      <c r="B55" s="39" t="s">
        <v>54</v>
      </c>
      <c r="C55" s="40"/>
      <c r="D55" s="40"/>
      <c r="E55" s="53">
        <f>F54/E54/100*100</f>
        <v>0.75</v>
      </c>
      <c r="F55" s="53"/>
      <c r="G55" s="53"/>
      <c r="H55" s="53"/>
      <c r="I55" s="53"/>
      <c r="J55" s="54"/>
    </row>
    <row r="56" spans="1:10" ht="30" customHeight="1" thickBot="1" x14ac:dyDescent="0.35">
      <c r="A56" s="4"/>
      <c r="B56" s="39" t="s">
        <v>55</v>
      </c>
      <c r="C56" s="40"/>
      <c r="D56" s="40"/>
      <c r="E56" s="35" t="str">
        <f>_xlfn.IFS(E55&gt;=90%,"ممتاز",E55&gt;=80%,"جيد جداً",E55&gt;=70%,"جيد",E55&gt;=60%,"مقبول",E55&lt;60%,"راسب")</f>
        <v>جيد</v>
      </c>
      <c r="F56" s="35"/>
      <c r="G56" s="35"/>
      <c r="H56" s="35"/>
      <c r="I56" s="35"/>
      <c r="J56" s="36"/>
    </row>
    <row r="57" spans="1:10" ht="42" customHeight="1" x14ac:dyDescent="0.3">
      <c r="B57" s="31" t="s">
        <v>60</v>
      </c>
      <c r="C57" s="31"/>
      <c r="D57" s="31"/>
      <c r="E57" s="41" t="s">
        <v>52</v>
      </c>
      <c r="F57" s="41"/>
      <c r="G57" s="33" t="s">
        <v>58</v>
      </c>
      <c r="H57" s="33"/>
      <c r="I57" s="33"/>
      <c r="J57" s="33"/>
    </row>
    <row r="58" spans="1:10" ht="51" customHeight="1" x14ac:dyDescent="0.3">
      <c r="A58" s="5"/>
      <c r="B58" s="32"/>
      <c r="C58" s="32"/>
      <c r="D58" s="32"/>
      <c r="E58" s="42" t="s">
        <v>53</v>
      </c>
      <c r="F58" s="42"/>
      <c r="G58" s="34"/>
      <c r="H58" s="34"/>
      <c r="I58" s="34"/>
      <c r="J58" s="3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0">
    <mergeCell ref="B53:D53"/>
    <mergeCell ref="B44:D44"/>
    <mergeCell ref="B45:D45"/>
    <mergeCell ref="B46:J46"/>
    <mergeCell ref="B47:D47"/>
    <mergeCell ref="B48:D48"/>
    <mergeCell ref="B49:D49"/>
    <mergeCell ref="B50:D50"/>
    <mergeCell ref="B51:D51"/>
    <mergeCell ref="B52:D52"/>
    <mergeCell ref="I45:J45"/>
    <mergeCell ref="I47:J47"/>
    <mergeCell ref="I48:J48"/>
    <mergeCell ref="B35:D35"/>
    <mergeCell ref="B36:D36"/>
    <mergeCell ref="B37:J37"/>
    <mergeCell ref="B38:D38"/>
    <mergeCell ref="B39:D39"/>
    <mergeCell ref="B40:D40"/>
    <mergeCell ref="B41:D41"/>
    <mergeCell ref="B42:D42"/>
    <mergeCell ref="B43:D43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J8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I14:J14"/>
    <mergeCell ref="I15:J15"/>
    <mergeCell ref="I16:J16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1:J1"/>
    <mergeCell ref="F2:J2"/>
    <mergeCell ref="B5:D6"/>
    <mergeCell ref="C2:D2"/>
    <mergeCell ref="C3:D3"/>
    <mergeCell ref="F3:J3"/>
    <mergeCell ref="E55:J55"/>
    <mergeCell ref="B7:D7"/>
    <mergeCell ref="I38:J38"/>
    <mergeCell ref="I39:J39"/>
    <mergeCell ref="I30:J30"/>
    <mergeCell ref="I31:J31"/>
    <mergeCell ref="E5:H5"/>
    <mergeCell ref="I5:J6"/>
    <mergeCell ref="I7:J7"/>
    <mergeCell ref="I10:J10"/>
    <mergeCell ref="I32:J32"/>
    <mergeCell ref="I33:J33"/>
    <mergeCell ref="I34:J34"/>
    <mergeCell ref="I35:J35"/>
    <mergeCell ref="I36:J36"/>
    <mergeCell ref="I11:J11"/>
    <mergeCell ref="I12:J12"/>
    <mergeCell ref="I13:J13"/>
    <mergeCell ref="I17:J17"/>
    <mergeCell ref="I18:J18"/>
    <mergeCell ref="I28:J28"/>
    <mergeCell ref="I29:J29"/>
    <mergeCell ref="B57:D58"/>
    <mergeCell ref="G57:J57"/>
    <mergeCell ref="G58:J58"/>
    <mergeCell ref="E56:J56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B54:D54"/>
    <mergeCell ref="B55:D55"/>
    <mergeCell ref="B56:D56"/>
    <mergeCell ref="E57:F57"/>
    <mergeCell ref="E58:F58"/>
    <mergeCell ref="G54:J54"/>
  </mergeCells>
  <conditionalFormatting sqref="C2:D2">
    <cfRule type="containsText" dxfId="22" priority="31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30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20" priority="70">
      <formula>$E56="راسب"</formula>
    </cfRule>
  </conditionalFormatting>
  <conditionalFormatting sqref="E56:J56">
    <cfRule type="expression" dxfId="19" priority="71">
      <formula>$E56="مقبول"</formula>
    </cfRule>
    <cfRule type="expression" dxfId="18" priority="72">
      <formula>$E56="جيد"</formula>
    </cfRule>
    <cfRule type="expression" dxfId="17" priority="73">
      <formula>$E56="جيد جداً"</formula>
    </cfRule>
    <cfRule type="expression" dxfId="16" priority="74">
      <formula>$E56="ممتاز"</formula>
    </cfRule>
  </conditionalFormatting>
  <conditionalFormatting sqref="F9:F36">
    <cfRule type="containsText" dxfId="15" priority="1" operator="containsText" text="أدخل العلامة">
      <formula>NOT(ISERROR(SEARCH("أدخل العلامة",F9)))</formula>
    </cfRule>
  </conditionalFormatting>
  <conditionalFormatting sqref="F38:F45 H38:H45 F47:F53 H47:H53">
    <cfRule type="containsText" dxfId="14" priority="8" operator="containsText" text="أدخل العلامة">
      <formula>NOT(ISERROR(SEARCH("أدخل العلامة",F38)))</formula>
    </cfRule>
  </conditionalFormatting>
  <conditionalFormatting sqref="F2:J2">
    <cfRule type="containsText" dxfId="13" priority="32" operator="containsText" text="أدخل التاريخ">
      <formula>NOT(ISERROR(SEARCH("أدخل التاريخ",F2)))</formula>
    </cfRule>
  </conditionalFormatting>
  <conditionalFormatting sqref="F3:J3">
    <cfRule type="containsText" dxfId="12" priority="29" operator="containsText" text="أدخل أسم المحكم">
      <formula>NOT(ISERROR(SEARCH("أدخل أسم المحكم",F3)))</formula>
    </cfRule>
  </conditionalFormatting>
  <conditionalFormatting sqref="G57:J57">
    <cfRule type="containsText" dxfId="11" priority="28" operator="containsText" text="أدخل اسم المحكم">
      <formula>NOT(ISERROR(SEARCH("أدخل اسم المحكم",G57)))</formula>
    </cfRule>
  </conditionalFormatting>
  <conditionalFormatting sqref="H9:H36">
    <cfRule type="containsText" dxfId="10" priority="2" operator="containsText" text="أدخل العلامة">
      <formula>NOT(ISERROR(SEARCH("أدخل العلامة",H9)))</formula>
    </cfRule>
    <cfRule type="containsText" dxfId="9" priority="3" operator="containsText" text="ممتاز">
      <formula>NOT(ISERROR(SEARCH("ممتاز",H9)))</formula>
    </cfRule>
    <cfRule type="containsText" dxfId="8" priority="4" operator="containsText" text="جيد جداً">
      <formula>NOT(ISERROR(SEARCH("جيد جداً",H9)))</formula>
    </cfRule>
    <cfRule type="containsText" dxfId="7" priority="5" operator="containsText" text="جيد">
      <formula>NOT(ISERROR(SEARCH("جيد",H9)))</formula>
    </cfRule>
    <cfRule type="containsText" dxfId="6" priority="6" operator="containsText" text="مقبول">
      <formula>NOT(ISERROR(SEARCH("مقبول",H9)))</formula>
    </cfRule>
    <cfRule type="containsText" dxfId="5" priority="7" operator="containsText" text="راسب">
      <formula>NOT(ISERROR(SEARCH("راسب",H9)))</formula>
    </cfRule>
  </conditionalFormatting>
  <conditionalFormatting sqref="H38:H45 H47:H53">
    <cfRule type="containsText" dxfId="4" priority="9" operator="containsText" text="ممتاز">
      <formula>NOT(ISERROR(SEARCH("ممتاز",H38)))</formula>
    </cfRule>
    <cfRule type="containsText" dxfId="3" priority="10" operator="containsText" text="جيد جداً">
      <formula>NOT(ISERROR(SEARCH("جيد جداً",H38)))</formula>
    </cfRule>
    <cfRule type="containsText" dxfId="2" priority="11" operator="containsText" text="جيد">
      <formula>NOT(ISERROR(SEARCH("جيد",H38)))</formula>
    </cfRule>
    <cfRule type="containsText" dxfId="1" priority="12" operator="containsText" text="مقبول">
      <formula>NOT(ISERROR(SEARCH("مقبول",H38)))</formula>
    </cfRule>
    <cfRule type="containsText" dxfId="0" priority="13" operator="containsText" text="راسب">
      <formula>NOT(ISERROR(SEARCH("راسب",H38)))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G57:J57</xm:sqref>
        </x14:dataValidation>
        <x14:dataValidation type="list" allowBlank="1" showInputMessage="1" showErrorMessage="1" xr:uid="{84578C61-201D-414C-B288-DDAEF93567C6}">
          <x14:formula1>
            <xm:f>'بيانات التقييم'!$A$110:$A$132</xm:f>
          </x14:formula1>
          <xm:sqref>F9 F11 F12 F14:F17 F19:F24 F26:F27 F29:F34 F35:F36 F39:F45 F47:F52 F53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61</v>
      </c>
    </row>
    <row r="7" spans="1:1" ht="20.100000000000001" customHeight="1" thickBot="1" x14ac:dyDescent="0.35">
      <c r="A7" s="2" t="s">
        <v>62</v>
      </c>
    </row>
    <row r="8" spans="1:1" ht="20.100000000000001" customHeight="1" thickBot="1" x14ac:dyDescent="0.35">
      <c r="A8" s="2" t="s">
        <v>63</v>
      </c>
    </row>
    <row r="9" spans="1:1" ht="20.100000000000001" customHeight="1" thickBot="1" x14ac:dyDescent="0.35">
      <c r="A9" s="2" t="s">
        <v>82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64</v>
      </c>
    </row>
    <row r="12" spans="1:1" ht="20.100000000000001" customHeight="1" thickBot="1" x14ac:dyDescent="0.35">
      <c r="A12" s="2" t="s">
        <v>65</v>
      </c>
    </row>
    <row r="13" spans="1:1" ht="20.100000000000001" customHeight="1" thickBot="1" x14ac:dyDescent="0.35">
      <c r="A13" s="2" t="s">
        <v>66</v>
      </c>
    </row>
    <row r="14" spans="1:1" ht="20.100000000000001" customHeight="1" thickBot="1" x14ac:dyDescent="0.35">
      <c r="A14" s="2" t="s">
        <v>83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67</v>
      </c>
    </row>
    <row r="17" spans="1:1" ht="20.100000000000001" customHeight="1" thickBot="1" x14ac:dyDescent="0.35">
      <c r="A17" s="2" t="s">
        <v>68</v>
      </c>
    </row>
    <row r="18" spans="1:1" ht="20.100000000000001" customHeight="1" thickBot="1" x14ac:dyDescent="0.35">
      <c r="A18" s="2" t="s">
        <v>69</v>
      </c>
    </row>
    <row r="19" spans="1:1" ht="20.100000000000001" customHeight="1" thickBot="1" x14ac:dyDescent="0.35">
      <c r="A19" s="2" t="s">
        <v>84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70</v>
      </c>
    </row>
    <row r="23" spans="1:1" ht="20.100000000000001" customHeight="1" thickBot="1" x14ac:dyDescent="0.35">
      <c r="A23" s="2" t="s">
        <v>71</v>
      </c>
    </row>
    <row r="24" spans="1:1" ht="20.100000000000001" customHeight="1" thickBot="1" x14ac:dyDescent="0.35">
      <c r="A24" s="2" t="s">
        <v>72</v>
      </c>
    </row>
    <row r="25" spans="1:1" ht="20.100000000000001" customHeight="1" thickBot="1" x14ac:dyDescent="0.35">
      <c r="A25" s="2" t="s">
        <v>85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73</v>
      </c>
    </row>
    <row r="28" spans="1:1" ht="20.100000000000001" customHeight="1" thickBot="1" x14ac:dyDescent="0.35">
      <c r="A28" s="2" t="s">
        <v>74</v>
      </c>
    </row>
    <row r="29" spans="1:1" ht="20.100000000000001" customHeight="1" thickBot="1" x14ac:dyDescent="0.35">
      <c r="A29" s="2" t="s">
        <v>75</v>
      </c>
    </row>
    <row r="30" spans="1:1" ht="20.100000000000001" customHeight="1" thickBot="1" x14ac:dyDescent="0.35">
      <c r="A30" s="2" t="s">
        <v>86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76</v>
      </c>
    </row>
    <row r="33" spans="1:1" ht="20.100000000000001" customHeight="1" thickBot="1" x14ac:dyDescent="0.35">
      <c r="A33" s="2" t="s">
        <v>77</v>
      </c>
    </row>
    <row r="34" spans="1:1" ht="20.100000000000001" customHeight="1" thickBot="1" x14ac:dyDescent="0.35">
      <c r="A34" s="2" t="s">
        <v>78</v>
      </c>
    </row>
    <row r="35" spans="1:1" ht="20.100000000000001" customHeight="1" thickBot="1" x14ac:dyDescent="0.35">
      <c r="A35" s="2" t="s">
        <v>87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79</v>
      </c>
    </row>
    <row r="39" spans="1:1" ht="20.100000000000001" customHeight="1" thickBot="1" x14ac:dyDescent="0.35">
      <c r="A39" s="2" t="s">
        <v>80</v>
      </c>
    </row>
    <row r="40" spans="1:1" ht="20.100000000000001" customHeight="1" thickBot="1" x14ac:dyDescent="0.35">
      <c r="A40" s="2" t="s">
        <v>81</v>
      </c>
    </row>
    <row r="41" spans="1:1" ht="20.100000000000001" customHeight="1" thickBot="1" x14ac:dyDescent="0.35">
      <c r="A41" s="2" t="s">
        <v>88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89</v>
      </c>
    </row>
    <row r="44" spans="1:1" ht="20.100000000000001" customHeight="1" thickBot="1" x14ac:dyDescent="0.35">
      <c r="A44" s="2" t="s">
        <v>90</v>
      </c>
    </row>
    <row r="45" spans="1:1" ht="20.100000000000001" customHeight="1" thickBot="1" x14ac:dyDescent="0.35">
      <c r="A45" s="2" t="s">
        <v>91</v>
      </c>
    </row>
    <row r="46" spans="1:1" ht="20.100000000000001" customHeight="1" thickBot="1" x14ac:dyDescent="0.35">
      <c r="A46" s="2" t="s">
        <v>92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93</v>
      </c>
    </row>
    <row r="49" spans="1:1" ht="20.100000000000001" customHeight="1" thickBot="1" x14ac:dyDescent="0.35">
      <c r="A49" s="2" t="s">
        <v>94</v>
      </c>
    </row>
    <row r="50" spans="1:1" ht="20.100000000000001" customHeight="1" thickBot="1" x14ac:dyDescent="0.35">
      <c r="A50" s="2" t="s">
        <v>95</v>
      </c>
    </row>
    <row r="51" spans="1:1" ht="20.100000000000001" customHeight="1" thickBot="1" x14ac:dyDescent="0.35">
      <c r="A51" s="2" t="s">
        <v>96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20"/>
    </row>
    <row r="72" spans="1:8" s="19" customFormat="1" ht="20.100000000000001" customHeight="1" x14ac:dyDescent="0.3">
      <c r="A72" s="17"/>
      <c r="B72" s="18"/>
      <c r="C72" s="18"/>
      <c r="D72" s="18"/>
      <c r="E72" s="18"/>
      <c r="F72" s="18"/>
      <c r="G72" s="18"/>
      <c r="H72" s="18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5">
        <v>45931</v>
      </c>
    </row>
    <row r="76" spans="1:8" ht="20.100000000000001" customHeight="1" thickBot="1" x14ac:dyDescent="0.35">
      <c r="A76" s="15">
        <v>45932</v>
      </c>
    </row>
    <row r="77" spans="1:8" ht="20.100000000000001" customHeight="1" thickBot="1" x14ac:dyDescent="0.35">
      <c r="A77" s="15">
        <v>45933</v>
      </c>
    </row>
    <row r="78" spans="1:8" ht="20.100000000000001" customHeight="1" thickBot="1" x14ac:dyDescent="0.35">
      <c r="A78" s="15">
        <v>45934</v>
      </c>
    </row>
    <row r="79" spans="1:8" ht="20.100000000000001" customHeight="1" thickBot="1" x14ac:dyDescent="0.35">
      <c r="A79" s="15">
        <v>45935</v>
      </c>
    </row>
    <row r="80" spans="1:8" ht="20.100000000000001" customHeight="1" thickBot="1" x14ac:dyDescent="0.35">
      <c r="A80" s="15">
        <v>45936</v>
      </c>
    </row>
    <row r="81" spans="1:1" ht="20.100000000000001" customHeight="1" thickBot="1" x14ac:dyDescent="0.35">
      <c r="A81" s="15">
        <v>45937</v>
      </c>
    </row>
    <row r="82" spans="1:1" ht="20.100000000000001" customHeight="1" thickBot="1" x14ac:dyDescent="0.35">
      <c r="A82" s="15">
        <v>45938</v>
      </c>
    </row>
    <row r="83" spans="1:1" ht="20.100000000000001" customHeight="1" thickBot="1" x14ac:dyDescent="0.35">
      <c r="A83" s="15">
        <v>45939</v>
      </c>
    </row>
    <row r="84" spans="1:1" ht="20.100000000000001" customHeight="1" thickBot="1" x14ac:dyDescent="0.35">
      <c r="A84" s="15">
        <v>45940</v>
      </c>
    </row>
    <row r="85" spans="1:1" ht="20.100000000000001" customHeight="1" thickBot="1" x14ac:dyDescent="0.35">
      <c r="A85" s="15">
        <v>45941</v>
      </c>
    </row>
    <row r="86" spans="1:1" ht="20.100000000000001" customHeight="1" thickBot="1" x14ac:dyDescent="0.35">
      <c r="A86" s="15">
        <v>45942</v>
      </c>
    </row>
    <row r="87" spans="1:1" ht="20.100000000000001" customHeight="1" thickBot="1" x14ac:dyDescent="0.35">
      <c r="A87" s="15">
        <v>45943</v>
      </c>
    </row>
    <row r="88" spans="1:1" ht="20.100000000000001" customHeight="1" thickBot="1" x14ac:dyDescent="0.35">
      <c r="A88" s="15">
        <v>45944</v>
      </c>
    </row>
    <row r="89" spans="1:1" ht="20.100000000000001" customHeight="1" thickBot="1" x14ac:dyDescent="0.35">
      <c r="A89" s="15">
        <v>45945</v>
      </c>
    </row>
    <row r="90" spans="1:1" ht="20.100000000000001" customHeight="1" thickBot="1" x14ac:dyDescent="0.35">
      <c r="A90" s="15">
        <v>45946</v>
      </c>
    </row>
    <row r="91" spans="1:1" ht="20.100000000000001" customHeight="1" thickBot="1" x14ac:dyDescent="0.35">
      <c r="A91" s="15">
        <v>45947</v>
      </c>
    </row>
    <row r="92" spans="1:1" ht="20.100000000000001" customHeight="1" thickBot="1" x14ac:dyDescent="0.35">
      <c r="A92" s="15">
        <v>45948</v>
      </c>
    </row>
    <row r="93" spans="1:1" ht="20.100000000000001" customHeight="1" thickBot="1" x14ac:dyDescent="0.35">
      <c r="A93" s="15">
        <v>45949</v>
      </c>
    </row>
    <row r="94" spans="1:1" ht="20.100000000000001" customHeight="1" thickBot="1" x14ac:dyDescent="0.35">
      <c r="A94" s="15">
        <v>45950</v>
      </c>
    </row>
    <row r="95" spans="1:1" ht="20.100000000000001" customHeight="1" thickBot="1" x14ac:dyDescent="0.35">
      <c r="A95" s="15">
        <v>45951</v>
      </c>
    </row>
    <row r="96" spans="1:1" ht="20.100000000000001" customHeight="1" thickBot="1" x14ac:dyDescent="0.35">
      <c r="A96" s="15">
        <v>45952</v>
      </c>
    </row>
    <row r="97" spans="1:8" ht="20.100000000000001" customHeight="1" thickBot="1" x14ac:dyDescent="0.35">
      <c r="A97" s="15">
        <v>45953</v>
      </c>
    </row>
    <row r="98" spans="1:8" ht="20.100000000000001" customHeight="1" thickBot="1" x14ac:dyDescent="0.35">
      <c r="A98" s="15">
        <v>45954</v>
      </c>
    </row>
    <row r="99" spans="1:8" ht="20.100000000000001" customHeight="1" thickBot="1" x14ac:dyDescent="0.35">
      <c r="A99" s="15">
        <v>45955</v>
      </c>
    </row>
    <row r="100" spans="1:8" ht="20.100000000000001" customHeight="1" thickBot="1" x14ac:dyDescent="0.35">
      <c r="A100" s="15">
        <v>45956</v>
      </c>
    </row>
    <row r="101" spans="1:8" ht="20.100000000000001" customHeight="1" thickBot="1" x14ac:dyDescent="0.35">
      <c r="A101" s="15">
        <v>45957</v>
      </c>
    </row>
    <row r="102" spans="1:8" ht="20.100000000000001" customHeight="1" thickBot="1" x14ac:dyDescent="0.35">
      <c r="A102" s="15">
        <v>45958</v>
      </c>
    </row>
    <row r="103" spans="1:8" ht="20.100000000000001" customHeight="1" thickBot="1" x14ac:dyDescent="0.35">
      <c r="A103" s="15">
        <v>45959</v>
      </c>
    </row>
    <row r="104" spans="1:8" ht="20.100000000000001" customHeight="1" thickBot="1" x14ac:dyDescent="0.35">
      <c r="A104" s="15">
        <v>45960</v>
      </c>
    </row>
    <row r="105" spans="1:8" ht="20.100000000000001" customHeight="1" thickBot="1" x14ac:dyDescent="0.35">
      <c r="A105" s="15">
        <v>45961</v>
      </c>
    </row>
    <row r="106" spans="1:8" ht="20.100000000000001" customHeight="1" x14ac:dyDescent="0.3">
      <c r="A106" s="16"/>
    </row>
    <row r="107" spans="1:8" ht="20.100000000000001" customHeight="1" x14ac:dyDescent="0.3">
      <c r="A107" s="16"/>
    </row>
    <row r="108" spans="1:8" s="19" customFormat="1" ht="20.100000000000001" customHeight="1" x14ac:dyDescent="0.3">
      <c r="A108" s="17"/>
      <c r="B108" s="18"/>
      <c r="C108" s="18"/>
      <c r="D108" s="18"/>
      <c r="E108" s="18"/>
      <c r="F108" s="18"/>
      <c r="G108" s="18"/>
      <c r="H108" s="18"/>
    </row>
    <row r="109" spans="1:8" ht="20.100000000000001" customHeight="1" thickBot="1" x14ac:dyDescent="0.35"/>
    <row r="110" spans="1:8" ht="20.100000000000001" customHeight="1" thickBot="1" x14ac:dyDescent="0.35">
      <c r="A110" s="2" t="s">
        <v>59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2025-10-07T20:36:27Z</dcterms:modified>
</cp:coreProperties>
</file>