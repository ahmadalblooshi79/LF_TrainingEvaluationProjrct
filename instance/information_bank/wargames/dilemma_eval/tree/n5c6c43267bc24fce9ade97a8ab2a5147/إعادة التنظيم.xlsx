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EFA97E5-8E72-4527-94EA-4CF351D73F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8" i="2"/>
  <c r="H8" i="2"/>
  <c r="F26" i="2"/>
  <c r="E26" i="2"/>
  <c r="E27" i="2"/>
  <c r="E28" i="2"/>
</calcChain>
</file>

<file path=xl/sharedStrings.xml><?xml version="1.0" encoding="utf-8"?>
<sst xmlns="http://schemas.openxmlformats.org/spreadsheetml/2006/main" count="256" uniqueCount="199">
  <si>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</si>
  <si>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</si>
  <si>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</si>
  <si>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</si>
  <si>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</si>
  <si>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</si>
  <si>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</si>
  <si>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</si>
  <si>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</si>
  <si>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</si>
  <si>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</si>
  <si>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</si>
  <si>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</si>
  <si>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</si>
  <si>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</si>
  <si>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</si>
  <si>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</si>
  <si>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</si>
  <si>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</si>
  <si>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</si>
  <si>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</si>
  <si>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</si>
  <si>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</si>
  <si>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</si>
  <si>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</si>
  <si>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</si>
  <si>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</si>
  <si>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</si>
  <si>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</si>
  <si>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</si>
  <si>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</si>
  <si>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</si>
  <si>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</si>
  <si>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</si>
  <si>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</si>
  <si>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</si>
  <si>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</si>
  <si>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</si>
  <si>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</si>
  <si>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</si>
  <si>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</si>
  <si>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</si>
  <si>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</si>
  <si>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</si>
  <si>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</si>
  <si>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</si>
  <si>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</si>
  <si>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</si>
  <si>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</si>
  <si>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</si>
  <si>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</si>
  <si>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</si>
  <si>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</si>
  <si>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</si>
  <si>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</si>
  <si>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</si>
  <si>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</si>
  <si>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</si>
  <si>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</si>
  <si>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</si>
  <si>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</si>
  <si>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</si>
  <si>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</si>
  <si>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</si>
  <si>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</si>
  <si>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</si>
  <si>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</si>
  <si>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</si>
  <si>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</si>
  <si>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</si>
  <si>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</si>
  <si>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</si>
  <si>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</si>
  <si>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</si>
  <si>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</si>
  <si>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</si>
  <si>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</si>
  <si>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</si>
  <si>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</si>
  <si>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</si>
  <si>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</si>
  <si>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</si>
  <si>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</si>
  <si>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</si>
  <si>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</si>
  <si>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</si>
  <si>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</si>
  <si>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</si>
  <si>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</si>
  <si>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</si>
  <si>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</si>
  <si>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</si>
  <si>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</si>
  <si>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</si>
  <si>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</si>
  <si>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</si>
  <si>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</si>
  <si>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</si>
  <si>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</si>
  <si>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</si>
  <si>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</si>
  <si>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</si>
  <si>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</si>
  <si>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</si>
  <si>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</si>
  <si>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</si>
  <si>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</si>
  <si>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</si>
  <si>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</si>
  <si>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</si>
  <si>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</si>
  <si>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</si>
  <si>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</si>
  <si>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</si>
  <si>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</si>
  <si>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</si>
  <si>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</si>
  <si>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</si>
  <si>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</si>
  <si>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</si>
  <si>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</si>
  <si>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</si>
  <si>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</si>
  <si>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</si>
  <si>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</si>
  <si>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</si>
  <si>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</si>
  <si>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</si>
  <si>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</si>
  <si>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</si>
  <si>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</si>
  <si>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</si>
  <si>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</si>
  <si>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</si>
  <si>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</si>
  <si>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</si>
  <si>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</si>
  <si>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</si>
  <si>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</si>
  <si>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</si>
  <si>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</si>
  <si>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</si>
  <si>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</si>
  <si>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</si>
  <si>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</si>
  <si>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</si>
  <si>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</si>
  <si>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</si>
  <si>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</si>
  <si>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</si>
  <si>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</si>
  <si>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</si>
  <si>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</si>
  <si>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</si>
  <si>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</si>
  <si>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</si>
  <si>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</si>
  <si>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</si>
  <si>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</si>
  <si>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</si>
  <si>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</si>
  <si>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</si>
  <si>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</si>
  <si>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</si>
  <si>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</si>
  <si>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</si>
  <si>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</si>
  <si>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</si>
  <si>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</si>
  <si>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</si>
  <si>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</si>
  <si>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</si>
  <si>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</si>
  <si>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</si>
  <si>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</si>
  <si>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</si>
  <si>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</si>
  <si>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</si>
  <si>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</si>
  <si>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</si>
  <si>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الاستطلاع في إعادة التزويد أثناء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</si>
  <si>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إلمام قائد السرية بالموقف عن طريق المعلومات التي تم جمعها من خلال الاتصالات اللاسلكية، الخرائط، تقارير الموقف و/أو أية مصادر معلومات أخرى متوفرة.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</si>
  <si>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تأكد قائد السرية من موقف القوات الصديقة والمعادية وكما يلي:</t>
    </r>
  </si>
  <si>
    <t xml:space="preserve">أ. الحصول على التقارير والمعلومات المحدثَة التي تبين مواقع القوات الأمامية والجانبية (المجاورة) من قبل عناصر الاستطلاع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</si>
  <si>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</si>
  <si>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قيام قائد السرية بتوزيع المعلومات الضرورية لجميع الفصائل لاطلاعهم على آخر مستجدات الموقف.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</si>
  <si>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تركيز أو إعادة تركيز نقاط المراقبة في الأمام لتوفير الحماية.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</si>
  <si>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يقظة وجاهزية جميع الأفراد للتعامل مع أي هجوم محتمل.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</si>
  <si>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تفادي اشتباك السرية مع قوات خارج امكانياتها.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</si>
  <si>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السرية ونقاط المراقبة.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</si>
  <si>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أرسال التقارير من قبل قادة الفصائل لقائد السرية حول الذخيرة، الإصابات والمعدات.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</si>
  <si>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والارزاق والوقود من قبل نائب قائد السرية ووكيل السرية.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</si>
  <si>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إشراف القادة على إعادة توزيع الذخيرة.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</si>
  <si>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أرسال تقرير مفصل لركن استخبارات مجموعة اللواء من قبل قائد السرية يتضمن التالي:</t>
    </r>
  </si>
  <si>
    <t>أ. مواقع وحدات السرية.</t>
  </si>
  <si>
    <t>ب. الموقف الإداري للسرية شاملاً (الخسائر في الأفراد والمعدات والذخيرة والوقود).</t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</si>
  <si>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التعامل مع الإصابات وإخلاء الجرحى والشهداء حسب الإجراءات المتبعة.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</si>
  <si>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طلب استعواض خسائر القوى البشرية بأسرع ما يمكن.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</si>
  <si>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اخلاء الآليات والمعدات المعطلة حسب الإجراءات المتبعة.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</si>
</sst>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303602</xdr:colOff>
      <xdr:row>28</xdr:row>
      <xdr:rowOff>532408</xdr:rowOff>
    </xdr:from>
    <xdr:to>
      <xdr:col>8</xdr:col>
      <xdr:colOff>244180</xdr:colOff>
      <xdr:row>29</xdr:row>
      <xdr:rowOff>551608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A4A9257-A23A-5B49-F754-87827231A5DB}"/>
                </a:ext>
              </a:extLst>
            </xdr14:cNvPr>
            <xdr14:cNvContentPartPr/>
          </xdr14:nvContentPartPr>
          <xdr14:nvPr macro=""/>
          <xdr14:xfrm>
            <a:off x="10436807476" y="14165280"/>
            <a:ext cx="1256760" cy="552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A4A9257-A23A-5B49-F754-87827231A5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798476" y="14156640"/>
              <a:ext cx="1274400" cy="57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213590</xdr:colOff>
      <xdr:row>29</xdr:row>
      <xdr:rowOff>434608</xdr:rowOff>
    </xdr:from>
    <xdr:to>
      <xdr:col>7</xdr:col>
      <xdr:colOff>236630</xdr:colOff>
      <xdr:row>29</xdr:row>
      <xdr:rowOff>437488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062D147-D87C-8F5D-489B-8CDCCF88FC80}"/>
                </a:ext>
              </a:extLst>
            </xdr14:cNvPr>
            <xdr14:cNvContentPartPr/>
          </xdr14:nvContentPartPr>
          <xdr14:nvPr macro=""/>
          <xdr14:xfrm>
            <a:off x="10437473116" y="14600880"/>
            <a:ext cx="23040" cy="2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062D147-D87C-8F5D-489B-8CDCCF88FC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7464476" y="14591880"/>
              <a:ext cx="40680" cy="2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8:03:02.4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3179 1 8417,'0'0'0,"-34"0"288,-4 0-376,38 0 88,-37 5-168,1 10 32,32-15 56,-10 14 112,14-14-32,-7 5 80,-10 14 40,4 0 64,-2 1-8,15-20-176,-7 22 288,-9 4-72,14-4-39,-1 2-17,3-24-160,-7 22 40,7 0-24,0 2 24,0 0-16,0-24-24,5 24-48,14 2 24,-3-1-64,1 1 0,-17-26 88,16 25-96,2-3-57,1-3-23,2-3-168,-21-16 344,28 13-240,0-8-96,1 0-16,1 1 24,-30-6 328,28 3-408,0-3 40,-1 0 32,-4-5 64,-23 5 272,24-5-176,0-9 80,-11 9 64,1-9 56,-6 9-16,-8 5-8,11-7 192,-7 1 104,1 0 280,-5 1 248,0 5-824,0-1 1032,0-1 89,-2 0-57,-3 1-136,5 1-928,-5 0 664,-11 0-184,12 0-216,-15 0-120,19 0-144,-19 0 24,-2 3-80,-2 2-16,-1 12-72,24-17 144,-25 14-168,-10 5 0,0 3 40,0 3-16,35-25 144,-34 28-136,2-1 64,2 0 8,30-27 64,-28 27-24,-5 4-32,1 0-80,2 3-208,-1 2-8,31-36 352,-28 37-536,1 0 0,-1 1 0,0-4-137,28-34 673,-26 32-680,-2-1 32,0-4 192,9-5 200,19-22 256,-20 17-40,3-11 200,3 7-24,-5-13 56,19 0-192,-18 0 192,1 4-120,-3-4 96,0 0-40,20 0-128,-20 0 200,1-4 136,0 1 32,-2-2 105,21 5-473,-20-4 440,1-1-112,-4 2-40,3-2 48,20 5-336,-18-5 200,-3 1-48,2 2 8,-4-1-128,23 3-32,-21-2 48,0-1 24,0 1-48,4-1-56,17 3 32,-20-4 16,1 1-40,0 0 32,3-3-56,16 6 48,-7-13-80,-9 8-56,12-11-96,-11 3-48,15 13 280,-5-16-376,0-4-56,4-4 24,1-7 39,0 31 369,0-41-312,0-3 40,4-8 16,13-1 48,-17 53 208,13-55-224,4 1 24,4 3-24,-2-6 56,-19 57 168,23-54-128,-5 2 88,-1 5 32,1 4-32,-18 43 40,19-36 24,0 6-16,-1 2-8,4 3 32,-22 25-32,13-21-24,1 1 32,-9 4 64,11 3-96,-16 13 24,5-5 56,14-9-40,-17 12 32,2-1 88,-4 3-136,3-2 96,-3 2 56,0 0-56,0 0 16,0 0-112,0 4 176,0-1 8,-3 11 8,3-9-32,0-5-160,-4 22 136,-12 2-96,9 5-16,-12 3-8,19-32-16,-21 34-16,0 0-24,-4 2 56,1 2 8,24-38-24,-30 41-40,0 0-16,0-2-32,-3-2-64,33-37 152,-35 36-104,5-2 32,-5-3 0,4-2 56,31-29 16,-32 26 16,-3-2-48,4-1-48,-1 0-80,32-23 160,-31 22-208,-1-2-32,4 1-40,-3-2 24,31-19 256,-26 19-256,3 0 56,-2-2 72,-1 0 48,26-17 80,-24 15-64,1-1-16,5 0-24,-4-1 8,22-13 96,-21 14-136,-2 0 40,-1-1 16,-1-8 48,25-5 32,-26 19 72,11-14 24,-5 9 48,5-11 16,15-3-160,-17 6 144,-4 9-24,4-12-8,1 2-48,16-5-64,-16 6 56,4-1-8,-4-2 8,0 2 0,16-5-56,-19 4 16,0-1-48,-1 0-88,-2 1-8,22-4 128,-23 3-120,-2-3 72,-1 0 40,2 0 48,24 0-40,-23 0 40,0-3-40,1-11 32,6 1-32,16 13 0,-14-14-32,-2-1-48,11-1-152,-9-1-136,14 17 368,-4-20-400,-1-4 32,0-7 63,3-3 33,2 34 272,0-39-216,2-4 16,14-4 8,-8 3 72,-8 44 120,21-43-120,-3 4 40,-2 3-24,4 0-56,-20 36 160,23-34-256,-3 0-16,4-4 16,4 3 80,-28 35 176,26-38-104,-1 2 32,-1 5 48,4 4 24,-28 27 0,21-22 24,-3 5 48,1 3 64,-14 11 40,-5 3-176,16-5 216,-11 3-32,-1 0-16,1 2-40,-5 0-128,5 0 120,-1 4 72,1 9 56,-3-7 40,-2-6-288,0 20 304,0 0-48,-2 6-79,-3 3-41,5-29-136,-18 36 104,2 7-16,-4-1-24,0 3 0,20-45-64,-24 42 32,-4-1 16,2 0-16,-1-2-56,27-39 24,-31 40-48,1-3-88,-5-1-16,-3 2 24,38-38 128,-37 38-113,-4 3 1,-4-2 8,-4 0-40,49-39 144,-51 38-136,0-1-56,-1 1 0,-4-1-8,56-37 200,-56 35-192,-2-3 80,2-3-48,0-2-8,56-27 168,-56 28-248,3-5 16,1-2 104,8-4 104,44-17 24,-42 14 144,4-9 64,6 12 0,6-12 24,26-5-232,-21 15 112,2-11-24,14 1-32,-8 0-48,13-5-8,-2 3-40,-1 1-120,3-4-192,0 0-40,0 0 392,5 0-352,0 0 136,13 0 160,-1 0 56,-17 0 0,18-2 48,8-5 72,1-8 24,6 1 0,-33 14-144,40-17 168,2-2-48,2-3-24,3-2 40,-47 24-136,51-27 104,1 0-32,1-4-56,1 0-8,-54 31-8,51-36 24,5-3-8,0-3 56,0-4-8,-56 46-64,59-52 56,1-6 8,-2-3 8,3-5-48,-61 66-24,63-63 48,-5 0-32,3 3 0,-7 1-16,-54 59 0,51-58 24,-4 0 16,-3 5-16,-4 3 8,-40 50-32,37-42 16,-4 6-48,-8 2 32,-2 6 24,-23 28-24,19-22 24,-14 5 48,11 10 56,-16 0 56,0 7-184,0-3 400,0 1 297,0 2 143,0 0 40,0 0-880,-2 4 672,-5-1-392,-9 11-272,8-9-96,8-5 88,-23 22-144,2-1 32,-2 6 32,-3 5 16,26-32 64,-20 36-16,-7 5 32,6 5 80,-2 4 48,23-50-144,-21 49 144,3 2 48,2 2-16,4 5 16,12-58-192,-15 63 184,10 4-96,2 9-32,-2 2-88,5-78 32,-5 82-72,5 2 16,0-1-24,16-3-104,-16-80 184,17 77-376,-1-9-376,8-3-248,-1-8-280,-23-57 1280,27 52-3585,-27-52 3585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8:03:02.8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 0 15011,'0'0'0,"-21"0"-112,21 0 112,-20 0-760,4 4-1001,11-1-1023,5-3 351,0 0 2433,17 0-2280,2-2-1593,-19 2 3873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topLeftCell="B22" zoomScale="130" zoomScaleNormal="100" zoomScaleSheetLayoutView="130" workbookViewId="0">
      <selection activeCell="G30" sqref="G30:J3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180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2" t="s">
        <v>8</v>
      </c>
      <c r="C2" s="68" t="s">
        <v>10</v>
      </c>
      <c r="D2" s="68"/>
      <c r="E2" s="12" t="s">
        <v>7</v>
      </c>
      <c r="F2" s="63" t="s">
        <v>56</v>
      </c>
      <c r="G2" s="63"/>
      <c r="H2" s="63"/>
      <c r="I2" s="63"/>
      <c r="J2" s="63"/>
    </row>
    <row r="3" spans="1:10" ht="30" customHeight="1" x14ac:dyDescent="0.3">
      <c r="B3" s="12" t="s">
        <v>9</v>
      </c>
      <c r="C3" s="68" t="s">
        <v>65</v>
      </c>
      <c r="D3" s="68"/>
      <c r="E3" s="12" t="s">
        <v>6</v>
      </c>
      <c r="F3" s="68" t="s">
        <v>113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4" t="s">
        <v>0</v>
      </c>
      <c r="C5" s="65"/>
      <c r="D5" s="65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10"/>
      <c r="B6" s="66"/>
      <c r="C6" s="67"/>
      <c r="D6" s="67"/>
      <c r="E6" s="11" t="s">
        <v>3</v>
      </c>
      <c r="F6" s="11" t="s">
        <v>4</v>
      </c>
      <c r="G6" s="11" t="s">
        <v>23</v>
      </c>
      <c r="H6" s="11" t="s">
        <v>24</v>
      </c>
      <c r="I6" s="58"/>
      <c r="J6" s="59"/>
    </row>
    <row r="7" spans="1:10" ht="24.9" customHeight="1" thickBot="1" x14ac:dyDescent="0.35">
      <c r="A7" s="10"/>
      <c r="B7" s="54" t="s">
        <v>21</v>
      </c>
      <c r="C7" s="55"/>
      <c r="D7" s="55"/>
      <c r="E7" s="28" t="s">
        <v>18</v>
      </c>
      <c r="F7" s="28" t="s">
        <v>19</v>
      </c>
      <c r="G7" s="28" t="s">
        <v>22</v>
      </c>
      <c r="H7" s="28" t="s">
        <v>20</v>
      </c>
      <c r="I7" s="60" t="s">
        <v>25</v>
      </c>
      <c r="J7" s="61"/>
    </row>
    <row r="8" spans="1:10" ht="58.5" customHeight="1" x14ac:dyDescent="0.3">
      <c r="A8" s="10"/>
      <c r="B8" s="80" t="s">
        <v>181</v>
      </c>
      <c r="C8" s="81"/>
      <c r="D8" s="81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6"/>
      <c r="J8" s="47"/>
    </row>
    <row r="9" spans="1:10" ht="39.9" customHeight="1" x14ac:dyDescent="0.3">
      <c r="A9" s="10"/>
      <c r="B9" s="82" t="s">
        <v>182</v>
      </c>
      <c r="C9" s="83"/>
      <c r="D9" s="83"/>
      <c r="E9" s="9"/>
      <c r="F9" s="26"/>
      <c r="G9" s="30"/>
      <c r="H9" s="31"/>
      <c r="I9" s="52"/>
      <c r="J9" s="53"/>
    </row>
    <row r="10" spans="1:10" ht="58.5" customHeight="1" x14ac:dyDescent="0.3">
      <c r="A10" s="10"/>
      <c r="B10" s="84" t="s">
        <v>183</v>
      </c>
      <c r="C10" s="85"/>
      <c r="D10" s="85"/>
      <c r="E10" s="9">
        <v>5</v>
      </c>
      <c r="F10" s="26">
        <v>3.75</v>
      </c>
      <c r="G10" s="30">
        <f t="shared" ref="G10:G25" si="0">IFERROR(F10/E10,"")</f>
        <v>0.75</v>
      </c>
      <c r="H10" s="31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57.75" customHeight="1" x14ac:dyDescent="0.3">
      <c r="A11" s="10"/>
      <c r="B11" s="84" t="s">
        <v>184</v>
      </c>
      <c r="C11" s="85"/>
      <c r="D11" s="85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52"/>
      <c r="J11" s="53"/>
    </row>
    <row r="12" spans="1:10" ht="39.9" customHeight="1" x14ac:dyDescent="0.3">
      <c r="A12" s="10"/>
      <c r="B12" s="82" t="s">
        <v>185</v>
      </c>
      <c r="C12" s="83"/>
      <c r="D12" s="83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52"/>
      <c r="J12" s="53"/>
    </row>
    <row r="13" spans="1:10" ht="39.9" customHeight="1" x14ac:dyDescent="0.3">
      <c r="A13" s="10"/>
      <c r="B13" s="82" t="s">
        <v>186</v>
      </c>
      <c r="C13" s="83"/>
      <c r="D13" s="83"/>
      <c r="E13" s="9">
        <v>5</v>
      </c>
      <c r="F13" s="39">
        <v>3.75</v>
      </c>
      <c r="G13" s="30">
        <f t="shared" si="0"/>
        <v>0.75</v>
      </c>
      <c r="H13" s="31" t="str">
        <f t="shared" si="1"/>
        <v>جيد</v>
      </c>
      <c r="I13" s="52"/>
      <c r="J13" s="53"/>
    </row>
    <row r="14" spans="1:10" ht="39.9" customHeight="1" x14ac:dyDescent="0.3">
      <c r="A14" s="10"/>
      <c r="B14" s="82" t="s">
        <v>187</v>
      </c>
      <c r="C14" s="83"/>
      <c r="D14" s="83"/>
      <c r="E14" s="9">
        <v>5</v>
      </c>
      <c r="F14" s="39">
        <v>3.75</v>
      </c>
      <c r="G14" s="30">
        <f t="shared" si="0"/>
        <v>0.75</v>
      </c>
      <c r="H14" s="31" t="str">
        <f t="shared" si="1"/>
        <v>جيد</v>
      </c>
      <c r="I14" s="52"/>
      <c r="J14" s="53"/>
    </row>
    <row r="15" spans="1:10" ht="39.9" customHeight="1" x14ac:dyDescent="0.3">
      <c r="A15" s="10"/>
      <c r="B15" s="82" t="s">
        <v>188</v>
      </c>
      <c r="C15" s="83"/>
      <c r="D15" s="83"/>
      <c r="E15" s="9">
        <v>5</v>
      </c>
      <c r="F15" s="39">
        <v>4.25</v>
      </c>
      <c r="G15" s="30">
        <f t="shared" si="0"/>
        <v>0.85</v>
      </c>
      <c r="H15" s="31" t="str">
        <f t="shared" si="1"/>
        <v>جيد جداً</v>
      </c>
      <c r="I15" s="52"/>
      <c r="J15" s="53"/>
    </row>
    <row r="16" spans="1:10" ht="39.9" customHeight="1" x14ac:dyDescent="0.3">
      <c r="A16" s="10"/>
      <c r="B16" s="82" t="s">
        <v>189</v>
      </c>
      <c r="C16" s="83"/>
      <c r="D16" s="83"/>
      <c r="E16" s="9">
        <v>5</v>
      </c>
      <c r="F16" s="39">
        <v>3.75</v>
      </c>
      <c r="G16" s="30">
        <f t="shared" si="0"/>
        <v>0.75</v>
      </c>
      <c r="H16" s="31" t="str">
        <f t="shared" si="1"/>
        <v>جيد</v>
      </c>
      <c r="I16" s="52"/>
      <c r="J16" s="53"/>
    </row>
    <row r="17" spans="1:10" ht="39.9" customHeight="1" x14ac:dyDescent="0.3">
      <c r="A17" s="10"/>
      <c r="B17" s="82" t="s">
        <v>190</v>
      </c>
      <c r="C17" s="83"/>
      <c r="D17" s="83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52"/>
      <c r="J17" s="53"/>
    </row>
    <row r="18" spans="1:10" ht="39.9" customHeight="1" x14ac:dyDescent="0.3">
      <c r="A18" s="10"/>
      <c r="B18" s="82" t="s">
        <v>191</v>
      </c>
      <c r="C18" s="83"/>
      <c r="D18" s="83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52"/>
      <c r="J18" s="53"/>
    </row>
    <row r="19" spans="1:10" ht="39.9" customHeight="1" x14ac:dyDescent="0.3">
      <c r="A19" s="10"/>
      <c r="B19" s="82" t="s">
        <v>192</v>
      </c>
      <c r="C19" s="83"/>
      <c r="D19" s="83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52"/>
      <c r="J19" s="53"/>
    </row>
    <row r="20" spans="1:10" ht="39.9" customHeight="1" x14ac:dyDescent="0.3">
      <c r="A20" s="10"/>
      <c r="B20" s="82" t="s">
        <v>193</v>
      </c>
      <c r="C20" s="83"/>
      <c r="D20" s="83"/>
      <c r="E20" s="9"/>
      <c r="F20" s="26"/>
      <c r="G20" s="30"/>
      <c r="H20" s="31"/>
      <c r="I20" s="52"/>
      <c r="J20" s="53"/>
    </row>
    <row r="21" spans="1:10" ht="39.9" customHeight="1" x14ac:dyDescent="0.3">
      <c r="A21" s="10"/>
      <c r="B21" s="84" t="s">
        <v>194</v>
      </c>
      <c r="C21" s="85"/>
      <c r="D21" s="85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52"/>
      <c r="J21" s="53"/>
    </row>
    <row r="22" spans="1:10" ht="39.9" customHeight="1" x14ac:dyDescent="0.3">
      <c r="A22" s="10"/>
      <c r="B22" s="84" t="s">
        <v>195</v>
      </c>
      <c r="C22" s="85"/>
      <c r="D22" s="85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52"/>
      <c r="J22" s="53"/>
    </row>
    <row r="23" spans="1:10" ht="39.9" customHeight="1" x14ac:dyDescent="0.3">
      <c r="A23" s="10"/>
      <c r="B23" s="82" t="s">
        <v>196</v>
      </c>
      <c r="C23" s="83"/>
      <c r="D23" s="83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2"/>
      <c r="J23" s="53"/>
    </row>
    <row r="24" spans="1:10" ht="39.9" customHeight="1" x14ac:dyDescent="0.3">
      <c r="A24" s="10"/>
      <c r="B24" s="82" t="s">
        <v>197</v>
      </c>
      <c r="C24" s="83"/>
      <c r="D24" s="83"/>
      <c r="E24" s="9">
        <v>5</v>
      </c>
      <c r="F24" s="26">
        <v>4.25</v>
      </c>
      <c r="G24" s="30">
        <f t="shared" si="0"/>
        <v>0.85</v>
      </c>
      <c r="H24" s="31" t="str">
        <f t="shared" si="1"/>
        <v>جيد جداً</v>
      </c>
      <c r="I24" s="52"/>
      <c r="J24" s="53"/>
    </row>
    <row r="25" spans="1:10" ht="39.9" customHeight="1" thickBot="1" x14ac:dyDescent="0.35">
      <c r="A25" s="10"/>
      <c r="B25" s="78" t="s">
        <v>198</v>
      </c>
      <c r="C25" s="79"/>
      <c r="D25" s="79"/>
      <c r="E25" s="36">
        <v>5</v>
      </c>
      <c r="F25" s="27">
        <v>3.75</v>
      </c>
      <c r="G25" s="37">
        <f t="shared" si="0"/>
        <v>0.75</v>
      </c>
      <c r="H25" s="38" t="str">
        <f t="shared" si="1"/>
        <v>جيد</v>
      </c>
      <c r="I25" s="74"/>
      <c r="J25" s="75"/>
    </row>
    <row r="26" spans="1:10" ht="30" customHeight="1" thickBot="1" x14ac:dyDescent="0.35">
      <c r="A26" s="4"/>
      <c r="B26" s="48" t="s">
        <v>5</v>
      </c>
      <c r="C26" s="49"/>
      <c r="D26" s="49"/>
      <c r="E26" s="29">
        <f>SUM(E8:E25)</f>
        <v>80</v>
      </c>
      <c r="F26" s="29">
        <f>SUM(F8:F25)</f>
        <v>61</v>
      </c>
      <c r="G26" s="71"/>
      <c r="H26" s="72"/>
      <c r="I26" s="72"/>
      <c r="J26" s="73"/>
    </row>
    <row r="27" spans="1:10" ht="30" customHeight="1" thickBot="1" x14ac:dyDescent="0.35">
      <c r="A27" s="4"/>
      <c r="B27" s="50" t="s">
        <v>54</v>
      </c>
      <c r="C27" s="51"/>
      <c r="D27" s="51"/>
      <c r="E27" s="76">
        <f>F26/E26/100*100</f>
        <v>0.76249999999999996</v>
      </c>
      <c r="F27" s="76"/>
      <c r="G27" s="76"/>
      <c r="H27" s="76"/>
      <c r="I27" s="76"/>
      <c r="J27" s="77"/>
    </row>
    <row r="28" spans="1:10" ht="30" customHeight="1" thickBot="1" x14ac:dyDescent="0.35">
      <c r="A28" s="4"/>
      <c r="B28" s="50" t="s">
        <v>55</v>
      </c>
      <c r="C28" s="51"/>
      <c r="D28" s="51"/>
      <c r="E28" s="44" t="str">
        <f>_xlfn.IFS(E27&gt;=90%,"ممتاز",E27&gt;=80%,"جيد جداً",E27&gt;=70%,"جيد",E27&gt;=60%,"مقبول",E27&lt;60%,"راسب")</f>
        <v>جيد</v>
      </c>
      <c r="F28" s="44"/>
      <c r="G28" s="44"/>
      <c r="H28" s="44"/>
      <c r="I28" s="44"/>
      <c r="J28" s="45"/>
    </row>
    <row r="29" spans="1:10" ht="42" customHeight="1" x14ac:dyDescent="0.3">
      <c r="B29" s="40" t="s">
        <v>174</v>
      </c>
      <c r="C29" s="40"/>
      <c r="D29" s="40"/>
      <c r="E29" s="69" t="s">
        <v>52</v>
      </c>
      <c r="F29" s="69"/>
      <c r="G29" s="42" t="s">
        <v>113</v>
      </c>
      <c r="H29" s="42"/>
      <c r="I29" s="42"/>
      <c r="J29" s="42"/>
    </row>
    <row r="30" spans="1:10" ht="51" customHeight="1" x14ac:dyDescent="0.3">
      <c r="A30" s="5"/>
      <c r="B30" s="41"/>
      <c r="C30" s="41"/>
      <c r="D30" s="41"/>
      <c r="E30" s="70" t="s">
        <v>53</v>
      </c>
      <c r="F30" s="70"/>
      <c r="G30" s="43"/>
      <c r="H30" s="43"/>
      <c r="I30" s="43"/>
      <c r="J30" s="4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7"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E29:F29"/>
    <mergeCell ref="E30:F30"/>
    <mergeCell ref="G26:J26"/>
    <mergeCell ref="I19:J19"/>
    <mergeCell ref="I20:J20"/>
    <mergeCell ref="I21:J21"/>
    <mergeCell ref="I22:J22"/>
    <mergeCell ref="I23:J23"/>
    <mergeCell ref="I24:J24"/>
    <mergeCell ref="I25:J25"/>
    <mergeCell ref="E27:J27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9:J9"/>
    <mergeCell ref="B29:D30"/>
    <mergeCell ref="G29:J29"/>
    <mergeCell ref="G30:J30"/>
    <mergeCell ref="E28:J28"/>
    <mergeCell ref="I8:J8"/>
    <mergeCell ref="B26:D26"/>
    <mergeCell ref="B27:D27"/>
    <mergeCell ref="B28:D28"/>
    <mergeCell ref="I11:J11"/>
    <mergeCell ref="I12:J12"/>
    <mergeCell ref="I13:J13"/>
    <mergeCell ref="I14:J14"/>
    <mergeCell ref="I15:J15"/>
    <mergeCell ref="I16:J16"/>
    <mergeCell ref="I17:J17"/>
    <mergeCell ref="I18:J1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8">
    <cfRule type="expression" dxfId="14" priority="57">
      <formula>$E28="راسب"</formula>
    </cfRule>
  </conditionalFormatting>
  <conditionalFormatting sqref="E28:J28">
    <cfRule type="expression" dxfId="13" priority="58">
      <formula>$E28="مقبول"</formula>
    </cfRule>
    <cfRule type="expression" dxfId="12" priority="59">
      <formula>$E28="جيد"</formula>
    </cfRule>
    <cfRule type="expression" dxfId="11" priority="60">
      <formula>$E28="جيد جداً"</formula>
    </cfRule>
    <cfRule type="expression" dxfId="10" priority="61">
      <formula>$E28="ممتاز"</formula>
    </cfRule>
  </conditionalFormatting>
  <conditionalFormatting sqref="F8:F2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9:J29">
    <cfRule type="containsText" dxfId="6" priority="15" operator="containsText" text="أدخل اسم المحكم">
      <formula>NOT(ISERROR(SEARCH("أدخل اسم المحكم",G29)))</formula>
    </cfRule>
  </conditionalFormatting>
  <conditionalFormatting sqref="H8:H2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F21:F25 F8 F10:F19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2025-10-28T23:18:09Z</dcterms:modified>
</cp:coreProperties>
</file>