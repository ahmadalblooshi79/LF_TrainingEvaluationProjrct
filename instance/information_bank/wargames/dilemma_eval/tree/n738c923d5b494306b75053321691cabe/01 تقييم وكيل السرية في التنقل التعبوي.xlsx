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CEA3044C-95F4-431F-A351-80CD0BF1E20B}"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التقييم'!$A$1:$J$50</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c r="G10" i="2"/>
  <c r="H10" i="2"/>
  <c r="G11" i="2"/>
  <c r="H11" i="2" s="1"/>
  <c r="G12" i="2"/>
  <c r="H12" i="2" s="1"/>
  <c r="G13" i="2"/>
  <c r="H13" i="2"/>
  <c r="G15" i="2"/>
  <c r="H15" i="2" s="1"/>
  <c r="G16" i="2"/>
  <c r="H16" i="2" s="1"/>
  <c r="G17" i="2"/>
  <c r="H17" i="2" s="1"/>
  <c r="G18" i="2"/>
  <c r="H18" i="2"/>
  <c r="G19" i="2"/>
  <c r="H19" i="2" s="1"/>
  <c r="G20" i="2"/>
  <c r="H20" i="2"/>
  <c r="G21" i="2"/>
  <c r="H21" i="2"/>
  <c r="G22" i="2"/>
  <c r="H22" i="2"/>
  <c r="G24" i="2"/>
  <c r="H24" i="2"/>
  <c r="G25" i="2"/>
  <c r="H25" i="2" s="1"/>
  <c r="G26" i="2"/>
  <c r="H26" i="2"/>
  <c r="G27" i="2"/>
  <c r="H27" i="2"/>
  <c r="G28" i="2"/>
  <c r="H28" i="2" s="1"/>
  <c r="G29" i="2"/>
  <c r="H29" i="2" s="1"/>
  <c r="G31" i="2"/>
  <c r="H31" i="2" s="1"/>
  <c r="G32" i="2"/>
  <c r="H32" i="2"/>
  <c r="G33" i="2"/>
  <c r="H33" i="2" s="1"/>
  <c r="G34" i="2"/>
  <c r="H34" i="2" s="1"/>
  <c r="G35" i="2"/>
  <c r="H35" i="2"/>
  <c r="G36" i="2"/>
  <c r="H36" i="2"/>
  <c r="G37" i="2"/>
  <c r="H37" i="2"/>
  <c r="G38" i="2"/>
  <c r="H38" i="2"/>
  <c r="G39" i="2"/>
  <c r="H39" i="2"/>
  <c r="G40" i="2"/>
  <c r="H40" i="2"/>
  <c r="G41" i="2"/>
  <c r="H41" i="2"/>
  <c r="G42" i="2"/>
  <c r="H42" i="2"/>
  <c r="G43" i="2"/>
  <c r="H43" i="2"/>
  <c r="G44" i="2"/>
  <c r="H44" i="2"/>
  <c r="G45" i="2"/>
  <c r="H45" i="2" s="1"/>
  <c r="F46" i="2"/>
  <c r="E47" i="2" s="1"/>
  <c r="E48" i="2" s="1"/>
  <c r="E46" i="2"/>
</calcChain>
</file>

<file path=xl/sharedStrings.xml><?xml version="1.0" encoding="utf-8"?>
<sst xmlns="http://schemas.openxmlformats.org/spreadsheetml/2006/main" count="275" uniqueCount="220">
  <si>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</si>
  <si>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</si>
  <si>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</si>
  <si>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</si>
  <si>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</si>
  <si>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</si>
  <si>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</si>
  <si>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</si>
  <si>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</si>
  <si>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</si>
  <si>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</si>
  <si>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</si>
  <si>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</si>
  <si>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</si>
  <si>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</si>
  <si>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</si>
  <si>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</si>
  <si>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</si>
  <si>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</si>
  <si>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</si>
  <si>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</si>
  <si>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</si>
  <si>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</si>
  <si>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</si>
  <si>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</si>
  <si>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</si>
  <si>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</si>
  <si>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</si>
  <si>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</si>
  <si>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</si>
  <si>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</si>
  <si>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</si>
  <si>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</si>
  <si>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</si>
  <si>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</si>
  <si>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</si>
  <si>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</si>
  <si>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</si>
  <si>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</si>
  <si>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</si>
  <si>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</si>
  <si>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</si>
  <si>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</si>
  <si>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</si>
  <si>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</si>
  <si>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</si>
  <si>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</si>
  <si>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</si>
  <si>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</si>
  <si>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</si>
  <si>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</si>
  <si>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</si>
  <si>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</si>
  <si>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</si>
  <si>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</si>
  <si>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</si>
  <si>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</si>
  <si>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</si>
  <si>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</si>
  <si>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</si>
  <si>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</si>
  <si>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</si>
  <si>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</si>
  <si>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</si>
  <si>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</si>
  <si>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</si>
  <si>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</si>
  <si>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</si>
  <si>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</si>
  <si>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</si>
  <si>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</si>
  <si>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</si>
  <si>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</si>
  <si>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</si>
  <si>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</si>
  <si>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</si>
  <si>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</si>
  <si>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</si>
  <si>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</si>
  <si>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</si>
  <si>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</si>
  <si>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</si>
  <si>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</si>
  <si>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</si>
  <si>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</si>
  <si>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</si>
  <si>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</si>
  <si>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</si>
  <si>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</si>
  <si>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</si>
  <si>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</si>
  <si>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</si>
  <si>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</si>
  <si>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</si>
  <si>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</si>
  <si>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</si>
  <si>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</si>
  <si>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</si>
  <si>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</si>
  <si>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</si>
  <si>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</si>
  <si>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</si>
  <si>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</si>
  <si>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</si>
  <si>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</si>
  <si>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</si>
  <si>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</si>
  <si>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</si>
  <si>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</si>
  <si>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</si>
  <si>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</si>
  <si>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</si>
  <si>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</si>
  <si>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</si>
  <si>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</si>
  <si>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</si>
  <si>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</si>
  <si>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</si>
  <si>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</si>
  <si>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</si>
  <si>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</si>
  <si>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</si>
  <si>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</si>
  <si>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</si>
  <si>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</si>
  <si>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</si>
  <si>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</si>
  <si>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</si>
  <si>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</si>
  <si>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</si>
  <si>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</si>
  <si>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</si>
  <si>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</si>
  <si>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</si>
  <si>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</si>
  <si>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</si>
  <si>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</si>
  <si>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</si>
  <si>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</si>
  <si>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</si>
  <si>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</si>
  <si>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</si>
  <si>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</si>
  <si>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</si>
  <si>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</si>
  <si>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</si>
  <si>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</si>
  <si>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</si>
  <si>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</si>
  <si>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</si>
  <si>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</si>
  <si>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</si>
  <si>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</si>
  <si>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</si>
  <si>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</si>
  <si>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</si>
  <si>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</si>
  <si>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</si>
  <si>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</si>
  <si>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</si>
  <si>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</si>
  <si>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</si>
  <si>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</si>
  <si>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</si>
  <si>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</si>
  <si>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</si>
  <si>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</si>
  <si>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</si>
  <si>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</si>
  <si>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</si>
  <si>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</si>
  <si>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</si>
  <si>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</si>
  <si>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مقدم ركن / عبدالرحمن محمد الطنيجي</t>
  </si>
  <si>
    <t xml:space="preserve">رائد / راشد ضاوي  راشد الطنيجي </t>
  </si>
  <si>
    <t>نقيب / حميد سعيد مسير الظاهري</t>
  </si>
  <si>
    <t>نقيب / يوسف محمد الفلاسي</t>
  </si>
  <si>
    <t>نقيب / سعيد راشد الظنحاني</t>
  </si>
  <si>
    <t xml:space="preserve">الوحــــــــــــــــــدة: </t>
  </si>
  <si>
    <t xml:space="preserve">اسم ضابط الصف: </t>
  </si>
  <si>
    <r>
      <rPr>
        <b/>
        <sz val="14"/>
        <color rgb="FF000000"/>
        <rFont val="Arial"/>
        <family val="2"/>
      </rPr>
      <t>تقييم وكيل السرية في التنقل التعبوي</t>
    </r>
    <r>
      <rPr>
        <b/>
        <u/>
        <sz val="14"/>
        <color rgb="FF000000"/>
        <rFont val="Arial"/>
        <family val="2"/>
      </rPr>
      <t xml:space="preserve">
تمرين جاهزية مجموعة لواء الإمارات/1 (جندي الصحراء 2025/20)</t>
    </r>
  </si>
  <si>
    <t>التخطيط لتسلسلات حركة التنقل التعبوي.</t>
  </si>
  <si>
    <r>
      <t>1.</t>
    </r>
    <r>
      <rPr>
        <sz val="7"/>
        <color theme="1"/>
        <rFont val="Times New Roman"/>
        <family val="1"/>
      </rPr>
      <t xml:space="preserve">        </t>
    </r>
    <r>
      <rPr>
        <sz val="12"/>
        <color theme="1"/>
        <rFont val="Arial"/>
        <family val="2"/>
      </rPr>
      <t>التأكد من تفهم المرؤوسين للأمر الإنذاري.</t>
    </r>
  </si>
  <si>
    <r>
      <t>2.</t>
    </r>
    <r>
      <rPr>
        <sz val="7"/>
        <color theme="1"/>
        <rFont val="Times New Roman"/>
        <family val="1"/>
      </rPr>
      <t xml:space="preserve">        </t>
    </r>
    <r>
      <rPr>
        <sz val="12"/>
        <color theme="1"/>
        <rFont val="Arial"/>
        <family val="2"/>
      </rPr>
      <t>تحضير تقدير موقف.</t>
    </r>
  </si>
  <si>
    <r>
      <t>3.</t>
    </r>
    <r>
      <rPr>
        <sz val="7"/>
        <color theme="1"/>
        <rFont val="Times New Roman"/>
        <family val="1"/>
      </rPr>
      <t xml:space="preserve">        </t>
    </r>
    <r>
      <rPr>
        <sz val="12"/>
        <color theme="1"/>
        <rFont val="Arial"/>
        <family val="2"/>
      </rPr>
      <t>العمل على تنظيم وإرسال أقسام استطلاع ومقدمة حسب الأوامر المستديمة للوحدة.</t>
    </r>
  </si>
  <si>
    <r>
      <t>4.</t>
    </r>
    <r>
      <rPr>
        <sz val="7"/>
        <color theme="1"/>
        <rFont val="Times New Roman"/>
        <family val="1"/>
      </rPr>
      <t xml:space="preserve">        </t>
    </r>
    <r>
      <rPr>
        <sz val="12"/>
        <color theme="1"/>
        <rFont val="Arial"/>
        <family val="2"/>
      </rPr>
      <t>تحضير خطط مفصلة للتنقل تتضمن (نظم المسير - مراجعة معلومات الاستطلاع).</t>
    </r>
  </si>
  <si>
    <r>
      <t>5.</t>
    </r>
    <r>
      <rPr>
        <sz val="7"/>
        <color theme="1"/>
        <rFont val="Times New Roman"/>
        <family val="1"/>
      </rPr>
      <t xml:space="preserve">        </t>
    </r>
    <r>
      <rPr>
        <sz val="12"/>
        <color theme="1"/>
        <rFont val="Arial"/>
        <family val="2"/>
      </rPr>
      <t>المشاركة في تحضير وتعميم أمر التنقل التعبوي على المرؤوسين.</t>
    </r>
  </si>
  <si>
    <t>السيطرة على التنقل.</t>
  </si>
  <si>
    <r>
      <t>1.</t>
    </r>
    <r>
      <rPr>
        <sz val="7"/>
        <color theme="1"/>
        <rFont val="Times New Roman"/>
        <family val="1"/>
      </rPr>
      <t xml:space="preserve">        </t>
    </r>
    <r>
      <rPr>
        <sz val="12"/>
        <color theme="1"/>
        <rFont val="Arial"/>
        <family val="2"/>
      </rPr>
      <t>تنظيم رتل التسلسل (الرأس - الجسم الرئيسي  - المؤخرة).</t>
    </r>
  </si>
  <si>
    <r>
      <t>2.</t>
    </r>
    <r>
      <rPr>
        <sz val="7"/>
        <color theme="1"/>
        <rFont val="Times New Roman"/>
        <family val="1"/>
      </rPr>
      <t xml:space="preserve">        </t>
    </r>
    <r>
      <rPr>
        <sz val="12"/>
        <color theme="1"/>
        <rFont val="Arial"/>
        <family val="2"/>
      </rPr>
      <t>التأكد من أن قائد كل آلية قد عين قواطع مراقبة بحيث تكون هناك مراقبة بمقدار (360) درجة حول آلياتهم، والتأكد بأن كل قائد آلية قد عين حارساً للمراقبة الجوية لتوفير الحماية.</t>
    </r>
  </si>
  <si>
    <r>
      <t>3.</t>
    </r>
    <r>
      <rPr>
        <sz val="7"/>
        <color theme="1"/>
        <rFont val="Times New Roman"/>
        <family val="1"/>
      </rPr>
      <t xml:space="preserve">        </t>
    </r>
    <r>
      <rPr>
        <sz val="12"/>
        <color theme="1"/>
        <rFont val="Arial"/>
        <family val="2"/>
      </rPr>
      <t>دخول طريق التنقل عند نقطة البداية وفي الوقت المحدد.</t>
    </r>
  </si>
  <si>
    <r>
      <t>4.</t>
    </r>
    <r>
      <rPr>
        <sz val="7"/>
        <color theme="1"/>
        <rFont val="Times New Roman"/>
        <family val="1"/>
      </rPr>
      <t xml:space="preserve">        </t>
    </r>
    <r>
      <rPr>
        <sz val="12"/>
        <color theme="1"/>
        <rFont val="Arial"/>
        <family val="2"/>
      </rPr>
      <t>الالتزام بالطريق المحدد في أمر التنقل.</t>
    </r>
  </si>
  <si>
    <r>
      <t>5.</t>
    </r>
    <r>
      <rPr>
        <sz val="7"/>
        <color theme="1"/>
        <rFont val="Times New Roman"/>
        <family val="1"/>
      </rPr>
      <t xml:space="preserve">        </t>
    </r>
    <r>
      <rPr>
        <sz val="12"/>
        <color theme="1"/>
        <rFont val="Arial"/>
        <family val="2"/>
      </rPr>
      <t>التأكد من التزام جميع الآليات بالسرعات المحددة في الأمر.</t>
    </r>
  </si>
  <si>
    <r>
      <t>6.</t>
    </r>
    <r>
      <rPr>
        <sz val="7"/>
        <color theme="1"/>
        <rFont val="Times New Roman"/>
        <family val="1"/>
      </rPr>
      <t xml:space="preserve">        </t>
    </r>
    <r>
      <rPr>
        <sz val="12"/>
        <color theme="1"/>
        <rFont val="Arial"/>
        <family val="2"/>
      </rPr>
      <t>تعديل المسير في النقاط الهامة إذا كانت سرعة الحركة بطيئة أو صعبة أو فقدت الآليات اتجاهها.</t>
    </r>
  </si>
  <si>
    <r>
      <t>7.</t>
    </r>
    <r>
      <rPr>
        <sz val="7"/>
        <color theme="1"/>
        <rFont val="Times New Roman"/>
        <family val="1"/>
      </rPr>
      <t xml:space="preserve">        </t>
    </r>
    <r>
      <rPr>
        <sz val="12"/>
        <color theme="1"/>
        <rFont val="Arial"/>
        <family val="2"/>
      </rPr>
      <t>المحافظة على الفواصل بين الآليات.</t>
    </r>
  </si>
  <si>
    <r>
      <t>8.</t>
    </r>
    <r>
      <rPr>
        <sz val="7"/>
        <color theme="1"/>
        <rFont val="Times New Roman"/>
        <family val="1"/>
      </rPr>
      <t xml:space="preserve">        </t>
    </r>
    <r>
      <rPr>
        <sz val="12"/>
        <color theme="1"/>
        <rFont val="Arial"/>
        <family val="2"/>
      </rPr>
      <t>تقليل فواصل الرتل أثناء فترات ظروف الرؤية المحدودة وزيادة فواصل الرتل أثناء فترات ظروف الرؤية الجيدة.</t>
    </r>
  </si>
  <si>
    <t>السيطرة على الأعمال أثناء الوقفات.</t>
  </si>
  <si>
    <r>
      <t>1.</t>
    </r>
    <r>
      <rPr>
        <sz val="7"/>
        <color theme="1"/>
        <rFont val="Times New Roman"/>
        <family val="1"/>
      </rPr>
      <t xml:space="preserve">        </t>
    </r>
    <r>
      <rPr>
        <sz val="12"/>
        <color theme="1"/>
        <rFont val="Arial"/>
        <family val="2"/>
      </rPr>
      <t>إدامة المراقبة في جميع الجهات أثناء التوقف.</t>
    </r>
  </si>
  <si>
    <r>
      <t>2.</t>
    </r>
    <r>
      <rPr>
        <sz val="7"/>
        <color theme="1"/>
        <rFont val="Times New Roman"/>
        <family val="1"/>
      </rPr>
      <t xml:space="preserve">        </t>
    </r>
    <r>
      <rPr>
        <sz val="12"/>
        <color theme="1"/>
        <rFont val="Arial"/>
        <family val="2"/>
      </rPr>
      <t>إدامة المراقبة الجوية أثناء التوقف.</t>
    </r>
  </si>
  <si>
    <r>
      <t>3.</t>
    </r>
    <r>
      <rPr>
        <sz val="7"/>
        <color theme="1"/>
        <rFont val="Times New Roman"/>
        <family val="1"/>
      </rPr>
      <t xml:space="preserve">        </t>
    </r>
    <r>
      <rPr>
        <sz val="12"/>
        <color theme="1"/>
        <rFont val="Arial"/>
        <family val="2"/>
      </rPr>
      <t>توزيع الأدلاء للمساعدة في حركة المرور.</t>
    </r>
  </si>
  <si>
    <r>
      <t>4.</t>
    </r>
    <r>
      <rPr>
        <sz val="7"/>
        <color theme="1"/>
        <rFont val="Times New Roman"/>
        <family val="1"/>
      </rPr>
      <t xml:space="preserve">        </t>
    </r>
    <r>
      <rPr>
        <sz val="12"/>
        <color theme="1"/>
        <rFont val="Arial"/>
        <family val="2"/>
      </rPr>
      <t>تحديد أسباب الوقفات غير المبرمجة والعمل على حلها.</t>
    </r>
  </si>
  <si>
    <r>
      <t>5.</t>
    </r>
    <r>
      <rPr>
        <sz val="7"/>
        <color theme="1"/>
        <rFont val="Times New Roman"/>
        <family val="1"/>
      </rPr>
      <t xml:space="preserve">        </t>
    </r>
    <r>
      <rPr>
        <sz val="12"/>
        <color theme="1"/>
        <rFont val="Arial"/>
        <family val="2"/>
      </rPr>
      <t>رفع تقرير الموقف للقائد الأعلى.</t>
    </r>
  </si>
  <si>
    <r>
      <t>6.</t>
    </r>
    <r>
      <rPr>
        <sz val="7"/>
        <color theme="1"/>
        <rFont val="Times New Roman"/>
        <family val="1"/>
      </rPr>
      <t xml:space="preserve">        </t>
    </r>
    <r>
      <rPr>
        <sz val="12"/>
        <color theme="1"/>
        <rFont val="Arial"/>
        <family val="2"/>
      </rPr>
      <t>التأكد من إجراء الصيانة في الوقفات المخطط لها.</t>
    </r>
  </si>
  <si>
    <t>السيطرة على الأعمال في منطقة التجمع.</t>
  </si>
  <si>
    <r>
      <t>1.</t>
    </r>
    <r>
      <rPr>
        <sz val="7"/>
        <color theme="1"/>
        <rFont val="Times New Roman"/>
        <family val="1"/>
      </rPr>
      <t xml:space="preserve">        </t>
    </r>
    <r>
      <rPr>
        <sz val="12"/>
        <color theme="1"/>
        <rFont val="Arial"/>
        <family val="2"/>
      </rPr>
      <t>التأكد بأن ضابط صف المقدمة يقود الرتل إلى القطاع المحدد.</t>
    </r>
  </si>
  <si>
    <r>
      <t>2.</t>
    </r>
    <r>
      <rPr>
        <sz val="7"/>
        <color theme="1"/>
        <rFont val="Times New Roman"/>
        <family val="1"/>
      </rPr>
      <t xml:space="preserve">        </t>
    </r>
    <r>
      <rPr>
        <sz val="12"/>
        <color theme="1"/>
        <rFont val="Arial"/>
        <family val="2"/>
      </rPr>
      <t>التأكد من تعيين فرد واحد لكل آلية يعمل على السلاح الذي يشغله طاقم ويراقب جهاز الاتصال وقاطع رماية الآلية.</t>
    </r>
  </si>
  <si>
    <r>
      <t>3.</t>
    </r>
    <r>
      <rPr>
        <sz val="7"/>
        <color theme="1"/>
        <rFont val="Times New Roman"/>
        <family val="1"/>
      </rPr>
      <t xml:space="preserve">        </t>
    </r>
    <r>
      <rPr>
        <sz val="12"/>
        <color theme="1"/>
        <rFont val="Arial"/>
        <family val="2"/>
      </rPr>
      <t>تجهيز مواقع المراقبة.</t>
    </r>
  </si>
  <si>
    <r>
      <t>4.</t>
    </r>
    <r>
      <rPr>
        <sz val="7"/>
        <color theme="1"/>
        <rFont val="Times New Roman"/>
        <family val="1"/>
      </rPr>
      <t xml:space="preserve">        </t>
    </r>
    <r>
      <rPr>
        <sz val="12"/>
        <color theme="1"/>
        <rFont val="Arial"/>
        <family val="2"/>
      </rPr>
      <t>فحص المواقع والقواطع الأساسية، والتعديل عند الضرورة.</t>
    </r>
  </si>
  <si>
    <r>
      <t>5.</t>
    </r>
    <r>
      <rPr>
        <sz val="7"/>
        <color theme="1"/>
        <rFont val="Times New Roman"/>
        <family val="1"/>
      </rPr>
      <t xml:space="preserve">        </t>
    </r>
    <r>
      <rPr>
        <sz val="12"/>
        <color theme="1"/>
        <rFont val="Arial"/>
        <family val="2"/>
      </rPr>
      <t>العمل على تمويه المواقع.</t>
    </r>
  </si>
  <si>
    <r>
      <t>6.</t>
    </r>
    <r>
      <rPr>
        <sz val="7"/>
        <color theme="1"/>
        <rFont val="Times New Roman"/>
        <family val="1"/>
      </rPr>
      <t xml:space="preserve">        </t>
    </r>
    <r>
      <rPr>
        <sz val="12"/>
        <color theme="1"/>
        <rFont val="Arial"/>
        <family val="2"/>
      </rPr>
      <t>بدء خطة الاستراحة.</t>
    </r>
  </si>
  <si>
    <r>
      <t>7.</t>
    </r>
    <r>
      <rPr>
        <sz val="7"/>
        <color theme="1"/>
        <rFont val="Times New Roman"/>
        <family val="1"/>
      </rPr>
      <t xml:space="preserve">        </t>
    </r>
    <r>
      <rPr>
        <sz val="12"/>
        <color theme="1"/>
        <rFont val="Arial"/>
        <family val="2"/>
      </rPr>
      <t>التأكد من تجهيز الأفراد لبطاقات المدى.</t>
    </r>
  </si>
  <si>
    <r>
      <t>8.</t>
    </r>
    <r>
      <rPr>
        <sz val="7"/>
        <color theme="1"/>
        <rFont val="Times New Roman"/>
        <family val="1"/>
      </rPr>
      <t xml:space="preserve">        </t>
    </r>
    <r>
      <rPr>
        <sz val="12"/>
        <color theme="1"/>
        <rFont val="Arial"/>
        <family val="2"/>
      </rPr>
      <t>تحديد مكان موقع القيادة في منطقة التجمع.</t>
    </r>
  </si>
  <si>
    <r>
      <t>9.</t>
    </r>
    <r>
      <rPr>
        <sz val="7"/>
        <color theme="1"/>
        <rFont val="Times New Roman"/>
        <family val="1"/>
      </rPr>
      <t xml:space="preserve">        </t>
    </r>
    <r>
      <rPr>
        <sz val="12"/>
        <color theme="1"/>
        <rFont val="Arial"/>
        <family val="2"/>
      </rPr>
      <t>التنسيق مع الوحدات المجاورة / العناصر على الأجنحة.</t>
    </r>
  </si>
  <si>
    <r>
      <t>10.</t>
    </r>
    <r>
      <rPr>
        <sz val="7"/>
        <color theme="1"/>
        <rFont val="Times New Roman"/>
        <family val="1"/>
      </rPr>
      <t xml:space="preserve">   </t>
    </r>
    <r>
      <rPr>
        <sz val="12"/>
        <color theme="1"/>
        <rFont val="Arial"/>
        <family val="2"/>
      </rPr>
      <t>انتخاب وتحضير المواقع البديلة.</t>
    </r>
  </si>
  <si>
    <r>
      <t>11.</t>
    </r>
    <r>
      <rPr>
        <sz val="7"/>
        <color theme="1"/>
        <rFont val="Times New Roman"/>
        <family val="1"/>
      </rPr>
      <t xml:space="preserve">   </t>
    </r>
    <r>
      <rPr>
        <sz val="12"/>
        <color theme="1"/>
        <rFont val="Arial"/>
        <family val="2"/>
      </rPr>
      <t>تحضير خطة رماية الوحدة وإيجاز قادة الآليات وإرسال نسخة منها للقائد.</t>
    </r>
  </si>
  <si>
    <r>
      <t>12.</t>
    </r>
    <r>
      <rPr>
        <sz val="7"/>
        <color theme="1"/>
        <rFont val="Times New Roman"/>
        <family val="1"/>
      </rPr>
      <t xml:space="preserve">   </t>
    </r>
    <r>
      <rPr>
        <sz val="12"/>
        <color theme="1"/>
        <rFont val="Arial"/>
        <family val="2"/>
      </rPr>
      <t>التأكد من قيام أفراد الفصيل بإجراء الصيانة الضرورية.</t>
    </r>
  </si>
  <si>
    <r>
      <t>13.</t>
    </r>
    <r>
      <rPr>
        <sz val="7"/>
        <color theme="1"/>
        <rFont val="Times New Roman"/>
        <family val="1"/>
      </rPr>
      <t xml:space="preserve">   </t>
    </r>
    <r>
      <rPr>
        <sz val="12"/>
        <color theme="1"/>
        <rFont val="Arial"/>
        <family val="2"/>
      </rPr>
      <t>التأكد من حالة الأفراد والمعدات ورفع تقرير بذلك للقائد.</t>
    </r>
  </si>
  <si>
    <r>
      <t>14.</t>
    </r>
    <r>
      <rPr>
        <sz val="7"/>
        <color theme="1"/>
        <rFont val="Times New Roman"/>
        <family val="1"/>
      </rPr>
      <t xml:space="preserve">   </t>
    </r>
    <r>
      <rPr>
        <sz val="12"/>
        <color theme="1"/>
        <rFont val="Arial"/>
        <family val="2"/>
      </rPr>
      <t>العمل على إعادة التزويد.</t>
    </r>
  </si>
  <si>
    <r>
      <t>15.</t>
    </r>
    <r>
      <rPr>
        <sz val="7"/>
        <color theme="1"/>
        <rFont val="Times New Roman"/>
        <family val="1"/>
      </rPr>
      <t xml:space="preserve">   </t>
    </r>
    <r>
      <rPr>
        <sz val="12"/>
        <color theme="1"/>
        <rFont val="Arial"/>
        <family val="2"/>
      </rPr>
      <t>التأكد من الإجراءات الأمنية.</t>
    </r>
  </si>
  <si>
    <t>وكيل/ راشد حميد راشد المرشدي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</si>
</sst>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7"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10"/>
      <color theme="1"/>
      <name val="Calibri Light"/>
      <family val="2"/>
    </font>
    <font>
      <b/>
      <u/>
      <sz val="12"/>
      <color theme="1"/>
      <name val="Arial"/>
      <family val="2"/>
    </font>
    <font>
      <sz val="12"/>
      <color theme="1"/>
      <name val="Arial"/>
      <family val="2"/>
    </font>
    <font>
      <sz val="7"/>
      <color theme="1"/>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2">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81">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17" xfId="0" applyFont="1" applyBorder="1" applyAlignment="1">
      <alignment horizontal="center" vertical="center"/>
    </xf>
    <xf numFmtId="0" fontId="10"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3" xfId="0" applyFont="1" applyBorder="1" applyAlignment="1">
      <alignment horizontal="center" vertical="center" wrapText="1"/>
    </xf>
    <xf numFmtId="0" fontId="13" fillId="0" borderId="4" xfId="0" applyFont="1" applyBorder="1" applyAlignment="1">
      <alignment vertical="top" wrapText="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5" fillId="0" borderId="21" xfId="0" applyFont="1" applyBorder="1" applyAlignment="1">
      <alignment horizontal="right" vertical="center" wrapText="1" readingOrder="2"/>
    </xf>
    <xf numFmtId="0" fontId="15" fillId="0" borderId="3" xfId="0" applyFont="1" applyBorder="1" applyAlignment="1">
      <alignment horizontal="right" vertical="center" wrapText="1" readingOrder="2"/>
    </xf>
    <xf numFmtId="0" fontId="15" fillId="0" borderId="11" xfId="0" applyFont="1" applyBorder="1" applyAlignment="1">
      <alignment horizontal="right" vertical="center" wrapText="1" readingOrder="2"/>
    </xf>
    <xf numFmtId="0" fontId="15" fillId="0" borderId="12"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14"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16" xfId="0" applyFont="1" applyBorder="1" applyAlignment="1">
      <alignment horizontal="center" vertical="center" wrapText="1" readingOrder="2"/>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7" fillId="4" borderId="18" xfId="0" applyFont="1" applyFill="1" applyBorder="1" applyAlignment="1" applyProtection="1">
      <alignment horizontal="center" vertical="center" wrapText="1" readingOrder="2"/>
      <protection locked="0"/>
    </xf>
    <xf numFmtId="0" fontId="7" fillId="4" borderId="19"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383365</xdr:colOff>
      <xdr:row>49</xdr:row>
      <xdr:rowOff>128603</xdr:rowOff>
    </xdr:from>
    <xdr:to>
      <xdr:col>7</xdr:col>
      <xdr:colOff>226033</xdr:colOff>
      <xdr:row>49</xdr:row>
      <xdr:rowOff>462683</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C924B612-5B91-2E15-E23D-3C95BB25D48F}"/>
                </a:ext>
              </a:extLst>
            </xdr14:cNvPr>
            <xdr14:cNvContentPartPr/>
          </xdr14:nvContentPartPr>
          <xdr14:nvPr macro=""/>
          <xdr14:xfrm>
            <a:off x="10399676967" y="19848240"/>
            <a:ext cx="500760" cy="334080"/>
          </xdr14:xfrm>
        </xdr:contentPart>
      </mc:Choice>
      <mc:Fallback xmlns="">
        <xdr:pic>
          <xdr:nvPicPr>
            <xdr:cNvPr id="2" name="Ink 1">
              <a:extLst>
                <a:ext uri="{FF2B5EF4-FFF2-40B4-BE49-F238E27FC236}">
                  <a16:creationId xmlns:a16="http://schemas.microsoft.com/office/drawing/2014/main" id="{C924B612-5B91-2E15-E23D-3C95BB25D48F}"/>
                </a:ext>
              </a:extLst>
            </xdr:cNvPr>
            <xdr:cNvPicPr/>
          </xdr:nvPicPr>
          <xdr:blipFill>
            <a:blip xmlns:r="http://schemas.openxmlformats.org/officeDocument/2006/relationships" r:embed="rId2"/>
            <a:stretch>
              <a:fillRect/>
            </a:stretch>
          </xdr:blipFill>
          <xdr:spPr>
            <a:xfrm>
              <a:off x="10399670847" y="19842120"/>
              <a:ext cx="513000" cy="346320"/>
            </a:xfrm>
            <a:prstGeom prst="rect">
              <a:avLst/>
            </a:prstGeom>
          </xdr:spPr>
        </xdr:pic>
      </mc:Fallback>
    </mc:AlternateContent>
    <xdr:clientData/>
  </xdr:twoCellAnchor>
  <xdr:twoCellAnchor editAs="oneCell">
    <xdr:from>
      <xdr:col>7</xdr:col>
      <xdr:colOff>180313</xdr:colOff>
      <xdr:row>49</xdr:row>
      <xdr:rowOff>26723</xdr:rowOff>
    </xdr:from>
    <xdr:to>
      <xdr:col>9</xdr:col>
      <xdr:colOff>694371</xdr:colOff>
      <xdr:row>49</xdr:row>
      <xdr:rowOff>483563</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0D77E6AE-BDF4-1C7D-2CAC-F86A37F2B1A4}"/>
                </a:ext>
              </a:extLst>
            </xdr14:cNvPr>
            <xdr14:cNvContentPartPr/>
          </xdr14:nvContentPartPr>
          <xdr14:nvPr macro=""/>
          <xdr14:xfrm>
            <a:off x="10397892447" y="19746360"/>
            <a:ext cx="1830240" cy="456840"/>
          </xdr14:xfrm>
        </xdr:contentPart>
      </mc:Choice>
      <mc:Fallback xmlns="">
        <xdr:pic>
          <xdr:nvPicPr>
            <xdr:cNvPr id="3" name="Ink 2">
              <a:extLst>
                <a:ext uri="{FF2B5EF4-FFF2-40B4-BE49-F238E27FC236}">
                  <a16:creationId xmlns:a16="http://schemas.microsoft.com/office/drawing/2014/main" id="{0D77E6AE-BDF4-1C7D-2CAC-F86A37F2B1A4}"/>
                </a:ext>
              </a:extLst>
            </xdr:cNvPr>
            <xdr:cNvPicPr/>
          </xdr:nvPicPr>
          <xdr:blipFill>
            <a:blip xmlns:r="http://schemas.openxmlformats.org/officeDocument/2006/relationships" r:embed="rId4"/>
            <a:stretch>
              <a:fillRect/>
            </a:stretch>
          </xdr:blipFill>
          <xdr:spPr>
            <a:xfrm>
              <a:off x="10397886327" y="19740240"/>
              <a:ext cx="1842480" cy="46908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5T07:45:41.700"/>
    </inkml:context>
    <inkml:brush xml:id="br0">
      <inkml:brushProperty name="width" value="0.035" units="cm"/>
      <inkml:brushProperty name="height" value="0.035" units="cm"/>
    </inkml:brush>
  </inkml:definitions>
  <inkml:trace contextRef="#ctx0" brushRef="#br0">1338 316 8,'0'0'0,"0"0"0,0 0 16,0 3 16,0-3 8,0 3 16,0-3-56,-2 0 48,2 0 0,-3 0 24,1-2 48,2 2-120,0-1 120,0 0 24,-2-2-16,-1 1 16,3 2-144,-1-3 224,-2 2-32,1 0 40,0-2-56,2 3-176,-3-2 208,1 1 128,-3-1 40,0 0-16,5 2-360,-8-3 360,3 1 8,-5 0 40,4-1 81,6 3-489,-12-2 456,7-1-88,-11 1-24,2-1-80,14 3-264,-14-3 208,-4 1-48,-1 0 0,1-1-8,18 3-152,-23-2 176,2-2-8,-5 1 8,1-1-88,25 4-88,-33-4 104,5-1-40,-1 0-40,4-1-32,25 6 8,-28-6 32,2 1-32,1 0 16,3 1 24,22 4-40,-13-4-16,-1 0 48,7-1 8,-2 1 88,9 4-128,-3-3 248,1 0 72,2 1 136,0-3-56,0 5-400,0-4 305,2-2-81,10-5-48,-7 7-88,-5 4-88,16-6 40,-3-5-40,4 6-80,-1 0 8,-16 5 72,18-13 0,-1 7 24,1-8-32,-2 3 48,-16 11-40,19-12 40,-3 1-16,0-2 16,1 7-32,-17 6-8,13-14-16,4 10-16,-6-7 32,5 8 16,-16 3-16,10-5-16,-6 1 0,10 1 8,-9 2-48,-5 1 56,14-1-48,-11 1 0,10 0-40,-11 0 32,-2 0 56,11 2-32,-8 1-8,2 1 24,7 1 8,-12-5 8,2 3-32,0 1 32,0 0-24,3 0 8,-5-4 16,12 5-8,-12-1 0,2 7-16,3-8 8,-5-3 16,4 13-16,1-9 16,4 13 16,-4-5-40,-5-12 24,2 12 0,0 1 8,12 1-16,-11 3 32,-3-17-24,4 16-16,-1 4 24,8 0-16,-11 1 0,0-21 8,5 24 8,6 2-48,-11 2 40,12 2-24,-12-30 24,2 30-32,-2 0 24,3 0-24,-3 0-8,0-30 40,0 29-25,0-2 9,-5-1-16,-11 1 0,16-27 32,-3 28-8,-13 1-16,2 0 40,-2 0-8,16-29-8,-21 25-8,0 1 8,0-2 0,-2-1 16,23-23-16,-25 20-8,-1-2 0,1 1 0,-5-4-80,30-15 88,-31 13 32,0 0 40,-2-9-72,-4 12 88,37-16-88,-34 4-16,-6 10 49,3-11 31,-5 2-40,42-5-24,-44 2 40,-4-2-24,-6 0-32,3 0 40,51 0-24,-53-1-16,-2-2-32,4 0-57,2 2-143,49 1 248,-51-2-472,3 1-224,6 0-176,3-2-520,39 3 1392,-40-2-1665,10-1 9,5 2 496,4 0 520,21 1 640,-16-6-288,4-7 168,6 0 48,-6-1 24,12 14 48,0-17-8,0 17 8</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5T07:45:45.187"/>
    </inkml:context>
    <inkml:brush xml:id="br0">
      <inkml:brushProperty name="width" value="0.035" units="cm"/>
      <inkml:brushProperty name="height" value="0.035" units="cm"/>
    </inkml:brush>
  </inkml:definitions>
  <inkml:trace contextRef="#ctx0" brushRef="#br0">4441 640 8,'0'0'0,"0"0"16,0 0-16,0 0 32,0-3 40,2-2 64,3-1 160,-5 6-296,5-6 488,7 2 40,-10-7 8,10 7-248,-12 4-288,2-6 160,12-6-48,-2 10-24,0-4 48,-12 6-136,13-11 152,4 6 40,-5-6 48,4 8 64,-16 3-304,17-6 384,-3-5 56,-2 7 49,2-8 87,-14 12-576,17-4 552,-3-9 8,0 9-8,-2-7-88,-12 11-464,12-5 472,0-7-40,-9 6-56,17-7-71,-20 13-305,9-6 280,3-8-8,-9 9-24,15-12 0,-18 17-248,10-13 232,-6-1-40,15-2-24,-10-1 0,-9 17-168,12-17 112,0-2 0,-2 2 0,1 0-64,-11 17-48,12-15 72,0-1-8,-7 0-56,11 2 40,-16 14-48,2-14 64,13 1-56,-11 0 136,11 2-120,-15 11-24,2-12 16,9 1 0,-11 5-48,5-8 112,-5 14-80,5-5-8,-3-8 24,1 8-80,-3-6-16,0 11 80,0-4 24,2-2-56,-2-5 0,0 7 32,0 4 0,-2-12 0,2 9 32,-3-1 64,3-2-96,0 6 0,-2-5-40,-3-1 32,3 2-48,-1-1 80,3 5-24,-2-4-8,-1 1 16,3 2-72,-1-1 16,1 2 48,0-1 0,0 0-40,0 1 0,0 0 40,0 0-56,0 0-32,0 0 40,0 0 80,0 0 128,0 2-360,-2-2 192,-1 3-48,3 0-88,0-3 144,0 4-40,-2 1-16,2 7-24,0-9 64,0-3 16,0 13-32,0-9 48,0 13 0,0-1 0,0-16-16,0 14 8,0 5-32,0 1 48,0-2-40,0-18 16,0 21 0,0 1 0,0 1 8,2-1-8,-2-22 0,0 26 24,0-1 8,0 1-32,0 1-16,0-27 16,0 27-32,5-1 16,-5-4-48,0 3 8,0-25 56,1 22-32,-1 2 48,0-1-40,0 1 96,0-24-72,0 25 32,5 0-80,-5-1 104,0 0-72,0-24 16,0 25-32,0-3 8,0 0 24,0 0-24,0-22 24,-5 20-16,-1-1 40,-6-1-40,10-2 8,2-16 8,-12 16-8,7-1-64,0 2 104,-6 2-64,11-19 32,-7 17-40,-5 0 40,0 0-40,7 0 32,5-17 8,-11 16 8,6-4 24,-2 1-80,-5-9 48,12-4 0,0 15-8,-5-11 16,0 9 16,0-10-24,5-3 0,-4 12-8,0-9-8,-1 9 8,-2-10-24,7-2 32,-3 13 48,-11-8-32,7 9 24,-9-10 8,16-4-48,-12 16 8,5-12 16,-8 10 16,9-10-24,6-4-16,-14 15 0,2-11 16,0 11-56,1-10 24,11-5 16,-5 11 8,-15-11-16,8 4 24,1-1-16,11-3 0,-12 5 8,0-3-16,0-2 32,1 3 0,11-3-24,-4 0 8,-9 0 8,9 0 8,-1 0 16,5 0-40,-12 0 48,7 0 32,1-1 64,2-1-80,2 2-64,-3-1 112,-1 0 80,4-4-144,0 1 120,0 4-168,0-4 80,0-1-40,-3 0 16,3-7-32,0 12-24,0-4 56,-2-2 24,2-6-8,0 7-16,0 5-56,5-5 80,-3-8-64,0 9 104,3-2-136,-5 6 16,0-6 0,3 1 40,0-1-96,2 0 216,-5 6-160,3-5 32,-1 0-24,-2 1 48,0 0-152,0 4 96,0-5-8,0 3-24,0 0 8,0-1 40,0 3-16,0-2 8,0-1-16,0 0-8,0 0 72,0 3-56,0-1-8,0-1 40,0 1-48,0-1-24,0 2 40,0-1 0,0-1 16,0 1 64,0 0-120,0 1 40,0-2 8,0 2 40,0-1-200,2 1 176,-2 0-24,0 0-32,0-2-48,0 2 112,0 0-120,0 0 88,0 0-80,0 0-8,0 0-64,0 0 48,0 0 528,0 0-920,0 0 360,0 0 64,-4 0-16,4 0 88,-5 0-104,0 3 56,-6 0-24,9 0 48,2-3 24,-3 4-8,-11 0-24,2 8-16,3-9 0,9-3 48,-14 2-64,2 3 24,-3-1 64,4 0-40,11-4 16,-12 5-16,-2-1 16,4 0-56,-6 0 48,16-4 8,-14 5-56,2-1 64,1 0-16,-1-1 0,12-3 8,-15 3 136,3 0-144,1-1 88,2 1-96,9-3 16,-8 0-72,-6 3 80,14-3-112,-5 0 104,5 0 0,-5 0 8,5 3-48,-2-3 96,1 0 0,1 0-56,0 0 104,0 0 72,0 0 16,0 0 8,0 0-872,3 0 1568,0 0-784,2-1-56,-3-1-24,-2 2-32,5-3-160,0 0 216,-3 1-32,3-1-8,-5 3-16,5-4 48,-3 1-56,3 0-8,0-1 24,-5 4-8,3-3 72,2 0-72,-2-1 48,2-1-40,-5 5-8,4-4 0,8-2 8,-12 2 0,3-7-16,-3 11 8,5-3-16,6-1-24,-11-2 48,2 2 0,-2 4-8,5-5-40,-5 3 72,2-1-40,-2 1-80,0 2 88,3-1-88,-3 1 8,0 0-40,4 0 0,-4 0 120,0 0-112,0 0-80,0 0-32,0 0 32,0 0 912,0 0-1624,0 0 736,0 0 72,0 0-24,0 0 1408,-2 3-2640,0 0 1336,-1-1-40,1 3 24,2-5 32,-5 4-24,0 0-56,1 1 72,-10-1 24,14-4-16,-12 4 0,-3-1 32,0 0 8,-7 0-32,22-3-8,-23 2 40,-6 1 24,-4-3-16,-2 3 48,35-3-96,-37 0 48,-2 0-40,-3 0 16,-5-1 8,47 1-32,-50-2 64,-1-1 24,-1-1 8,-7-2-32,59 6-64,-61-5 112,-8-1-32,1 2 0,-3 0 16,71 4-96,-72-2 96,-6-1-24,0 2 24,-4-2-40,82 3-56,-85-1 96,1-1-56,-11 2-56,3 0 24,92 0-8,-95 0-96,-1 0 32,2 0 16,2 0 56,92 0-8,-92 0-8,-7 0-8,2 0 40,1 0-56,96 0 32,-98 0 8,-4-1 8,8-1-96,-3 1-8,97 1 88,-94 0-16,49-2 64,-14 2 64,0 0-24,59 0-88,-70 0-40,1 0 0,-8 0-88,-1 0 32,78 0 96,-90 0-104,3 0-8,3 3-32,1-3 16,83 0 128,-80 0-160,40 0 112,-3 0 96,4-1-80,39 1 32,-45-2 8,0 0-144,3-1-80,0 0 112,42 3 104,-45-4-168,4 1 48,-1-1 64,4-1 24,38 5 32,-40-3 48,5-1-32,-1 0 152,6 0 184,30 4-352,-30-5 552,6 1 136,3 0-80,9-7-160,12 11-448,-5-5 272,3 1-112,2-9 0,12 9 16,-12 4-176,18-13 208,34-5-136,12-2 16,16 0-15,-80 20-73,94-20 40,10 1 152,-1 1-96,4 2-104,-107 16 8,105-14-88,4-1-176,2 0-249,105-15-439,-216 30 952,200-24-1224,-26 4-32,-23 5-25,-12 2 129,-139 13 1152,139-14-1184,7 2 40,-7 0 191,2 6 113,-141 6 840,139-13-672,-4 9-96,2 0 112,-5-1 192,-132 5 464,127-1-280,-12-1 208,-5 2 72,-15 0 64,-95 0-64,80 0 224,-17 0 168,-13 3 248,-12 0 112,-38-3-752,28 3 584,-7 1-152,-9 1-232,-12-1-32,0-4-168,-2 13 432,-17-11 193,-12 3 239,-11-1 264,42-4-1128,-57 4 1072,-13-1-24,-12 0-79,-15 0-185,97-3-784,-106 3 552,-12-3-184,-2 2-160,-7 1-56,127-3-152,-128 3 80,4 0-96,-1-3-32,4 3 0,121-3 48,-119 3-16,1-1 72,3 1-48,1 0-8,114-3 0,-106 3-96,9 0 128,6-3-56,51 0 120,40 0-96,-52 3 72,5-3-144,-5 0 136,7 3-104,45-3 40,-52 0 0,10 2-56,-3 1 32,12-3 8,33 0 16,-26 3 0,10 0 176,4-3 56,10 0-16,2 0-216,5 0 248,13 3-112,8-3-224,47 0-152,-73 0 240,96 3-360,15-3-152,-9 2-32,2 1-72,-104-3 616,117 0-752,6 3-137,14 0-39,11-3 88,-148 0 840,150 0-896,6 3 32,7 0-8,4 1 71,-167-4 801,170 13-544,4-9 208,-12 10 224,-7-10 104,-155-4 8,144 16 24,-15-12 8,-8 12 8,-15-12 0,-106-4-40,92 17 88,-14-12 80,-17 9 8,-11-11 16,-50-3-192,35 11 160,-10-8-64,-6 1-24,-16 0-32,-3-4-40,2 3 72,-2-3 72,-12 0 153,-11 0 159,23 0-456,-36-1 648,-13-3 136,-12-8 104,-15 6 32,76 6-920,-87-15 832,-12 3-71,-14-2-121,-10 1-112,123 13-528,-129-12 424,-7-1-56,-1 2-112,-9-1-32,146 12-224,-146-11 144,-5 5-56,-2-7-24,3 9-56,150 4-8,-149-6 32,3 2-56,5-2 16,2 2-24,139 4 32,-128-4-48,11 0-16,10-1-8,58 4 104,49 1-32,-62-2 40,11 1 24,-15 0 0,9-1-128,57 2 64,-61-1-80,5 1 0,-3 0-16,9 0 24,50 0 72,-39 0-32,7 0-80,9 0-64,11 0-24,12 0 200,-5 0-192,5 3 8,15-3 8,10 2-168,-25-2 344,29 0-480,13 3-88,8-3-41,72 0-159,-122 0 768,129 3-928,-3-3-160,-9 0-136,-4 0 175,-113 0 1049,120 0-896,6-3 304,-2-1 248,2-7 176,-12 6 216,-114 5-48,109-11 192,-12 0 248,-15-1 128,-5 1 32,-77 11-600,71-13 448,-7 2-231,-5 5-161,-5-10-72,-54 16 16,49-11-48,-6-3 56,-6-2 128,-3-4 176,-34 20-312,28-21 600,-7-2 112,-5-2 24,-4-4-136,-12 29-600,5-28 424,-3-2-56,-2 2-40,0-1-72,0 29-256,-2-25 201,-12 0-145,3 3-48,-6 0 16,17 22-24,-20-20 0,0 2 24,-2 2 0,4 5-16,18 11-8,-22-4 8,5-2 0,-3 2-16,3 2 8,17 2 0,-18 0-16,-4 3 16,8 1 8,-2 8-24,16-12 16,-15 11 16,1 3-40,0 3-32,0 6 40,14-23 16,-12 24-40,0 5-17,6 2 49,-6 5-8,12-36 16,-3 38-48,-4 2-8,2 0 24,-7-1 8,12-39 24,0 39-8,-5-1-40,-6 2 24,7-2-32,4-38 56,-3 41-40,-2-1 32,1 2-56,1-1 40,3-41 24,-2 44-80,2 3 24,2-2 24,10 2-96,-12-47 128,0 44-32,5-1-48,5-3-40,-10-2-136,0-38 256,0 36-632,0-5-624,0-3-465,0-2-191,0-26 1912,-5 23-1344,-5-9 616,5-11 400,1-5 232,4 2 96,-3-15-56,-2-5 48,5 20 8</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50"/>
  <sheetViews>
    <sheetView rightToLeft="1" tabSelected="1" view="pageBreakPreview" topLeftCell="B43" zoomScale="130" zoomScaleNormal="100" zoomScaleSheetLayoutView="130" workbookViewId="0">
      <selection activeCell="F45" sqref="F45"/>
    </sheetView>
  </sheetViews>
  <sheetFormatPr defaultColWidth="9" defaultRowHeight="14.4" x14ac:dyDescent="0.3"/>
  <cols>
    <col min="1" max="1" width="5.109375" style="1" customWidth="1"/>
    <col min="2" max="2" width="16"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66" t="s">
        <v>180</v>
      </c>
      <c r="C1" s="66"/>
      <c r="D1" s="66"/>
      <c r="E1" s="66"/>
      <c r="F1" s="66"/>
      <c r="G1" s="66"/>
      <c r="H1" s="66"/>
      <c r="I1" s="66"/>
      <c r="J1" s="66"/>
    </row>
    <row r="2" spans="1:10" ht="30" customHeight="1" x14ac:dyDescent="0.3">
      <c r="B2" s="12" t="s">
        <v>178</v>
      </c>
      <c r="C2" s="72" t="s">
        <v>39</v>
      </c>
      <c r="D2" s="72"/>
      <c r="E2" s="12" t="s">
        <v>7</v>
      </c>
      <c r="F2" s="67">
        <v>45945</v>
      </c>
      <c r="G2" s="67"/>
      <c r="H2" s="67"/>
      <c r="I2" s="67"/>
      <c r="J2" s="67"/>
    </row>
    <row r="3" spans="1:10" ht="30" customHeight="1" x14ac:dyDescent="0.3">
      <c r="B3" s="12" t="s">
        <v>179</v>
      </c>
      <c r="C3" s="72" t="s">
        <v>219</v>
      </c>
      <c r="D3" s="72"/>
      <c r="E3" s="12" t="s">
        <v>6</v>
      </c>
      <c r="F3" s="72" t="s">
        <v>160</v>
      </c>
      <c r="G3" s="72"/>
      <c r="H3" s="72"/>
      <c r="I3" s="72"/>
      <c r="J3" s="72"/>
    </row>
    <row r="4" spans="1:10" ht="30" customHeight="1" thickBot="1" x14ac:dyDescent="0.35">
      <c r="B4" s="6"/>
      <c r="C4" s="7"/>
      <c r="D4" s="7"/>
      <c r="E4" s="6"/>
      <c r="F4" s="7"/>
      <c r="G4" s="7"/>
      <c r="H4" s="8"/>
      <c r="I4" s="7"/>
      <c r="J4" s="7"/>
    </row>
    <row r="5" spans="1:10" ht="24.9" customHeight="1" x14ac:dyDescent="0.3">
      <c r="A5" s="10"/>
      <c r="B5" s="68" t="s">
        <v>0</v>
      </c>
      <c r="C5" s="69"/>
      <c r="D5" s="69"/>
      <c r="E5" s="73" t="s">
        <v>1</v>
      </c>
      <c r="F5" s="73"/>
      <c r="G5" s="73"/>
      <c r="H5" s="73"/>
      <c r="I5" s="73" t="s">
        <v>2</v>
      </c>
      <c r="J5" s="74"/>
    </row>
    <row r="6" spans="1:10" ht="24.9" customHeight="1" thickBot="1" x14ac:dyDescent="0.35">
      <c r="A6" s="10"/>
      <c r="B6" s="70"/>
      <c r="C6" s="71"/>
      <c r="D6" s="71"/>
      <c r="E6" s="11" t="s">
        <v>3</v>
      </c>
      <c r="F6" s="11" t="s">
        <v>4</v>
      </c>
      <c r="G6" s="11" t="s">
        <v>21</v>
      </c>
      <c r="H6" s="11" t="s">
        <v>22</v>
      </c>
      <c r="I6" s="75"/>
      <c r="J6" s="76"/>
    </row>
    <row r="7" spans="1:10" ht="24.9" customHeight="1" thickBot="1" x14ac:dyDescent="0.35">
      <c r="A7" s="10"/>
      <c r="B7" s="77" t="s">
        <v>19</v>
      </c>
      <c r="C7" s="78"/>
      <c r="D7" s="78"/>
      <c r="E7" s="28" t="s">
        <v>16</v>
      </c>
      <c r="F7" s="28" t="s">
        <v>17</v>
      </c>
      <c r="G7" s="28" t="s">
        <v>20</v>
      </c>
      <c r="H7" s="28" t="s">
        <v>18</v>
      </c>
      <c r="I7" s="79" t="s">
        <v>23</v>
      </c>
      <c r="J7" s="80"/>
    </row>
    <row r="8" spans="1:10" ht="30" customHeight="1" x14ac:dyDescent="0.3">
      <c r="A8" s="10"/>
      <c r="B8" s="43" t="s">
        <v>181</v>
      </c>
      <c r="C8" s="44"/>
      <c r="D8" s="44"/>
      <c r="E8" s="32"/>
      <c r="F8" s="33"/>
      <c r="G8" s="34"/>
      <c r="H8" s="35"/>
      <c r="I8" s="47"/>
      <c r="J8" s="48"/>
    </row>
    <row r="9" spans="1:10" ht="30" customHeight="1" x14ac:dyDescent="0.3">
      <c r="A9" s="10"/>
      <c r="B9" s="39" t="s">
        <v>182</v>
      </c>
      <c r="C9" s="40"/>
      <c r="D9" s="40"/>
      <c r="E9" s="31">
        <v>5</v>
      </c>
      <c r="F9" s="26">
        <v>3.75</v>
      </c>
      <c r="G9" s="29">
        <f>IFERROR(F9/E9,"")</f>
        <v>0.75</v>
      </c>
      <c r="H9" s="30" t="str">
        <f>_xlfn.IFS(F9="أدخل العلامة","",F9="لا ينطبق","تم الإلغاء",G9&gt;=90%,"ممتاز",G9&gt;=80%,"جيد جداً",G9&gt;=70%,"جيد",G9&gt;=60%,"مقبول",G9&lt;60%,"راسب")</f>
        <v>جيد</v>
      </c>
      <c r="I9" s="45"/>
      <c r="J9" s="46"/>
    </row>
    <row r="10" spans="1:10" ht="30" customHeight="1" x14ac:dyDescent="0.3">
      <c r="A10" s="10"/>
      <c r="B10" s="39" t="s">
        <v>183</v>
      </c>
      <c r="C10" s="40"/>
      <c r="D10" s="40"/>
      <c r="E10" s="31">
        <v>5</v>
      </c>
      <c r="F10" s="26">
        <v>3.75</v>
      </c>
      <c r="G10" s="29">
        <f t="shared" ref="G10:G45" si="0">IFERROR(F10/E10,"")</f>
        <v>0.75</v>
      </c>
      <c r="H10" s="30" t="str">
        <f t="shared" ref="H10:H45" si="1">_xlfn.IFS(F10="أدخل العلامة","",F10="لا ينطبق","تم الإلغاء",G10&gt;=90%,"ممتاز",G10&gt;=80%,"جيد جداً",G10&gt;=70%,"جيد",G10&gt;=60%,"مقبول",G10&lt;60%,"راسب")</f>
        <v>جيد</v>
      </c>
      <c r="I10" s="45"/>
      <c r="J10" s="46"/>
    </row>
    <row r="11" spans="1:10" ht="39.9" customHeight="1" x14ac:dyDescent="0.3">
      <c r="A11" s="10"/>
      <c r="B11" s="39" t="s">
        <v>184</v>
      </c>
      <c r="C11" s="40"/>
      <c r="D11" s="40"/>
      <c r="E11" s="31">
        <v>5</v>
      </c>
      <c r="F11" s="26">
        <v>3.5</v>
      </c>
      <c r="G11" s="29">
        <f t="shared" si="0"/>
        <v>0.7</v>
      </c>
      <c r="H11" s="30" t="str">
        <f t="shared" si="1"/>
        <v>جيد</v>
      </c>
      <c r="I11" s="45"/>
      <c r="J11" s="46"/>
    </row>
    <row r="12" spans="1:10" ht="39.9" customHeight="1" x14ac:dyDescent="0.3">
      <c r="A12" s="10"/>
      <c r="B12" s="39" t="s">
        <v>185</v>
      </c>
      <c r="C12" s="40"/>
      <c r="D12" s="40"/>
      <c r="E12" s="31">
        <v>5</v>
      </c>
      <c r="F12" s="26">
        <v>3.5</v>
      </c>
      <c r="G12" s="29">
        <f t="shared" si="0"/>
        <v>0.7</v>
      </c>
      <c r="H12" s="30" t="str">
        <f t="shared" si="1"/>
        <v>جيد</v>
      </c>
      <c r="I12" s="45"/>
      <c r="J12" s="46"/>
    </row>
    <row r="13" spans="1:10" ht="30" customHeight="1" thickBot="1" x14ac:dyDescent="0.35">
      <c r="A13" s="10"/>
      <c r="B13" s="41" t="s">
        <v>186</v>
      </c>
      <c r="C13" s="42"/>
      <c r="D13" s="42"/>
      <c r="E13" s="36">
        <v>5</v>
      </c>
      <c r="F13" s="27">
        <v>4</v>
      </c>
      <c r="G13" s="37">
        <f t="shared" si="0"/>
        <v>0.8</v>
      </c>
      <c r="H13" s="38" t="str">
        <f t="shared" si="1"/>
        <v>جيد جداً</v>
      </c>
      <c r="I13" s="51"/>
      <c r="J13" s="52"/>
    </row>
    <row r="14" spans="1:10" ht="30" customHeight="1" x14ac:dyDescent="0.3">
      <c r="A14" s="10"/>
      <c r="B14" s="43" t="s">
        <v>187</v>
      </c>
      <c r="C14" s="44"/>
      <c r="D14" s="44"/>
      <c r="E14" s="32"/>
      <c r="F14" s="33"/>
      <c r="G14" s="34"/>
      <c r="H14" s="35"/>
      <c r="I14" s="47"/>
      <c r="J14" s="48"/>
    </row>
    <row r="15" spans="1:10" ht="30" customHeight="1" x14ac:dyDescent="0.3">
      <c r="A15" s="10"/>
      <c r="B15" s="39" t="s">
        <v>188</v>
      </c>
      <c r="C15" s="40"/>
      <c r="D15" s="40"/>
      <c r="E15" s="31">
        <v>5</v>
      </c>
      <c r="F15" s="26">
        <v>3.5</v>
      </c>
      <c r="G15" s="29">
        <f t="shared" si="0"/>
        <v>0.7</v>
      </c>
      <c r="H15" s="30" t="str">
        <f t="shared" si="1"/>
        <v>جيد</v>
      </c>
      <c r="I15" s="45"/>
      <c r="J15" s="46"/>
    </row>
    <row r="16" spans="1:10" ht="51" customHeight="1" x14ac:dyDescent="0.3">
      <c r="A16" s="10"/>
      <c r="B16" s="39" t="s">
        <v>189</v>
      </c>
      <c r="C16" s="40"/>
      <c r="D16" s="40"/>
      <c r="E16" s="31">
        <v>5</v>
      </c>
      <c r="F16" s="26">
        <v>3.75</v>
      </c>
      <c r="G16" s="29">
        <f t="shared" si="0"/>
        <v>0.75</v>
      </c>
      <c r="H16" s="30" t="str">
        <f t="shared" si="1"/>
        <v>جيد</v>
      </c>
      <c r="I16" s="45"/>
      <c r="J16" s="46"/>
    </row>
    <row r="17" spans="1:10" ht="30" customHeight="1" x14ac:dyDescent="0.3">
      <c r="A17" s="10"/>
      <c r="B17" s="39" t="s">
        <v>190</v>
      </c>
      <c r="C17" s="40"/>
      <c r="D17" s="40"/>
      <c r="E17" s="31">
        <v>5</v>
      </c>
      <c r="F17" s="26">
        <v>3.75</v>
      </c>
      <c r="G17" s="29">
        <f t="shared" si="0"/>
        <v>0.75</v>
      </c>
      <c r="H17" s="30" t="str">
        <f t="shared" si="1"/>
        <v>جيد</v>
      </c>
      <c r="I17" s="45"/>
      <c r="J17" s="46"/>
    </row>
    <row r="18" spans="1:10" ht="30" customHeight="1" x14ac:dyDescent="0.3">
      <c r="A18" s="10"/>
      <c r="B18" s="39" t="s">
        <v>191</v>
      </c>
      <c r="C18" s="40"/>
      <c r="D18" s="40"/>
      <c r="E18" s="31">
        <v>5</v>
      </c>
      <c r="F18" s="26">
        <v>3.75</v>
      </c>
      <c r="G18" s="29">
        <f t="shared" si="0"/>
        <v>0.75</v>
      </c>
      <c r="H18" s="30" t="str">
        <f t="shared" si="1"/>
        <v>جيد</v>
      </c>
      <c r="I18" s="45"/>
      <c r="J18" s="46"/>
    </row>
    <row r="19" spans="1:10" ht="30" customHeight="1" x14ac:dyDescent="0.3">
      <c r="A19" s="10"/>
      <c r="B19" s="39" t="s">
        <v>192</v>
      </c>
      <c r="C19" s="40"/>
      <c r="D19" s="40"/>
      <c r="E19" s="31">
        <v>5</v>
      </c>
      <c r="F19" s="26">
        <v>3.75</v>
      </c>
      <c r="G19" s="29">
        <f t="shared" si="0"/>
        <v>0.75</v>
      </c>
      <c r="H19" s="30" t="str">
        <f t="shared" si="1"/>
        <v>جيد</v>
      </c>
      <c r="I19" s="45"/>
      <c r="J19" s="46"/>
    </row>
    <row r="20" spans="1:10" ht="39.9" customHeight="1" x14ac:dyDescent="0.3">
      <c r="A20" s="10"/>
      <c r="B20" s="39" t="s">
        <v>193</v>
      </c>
      <c r="C20" s="40"/>
      <c r="D20" s="40"/>
      <c r="E20" s="31">
        <v>5</v>
      </c>
      <c r="F20" s="26">
        <v>3.5</v>
      </c>
      <c r="G20" s="29">
        <f t="shared" si="0"/>
        <v>0.7</v>
      </c>
      <c r="H20" s="30" t="str">
        <f t="shared" si="1"/>
        <v>جيد</v>
      </c>
      <c r="I20" s="45"/>
      <c r="J20" s="46"/>
    </row>
    <row r="21" spans="1:10" ht="30" customHeight="1" x14ac:dyDescent="0.3">
      <c r="A21" s="10"/>
      <c r="B21" s="39" t="s">
        <v>194</v>
      </c>
      <c r="C21" s="40"/>
      <c r="D21" s="40"/>
      <c r="E21" s="31">
        <v>5</v>
      </c>
      <c r="F21" s="26">
        <v>4</v>
      </c>
      <c r="G21" s="29">
        <f t="shared" si="0"/>
        <v>0.8</v>
      </c>
      <c r="H21" s="30" t="str">
        <f t="shared" si="1"/>
        <v>جيد جداً</v>
      </c>
      <c r="I21" s="45"/>
      <c r="J21" s="46"/>
    </row>
    <row r="22" spans="1:10" ht="39.9" customHeight="1" thickBot="1" x14ac:dyDescent="0.35">
      <c r="A22" s="10"/>
      <c r="B22" s="41" t="s">
        <v>195</v>
      </c>
      <c r="C22" s="42"/>
      <c r="D22" s="42"/>
      <c r="E22" s="36">
        <v>5</v>
      </c>
      <c r="F22" s="27">
        <v>3.5</v>
      </c>
      <c r="G22" s="37">
        <f t="shared" si="0"/>
        <v>0.7</v>
      </c>
      <c r="H22" s="38" t="str">
        <f t="shared" si="1"/>
        <v>جيد</v>
      </c>
      <c r="I22" s="51"/>
      <c r="J22" s="52"/>
    </row>
    <row r="23" spans="1:10" ht="30" customHeight="1" x14ac:dyDescent="0.3">
      <c r="A23" s="10"/>
      <c r="B23" s="43" t="s">
        <v>196</v>
      </c>
      <c r="C23" s="44"/>
      <c r="D23" s="44"/>
      <c r="E23" s="32"/>
      <c r="F23" s="33"/>
      <c r="G23" s="34"/>
      <c r="H23" s="35"/>
      <c r="I23" s="47"/>
      <c r="J23" s="48"/>
    </row>
    <row r="24" spans="1:10" ht="30" customHeight="1" x14ac:dyDescent="0.3">
      <c r="A24" s="10"/>
      <c r="B24" s="39" t="s">
        <v>197</v>
      </c>
      <c r="C24" s="40"/>
      <c r="D24" s="40"/>
      <c r="E24" s="31">
        <v>5</v>
      </c>
      <c r="F24" s="26">
        <v>3.75</v>
      </c>
      <c r="G24" s="29">
        <f t="shared" si="0"/>
        <v>0.75</v>
      </c>
      <c r="H24" s="30" t="str">
        <f t="shared" si="1"/>
        <v>جيد</v>
      </c>
      <c r="I24" s="45"/>
      <c r="J24" s="46"/>
    </row>
    <row r="25" spans="1:10" ht="30" customHeight="1" x14ac:dyDescent="0.3">
      <c r="A25" s="10"/>
      <c r="B25" s="39" t="s">
        <v>198</v>
      </c>
      <c r="C25" s="40"/>
      <c r="D25" s="40"/>
      <c r="E25" s="31">
        <v>5</v>
      </c>
      <c r="F25" s="26">
        <v>3.5</v>
      </c>
      <c r="G25" s="29">
        <f t="shared" si="0"/>
        <v>0.7</v>
      </c>
      <c r="H25" s="30" t="str">
        <f t="shared" si="1"/>
        <v>جيد</v>
      </c>
      <c r="I25" s="45"/>
      <c r="J25" s="46"/>
    </row>
    <row r="26" spans="1:10" ht="30" customHeight="1" x14ac:dyDescent="0.3">
      <c r="A26" s="10"/>
      <c r="B26" s="39" t="s">
        <v>199</v>
      </c>
      <c r="C26" s="40"/>
      <c r="D26" s="40"/>
      <c r="E26" s="31">
        <v>5</v>
      </c>
      <c r="F26" s="26">
        <v>3.75</v>
      </c>
      <c r="G26" s="29">
        <f t="shared" si="0"/>
        <v>0.75</v>
      </c>
      <c r="H26" s="30" t="str">
        <f t="shared" si="1"/>
        <v>جيد</v>
      </c>
      <c r="I26" s="45"/>
      <c r="J26" s="46"/>
    </row>
    <row r="27" spans="1:10" ht="30" customHeight="1" x14ac:dyDescent="0.3">
      <c r="A27" s="10"/>
      <c r="B27" s="39" t="s">
        <v>200</v>
      </c>
      <c r="C27" s="40"/>
      <c r="D27" s="40"/>
      <c r="E27" s="31">
        <v>5</v>
      </c>
      <c r="F27" s="26">
        <v>3.75</v>
      </c>
      <c r="G27" s="29">
        <f t="shared" si="0"/>
        <v>0.75</v>
      </c>
      <c r="H27" s="30" t="str">
        <f t="shared" si="1"/>
        <v>جيد</v>
      </c>
      <c r="I27" s="45"/>
      <c r="J27" s="46"/>
    </row>
    <row r="28" spans="1:10" ht="30" customHeight="1" x14ac:dyDescent="0.3">
      <c r="A28" s="10"/>
      <c r="B28" s="39" t="s">
        <v>201</v>
      </c>
      <c r="C28" s="40"/>
      <c r="D28" s="40"/>
      <c r="E28" s="31">
        <v>5</v>
      </c>
      <c r="F28" s="26">
        <v>3.5</v>
      </c>
      <c r="G28" s="29">
        <f t="shared" si="0"/>
        <v>0.7</v>
      </c>
      <c r="H28" s="30" t="str">
        <f t="shared" si="1"/>
        <v>جيد</v>
      </c>
      <c r="I28" s="45"/>
      <c r="J28" s="46"/>
    </row>
    <row r="29" spans="1:10" ht="30" customHeight="1" thickBot="1" x14ac:dyDescent="0.35">
      <c r="A29" s="10"/>
      <c r="B29" s="41" t="s">
        <v>202</v>
      </c>
      <c r="C29" s="42"/>
      <c r="D29" s="42"/>
      <c r="E29" s="36">
        <v>5</v>
      </c>
      <c r="F29" s="27">
        <v>3.5</v>
      </c>
      <c r="G29" s="37">
        <f t="shared" si="0"/>
        <v>0.7</v>
      </c>
      <c r="H29" s="38" t="str">
        <f t="shared" si="1"/>
        <v>جيد</v>
      </c>
      <c r="I29" s="51"/>
      <c r="J29" s="52"/>
    </row>
    <row r="30" spans="1:10" ht="30" customHeight="1" x14ac:dyDescent="0.3">
      <c r="A30" s="10"/>
      <c r="B30" s="43" t="s">
        <v>203</v>
      </c>
      <c r="C30" s="44"/>
      <c r="D30" s="44"/>
      <c r="E30" s="32"/>
      <c r="F30" s="33"/>
      <c r="G30" s="34"/>
      <c r="H30" s="35"/>
      <c r="I30" s="47"/>
      <c r="J30" s="48"/>
    </row>
    <row r="31" spans="1:10" ht="30" customHeight="1" x14ac:dyDescent="0.3">
      <c r="A31" s="10"/>
      <c r="B31" s="39" t="s">
        <v>204</v>
      </c>
      <c r="C31" s="40"/>
      <c r="D31" s="40"/>
      <c r="E31" s="31">
        <v>5</v>
      </c>
      <c r="F31" s="26">
        <v>3.75</v>
      </c>
      <c r="G31" s="29">
        <f t="shared" si="0"/>
        <v>0.75</v>
      </c>
      <c r="H31" s="30" t="str">
        <f t="shared" si="1"/>
        <v>جيد</v>
      </c>
      <c r="I31" s="45"/>
      <c r="J31" s="46"/>
    </row>
    <row r="32" spans="1:10" ht="39.9" customHeight="1" x14ac:dyDescent="0.3">
      <c r="A32" s="10"/>
      <c r="B32" s="39" t="s">
        <v>205</v>
      </c>
      <c r="C32" s="40"/>
      <c r="D32" s="40"/>
      <c r="E32" s="31">
        <v>5</v>
      </c>
      <c r="F32" s="26">
        <v>3.75</v>
      </c>
      <c r="G32" s="29">
        <f t="shared" si="0"/>
        <v>0.75</v>
      </c>
      <c r="H32" s="30" t="str">
        <f t="shared" si="1"/>
        <v>جيد</v>
      </c>
      <c r="I32" s="45"/>
      <c r="J32" s="46"/>
    </row>
    <row r="33" spans="1:10" ht="30" customHeight="1" x14ac:dyDescent="0.3">
      <c r="A33" s="10"/>
      <c r="B33" s="39" t="s">
        <v>206</v>
      </c>
      <c r="C33" s="40"/>
      <c r="D33" s="40"/>
      <c r="E33" s="31">
        <v>5</v>
      </c>
      <c r="F33" s="26">
        <v>3.5</v>
      </c>
      <c r="G33" s="29">
        <f t="shared" si="0"/>
        <v>0.7</v>
      </c>
      <c r="H33" s="30" t="str">
        <f t="shared" si="1"/>
        <v>جيد</v>
      </c>
      <c r="I33" s="45"/>
      <c r="J33" s="46"/>
    </row>
    <row r="34" spans="1:10" ht="30" customHeight="1" x14ac:dyDescent="0.3">
      <c r="A34" s="10"/>
      <c r="B34" s="39" t="s">
        <v>207</v>
      </c>
      <c r="C34" s="40"/>
      <c r="D34" s="40"/>
      <c r="E34" s="31">
        <v>5</v>
      </c>
      <c r="F34" s="26">
        <v>3.5</v>
      </c>
      <c r="G34" s="29">
        <f t="shared" si="0"/>
        <v>0.7</v>
      </c>
      <c r="H34" s="30" t="str">
        <f t="shared" si="1"/>
        <v>جيد</v>
      </c>
      <c r="I34" s="45"/>
      <c r="J34" s="46"/>
    </row>
    <row r="35" spans="1:10" ht="30" customHeight="1" x14ac:dyDescent="0.3">
      <c r="A35" s="10"/>
      <c r="B35" s="39" t="s">
        <v>208</v>
      </c>
      <c r="C35" s="40"/>
      <c r="D35" s="40"/>
      <c r="E35" s="31">
        <v>5</v>
      </c>
      <c r="F35" s="26">
        <v>3.75</v>
      </c>
      <c r="G35" s="29">
        <f t="shared" si="0"/>
        <v>0.75</v>
      </c>
      <c r="H35" s="30" t="str">
        <f t="shared" si="1"/>
        <v>جيد</v>
      </c>
      <c r="I35" s="45"/>
      <c r="J35" s="46"/>
    </row>
    <row r="36" spans="1:10" ht="30" customHeight="1" x14ac:dyDescent="0.3">
      <c r="A36" s="10"/>
      <c r="B36" s="39" t="s">
        <v>209</v>
      </c>
      <c r="C36" s="40"/>
      <c r="D36" s="40"/>
      <c r="E36" s="31">
        <v>5</v>
      </c>
      <c r="F36" s="26">
        <v>3.75</v>
      </c>
      <c r="G36" s="29">
        <f t="shared" si="0"/>
        <v>0.75</v>
      </c>
      <c r="H36" s="30" t="str">
        <f t="shared" si="1"/>
        <v>جيد</v>
      </c>
      <c r="I36" s="45"/>
      <c r="J36" s="46"/>
    </row>
    <row r="37" spans="1:10" ht="30" customHeight="1" x14ac:dyDescent="0.3">
      <c r="A37" s="10"/>
      <c r="B37" s="39" t="s">
        <v>210</v>
      </c>
      <c r="C37" s="40"/>
      <c r="D37" s="40"/>
      <c r="E37" s="31">
        <v>5</v>
      </c>
      <c r="F37" s="26">
        <v>4</v>
      </c>
      <c r="G37" s="29">
        <f t="shared" si="0"/>
        <v>0.8</v>
      </c>
      <c r="H37" s="30" t="str">
        <f t="shared" si="1"/>
        <v>جيد جداً</v>
      </c>
      <c r="I37" s="45"/>
      <c r="J37" s="46"/>
    </row>
    <row r="38" spans="1:10" ht="30" customHeight="1" x14ac:dyDescent="0.3">
      <c r="A38" s="10"/>
      <c r="B38" s="39" t="s">
        <v>211</v>
      </c>
      <c r="C38" s="40"/>
      <c r="D38" s="40"/>
      <c r="E38" s="31">
        <v>5</v>
      </c>
      <c r="F38" s="26">
        <v>3.75</v>
      </c>
      <c r="G38" s="29">
        <f t="shared" si="0"/>
        <v>0.75</v>
      </c>
      <c r="H38" s="30" t="str">
        <f t="shared" si="1"/>
        <v>جيد</v>
      </c>
      <c r="I38" s="45"/>
      <c r="J38" s="46"/>
    </row>
    <row r="39" spans="1:10" ht="30" customHeight="1" x14ac:dyDescent="0.3">
      <c r="A39" s="10"/>
      <c r="B39" s="39" t="s">
        <v>212</v>
      </c>
      <c r="C39" s="40"/>
      <c r="D39" s="40"/>
      <c r="E39" s="31">
        <v>5</v>
      </c>
      <c r="F39" s="26">
        <v>3.75</v>
      </c>
      <c r="G39" s="29">
        <f t="shared" si="0"/>
        <v>0.75</v>
      </c>
      <c r="H39" s="30" t="str">
        <f t="shared" si="1"/>
        <v>جيد</v>
      </c>
      <c r="I39" s="45"/>
      <c r="J39" s="46"/>
    </row>
    <row r="40" spans="1:10" ht="30" customHeight="1" x14ac:dyDescent="0.3">
      <c r="A40" s="10"/>
      <c r="B40" s="39" t="s">
        <v>213</v>
      </c>
      <c r="C40" s="40"/>
      <c r="D40" s="40"/>
      <c r="E40" s="31">
        <v>5</v>
      </c>
      <c r="F40" s="26">
        <v>3.75</v>
      </c>
      <c r="G40" s="29">
        <f t="shared" si="0"/>
        <v>0.75</v>
      </c>
      <c r="H40" s="30" t="str">
        <f t="shared" si="1"/>
        <v>جيد</v>
      </c>
      <c r="I40" s="45"/>
      <c r="J40" s="46"/>
    </row>
    <row r="41" spans="1:10" ht="30" customHeight="1" x14ac:dyDescent="0.3">
      <c r="A41" s="10"/>
      <c r="B41" s="39" t="s">
        <v>214</v>
      </c>
      <c r="C41" s="40"/>
      <c r="D41" s="40"/>
      <c r="E41" s="31">
        <v>5</v>
      </c>
      <c r="F41" s="26">
        <v>3.75</v>
      </c>
      <c r="G41" s="29">
        <f t="shared" si="0"/>
        <v>0.75</v>
      </c>
      <c r="H41" s="30" t="str">
        <f t="shared" si="1"/>
        <v>جيد</v>
      </c>
      <c r="I41" s="45"/>
      <c r="J41" s="46"/>
    </row>
    <row r="42" spans="1:10" ht="30" customHeight="1" x14ac:dyDescent="0.3">
      <c r="A42" s="10"/>
      <c r="B42" s="39" t="s">
        <v>215</v>
      </c>
      <c r="C42" s="40"/>
      <c r="D42" s="40"/>
      <c r="E42" s="31">
        <v>5</v>
      </c>
      <c r="F42" s="26">
        <v>4</v>
      </c>
      <c r="G42" s="29">
        <f t="shared" si="0"/>
        <v>0.8</v>
      </c>
      <c r="H42" s="30" t="str">
        <f t="shared" si="1"/>
        <v>جيد جداً</v>
      </c>
      <c r="I42" s="45"/>
      <c r="J42" s="46"/>
    </row>
    <row r="43" spans="1:10" ht="30" customHeight="1" x14ac:dyDescent="0.3">
      <c r="A43" s="10"/>
      <c r="B43" s="39" t="s">
        <v>216</v>
      </c>
      <c r="C43" s="40"/>
      <c r="D43" s="40"/>
      <c r="E43" s="31">
        <v>5</v>
      </c>
      <c r="F43" s="26">
        <v>3.5</v>
      </c>
      <c r="G43" s="29">
        <f t="shared" si="0"/>
        <v>0.7</v>
      </c>
      <c r="H43" s="30" t="str">
        <f t="shared" si="1"/>
        <v>جيد</v>
      </c>
      <c r="I43" s="45"/>
      <c r="J43" s="46"/>
    </row>
    <row r="44" spans="1:10" ht="30" customHeight="1" x14ac:dyDescent="0.3">
      <c r="A44" s="10"/>
      <c r="B44" s="39" t="s">
        <v>217</v>
      </c>
      <c r="C44" s="40"/>
      <c r="D44" s="40"/>
      <c r="E44" s="31">
        <v>5</v>
      </c>
      <c r="F44" s="26">
        <v>3.5</v>
      </c>
      <c r="G44" s="29">
        <f t="shared" si="0"/>
        <v>0.7</v>
      </c>
      <c r="H44" s="30" t="str">
        <f t="shared" si="1"/>
        <v>جيد</v>
      </c>
      <c r="I44" s="45"/>
      <c r="J44" s="46"/>
    </row>
    <row r="45" spans="1:10" ht="30" customHeight="1" thickBot="1" x14ac:dyDescent="0.35">
      <c r="A45" s="10"/>
      <c r="B45" s="41" t="s">
        <v>218</v>
      </c>
      <c r="C45" s="42"/>
      <c r="D45" s="42"/>
      <c r="E45" s="36">
        <v>5</v>
      </c>
      <c r="F45" s="27">
        <v>3.5</v>
      </c>
      <c r="G45" s="37">
        <f t="shared" si="0"/>
        <v>0.7</v>
      </c>
      <c r="H45" s="38" t="str">
        <f t="shared" si="1"/>
        <v>جيد</v>
      </c>
      <c r="I45" s="51"/>
      <c r="J45" s="52"/>
    </row>
    <row r="46" spans="1:10" ht="30" customHeight="1" thickBot="1" x14ac:dyDescent="0.35">
      <c r="A46" s="4"/>
      <c r="B46" s="49" t="s">
        <v>5</v>
      </c>
      <c r="C46" s="50"/>
      <c r="D46" s="50"/>
      <c r="E46" s="9">
        <f>SUM(E8:E45)</f>
        <v>170</v>
      </c>
      <c r="F46" s="9">
        <f>SUM(F8:F45)</f>
        <v>125.25</v>
      </c>
      <c r="G46" s="63"/>
      <c r="H46" s="64"/>
      <c r="I46" s="64"/>
      <c r="J46" s="65"/>
    </row>
    <row r="47" spans="1:10" ht="30" customHeight="1" thickBot="1" x14ac:dyDescent="0.35">
      <c r="A47" s="4"/>
      <c r="B47" s="49" t="s">
        <v>52</v>
      </c>
      <c r="C47" s="50"/>
      <c r="D47" s="50"/>
      <c r="E47" s="59">
        <f>F46/E46/100*100</f>
        <v>0.73676470588235299</v>
      </c>
      <c r="F47" s="59"/>
      <c r="G47" s="59"/>
      <c r="H47" s="59"/>
      <c r="I47" s="59"/>
      <c r="J47" s="60"/>
    </row>
    <row r="48" spans="1:10" ht="30" customHeight="1" thickBot="1" x14ac:dyDescent="0.35">
      <c r="A48" s="4"/>
      <c r="B48" s="49" t="s">
        <v>53</v>
      </c>
      <c r="C48" s="50"/>
      <c r="D48" s="50"/>
      <c r="E48" s="57" t="str">
        <f>_xlfn.IFS(E47&gt;=90%,"ممتاز",E47&gt;=80%,"جيد جداً",E47&gt;=70%,"جيد",E47&gt;=60%,"مقبول",E47&lt;60%,"راسب")</f>
        <v>جيد</v>
      </c>
      <c r="F48" s="57"/>
      <c r="G48" s="57"/>
      <c r="H48" s="57"/>
      <c r="I48" s="57"/>
      <c r="J48" s="58"/>
    </row>
    <row r="49" spans="1:10" ht="42" customHeight="1" x14ac:dyDescent="0.3">
      <c r="B49" s="53" t="s">
        <v>172</v>
      </c>
      <c r="C49" s="53"/>
      <c r="D49" s="53"/>
      <c r="E49" s="61" t="s">
        <v>50</v>
      </c>
      <c r="F49" s="61"/>
      <c r="G49" s="55" t="s">
        <v>160</v>
      </c>
      <c r="H49" s="55"/>
      <c r="I49" s="55"/>
      <c r="J49" s="55"/>
    </row>
    <row r="50" spans="1:10" ht="51" customHeight="1" x14ac:dyDescent="0.3">
      <c r="A50" s="5"/>
      <c r="B50" s="54"/>
      <c r="C50" s="54"/>
      <c r="D50" s="54"/>
      <c r="E50" s="62" t="s">
        <v>51</v>
      </c>
      <c r="F50" s="62"/>
      <c r="G50" s="56"/>
      <c r="H50" s="56"/>
      <c r="I50" s="56"/>
      <c r="J50" s="56"/>
    </row>
  </sheetData>
  <sheetProtection sheet="1" formatCells="0" formatColumns="0" formatRows="0" insertColumns="0" insertRows="0" insertHyperlinks="0" deleteColumns="0" deleteRows="0" selectLockedCells="1" sort="0" autoFilter="0" pivotTables="0"/>
  <mergeCells count="97">
    <mergeCell ref="B7:D7"/>
    <mergeCell ref="I38:J38"/>
    <mergeCell ref="I39:J39"/>
    <mergeCell ref="I30:J30"/>
    <mergeCell ref="I31:J31"/>
    <mergeCell ref="I37:J37"/>
    <mergeCell ref="I7:J7"/>
    <mergeCell ref="I10:J10"/>
    <mergeCell ref="I19:J19"/>
    <mergeCell ref="I20:J20"/>
    <mergeCell ref="I21:J21"/>
    <mergeCell ref="I22:J22"/>
    <mergeCell ref="I23:J23"/>
    <mergeCell ref="I24:J24"/>
    <mergeCell ref="I25:J25"/>
    <mergeCell ref="I26:J26"/>
    <mergeCell ref="B1:J1"/>
    <mergeCell ref="F2:J2"/>
    <mergeCell ref="B5:D6"/>
    <mergeCell ref="C2:D2"/>
    <mergeCell ref="C3:D3"/>
    <mergeCell ref="F3:J3"/>
    <mergeCell ref="E5:H5"/>
    <mergeCell ref="I5:J6"/>
    <mergeCell ref="B49:D50"/>
    <mergeCell ref="G49:J49"/>
    <mergeCell ref="G50:J50"/>
    <mergeCell ref="E48:J48"/>
    <mergeCell ref="I40:J40"/>
    <mergeCell ref="I41:J41"/>
    <mergeCell ref="I42:J42"/>
    <mergeCell ref="I43:J43"/>
    <mergeCell ref="I44:J44"/>
    <mergeCell ref="E47:J47"/>
    <mergeCell ref="I45:J45"/>
    <mergeCell ref="E49:F49"/>
    <mergeCell ref="E50:F50"/>
    <mergeCell ref="G46:J46"/>
    <mergeCell ref="B46:D46"/>
    <mergeCell ref="B47:D47"/>
    <mergeCell ref="B48:D48"/>
    <mergeCell ref="I11:J11"/>
    <mergeCell ref="I12:J12"/>
    <mergeCell ref="I13:J13"/>
    <mergeCell ref="I14:J14"/>
    <mergeCell ref="I15:J15"/>
    <mergeCell ref="I16:J16"/>
    <mergeCell ref="I17:J17"/>
    <mergeCell ref="I18:J18"/>
    <mergeCell ref="I28:J28"/>
    <mergeCell ref="I29:J29"/>
    <mergeCell ref="I27:J27"/>
    <mergeCell ref="I33:J33"/>
    <mergeCell ref="I34:J34"/>
    <mergeCell ref="I35:J35"/>
    <mergeCell ref="I36:J36"/>
    <mergeCell ref="B16:D16"/>
    <mergeCell ref="I32:J32"/>
    <mergeCell ref="B8:D8"/>
    <mergeCell ref="B9:D9"/>
    <mergeCell ref="B10:D10"/>
    <mergeCell ref="B11:D11"/>
    <mergeCell ref="B12:D12"/>
    <mergeCell ref="B31:D31"/>
    <mergeCell ref="B32:D32"/>
    <mergeCell ref="I8:J8"/>
    <mergeCell ref="I9:J9"/>
    <mergeCell ref="B13:D13"/>
    <mergeCell ref="B14:D14"/>
    <mergeCell ref="B15:D15"/>
    <mergeCell ref="B33:D33"/>
    <mergeCell ref="B34:D34"/>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44:D44"/>
    <mergeCell ref="B45:D45"/>
    <mergeCell ref="B35:D35"/>
    <mergeCell ref="B36:D36"/>
    <mergeCell ref="B37:D37"/>
    <mergeCell ref="B38:D38"/>
    <mergeCell ref="B39:D39"/>
    <mergeCell ref="B40:D40"/>
    <mergeCell ref="B41:D41"/>
    <mergeCell ref="B42:D42"/>
    <mergeCell ref="B43:D43"/>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48">
    <cfRule type="expression" dxfId="14" priority="57">
      <formula>$E48="راسب"</formula>
    </cfRule>
  </conditionalFormatting>
  <conditionalFormatting sqref="E48:J48">
    <cfRule type="expression" dxfId="13" priority="58">
      <formula>$E48="مقبول"</formula>
    </cfRule>
    <cfRule type="expression" dxfId="12" priority="59">
      <formula>$E48="جيد"</formula>
    </cfRule>
    <cfRule type="expression" dxfId="11" priority="60">
      <formula>$E48="جيد جداً"</formula>
    </cfRule>
    <cfRule type="expression" dxfId="10" priority="61">
      <formula>$E48="ممتاز"</formula>
    </cfRule>
  </conditionalFormatting>
  <conditionalFormatting sqref="F8:F45">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49:J49">
    <cfRule type="containsText" dxfId="6" priority="15" operator="containsText" text="أدخل اسم المحكم">
      <formula>NOT(ISERROR(SEARCH("أدخل اسم المحكم",G49)))</formula>
    </cfRule>
  </conditionalFormatting>
  <conditionalFormatting sqref="H8:H45">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2"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F27846E5-4775-4613-AD3F-6A647663FDD7}">
          <x14:formula1>
            <xm:f>'بيانات التقييم'!$A$38:$A$106</xm:f>
          </x14:formula1>
          <xm:sqref>F2:J2</xm:sqref>
        </x14:dataValidation>
        <x14:dataValidation type="list" allowBlank="1" showInputMessage="1" showErrorMessage="1" xr:uid="{29F5EBBB-8CF0-4EBC-9568-49582573F3A1}">
          <x14:formula1>
            <xm:f>'بيانات التقييم'!$A$1:$A$34</xm:f>
          </x14:formula1>
          <xm:sqref>C2:D2</xm:sqref>
        </x14:dataValidation>
        <x14:dataValidation type="list" allowBlank="1" showInputMessage="1" showErrorMessage="1" xr:uid="{5A7ADC9F-6098-4415-8DD4-849A148D02E3}">
          <x14:formula1>
            <xm:f>'بيانات التقييم'!$A$111:$A$133</xm:f>
          </x14:formula1>
          <xm:sqref>F31:F45 F24:F29 F15:F22 F9:F13</xm:sqref>
        </x14:dataValidation>
        <x14:dataValidation type="list" allowBlank="1" showInputMessage="1" showErrorMessage="1" xr:uid="{BD8CB5A2-5F32-4EAD-A63C-382D3B90B847}">
          <x14:formula1>
            <xm:f>'بيانات التقييم'!$A$198:$A$286</xm:f>
          </x14:formula1>
          <xm:sqref>G49:J49 F3:J3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8"/>
  <sheetViews>
    <sheetView rightToLeft="1" topLeftCell="A54" workbookViewId="0">
      <selection activeCell="A64" sqref="A64"/>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55</v>
      </c>
      <c r="C1" s="2" t="s">
        <v>58</v>
      </c>
    </row>
    <row r="2" spans="1:3" ht="20.100000000000001" customHeight="1" thickBot="1" x14ac:dyDescent="0.35">
      <c r="A2" s="2" t="s">
        <v>33</v>
      </c>
      <c r="C2" s="19" t="s">
        <v>60</v>
      </c>
    </row>
    <row r="3" spans="1:3" ht="20.100000000000001" customHeight="1" thickBot="1" x14ac:dyDescent="0.35">
      <c r="A3" s="2" t="s">
        <v>24</v>
      </c>
      <c r="C3" s="19" t="s">
        <v>61</v>
      </c>
    </row>
    <row r="4" spans="1:3" ht="20.100000000000001" customHeight="1" thickBot="1" x14ac:dyDescent="0.35">
      <c r="A4" s="2" t="s">
        <v>34</v>
      </c>
      <c r="C4" s="19" t="s">
        <v>62</v>
      </c>
    </row>
    <row r="5" spans="1:3" ht="20.100000000000001" customHeight="1" thickBot="1" x14ac:dyDescent="0.35">
      <c r="A5" s="2" t="s">
        <v>35</v>
      </c>
      <c r="C5" s="19" t="s">
        <v>63</v>
      </c>
    </row>
    <row r="6" spans="1:3" ht="20.100000000000001" customHeight="1" thickBot="1" x14ac:dyDescent="0.35">
      <c r="A6" s="2" t="s">
        <v>36</v>
      </c>
      <c r="C6" s="19" t="s">
        <v>64</v>
      </c>
    </row>
    <row r="7" spans="1:3" ht="20.100000000000001" customHeight="1" thickBot="1" x14ac:dyDescent="0.35">
      <c r="A7" s="2" t="s">
        <v>37</v>
      </c>
      <c r="C7" s="19" t="s">
        <v>65</v>
      </c>
    </row>
    <row r="8" spans="1:3" ht="20.100000000000001" customHeight="1" thickBot="1" x14ac:dyDescent="0.35">
      <c r="A8" s="2" t="s">
        <v>38</v>
      </c>
      <c r="C8" s="19" t="s">
        <v>66</v>
      </c>
    </row>
    <row r="9" spans="1:3" ht="20.100000000000001" customHeight="1" thickBot="1" x14ac:dyDescent="0.35">
      <c r="A9" s="2" t="s">
        <v>39</v>
      </c>
      <c r="C9" s="19" t="s">
        <v>67</v>
      </c>
    </row>
    <row r="10" spans="1:3" ht="20.100000000000001" customHeight="1" thickBot="1" x14ac:dyDescent="0.35">
      <c r="A10" s="2" t="s">
        <v>40</v>
      </c>
      <c r="C10" s="19" t="s">
        <v>68</v>
      </c>
    </row>
    <row r="11" spans="1:3" ht="20.100000000000001" customHeight="1" thickBot="1" x14ac:dyDescent="0.35">
      <c r="A11" s="2" t="s">
        <v>41</v>
      </c>
      <c r="C11" s="19" t="s">
        <v>69</v>
      </c>
    </row>
    <row r="12" spans="1:3" ht="20.100000000000001" customHeight="1" thickBot="1" x14ac:dyDescent="0.35">
      <c r="A12" s="2" t="s">
        <v>42</v>
      </c>
      <c r="C12" s="19" t="s">
        <v>70</v>
      </c>
    </row>
    <row r="13" spans="1:3" ht="20.100000000000001" customHeight="1" thickBot="1" x14ac:dyDescent="0.35">
      <c r="A13" s="2" t="s">
        <v>43</v>
      </c>
      <c r="C13" s="19" t="s">
        <v>71</v>
      </c>
    </row>
    <row r="14" spans="1:3" ht="20.100000000000001" customHeight="1" thickBot="1" x14ac:dyDescent="0.35">
      <c r="A14" s="2" t="s">
        <v>44</v>
      </c>
      <c r="C14" s="19" t="s">
        <v>72</v>
      </c>
    </row>
    <row r="15" spans="1:3" ht="20.100000000000001" customHeight="1" thickBot="1" x14ac:dyDescent="0.35">
      <c r="A15" s="2" t="s">
        <v>45</v>
      </c>
      <c r="C15" s="19" t="s">
        <v>73</v>
      </c>
    </row>
    <row r="16" spans="1:3" ht="20.100000000000001" customHeight="1" thickBot="1" x14ac:dyDescent="0.35">
      <c r="A16" s="2" t="s">
        <v>8</v>
      </c>
      <c r="C16" s="19" t="s">
        <v>74</v>
      </c>
    </row>
    <row r="17" spans="1:3" ht="20.100000000000001" customHeight="1" thickBot="1" x14ac:dyDescent="0.35">
      <c r="A17" s="2" t="s">
        <v>25</v>
      </c>
      <c r="C17" s="19" t="s">
        <v>75</v>
      </c>
    </row>
    <row r="18" spans="1:3" ht="20.100000000000001" customHeight="1" thickBot="1" x14ac:dyDescent="0.35">
      <c r="A18" s="2" t="s">
        <v>46</v>
      </c>
      <c r="C18" s="19" t="s">
        <v>76</v>
      </c>
    </row>
    <row r="19" spans="1:3" ht="20.100000000000001" customHeight="1" thickBot="1" x14ac:dyDescent="0.35">
      <c r="A19" s="2" t="s">
        <v>47</v>
      </c>
      <c r="C19" s="19" t="s">
        <v>77</v>
      </c>
    </row>
    <row r="20" spans="1:3" ht="20.100000000000001" customHeight="1" thickBot="1" x14ac:dyDescent="0.35">
      <c r="A20" s="2" t="s">
        <v>48</v>
      </c>
      <c r="C20" s="19" t="s">
        <v>78</v>
      </c>
    </row>
    <row r="21" spans="1:3" ht="20.100000000000001" customHeight="1" thickBot="1" x14ac:dyDescent="0.35">
      <c r="A21" s="2" t="s">
        <v>49</v>
      </c>
      <c r="C21" s="19" t="s">
        <v>79</v>
      </c>
    </row>
    <row r="22" spans="1:3" ht="20.100000000000001" customHeight="1" thickBot="1" x14ac:dyDescent="0.35">
      <c r="A22" s="2" t="s">
        <v>9</v>
      </c>
      <c r="C22" s="19" t="s">
        <v>80</v>
      </c>
    </row>
    <row r="23" spans="1:3" ht="20.100000000000001" customHeight="1" thickBot="1" x14ac:dyDescent="0.35">
      <c r="A23" s="2" t="s">
        <v>10</v>
      </c>
      <c r="C23" s="19" t="s">
        <v>81</v>
      </c>
    </row>
    <row r="24" spans="1:3" ht="20.100000000000001" customHeight="1" thickBot="1" x14ac:dyDescent="0.35">
      <c r="A24" s="2" t="s">
        <v>13</v>
      </c>
      <c r="C24" s="19" t="s">
        <v>82</v>
      </c>
    </row>
    <row r="25" spans="1:3" ht="20.100000000000001" customHeight="1" thickBot="1" x14ac:dyDescent="0.35">
      <c r="A25" s="2" t="s">
        <v>26</v>
      </c>
      <c r="C25" s="19" t="s">
        <v>83</v>
      </c>
    </row>
    <row r="26" spans="1:3" ht="20.100000000000001" customHeight="1" thickBot="1" x14ac:dyDescent="0.35">
      <c r="A26" s="2" t="s">
        <v>27</v>
      </c>
      <c r="C26" s="19" t="s">
        <v>84</v>
      </c>
    </row>
    <row r="27" spans="1:3" ht="20.100000000000001" customHeight="1" thickBot="1" x14ac:dyDescent="0.35">
      <c r="A27" s="2" t="s">
        <v>11</v>
      </c>
      <c r="C27" s="19" t="s">
        <v>85</v>
      </c>
    </row>
    <row r="28" spans="1:3" ht="20.100000000000001" customHeight="1" thickBot="1" x14ac:dyDescent="0.35">
      <c r="A28" s="2" t="s">
        <v>28</v>
      </c>
      <c r="C28" s="19" t="s">
        <v>86</v>
      </c>
    </row>
    <row r="29" spans="1:3" ht="20.100000000000001" customHeight="1" thickBot="1" x14ac:dyDescent="0.35">
      <c r="A29" s="2" t="s">
        <v>29</v>
      </c>
      <c r="C29" s="19" t="s">
        <v>175</v>
      </c>
    </row>
    <row r="30" spans="1:3" ht="20.100000000000001" customHeight="1" thickBot="1" x14ac:dyDescent="0.35">
      <c r="A30" s="2" t="s">
        <v>30</v>
      </c>
      <c r="C30" s="19" t="s">
        <v>176</v>
      </c>
    </row>
    <row r="31" spans="1:3" ht="20.100000000000001" customHeight="1" thickBot="1" x14ac:dyDescent="0.35">
      <c r="A31" s="2" t="s">
        <v>31</v>
      </c>
      <c r="C31" s="19" t="s">
        <v>177</v>
      </c>
    </row>
    <row r="32" spans="1:3" ht="20.100000000000001" customHeight="1" thickBot="1" x14ac:dyDescent="0.35">
      <c r="A32" s="2" t="s">
        <v>14</v>
      </c>
      <c r="C32" s="19"/>
    </row>
    <row r="33" spans="1:9" ht="20.100000000000001" customHeight="1" thickBot="1" x14ac:dyDescent="0.35">
      <c r="A33" s="2" t="s">
        <v>12</v>
      </c>
      <c r="C33" s="19"/>
    </row>
    <row r="34" spans="1:9" ht="20.100000000000001" customHeight="1" thickBot="1" x14ac:dyDescent="0.35">
      <c r="A34" s="2" t="s">
        <v>32</v>
      </c>
      <c r="C34" s="19"/>
    </row>
    <row r="35" spans="1:9" ht="20.100000000000001" customHeight="1" x14ac:dyDescent="0.3">
      <c r="A35" s="18"/>
    </row>
    <row r="36" spans="1:9" s="17" customFormat="1" ht="20.100000000000001" customHeight="1" x14ac:dyDescent="0.3">
      <c r="A36" s="15"/>
      <c r="B36" s="16"/>
      <c r="C36" s="16"/>
      <c r="D36" s="16"/>
      <c r="E36" s="16"/>
      <c r="F36" s="16"/>
      <c r="G36" s="16"/>
      <c r="H36" s="16"/>
      <c r="I36" s="16"/>
    </row>
    <row r="37" spans="1:9" ht="20.100000000000001" customHeight="1" thickBot="1" x14ac:dyDescent="0.35"/>
    <row r="38" spans="1:9" ht="20.100000000000001" customHeight="1" thickBot="1" x14ac:dyDescent="0.35">
      <c r="A38" s="2" t="s">
        <v>54</v>
      </c>
    </row>
    <row r="39" spans="1:9" ht="20.100000000000001" customHeight="1" thickBot="1" x14ac:dyDescent="0.35">
      <c r="A39" s="13">
        <v>45931</v>
      </c>
    </row>
    <row r="40" spans="1:9" ht="20.100000000000001" customHeight="1" thickBot="1" x14ac:dyDescent="0.35">
      <c r="A40" s="13">
        <v>45932</v>
      </c>
    </row>
    <row r="41" spans="1:9" ht="20.100000000000001" customHeight="1" thickBot="1" x14ac:dyDescent="0.35">
      <c r="A41" s="13">
        <v>45933</v>
      </c>
    </row>
    <row r="42" spans="1:9" ht="20.100000000000001" customHeight="1" thickBot="1" x14ac:dyDescent="0.35">
      <c r="A42" s="13">
        <v>45934</v>
      </c>
    </row>
    <row r="43" spans="1:9" ht="20.100000000000001" customHeight="1" thickBot="1" x14ac:dyDescent="0.35">
      <c r="A43" s="13">
        <v>45935</v>
      </c>
    </row>
    <row r="44" spans="1:9" ht="20.100000000000001" customHeight="1" thickBot="1" x14ac:dyDescent="0.35">
      <c r="A44" s="13">
        <v>45936</v>
      </c>
    </row>
    <row r="45" spans="1:9" ht="20.100000000000001" customHeight="1" thickBot="1" x14ac:dyDescent="0.35">
      <c r="A45" s="13">
        <v>45937</v>
      </c>
    </row>
    <row r="46" spans="1:9" ht="20.100000000000001" customHeight="1" thickBot="1" x14ac:dyDescent="0.35">
      <c r="A46" s="13">
        <v>45938</v>
      </c>
    </row>
    <row r="47" spans="1:9" ht="20.100000000000001" customHeight="1" thickBot="1" x14ac:dyDescent="0.35">
      <c r="A47" s="13">
        <v>45939</v>
      </c>
    </row>
    <row r="48" spans="1:9" ht="20.100000000000001" customHeight="1" thickBot="1" x14ac:dyDescent="0.35">
      <c r="A48" s="13">
        <v>45940</v>
      </c>
    </row>
    <row r="49" spans="1:1" ht="20.100000000000001" customHeight="1" thickBot="1" x14ac:dyDescent="0.35">
      <c r="A49" s="13">
        <v>45941</v>
      </c>
    </row>
    <row r="50" spans="1:1" ht="20.100000000000001" customHeight="1" thickBot="1" x14ac:dyDescent="0.35">
      <c r="A50" s="13">
        <v>45942</v>
      </c>
    </row>
    <row r="51" spans="1:1" ht="20.100000000000001" customHeight="1" thickBot="1" x14ac:dyDescent="0.35">
      <c r="A51" s="13">
        <v>45943</v>
      </c>
    </row>
    <row r="52" spans="1:1" ht="20.100000000000001" customHeight="1" thickBot="1" x14ac:dyDescent="0.35">
      <c r="A52" s="13">
        <v>45944</v>
      </c>
    </row>
    <row r="53" spans="1:1" ht="20.100000000000001" customHeight="1" thickBot="1" x14ac:dyDescent="0.35">
      <c r="A53" s="13">
        <v>45945</v>
      </c>
    </row>
    <row r="54" spans="1:1" ht="20.100000000000001" customHeight="1" thickBot="1" x14ac:dyDescent="0.35">
      <c r="A54" s="13">
        <v>45946</v>
      </c>
    </row>
    <row r="55" spans="1:1" ht="20.100000000000001" customHeight="1" thickBot="1" x14ac:dyDescent="0.35">
      <c r="A55" s="13">
        <v>45947</v>
      </c>
    </row>
    <row r="56" spans="1:1" ht="20.100000000000001" customHeight="1" thickBot="1" x14ac:dyDescent="0.35">
      <c r="A56" s="13">
        <v>45948</v>
      </c>
    </row>
    <row r="57" spans="1:1" ht="20.100000000000001" customHeight="1" thickBot="1" x14ac:dyDescent="0.35">
      <c r="A57" s="13">
        <v>45949</v>
      </c>
    </row>
    <row r="58" spans="1:1" ht="20.100000000000001" customHeight="1" thickBot="1" x14ac:dyDescent="0.35">
      <c r="A58" s="13">
        <v>45950</v>
      </c>
    </row>
    <row r="59" spans="1:1" ht="20.100000000000001" customHeight="1" thickBot="1" x14ac:dyDescent="0.35">
      <c r="A59" s="13">
        <v>45951</v>
      </c>
    </row>
    <row r="60" spans="1:1" ht="20.100000000000001" customHeight="1" thickBot="1" x14ac:dyDescent="0.35">
      <c r="A60" s="13">
        <v>45952</v>
      </c>
    </row>
    <row r="61" spans="1:1" ht="20.100000000000001" customHeight="1" thickBot="1" x14ac:dyDescent="0.35">
      <c r="A61" s="13">
        <v>45953</v>
      </c>
    </row>
    <row r="62" spans="1:1" ht="20.100000000000001" customHeight="1" thickBot="1" x14ac:dyDescent="0.35">
      <c r="A62" s="13">
        <v>45954</v>
      </c>
    </row>
    <row r="63" spans="1:1" ht="20.100000000000001" customHeight="1" thickBot="1" x14ac:dyDescent="0.35">
      <c r="A63" s="13">
        <v>45955</v>
      </c>
    </row>
    <row r="64" spans="1:1" ht="20.100000000000001" customHeight="1" thickBot="1" x14ac:dyDescent="0.35">
      <c r="A64" s="13">
        <v>45956</v>
      </c>
    </row>
    <row r="65" spans="1:1" ht="20.100000000000001" customHeight="1" thickBot="1" x14ac:dyDescent="0.35">
      <c r="A65" s="13">
        <v>45957</v>
      </c>
    </row>
    <row r="66" spans="1:1" ht="20.100000000000001" customHeight="1" thickBot="1" x14ac:dyDescent="0.35">
      <c r="A66" s="13">
        <v>45958</v>
      </c>
    </row>
    <row r="67" spans="1:1" ht="20.100000000000001" customHeight="1" thickBot="1" x14ac:dyDescent="0.35">
      <c r="A67" s="13">
        <v>45959</v>
      </c>
    </row>
    <row r="68" spans="1:1" ht="20.100000000000001" customHeight="1" thickBot="1" x14ac:dyDescent="0.35">
      <c r="A68" s="13">
        <v>45960</v>
      </c>
    </row>
    <row r="69" spans="1:1" ht="20.100000000000001" customHeight="1" thickBot="1" x14ac:dyDescent="0.35">
      <c r="A69" s="13">
        <v>45961</v>
      </c>
    </row>
    <row r="70" spans="1:1" ht="20.100000000000001" customHeight="1" thickBot="1" x14ac:dyDescent="0.35">
      <c r="A70" s="13"/>
    </row>
    <row r="71" spans="1:1" ht="20.100000000000001" customHeight="1" thickBot="1" x14ac:dyDescent="0.35">
      <c r="A71" s="13"/>
    </row>
    <row r="72" spans="1:1" ht="20.100000000000001" customHeight="1" thickBot="1" x14ac:dyDescent="0.35">
      <c r="A72" s="13"/>
    </row>
    <row r="73" spans="1:1" ht="20.100000000000001" customHeight="1" thickBot="1" x14ac:dyDescent="0.35">
      <c r="A73" s="13"/>
    </row>
    <row r="74" spans="1:1" ht="20.100000000000001" customHeight="1" thickBot="1" x14ac:dyDescent="0.35">
      <c r="A74" s="13"/>
    </row>
    <row r="75" spans="1:1" ht="20.100000000000001" customHeight="1" thickBot="1" x14ac:dyDescent="0.35">
      <c r="A75" s="13"/>
    </row>
    <row r="76" spans="1:1" ht="20.100000000000001" customHeight="1" thickBot="1" x14ac:dyDescent="0.35">
      <c r="A76" s="13"/>
    </row>
    <row r="77" spans="1:1" ht="20.100000000000001" customHeight="1" thickBot="1" x14ac:dyDescent="0.35">
      <c r="A77" s="13"/>
    </row>
    <row r="78" spans="1:1" ht="20.100000000000001" customHeight="1" thickBot="1" x14ac:dyDescent="0.35">
      <c r="A78" s="13"/>
    </row>
    <row r="79" spans="1:1" ht="20.100000000000001" customHeight="1" thickBot="1" x14ac:dyDescent="0.35">
      <c r="A79" s="13"/>
    </row>
    <row r="80" spans="1:1" ht="20.100000000000001" customHeight="1" thickBot="1" x14ac:dyDescent="0.35">
      <c r="A80" s="13"/>
    </row>
    <row r="81" spans="1:1" ht="20.100000000000001" customHeight="1" thickBot="1" x14ac:dyDescent="0.35">
      <c r="A81" s="13"/>
    </row>
    <row r="82" spans="1:1" ht="20.100000000000001" customHeight="1" thickBot="1" x14ac:dyDescent="0.35">
      <c r="A82" s="13"/>
    </row>
    <row r="83" spans="1:1" ht="20.100000000000001" customHeight="1" thickBot="1" x14ac:dyDescent="0.35">
      <c r="A83" s="13"/>
    </row>
    <row r="84" spans="1:1" ht="20.100000000000001" customHeight="1" thickBot="1" x14ac:dyDescent="0.35">
      <c r="A84" s="13"/>
    </row>
    <row r="85" spans="1:1" ht="20.100000000000001" customHeight="1" thickBot="1" x14ac:dyDescent="0.35">
      <c r="A85" s="13"/>
    </row>
    <row r="86" spans="1:1" ht="20.100000000000001" customHeight="1" thickBot="1" x14ac:dyDescent="0.35">
      <c r="A86" s="13"/>
    </row>
    <row r="87" spans="1:1" ht="20.100000000000001" customHeight="1" thickBot="1" x14ac:dyDescent="0.35">
      <c r="A87" s="13"/>
    </row>
    <row r="88" spans="1:1" ht="20.100000000000001" customHeight="1" thickBot="1" x14ac:dyDescent="0.35">
      <c r="A88" s="13"/>
    </row>
    <row r="89" spans="1:1" ht="20.100000000000001" customHeight="1" thickBot="1" x14ac:dyDescent="0.35">
      <c r="A89" s="13"/>
    </row>
    <row r="90" spans="1:1" ht="20.100000000000001" customHeight="1" thickBot="1" x14ac:dyDescent="0.35">
      <c r="A90" s="13"/>
    </row>
    <row r="91" spans="1:1" ht="20.100000000000001" customHeight="1" thickBot="1" x14ac:dyDescent="0.35">
      <c r="A91" s="13"/>
    </row>
    <row r="92" spans="1:1" ht="20.100000000000001" customHeight="1" thickBot="1" x14ac:dyDescent="0.35">
      <c r="A92" s="13"/>
    </row>
    <row r="93" spans="1:1" ht="20.100000000000001" customHeight="1" thickBot="1" x14ac:dyDescent="0.35">
      <c r="A93" s="13"/>
    </row>
    <row r="94" spans="1:1" ht="20.100000000000001" customHeight="1" thickBot="1" x14ac:dyDescent="0.35">
      <c r="A94" s="13"/>
    </row>
    <row r="95" spans="1:1" ht="20.100000000000001" customHeight="1" thickBot="1" x14ac:dyDescent="0.35">
      <c r="A95" s="13"/>
    </row>
    <row r="96" spans="1:1" ht="20.100000000000001" customHeight="1" thickBot="1" x14ac:dyDescent="0.35">
      <c r="A96" s="13"/>
    </row>
    <row r="97" spans="1:9" ht="20.100000000000001" customHeight="1" thickBot="1" x14ac:dyDescent="0.35">
      <c r="A97" s="13"/>
    </row>
    <row r="98" spans="1:9" ht="20.100000000000001" customHeight="1" thickBot="1" x14ac:dyDescent="0.35">
      <c r="A98" s="13"/>
    </row>
    <row r="99" spans="1:9" ht="20.100000000000001" customHeight="1" thickBot="1" x14ac:dyDescent="0.35">
      <c r="A99" s="13"/>
    </row>
    <row r="100" spans="1:9" ht="20.100000000000001" customHeight="1" thickBot="1" x14ac:dyDescent="0.35">
      <c r="A100" s="13"/>
    </row>
    <row r="101" spans="1:9" ht="20.100000000000001" customHeight="1" thickBot="1" x14ac:dyDescent="0.35">
      <c r="A101" s="13"/>
    </row>
    <row r="102" spans="1:9" ht="20.100000000000001" customHeight="1" thickBot="1" x14ac:dyDescent="0.35">
      <c r="A102" s="13"/>
    </row>
    <row r="103" spans="1:9" ht="20.100000000000001" customHeight="1" thickBot="1" x14ac:dyDescent="0.35">
      <c r="A103" s="13"/>
    </row>
    <row r="104" spans="1:9" ht="20.100000000000001" customHeight="1" thickBot="1" x14ac:dyDescent="0.35">
      <c r="A104" s="13"/>
    </row>
    <row r="105" spans="1:9" ht="20.100000000000001" customHeight="1" thickBot="1" x14ac:dyDescent="0.35">
      <c r="A105" s="13"/>
    </row>
    <row r="106" spans="1:9" ht="20.100000000000001" customHeight="1" thickBot="1" x14ac:dyDescent="0.35">
      <c r="A106" s="13"/>
    </row>
    <row r="107" spans="1:9" ht="20.100000000000001" customHeight="1" x14ac:dyDescent="0.3">
      <c r="A107" s="14"/>
    </row>
    <row r="108" spans="1:9" ht="20.100000000000001" customHeight="1" x14ac:dyDescent="0.3">
      <c r="A108" s="14"/>
    </row>
    <row r="109" spans="1:9" s="17" customFormat="1" ht="20.100000000000001" customHeight="1" x14ac:dyDescent="0.3">
      <c r="A109" s="15"/>
      <c r="B109" s="16"/>
      <c r="C109" s="16"/>
      <c r="D109" s="16"/>
      <c r="E109" s="16"/>
      <c r="F109" s="16"/>
      <c r="G109" s="16"/>
      <c r="H109" s="16"/>
      <c r="I109" s="16"/>
    </row>
    <row r="110" spans="1:9" ht="20.100000000000001" customHeight="1" thickBot="1" x14ac:dyDescent="0.35"/>
    <row r="111" spans="1:9" ht="20.100000000000001" customHeight="1" thickBot="1" x14ac:dyDescent="0.35">
      <c r="A111" s="2" t="s">
        <v>59</v>
      </c>
    </row>
    <row r="112" spans="1:9" ht="20.100000000000001" customHeight="1" thickBot="1" x14ac:dyDescent="0.35">
      <c r="A112" s="2" t="s">
        <v>15</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57</v>
      </c>
    </row>
    <row r="199" spans="1:1" ht="20.100000000000001" customHeight="1" x14ac:dyDescent="0.3">
      <c r="A199" s="20" t="s">
        <v>87</v>
      </c>
    </row>
    <row r="200" spans="1:1" ht="20.100000000000001" customHeight="1" x14ac:dyDescent="0.3">
      <c r="A200" s="20" t="s">
        <v>88</v>
      </c>
    </row>
    <row r="201" spans="1:1" ht="20.100000000000001" customHeight="1" x14ac:dyDescent="0.3">
      <c r="A201" s="20" t="s">
        <v>89</v>
      </c>
    </row>
    <row r="202" spans="1:1" ht="20.100000000000001" customHeight="1" x14ac:dyDescent="0.3">
      <c r="A202" s="20" t="s">
        <v>90</v>
      </c>
    </row>
    <row r="203" spans="1:1" ht="20.100000000000001" customHeight="1" x14ac:dyDescent="0.3">
      <c r="A203" s="20" t="s">
        <v>91</v>
      </c>
    </row>
    <row r="204" spans="1:1" ht="20.100000000000001" customHeight="1" x14ac:dyDescent="0.3">
      <c r="A204" s="20" t="s">
        <v>92</v>
      </c>
    </row>
    <row r="205" spans="1:1" ht="20.100000000000001" customHeight="1" x14ac:dyDescent="0.3">
      <c r="A205" s="20" t="s">
        <v>93</v>
      </c>
    </row>
    <row r="206" spans="1:1" ht="20.100000000000001" customHeight="1" x14ac:dyDescent="0.3">
      <c r="A206" s="20" t="s">
        <v>94</v>
      </c>
    </row>
    <row r="207" spans="1:1" ht="20.100000000000001" customHeight="1" x14ac:dyDescent="0.3">
      <c r="A207" s="20" t="s">
        <v>95</v>
      </c>
    </row>
    <row r="208" spans="1:1" ht="20.100000000000001" customHeight="1" x14ac:dyDescent="0.3">
      <c r="A208" s="21" t="s">
        <v>96</v>
      </c>
    </row>
    <row r="209" spans="1:1" ht="20.100000000000001" customHeight="1" x14ac:dyDescent="0.3">
      <c r="A209" s="21" t="s">
        <v>97</v>
      </c>
    </row>
    <row r="210" spans="1:1" ht="20.100000000000001" customHeight="1" x14ac:dyDescent="0.3">
      <c r="A210" s="20" t="s">
        <v>98</v>
      </c>
    </row>
    <row r="211" spans="1:1" ht="20.100000000000001" customHeight="1" x14ac:dyDescent="0.3">
      <c r="A211" s="20" t="s">
        <v>99</v>
      </c>
    </row>
    <row r="212" spans="1:1" ht="20.100000000000001" customHeight="1" x14ac:dyDescent="0.3">
      <c r="A212" s="20" t="s">
        <v>173</v>
      </c>
    </row>
    <row r="213" spans="1:1" ht="20.100000000000001" customHeight="1" x14ac:dyDescent="0.3">
      <c r="A213" s="20" t="s">
        <v>100</v>
      </c>
    </row>
    <row r="214" spans="1:1" ht="20.100000000000001" customHeight="1" x14ac:dyDescent="0.3">
      <c r="A214" s="20" t="s">
        <v>101</v>
      </c>
    </row>
    <row r="215" spans="1:1" ht="20.100000000000001" customHeight="1" x14ac:dyDescent="0.3">
      <c r="A215" s="20" t="s">
        <v>102</v>
      </c>
    </row>
    <row r="216" spans="1:1" ht="20.100000000000001" customHeight="1" x14ac:dyDescent="0.3">
      <c r="A216" s="20" t="s">
        <v>103</v>
      </c>
    </row>
    <row r="217" spans="1:1" ht="20.100000000000001" customHeight="1" x14ac:dyDescent="0.3">
      <c r="A217" s="20" t="s">
        <v>104</v>
      </c>
    </row>
    <row r="218" spans="1:1" ht="20.100000000000001" customHeight="1" x14ac:dyDescent="0.3">
      <c r="A218" s="20" t="s">
        <v>105</v>
      </c>
    </row>
    <row r="219" spans="1:1" ht="20.100000000000001" customHeight="1" x14ac:dyDescent="0.3">
      <c r="A219" s="20" t="s">
        <v>106</v>
      </c>
    </row>
    <row r="220" spans="1:1" ht="20.100000000000001" customHeight="1" x14ac:dyDescent="0.3">
      <c r="A220" s="20" t="s">
        <v>107</v>
      </c>
    </row>
    <row r="221" spans="1:1" ht="20.100000000000001" customHeight="1" x14ac:dyDescent="0.3">
      <c r="A221" s="20" t="s">
        <v>108</v>
      </c>
    </row>
    <row r="222" spans="1:1" ht="20.100000000000001" customHeight="1" x14ac:dyDescent="0.3">
      <c r="A222" s="20" t="s">
        <v>109</v>
      </c>
    </row>
    <row r="223" spans="1:1" ht="20.100000000000001" customHeight="1" x14ac:dyDescent="0.3">
      <c r="A223" s="20" t="s">
        <v>110</v>
      </c>
    </row>
    <row r="224" spans="1:1" ht="20.100000000000001" customHeight="1" x14ac:dyDescent="0.3">
      <c r="A224" s="20" t="s">
        <v>174</v>
      </c>
    </row>
    <row r="225" spans="1:1" ht="20.100000000000001" customHeight="1" x14ac:dyDescent="0.3">
      <c r="A225" s="20" t="s">
        <v>111</v>
      </c>
    </row>
    <row r="226" spans="1:1" ht="20.100000000000001" customHeight="1" x14ac:dyDescent="0.3">
      <c r="A226" s="20" t="s">
        <v>112</v>
      </c>
    </row>
    <row r="227" spans="1:1" ht="20.100000000000001" customHeight="1" x14ac:dyDescent="0.3">
      <c r="A227" s="20" t="s">
        <v>113</v>
      </c>
    </row>
    <row r="228" spans="1:1" ht="20.100000000000001" customHeight="1" x14ac:dyDescent="0.3">
      <c r="A228" s="20" t="s">
        <v>114</v>
      </c>
    </row>
    <row r="229" spans="1:1" ht="20.100000000000001" customHeight="1" x14ac:dyDescent="0.3">
      <c r="A229" s="20" t="s">
        <v>115</v>
      </c>
    </row>
    <row r="230" spans="1:1" ht="20.100000000000001" customHeight="1" x14ac:dyDescent="0.3">
      <c r="A230" s="20" t="s">
        <v>116</v>
      </c>
    </row>
    <row r="231" spans="1:1" ht="20.100000000000001" customHeight="1" x14ac:dyDescent="0.3">
      <c r="A231" s="20" t="s">
        <v>117</v>
      </c>
    </row>
    <row r="232" spans="1:1" ht="20.100000000000001" customHeight="1" x14ac:dyDescent="0.3">
      <c r="A232" s="20" t="s">
        <v>118</v>
      </c>
    </row>
    <row r="233" spans="1:1" ht="20.100000000000001" customHeight="1" x14ac:dyDescent="0.3">
      <c r="A233" s="20" t="s">
        <v>119</v>
      </c>
    </row>
    <row r="234" spans="1:1" ht="20.100000000000001" customHeight="1" x14ac:dyDescent="0.3">
      <c r="A234" s="20" t="s">
        <v>120</v>
      </c>
    </row>
    <row r="235" spans="1:1" ht="20.100000000000001" customHeight="1" x14ac:dyDescent="0.3">
      <c r="A235" s="20" t="s">
        <v>121</v>
      </c>
    </row>
    <row r="236" spans="1:1" ht="20.100000000000001" customHeight="1" x14ac:dyDescent="0.3">
      <c r="A236" s="22" t="s">
        <v>122</v>
      </c>
    </row>
    <row r="237" spans="1:1" ht="20.100000000000001" customHeight="1" x14ac:dyDescent="0.3">
      <c r="A237" s="20" t="s">
        <v>123</v>
      </c>
    </row>
    <row r="238" spans="1:1" ht="20.100000000000001" customHeight="1" x14ac:dyDescent="0.3">
      <c r="A238" s="20" t="s">
        <v>124</v>
      </c>
    </row>
    <row r="239" spans="1:1" ht="20.100000000000001" customHeight="1" x14ac:dyDescent="0.3">
      <c r="A239" s="20" t="s">
        <v>125</v>
      </c>
    </row>
    <row r="240" spans="1:1" ht="20.100000000000001" customHeight="1" x14ac:dyDescent="0.3">
      <c r="A240" s="20" t="s">
        <v>126</v>
      </c>
    </row>
    <row r="241" spans="1:1" ht="20.100000000000001" customHeight="1" x14ac:dyDescent="0.3">
      <c r="A241" s="20" t="s">
        <v>127</v>
      </c>
    </row>
    <row r="242" spans="1:1" ht="20.100000000000001" customHeight="1" x14ac:dyDescent="0.3">
      <c r="A242" s="20" t="s">
        <v>128</v>
      </c>
    </row>
    <row r="243" spans="1:1" ht="20.100000000000001" customHeight="1" x14ac:dyDescent="0.3">
      <c r="A243" s="20" t="s">
        <v>129</v>
      </c>
    </row>
    <row r="244" spans="1:1" ht="20.100000000000001" customHeight="1" x14ac:dyDescent="0.3">
      <c r="A244" s="20" t="s">
        <v>130</v>
      </c>
    </row>
    <row r="245" spans="1:1" ht="20.100000000000001" customHeight="1" x14ac:dyDescent="0.3">
      <c r="A245" s="20" t="s">
        <v>131</v>
      </c>
    </row>
    <row r="246" spans="1:1" ht="20.100000000000001" customHeight="1" x14ac:dyDescent="0.3">
      <c r="A246" s="20" t="s">
        <v>132</v>
      </c>
    </row>
    <row r="247" spans="1:1" ht="20.100000000000001" customHeight="1" x14ac:dyDescent="0.3">
      <c r="A247" s="20" t="s">
        <v>133</v>
      </c>
    </row>
    <row r="248" spans="1:1" ht="20.100000000000001" customHeight="1" x14ac:dyDescent="0.3">
      <c r="A248" s="20" t="s">
        <v>124</v>
      </c>
    </row>
    <row r="249" spans="1:1" ht="20.100000000000001" customHeight="1" x14ac:dyDescent="0.3">
      <c r="A249" s="20" t="s">
        <v>134</v>
      </c>
    </row>
    <row r="250" spans="1:1" ht="20.100000000000001" customHeight="1" x14ac:dyDescent="0.3">
      <c r="A250" s="20" t="s">
        <v>135</v>
      </c>
    </row>
    <row r="251" spans="1:1" ht="20.100000000000001" customHeight="1" x14ac:dyDescent="0.3">
      <c r="A251" s="22" t="s">
        <v>136</v>
      </c>
    </row>
    <row r="252" spans="1:1" ht="20.100000000000001" customHeight="1" x14ac:dyDescent="0.3">
      <c r="A252" s="23" t="s">
        <v>137</v>
      </c>
    </row>
    <row r="253" spans="1:1" ht="20.100000000000001" customHeight="1" x14ac:dyDescent="0.3">
      <c r="A253" s="20" t="s">
        <v>138</v>
      </c>
    </row>
    <row r="254" spans="1:1" ht="20.100000000000001" customHeight="1" x14ac:dyDescent="0.3">
      <c r="A254" s="20" t="s">
        <v>139</v>
      </c>
    </row>
    <row r="255" spans="1:1" ht="20.100000000000001" customHeight="1" x14ac:dyDescent="0.3">
      <c r="A255" s="24" t="s">
        <v>140</v>
      </c>
    </row>
    <row r="256" spans="1:1" ht="20.100000000000001" customHeight="1" x14ac:dyDescent="0.3">
      <c r="A256" s="24" t="s">
        <v>141</v>
      </c>
    </row>
    <row r="257" spans="1:1" ht="20.100000000000001" customHeight="1" x14ac:dyDescent="0.3">
      <c r="A257" s="25" t="s">
        <v>142</v>
      </c>
    </row>
    <row r="258" spans="1:1" ht="20.100000000000001" customHeight="1" x14ac:dyDescent="0.3">
      <c r="A258" s="20" t="s">
        <v>143</v>
      </c>
    </row>
    <row r="259" spans="1:1" ht="20.100000000000001" customHeight="1" x14ac:dyDescent="0.3">
      <c r="A259" s="25" t="s">
        <v>144</v>
      </c>
    </row>
    <row r="260" spans="1:1" ht="20.100000000000001" customHeight="1" x14ac:dyDescent="0.3">
      <c r="A260" s="20" t="s">
        <v>145</v>
      </c>
    </row>
    <row r="261" spans="1:1" ht="20.100000000000001" customHeight="1" x14ac:dyDescent="0.3">
      <c r="A261" s="25" t="s">
        <v>146</v>
      </c>
    </row>
    <row r="262" spans="1:1" ht="20.100000000000001" customHeight="1" x14ac:dyDescent="0.3">
      <c r="A262" s="20" t="s">
        <v>147</v>
      </c>
    </row>
    <row r="263" spans="1:1" ht="20.100000000000001" customHeight="1" x14ac:dyDescent="0.3">
      <c r="A263" s="20" t="s">
        <v>148</v>
      </c>
    </row>
    <row r="264" spans="1:1" ht="20.100000000000001" customHeight="1" x14ac:dyDescent="0.3">
      <c r="A264" s="25" t="s">
        <v>149</v>
      </c>
    </row>
    <row r="265" spans="1:1" ht="20.100000000000001" customHeight="1" x14ac:dyDescent="0.3">
      <c r="A265" s="25" t="s">
        <v>150</v>
      </c>
    </row>
    <row r="266" spans="1:1" ht="20.100000000000001" customHeight="1" x14ac:dyDescent="0.3">
      <c r="A266" s="25" t="s">
        <v>151</v>
      </c>
    </row>
    <row r="267" spans="1:1" ht="20.100000000000001" customHeight="1" x14ac:dyDescent="0.3">
      <c r="A267" s="20" t="s">
        <v>152</v>
      </c>
    </row>
    <row r="268" spans="1:1" ht="20.100000000000001" customHeight="1" x14ac:dyDescent="0.3">
      <c r="A268" s="20" t="s">
        <v>153</v>
      </c>
    </row>
    <row r="269" spans="1:1" ht="20.100000000000001" customHeight="1" x14ac:dyDescent="0.3">
      <c r="A269" s="20" t="s">
        <v>154</v>
      </c>
    </row>
    <row r="270" spans="1:1" ht="20.100000000000001" customHeight="1" x14ac:dyDescent="0.3">
      <c r="A270" s="20" t="s">
        <v>155</v>
      </c>
    </row>
    <row r="271" spans="1:1" ht="20.100000000000001" customHeight="1" x14ac:dyDescent="0.3">
      <c r="A271" s="25" t="s">
        <v>156</v>
      </c>
    </row>
    <row r="272" spans="1:1" ht="20.100000000000001" customHeight="1" x14ac:dyDescent="0.3">
      <c r="A272" s="25" t="s">
        <v>157</v>
      </c>
    </row>
    <row r="273" spans="1:1" ht="20.100000000000001" customHeight="1" x14ac:dyDescent="0.3">
      <c r="A273" s="20" t="s">
        <v>158</v>
      </c>
    </row>
    <row r="274" spans="1:1" ht="20.100000000000001" customHeight="1" x14ac:dyDescent="0.3">
      <c r="A274" s="25" t="s">
        <v>159</v>
      </c>
    </row>
    <row r="275" spans="1:1" ht="20.100000000000001" customHeight="1" x14ac:dyDescent="0.3">
      <c r="A275" s="25" t="s">
        <v>160</v>
      </c>
    </row>
    <row r="276" spans="1:1" ht="20.100000000000001" customHeight="1" x14ac:dyDescent="0.3">
      <c r="A276" s="20" t="s">
        <v>161</v>
      </c>
    </row>
    <row r="277" spans="1:1" ht="20.100000000000001" customHeight="1" x14ac:dyDescent="0.3">
      <c r="A277" s="20" t="s">
        <v>162</v>
      </c>
    </row>
    <row r="278" spans="1:1" ht="20.100000000000001" customHeight="1" x14ac:dyDescent="0.3">
      <c r="A278" s="25" t="s">
        <v>163</v>
      </c>
    </row>
    <row r="279" spans="1:1" ht="20.100000000000001" customHeight="1" x14ac:dyDescent="0.3">
      <c r="A279" s="20" t="s">
        <v>164</v>
      </c>
    </row>
    <row r="280" spans="1:1" ht="20.100000000000001" customHeight="1" x14ac:dyDescent="0.3">
      <c r="A280" s="20" t="s">
        <v>165</v>
      </c>
    </row>
    <row r="281" spans="1:1" ht="20.100000000000001" customHeight="1" x14ac:dyDescent="0.3">
      <c r="A281" s="20" t="s">
        <v>166</v>
      </c>
    </row>
    <row r="282" spans="1:1" ht="20.100000000000001" customHeight="1" x14ac:dyDescent="0.3">
      <c r="A282" s="20" t="s">
        <v>167</v>
      </c>
    </row>
    <row r="283" spans="1:1" ht="20.100000000000001" customHeight="1" x14ac:dyDescent="0.3">
      <c r="A283" s="25" t="s">
        <v>168</v>
      </c>
    </row>
    <row r="284" spans="1:1" ht="20.100000000000001" customHeight="1" x14ac:dyDescent="0.3">
      <c r="A284" s="25" t="s">
        <v>169</v>
      </c>
    </row>
    <row r="285" spans="1:1" ht="20.100000000000001" customHeight="1" x14ac:dyDescent="0.3">
      <c r="A285" s="25" t="s">
        <v>170</v>
      </c>
    </row>
    <row r="286" spans="1:1" ht="20.100000000000001" customHeight="1" thickBot="1" x14ac:dyDescent="0.35">
      <c r="A286" s="20" t="s">
        <v>171</v>
      </c>
    </row>
    <row r="287" spans="1:1" ht="20.100000000000001" customHeight="1" thickBot="1" x14ac:dyDescent="0.35">
      <c r="A287" s="2" t="s">
        <v>56</v>
      </c>
    </row>
    <row r="288" spans="1:1" ht="20.100000000000001" customHeight="1" thickBot="1" x14ac:dyDescent="0.35">
      <c r="A288" s="2" t="s">
        <v>56</v>
      </c>
    </row>
    <row r="289" spans="1:1" ht="20.100000000000001" customHeight="1" thickBot="1" x14ac:dyDescent="0.35">
      <c r="A289" s="2" t="s">
        <v>56</v>
      </c>
    </row>
    <row r="290" spans="1:1" ht="20.100000000000001" customHeight="1" thickBot="1" x14ac:dyDescent="0.35">
      <c r="A290" s="2" t="s">
        <v>56</v>
      </c>
    </row>
    <row r="291" spans="1:1" ht="20.100000000000001" customHeight="1" thickBot="1" x14ac:dyDescent="0.35">
      <c r="A291" s="2" t="s">
        <v>56</v>
      </c>
    </row>
    <row r="292" spans="1:1" ht="20.100000000000001" customHeight="1" thickBot="1" x14ac:dyDescent="0.35">
      <c r="A292" s="2" t="s">
        <v>56</v>
      </c>
    </row>
    <row r="293" spans="1:1" ht="20.100000000000001" customHeight="1" thickBot="1" x14ac:dyDescent="0.35">
      <c r="A293" s="2" t="s">
        <v>56</v>
      </c>
    </row>
    <row r="294" spans="1:1" ht="20.100000000000001" customHeight="1" thickBot="1" x14ac:dyDescent="0.35">
      <c r="A294" s="2" t="s">
        <v>56</v>
      </c>
    </row>
    <row r="295" spans="1:1" ht="20.100000000000001" customHeight="1" thickBot="1" x14ac:dyDescent="0.35">
      <c r="A295" s="2" t="s">
        <v>56</v>
      </c>
    </row>
    <row r="296" spans="1:1" ht="20.100000000000001" customHeight="1" thickBot="1" x14ac:dyDescent="0.35">
      <c r="A296" s="2" t="s">
        <v>56</v>
      </c>
    </row>
    <row r="297" spans="1:1" ht="20.100000000000001" customHeight="1" thickBot="1" x14ac:dyDescent="0.35">
      <c r="A297" s="2" t="s">
        <v>56</v>
      </c>
    </row>
    <row r="298" spans="1:1" ht="20.100000000000001" customHeight="1" thickBot="1" x14ac:dyDescent="0.35">
      <c r="A298" s="2" t="s">
        <v>56</v>
      </c>
    </row>
    <row r="299" spans="1:1" ht="20.100000000000001" customHeight="1" thickBot="1" x14ac:dyDescent="0.35">
      <c r="A299" s="2" t="s">
        <v>56</v>
      </c>
    </row>
    <row r="300" spans="1:1" ht="20.100000000000001" customHeight="1" thickBot="1" x14ac:dyDescent="0.35">
      <c r="A300" s="2" t="s">
        <v>56</v>
      </c>
    </row>
    <row r="301" spans="1:1" ht="20.100000000000001" customHeight="1" thickBot="1" x14ac:dyDescent="0.35">
      <c r="A301" s="2" t="s">
        <v>56</v>
      </c>
    </row>
    <row r="302" spans="1:1" ht="20.100000000000001" customHeight="1" thickBot="1" x14ac:dyDescent="0.35">
      <c r="A302" s="2" t="s">
        <v>56</v>
      </c>
    </row>
    <row r="303" spans="1:1" ht="20.100000000000001" customHeight="1" thickBot="1" x14ac:dyDescent="0.35">
      <c r="A303" s="2" t="s">
        <v>56</v>
      </c>
    </row>
    <row r="304" spans="1:1" ht="20.100000000000001" customHeight="1" thickBot="1" x14ac:dyDescent="0.35">
      <c r="A304" s="2" t="s">
        <v>56</v>
      </c>
    </row>
    <row r="305" spans="1:1" ht="20.100000000000001" customHeight="1" thickBot="1" x14ac:dyDescent="0.35">
      <c r="A305" s="2" t="s">
        <v>56</v>
      </c>
    </row>
    <row r="306" spans="1:1" ht="20.100000000000001" customHeight="1" thickBot="1" x14ac:dyDescent="0.35">
      <c r="A306" s="2" t="s">
        <v>56</v>
      </c>
    </row>
    <row r="307" spans="1:1" ht="20.100000000000001" customHeight="1" thickBot="1" x14ac:dyDescent="0.35">
      <c r="A307" s="2" t="s">
        <v>56</v>
      </c>
    </row>
    <row r="308" spans="1:1" ht="20.100000000000001" customHeight="1" thickBot="1" x14ac:dyDescent="0.35">
      <c r="A308" s="2" t="s">
        <v>56</v>
      </c>
    </row>
    <row r="309" spans="1:1" ht="20.100000000000001" customHeight="1" thickBot="1" x14ac:dyDescent="0.35">
      <c r="A309" s="2" t="s">
        <v>56</v>
      </c>
    </row>
    <row r="310" spans="1:1" ht="20.100000000000001" customHeight="1" thickBot="1" x14ac:dyDescent="0.35">
      <c r="A310" s="2" t="s">
        <v>56</v>
      </c>
    </row>
    <row r="311" spans="1:1" ht="20.100000000000001" customHeight="1" thickBot="1" x14ac:dyDescent="0.35">
      <c r="A311" s="2" t="s">
        <v>56</v>
      </c>
    </row>
    <row r="312" spans="1:1" ht="20.100000000000001" customHeight="1" thickBot="1" x14ac:dyDescent="0.35">
      <c r="A312" s="2" t="s">
        <v>56</v>
      </c>
    </row>
    <row r="313" spans="1:1" ht="20.100000000000001" customHeight="1" thickBot="1" x14ac:dyDescent="0.35">
      <c r="A313" s="2" t="s">
        <v>56</v>
      </c>
    </row>
    <row r="314" spans="1:1" ht="20.100000000000001" customHeight="1" thickBot="1" x14ac:dyDescent="0.35">
      <c r="A314" s="2" t="s">
        <v>56</v>
      </c>
    </row>
    <row r="315" spans="1:1" ht="20.100000000000001" customHeight="1" thickBot="1" x14ac:dyDescent="0.35">
      <c r="A315" s="2" t="s">
        <v>56</v>
      </c>
    </row>
    <row r="316" spans="1:1" ht="20.100000000000001" customHeight="1" thickBot="1" x14ac:dyDescent="0.35">
      <c r="A316" s="2" t="s">
        <v>56</v>
      </c>
    </row>
    <row r="317" spans="1:1" ht="20.100000000000001" customHeight="1" thickBot="1" x14ac:dyDescent="0.35">
      <c r="A317" s="2" t="s">
        <v>56</v>
      </c>
    </row>
    <row r="318" spans="1:1" ht="20.100000000000001" customHeight="1" thickBot="1" x14ac:dyDescent="0.35">
      <c r="A318" s="2" t="s">
        <v>56</v>
      </c>
    </row>
    <row r="319" spans="1:1" ht="20.100000000000001" customHeight="1" thickBot="1" x14ac:dyDescent="0.35">
      <c r="A319" s="2" t="s">
        <v>56</v>
      </c>
    </row>
    <row r="320" spans="1:1" ht="20.100000000000001" customHeight="1" thickBot="1" x14ac:dyDescent="0.35">
      <c r="A320" s="2" t="s">
        <v>56</v>
      </c>
    </row>
    <row r="321" spans="1:1" ht="20.100000000000001" customHeight="1" thickBot="1" x14ac:dyDescent="0.35">
      <c r="A321" s="2" t="s">
        <v>56</v>
      </c>
    </row>
    <row r="322" spans="1:1" ht="20.100000000000001" customHeight="1" thickBot="1" x14ac:dyDescent="0.35">
      <c r="A322" s="2" t="s">
        <v>56</v>
      </c>
    </row>
    <row r="323" spans="1:1" ht="20.100000000000001" customHeight="1" thickBot="1" x14ac:dyDescent="0.35">
      <c r="A323" s="2" t="s">
        <v>56</v>
      </c>
    </row>
    <row r="324" spans="1:1" ht="20.100000000000001" customHeight="1" thickBot="1" x14ac:dyDescent="0.35">
      <c r="A324" s="2" t="s">
        <v>56</v>
      </c>
    </row>
    <row r="325" spans="1:1" ht="20.100000000000001" customHeight="1" thickBot="1" x14ac:dyDescent="0.35">
      <c r="A325" s="2" t="s">
        <v>56</v>
      </c>
    </row>
    <row r="326" spans="1:1" ht="20.100000000000001" customHeight="1" thickBot="1" x14ac:dyDescent="0.35">
      <c r="A326" s="2" t="s">
        <v>56</v>
      </c>
    </row>
    <row r="327" spans="1:1" ht="20.100000000000001" customHeight="1" thickBot="1" x14ac:dyDescent="0.35">
      <c r="A327" s="2" t="s">
        <v>56</v>
      </c>
    </row>
    <row r="328" spans="1:1" ht="20.100000000000001" customHeight="1" thickBot="1" x14ac:dyDescent="0.35">
      <c r="A328" s="2" t="s">
        <v>56</v>
      </c>
    </row>
    <row r="329" spans="1:1" ht="20.100000000000001" customHeight="1" thickBot="1" x14ac:dyDescent="0.35">
      <c r="A329" s="2" t="s">
        <v>56</v>
      </c>
    </row>
    <row r="330" spans="1:1" ht="20.100000000000001" customHeight="1" thickBot="1" x14ac:dyDescent="0.35">
      <c r="A330" s="2" t="s">
        <v>56</v>
      </c>
    </row>
    <row r="331" spans="1:1" ht="20.100000000000001" customHeight="1" thickBot="1" x14ac:dyDescent="0.35">
      <c r="A331" s="2" t="s">
        <v>56</v>
      </c>
    </row>
    <row r="332" spans="1:1" ht="20.100000000000001" customHeight="1" thickBot="1" x14ac:dyDescent="0.35">
      <c r="A332" s="2" t="s">
        <v>56</v>
      </c>
    </row>
    <row r="333" spans="1:1" ht="20.100000000000001" customHeight="1" thickBot="1" x14ac:dyDescent="0.35">
      <c r="A333" s="2" t="s">
        <v>56</v>
      </c>
    </row>
    <row r="334" spans="1:1" ht="20.100000000000001" customHeight="1" thickBot="1" x14ac:dyDescent="0.35">
      <c r="A334" s="2" t="s">
        <v>56</v>
      </c>
    </row>
    <row r="335" spans="1:1" ht="20.100000000000001" customHeight="1" thickBot="1" x14ac:dyDescent="0.35">
      <c r="A335" s="2" t="s">
        <v>56</v>
      </c>
    </row>
    <row r="336" spans="1:1" ht="20.100000000000001" customHeight="1" thickBot="1" x14ac:dyDescent="0.35">
      <c r="A336" s="2" t="s">
        <v>56</v>
      </c>
    </row>
    <row r="337" spans="1:1" ht="20.100000000000001" customHeight="1" thickBot="1" x14ac:dyDescent="0.35">
      <c r="A337" s="2" t="s">
        <v>56</v>
      </c>
    </row>
    <row r="338" spans="1:1" ht="20.100000000000001" customHeight="1" thickBot="1" x14ac:dyDescent="0.35">
      <c r="A338" s="2"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2025-10-15T21:31:17Z</dcterms:modified>
</cp:coreProperties>
</file>