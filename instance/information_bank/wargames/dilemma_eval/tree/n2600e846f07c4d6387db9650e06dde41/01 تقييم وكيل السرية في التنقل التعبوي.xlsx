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ink/ink1.xml" ContentType="application/inkml+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103"/>
  <workbookPr filterPrivacy="1" codeName="ThisWorkbook"/>
  <xr:revisionPtr revIDLastSave="0" documentId="13_ncr:1_{83DEAD8B-96E4-48AC-96E9-4EFBAFE472D8}" xr6:coauthVersionLast="47" xr6:coauthVersionMax="47" xr10:uidLastSave="{00000000-0000-0000-0000-000000000000}"/>
  <bookViews>
    <workbookView xWindow="-108" yWindow="-108" windowWidth="23256" windowHeight="12576" xr2:uid="{00000000-000D-0000-FFFF-FFFF00000000}"/>
  </bookViews>
  <sheets>
    <sheet name="قائمة التقييم" sheetId="2" r:id="rId1"/>
    <sheet name="بيانات التقييم" sheetId="4" r:id="rId2"/>
  </sheets>
  <definedNames>
    <definedName name="_Hlk189049083" localSheetId="0">'قائمة التقييم'!#REF!</definedName>
    <definedName name="_Hlk189049123" localSheetId="0">'قائمة التقييم'!$B$3</definedName>
    <definedName name="_xlnm.Print_Area" localSheetId="0">'قائمة التقييم'!$A$1:$J$50</definedName>
    <definedName name="_xlnm.Print_Titles" localSheetId="0">'قائمة التقييم'!$7:$7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G9" i="2" l="1"/>
  <c r="H9" i="2"/>
  <c r="G10" i="2"/>
  <c r="H10" i="2"/>
  <c r="G11" i="2"/>
  <c r="H11" i="2"/>
  <c r="G12" i="2"/>
  <c r="H12" i="2"/>
  <c r="G13" i="2"/>
  <c r="H13" i="2"/>
  <c r="G15" i="2"/>
  <c r="H15" i="2"/>
  <c r="G16" i="2"/>
  <c r="H16" i="2"/>
  <c r="G17" i="2"/>
  <c r="H17" i="2"/>
  <c r="G18" i="2"/>
  <c r="H18" i="2"/>
  <c r="G19" i="2"/>
  <c r="H19" i="2"/>
  <c r="G20" i="2"/>
  <c r="H20" i="2"/>
  <c r="G21" i="2"/>
  <c r="H21" i="2"/>
  <c r="G22" i="2"/>
  <c r="H22" i="2"/>
  <c r="G24" i="2"/>
  <c r="H24" i="2"/>
  <c r="G25" i="2"/>
  <c r="H25" i="2"/>
  <c r="G26" i="2"/>
  <c r="H26" i="2"/>
  <c r="G27" i="2"/>
  <c r="H27" i="2"/>
  <c r="G28" i="2"/>
  <c r="H28" i="2"/>
  <c r="G29" i="2"/>
  <c r="H29" i="2"/>
  <c r="G31" i="2"/>
  <c r="H31" i="2"/>
  <c r="G32" i="2"/>
  <c r="H32" i="2"/>
  <c r="G33" i="2"/>
  <c r="H33" i="2"/>
  <c r="G34" i="2"/>
  <c r="H34" i="2"/>
  <c r="G35" i="2"/>
  <c r="H35" i="2"/>
  <c r="G36" i="2"/>
  <c r="H36" i="2"/>
  <c r="G37" i="2"/>
  <c r="H37" i="2"/>
  <c r="G38" i="2"/>
  <c r="H38" i="2"/>
  <c r="G39" i="2"/>
  <c r="H39" i="2"/>
  <c r="G40" i="2"/>
  <c r="H40" i="2"/>
  <c r="G41" i="2"/>
  <c r="H41" i="2"/>
  <c r="G42" i="2"/>
  <c r="H42" i="2"/>
  <c r="G43" i="2"/>
  <c r="H43" i="2"/>
  <c r="G44" i="2"/>
  <c r="H44" i="2"/>
  <c r="G45" i="2"/>
  <c r="H45" i="2"/>
  <c r="F46" i="2"/>
  <c r="E46" i="2"/>
  <c r="E47" i="2"/>
  <c r="E48" i="2"/>
</calcChain>
</file>

<file path=xl/sharedStrings.xml><?xml version="1.0" encoding="utf-8"?>
<sst xmlns="http://schemas.openxmlformats.org/spreadsheetml/2006/main" count="275" uniqueCount="220">
  <si>
    <t>عناصــــــر التقييـــــم</t>
  </si>
  <si>
    <t>العلامـــــــات</t>
  </si>
  <si>
    <t>ملاحظــــــات</t>
  </si>
  <si>
    <t>القصوى</t>
  </si>
  <si>
    <t>المكتسبة</t>
  </si>
  <si>
    <t>إجمالي العلامـــــات</t>
  </si>
  <si>
    <t xml:space="preserve">المحكــم: </t>
  </si>
  <si>
    <t xml:space="preserve">التاريــخ: </t>
  </si>
  <si>
    <t>سرية الاستطلاع</t>
  </si>
  <si>
    <t>سرية الهاون</t>
  </si>
  <si>
    <t>سرية الهندسة</t>
  </si>
  <si>
    <t>سرية الدفاع الكيميائي</t>
  </si>
  <si>
    <t>سرية الحرب الإلكترونية</t>
  </si>
  <si>
    <t>سرية الإشارة</t>
  </si>
  <si>
    <t>فصيل الشرطة العسكرية</t>
  </si>
  <si>
    <t>لا ينطبق</t>
  </si>
  <si>
    <t>(ب)</t>
  </si>
  <si>
    <t>(جـ)</t>
  </si>
  <si>
    <t>(هـ)</t>
  </si>
  <si>
    <t>( أ )</t>
  </si>
  <si>
    <t>( د )</t>
  </si>
  <si>
    <t>النسبة</t>
  </si>
  <si>
    <t>النتيجة</t>
  </si>
  <si>
    <t>( و )</t>
  </si>
  <si>
    <t>هيئة ركن مجموعة اللواء</t>
  </si>
  <si>
    <t>سرية الـ م/د</t>
  </si>
  <si>
    <t>القيادة والسيطرة</t>
  </si>
  <si>
    <t>سرية الدفاع الجوي</t>
  </si>
  <si>
    <t>كتيبة الإسناد الإداري</t>
  </si>
  <si>
    <t>السرية الطبية</t>
  </si>
  <si>
    <t>سرية الصيانة</t>
  </si>
  <si>
    <t>سرية التزويد والنقل</t>
  </si>
  <si>
    <t>ضباط الصف</t>
  </si>
  <si>
    <t>قيادة مجموعة لواء الإمارات/1</t>
  </si>
  <si>
    <t>قيادة كتيبة المشاة الآلية/12</t>
  </si>
  <si>
    <t>كتيبة المشاة الآلية/12 - السرية/1</t>
  </si>
  <si>
    <t>كتيبة المشاة الآلية/12 - السرية/2</t>
  </si>
  <si>
    <t>كتيبة المشاة الآلية/12 - السرية/3</t>
  </si>
  <si>
    <t>قيادة كتيبة المشاة الآلية/13</t>
  </si>
  <si>
    <t>كتيبة المشاة الآلية/13 - السرية/1</t>
  </si>
  <si>
    <t>كتيبة المشاة الآلية/13 - السرية/2</t>
  </si>
  <si>
    <t>كتيبة المشاة الآلية/13 - السرية/3</t>
  </si>
  <si>
    <t>قيادة كتيبة الدبابات/14</t>
  </si>
  <si>
    <t>كتيبة الدبابات/14 - السرية/1</t>
  </si>
  <si>
    <t>كتيبة الدبابات/14 - السرية/2</t>
  </si>
  <si>
    <t>كتيبة الدبابات/14 - السرية/3</t>
  </si>
  <si>
    <t>قيادة كتيبة المدفعية/72</t>
  </si>
  <si>
    <t>قيادة كتيبة المدفعية/72 - السرية/1</t>
  </si>
  <si>
    <t>قيادة كتيبة المدفعية/72 - السرية/2</t>
  </si>
  <si>
    <t>قيادة كتيبة المدفعية/72 - السرية/3</t>
  </si>
  <si>
    <t>المحكـــــــــم:</t>
  </si>
  <si>
    <t>التوقيــــــــع:</t>
  </si>
  <si>
    <t>النسبــــة العامــــــة</t>
  </si>
  <si>
    <t>التقديــــر العــــــام</t>
  </si>
  <si>
    <t>أدخل التاريخ</t>
  </si>
  <si>
    <t>أدخل الوحدة الخاضعة للتقييم</t>
  </si>
  <si>
    <t>..............................</t>
  </si>
  <si>
    <t>أدخل اسم المحكم</t>
  </si>
  <si>
    <t>أدخل اسم قائد الوحدة الخاضعة للتقييم</t>
  </si>
  <si>
    <t>أدخل العلامة</t>
  </si>
  <si>
    <t>عميد ركن / راشد حمد مفتاح النيادي</t>
  </si>
  <si>
    <t xml:space="preserve"> عقيد ركن / جمعة محمد جمعة الصريدي</t>
  </si>
  <si>
    <t xml:space="preserve"> عقيد ركن / عتيق الزفنة العفاري</t>
  </si>
  <si>
    <t>رائد / أحمد محمد الظهوري</t>
  </si>
  <si>
    <t>مقدم / عبدالله سعيد الشامسي</t>
  </si>
  <si>
    <t xml:space="preserve"> نقيب / سعيد أحمد الشحي</t>
  </si>
  <si>
    <t>عقيد ركن / محمد سعيد الكتبي</t>
  </si>
  <si>
    <t>نقيب / راشد الطيب النعيمي</t>
  </si>
  <si>
    <t>نقيب / حمدان سالمين العامري</t>
  </si>
  <si>
    <t>رائد/ عبدالله سيف الغفلي</t>
  </si>
  <si>
    <t>نقيب / حمد محمد الشامسي</t>
  </si>
  <si>
    <t>رائد/ سعيد مبارك الكتبي</t>
  </si>
  <si>
    <t>ملازم 2 / علي ابراهيم النعيمي</t>
  </si>
  <si>
    <t>رائد/ محمد عمران الكتبي</t>
  </si>
  <si>
    <t>نقيب / محمد سعيد الكعبي</t>
  </si>
  <si>
    <t>عقيد ركن / علي راشد اليماحي</t>
  </si>
  <si>
    <t>نقيب / ماجد عبدالله البلوشي</t>
  </si>
  <si>
    <t>ملازم 1 / حمد طارش الكعبي</t>
  </si>
  <si>
    <t>رائد/ سالم سلطان الكتبي</t>
  </si>
  <si>
    <t>مقدم ركن / محمد عبدالله الشحي</t>
  </si>
  <si>
    <t>رائد/ محمد عبدالرحمن الطنيجي</t>
  </si>
  <si>
    <t>رائد/ محمد راشد المزروعي</t>
  </si>
  <si>
    <t>رائد/ محمد سعيد الظنحاني</t>
  </si>
  <si>
    <t>مقدم ركن / علي حسن الحمادي</t>
  </si>
  <si>
    <t>ملازم 1 / علي ناصر المقدمي</t>
  </si>
  <si>
    <t>نقيب / حمد سعيد الشهياري</t>
  </si>
  <si>
    <t>ملازم 1 / سعود محمد الطياري</t>
  </si>
  <si>
    <t xml:space="preserve">عميد ركن / حمد علي جمعة الشحي </t>
  </si>
  <si>
    <t>عقيد ركن / خليفة بن هويدن الكتبي</t>
  </si>
  <si>
    <t>عقيد ركن / راشد محمد عبيد الظنحاني</t>
  </si>
  <si>
    <t>عقيد ركن / حميد محمد عبيد الدرعي</t>
  </si>
  <si>
    <t>عقيد ركن / سلطان راشد بالرشاد الشامسي</t>
  </si>
  <si>
    <t>عقيد ركن / احمد سليمان علي المعمري</t>
  </si>
  <si>
    <t>عقيد ركن / علي الرضه كمادي المهيري</t>
  </si>
  <si>
    <t>عقيد ركن / خليل احمد سليمان العنتلي</t>
  </si>
  <si>
    <t xml:space="preserve">عقيد ركن / سعود صالح  راشدالظاهري </t>
  </si>
  <si>
    <t>عقيد / سالم محمد سعيد العفاري</t>
  </si>
  <si>
    <t xml:space="preserve">مقدم ركن / خادم سيف المنصوري </t>
  </si>
  <si>
    <t>مقدم ركن / مصبح مفتاح علي الخاطري</t>
  </si>
  <si>
    <t>مقدم ركن / حمد راشد سليمان الزيودي</t>
  </si>
  <si>
    <t>مقدم / محمد عبدالرحمن الرميثي</t>
  </si>
  <si>
    <t xml:space="preserve">مقدم / علي سيف حامد الطنيجي </t>
  </si>
  <si>
    <t>مقدم / خليفة عبدالله سلطان السويدي</t>
  </si>
  <si>
    <t>مقدم / سالم القرين علي العامري</t>
  </si>
  <si>
    <t>مقدم / محمد عبدالرحمن جاسم الرميثي</t>
  </si>
  <si>
    <t xml:space="preserve">مقدم / سعيد محمد سالم  العامري </t>
  </si>
  <si>
    <t xml:space="preserve">مقدم / جابر محمد خاتم الشامسي </t>
  </si>
  <si>
    <t xml:space="preserve">مقدم / مصبح حارب المنصوري </t>
  </si>
  <si>
    <t>مقدم / عبدالله محمد سلطان الحبسي</t>
  </si>
  <si>
    <t>مقدم طبيب / محمد عيسى الرميثي</t>
  </si>
  <si>
    <t>رائد / احمد علي عبدالله الحوسني</t>
  </si>
  <si>
    <t xml:space="preserve">رائد / عبدالله مطر عبيد الكتبي </t>
  </si>
  <si>
    <t xml:space="preserve">رائد / خليفة مصبح الدهماني </t>
  </si>
  <si>
    <t>رائد / أحمد هلال سيف الزعابي</t>
  </si>
  <si>
    <t xml:space="preserve">رائد / سيف حمود محمد الشامسي </t>
  </si>
  <si>
    <t>رائد / عبدالناصر أحمد عبدالله  آل نصور</t>
  </si>
  <si>
    <t>رائد / حمدان محمد الكعبي</t>
  </si>
  <si>
    <t>رائد / سلطان سيف حميد بن سميط</t>
  </si>
  <si>
    <t xml:space="preserve">رائد / هلال سعيد ضبيب الدرعي </t>
  </si>
  <si>
    <t xml:space="preserve">رائد / سعيد إبراهيم المرزوقي </t>
  </si>
  <si>
    <t>رائد / أحمد عبدالكريم محمد</t>
  </si>
  <si>
    <t xml:space="preserve">رائد / جمعة محمد مسعود المزروعي </t>
  </si>
  <si>
    <t xml:space="preserve">رائد / خليفة مصبح علي الدهماني </t>
  </si>
  <si>
    <t xml:space="preserve">رائد / محمد خليفة حميد النعيمي </t>
  </si>
  <si>
    <t xml:space="preserve">نقيب / محمد سعيد الكعبي </t>
  </si>
  <si>
    <t>نقيب / ناصر حمد سليم التميمي</t>
  </si>
  <si>
    <t xml:space="preserve">نقيب / سعيد مصبح  محمد الغفلي </t>
  </si>
  <si>
    <t xml:space="preserve">نقيب / أحمد حمد حمود الدرعي </t>
  </si>
  <si>
    <t>نقيب / سالم جمعة محمد الكتبي</t>
  </si>
  <si>
    <t xml:space="preserve">نقيب / عمران راشد عبيد الكتبي </t>
  </si>
  <si>
    <t>نقيب / محمد جاسم محمد النقبي</t>
  </si>
  <si>
    <t>نقيب / بلاع سالم الدوده العامري</t>
  </si>
  <si>
    <t>نقيب / عبدالله علي سعيد الصريدي</t>
  </si>
  <si>
    <t>نقيب / عبدالله علي سليمان الزعابي</t>
  </si>
  <si>
    <t>نقيب / يوسف خليفه سعيد الكتبي</t>
  </si>
  <si>
    <t>نقيب بحري / سالم محمد جمعة الصريدي</t>
  </si>
  <si>
    <t xml:space="preserve">نقيب طبيب / حميد عبدالله خميس الكندي </t>
  </si>
  <si>
    <t xml:space="preserve">نقيب طيار / ناصر ظافر دشن الاحبابي </t>
  </si>
  <si>
    <t xml:space="preserve">ملازم 1 / مطر احمد الكلباني </t>
  </si>
  <si>
    <t>ملازم 1 / حمد هلال خليفة الكتبي</t>
  </si>
  <si>
    <t>ملازم / مايد عبدالله الزيودي</t>
  </si>
  <si>
    <t>وكيل/1 - خالد عبدالله التميمي</t>
  </si>
  <si>
    <t>وكيل/1 - سعيد راشد عبيد السدراني</t>
  </si>
  <si>
    <t xml:space="preserve">وكيل/1 - سمير إبراهيم المازمي </t>
  </si>
  <si>
    <t>وكيل/1 - فايز سعيد صالح العامري</t>
  </si>
  <si>
    <t xml:space="preserve">وكيل/1 - فهد سبت النعيمي </t>
  </si>
  <si>
    <t xml:space="preserve">وكيل/1 - مرزوق سالم مرزوق الزحمي </t>
  </si>
  <si>
    <t>وكيل/1 - سيف سعيد سالم اليماحي</t>
  </si>
  <si>
    <t xml:space="preserve">وكيل/1 - فيصل علي الاميري </t>
  </si>
  <si>
    <t>وكيل/1 - داوود درويش محمد الشحي</t>
  </si>
  <si>
    <t>وكيل/1 - محمد عبدالله سالم الزيدي</t>
  </si>
  <si>
    <t xml:space="preserve">وكيل/1 - حمد حسن علي القايدي </t>
  </si>
  <si>
    <t xml:space="preserve">وكيل/1 - خالد محمد الشحي </t>
  </si>
  <si>
    <t xml:space="preserve">وكيل/1 - عبدالله سعيد الكلباني </t>
  </si>
  <si>
    <t>وكيل/1 - علي مسلم الكتبي</t>
  </si>
  <si>
    <t xml:space="preserve">وكيل/1 - عمر أحمد مختار </t>
  </si>
  <si>
    <t xml:space="preserve">وكيل/ احمد سالمين سالم الشنيني </t>
  </si>
  <si>
    <t xml:space="preserve">وكيل/ أحمد سعيد حمد الشامسي </t>
  </si>
  <si>
    <t>وكيل/ علي عبدالله الصريدي</t>
  </si>
  <si>
    <t>وكيل/ محمد عمر سالم الخنبشي</t>
  </si>
  <si>
    <t xml:space="preserve">وكيل/ وليد مرزوق مسعود العلوي </t>
  </si>
  <si>
    <t xml:space="preserve">وكيل/ علي محمد عبدالله النقبي </t>
  </si>
  <si>
    <t>وكيل/ فهد علي سليمان الشحي</t>
  </si>
  <si>
    <t>وكيل/ محمد حميد عبيد الزعابي</t>
  </si>
  <si>
    <t xml:space="preserve">وكيل/ محمد علي الحمادي </t>
  </si>
  <si>
    <t>رقيب/1 - حامد سعيد شماريخ</t>
  </si>
  <si>
    <t xml:space="preserve">رقيب/1 - علي حميد علي الكندي </t>
  </si>
  <si>
    <t>رقيب/1 - فايز عيسى عبدالله البلوشي</t>
  </si>
  <si>
    <t xml:space="preserve">رقيب/1 - محمد جمعة محمد المنصوري </t>
  </si>
  <si>
    <t>رقيب/1 - محمد يوسف احمد ال علي</t>
  </si>
  <si>
    <t xml:space="preserve">رقيب / حسن علي سلطان ال علي </t>
  </si>
  <si>
    <t xml:space="preserve">رقيب / عوض محمد الكثيري </t>
  </si>
  <si>
    <r>
      <t>ملاحظـــات:</t>
    </r>
    <r>
      <rPr>
        <sz val="12"/>
        <color rgb="FF000000"/>
        <rFont val="Arial"/>
        <family val="2"/>
      </rPr>
      <t xml:space="preserve"> 
1. تقييم مستوى الوحدة من خلال مراقبة الآداء أو طرح الأسئلة.
2. يعتبر هذا النموذج (سري للغاية) بعد إدخال علامات التقييم.
3. نموذج التقييم قابل للتطوير والتعديل.</t>
    </r>
  </si>
  <si>
    <t>مقدم ركن / عبدالرحمن محمد الطنيجي</t>
  </si>
  <si>
    <t xml:space="preserve">رائد / راشد ضاوي  راشد الطنيجي </t>
  </si>
  <si>
    <t>نقيب / حميد سعيد مسير الظاهري</t>
  </si>
  <si>
    <t>نقيب / يوسف محمد الفلاسي</t>
  </si>
  <si>
    <t>نقيب / سعيد راشد الظنحاني</t>
  </si>
  <si>
    <t xml:space="preserve">الوحــــــــــــــــــدة: </t>
  </si>
  <si>
    <t xml:space="preserve">اسم ضابط الصف: </t>
  </si>
  <si>
    <r>
      <rPr>
        <b/>
        <sz val="14"/>
        <color rgb="FF000000"/>
        <rFont val="Arial"/>
        <family val="2"/>
      </rPr>
      <t>تقييم وكيل السرية في التنقل التعبوي</t>
    </r>
    <r>
      <rPr>
        <b/>
        <u/>
        <sz val="14"/>
        <color rgb="FF000000"/>
        <rFont val="Arial"/>
        <family val="2"/>
      </rPr>
      <t xml:space="preserve">
تمرين جاهزية مجموعة لواء الإمارات/1 (جندي الصحراء 2025/20)</t>
    </r>
  </si>
  <si>
    <t>التخطيط لتسلسلات حركة التنقل التعبوي.</t>
  </si>
  <si>
    <r>
      <t>1.</t>
    </r>
    <r>
      <rPr>
        <sz val="7"/>
        <color theme="1"/>
        <rFont val="Times New Roman"/>
        <family val="1"/>
      </rPr>
      <t xml:space="preserve">        </t>
    </r>
    <r>
      <rPr>
        <sz val="12"/>
        <color theme="1"/>
        <rFont val="Arial"/>
        <family val="2"/>
      </rPr>
      <t>التأكد من تفهم المرؤوسين للأمر الإنذاري.</t>
    </r>
  </si>
  <si>
    <r>
      <t>2.</t>
    </r>
    <r>
      <rPr>
        <sz val="7"/>
        <color theme="1"/>
        <rFont val="Times New Roman"/>
        <family val="1"/>
      </rPr>
      <t xml:space="preserve">        </t>
    </r>
    <r>
      <rPr>
        <sz val="12"/>
        <color theme="1"/>
        <rFont val="Arial"/>
        <family val="2"/>
      </rPr>
      <t>تحضير تقدير موقف.</t>
    </r>
  </si>
  <si>
    <r>
      <t>3.</t>
    </r>
    <r>
      <rPr>
        <sz val="7"/>
        <color theme="1"/>
        <rFont val="Times New Roman"/>
        <family val="1"/>
      </rPr>
      <t xml:space="preserve">        </t>
    </r>
    <r>
      <rPr>
        <sz val="12"/>
        <color theme="1"/>
        <rFont val="Arial"/>
        <family val="2"/>
      </rPr>
      <t>العمل على تنظيم وإرسال أقسام استطلاع ومقدمة حسب الأوامر المستديمة للوحدة.</t>
    </r>
  </si>
  <si>
    <r>
      <t>4.</t>
    </r>
    <r>
      <rPr>
        <sz val="7"/>
        <color theme="1"/>
        <rFont val="Times New Roman"/>
        <family val="1"/>
      </rPr>
      <t xml:space="preserve">        </t>
    </r>
    <r>
      <rPr>
        <sz val="12"/>
        <color theme="1"/>
        <rFont val="Arial"/>
        <family val="2"/>
      </rPr>
      <t>تحضير خطط مفصلة للتنقل تتضمن (نظم المسير - مراجعة معلومات الاستطلاع).</t>
    </r>
  </si>
  <si>
    <r>
      <t>5.</t>
    </r>
    <r>
      <rPr>
        <sz val="7"/>
        <color theme="1"/>
        <rFont val="Times New Roman"/>
        <family val="1"/>
      </rPr>
      <t xml:space="preserve">        </t>
    </r>
    <r>
      <rPr>
        <sz val="12"/>
        <color theme="1"/>
        <rFont val="Arial"/>
        <family val="2"/>
      </rPr>
      <t>المشاركة في تحضير وتعميم أمر التنقل التعبوي على المرؤوسين.</t>
    </r>
  </si>
  <si>
    <t>السيطرة على التنقل.</t>
  </si>
  <si>
    <r>
      <t>1.</t>
    </r>
    <r>
      <rPr>
        <sz val="7"/>
        <color theme="1"/>
        <rFont val="Times New Roman"/>
        <family val="1"/>
      </rPr>
      <t xml:space="preserve">        </t>
    </r>
    <r>
      <rPr>
        <sz val="12"/>
        <color theme="1"/>
        <rFont val="Arial"/>
        <family val="2"/>
      </rPr>
      <t>تنظيم رتل التسلسل (الرأس - الجسم الرئيسي  - المؤخرة).</t>
    </r>
  </si>
  <si>
    <r>
      <t>2.</t>
    </r>
    <r>
      <rPr>
        <sz val="7"/>
        <color theme="1"/>
        <rFont val="Times New Roman"/>
        <family val="1"/>
      </rPr>
      <t xml:space="preserve">        </t>
    </r>
    <r>
      <rPr>
        <sz val="12"/>
        <color theme="1"/>
        <rFont val="Arial"/>
        <family val="2"/>
      </rPr>
      <t>التأكد من أن قائد كل آلية قد عين قواطع مراقبة بحيث تكون هناك مراقبة بمقدار (360) درجة حول آلياتهم، والتأكد بأن كل قائد آلية قد عين حارساً للمراقبة الجوية لتوفير الحماية.</t>
    </r>
  </si>
  <si>
    <r>
      <t>3.</t>
    </r>
    <r>
      <rPr>
        <sz val="7"/>
        <color theme="1"/>
        <rFont val="Times New Roman"/>
        <family val="1"/>
      </rPr>
      <t xml:space="preserve">        </t>
    </r>
    <r>
      <rPr>
        <sz val="12"/>
        <color theme="1"/>
        <rFont val="Arial"/>
        <family val="2"/>
      </rPr>
      <t>دخول طريق التنقل عند نقطة البداية وفي الوقت المحدد.</t>
    </r>
  </si>
  <si>
    <r>
      <t>4.</t>
    </r>
    <r>
      <rPr>
        <sz val="7"/>
        <color theme="1"/>
        <rFont val="Times New Roman"/>
        <family val="1"/>
      </rPr>
      <t xml:space="preserve">        </t>
    </r>
    <r>
      <rPr>
        <sz val="12"/>
        <color theme="1"/>
        <rFont val="Arial"/>
        <family val="2"/>
      </rPr>
      <t>الالتزام بالطريق المحدد في أمر التنقل.</t>
    </r>
  </si>
  <si>
    <r>
      <t>5.</t>
    </r>
    <r>
      <rPr>
        <sz val="7"/>
        <color theme="1"/>
        <rFont val="Times New Roman"/>
        <family val="1"/>
      </rPr>
      <t xml:space="preserve">        </t>
    </r>
    <r>
      <rPr>
        <sz val="12"/>
        <color theme="1"/>
        <rFont val="Arial"/>
        <family val="2"/>
      </rPr>
      <t>التأكد من التزام جميع الآليات بالسرعات المحددة في الأمر.</t>
    </r>
  </si>
  <si>
    <r>
      <t>6.</t>
    </r>
    <r>
      <rPr>
        <sz val="7"/>
        <color theme="1"/>
        <rFont val="Times New Roman"/>
        <family val="1"/>
      </rPr>
      <t xml:space="preserve">        </t>
    </r>
    <r>
      <rPr>
        <sz val="12"/>
        <color theme="1"/>
        <rFont val="Arial"/>
        <family val="2"/>
      </rPr>
      <t>تعديل المسير في النقاط الهامة إذا كانت سرعة الحركة بطيئة أو صعبة أو فقدت الآليات اتجاهها.</t>
    </r>
  </si>
  <si>
    <r>
      <t>7.</t>
    </r>
    <r>
      <rPr>
        <sz val="7"/>
        <color theme="1"/>
        <rFont val="Times New Roman"/>
        <family val="1"/>
      </rPr>
      <t xml:space="preserve">        </t>
    </r>
    <r>
      <rPr>
        <sz val="12"/>
        <color theme="1"/>
        <rFont val="Arial"/>
        <family val="2"/>
      </rPr>
      <t>المحافظة على الفواصل بين الآليات.</t>
    </r>
  </si>
  <si>
    <r>
      <t>8.</t>
    </r>
    <r>
      <rPr>
        <sz val="7"/>
        <color theme="1"/>
        <rFont val="Times New Roman"/>
        <family val="1"/>
      </rPr>
      <t xml:space="preserve">        </t>
    </r>
    <r>
      <rPr>
        <sz val="12"/>
        <color theme="1"/>
        <rFont val="Arial"/>
        <family val="2"/>
      </rPr>
      <t>تقليل فواصل الرتل أثناء فترات ظروف الرؤية المحدودة وزيادة فواصل الرتل أثناء فترات ظروف الرؤية الجيدة.</t>
    </r>
  </si>
  <si>
    <t>السيطرة على الأعمال أثناء الوقفات.</t>
  </si>
  <si>
    <r>
      <t>1.</t>
    </r>
    <r>
      <rPr>
        <sz val="7"/>
        <color theme="1"/>
        <rFont val="Times New Roman"/>
        <family val="1"/>
      </rPr>
      <t xml:space="preserve">        </t>
    </r>
    <r>
      <rPr>
        <sz val="12"/>
        <color theme="1"/>
        <rFont val="Arial"/>
        <family val="2"/>
      </rPr>
      <t>إدامة المراقبة في جميع الجهات أثناء التوقف.</t>
    </r>
  </si>
  <si>
    <r>
      <t>2.</t>
    </r>
    <r>
      <rPr>
        <sz val="7"/>
        <color theme="1"/>
        <rFont val="Times New Roman"/>
        <family val="1"/>
      </rPr>
      <t xml:space="preserve">        </t>
    </r>
    <r>
      <rPr>
        <sz val="12"/>
        <color theme="1"/>
        <rFont val="Arial"/>
        <family val="2"/>
      </rPr>
      <t>إدامة المراقبة الجوية أثناء التوقف.</t>
    </r>
  </si>
  <si>
    <r>
      <t>3.</t>
    </r>
    <r>
      <rPr>
        <sz val="7"/>
        <color theme="1"/>
        <rFont val="Times New Roman"/>
        <family val="1"/>
      </rPr>
      <t xml:space="preserve">        </t>
    </r>
    <r>
      <rPr>
        <sz val="12"/>
        <color theme="1"/>
        <rFont val="Arial"/>
        <family val="2"/>
      </rPr>
      <t>توزيع الأدلاء للمساعدة في حركة المرور.</t>
    </r>
  </si>
  <si>
    <r>
      <t>4.</t>
    </r>
    <r>
      <rPr>
        <sz val="7"/>
        <color theme="1"/>
        <rFont val="Times New Roman"/>
        <family val="1"/>
      </rPr>
      <t xml:space="preserve">        </t>
    </r>
    <r>
      <rPr>
        <sz val="12"/>
        <color theme="1"/>
        <rFont val="Arial"/>
        <family val="2"/>
      </rPr>
      <t>تحديد أسباب الوقفات غير المبرمجة والعمل على حلها.</t>
    </r>
  </si>
  <si>
    <r>
      <t>5.</t>
    </r>
    <r>
      <rPr>
        <sz val="7"/>
        <color theme="1"/>
        <rFont val="Times New Roman"/>
        <family val="1"/>
      </rPr>
      <t xml:space="preserve">        </t>
    </r>
    <r>
      <rPr>
        <sz val="12"/>
        <color theme="1"/>
        <rFont val="Arial"/>
        <family val="2"/>
      </rPr>
      <t>رفع تقرير الموقف للقائد الأعلى.</t>
    </r>
  </si>
  <si>
    <r>
      <t>6.</t>
    </r>
    <r>
      <rPr>
        <sz val="7"/>
        <color theme="1"/>
        <rFont val="Times New Roman"/>
        <family val="1"/>
      </rPr>
      <t xml:space="preserve">        </t>
    </r>
    <r>
      <rPr>
        <sz val="12"/>
        <color theme="1"/>
        <rFont val="Arial"/>
        <family val="2"/>
      </rPr>
      <t>التأكد من إجراء الصيانة في الوقفات المخطط لها.</t>
    </r>
  </si>
  <si>
    <t>السيطرة على الأعمال في منطقة التجمع.</t>
  </si>
  <si>
    <r>
      <t>1.</t>
    </r>
    <r>
      <rPr>
        <sz val="7"/>
        <color theme="1"/>
        <rFont val="Times New Roman"/>
        <family val="1"/>
      </rPr>
      <t xml:space="preserve">        </t>
    </r>
    <r>
      <rPr>
        <sz val="12"/>
        <color theme="1"/>
        <rFont val="Arial"/>
        <family val="2"/>
      </rPr>
      <t>التأكد بأن ضابط صف المقدمة يقود الرتل إلى القطاع المحدد.</t>
    </r>
  </si>
  <si>
    <r>
      <t>2.</t>
    </r>
    <r>
      <rPr>
        <sz val="7"/>
        <color theme="1"/>
        <rFont val="Times New Roman"/>
        <family val="1"/>
      </rPr>
      <t xml:space="preserve">        </t>
    </r>
    <r>
      <rPr>
        <sz val="12"/>
        <color theme="1"/>
        <rFont val="Arial"/>
        <family val="2"/>
      </rPr>
      <t>التأكد من تعيين فرد واحد لكل آلية يعمل على السلاح الذي يشغله طاقم ويراقب جهاز الاتصال وقاطع رماية الآلية.</t>
    </r>
  </si>
  <si>
    <r>
      <t>3.</t>
    </r>
    <r>
      <rPr>
        <sz val="7"/>
        <color theme="1"/>
        <rFont val="Times New Roman"/>
        <family val="1"/>
      </rPr>
      <t xml:space="preserve">        </t>
    </r>
    <r>
      <rPr>
        <sz val="12"/>
        <color theme="1"/>
        <rFont val="Arial"/>
        <family val="2"/>
      </rPr>
      <t>تجهيز مواقع المراقبة.</t>
    </r>
  </si>
  <si>
    <r>
      <t>4.</t>
    </r>
    <r>
      <rPr>
        <sz val="7"/>
        <color theme="1"/>
        <rFont val="Times New Roman"/>
        <family val="1"/>
      </rPr>
      <t xml:space="preserve">        </t>
    </r>
    <r>
      <rPr>
        <sz val="12"/>
        <color theme="1"/>
        <rFont val="Arial"/>
        <family val="2"/>
      </rPr>
      <t>فحص المواقع والقواطع الأساسية، والتعديل عند الضرورة.</t>
    </r>
  </si>
  <si>
    <r>
      <t>5.</t>
    </r>
    <r>
      <rPr>
        <sz val="7"/>
        <color theme="1"/>
        <rFont val="Times New Roman"/>
        <family val="1"/>
      </rPr>
      <t xml:space="preserve">        </t>
    </r>
    <r>
      <rPr>
        <sz val="12"/>
        <color theme="1"/>
        <rFont val="Arial"/>
        <family val="2"/>
      </rPr>
      <t>العمل على تمويه المواقع.</t>
    </r>
  </si>
  <si>
    <r>
      <t>6.</t>
    </r>
    <r>
      <rPr>
        <sz val="7"/>
        <color theme="1"/>
        <rFont val="Times New Roman"/>
        <family val="1"/>
      </rPr>
      <t xml:space="preserve">        </t>
    </r>
    <r>
      <rPr>
        <sz val="12"/>
        <color theme="1"/>
        <rFont val="Arial"/>
        <family val="2"/>
      </rPr>
      <t>بدء خطة الاستراحة.</t>
    </r>
  </si>
  <si>
    <r>
      <t>7.</t>
    </r>
    <r>
      <rPr>
        <sz val="7"/>
        <color theme="1"/>
        <rFont val="Times New Roman"/>
        <family val="1"/>
      </rPr>
      <t xml:space="preserve">        </t>
    </r>
    <r>
      <rPr>
        <sz val="12"/>
        <color theme="1"/>
        <rFont val="Arial"/>
        <family val="2"/>
      </rPr>
      <t>التأكد من تجهيز الأفراد لبطاقات المدى.</t>
    </r>
  </si>
  <si>
    <r>
      <t>8.</t>
    </r>
    <r>
      <rPr>
        <sz val="7"/>
        <color theme="1"/>
        <rFont val="Times New Roman"/>
        <family val="1"/>
      </rPr>
      <t xml:space="preserve">        </t>
    </r>
    <r>
      <rPr>
        <sz val="12"/>
        <color theme="1"/>
        <rFont val="Arial"/>
        <family val="2"/>
      </rPr>
      <t>تحديد مكان موقع القيادة في منطقة التجمع.</t>
    </r>
  </si>
  <si>
    <r>
      <t>9.</t>
    </r>
    <r>
      <rPr>
        <sz val="7"/>
        <color theme="1"/>
        <rFont val="Times New Roman"/>
        <family val="1"/>
      </rPr>
      <t xml:space="preserve">        </t>
    </r>
    <r>
      <rPr>
        <sz val="12"/>
        <color theme="1"/>
        <rFont val="Arial"/>
        <family val="2"/>
      </rPr>
      <t>التنسيق مع الوحدات المجاورة / العناصر على الأجنحة.</t>
    </r>
  </si>
  <si>
    <r>
      <t>10.</t>
    </r>
    <r>
      <rPr>
        <sz val="7"/>
        <color theme="1"/>
        <rFont val="Times New Roman"/>
        <family val="1"/>
      </rPr>
      <t xml:space="preserve">   </t>
    </r>
    <r>
      <rPr>
        <sz val="12"/>
        <color theme="1"/>
        <rFont val="Arial"/>
        <family val="2"/>
      </rPr>
      <t>انتخاب وتحضير المواقع البديلة.</t>
    </r>
  </si>
  <si>
    <r>
      <t>11.</t>
    </r>
    <r>
      <rPr>
        <sz val="7"/>
        <color theme="1"/>
        <rFont val="Times New Roman"/>
        <family val="1"/>
      </rPr>
      <t xml:space="preserve">   </t>
    </r>
    <r>
      <rPr>
        <sz val="12"/>
        <color theme="1"/>
        <rFont val="Arial"/>
        <family val="2"/>
      </rPr>
      <t>تحضير خطة رماية الوحدة وإيجاز قادة الآليات وإرسال نسخة منها للقائد.</t>
    </r>
  </si>
  <si>
    <r>
      <t>12.</t>
    </r>
    <r>
      <rPr>
        <sz val="7"/>
        <color theme="1"/>
        <rFont val="Times New Roman"/>
        <family val="1"/>
      </rPr>
      <t xml:space="preserve">   </t>
    </r>
    <r>
      <rPr>
        <sz val="12"/>
        <color theme="1"/>
        <rFont val="Arial"/>
        <family val="2"/>
      </rPr>
      <t>التأكد من قيام أفراد الفصيل بإجراء الصيانة الضرورية.</t>
    </r>
  </si>
  <si>
    <r>
      <t>13.</t>
    </r>
    <r>
      <rPr>
        <sz val="7"/>
        <color theme="1"/>
        <rFont val="Times New Roman"/>
        <family val="1"/>
      </rPr>
      <t xml:space="preserve">   </t>
    </r>
    <r>
      <rPr>
        <sz val="12"/>
        <color theme="1"/>
        <rFont val="Arial"/>
        <family val="2"/>
      </rPr>
      <t>التأكد من حالة الأفراد والمعدات ورفع تقرير بذلك للقائد.</t>
    </r>
  </si>
  <si>
    <r>
      <t>14.</t>
    </r>
    <r>
      <rPr>
        <sz val="7"/>
        <color theme="1"/>
        <rFont val="Times New Roman"/>
        <family val="1"/>
      </rPr>
      <t xml:space="preserve">   </t>
    </r>
    <r>
      <rPr>
        <sz val="12"/>
        <color theme="1"/>
        <rFont val="Arial"/>
        <family val="2"/>
      </rPr>
      <t>العمل على إعادة التزويد.</t>
    </r>
  </si>
  <si>
    <r>
      <t>15.</t>
    </r>
    <r>
      <rPr>
        <sz val="7"/>
        <color theme="1"/>
        <rFont val="Times New Roman"/>
        <family val="1"/>
      </rPr>
      <t xml:space="preserve">   </t>
    </r>
    <r>
      <rPr>
        <sz val="12"/>
        <color theme="1"/>
        <rFont val="Arial"/>
        <family val="2"/>
      </rPr>
      <t>التأكد من الإجراءات الأمنية.</t>
    </r>
  </si>
  <si>
    <t>وكيل/1 جاسم شريف الحمادي</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</si>
</sst>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10C0000]d\ mmmm\ yyyy;@"/>
  </numFmts>
  <fonts count="17" x14ac:knownFonts="1">
    <font>
      <sz val="11"/>
      <color theme="1"/>
      <name val="Calibri"/>
      <family val="2"/>
      <scheme val="minor"/>
    </font>
    <font>
      <b/>
      <u/>
      <sz val="12"/>
      <color rgb="FF000000"/>
      <name val="Arial"/>
      <family val="2"/>
    </font>
    <font>
      <b/>
      <sz val="12"/>
      <color rgb="FF000000"/>
      <name val="Arial"/>
      <family val="2"/>
    </font>
    <font>
      <b/>
      <sz val="12"/>
      <color theme="1"/>
      <name val="Arial"/>
      <family val="2"/>
    </font>
    <font>
      <sz val="14"/>
      <color rgb="FF000000"/>
      <name val="Calibri"/>
      <family val="2"/>
      <scheme val="minor"/>
    </font>
    <font>
      <b/>
      <u/>
      <sz val="14"/>
      <color rgb="FF000000"/>
      <name val="Arial"/>
      <family val="2"/>
    </font>
    <font>
      <b/>
      <sz val="14"/>
      <color rgb="FF000000"/>
      <name val="Arial"/>
      <family val="2"/>
    </font>
    <font>
      <b/>
      <sz val="14"/>
      <color theme="1"/>
      <name val="Arial"/>
      <family val="2"/>
    </font>
    <font>
      <sz val="16"/>
      <color theme="1"/>
      <name val="Arial"/>
      <family val="2"/>
    </font>
    <font>
      <b/>
      <sz val="12"/>
      <color theme="1"/>
      <name val="Calibri"/>
      <family val="2"/>
      <scheme val="minor"/>
    </font>
    <font>
      <b/>
      <sz val="12"/>
      <name val="Arial"/>
      <family val="2"/>
    </font>
    <font>
      <b/>
      <sz val="12"/>
      <name val="Calibri"/>
      <family val="2"/>
      <scheme val="minor"/>
    </font>
    <font>
      <sz val="12"/>
      <color rgb="FF000000"/>
      <name val="Arial"/>
      <family val="2"/>
    </font>
    <font>
      <sz val="10"/>
      <color theme="1"/>
      <name val="Calibri Light"/>
      <family val="2"/>
    </font>
    <font>
      <b/>
      <u/>
      <sz val="12"/>
      <color theme="1"/>
      <name val="Arial"/>
      <family val="2"/>
    </font>
    <font>
      <sz val="12"/>
      <color theme="1"/>
      <name val="Arial"/>
      <family val="2"/>
    </font>
    <font>
      <sz val="7"/>
      <color theme="1"/>
      <name val="Times New Roman"/>
      <family val="1"/>
    </font>
  </fonts>
  <fills count="5">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theme="5" tint="0.59999389629810485"/>
        <bgColor indexed="64"/>
      </patternFill>
    </fill>
  </fills>
  <borders count="23">
    <border>
      <left/>
      <right/>
      <top/>
      <bottom/>
      <diagonal/>
    </border>
    <border>
      <left/>
      <right/>
      <top style="medium">
        <color indexed="64"/>
      </top>
      <bottom/>
      <diagonal/>
    </border>
    <border>
      <left style="medium">
        <color rgb="FF000000"/>
      </left>
      <right style="medium">
        <color rgb="FF000000"/>
      </right>
      <top style="medium">
        <color rgb="FF000000"/>
      </top>
      <bottom style="medium">
        <color rgb="FF00000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style="thin">
        <color indexed="64"/>
      </top>
      <bottom style="thin">
        <color indexed="64"/>
      </bottom>
      <diagonal/>
    </border>
    <border>
      <left/>
      <right/>
      <top style="thin">
        <color indexed="64"/>
      </top>
      <bottom style="medium">
        <color indexed="64"/>
      </bottom>
      <diagonal/>
    </border>
  </borders>
  <cellStyleXfs count="1">
    <xf numFmtId="0" fontId="0" fillId="0" borderId="0"/>
  </cellStyleXfs>
  <cellXfs count="82">
    <xf numFmtId="0" fontId="0" fillId="0" borderId="0" xfId="0"/>
    <xf numFmtId="0" fontId="0" fillId="0" borderId="0" xfId="0" applyProtection="1">
      <protection locked="0"/>
    </xf>
    <xf numFmtId="0" fontId="4" fillId="0" borderId="2" xfId="0" applyFont="1" applyBorder="1" applyAlignment="1" applyProtection="1">
      <alignment horizontal="center" vertical="center" wrapText="1" readingOrder="2"/>
      <protection locked="0"/>
    </xf>
    <xf numFmtId="0" fontId="0" fillId="0" borderId="0" xfId="0" applyAlignment="1" applyProtection="1">
      <alignment horizontal="center"/>
      <protection locked="0"/>
    </xf>
    <xf numFmtId="0" fontId="2" fillId="2" borderId="0" xfId="0" applyFont="1" applyFill="1" applyBorder="1" applyAlignment="1" applyProtection="1">
      <alignment vertical="center" wrapText="1" readingOrder="2"/>
      <protection locked="0"/>
    </xf>
    <xf numFmtId="0" fontId="1" fillId="0" borderId="0" xfId="0" applyFont="1" applyBorder="1" applyAlignment="1" applyProtection="1">
      <alignment vertical="top" wrapText="1" readingOrder="2"/>
      <protection locked="0"/>
    </xf>
    <xf numFmtId="0" fontId="6" fillId="0" borderId="0" xfId="0" applyFont="1" applyAlignment="1" applyProtection="1">
      <alignment vertical="center" wrapText="1" readingOrder="2"/>
      <protection locked="0"/>
    </xf>
    <xf numFmtId="0" fontId="6" fillId="0" borderId="0" xfId="0" applyFont="1" applyAlignment="1" applyProtection="1">
      <alignment horizontal="right" vertical="center" wrapText="1" readingOrder="2"/>
      <protection locked="0"/>
    </xf>
    <xf numFmtId="0" fontId="6" fillId="0" borderId="0" xfId="0" applyFont="1" applyAlignment="1" applyProtection="1">
      <alignment horizontal="center" vertical="center" wrapText="1" readingOrder="2"/>
      <protection locked="0"/>
    </xf>
    <xf numFmtId="0" fontId="2" fillId="0" borderId="9" xfId="0" applyFont="1" applyBorder="1" applyAlignment="1">
      <alignment horizontal="center" vertical="center" wrapText="1" readingOrder="2"/>
    </xf>
    <xf numFmtId="0" fontId="3" fillId="2" borderId="0" xfId="0" applyFont="1" applyFill="1" applyBorder="1" applyAlignment="1" applyProtection="1">
      <alignment vertical="center" wrapText="1" readingOrder="2"/>
      <protection locked="0"/>
    </xf>
    <xf numFmtId="0" fontId="6" fillId="4" borderId="12" xfId="0" applyFont="1" applyFill="1" applyBorder="1" applyAlignment="1" applyProtection="1">
      <alignment horizontal="center" vertical="center" wrapText="1" readingOrder="2"/>
      <protection locked="0"/>
    </xf>
    <xf numFmtId="0" fontId="6" fillId="4" borderId="3" xfId="0" applyFont="1" applyFill="1" applyBorder="1" applyAlignment="1" applyProtection="1">
      <alignment vertical="center" wrapText="1" readingOrder="2"/>
      <protection locked="0"/>
    </xf>
    <xf numFmtId="164" fontId="4" fillId="0" borderId="2" xfId="0" applyNumberFormat="1" applyFont="1" applyBorder="1" applyAlignment="1" applyProtection="1">
      <alignment horizontal="center" vertical="center" wrapText="1" readingOrder="2"/>
      <protection locked="0"/>
    </xf>
    <xf numFmtId="164" fontId="4" fillId="0" borderId="0" xfId="0" applyNumberFormat="1" applyFont="1" applyBorder="1" applyAlignment="1" applyProtection="1">
      <alignment horizontal="center" vertical="center" wrapText="1" readingOrder="2"/>
      <protection locked="0"/>
    </xf>
    <xf numFmtId="164" fontId="4" fillId="3" borderId="0" xfId="0" applyNumberFormat="1" applyFont="1" applyFill="1" applyBorder="1" applyAlignment="1" applyProtection="1">
      <alignment horizontal="center" vertical="center" wrapText="1" readingOrder="2"/>
      <protection locked="0"/>
    </xf>
    <xf numFmtId="0" fontId="0" fillId="3" borderId="0" xfId="0" applyFill="1" applyProtection="1">
      <protection locked="0"/>
    </xf>
    <xf numFmtId="0" fontId="0" fillId="3" borderId="0" xfId="0" applyFill="1"/>
    <xf numFmtId="0" fontId="4" fillId="0" borderId="0" xfId="0" applyFont="1" applyBorder="1" applyAlignment="1" applyProtection="1">
      <alignment horizontal="center" vertical="center" wrapText="1" readingOrder="2"/>
      <protection locked="0"/>
    </xf>
    <xf numFmtId="0" fontId="8" fillId="0" borderId="3" xfId="0" applyFont="1" applyBorder="1" applyAlignment="1">
      <alignment horizontal="center" vertical="center"/>
    </xf>
    <xf numFmtId="0" fontId="9" fillId="0" borderId="3" xfId="0" applyFont="1" applyBorder="1" applyAlignment="1">
      <alignment horizontal="center" vertical="center"/>
    </xf>
    <xf numFmtId="0" fontId="9" fillId="0" borderId="17" xfId="0" applyFont="1" applyBorder="1" applyAlignment="1">
      <alignment horizontal="center" vertical="center"/>
    </xf>
    <xf numFmtId="0" fontId="10" fillId="0" borderId="3" xfId="0" applyFont="1" applyFill="1" applyBorder="1" applyAlignment="1">
      <alignment horizontal="center" vertical="center"/>
    </xf>
    <xf numFmtId="0" fontId="3" fillId="0" borderId="3" xfId="0" applyFont="1" applyFill="1" applyBorder="1" applyAlignment="1">
      <alignment horizontal="center" vertical="center"/>
    </xf>
    <xf numFmtId="0" fontId="11" fillId="0" borderId="3" xfId="0" applyFont="1" applyBorder="1" applyAlignment="1">
      <alignment horizontal="center" vertical="center"/>
    </xf>
    <xf numFmtId="0" fontId="3" fillId="0" borderId="3" xfId="0" applyFont="1" applyBorder="1" applyAlignment="1">
      <alignment horizontal="center" vertical="center"/>
    </xf>
    <xf numFmtId="0" fontId="3" fillId="0" borderId="3" xfId="0" applyFont="1" applyBorder="1" applyAlignment="1" applyProtection="1">
      <alignment horizontal="center" vertical="center" wrapText="1" readingOrder="2"/>
      <protection locked="0"/>
    </xf>
    <xf numFmtId="0" fontId="3" fillId="0" borderId="12" xfId="0" applyFont="1" applyBorder="1" applyAlignment="1" applyProtection="1">
      <alignment horizontal="center" vertical="center" wrapText="1" readingOrder="2"/>
      <protection locked="0"/>
    </xf>
    <xf numFmtId="0" fontId="6" fillId="0" borderId="0" xfId="0" applyFont="1" applyAlignment="1" applyProtection="1">
      <alignment horizontal="center" vertical="center" wrapText="1" readingOrder="2"/>
      <protection locked="0"/>
    </xf>
    <xf numFmtId="0" fontId="6" fillId="4" borderId="19" xfId="0" applyFont="1" applyFill="1" applyBorder="1" applyAlignment="1" applyProtection="1">
      <alignment horizontal="center" vertical="center" wrapText="1" readingOrder="2"/>
      <protection locked="0"/>
    </xf>
    <xf numFmtId="9" fontId="3" fillId="0" borderId="3" xfId="0" applyNumberFormat="1" applyFont="1" applyBorder="1" applyAlignment="1">
      <alignment horizontal="center" vertical="center" wrapText="1" readingOrder="2"/>
    </xf>
    <xf numFmtId="0" fontId="2" fillId="0" borderId="3" xfId="0" applyFont="1" applyBorder="1" applyAlignment="1">
      <alignment horizontal="center" vertical="center" wrapText="1" readingOrder="1"/>
    </xf>
    <xf numFmtId="0" fontId="2" fillId="0" borderId="3" xfId="0" applyFont="1" applyBorder="1" applyAlignment="1">
      <alignment horizontal="center" vertical="center" wrapText="1"/>
    </xf>
    <xf numFmtId="0" fontId="13" fillId="0" borderId="4" xfId="0" applyFont="1" applyBorder="1" applyAlignment="1">
      <alignment vertical="top" wrapText="1"/>
    </xf>
    <xf numFmtId="0" fontId="3" fillId="0" borderId="4" xfId="0" applyFont="1" applyBorder="1" applyAlignment="1" applyProtection="1">
      <alignment horizontal="center" vertical="center" wrapText="1" readingOrder="2"/>
      <protection locked="0"/>
    </xf>
    <xf numFmtId="9" fontId="3" fillId="0" borderId="4" xfId="0" applyNumberFormat="1" applyFont="1" applyBorder="1" applyAlignment="1">
      <alignment horizontal="center" vertical="center" wrapText="1" readingOrder="2"/>
    </xf>
    <xf numFmtId="0" fontId="2" fillId="0" borderId="4" xfId="0" applyFont="1" applyBorder="1" applyAlignment="1">
      <alignment horizontal="center" vertical="center" wrapText="1" readingOrder="1"/>
    </xf>
    <xf numFmtId="0" fontId="2" fillId="0" borderId="12" xfId="0" applyFont="1" applyBorder="1" applyAlignment="1">
      <alignment horizontal="center" vertical="center" wrapText="1"/>
    </xf>
    <xf numFmtId="9" fontId="3" fillId="0" borderId="12" xfId="0" applyNumberFormat="1" applyFont="1" applyBorder="1" applyAlignment="1">
      <alignment horizontal="center" vertical="center" wrapText="1" readingOrder="2"/>
    </xf>
    <xf numFmtId="0" fontId="2" fillId="0" borderId="12" xfId="0" applyFont="1" applyBorder="1" applyAlignment="1">
      <alignment horizontal="center" vertical="center" wrapText="1" readingOrder="1"/>
    </xf>
    <xf numFmtId="0" fontId="15" fillId="0" borderId="21" xfId="0" applyFont="1" applyBorder="1" applyAlignment="1">
      <alignment horizontal="right" vertical="center" wrapText="1" readingOrder="2"/>
    </xf>
    <xf numFmtId="0" fontId="15" fillId="0" borderId="3" xfId="0" applyFont="1" applyBorder="1" applyAlignment="1">
      <alignment horizontal="right" vertical="center" wrapText="1" readingOrder="2"/>
    </xf>
    <xf numFmtId="0" fontId="15" fillId="0" borderId="11" xfId="0" applyFont="1" applyBorder="1" applyAlignment="1">
      <alignment horizontal="right" vertical="center" wrapText="1" readingOrder="2"/>
    </xf>
    <xf numFmtId="0" fontId="15" fillId="0" borderId="12" xfId="0" applyFont="1" applyBorder="1" applyAlignment="1">
      <alignment horizontal="right" vertical="center" wrapText="1" readingOrder="2"/>
    </xf>
    <xf numFmtId="0" fontId="14" fillId="0" borderId="5" xfId="0" applyFont="1" applyBorder="1" applyAlignment="1">
      <alignment horizontal="right" vertical="center" wrapText="1" readingOrder="2"/>
    </xf>
    <xf numFmtId="0" fontId="14" fillId="0" borderId="4" xfId="0" applyFont="1" applyBorder="1" applyAlignment="1">
      <alignment horizontal="right" vertical="center" wrapText="1" readingOrder="2"/>
    </xf>
    <xf numFmtId="0" fontId="3" fillId="0" borderId="3" xfId="0" applyFont="1" applyBorder="1" applyAlignment="1" applyProtection="1">
      <alignment horizontal="center" vertical="center" wrapText="1" readingOrder="2"/>
      <protection locked="0"/>
    </xf>
    <xf numFmtId="0" fontId="3" fillId="0" borderId="7" xfId="0" applyFont="1" applyBorder="1" applyAlignment="1" applyProtection="1">
      <alignment horizontal="center" vertical="center" wrapText="1" readingOrder="2"/>
      <protection locked="0"/>
    </xf>
    <xf numFmtId="0" fontId="3" fillId="0" borderId="4" xfId="0" applyFont="1" applyBorder="1" applyAlignment="1" applyProtection="1">
      <alignment horizontal="center" vertical="center" wrapText="1" readingOrder="2"/>
      <protection locked="0"/>
    </xf>
    <xf numFmtId="0" fontId="3" fillId="0" borderId="6" xfId="0" applyFont="1" applyBorder="1" applyAlignment="1" applyProtection="1">
      <alignment horizontal="center" vertical="center" wrapText="1" readingOrder="2"/>
      <protection locked="0"/>
    </xf>
    <xf numFmtId="0" fontId="3" fillId="0" borderId="12" xfId="0" applyFont="1" applyBorder="1" applyAlignment="1" applyProtection="1">
      <alignment horizontal="center" vertical="center" wrapText="1" readingOrder="2"/>
      <protection locked="0"/>
    </xf>
    <xf numFmtId="0" fontId="3" fillId="0" borderId="13" xfId="0" applyFont="1" applyBorder="1" applyAlignment="1" applyProtection="1">
      <alignment horizontal="center" vertical="center" wrapText="1" readingOrder="2"/>
      <protection locked="0"/>
    </xf>
    <xf numFmtId="0" fontId="1" fillId="0" borderId="1" xfId="0" applyFont="1" applyBorder="1" applyAlignment="1" applyProtection="1">
      <alignment vertical="top" wrapText="1" readingOrder="2"/>
      <protection locked="0"/>
    </xf>
    <xf numFmtId="0" fontId="1" fillId="0" borderId="0" xfId="0" applyFont="1" applyBorder="1" applyAlignment="1" applyProtection="1">
      <alignment vertical="top" wrapText="1" readingOrder="2"/>
      <protection locked="0"/>
    </xf>
    <xf numFmtId="0" fontId="6" fillId="0" borderId="0" xfId="0" applyFont="1" applyBorder="1" applyAlignment="1" applyProtection="1">
      <alignment horizontal="right" vertical="center" wrapText="1" readingOrder="2"/>
      <protection locked="0"/>
    </xf>
    <xf numFmtId="0" fontId="2" fillId="0" borderId="9" xfId="0" applyFont="1" applyBorder="1" applyAlignment="1">
      <alignment horizontal="center" vertical="center" wrapText="1" readingOrder="1"/>
    </xf>
    <xf numFmtId="0" fontId="2" fillId="0" borderId="10" xfId="0" applyFont="1" applyBorder="1" applyAlignment="1">
      <alignment horizontal="center" vertical="center" wrapText="1" readingOrder="1"/>
    </xf>
    <xf numFmtId="10" fontId="2" fillId="0" borderId="9" xfId="0" applyNumberFormat="1" applyFont="1" applyBorder="1" applyAlignment="1">
      <alignment horizontal="center" vertical="center" wrapText="1" readingOrder="2"/>
    </xf>
    <xf numFmtId="10" fontId="2" fillId="0" borderId="10" xfId="0" applyNumberFormat="1" applyFont="1" applyBorder="1" applyAlignment="1">
      <alignment horizontal="center" vertical="center" wrapText="1" readingOrder="2"/>
    </xf>
    <xf numFmtId="0" fontId="6" fillId="0" borderId="1" xfId="0" applyFont="1" applyBorder="1" applyAlignment="1" applyProtection="1">
      <alignment horizontal="left" vertical="center" wrapText="1" readingOrder="2"/>
      <protection locked="0"/>
    </xf>
    <xf numFmtId="0" fontId="6" fillId="0" borderId="0" xfId="0" applyFont="1" applyAlignment="1" applyProtection="1">
      <alignment horizontal="left" vertical="center" wrapText="1" readingOrder="2"/>
      <protection locked="0"/>
    </xf>
    <xf numFmtId="0" fontId="2" fillId="0" borderId="14" xfId="0" applyFont="1" applyBorder="1" applyAlignment="1">
      <alignment horizontal="center" vertical="center" wrapText="1" readingOrder="2"/>
    </xf>
    <xf numFmtId="0" fontId="2" fillId="0" borderId="15" xfId="0" applyFont="1" applyBorder="1" applyAlignment="1">
      <alignment horizontal="center" vertical="center" wrapText="1" readingOrder="2"/>
    </xf>
    <xf numFmtId="0" fontId="2" fillId="0" borderId="16" xfId="0" applyFont="1" applyBorder="1" applyAlignment="1">
      <alignment horizontal="center" vertical="center" wrapText="1" readingOrder="2"/>
    </xf>
    <xf numFmtId="0" fontId="6" fillId="4" borderId="8" xfId="0" applyFont="1" applyFill="1" applyBorder="1" applyAlignment="1" applyProtection="1">
      <alignment horizontal="center" vertical="center" wrapText="1" readingOrder="2"/>
      <protection locked="0"/>
    </xf>
    <xf numFmtId="0" fontId="6" fillId="4" borderId="9" xfId="0" applyFont="1" applyFill="1" applyBorder="1" applyAlignment="1" applyProtection="1">
      <alignment horizontal="center" vertical="center" wrapText="1" readingOrder="2"/>
      <protection locked="0"/>
    </xf>
    <xf numFmtId="49" fontId="5" fillId="0" borderId="0" xfId="0" applyNumberFormat="1" applyFont="1" applyAlignment="1" applyProtection="1">
      <alignment horizontal="center" vertical="top" wrapText="1" readingOrder="2"/>
      <protection locked="0"/>
    </xf>
    <xf numFmtId="164" fontId="6" fillId="0" borderId="3" xfId="0" applyNumberFormat="1" applyFont="1" applyBorder="1" applyAlignment="1" applyProtection="1">
      <alignment horizontal="right" vertical="center" wrapText="1" readingOrder="2"/>
      <protection locked="0"/>
    </xf>
    <xf numFmtId="0" fontId="7" fillId="4" borderId="5" xfId="0" applyFont="1" applyFill="1" applyBorder="1" applyAlignment="1" applyProtection="1">
      <alignment horizontal="center" vertical="center" wrapText="1" readingOrder="2"/>
      <protection locked="0"/>
    </xf>
    <xf numFmtId="0" fontId="7" fillId="4" borderId="4" xfId="0" applyFont="1" applyFill="1" applyBorder="1" applyAlignment="1" applyProtection="1">
      <alignment horizontal="center" vertical="center" wrapText="1" readingOrder="2"/>
      <protection locked="0"/>
    </xf>
    <xf numFmtId="0" fontId="7" fillId="4" borderId="11" xfId="0" applyFont="1" applyFill="1" applyBorder="1" applyAlignment="1" applyProtection="1">
      <alignment horizontal="center" vertical="center" wrapText="1" readingOrder="2"/>
      <protection locked="0"/>
    </xf>
    <xf numFmtId="0" fontId="7" fillId="4" borderId="12" xfId="0" applyFont="1" applyFill="1" applyBorder="1" applyAlignment="1" applyProtection="1">
      <alignment horizontal="center" vertical="center" wrapText="1" readingOrder="2"/>
      <protection locked="0"/>
    </xf>
    <xf numFmtId="0" fontId="6" fillId="0" borderId="3" xfId="0" applyFont="1" applyBorder="1" applyAlignment="1" applyProtection="1">
      <alignment horizontal="right" vertical="center" wrapText="1" readingOrder="2"/>
      <protection locked="0"/>
    </xf>
    <xf numFmtId="0" fontId="6" fillId="4" borderId="4" xfId="0" applyFont="1" applyFill="1" applyBorder="1" applyAlignment="1" applyProtection="1">
      <alignment horizontal="center" vertical="center" wrapText="1" readingOrder="2"/>
      <protection locked="0"/>
    </xf>
    <xf numFmtId="0" fontId="6" fillId="4" borderId="6" xfId="0" applyFont="1" applyFill="1" applyBorder="1" applyAlignment="1" applyProtection="1">
      <alignment horizontal="center" vertical="center" wrapText="1" readingOrder="2"/>
      <protection locked="0"/>
    </xf>
    <xf numFmtId="0" fontId="6" fillId="4" borderId="12" xfId="0" applyFont="1" applyFill="1" applyBorder="1" applyAlignment="1" applyProtection="1">
      <alignment horizontal="center" vertical="center" wrapText="1" readingOrder="2"/>
      <protection locked="0"/>
    </xf>
    <xf numFmtId="0" fontId="6" fillId="4" borderId="13" xfId="0" applyFont="1" applyFill="1" applyBorder="1" applyAlignment="1" applyProtection="1">
      <alignment horizontal="center" vertical="center" wrapText="1" readingOrder="2"/>
      <protection locked="0"/>
    </xf>
    <xf numFmtId="0" fontId="6" fillId="0" borderId="22" xfId="0" applyFont="1" applyBorder="1" applyAlignment="1" applyProtection="1">
      <alignment horizontal="center" vertical="center" wrapText="1" readingOrder="2"/>
      <protection locked="0"/>
    </xf>
    <xf numFmtId="0" fontId="7" fillId="4" borderId="18" xfId="0" applyFont="1" applyFill="1" applyBorder="1" applyAlignment="1" applyProtection="1">
      <alignment horizontal="center" vertical="center" wrapText="1" readingOrder="2"/>
      <protection locked="0"/>
    </xf>
    <xf numFmtId="0" fontId="7" fillId="4" borderId="19" xfId="0" applyFont="1" applyFill="1" applyBorder="1" applyAlignment="1" applyProtection="1">
      <alignment horizontal="center" vertical="center" wrapText="1" readingOrder="2"/>
      <protection locked="0"/>
    </xf>
    <xf numFmtId="0" fontId="6" fillId="4" borderId="19" xfId="0" applyFont="1" applyFill="1" applyBorder="1" applyAlignment="1" applyProtection="1">
      <alignment horizontal="center" vertical="center" wrapText="1" readingOrder="2"/>
      <protection locked="0"/>
    </xf>
    <xf numFmtId="0" fontId="6" fillId="4" borderId="20" xfId="0" applyFont="1" applyFill="1" applyBorder="1" applyAlignment="1" applyProtection="1">
      <alignment horizontal="center" vertical="center" wrapText="1" readingOrder="2"/>
      <protection locked="0"/>
    </xf>
  </cellXfs>
  <cellStyles count="1">
    <cellStyle name="Normal" xfId="0" builtinId="0"/>
  </cellStyles>
  <dxfs count="17">
    <dxf>
      <font>
        <color theme="0"/>
      </font>
      <fill>
        <patternFill>
          <bgColor rgb="FFFF0000"/>
        </patternFill>
      </fill>
    </dxf>
    <dxf>
      <fill>
        <patternFill>
          <bgColor theme="5" tint="0.39994506668294322"/>
        </patternFill>
      </fill>
    </dxf>
    <dxf>
      <fill>
        <patternFill>
          <bgColor rgb="FFFFFF00"/>
        </patternFill>
      </fill>
    </dxf>
    <dxf>
      <fill>
        <patternFill>
          <bgColor rgb="FF00CC00"/>
        </patternFill>
      </fill>
    </dxf>
    <dxf>
      <font>
        <color theme="1"/>
      </font>
      <fill>
        <patternFill>
          <bgColor rgb="FF00B0F0"/>
        </patternFill>
      </fill>
    </dxf>
    <dxf>
      <font>
        <color rgb="FFFF0000"/>
      </font>
    </dxf>
    <dxf>
      <font>
        <color rgb="FFFF0000"/>
      </font>
    </dxf>
    <dxf>
      <font>
        <color rgb="FFFF0000"/>
      </font>
    </dxf>
    <dxf>
      <font>
        <color rgb="FFFF0000"/>
      </font>
    </dxf>
    <dxf>
      <font>
        <color rgb="FFFF0000"/>
      </font>
    </dxf>
    <dxf>
      <font>
        <color theme="0"/>
      </font>
      <fill>
        <patternFill>
          <bgColor theme="8"/>
        </patternFill>
      </fill>
    </dxf>
    <dxf>
      <font>
        <b/>
        <i val="0"/>
        <color theme="0"/>
      </font>
      <fill>
        <patternFill>
          <bgColor rgb="FF339933"/>
        </patternFill>
      </fill>
    </dxf>
    <dxf>
      <font>
        <b/>
        <i val="0"/>
        <color theme="1"/>
      </font>
      <fill>
        <patternFill>
          <bgColor rgb="FFFFFF00"/>
        </patternFill>
      </fill>
    </dxf>
    <dxf>
      <font>
        <b/>
        <i val="0"/>
        <color theme="1"/>
      </font>
      <fill>
        <patternFill>
          <bgColor rgb="FFFF9933"/>
        </patternFill>
      </fill>
    </dxf>
    <dxf>
      <font>
        <b/>
        <i val="0"/>
        <color theme="0"/>
      </font>
      <fill>
        <patternFill>
          <bgColor rgb="FFFF0000"/>
        </patternFill>
      </fill>
    </dxf>
    <dxf>
      <font>
        <color rgb="FFFF0000"/>
      </font>
    </dxf>
    <dxf>
      <font>
        <color rgb="FFFF0000"/>
      </font>
    </dxf>
  </dxfs>
  <tableStyles count="0" defaultTableStyle="TableStyleMedium2" defaultPivotStyle="PivotStyleLight16"/>
  <colors>
    <mruColors>
      <color rgb="FFFF9933"/>
      <color rgb="FF00CC00"/>
      <color rgb="FF339933"/>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customXml" Target="../ink/ink1.xml"/></Relationships>
</file>

<file path=xl/drawings/drawing1.xml><?xml version="1.0" encoding="utf-8"?>
<xdr:wsDr xmlns:xdr="http://schemas.openxmlformats.org/drawingml/2006/spreadsheetDrawing" xmlns:a="http://schemas.openxmlformats.org/drawingml/2006/main">
  <xdr:twoCellAnchor editAs="oneCell">
    <xdr:from>
      <xdr:col>6</xdr:col>
      <xdr:colOff>320441</xdr:colOff>
      <xdr:row>48</xdr:row>
      <xdr:rowOff>449095</xdr:rowOff>
    </xdr:from>
    <xdr:to>
      <xdr:col>8</xdr:col>
      <xdr:colOff>290177</xdr:colOff>
      <xdr:row>49</xdr:row>
      <xdr:rowOff>515603</xdr:rowOff>
    </xdr:to>
    <mc:AlternateContent xmlns:mc="http://schemas.openxmlformats.org/markup-compatibility/2006" xmlns:xdr14="http://schemas.microsoft.com/office/excel/2010/spreadsheetDrawing">
      <mc:Choice Requires="xdr14">
        <xdr:contentPart xmlns:r="http://schemas.openxmlformats.org/officeDocument/2006/relationships" r:id="rId1">
          <xdr14:nvContentPartPr>
            <xdr14:cNvPr id="2" name="Ink 1">
              <a:extLst>
                <a:ext uri="{FF2B5EF4-FFF2-40B4-BE49-F238E27FC236}">
                  <a16:creationId xmlns:a16="http://schemas.microsoft.com/office/drawing/2014/main" id="{4F4DB199-E261-E0E9-0C5E-87004780D995}"/>
                </a:ext>
              </a:extLst>
            </xdr14:cNvPr>
            <xdr14:cNvContentPartPr/>
          </xdr14:nvContentPartPr>
          <xdr14:nvPr macro=""/>
          <xdr14:xfrm>
            <a:off x="10398954731" y="19637640"/>
            <a:ext cx="1285920" cy="597600"/>
          </xdr14:xfrm>
        </xdr:contentPart>
      </mc:Choice>
      <mc:Fallback xmlns="">
        <xdr:pic>
          <xdr:nvPicPr>
            <xdr:cNvPr id="2" name="Ink 1">
              <a:extLst>
                <a:ext uri="{FF2B5EF4-FFF2-40B4-BE49-F238E27FC236}">
                  <a16:creationId xmlns:a16="http://schemas.microsoft.com/office/drawing/2014/main" id="{4F4DB199-E261-E0E9-0C5E-87004780D995}"/>
                </a:ext>
              </a:extLst>
            </xdr:cNvPr>
            <xdr:cNvPicPr/>
          </xdr:nvPicPr>
          <xdr:blipFill>
            <a:blip xmlns:r="http://schemas.openxmlformats.org/officeDocument/2006/relationships" r:embed="rId2"/>
            <a:stretch>
              <a:fillRect/>
            </a:stretch>
          </xdr:blipFill>
          <xdr:spPr>
            <a:xfrm>
              <a:off x="10398948611" y="19631520"/>
              <a:ext cx="1298160" cy="609840"/>
            </a:xfrm>
            <a:prstGeom prst="rect">
              <a:avLst/>
            </a:prstGeom>
          </xdr:spPr>
        </xdr:pic>
      </mc:Fallback>
    </mc:AlternateContent>
    <xdr:clientData/>
  </xdr:twoCellAnchor>
</xdr:wsDr>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19T16:20:18.254"/>
    </inkml:context>
    <inkml:brush xml:id="br0">
      <inkml:brushProperty name="width" value="0.035" units="cm"/>
      <inkml:brushProperty name="height" value="0.035" units="cm"/>
    </inkml:brush>
  </inkml:definitions>
  <inkml:trace contextRef="#ctx0" brushRef="#br0">2544 1063 11498,'0'0'0,"-1"-17"3289,-1 0-2097,0-1-608,2 18-584,-2-18 392,1 3-160,1 1-40,0-1 0,0 15-192,0-15 136,3-2 72,-1 0-152,1-5 96,-3 22-152,5-21 168,6-2-24,-8-2-72,10 1 40,-13 24-112,11-26 32,3-2 16,2-2 1,5 0-49,-21 30 0,27-28-73,3-4-31,3 3-40,5-1-24,-38 30 168,42-28-144,5-1 0,5 2 24,4 0-24,-56 27 144,59-24-176,-1 4 24,-3 2 40,-4 4 8,-51 14 104,47-5-72,-3-8-8,-4 13-24,-4 0 16,-36 0 88,30 1-120,-4 3 24,-5 11-8,-4 0-8,-17-15 112,12 17-64,-8 3 24,-1 4 72,-5 4 48,2-28-80,-17 30 104,-12 6 32,-14 2-24,-19 3-16,62-41-96,-78 40 32,-18-1 24,-12 0-24,-10-4 72,118-35-104,-129 33 64,1-5 16,0-2 0,5-5-24,123-21-56,-117 17 56,8-3-8,9-8 0,14 0-16,86-6-32,-74 2 48,12-2-8,12-11-40,15-3 0,35 14 0,-21-20 128,20-6 0,5-5-48,27-3 16,-31 34-96,42-38 72,12-2-48,12-2 136,14-4-32,-80 46-128,94-48 168,12 0 49,11 1 31,5 3 16,-122 44-264,124-39 248,-3 7 16,-4 5-40,-12 7-40,-105 20-184,93-11 88,-15 8-48,-17 3-88,-19 3-88,-42-3 136,23 16-200,-23 1-112,-14 9 88,-26 7 64,40-33 160,-72 41 8,-27 6 96,-28 6-72,-23-1 8,150-52-40,-167 54-96,-14-2-64,-3 0-88,-7-6-16,191-46 264,-191 48-305,4-6-207,2-3-136,10-2-208,175-37 856,-164 32-896,10-10 96,12-5 79,13-12 185,129-5 536,-114 0-328,12-5 176,11-16 232,13-3 104,78 24-184,-66-31 288,10-6 200,8-10 137,8-4 151,40 51-776,-32-55 880,8-5 0,8-3-72,12-3 81,4 66-889,-5-63 800,4-2-80,1 2-56,13 6-280,-13 57-384,3-53 456,16 2-48,-7 3 32,2-2 0,-14 50-440,14-50 297,-4 13-41,-6 13-72,1 10-104,-5 14-80,2 0-152,1 0-136,0 17-73,2 13 49,-5-30 312,4 50-184,6 18 72,-7 13 8,10 14 64,-13-95 40,10 103-64,6 7-40,3 10 24,8 5-200,-27-125 280,34 132-464,10 0-256,12-4-360,7-1-401,-63-127 1481,74 120-2288,6-4-1457,8-4-4313,-88-112 8058</inkml:trace>
</inkm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1D0DF2-5DCE-4624-B909-68D4EC5F2664}">
  <sheetPr codeName="Sheet1">
    <pageSetUpPr fitToPage="1"/>
  </sheetPr>
  <dimension ref="A1:J50"/>
  <sheetViews>
    <sheetView rightToLeft="1" tabSelected="1" view="pageBreakPreview" zoomScale="130" zoomScaleNormal="100" zoomScaleSheetLayoutView="130" workbookViewId="0">
      <selection activeCell="F2" sqref="F2:J2"/>
    </sheetView>
  </sheetViews>
  <sheetFormatPr defaultColWidth="9" defaultRowHeight="14.4" x14ac:dyDescent="0.3"/>
  <cols>
    <col min="1" max="1" width="5.109375" style="1" customWidth="1"/>
    <col min="2" max="2" width="16" style="1" customWidth="1"/>
    <col min="3" max="3" width="9" style="1"/>
    <col min="4" max="4" width="28.109375" style="1" customWidth="1"/>
    <col min="5" max="7" width="9.33203125" style="1" customWidth="1"/>
    <col min="8" max="8" width="9.33203125" style="3" customWidth="1"/>
    <col min="9" max="9" width="9.33203125" style="1" customWidth="1"/>
    <col min="10" max="10" width="15.44140625" style="1" customWidth="1"/>
    <col min="11" max="16384" width="9" style="1"/>
  </cols>
  <sheetData>
    <row r="1" spans="1:10" ht="45" customHeight="1" x14ac:dyDescent="0.3">
      <c r="B1" s="66" t="s">
        <v>180</v>
      </c>
      <c r="C1" s="66"/>
      <c r="D1" s="66"/>
      <c r="E1" s="66"/>
      <c r="F1" s="66"/>
      <c r="G1" s="66"/>
      <c r="H1" s="66"/>
      <c r="I1" s="66"/>
      <c r="J1" s="66"/>
    </row>
    <row r="2" spans="1:10" ht="30" customHeight="1" x14ac:dyDescent="0.3">
      <c r="B2" s="12" t="s">
        <v>178</v>
      </c>
      <c r="C2" s="72" t="s">
        <v>45</v>
      </c>
      <c r="D2" s="72"/>
      <c r="E2" s="12" t="s">
        <v>7</v>
      </c>
      <c r="F2" s="67">
        <v>45944</v>
      </c>
      <c r="G2" s="67"/>
      <c r="H2" s="67"/>
      <c r="I2" s="67"/>
      <c r="J2" s="67"/>
    </row>
    <row r="3" spans="1:10" ht="30" customHeight="1" x14ac:dyDescent="0.3">
      <c r="B3" s="12" t="s">
        <v>179</v>
      </c>
      <c r="C3" s="72"/>
      <c r="D3" s="72"/>
      <c r="E3" s="12" t="s">
        <v>6</v>
      </c>
      <c r="F3" s="72" t="s">
        <v>163</v>
      </c>
      <c r="G3" s="72"/>
      <c r="H3" s="72"/>
      <c r="I3" s="72"/>
      <c r="J3" s="72"/>
    </row>
    <row r="4" spans="1:10" ht="30" customHeight="1" thickBot="1" x14ac:dyDescent="0.35">
      <c r="B4" s="6"/>
      <c r="C4" s="77" t="s">
        <v>219</v>
      </c>
      <c r="D4" s="77"/>
      <c r="E4" s="6"/>
      <c r="F4" s="7"/>
      <c r="G4" s="7"/>
      <c r="H4" s="8"/>
      <c r="I4" s="7"/>
      <c r="J4" s="7"/>
    </row>
    <row r="5" spans="1:10" ht="24.9" customHeight="1" x14ac:dyDescent="0.3">
      <c r="A5" s="10"/>
      <c r="B5" s="68" t="s">
        <v>0</v>
      </c>
      <c r="C5" s="69"/>
      <c r="D5" s="69"/>
      <c r="E5" s="73" t="s">
        <v>1</v>
      </c>
      <c r="F5" s="73"/>
      <c r="G5" s="73"/>
      <c r="H5" s="73"/>
      <c r="I5" s="73" t="s">
        <v>2</v>
      </c>
      <c r="J5" s="74"/>
    </row>
    <row r="6" spans="1:10" ht="24.9" customHeight="1" thickBot="1" x14ac:dyDescent="0.35">
      <c r="A6" s="10"/>
      <c r="B6" s="70"/>
      <c r="C6" s="71"/>
      <c r="D6" s="71"/>
      <c r="E6" s="11" t="s">
        <v>3</v>
      </c>
      <c r="F6" s="11" t="s">
        <v>4</v>
      </c>
      <c r="G6" s="11" t="s">
        <v>21</v>
      </c>
      <c r="H6" s="11" t="s">
        <v>22</v>
      </c>
      <c r="I6" s="75"/>
      <c r="J6" s="76"/>
    </row>
    <row r="7" spans="1:10" ht="24.9" customHeight="1" thickBot="1" x14ac:dyDescent="0.35">
      <c r="A7" s="10"/>
      <c r="B7" s="78" t="s">
        <v>19</v>
      </c>
      <c r="C7" s="79"/>
      <c r="D7" s="79"/>
      <c r="E7" s="29" t="s">
        <v>16</v>
      </c>
      <c r="F7" s="29" t="s">
        <v>17</v>
      </c>
      <c r="G7" s="29" t="s">
        <v>20</v>
      </c>
      <c r="H7" s="29" t="s">
        <v>18</v>
      </c>
      <c r="I7" s="80" t="s">
        <v>23</v>
      </c>
      <c r="J7" s="81"/>
    </row>
    <row r="8" spans="1:10" ht="30" customHeight="1" x14ac:dyDescent="0.3">
      <c r="A8" s="10"/>
      <c r="B8" s="44" t="s">
        <v>181</v>
      </c>
      <c r="C8" s="45"/>
      <c r="D8" s="45"/>
      <c r="E8" s="33"/>
      <c r="F8" s="34"/>
      <c r="G8" s="35"/>
      <c r="H8" s="36"/>
      <c r="I8" s="48"/>
      <c r="J8" s="49"/>
    </row>
    <row r="9" spans="1:10" ht="30" customHeight="1" x14ac:dyDescent="0.3">
      <c r="A9" s="10"/>
      <c r="B9" s="40" t="s">
        <v>182</v>
      </c>
      <c r="C9" s="41"/>
      <c r="D9" s="41"/>
      <c r="E9" s="32">
        <v>5</v>
      </c>
      <c r="F9" s="26">
        <v>3</v>
      </c>
      <c r="G9" s="30">
        <f>IFERROR(F9/E9,"")</f>
        <v>0.6</v>
      </c>
      <c r="H9" s="31" t="str">
        <f>_xlfn.IFS(F9="أدخل العلامة","",F9="لا ينطبق","تم الإلغاء",G9&gt;=90%,"ممتاز",G9&gt;=80%,"جيد جداً",G9&gt;=70%,"جيد",G9&gt;=60%,"مقبول",G9&lt;60%,"راسب")</f>
        <v>مقبول</v>
      </c>
      <c r="I9" s="46"/>
      <c r="J9" s="47"/>
    </row>
    <row r="10" spans="1:10" ht="30" customHeight="1" x14ac:dyDescent="0.3">
      <c r="A10" s="10"/>
      <c r="B10" s="40" t="s">
        <v>183</v>
      </c>
      <c r="C10" s="41"/>
      <c r="D10" s="41"/>
      <c r="E10" s="32">
        <v>5</v>
      </c>
      <c r="F10" s="26">
        <v>3</v>
      </c>
      <c r="G10" s="30">
        <f t="shared" ref="G10:G45" si="0">IFERROR(F10/E10,"")</f>
        <v>0.6</v>
      </c>
      <c r="H10" s="31" t="str">
        <f t="shared" ref="H10:H45" si="1">_xlfn.IFS(F10="أدخل العلامة","",F10="لا ينطبق","تم الإلغاء",G10&gt;=90%,"ممتاز",G10&gt;=80%,"جيد جداً",G10&gt;=70%,"جيد",G10&gt;=60%,"مقبول",G10&lt;60%,"راسب")</f>
        <v>مقبول</v>
      </c>
      <c r="I10" s="46"/>
      <c r="J10" s="47"/>
    </row>
    <row r="11" spans="1:10" ht="39.9" customHeight="1" x14ac:dyDescent="0.3">
      <c r="A11" s="10"/>
      <c r="B11" s="40" t="s">
        <v>184</v>
      </c>
      <c r="C11" s="41"/>
      <c r="D11" s="41"/>
      <c r="E11" s="32">
        <v>5</v>
      </c>
      <c r="F11" s="26">
        <v>3</v>
      </c>
      <c r="G11" s="30">
        <f t="shared" si="0"/>
        <v>0.6</v>
      </c>
      <c r="H11" s="31" t="str">
        <f t="shared" si="1"/>
        <v>مقبول</v>
      </c>
      <c r="I11" s="46"/>
      <c r="J11" s="47"/>
    </row>
    <row r="12" spans="1:10" ht="39.9" customHeight="1" x14ac:dyDescent="0.3">
      <c r="A12" s="10"/>
      <c r="B12" s="40" t="s">
        <v>185</v>
      </c>
      <c r="C12" s="41"/>
      <c r="D12" s="41"/>
      <c r="E12" s="32">
        <v>5</v>
      </c>
      <c r="F12" s="26">
        <v>3.75</v>
      </c>
      <c r="G12" s="30">
        <f t="shared" si="0"/>
        <v>0.75</v>
      </c>
      <c r="H12" s="31" t="str">
        <f t="shared" si="1"/>
        <v>جيد</v>
      </c>
      <c r="I12" s="46"/>
      <c r="J12" s="47"/>
    </row>
    <row r="13" spans="1:10" ht="30" customHeight="1" thickBot="1" x14ac:dyDescent="0.35">
      <c r="A13" s="10"/>
      <c r="B13" s="42" t="s">
        <v>186</v>
      </c>
      <c r="C13" s="43"/>
      <c r="D13" s="43"/>
      <c r="E13" s="37">
        <v>5</v>
      </c>
      <c r="F13" s="27">
        <v>3</v>
      </c>
      <c r="G13" s="38">
        <f t="shared" si="0"/>
        <v>0.6</v>
      </c>
      <c r="H13" s="39" t="str">
        <f t="shared" si="1"/>
        <v>مقبول</v>
      </c>
      <c r="I13" s="50"/>
      <c r="J13" s="51"/>
    </row>
    <row r="14" spans="1:10" ht="30" customHeight="1" x14ac:dyDescent="0.3">
      <c r="A14" s="10"/>
      <c r="B14" s="44" t="s">
        <v>187</v>
      </c>
      <c r="C14" s="45"/>
      <c r="D14" s="45"/>
      <c r="E14" s="33"/>
      <c r="F14" s="34"/>
      <c r="G14" s="35"/>
      <c r="H14" s="36"/>
      <c r="I14" s="48"/>
      <c r="J14" s="49"/>
    </row>
    <row r="15" spans="1:10" ht="30" customHeight="1" x14ac:dyDescent="0.3">
      <c r="A15" s="10"/>
      <c r="B15" s="40" t="s">
        <v>188</v>
      </c>
      <c r="C15" s="41"/>
      <c r="D15" s="41"/>
      <c r="E15" s="32">
        <v>5</v>
      </c>
      <c r="F15" s="26">
        <v>3.75</v>
      </c>
      <c r="G15" s="30">
        <f t="shared" si="0"/>
        <v>0.75</v>
      </c>
      <c r="H15" s="31" t="str">
        <f t="shared" si="1"/>
        <v>جيد</v>
      </c>
      <c r="I15" s="46"/>
      <c r="J15" s="47"/>
    </row>
    <row r="16" spans="1:10" ht="51" customHeight="1" x14ac:dyDescent="0.3">
      <c r="A16" s="10"/>
      <c r="B16" s="40" t="s">
        <v>189</v>
      </c>
      <c r="C16" s="41"/>
      <c r="D16" s="41"/>
      <c r="E16" s="32">
        <v>5</v>
      </c>
      <c r="F16" s="26">
        <v>3</v>
      </c>
      <c r="G16" s="30">
        <f t="shared" si="0"/>
        <v>0.6</v>
      </c>
      <c r="H16" s="31" t="str">
        <f t="shared" si="1"/>
        <v>مقبول</v>
      </c>
      <c r="I16" s="46"/>
      <c r="J16" s="47"/>
    </row>
    <row r="17" spans="1:10" ht="30" customHeight="1" x14ac:dyDescent="0.3">
      <c r="A17" s="10"/>
      <c r="B17" s="40" t="s">
        <v>190</v>
      </c>
      <c r="C17" s="41"/>
      <c r="D17" s="41"/>
      <c r="E17" s="32">
        <v>5</v>
      </c>
      <c r="F17" s="26">
        <v>3.75</v>
      </c>
      <c r="G17" s="30">
        <f t="shared" si="0"/>
        <v>0.75</v>
      </c>
      <c r="H17" s="31" t="str">
        <f t="shared" si="1"/>
        <v>جيد</v>
      </c>
      <c r="I17" s="46"/>
      <c r="J17" s="47"/>
    </row>
    <row r="18" spans="1:10" ht="30" customHeight="1" x14ac:dyDescent="0.3">
      <c r="A18" s="10"/>
      <c r="B18" s="40" t="s">
        <v>191</v>
      </c>
      <c r="C18" s="41"/>
      <c r="D18" s="41"/>
      <c r="E18" s="32">
        <v>5</v>
      </c>
      <c r="F18" s="26">
        <v>3.5</v>
      </c>
      <c r="G18" s="30">
        <f t="shared" si="0"/>
        <v>0.7</v>
      </c>
      <c r="H18" s="31" t="str">
        <f t="shared" si="1"/>
        <v>جيد</v>
      </c>
      <c r="I18" s="46"/>
      <c r="J18" s="47"/>
    </row>
    <row r="19" spans="1:10" ht="30" customHeight="1" x14ac:dyDescent="0.3">
      <c r="A19" s="10"/>
      <c r="B19" s="40" t="s">
        <v>192</v>
      </c>
      <c r="C19" s="41"/>
      <c r="D19" s="41"/>
      <c r="E19" s="32">
        <v>5</v>
      </c>
      <c r="F19" s="26">
        <v>3.5</v>
      </c>
      <c r="G19" s="30">
        <f t="shared" si="0"/>
        <v>0.7</v>
      </c>
      <c r="H19" s="31" t="str">
        <f t="shared" si="1"/>
        <v>جيد</v>
      </c>
      <c r="I19" s="46"/>
      <c r="J19" s="47"/>
    </row>
    <row r="20" spans="1:10" ht="39.9" customHeight="1" x14ac:dyDescent="0.3">
      <c r="A20" s="10"/>
      <c r="B20" s="40" t="s">
        <v>193</v>
      </c>
      <c r="C20" s="41"/>
      <c r="D20" s="41"/>
      <c r="E20" s="32">
        <v>5</v>
      </c>
      <c r="F20" s="26">
        <v>3.25</v>
      </c>
      <c r="G20" s="30">
        <f t="shared" si="0"/>
        <v>0.65</v>
      </c>
      <c r="H20" s="31" t="str">
        <f t="shared" si="1"/>
        <v>مقبول</v>
      </c>
      <c r="I20" s="46"/>
      <c r="J20" s="47"/>
    </row>
    <row r="21" spans="1:10" ht="30" customHeight="1" x14ac:dyDescent="0.3">
      <c r="A21" s="10"/>
      <c r="B21" s="40" t="s">
        <v>194</v>
      </c>
      <c r="C21" s="41"/>
      <c r="D21" s="41"/>
      <c r="E21" s="32">
        <v>5</v>
      </c>
      <c r="F21" s="26">
        <v>3.25</v>
      </c>
      <c r="G21" s="30">
        <f t="shared" si="0"/>
        <v>0.65</v>
      </c>
      <c r="H21" s="31" t="str">
        <f t="shared" si="1"/>
        <v>مقبول</v>
      </c>
      <c r="I21" s="46"/>
      <c r="J21" s="47"/>
    </row>
    <row r="22" spans="1:10" ht="39.9" customHeight="1" thickBot="1" x14ac:dyDescent="0.35">
      <c r="A22" s="10"/>
      <c r="B22" s="42" t="s">
        <v>195</v>
      </c>
      <c r="C22" s="43"/>
      <c r="D22" s="43"/>
      <c r="E22" s="37">
        <v>5</v>
      </c>
      <c r="F22" s="27">
        <v>3.75</v>
      </c>
      <c r="G22" s="38">
        <f t="shared" si="0"/>
        <v>0.75</v>
      </c>
      <c r="H22" s="39" t="str">
        <f t="shared" si="1"/>
        <v>جيد</v>
      </c>
      <c r="I22" s="50"/>
      <c r="J22" s="51"/>
    </row>
    <row r="23" spans="1:10" ht="30" customHeight="1" x14ac:dyDescent="0.3">
      <c r="A23" s="10"/>
      <c r="B23" s="44" t="s">
        <v>196</v>
      </c>
      <c r="C23" s="45"/>
      <c r="D23" s="45"/>
      <c r="E23" s="33"/>
      <c r="F23" s="34"/>
      <c r="G23" s="35"/>
      <c r="H23" s="36"/>
      <c r="I23" s="48"/>
      <c r="J23" s="49"/>
    </row>
    <row r="24" spans="1:10" ht="30" customHeight="1" x14ac:dyDescent="0.3">
      <c r="A24" s="10"/>
      <c r="B24" s="40" t="s">
        <v>197</v>
      </c>
      <c r="C24" s="41"/>
      <c r="D24" s="41"/>
      <c r="E24" s="32">
        <v>5</v>
      </c>
      <c r="F24" s="26">
        <v>3</v>
      </c>
      <c r="G24" s="30">
        <f t="shared" si="0"/>
        <v>0.6</v>
      </c>
      <c r="H24" s="31" t="str">
        <f t="shared" si="1"/>
        <v>مقبول</v>
      </c>
      <c r="I24" s="46"/>
      <c r="J24" s="47"/>
    </row>
    <row r="25" spans="1:10" ht="30" customHeight="1" x14ac:dyDescent="0.3">
      <c r="A25" s="10"/>
      <c r="B25" s="40" t="s">
        <v>198</v>
      </c>
      <c r="C25" s="41"/>
      <c r="D25" s="41"/>
      <c r="E25" s="32">
        <v>5</v>
      </c>
      <c r="F25" s="26">
        <v>3</v>
      </c>
      <c r="G25" s="30">
        <f t="shared" si="0"/>
        <v>0.6</v>
      </c>
      <c r="H25" s="31" t="str">
        <f t="shared" si="1"/>
        <v>مقبول</v>
      </c>
      <c r="I25" s="46"/>
      <c r="J25" s="47"/>
    </row>
    <row r="26" spans="1:10" ht="30" customHeight="1" x14ac:dyDescent="0.3">
      <c r="A26" s="10"/>
      <c r="B26" s="40" t="s">
        <v>199</v>
      </c>
      <c r="C26" s="41"/>
      <c r="D26" s="41"/>
      <c r="E26" s="32">
        <v>5</v>
      </c>
      <c r="F26" s="26">
        <v>3.5</v>
      </c>
      <c r="G26" s="30">
        <f t="shared" si="0"/>
        <v>0.7</v>
      </c>
      <c r="H26" s="31" t="str">
        <f t="shared" si="1"/>
        <v>جيد</v>
      </c>
      <c r="I26" s="46"/>
      <c r="J26" s="47"/>
    </row>
    <row r="27" spans="1:10" ht="30" customHeight="1" x14ac:dyDescent="0.3">
      <c r="A27" s="10"/>
      <c r="B27" s="40" t="s">
        <v>200</v>
      </c>
      <c r="C27" s="41"/>
      <c r="D27" s="41"/>
      <c r="E27" s="32">
        <v>5</v>
      </c>
      <c r="F27" s="26">
        <v>3.5</v>
      </c>
      <c r="G27" s="30">
        <f t="shared" si="0"/>
        <v>0.7</v>
      </c>
      <c r="H27" s="31" t="str">
        <f t="shared" si="1"/>
        <v>جيد</v>
      </c>
      <c r="I27" s="46"/>
      <c r="J27" s="47"/>
    </row>
    <row r="28" spans="1:10" ht="30" customHeight="1" x14ac:dyDescent="0.3">
      <c r="A28" s="10"/>
      <c r="B28" s="40" t="s">
        <v>201</v>
      </c>
      <c r="C28" s="41"/>
      <c r="D28" s="41"/>
      <c r="E28" s="32">
        <v>5</v>
      </c>
      <c r="F28" s="26">
        <v>4</v>
      </c>
      <c r="G28" s="30">
        <f t="shared" si="0"/>
        <v>0.8</v>
      </c>
      <c r="H28" s="31" t="str">
        <f t="shared" si="1"/>
        <v>جيد جداً</v>
      </c>
      <c r="I28" s="46"/>
      <c r="J28" s="47"/>
    </row>
    <row r="29" spans="1:10" ht="30" customHeight="1" thickBot="1" x14ac:dyDescent="0.35">
      <c r="A29" s="10"/>
      <c r="B29" s="42" t="s">
        <v>202</v>
      </c>
      <c r="C29" s="43"/>
      <c r="D29" s="43"/>
      <c r="E29" s="37">
        <v>5</v>
      </c>
      <c r="F29" s="27">
        <v>3.75</v>
      </c>
      <c r="G29" s="38">
        <f t="shared" si="0"/>
        <v>0.75</v>
      </c>
      <c r="H29" s="39" t="str">
        <f t="shared" si="1"/>
        <v>جيد</v>
      </c>
      <c r="I29" s="50"/>
      <c r="J29" s="51"/>
    </row>
    <row r="30" spans="1:10" ht="30" customHeight="1" x14ac:dyDescent="0.3">
      <c r="A30" s="10"/>
      <c r="B30" s="44" t="s">
        <v>203</v>
      </c>
      <c r="C30" s="45"/>
      <c r="D30" s="45"/>
      <c r="E30" s="33"/>
      <c r="F30" s="34"/>
      <c r="G30" s="35"/>
      <c r="H30" s="36"/>
      <c r="I30" s="48"/>
      <c r="J30" s="49"/>
    </row>
    <row r="31" spans="1:10" ht="30" customHeight="1" x14ac:dyDescent="0.3">
      <c r="A31" s="10"/>
      <c r="B31" s="40" t="s">
        <v>204</v>
      </c>
      <c r="C31" s="41"/>
      <c r="D31" s="41"/>
      <c r="E31" s="32">
        <v>5</v>
      </c>
      <c r="F31" s="26">
        <v>3.75</v>
      </c>
      <c r="G31" s="30">
        <f t="shared" si="0"/>
        <v>0.75</v>
      </c>
      <c r="H31" s="31" t="str">
        <f t="shared" si="1"/>
        <v>جيد</v>
      </c>
      <c r="I31" s="46"/>
      <c r="J31" s="47"/>
    </row>
    <row r="32" spans="1:10" ht="39.9" customHeight="1" x14ac:dyDescent="0.3">
      <c r="A32" s="10"/>
      <c r="B32" s="40" t="s">
        <v>205</v>
      </c>
      <c r="C32" s="41"/>
      <c r="D32" s="41"/>
      <c r="E32" s="32">
        <v>5</v>
      </c>
      <c r="F32" s="26">
        <v>3.25</v>
      </c>
      <c r="G32" s="30">
        <f t="shared" si="0"/>
        <v>0.65</v>
      </c>
      <c r="H32" s="31" t="str">
        <f t="shared" si="1"/>
        <v>مقبول</v>
      </c>
      <c r="I32" s="46"/>
      <c r="J32" s="47"/>
    </row>
    <row r="33" spans="1:10" ht="30" customHeight="1" x14ac:dyDescent="0.3">
      <c r="A33" s="10"/>
      <c r="B33" s="40" t="s">
        <v>206</v>
      </c>
      <c r="C33" s="41"/>
      <c r="D33" s="41"/>
      <c r="E33" s="32">
        <v>5</v>
      </c>
      <c r="F33" s="26">
        <v>3.75</v>
      </c>
      <c r="G33" s="30">
        <f t="shared" si="0"/>
        <v>0.75</v>
      </c>
      <c r="H33" s="31" t="str">
        <f t="shared" si="1"/>
        <v>جيد</v>
      </c>
      <c r="I33" s="46"/>
      <c r="J33" s="47"/>
    </row>
    <row r="34" spans="1:10" ht="30" customHeight="1" x14ac:dyDescent="0.3">
      <c r="A34" s="10"/>
      <c r="B34" s="40" t="s">
        <v>207</v>
      </c>
      <c r="C34" s="41"/>
      <c r="D34" s="41"/>
      <c r="E34" s="32">
        <v>5</v>
      </c>
      <c r="F34" s="26">
        <v>3</v>
      </c>
      <c r="G34" s="30">
        <f t="shared" si="0"/>
        <v>0.6</v>
      </c>
      <c r="H34" s="31" t="str">
        <f t="shared" si="1"/>
        <v>مقبول</v>
      </c>
      <c r="I34" s="46"/>
      <c r="J34" s="47"/>
    </row>
    <row r="35" spans="1:10" ht="30" customHeight="1" x14ac:dyDescent="0.3">
      <c r="A35" s="10"/>
      <c r="B35" s="40" t="s">
        <v>208</v>
      </c>
      <c r="C35" s="41"/>
      <c r="D35" s="41"/>
      <c r="E35" s="32">
        <v>5</v>
      </c>
      <c r="F35" s="26">
        <v>3.5</v>
      </c>
      <c r="G35" s="30">
        <f t="shared" si="0"/>
        <v>0.7</v>
      </c>
      <c r="H35" s="31" t="str">
        <f t="shared" si="1"/>
        <v>جيد</v>
      </c>
      <c r="I35" s="46"/>
      <c r="J35" s="47"/>
    </row>
    <row r="36" spans="1:10" ht="30" customHeight="1" x14ac:dyDescent="0.3">
      <c r="A36" s="10"/>
      <c r="B36" s="40" t="s">
        <v>209</v>
      </c>
      <c r="C36" s="41"/>
      <c r="D36" s="41"/>
      <c r="E36" s="32">
        <v>5</v>
      </c>
      <c r="F36" s="26">
        <v>3.25</v>
      </c>
      <c r="G36" s="30">
        <f t="shared" si="0"/>
        <v>0.65</v>
      </c>
      <c r="H36" s="31" t="str">
        <f t="shared" si="1"/>
        <v>مقبول</v>
      </c>
      <c r="I36" s="46"/>
      <c r="J36" s="47"/>
    </row>
    <row r="37" spans="1:10" ht="30" customHeight="1" x14ac:dyDescent="0.3">
      <c r="A37" s="10"/>
      <c r="B37" s="40" t="s">
        <v>210</v>
      </c>
      <c r="C37" s="41"/>
      <c r="D37" s="41"/>
      <c r="E37" s="32">
        <v>5</v>
      </c>
      <c r="F37" s="26">
        <v>3.75</v>
      </c>
      <c r="G37" s="30">
        <f t="shared" si="0"/>
        <v>0.75</v>
      </c>
      <c r="H37" s="31" t="str">
        <f t="shared" si="1"/>
        <v>جيد</v>
      </c>
      <c r="I37" s="46"/>
      <c r="J37" s="47"/>
    </row>
    <row r="38" spans="1:10" ht="30" customHeight="1" x14ac:dyDescent="0.3">
      <c r="A38" s="10"/>
      <c r="B38" s="40" t="s">
        <v>211</v>
      </c>
      <c r="C38" s="41"/>
      <c r="D38" s="41"/>
      <c r="E38" s="32">
        <v>5</v>
      </c>
      <c r="F38" s="26">
        <v>4.25</v>
      </c>
      <c r="G38" s="30">
        <f t="shared" si="0"/>
        <v>0.85</v>
      </c>
      <c r="H38" s="31" t="str">
        <f t="shared" si="1"/>
        <v>جيد جداً</v>
      </c>
      <c r="I38" s="46"/>
      <c r="J38" s="47"/>
    </row>
    <row r="39" spans="1:10" ht="30" customHeight="1" x14ac:dyDescent="0.3">
      <c r="A39" s="10"/>
      <c r="B39" s="40" t="s">
        <v>212</v>
      </c>
      <c r="C39" s="41"/>
      <c r="D39" s="41"/>
      <c r="E39" s="32">
        <v>5</v>
      </c>
      <c r="F39" s="26">
        <v>3.75</v>
      </c>
      <c r="G39" s="30">
        <f t="shared" si="0"/>
        <v>0.75</v>
      </c>
      <c r="H39" s="31" t="str">
        <f t="shared" si="1"/>
        <v>جيد</v>
      </c>
      <c r="I39" s="46"/>
      <c r="J39" s="47"/>
    </row>
    <row r="40" spans="1:10" ht="30" customHeight="1" x14ac:dyDescent="0.3">
      <c r="A40" s="10"/>
      <c r="B40" s="40" t="s">
        <v>213</v>
      </c>
      <c r="C40" s="41"/>
      <c r="D40" s="41"/>
      <c r="E40" s="32">
        <v>5</v>
      </c>
      <c r="F40" s="26">
        <v>3.5</v>
      </c>
      <c r="G40" s="30">
        <f t="shared" si="0"/>
        <v>0.7</v>
      </c>
      <c r="H40" s="31" t="str">
        <f t="shared" si="1"/>
        <v>جيد</v>
      </c>
      <c r="I40" s="46"/>
      <c r="J40" s="47"/>
    </row>
    <row r="41" spans="1:10" ht="30" customHeight="1" x14ac:dyDescent="0.3">
      <c r="A41" s="10"/>
      <c r="B41" s="40" t="s">
        <v>214</v>
      </c>
      <c r="C41" s="41"/>
      <c r="D41" s="41"/>
      <c r="E41" s="32">
        <v>5</v>
      </c>
      <c r="F41" s="26">
        <v>4</v>
      </c>
      <c r="G41" s="30">
        <f t="shared" si="0"/>
        <v>0.8</v>
      </c>
      <c r="H41" s="31" t="str">
        <f t="shared" si="1"/>
        <v>جيد جداً</v>
      </c>
      <c r="I41" s="46"/>
      <c r="J41" s="47"/>
    </row>
    <row r="42" spans="1:10" ht="30" customHeight="1" x14ac:dyDescent="0.3">
      <c r="A42" s="10"/>
      <c r="B42" s="40" t="s">
        <v>215</v>
      </c>
      <c r="C42" s="41"/>
      <c r="D42" s="41"/>
      <c r="E42" s="32">
        <v>5</v>
      </c>
      <c r="F42" s="26">
        <v>4</v>
      </c>
      <c r="G42" s="30">
        <f t="shared" si="0"/>
        <v>0.8</v>
      </c>
      <c r="H42" s="31" t="str">
        <f t="shared" si="1"/>
        <v>جيد جداً</v>
      </c>
      <c r="I42" s="46"/>
      <c r="J42" s="47"/>
    </row>
    <row r="43" spans="1:10" ht="30" customHeight="1" x14ac:dyDescent="0.3">
      <c r="A43" s="10"/>
      <c r="B43" s="40" t="s">
        <v>216</v>
      </c>
      <c r="C43" s="41"/>
      <c r="D43" s="41"/>
      <c r="E43" s="32">
        <v>5</v>
      </c>
      <c r="F43" s="26">
        <v>3.75</v>
      </c>
      <c r="G43" s="30">
        <f t="shared" si="0"/>
        <v>0.75</v>
      </c>
      <c r="H43" s="31" t="str">
        <f t="shared" si="1"/>
        <v>جيد</v>
      </c>
      <c r="I43" s="46"/>
      <c r="J43" s="47"/>
    </row>
    <row r="44" spans="1:10" ht="30" customHeight="1" x14ac:dyDescent="0.3">
      <c r="A44" s="10"/>
      <c r="B44" s="40" t="s">
        <v>217</v>
      </c>
      <c r="C44" s="41"/>
      <c r="D44" s="41"/>
      <c r="E44" s="32">
        <v>5</v>
      </c>
      <c r="F44" s="26">
        <v>4</v>
      </c>
      <c r="G44" s="30">
        <f t="shared" si="0"/>
        <v>0.8</v>
      </c>
      <c r="H44" s="31" t="str">
        <f t="shared" si="1"/>
        <v>جيد جداً</v>
      </c>
      <c r="I44" s="46"/>
      <c r="J44" s="47"/>
    </row>
    <row r="45" spans="1:10" ht="30" customHeight="1" thickBot="1" x14ac:dyDescent="0.35">
      <c r="A45" s="10"/>
      <c r="B45" s="42" t="s">
        <v>218</v>
      </c>
      <c r="C45" s="43"/>
      <c r="D45" s="43"/>
      <c r="E45" s="37">
        <v>5</v>
      </c>
      <c r="F45" s="27">
        <v>4.25</v>
      </c>
      <c r="G45" s="38">
        <f t="shared" si="0"/>
        <v>0.85</v>
      </c>
      <c r="H45" s="39" t="str">
        <f t="shared" si="1"/>
        <v>جيد جداً</v>
      </c>
      <c r="I45" s="50"/>
      <c r="J45" s="51"/>
    </row>
    <row r="46" spans="1:10" ht="30" customHeight="1" thickBot="1" x14ac:dyDescent="0.35">
      <c r="A46" s="4"/>
      <c r="B46" s="64" t="s">
        <v>5</v>
      </c>
      <c r="C46" s="65"/>
      <c r="D46" s="65"/>
      <c r="E46" s="9">
        <f>SUM(E8:E45)</f>
        <v>170</v>
      </c>
      <c r="F46" s="9">
        <f>SUM(F8:F45)</f>
        <v>120</v>
      </c>
      <c r="G46" s="61"/>
      <c r="H46" s="62"/>
      <c r="I46" s="62"/>
      <c r="J46" s="63"/>
    </row>
    <row r="47" spans="1:10" ht="30" customHeight="1" thickBot="1" x14ac:dyDescent="0.35">
      <c r="A47" s="4"/>
      <c r="B47" s="64" t="s">
        <v>52</v>
      </c>
      <c r="C47" s="65"/>
      <c r="D47" s="65"/>
      <c r="E47" s="57">
        <f>F46/E46/100*100</f>
        <v>0.70588235294117652</v>
      </c>
      <c r="F47" s="57"/>
      <c r="G47" s="57"/>
      <c r="H47" s="57"/>
      <c r="I47" s="57"/>
      <c r="J47" s="58"/>
    </row>
    <row r="48" spans="1:10" ht="30" customHeight="1" thickBot="1" x14ac:dyDescent="0.35">
      <c r="A48" s="4"/>
      <c r="B48" s="64" t="s">
        <v>53</v>
      </c>
      <c r="C48" s="65"/>
      <c r="D48" s="65"/>
      <c r="E48" s="55" t="str">
        <f>_xlfn.IFS(E47&gt;=90%,"ممتاز",E47&gt;=80%,"جيد جداً",E47&gt;=70%,"جيد",E47&gt;=60%,"مقبول",E47&lt;60%,"راسب")</f>
        <v>جيد</v>
      </c>
      <c r="F48" s="55"/>
      <c r="G48" s="55"/>
      <c r="H48" s="55"/>
      <c r="I48" s="55"/>
      <c r="J48" s="56"/>
    </row>
    <row r="49" spans="1:10" ht="42" customHeight="1" x14ac:dyDescent="0.3">
      <c r="B49" s="52" t="s">
        <v>172</v>
      </c>
      <c r="C49" s="52"/>
      <c r="D49" s="52"/>
      <c r="E49" s="59" t="s">
        <v>50</v>
      </c>
      <c r="F49" s="59"/>
      <c r="G49" s="54" t="s">
        <v>163</v>
      </c>
      <c r="H49" s="54"/>
      <c r="I49" s="54"/>
      <c r="J49" s="54"/>
    </row>
    <row r="50" spans="1:10" ht="51" customHeight="1" x14ac:dyDescent="0.3">
      <c r="A50" s="5"/>
      <c r="B50" s="53"/>
      <c r="C50" s="53"/>
      <c r="D50" s="53"/>
      <c r="E50" s="60" t="s">
        <v>51</v>
      </c>
      <c r="F50" s="60"/>
      <c r="G50" s="28"/>
      <c r="H50" s="28"/>
      <c r="I50" s="28"/>
      <c r="J50" s="28"/>
    </row>
  </sheetData>
  <sheetProtection sheet="1" formatCells="0" formatColumns="0" formatRows="0" insertColumns="0" insertRows="0" insertHyperlinks="0" deleteColumns="0" deleteRows="0" selectLockedCells="1" sort="0" autoFilter="0" pivotTables="0"/>
  <mergeCells count="97">
    <mergeCell ref="B7:D7"/>
    <mergeCell ref="I38:J38"/>
    <mergeCell ref="I39:J39"/>
    <mergeCell ref="I30:J30"/>
    <mergeCell ref="I31:J31"/>
    <mergeCell ref="I37:J37"/>
    <mergeCell ref="I7:J7"/>
    <mergeCell ref="I10:J10"/>
    <mergeCell ref="I19:J19"/>
    <mergeCell ref="I20:J20"/>
    <mergeCell ref="I21:J21"/>
    <mergeCell ref="I22:J22"/>
    <mergeCell ref="I23:J23"/>
    <mergeCell ref="I24:J24"/>
    <mergeCell ref="I25:J25"/>
    <mergeCell ref="I26:J26"/>
    <mergeCell ref="B1:J1"/>
    <mergeCell ref="F2:J2"/>
    <mergeCell ref="B5:D6"/>
    <mergeCell ref="C2:D2"/>
    <mergeCell ref="C3:D3"/>
    <mergeCell ref="F3:J3"/>
    <mergeCell ref="E5:H5"/>
    <mergeCell ref="I5:J6"/>
    <mergeCell ref="C4:D4"/>
    <mergeCell ref="B49:D50"/>
    <mergeCell ref="G49:J49"/>
    <mergeCell ref="E48:J48"/>
    <mergeCell ref="I40:J40"/>
    <mergeCell ref="I41:J41"/>
    <mergeCell ref="I42:J42"/>
    <mergeCell ref="I43:J43"/>
    <mergeCell ref="I44:J44"/>
    <mergeCell ref="E47:J47"/>
    <mergeCell ref="I45:J45"/>
    <mergeCell ref="E49:F49"/>
    <mergeCell ref="E50:F50"/>
    <mergeCell ref="G46:J46"/>
    <mergeCell ref="B46:D46"/>
    <mergeCell ref="B47:D47"/>
    <mergeCell ref="B48:D48"/>
    <mergeCell ref="I33:J33"/>
    <mergeCell ref="I34:J34"/>
    <mergeCell ref="I35:J35"/>
    <mergeCell ref="I36:J36"/>
    <mergeCell ref="I8:J8"/>
    <mergeCell ref="I9:J9"/>
    <mergeCell ref="I16:J16"/>
    <mergeCell ref="I17:J17"/>
    <mergeCell ref="I18:J18"/>
    <mergeCell ref="I28:J28"/>
    <mergeCell ref="I29:J29"/>
    <mergeCell ref="I27:J27"/>
    <mergeCell ref="I11:J11"/>
    <mergeCell ref="I12:J12"/>
    <mergeCell ref="I13:J13"/>
    <mergeCell ref="I14:J14"/>
    <mergeCell ref="B13:D13"/>
    <mergeCell ref="B14:D14"/>
    <mergeCell ref="B15:D15"/>
    <mergeCell ref="B16:D16"/>
    <mergeCell ref="I32:J32"/>
    <mergeCell ref="B31:D31"/>
    <mergeCell ref="B32:D32"/>
    <mergeCell ref="I15:J15"/>
    <mergeCell ref="B8:D8"/>
    <mergeCell ref="B9:D9"/>
    <mergeCell ref="B10:D10"/>
    <mergeCell ref="B11:D11"/>
    <mergeCell ref="B12:D12"/>
    <mergeCell ref="B33:D33"/>
    <mergeCell ref="B34:D34"/>
    <mergeCell ref="B17:D17"/>
    <mergeCell ref="B18:D18"/>
    <mergeCell ref="B19:D19"/>
    <mergeCell ref="B20:D20"/>
    <mergeCell ref="B21:D21"/>
    <mergeCell ref="B22:D22"/>
    <mergeCell ref="B23:D23"/>
    <mergeCell ref="B24:D24"/>
    <mergeCell ref="B25:D25"/>
    <mergeCell ref="B26:D26"/>
    <mergeCell ref="B27:D27"/>
    <mergeCell ref="B28:D28"/>
    <mergeCell ref="B29:D29"/>
    <mergeCell ref="B30:D30"/>
    <mergeCell ref="B44:D44"/>
    <mergeCell ref="B45:D45"/>
    <mergeCell ref="B35:D35"/>
    <mergeCell ref="B36:D36"/>
    <mergeCell ref="B37:D37"/>
    <mergeCell ref="B38:D38"/>
    <mergeCell ref="B39:D39"/>
    <mergeCell ref="B40:D40"/>
    <mergeCell ref="B41:D41"/>
    <mergeCell ref="B42:D42"/>
    <mergeCell ref="B43:D43"/>
  </mergeCells>
  <conditionalFormatting sqref="C2:D2">
    <cfRule type="containsText" dxfId="16" priority="18" operator="containsText" text="أدخل الوحدة الخاضعة للتقييم">
      <formula>NOT(ISERROR(SEARCH("أدخل الوحدة الخاضعة للتقييم",C2)))</formula>
    </cfRule>
  </conditionalFormatting>
  <conditionalFormatting sqref="C3:D3">
    <cfRule type="containsText" dxfId="15" priority="17" operator="containsText" text="أدخل أسم قائد الوحدة الخاضعة للتقييم">
      <formula>NOT(ISERROR(SEARCH("أدخل أسم قائد الوحدة الخاضعة للتقييم",C3)))</formula>
    </cfRule>
  </conditionalFormatting>
  <conditionalFormatting sqref="E48">
    <cfRule type="expression" dxfId="14" priority="57">
      <formula>$E48="راسب"</formula>
    </cfRule>
  </conditionalFormatting>
  <conditionalFormatting sqref="E48:J48">
    <cfRule type="expression" dxfId="13" priority="58">
      <formula>$E48="مقبول"</formula>
    </cfRule>
    <cfRule type="expression" dxfId="12" priority="59">
      <formula>$E48="جيد"</formula>
    </cfRule>
    <cfRule type="expression" dxfId="11" priority="60">
      <formula>$E48="جيد جداً"</formula>
    </cfRule>
    <cfRule type="expression" dxfId="10" priority="61">
      <formula>$E48="ممتاز"</formula>
    </cfRule>
  </conditionalFormatting>
  <conditionalFormatting sqref="F8:F45">
    <cfRule type="containsText" dxfId="9" priority="4" operator="containsText" text="أدخل العلامة">
      <formula>NOT(ISERROR(SEARCH("أدخل العلامة",F8)))</formula>
    </cfRule>
  </conditionalFormatting>
  <conditionalFormatting sqref="F2:J2">
    <cfRule type="containsText" dxfId="8" priority="19" operator="containsText" text="أدخل التاريخ">
      <formula>NOT(ISERROR(SEARCH("أدخل التاريخ",F2)))</formula>
    </cfRule>
  </conditionalFormatting>
  <conditionalFormatting sqref="F3:J3">
    <cfRule type="containsText" dxfId="7" priority="16" operator="containsText" text="أدخل أسم المحكم">
      <formula>NOT(ISERROR(SEARCH("أدخل أسم المحكم",F3)))</formula>
    </cfRule>
  </conditionalFormatting>
  <conditionalFormatting sqref="G49:J49">
    <cfRule type="containsText" dxfId="6" priority="15" operator="containsText" text="أدخل اسم المحكم">
      <formula>NOT(ISERROR(SEARCH("أدخل اسم المحكم",G49)))</formula>
    </cfRule>
  </conditionalFormatting>
  <conditionalFormatting sqref="H8:H45">
    <cfRule type="containsText" dxfId="5" priority="5" operator="containsText" text="أدخل العلامة">
      <formula>NOT(ISERROR(SEARCH("أدخل العلامة",H8)))</formula>
    </cfRule>
    <cfRule type="containsText" dxfId="4" priority="6" operator="containsText" text="ممتاز">
      <formula>NOT(ISERROR(SEARCH("ممتاز",H8)))</formula>
    </cfRule>
    <cfRule type="containsText" dxfId="3" priority="7" operator="containsText" text="جيد جداً">
      <formula>NOT(ISERROR(SEARCH("جيد جداً",H8)))</formula>
    </cfRule>
    <cfRule type="containsText" dxfId="2" priority="8" operator="containsText" text="جيد">
      <formula>NOT(ISERROR(SEARCH("جيد",H8)))</formula>
    </cfRule>
    <cfRule type="containsText" dxfId="1" priority="9" operator="containsText" text="مقبول">
      <formula>NOT(ISERROR(SEARCH("مقبول",H8)))</formula>
    </cfRule>
    <cfRule type="containsText" dxfId="0" priority="10" operator="containsText" text="راسب">
      <formula>NOT(ISERROR(SEARCH("راسب",H8)))</formula>
    </cfRule>
  </conditionalFormatting>
  <printOptions horizontalCentered="1"/>
  <pageMargins left="0.70866141732283472" right="0.70866141732283472" top="0.74803149606299213" bottom="0.74803149606299213" header="0.31496062992125984" footer="0.31496062992125984"/>
  <pageSetup paperSize="9" scale="72" fitToHeight="0" orientation="portrait" r:id="rId1"/>
  <headerFooter>
    <oddHeader>&amp;C&amp;"-,Bold"&amp;12&amp;Uسري للغاية</oddHeader>
    <oddFooter>&amp;C&amp;"-,Bold"&amp;P&amp;"-,Regular"
&amp;"-,Bold"&amp;Uسري للغاية</oddFooter>
  </headerFooter>
  <drawing r:id="rId2"/>
  <extLst>
    <ext xmlns:x14="http://schemas.microsoft.com/office/spreadsheetml/2009/9/main" uri="{CCE6A557-97BC-4b89-ADB6-D9C93CAAB3DF}">
      <x14:dataValidations xmlns:xm="http://schemas.microsoft.com/office/excel/2006/main" count="4">
        <x14:dataValidation type="list" allowBlank="1" showInputMessage="1" showErrorMessage="1" xr:uid="{F27846E5-4775-4613-AD3F-6A647663FDD7}">
          <x14:formula1>
            <xm:f>'بيانات التقييم'!$A$38:$A$106</xm:f>
          </x14:formula1>
          <xm:sqref>F2:J2</xm:sqref>
        </x14:dataValidation>
        <x14:dataValidation type="list" allowBlank="1" showInputMessage="1" showErrorMessage="1" xr:uid="{29F5EBBB-8CF0-4EBC-9568-49582573F3A1}">
          <x14:formula1>
            <xm:f>'بيانات التقييم'!$A$1:$A$34</xm:f>
          </x14:formula1>
          <xm:sqref>C2:D2</xm:sqref>
        </x14:dataValidation>
        <x14:dataValidation type="list" allowBlank="1" showInputMessage="1" showErrorMessage="1" xr:uid="{5A7ADC9F-6098-4415-8DD4-849A148D02E3}">
          <x14:formula1>
            <xm:f>'بيانات التقييم'!$A$111:$A$133</xm:f>
          </x14:formula1>
          <xm:sqref>F31:F45 F24:F29 F15:F22 F9:F13</xm:sqref>
        </x14:dataValidation>
        <x14:dataValidation type="list" allowBlank="1" showInputMessage="1" showErrorMessage="1" xr:uid="{BD8CB5A2-5F32-4EAD-A63C-382D3B90B847}">
          <x14:formula1>
            <xm:f>'بيانات التقييم'!$A$198:$A$286</xm:f>
          </x14:formula1>
          <xm:sqref>G49:J49 F3:J3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E0E097-B5B4-4A62-8BA3-2420E658D743}">
  <sheetPr codeName="Sheet3"/>
  <dimension ref="A1:I338"/>
  <sheetViews>
    <sheetView rightToLeft="1" topLeftCell="A54" workbookViewId="0">
      <selection activeCell="A64" sqref="A64"/>
    </sheetView>
  </sheetViews>
  <sheetFormatPr defaultRowHeight="20.100000000000001" customHeight="1" x14ac:dyDescent="0.3"/>
  <cols>
    <col min="1" max="1" width="42.5546875" style="1" customWidth="1"/>
    <col min="2" max="2" width="24.88671875" style="1" customWidth="1"/>
    <col min="3" max="3" width="59.88671875" style="1" customWidth="1"/>
    <col min="4" max="9" width="9" style="1"/>
  </cols>
  <sheetData>
    <row r="1" spans="1:3" ht="20.100000000000001" customHeight="1" thickBot="1" x14ac:dyDescent="0.35">
      <c r="A1" s="2" t="s">
        <v>55</v>
      </c>
      <c r="C1" s="2" t="s">
        <v>58</v>
      </c>
    </row>
    <row r="2" spans="1:3" ht="20.100000000000001" customHeight="1" thickBot="1" x14ac:dyDescent="0.35">
      <c r="A2" s="2" t="s">
        <v>33</v>
      </c>
      <c r="C2" s="19" t="s">
        <v>60</v>
      </c>
    </row>
    <row r="3" spans="1:3" ht="20.100000000000001" customHeight="1" thickBot="1" x14ac:dyDescent="0.35">
      <c r="A3" s="2" t="s">
        <v>24</v>
      </c>
      <c r="C3" s="19" t="s">
        <v>61</v>
      </c>
    </row>
    <row r="4" spans="1:3" ht="20.100000000000001" customHeight="1" thickBot="1" x14ac:dyDescent="0.35">
      <c r="A4" s="2" t="s">
        <v>34</v>
      </c>
      <c r="C4" s="19" t="s">
        <v>62</v>
      </c>
    </row>
    <row r="5" spans="1:3" ht="20.100000000000001" customHeight="1" thickBot="1" x14ac:dyDescent="0.35">
      <c r="A5" s="2" t="s">
        <v>35</v>
      </c>
      <c r="C5" s="19" t="s">
        <v>63</v>
      </c>
    </row>
    <row r="6" spans="1:3" ht="20.100000000000001" customHeight="1" thickBot="1" x14ac:dyDescent="0.35">
      <c r="A6" s="2" t="s">
        <v>36</v>
      </c>
      <c r="C6" s="19" t="s">
        <v>64</v>
      </c>
    </row>
    <row r="7" spans="1:3" ht="20.100000000000001" customHeight="1" thickBot="1" x14ac:dyDescent="0.35">
      <c r="A7" s="2" t="s">
        <v>37</v>
      </c>
      <c r="C7" s="19" t="s">
        <v>65</v>
      </c>
    </row>
    <row r="8" spans="1:3" ht="20.100000000000001" customHeight="1" thickBot="1" x14ac:dyDescent="0.35">
      <c r="A8" s="2" t="s">
        <v>38</v>
      </c>
      <c r="C8" s="19" t="s">
        <v>66</v>
      </c>
    </row>
    <row r="9" spans="1:3" ht="20.100000000000001" customHeight="1" thickBot="1" x14ac:dyDescent="0.35">
      <c r="A9" s="2" t="s">
        <v>39</v>
      </c>
      <c r="C9" s="19" t="s">
        <v>67</v>
      </c>
    </row>
    <row r="10" spans="1:3" ht="20.100000000000001" customHeight="1" thickBot="1" x14ac:dyDescent="0.35">
      <c r="A10" s="2" t="s">
        <v>40</v>
      </c>
      <c r="C10" s="19" t="s">
        <v>68</v>
      </c>
    </row>
    <row r="11" spans="1:3" ht="20.100000000000001" customHeight="1" thickBot="1" x14ac:dyDescent="0.35">
      <c r="A11" s="2" t="s">
        <v>41</v>
      </c>
      <c r="C11" s="19" t="s">
        <v>69</v>
      </c>
    </row>
    <row r="12" spans="1:3" ht="20.100000000000001" customHeight="1" thickBot="1" x14ac:dyDescent="0.35">
      <c r="A12" s="2" t="s">
        <v>42</v>
      </c>
      <c r="C12" s="19" t="s">
        <v>70</v>
      </c>
    </row>
    <row r="13" spans="1:3" ht="20.100000000000001" customHeight="1" thickBot="1" x14ac:dyDescent="0.35">
      <c r="A13" s="2" t="s">
        <v>43</v>
      </c>
      <c r="C13" s="19" t="s">
        <v>71</v>
      </c>
    </row>
    <row r="14" spans="1:3" ht="20.100000000000001" customHeight="1" thickBot="1" x14ac:dyDescent="0.35">
      <c r="A14" s="2" t="s">
        <v>44</v>
      </c>
      <c r="C14" s="19" t="s">
        <v>72</v>
      </c>
    </row>
    <row r="15" spans="1:3" ht="20.100000000000001" customHeight="1" thickBot="1" x14ac:dyDescent="0.35">
      <c r="A15" s="2" t="s">
        <v>45</v>
      </c>
      <c r="C15" s="19" t="s">
        <v>73</v>
      </c>
    </row>
    <row r="16" spans="1:3" ht="20.100000000000001" customHeight="1" thickBot="1" x14ac:dyDescent="0.35">
      <c r="A16" s="2" t="s">
        <v>8</v>
      </c>
      <c r="C16" s="19" t="s">
        <v>74</v>
      </c>
    </row>
    <row r="17" spans="1:3" ht="20.100000000000001" customHeight="1" thickBot="1" x14ac:dyDescent="0.35">
      <c r="A17" s="2" t="s">
        <v>25</v>
      </c>
      <c r="C17" s="19" t="s">
        <v>75</v>
      </c>
    </row>
    <row r="18" spans="1:3" ht="20.100000000000001" customHeight="1" thickBot="1" x14ac:dyDescent="0.35">
      <c r="A18" s="2" t="s">
        <v>46</v>
      </c>
      <c r="C18" s="19" t="s">
        <v>76</v>
      </c>
    </row>
    <row r="19" spans="1:3" ht="20.100000000000001" customHeight="1" thickBot="1" x14ac:dyDescent="0.35">
      <c r="A19" s="2" t="s">
        <v>47</v>
      </c>
      <c r="C19" s="19" t="s">
        <v>77</v>
      </c>
    </row>
    <row r="20" spans="1:3" ht="20.100000000000001" customHeight="1" thickBot="1" x14ac:dyDescent="0.35">
      <c r="A20" s="2" t="s">
        <v>48</v>
      </c>
      <c r="C20" s="19" t="s">
        <v>78</v>
      </c>
    </row>
    <row r="21" spans="1:3" ht="20.100000000000001" customHeight="1" thickBot="1" x14ac:dyDescent="0.35">
      <c r="A21" s="2" t="s">
        <v>49</v>
      </c>
      <c r="C21" s="19" t="s">
        <v>79</v>
      </c>
    </row>
    <row r="22" spans="1:3" ht="20.100000000000001" customHeight="1" thickBot="1" x14ac:dyDescent="0.35">
      <c r="A22" s="2" t="s">
        <v>9</v>
      </c>
      <c r="C22" s="19" t="s">
        <v>80</v>
      </c>
    </row>
    <row r="23" spans="1:3" ht="20.100000000000001" customHeight="1" thickBot="1" x14ac:dyDescent="0.35">
      <c r="A23" s="2" t="s">
        <v>10</v>
      </c>
      <c r="C23" s="19" t="s">
        <v>81</v>
      </c>
    </row>
    <row r="24" spans="1:3" ht="20.100000000000001" customHeight="1" thickBot="1" x14ac:dyDescent="0.35">
      <c r="A24" s="2" t="s">
        <v>13</v>
      </c>
      <c r="C24" s="19" t="s">
        <v>82</v>
      </c>
    </row>
    <row r="25" spans="1:3" ht="20.100000000000001" customHeight="1" thickBot="1" x14ac:dyDescent="0.35">
      <c r="A25" s="2" t="s">
        <v>26</v>
      </c>
      <c r="C25" s="19" t="s">
        <v>83</v>
      </c>
    </row>
    <row r="26" spans="1:3" ht="20.100000000000001" customHeight="1" thickBot="1" x14ac:dyDescent="0.35">
      <c r="A26" s="2" t="s">
        <v>27</v>
      </c>
      <c r="C26" s="19" t="s">
        <v>84</v>
      </c>
    </row>
    <row r="27" spans="1:3" ht="20.100000000000001" customHeight="1" thickBot="1" x14ac:dyDescent="0.35">
      <c r="A27" s="2" t="s">
        <v>11</v>
      </c>
      <c r="C27" s="19" t="s">
        <v>85</v>
      </c>
    </row>
    <row r="28" spans="1:3" ht="20.100000000000001" customHeight="1" thickBot="1" x14ac:dyDescent="0.35">
      <c r="A28" s="2" t="s">
        <v>28</v>
      </c>
      <c r="C28" s="19" t="s">
        <v>86</v>
      </c>
    </row>
    <row r="29" spans="1:3" ht="20.100000000000001" customHeight="1" thickBot="1" x14ac:dyDescent="0.35">
      <c r="A29" s="2" t="s">
        <v>29</v>
      </c>
      <c r="C29" s="19" t="s">
        <v>175</v>
      </c>
    </row>
    <row r="30" spans="1:3" ht="20.100000000000001" customHeight="1" thickBot="1" x14ac:dyDescent="0.35">
      <c r="A30" s="2" t="s">
        <v>30</v>
      </c>
      <c r="C30" s="19" t="s">
        <v>176</v>
      </c>
    </row>
    <row r="31" spans="1:3" ht="20.100000000000001" customHeight="1" thickBot="1" x14ac:dyDescent="0.35">
      <c r="A31" s="2" t="s">
        <v>31</v>
      </c>
      <c r="C31" s="19" t="s">
        <v>177</v>
      </c>
    </row>
    <row r="32" spans="1:3" ht="20.100000000000001" customHeight="1" thickBot="1" x14ac:dyDescent="0.35">
      <c r="A32" s="2" t="s">
        <v>14</v>
      </c>
      <c r="C32" s="19"/>
    </row>
    <row r="33" spans="1:9" ht="20.100000000000001" customHeight="1" thickBot="1" x14ac:dyDescent="0.35">
      <c r="A33" s="2" t="s">
        <v>12</v>
      </c>
      <c r="C33" s="19"/>
    </row>
    <row r="34" spans="1:9" ht="20.100000000000001" customHeight="1" thickBot="1" x14ac:dyDescent="0.35">
      <c r="A34" s="2" t="s">
        <v>32</v>
      </c>
      <c r="C34" s="19"/>
    </row>
    <row r="35" spans="1:9" ht="20.100000000000001" customHeight="1" x14ac:dyDescent="0.3">
      <c r="A35" s="18"/>
    </row>
    <row r="36" spans="1:9" s="17" customFormat="1" ht="20.100000000000001" customHeight="1" x14ac:dyDescent="0.3">
      <c r="A36" s="15"/>
      <c r="B36" s="16"/>
      <c r="C36" s="16"/>
      <c r="D36" s="16"/>
      <c r="E36" s="16"/>
      <c r="F36" s="16"/>
      <c r="G36" s="16"/>
      <c r="H36" s="16"/>
      <c r="I36" s="16"/>
    </row>
    <row r="37" spans="1:9" ht="20.100000000000001" customHeight="1" thickBot="1" x14ac:dyDescent="0.35"/>
    <row r="38" spans="1:9" ht="20.100000000000001" customHeight="1" thickBot="1" x14ac:dyDescent="0.35">
      <c r="A38" s="2" t="s">
        <v>54</v>
      </c>
    </row>
    <row r="39" spans="1:9" ht="20.100000000000001" customHeight="1" thickBot="1" x14ac:dyDescent="0.35">
      <c r="A39" s="13">
        <v>45931</v>
      </c>
    </row>
    <row r="40" spans="1:9" ht="20.100000000000001" customHeight="1" thickBot="1" x14ac:dyDescent="0.35">
      <c r="A40" s="13">
        <v>45932</v>
      </c>
    </row>
    <row r="41" spans="1:9" ht="20.100000000000001" customHeight="1" thickBot="1" x14ac:dyDescent="0.35">
      <c r="A41" s="13">
        <v>45933</v>
      </c>
    </row>
    <row r="42" spans="1:9" ht="20.100000000000001" customHeight="1" thickBot="1" x14ac:dyDescent="0.35">
      <c r="A42" s="13">
        <v>45934</v>
      </c>
    </row>
    <row r="43" spans="1:9" ht="20.100000000000001" customHeight="1" thickBot="1" x14ac:dyDescent="0.35">
      <c r="A43" s="13">
        <v>45935</v>
      </c>
    </row>
    <row r="44" spans="1:9" ht="20.100000000000001" customHeight="1" thickBot="1" x14ac:dyDescent="0.35">
      <c r="A44" s="13">
        <v>45936</v>
      </c>
    </row>
    <row r="45" spans="1:9" ht="20.100000000000001" customHeight="1" thickBot="1" x14ac:dyDescent="0.35">
      <c r="A45" s="13">
        <v>45937</v>
      </c>
    </row>
    <row r="46" spans="1:9" ht="20.100000000000001" customHeight="1" thickBot="1" x14ac:dyDescent="0.35">
      <c r="A46" s="13">
        <v>45938</v>
      </c>
    </row>
    <row r="47" spans="1:9" ht="20.100000000000001" customHeight="1" thickBot="1" x14ac:dyDescent="0.35">
      <c r="A47" s="13">
        <v>45939</v>
      </c>
    </row>
    <row r="48" spans="1:9" ht="20.100000000000001" customHeight="1" thickBot="1" x14ac:dyDescent="0.35">
      <c r="A48" s="13">
        <v>45940</v>
      </c>
    </row>
    <row r="49" spans="1:1" ht="20.100000000000001" customHeight="1" thickBot="1" x14ac:dyDescent="0.35">
      <c r="A49" s="13">
        <v>45941</v>
      </c>
    </row>
    <row r="50" spans="1:1" ht="20.100000000000001" customHeight="1" thickBot="1" x14ac:dyDescent="0.35">
      <c r="A50" s="13">
        <v>45942</v>
      </c>
    </row>
    <row r="51" spans="1:1" ht="20.100000000000001" customHeight="1" thickBot="1" x14ac:dyDescent="0.35">
      <c r="A51" s="13">
        <v>45943</v>
      </c>
    </row>
    <row r="52" spans="1:1" ht="20.100000000000001" customHeight="1" thickBot="1" x14ac:dyDescent="0.35">
      <c r="A52" s="13">
        <v>45944</v>
      </c>
    </row>
    <row r="53" spans="1:1" ht="20.100000000000001" customHeight="1" thickBot="1" x14ac:dyDescent="0.35">
      <c r="A53" s="13">
        <v>45945</v>
      </c>
    </row>
    <row r="54" spans="1:1" ht="20.100000000000001" customHeight="1" thickBot="1" x14ac:dyDescent="0.35">
      <c r="A54" s="13">
        <v>45946</v>
      </c>
    </row>
    <row r="55" spans="1:1" ht="20.100000000000001" customHeight="1" thickBot="1" x14ac:dyDescent="0.35">
      <c r="A55" s="13">
        <v>45947</v>
      </c>
    </row>
    <row r="56" spans="1:1" ht="20.100000000000001" customHeight="1" thickBot="1" x14ac:dyDescent="0.35">
      <c r="A56" s="13">
        <v>45948</v>
      </c>
    </row>
    <row r="57" spans="1:1" ht="20.100000000000001" customHeight="1" thickBot="1" x14ac:dyDescent="0.35">
      <c r="A57" s="13">
        <v>45949</v>
      </c>
    </row>
    <row r="58" spans="1:1" ht="20.100000000000001" customHeight="1" thickBot="1" x14ac:dyDescent="0.35">
      <c r="A58" s="13">
        <v>45950</v>
      </c>
    </row>
    <row r="59" spans="1:1" ht="20.100000000000001" customHeight="1" thickBot="1" x14ac:dyDescent="0.35">
      <c r="A59" s="13">
        <v>45951</v>
      </c>
    </row>
    <row r="60" spans="1:1" ht="20.100000000000001" customHeight="1" thickBot="1" x14ac:dyDescent="0.35">
      <c r="A60" s="13">
        <v>45952</v>
      </c>
    </row>
    <row r="61" spans="1:1" ht="20.100000000000001" customHeight="1" thickBot="1" x14ac:dyDescent="0.35">
      <c r="A61" s="13">
        <v>45953</v>
      </c>
    </row>
    <row r="62" spans="1:1" ht="20.100000000000001" customHeight="1" thickBot="1" x14ac:dyDescent="0.35">
      <c r="A62" s="13">
        <v>45954</v>
      </c>
    </row>
    <row r="63" spans="1:1" ht="20.100000000000001" customHeight="1" thickBot="1" x14ac:dyDescent="0.35">
      <c r="A63" s="13">
        <v>45955</v>
      </c>
    </row>
    <row r="64" spans="1:1" ht="20.100000000000001" customHeight="1" thickBot="1" x14ac:dyDescent="0.35">
      <c r="A64" s="13">
        <v>45956</v>
      </c>
    </row>
    <row r="65" spans="1:1" ht="20.100000000000001" customHeight="1" thickBot="1" x14ac:dyDescent="0.35">
      <c r="A65" s="13">
        <v>45957</v>
      </c>
    </row>
    <row r="66" spans="1:1" ht="20.100000000000001" customHeight="1" thickBot="1" x14ac:dyDescent="0.35">
      <c r="A66" s="13">
        <v>45958</v>
      </c>
    </row>
    <row r="67" spans="1:1" ht="20.100000000000001" customHeight="1" thickBot="1" x14ac:dyDescent="0.35">
      <c r="A67" s="13">
        <v>45959</v>
      </c>
    </row>
    <row r="68" spans="1:1" ht="20.100000000000001" customHeight="1" thickBot="1" x14ac:dyDescent="0.35">
      <c r="A68" s="13">
        <v>45960</v>
      </c>
    </row>
    <row r="69" spans="1:1" ht="20.100000000000001" customHeight="1" thickBot="1" x14ac:dyDescent="0.35">
      <c r="A69" s="13">
        <v>45961</v>
      </c>
    </row>
    <row r="70" spans="1:1" ht="20.100000000000001" customHeight="1" thickBot="1" x14ac:dyDescent="0.35">
      <c r="A70" s="13"/>
    </row>
    <row r="71" spans="1:1" ht="20.100000000000001" customHeight="1" thickBot="1" x14ac:dyDescent="0.35">
      <c r="A71" s="13"/>
    </row>
    <row r="72" spans="1:1" ht="20.100000000000001" customHeight="1" thickBot="1" x14ac:dyDescent="0.35">
      <c r="A72" s="13"/>
    </row>
    <row r="73" spans="1:1" ht="20.100000000000001" customHeight="1" thickBot="1" x14ac:dyDescent="0.35">
      <c r="A73" s="13"/>
    </row>
    <row r="74" spans="1:1" ht="20.100000000000001" customHeight="1" thickBot="1" x14ac:dyDescent="0.35">
      <c r="A74" s="13"/>
    </row>
    <row r="75" spans="1:1" ht="20.100000000000001" customHeight="1" thickBot="1" x14ac:dyDescent="0.35">
      <c r="A75" s="13"/>
    </row>
    <row r="76" spans="1:1" ht="20.100000000000001" customHeight="1" thickBot="1" x14ac:dyDescent="0.35">
      <c r="A76" s="13"/>
    </row>
    <row r="77" spans="1:1" ht="20.100000000000001" customHeight="1" thickBot="1" x14ac:dyDescent="0.35">
      <c r="A77" s="13"/>
    </row>
    <row r="78" spans="1:1" ht="20.100000000000001" customHeight="1" thickBot="1" x14ac:dyDescent="0.35">
      <c r="A78" s="13"/>
    </row>
    <row r="79" spans="1:1" ht="20.100000000000001" customHeight="1" thickBot="1" x14ac:dyDescent="0.35">
      <c r="A79" s="13"/>
    </row>
    <row r="80" spans="1:1" ht="20.100000000000001" customHeight="1" thickBot="1" x14ac:dyDescent="0.35">
      <c r="A80" s="13"/>
    </row>
    <row r="81" spans="1:1" ht="20.100000000000001" customHeight="1" thickBot="1" x14ac:dyDescent="0.35">
      <c r="A81" s="13"/>
    </row>
    <row r="82" spans="1:1" ht="20.100000000000001" customHeight="1" thickBot="1" x14ac:dyDescent="0.35">
      <c r="A82" s="13"/>
    </row>
    <row r="83" spans="1:1" ht="20.100000000000001" customHeight="1" thickBot="1" x14ac:dyDescent="0.35">
      <c r="A83" s="13"/>
    </row>
    <row r="84" spans="1:1" ht="20.100000000000001" customHeight="1" thickBot="1" x14ac:dyDescent="0.35">
      <c r="A84" s="13"/>
    </row>
    <row r="85" spans="1:1" ht="20.100000000000001" customHeight="1" thickBot="1" x14ac:dyDescent="0.35">
      <c r="A85" s="13"/>
    </row>
    <row r="86" spans="1:1" ht="20.100000000000001" customHeight="1" thickBot="1" x14ac:dyDescent="0.35">
      <c r="A86" s="13"/>
    </row>
    <row r="87" spans="1:1" ht="20.100000000000001" customHeight="1" thickBot="1" x14ac:dyDescent="0.35">
      <c r="A87" s="13"/>
    </row>
    <row r="88" spans="1:1" ht="20.100000000000001" customHeight="1" thickBot="1" x14ac:dyDescent="0.35">
      <c r="A88" s="13"/>
    </row>
    <row r="89" spans="1:1" ht="20.100000000000001" customHeight="1" thickBot="1" x14ac:dyDescent="0.35">
      <c r="A89" s="13"/>
    </row>
    <row r="90" spans="1:1" ht="20.100000000000001" customHeight="1" thickBot="1" x14ac:dyDescent="0.35">
      <c r="A90" s="13"/>
    </row>
    <row r="91" spans="1:1" ht="20.100000000000001" customHeight="1" thickBot="1" x14ac:dyDescent="0.35">
      <c r="A91" s="13"/>
    </row>
    <row r="92" spans="1:1" ht="20.100000000000001" customHeight="1" thickBot="1" x14ac:dyDescent="0.35">
      <c r="A92" s="13"/>
    </row>
    <row r="93" spans="1:1" ht="20.100000000000001" customHeight="1" thickBot="1" x14ac:dyDescent="0.35">
      <c r="A93" s="13"/>
    </row>
    <row r="94" spans="1:1" ht="20.100000000000001" customHeight="1" thickBot="1" x14ac:dyDescent="0.35">
      <c r="A94" s="13"/>
    </row>
    <row r="95" spans="1:1" ht="20.100000000000001" customHeight="1" thickBot="1" x14ac:dyDescent="0.35">
      <c r="A95" s="13"/>
    </row>
    <row r="96" spans="1:1" ht="20.100000000000001" customHeight="1" thickBot="1" x14ac:dyDescent="0.35">
      <c r="A96" s="13"/>
    </row>
    <row r="97" spans="1:9" ht="20.100000000000001" customHeight="1" thickBot="1" x14ac:dyDescent="0.35">
      <c r="A97" s="13"/>
    </row>
    <row r="98" spans="1:9" ht="20.100000000000001" customHeight="1" thickBot="1" x14ac:dyDescent="0.35">
      <c r="A98" s="13"/>
    </row>
    <row r="99" spans="1:9" ht="20.100000000000001" customHeight="1" thickBot="1" x14ac:dyDescent="0.35">
      <c r="A99" s="13"/>
    </row>
    <row r="100" spans="1:9" ht="20.100000000000001" customHeight="1" thickBot="1" x14ac:dyDescent="0.35">
      <c r="A100" s="13"/>
    </row>
    <row r="101" spans="1:9" ht="20.100000000000001" customHeight="1" thickBot="1" x14ac:dyDescent="0.35">
      <c r="A101" s="13"/>
    </row>
    <row r="102" spans="1:9" ht="20.100000000000001" customHeight="1" thickBot="1" x14ac:dyDescent="0.35">
      <c r="A102" s="13"/>
    </row>
    <row r="103" spans="1:9" ht="20.100000000000001" customHeight="1" thickBot="1" x14ac:dyDescent="0.35">
      <c r="A103" s="13"/>
    </row>
    <row r="104" spans="1:9" ht="20.100000000000001" customHeight="1" thickBot="1" x14ac:dyDescent="0.35">
      <c r="A104" s="13"/>
    </row>
    <row r="105" spans="1:9" ht="20.100000000000001" customHeight="1" thickBot="1" x14ac:dyDescent="0.35">
      <c r="A105" s="13"/>
    </row>
    <row r="106" spans="1:9" ht="20.100000000000001" customHeight="1" thickBot="1" x14ac:dyDescent="0.35">
      <c r="A106" s="13"/>
    </row>
    <row r="107" spans="1:9" ht="20.100000000000001" customHeight="1" x14ac:dyDescent="0.3">
      <c r="A107" s="14"/>
    </row>
    <row r="108" spans="1:9" ht="20.100000000000001" customHeight="1" x14ac:dyDescent="0.3">
      <c r="A108" s="14"/>
    </row>
    <row r="109" spans="1:9" s="17" customFormat="1" ht="20.100000000000001" customHeight="1" x14ac:dyDescent="0.3">
      <c r="A109" s="15"/>
      <c r="B109" s="16"/>
      <c r="C109" s="16"/>
      <c r="D109" s="16"/>
      <c r="E109" s="16"/>
      <c r="F109" s="16"/>
      <c r="G109" s="16"/>
      <c r="H109" s="16"/>
      <c r="I109" s="16"/>
    </row>
    <row r="110" spans="1:9" ht="20.100000000000001" customHeight="1" thickBot="1" x14ac:dyDescent="0.35"/>
    <row r="111" spans="1:9" ht="20.100000000000001" customHeight="1" thickBot="1" x14ac:dyDescent="0.35">
      <c r="A111" s="2" t="s">
        <v>59</v>
      </c>
    </row>
    <row r="112" spans="1:9" ht="20.100000000000001" customHeight="1" thickBot="1" x14ac:dyDescent="0.35">
      <c r="A112" s="2" t="s">
        <v>15</v>
      </c>
    </row>
    <row r="113" spans="1:1" ht="20.100000000000001" customHeight="1" thickBot="1" x14ac:dyDescent="0.35">
      <c r="A113" s="2">
        <v>0</v>
      </c>
    </row>
    <row r="114" spans="1:1" ht="20.100000000000001" customHeight="1" thickBot="1" x14ac:dyDescent="0.35">
      <c r="A114" s="2">
        <v>0.25</v>
      </c>
    </row>
    <row r="115" spans="1:1" ht="20.100000000000001" customHeight="1" thickBot="1" x14ac:dyDescent="0.35">
      <c r="A115" s="2">
        <v>0.5</v>
      </c>
    </row>
    <row r="116" spans="1:1" ht="20.100000000000001" customHeight="1" thickBot="1" x14ac:dyDescent="0.35">
      <c r="A116" s="2">
        <v>0.75</v>
      </c>
    </row>
    <row r="117" spans="1:1" ht="20.100000000000001" customHeight="1" thickBot="1" x14ac:dyDescent="0.35">
      <c r="A117" s="2">
        <v>1</v>
      </c>
    </row>
    <row r="118" spans="1:1" ht="20.100000000000001" customHeight="1" thickBot="1" x14ac:dyDescent="0.35">
      <c r="A118" s="2">
        <v>1.25</v>
      </c>
    </row>
    <row r="119" spans="1:1" ht="20.100000000000001" customHeight="1" thickBot="1" x14ac:dyDescent="0.35">
      <c r="A119" s="2">
        <v>1.5</v>
      </c>
    </row>
    <row r="120" spans="1:1" ht="20.100000000000001" customHeight="1" thickBot="1" x14ac:dyDescent="0.35">
      <c r="A120" s="2">
        <v>1.75</v>
      </c>
    </row>
    <row r="121" spans="1:1" ht="20.100000000000001" customHeight="1" thickBot="1" x14ac:dyDescent="0.35">
      <c r="A121" s="2">
        <v>2</v>
      </c>
    </row>
    <row r="122" spans="1:1" ht="20.100000000000001" customHeight="1" thickBot="1" x14ac:dyDescent="0.35">
      <c r="A122" s="2">
        <v>2.25</v>
      </c>
    </row>
    <row r="123" spans="1:1" ht="20.100000000000001" customHeight="1" thickBot="1" x14ac:dyDescent="0.35">
      <c r="A123" s="2">
        <v>2.5</v>
      </c>
    </row>
    <row r="124" spans="1:1" ht="20.100000000000001" customHeight="1" thickBot="1" x14ac:dyDescent="0.35">
      <c r="A124" s="2">
        <v>2.75</v>
      </c>
    </row>
    <row r="125" spans="1:1" ht="20.100000000000001" customHeight="1" thickBot="1" x14ac:dyDescent="0.35">
      <c r="A125" s="2">
        <v>3</v>
      </c>
    </row>
    <row r="126" spans="1:1" ht="20.100000000000001" customHeight="1" thickBot="1" x14ac:dyDescent="0.35">
      <c r="A126" s="2">
        <v>3.25</v>
      </c>
    </row>
    <row r="127" spans="1:1" ht="20.100000000000001" customHeight="1" thickBot="1" x14ac:dyDescent="0.35">
      <c r="A127" s="2">
        <v>3.5</v>
      </c>
    </row>
    <row r="128" spans="1:1" ht="20.100000000000001" customHeight="1" thickBot="1" x14ac:dyDescent="0.35">
      <c r="A128" s="2">
        <v>3.75</v>
      </c>
    </row>
    <row r="129" spans="1:1" ht="20.100000000000001" customHeight="1" thickBot="1" x14ac:dyDescent="0.35">
      <c r="A129" s="2">
        <v>4</v>
      </c>
    </row>
    <row r="130" spans="1:1" ht="20.100000000000001" customHeight="1" thickBot="1" x14ac:dyDescent="0.35">
      <c r="A130" s="2">
        <v>4.25</v>
      </c>
    </row>
    <row r="131" spans="1:1" ht="20.100000000000001" customHeight="1" thickBot="1" x14ac:dyDescent="0.35">
      <c r="A131" s="2">
        <v>4.5</v>
      </c>
    </row>
    <row r="132" spans="1:1" ht="20.100000000000001" customHeight="1" thickBot="1" x14ac:dyDescent="0.35">
      <c r="A132" s="2">
        <v>4.75</v>
      </c>
    </row>
    <row r="133" spans="1:1" ht="20.100000000000001" customHeight="1" thickBot="1" x14ac:dyDescent="0.35">
      <c r="A133" s="2">
        <v>5</v>
      </c>
    </row>
    <row r="134" spans="1:1" ht="20.100000000000001" customHeight="1" thickBot="1" x14ac:dyDescent="0.35">
      <c r="A134" s="2">
        <v>5.25</v>
      </c>
    </row>
    <row r="135" spans="1:1" ht="20.100000000000001" customHeight="1" thickBot="1" x14ac:dyDescent="0.35">
      <c r="A135" s="2">
        <v>5.5</v>
      </c>
    </row>
    <row r="136" spans="1:1" ht="20.100000000000001" customHeight="1" thickBot="1" x14ac:dyDescent="0.35">
      <c r="A136" s="2">
        <v>5.75</v>
      </c>
    </row>
    <row r="137" spans="1:1" ht="20.100000000000001" customHeight="1" thickBot="1" x14ac:dyDescent="0.35">
      <c r="A137" s="2">
        <v>6</v>
      </c>
    </row>
    <row r="138" spans="1:1" ht="20.100000000000001" customHeight="1" thickBot="1" x14ac:dyDescent="0.35">
      <c r="A138" s="2">
        <v>6.25</v>
      </c>
    </row>
    <row r="139" spans="1:1" ht="20.100000000000001" customHeight="1" thickBot="1" x14ac:dyDescent="0.35">
      <c r="A139" s="2">
        <v>6.5</v>
      </c>
    </row>
    <row r="140" spans="1:1" ht="20.100000000000001" customHeight="1" thickBot="1" x14ac:dyDescent="0.35">
      <c r="A140" s="2">
        <v>6.75</v>
      </c>
    </row>
    <row r="141" spans="1:1" ht="20.100000000000001" customHeight="1" thickBot="1" x14ac:dyDescent="0.35">
      <c r="A141" s="2">
        <v>7</v>
      </c>
    </row>
    <row r="142" spans="1:1" ht="20.100000000000001" customHeight="1" thickBot="1" x14ac:dyDescent="0.35">
      <c r="A142" s="2">
        <v>7.25</v>
      </c>
    </row>
    <row r="143" spans="1:1" ht="20.100000000000001" customHeight="1" thickBot="1" x14ac:dyDescent="0.35">
      <c r="A143" s="2">
        <v>7.5</v>
      </c>
    </row>
    <row r="144" spans="1:1" ht="20.100000000000001" customHeight="1" thickBot="1" x14ac:dyDescent="0.35">
      <c r="A144" s="2">
        <v>7.75</v>
      </c>
    </row>
    <row r="145" spans="1:1" ht="20.100000000000001" customHeight="1" thickBot="1" x14ac:dyDescent="0.35">
      <c r="A145" s="2">
        <v>8</v>
      </c>
    </row>
    <row r="146" spans="1:1" ht="20.100000000000001" customHeight="1" thickBot="1" x14ac:dyDescent="0.35">
      <c r="A146" s="2">
        <v>8.25</v>
      </c>
    </row>
    <row r="147" spans="1:1" ht="20.100000000000001" customHeight="1" thickBot="1" x14ac:dyDescent="0.35">
      <c r="A147" s="2">
        <v>8.5</v>
      </c>
    </row>
    <row r="148" spans="1:1" ht="20.100000000000001" customHeight="1" thickBot="1" x14ac:dyDescent="0.35">
      <c r="A148" s="2">
        <v>8.75</v>
      </c>
    </row>
    <row r="149" spans="1:1" ht="20.100000000000001" customHeight="1" thickBot="1" x14ac:dyDescent="0.35">
      <c r="A149" s="2">
        <v>9</v>
      </c>
    </row>
    <row r="150" spans="1:1" ht="20.100000000000001" customHeight="1" thickBot="1" x14ac:dyDescent="0.35">
      <c r="A150" s="2">
        <v>9.25</v>
      </c>
    </row>
    <row r="151" spans="1:1" ht="20.100000000000001" customHeight="1" thickBot="1" x14ac:dyDescent="0.35">
      <c r="A151" s="2">
        <v>9.5</v>
      </c>
    </row>
    <row r="152" spans="1:1" ht="20.100000000000001" customHeight="1" thickBot="1" x14ac:dyDescent="0.35">
      <c r="A152" s="2">
        <v>9.75</v>
      </c>
    </row>
    <row r="153" spans="1:1" ht="20.100000000000001" customHeight="1" thickBot="1" x14ac:dyDescent="0.35">
      <c r="A153" s="2">
        <v>10</v>
      </c>
    </row>
    <row r="154" spans="1:1" ht="20.100000000000001" customHeight="1" thickBot="1" x14ac:dyDescent="0.35">
      <c r="A154" s="2">
        <v>10.25</v>
      </c>
    </row>
    <row r="155" spans="1:1" ht="20.100000000000001" customHeight="1" thickBot="1" x14ac:dyDescent="0.35">
      <c r="A155" s="2">
        <v>10.5</v>
      </c>
    </row>
    <row r="156" spans="1:1" ht="20.100000000000001" customHeight="1" thickBot="1" x14ac:dyDescent="0.35">
      <c r="A156" s="2">
        <v>10.75</v>
      </c>
    </row>
    <row r="157" spans="1:1" ht="20.100000000000001" customHeight="1" thickBot="1" x14ac:dyDescent="0.35">
      <c r="A157" s="2">
        <v>11</v>
      </c>
    </row>
    <row r="158" spans="1:1" ht="20.100000000000001" customHeight="1" thickBot="1" x14ac:dyDescent="0.35">
      <c r="A158" s="2">
        <v>11.25</v>
      </c>
    </row>
    <row r="159" spans="1:1" ht="20.100000000000001" customHeight="1" thickBot="1" x14ac:dyDescent="0.35">
      <c r="A159" s="2">
        <v>11.5</v>
      </c>
    </row>
    <row r="160" spans="1:1" ht="20.100000000000001" customHeight="1" thickBot="1" x14ac:dyDescent="0.35">
      <c r="A160" s="2">
        <v>11.75</v>
      </c>
    </row>
    <row r="161" spans="1:1" ht="20.100000000000001" customHeight="1" thickBot="1" x14ac:dyDescent="0.35">
      <c r="A161" s="2">
        <v>12</v>
      </c>
    </row>
    <row r="162" spans="1:1" ht="20.100000000000001" customHeight="1" thickBot="1" x14ac:dyDescent="0.35">
      <c r="A162" s="2">
        <v>12.25</v>
      </c>
    </row>
    <row r="163" spans="1:1" ht="20.100000000000001" customHeight="1" thickBot="1" x14ac:dyDescent="0.35">
      <c r="A163" s="2">
        <v>12.5</v>
      </c>
    </row>
    <row r="164" spans="1:1" ht="20.100000000000001" customHeight="1" thickBot="1" x14ac:dyDescent="0.35">
      <c r="A164" s="2">
        <v>12.75</v>
      </c>
    </row>
    <row r="165" spans="1:1" ht="20.100000000000001" customHeight="1" thickBot="1" x14ac:dyDescent="0.35">
      <c r="A165" s="2">
        <v>13</v>
      </c>
    </row>
    <row r="166" spans="1:1" ht="20.100000000000001" customHeight="1" thickBot="1" x14ac:dyDescent="0.35">
      <c r="A166" s="2">
        <v>13.25</v>
      </c>
    </row>
    <row r="167" spans="1:1" ht="20.100000000000001" customHeight="1" thickBot="1" x14ac:dyDescent="0.35">
      <c r="A167" s="2">
        <v>13.5</v>
      </c>
    </row>
    <row r="168" spans="1:1" ht="20.100000000000001" customHeight="1" thickBot="1" x14ac:dyDescent="0.35">
      <c r="A168" s="2">
        <v>13.75</v>
      </c>
    </row>
    <row r="169" spans="1:1" ht="20.100000000000001" customHeight="1" thickBot="1" x14ac:dyDescent="0.35">
      <c r="A169" s="2">
        <v>14</v>
      </c>
    </row>
    <row r="170" spans="1:1" ht="20.100000000000001" customHeight="1" thickBot="1" x14ac:dyDescent="0.35">
      <c r="A170" s="2">
        <v>14.25</v>
      </c>
    </row>
    <row r="171" spans="1:1" ht="20.100000000000001" customHeight="1" thickBot="1" x14ac:dyDescent="0.35">
      <c r="A171" s="2">
        <v>14.5</v>
      </c>
    </row>
    <row r="172" spans="1:1" ht="20.100000000000001" customHeight="1" thickBot="1" x14ac:dyDescent="0.35">
      <c r="A172" s="2">
        <v>14.75</v>
      </c>
    </row>
    <row r="173" spans="1:1" ht="20.100000000000001" customHeight="1" thickBot="1" x14ac:dyDescent="0.35">
      <c r="A173" s="2">
        <v>15</v>
      </c>
    </row>
    <row r="174" spans="1:1" ht="20.100000000000001" customHeight="1" thickBot="1" x14ac:dyDescent="0.35">
      <c r="A174" s="2">
        <v>15.25</v>
      </c>
    </row>
    <row r="175" spans="1:1" ht="20.100000000000001" customHeight="1" thickBot="1" x14ac:dyDescent="0.35">
      <c r="A175" s="2">
        <v>15.5</v>
      </c>
    </row>
    <row r="176" spans="1:1" ht="20.100000000000001" customHeight="1" thickBot="1" x14ac:dyDescent="0.35">
      <c r="A176" s="2">
        <v>15.75</v>
      </c>
    </row>
    <row r="177" spans="1:1" ht="20.100000000000001" customHeight="1" thickBot="1" x14ac:dyDescent="0.35">
      <c r="A177" s="2">
        <v>16</v>
      </c>
    </row>
    <row r="178" spans="1:1" ht="20.100000000000001" customHeight="1" thickBot="1" x14ac:dyDescent="0.35">
      <c r="A178" s="2">
        <v>16.25</v>
      </c>
    </row>
    <row r="179" spans="1:1" ht="20.100000000000001" customHeight="1" thickBot="1" x14ac:dyDescent="0.35">
      <c r="A179" s="2">
        <v>16.5</v>
      </c>
    </row>
    <row r="180" spans="1:1" ht="20.100000000000001" customHeight="1" thickBot="1" x14ac:dyDescent="0.35">
      <c r="A180" s="2">
        <v>16.75</v>
      </c>
    </row>
    <row r="181" spans="1:1" ht="20.100000000000001" customHeight="1" thickBot="1" x14ac:dyDescent="0.35">
      <c r="A181" s="2">
        <v>17</v>
      </c>
    </row>
    <row r="182" spans="1:1" ht="20.100000000000001" customHeight="1" thickBot="1" x14ac:dyDescent="0.35">
      <c r="A182" s="2">
        <v>17.25</v>
      </c>
    </row>
    <row r="183" spans="1:1" ht="20.100000000000001" customHeight="1" thickBot="1" x14ac:dyDescent="0.35">
      <c r="A183" s="2">
        <v>17.5</v>
      </c>
    </row>
    <row r="184" spans="1:1" ht="20.100000000000001" customHeight="1" thickBot="1" x14ac:dyDescent="0.35">
      <c r="A184" s="2">
        <v>17.75</v>
      </c>
    </row>
    <row r="185" spans="1:1" ht="20.100000000000001" customHeight="1" thickBot="1" x14ac:dyDescent="0.35">
      <c r="A185" s="2">
        <v>18</v>
      </c>
    </row>
    <row r="186" spans="1:1" ht="20.100000000000001" customHeight="1" thickBot="1" x14ac:dyDescent="0.35">
      <c r="A186" s="2">
        <v>18.25</v>
      </c>
    </row>
    <row r="187" spans="1:1" ht="20.100000000000001" customHeight="1" thickBot="1" x14ac:dyDescent="0.35">
      <c r="A187" s="2">
        <v>18.5</v>
      </c>
    </row>
    <row r="188" spans="1:1" ht="20.100000000000001" customHeight="1" thickBot="1" x14ac:dyDescent="0.35">
      <c r="A188" s="2">
        <v>18.75</v>
      </c>
    </row>
    <row r="189" spans="1:1" ht="20.100000000000001" customHeight="1" thickBot="1" x14ac:dyDescent="0.35">
      <c r="A189" s="2">
        <v>19</v>
      </c>
    </row>
    <row r="190" spans="1:1" ht="20.100000000000001" customHeight="1" thickBot="1" x14ac:dyDescent="0.35">
      <c r="A190" s="2">
        <v>19.25</v>
      </c>
    </row>
    <row r="191" spans="1:1" ht="20.100000000000001" customHeight="1" thickBot="1" x14ac:dyDescent="0.35">
      <c r="A191" s="2">
        <v>19.5</v>
      </c>
    </row>
    <row r="192" spans="1:1" ht="20.100000000000001" customHeight="1" thickBot="1" x14ac:dyDescent="0.35">
      <c r="A192" s="2">
        <v>19.75</v>
      </c>
    </row>
    <row r="193" spans="1:1" ht="20.100000000000001" customHeight="1" thickBot="1" x14ac:dyDescent="0.35">
      <c r="A193" s="2">
        <v>20</v>
      </c>
    </row>
    <row r="197" spans="1:1" ht="20.100000000000001" customHeight="1" thickBot="1" x14ac:dyDescent="0.35"/>
    <row r="198" spans="1:1" ht="20.100000000000001" customHeight="1" thickBot="1" x14ac:dyDescent="0.35">
      <c r="A198" s="2" t="s">
        <v>57</v>
      </c>
    </row>
    <row r="199" spans="1:1" ht="20.100000000000001" customHeight="1" x14ac:dyDescent="0.3">
      <c r="A199" s="20" t="s">
        <v>87</v>
      </c>
    </row>
    <row r="200" spans="1:1" ht="20.100000000000001" customHeight="1" x14ac:dyDescent="0.3">
      <c r="A200" s="20" t="s">
        <v>88</v>
      </c>
    </row>
    <row r="201" spans="1:1" ht="20.100000000000001" customHeight="1" x14ac:dyDescent="0.3">
      <c r="A201" s="20" t="s">
        <v>89</v>
      </c>
    </row>
    <row r="202" spans="1:1" ht="20.100000000000001" customHeight="1" x14ac:dyDescent="0.3">
      <c r="A202" s="20" t="s">
        <v>90</v>
      </c>
    </row>
    <row r="203" spans="1:1" ht="20.100000000000001" customHeight="1" x14ac:dyDescent="0.3">
      <c r="A203" s="20" t="s">
        <v>91</v>
      </c>
    </row>
    <row r="204" spans="1:1" ht="20.100000000000001" customHeight="1" x14ac:dyDescent="0.3">
      <c r="A204" s="20" t="s">
        <v>92</v>
      </c>
    </row>
    <row r="205" spans="1:1" ht="20.100000000000001" customHeight="1" x14ac:dyDescent="0.3">
      <c r="A205" s="20" t="s">
        <v>93</v>
      </c>
    </row>
    <row r="206" spans="1:1" ht="20.100000000000001" customHeight="1" x14ac:dyDescent="0.3">
      <c r="A206" s="20" t="s">
        <v>94</v>
      </c>
    </row>
    <row r="207" spans="1:1" ht="20.100000000000001" customHeight="1" x14ac:dyDescent="0.3">
      <c r="A207" s="20" t="s">
        <v>95</v>
      </c>
    </row>
    <row r="208" spans="1:1" ht="20.100000000000001" customHeight="1" x14ac:dyDescent="0.3">
      <c r="A208" s="21" t="s">
        <v>96</v>
      </c>
    </row>
    <row r="209" spans="1:1" ht="20.100000000000001" customHeight="1" x14ac:dyDescent="0.3">
      <c r="A209" s="21" t="s">
        <v>97</v>
      </c>
    </row>
    <row r="210" spans="1:1" ht="20.100000000000001" customHeight="1" x14ac:dyDescent="0.3">
      <c r="A210" s="20" t="s">
        <v>98</v>
      </c>
    </row>
    <row r="211" spans="1:1" ht="20.100000000000001" customHeight="1" x14ac:dyDescent="0.3">
      <c r="A211" s="20" t="s">
        <v>99</v>
      </c>
    </row>
    <row r="212" spans="1:1" ht="20.100000000000001" customHeight="1" x14ac:dyDescent="0.3">
      <c r="A212" s="20" t="s">
        <v>173</v>
      </c>
    </row>
    <row r="213" spans="1:1" ht="20.100000000000001" customHeight="1" x14ac:dyDescent="0.3">
      <c r="A213" s="20" t="s">
        <v>100</v>
      </c>
    </row>
    <row r="214" spans="1:1" ht="20.100000000000001" customHeight="1" x14ac:dyDescent="0.3">
      <c r="A214" s="20" t="s">
        <v>101</v>
      </c>
    </row>
    <row r="215" spans="1:1" ht="20.100000000000001" customHeight="1" x14ac:dyDescent="0.3">
      <c r="A215" s="20" t="s">
        <v>102</v>
      </c>
    </row>
    <row r="216" spans="1:1" ht="20.100000000000001" customHeight="1" x14ac:dyDescent="0.3">
      <c r="A216" s="20" t="s">
        <v>103</v>
      </c>
    </row>
    <row r="217" spans="1:1" ht="20.100000000000001" customHeight="1" x14ac:dyDescent="0.3">
      <c r="A217" s="20" t="s">
        <v>104</v>
      </c>
    </row>
    <row r="218" spans="1:1" ht="20.100000000000001" customHeight="1" x14ac:dyDescent="0.3">
      <c r="A218" s="20" t="s">
        <v>105</v>
      </c>
    </row>
    <row r="219" spans="1:1" ht="20.100000000000001" customHeight="1" x14ac:dyDescent="0.3">
      <c r="A219" s="20" t="s">
        <v>106</v>
      </c>
    </row>
    <row r="220" spans="1:1" ht="20.100000000000001" customHeight="1" x14ac:dyDescent="0.3">
      <c r="A220" s="20" t="s">
        <v>107</v>
      </c>
    </row>
    <row r="221" spans="1:1" ht="20.100000000000001" customHeight="1" x14ac:dyDescent="0.3">
      <c r="A221" s="20" t="s">
        <v>108</v>
      </c>
    </row>
    <row r="222" spans="1:1" ht="20.100000000000001" customHeight="1" x14ac:dyDescent="0.3">
      <c r="A222" s="20" t="s">
        <v>109</v>
      </c>
    </row>
    <row r="223" spans="1:1" ht="20.100000000000001" customHeight="1" x14ac:dyDescent="0.3">
      <c r="A223" s="20" t="s">
        <v>110</v>
      </c>
    </row>
    <row r="224" spans="1:1" ht="20.100000000000001" customHeight="1" x14ac:dyDescent="0.3">
      <c r="A224" s="20" t="s">
        <v>174</v>
      </c>
    </row>
    <row r="225" spans="1:1" ht="20.100000000000001" customHeight="1" x14ac:dyDescent="0.3">
      <c r="A225" s="20" t="s">
        <v>111</v>
      </c>
    </row>
    <row r="226" spans="1:1" ht="20.100000000000001" customHeight="1" x14ac:dyDescent="0.3">
      <c r="A226" s="20" t="s">
        <v>112</v>
      </c>
    </row>
    <row r="227" spans="1:1" ht="20.100000000000001" customHeight="1" x14ac:dyDescent="0.3">
      <c r="A227" s="20" t="s">
        <v>113</v>
      </c>
    </row>
    <row r="228" spans="1:1" ht="20.100000000000001" customHeight="1" x14ac:dyDescent="0.3">
      <c r="A228" s="20" t="s">
        <v>114</v>
      </c>
    </row>
    <row r="229" spans="1:1" ht="20.100000000000001" customHeight="1" x14ac:dyDescent="0.3">
      <c r="A229" s="20" t="s">
        <v>115</v>
      </c>
    </row>
    <row r="230" spans="1:1" ht="20.100000000000001" customHeight="1" x14ac:dyDescent="0.3">
      <c r="A230" s="20" t="s">
        <v>116</v>
      </c>
    </row>
    <row r="231" spans="1:1" ht="20.100000000000001" customHeight="1" x14ac:dyDescent="0.3">
      <c r="A231" s="20" t="s">
        <v>117</v>
      </c>
    </row>
    <row r="232" spans="1:1" ht="20.100000000000001" customHeight="1" x14ac:dyDescent="0.3">
      <c r="A232" s="20" t="s">
        <v>118</v>
      </c>
    </row>
    <row r="233" spans="1:1" ht="20.100000000000001" customHeight="1" x14ac:dyDescent="0.3">
      <c r="A233" s="20" t="s">
        <v>119</v>
      </c>
    </row>
    <row r="234" spans="1:1" ht="20.100000000000001" customHeight="1" x14ac:dyDescent="0.3">
      <c r="A234" s="20" t="s">
        <v>120</v>
      </c>
    </row>
    <row r="235" spans="1:1" ht="20.100000000000001" customHeight="1" x14ac:dyDescent="0.3">
      <c r="A235" s="20" t="s">
        <v>121</v>
      </c>
    </row>
    <row r="236" spans="1:1" ht="20.100000000000001" customHeight="1" x14ac:dyDescent="0.3">
      <c r="A236" s="22" t="s">
        <v>122</v>
      </c>
    </row>
    <row r="237" spans="1:1" ht="20.100000000000001" customHeight="1" x14ac:dyDescent="0.3">
      <c r="A237" s="20" t="s">
        <v>123</v>
      </c>
    </row>
    <row r="238" spans="1:1" ht="20.100000000000001" customHeight="1" x14ac:dyDescent="0.3">
      <c r="A238" s="20" t="s">
        <v>124</v>
      </c>
    </row>
    <row r="239" spans="1:1" ht="20.100000000000001" customHeight="1" x14ac:dyDescent="0.3">
      <c r="A239" s="20" t="s">
        <v>125</v>
      </c>
    </row>
    <row r="240" spans="1:1" ht="20.100000000000001" customHeight="1" x14ac:dyDescent="0.3">
      <c r="A240" s="20" t="s">
        <v>126</v>
      </c>
    </row>
    <row r="241" spans="1:1" ht="20.100000000000001" customHeight="1" x14ac:dyDescent="0.3">
      <c r="A241" s="20" t="s">
        <v>127</v>
      </c>
    </row>
    <row r="242" spans="1:1" ht="20.100000000000001" customHeight="1" x14ac:dyDescent="0.3">
      <c r="A242" s="20" t="s">
        <v>128</v>
      </c>
    </row>
    <row r="243" spans="1:1" ht="20.100000000000001" customHeight="1" x14ac:dyDescent="0.3">
      <c r="A243" s="20" t="s">
        <v>129</v>
      </c>
    </row>
    <row r="244" spans="1:1" ht="20.100000000000001" customHeight="1" x14ac:dyDescent="0.3">
      <c r="A244" s="20" t="s">
        <v>130</v>
      </c>
    </row>
    <row r="245" spans="1:1" ht="20.100000000000001" customHeight="1" x14ac:dyDescent="0.3">
      <c r="A245" s="20" t="s">
        <v>131</v>
      </c>
    </row>
    <row r="246" spans="1:1" ht="20.100000000000001" customHeight="1" x14ac:dyDescent="0.3">
      <c r="A246" s="20" t="s">
        <v>132</v>
      </c>
    </row>
    <row r="247" spans="1:1" ht="20.100000000000001" customHeight="1" x14ac:dyDescent="0.3">
      <c r="A247" s="20" t="s">
        <v>133</v>
      </c>
    </row>
    <row r="248" spans="1:1" ht="20.100000000000001" customHeight="1" x14ac:dyDescent="0.3">
      <c r="A248" s="20" t="s">
        <v>124</v>
      </c>
    </row>
    <row r="249" spans="1:1" ht="20.100000000000001" customHeight="1" x14ac:dyDescent="0.3">
      <c r="A249" s="20" t="s">
        <v>134</v>
      </c>
    </row>
    <row r="250" spans="1:1" ht="20.100000000000001" customHeight="1" x14ac:dyDescent="0.3">
      <c r="A250" s="20" t="s">
        <v>135</v>
      </c>
    </row>
    <row r="251" spans="1:1" ht="20.100000000000001" customHeight="1" x14ac:dyDescent="0.3">
      <c r="A251" s="22" t="s">
        <v>136</v>
      </c>
    </row>
    <row r="252" spans="1:1" ht="20.100000000000001" customHeight="1" x14ac:dyDescent="0.3">
      <c r="A252" s="23" t="s">
        <v>137</v>
      </c>
    </row>
    <row r="253" spans="1:1" ht="20.100000000000001" customHeight="1" x14ac:dyDescent="0.3">
      <c r="A253" s="20" t="s">
        <v>138</v>
      </c>
    </row>
    <row r="254" spans="1:1" ht="20.100000000000001" customHeight="1" x14ac:dyDescent="0.3">
      <c r="A254" s="20" t="s">
        <v>139</v>
      </c>
    </row>
    <row r="255" spans="1:1" ht="20.100000000000001" customHeight="1" x14ac:dyDescent="0.3">
      <c r="A255" s="24" t="s">
        <v>140</v>
      </c>
    </row>
    <row r="256" spans="1:1" ht="20.100000000000001" customHeight="1" x14ac:dyDescent="0.3">
      <c r="A256" s="24" t="s">
        <v>141</v>
      </c>
    </row>
    <row r="257" spans="1:1" ht="20.100000000000001" customHeight="1" x14ac:dyDescent="0.3">
      <c r="A257" s="25" t="s">
        <v>142</v>
      </c>
    </row>
    <row r="258" spans="1:1" ht="20.100000000000001" customHeight="1" x14ac:dyDescent="0.3">
      <c r="A258" s="20" t="s">
        <v>143</v>
      </c>
    </row>
    <row r="259" spans="1:1" ht="20.100000000000001" customHeight="1" x14ac:dyDescent="0.3">
      <c r="A259" s="25" t="s">
        <v>144</v>
      </c>
    </row>
    <row r="260" spans="1:1" ht="20.100000000000001" customHeight="1" x14ac:dyDescent="0.3">
      <c r="A260" s="20" t="s">
        <v>145</v>
      </c>
    </row>
    <row r="261" spans="1:1" ht="20.100000000000001" customHeight="1" x14ac:dyDescent="0.3">
      <c r="A261" s="25" t="s">
        <v>146</v>
      </c>
    </row>
    <row r="262" spans="1:1" ht="20.100000000000001" customHeight="1" x14ac:dyDescent="0.3">
      <c r="A262" s="20" t="s">
        <v>147</v>
      </c>
    </row>
    <row r="263" spans="1:1" ht="20.100000000000001" customHeight="1" x14ac:dyDescent="0.3">
      <c r="A263" s="20" t="s">
        <v>148</v>
      </c>
    </row>
    <row r="264" spans="1:1" ht="20.100000000000001" customHeight="1" x14ac:dyDescent="0.3">
      <c r="A264" s="25" t="s">
        <v>149</v>
      </c>
    </row>
    <row r="265" spans="1:1" ht="20.100000000000001" customHeight="1" x14ac:dyDescent="0.3">
      <c r="A265" s="25" t="s">
        <v>150</v>
      </c>
    </row>
    <row r="266" spans="1:1" ht="20.100000000000001" customHeight="1" x14ac:dyDescent="0.3">
      <c r="A266" s="25" t="s">
        <v>151</v>
      </c>
    </row>
    <row r="267" spans="1:1" ht="20.100000000000001" customHeight="1" x14ac:dyDescent="0.3">
      <c r="A267" s="20" t="s">
        <v>152</v>
      </c>
    </row>
    <row r="268" spans="1:1" ht="20.100000000000001" customHeight="1" x14ac:dyDescent="0.3">
      <c r="A268" s="20" t="s">
        <v>153</v>
      </c>
    </row>
    <row r="269" spans="1:1" ht="20.100000000000001" customHeight="1" x14ac:dyDescent="0.3">
      <c r="A269" s="20" t="s">
        <v>154</v>
      </c>
    </row>
    <row r="270" spans="1:1" ht="20.100000000000001" customHeight="1" x14ac:dyDescent="0.3">
      <c r="A270" s="20" t="s">
        <v>155</v>
      </c>
    </row>
    <row r="271" spans="1:1" ht="20.100000000000001" customHeight="1" x14ac:dyDescent="0.3">
      <c r="A271" s="25" t="s">
        <v>156</v>
      </c>
    </row>
    <row r="272" spans="1:1" ht="20.100000000000001" customHeight="1" x14ac:dyDescent="0.3">
      <c r="A272" s="25" t="s">
        <v>157</v>
      </c>
    </row>
    <row r="273" spans="1:1" ht="20.100000000000001" customHeight="1" x14ac:dyDescent="0.3">
      <c r="A273" s="20" t="s">
        <v>158</v>
      </c>
    </row>
    <row r="274" spans="1:1" ht="20.100000000000001" customHeight="1" x14ac:dyDescent="0.3">
      <c r="A274" s="25" t="s">
        <v>159</v>
      </c>
    </row>
    <row r="275" spans="1:1" ht="20.100000000000001" customHeight="1" x14ac:dyDescent="0.3">
      <c r="A275" s="25" t="s">
        <v>160</v>
      </c>
    </row>
    <row r="276" spans="1:1" ht="20.100000000000001" customHeight="1" x14ac:dyDescent="0.3">
      <c r="A276" s="20" t="s">
        <v>161</v>
      </c>
    </row>
    <row r="277" spans="1:1" ht="20.100000000000001" customHeight="1" x14ac:dyDescent="0.3">
      <c r="A277" s="20" t="s">
        <v>162</v>
      </c>
    </row>
    <row r="278" spans="1:1" ht="20.100000000000001" customHeight="1" x14ac:dyDescent="0.3">
      <c r="A278" s="25" t="s">
        <v>163</v>
      </c>
    </row>
    <row r="279" spans="1:1" ht="20.100000000000001" customHeight="1" x14ac:dyDescent="0.3">
      <c r="A279" s="20" t="s">
        <v>164</v>
      </c>
    </row>
    <row r="280" spans="1:1" ht="20.100000000000001" customHeight="1" x14ac:dyDescent="0.3">
      <c r="A280" s="20" t="s">
        <v>165</v>
      </c>
    </row>
    <row r="281" spans="1:1" ht="20.100000000000001" customHeight="1" x14ac:dyDescent="0.3">
      <c r="A281" s="20" t="s">
        <v>166</v>
      </c>
    </row>
    <row r="282" spans="1:1" ht="20.100000000000001" customHeight="1" x14ac:dyDescent="0.3">
      <c r="A282" s="20" t="s">
        <v>167</v>
      </c>
    </row>
    <row r="283" spans="1:1" ht="20.100000000000001" customHeight="1" x14ac:dyDescent="0.3">
      <c r="A283" s="25" t="s">
        <v>168</v>
      </c>
    </row>
    <row r="284" spans="1:1" ht="20.100000000000001" customHeight="1" x14ac:dyDescent="0.3">
      <c r="A284" s="25" t="s">
        <v>169</v>
      </c>
    </row>
    <row r="285" spans="1:1" ht="20.100000000000001" customHeight="1" x14ac:dyDescent="0.3">
      <c r="A285" s="25" t="s">
        <v>170</v>
      </c>
    </row>
    <row r="286" spans="1:1" ht="20.100000000000001" customHeight="1" thickBot="1" x14ac:dyDescent="0.35">
      <c r="A286" s="20" t="s">
        <v>171</v>
      </c>
    </row>
    <row r="287" spans="1:1" ht="20.100000000000001" customHeight="1" thickBot="1" x14ac:dyDescent="0.35">
      <c r="A287" s="2" t="s">
        <v>56</v>
      </c>
    </row>
    <row r="288" spans="1:1" ht="20.100000000000001" customHeight="1" thickBot="1" x14ac:dyDescent="0.35">
      <c r="A288" s="2" t="s">
        <v>56</v>
      </c>
    </row>
    <row r="289" spans="1:1" ht="20.100000000000001" customHeight="1" thickBot="1" x14ac:dyDescent="0.35">
      <c r="A289" s="2" t="s">
        <v>56</v>
      </c>
    </row>
    <row r="290" spans="1:1" ht="20.100000000000001" customHeight="1" thickBot="1" x14ac:dyDescent="0.35">
      <c r="A290" s="2" t="s">
        <v>56</v>
      </c>
    </row>
    <row r="291" spans="1:1" ht="20.100000000000001" customHeight="1" thickBot="1" x14ac:dyDescent="0.35">
      <c r="A291" s="2" t="s">
        <v>56</v>
      </c>
    </row>
    <row r="292" spans="1:1" ht="20.100000000000001" customHeight="1" thickBot="1" x14ac:dyDescent="0.35">
      <c r="A292" s="2" t="s">
        <v>56</v>
      </c>
    </row>
    <row r="293" spans="1:1" ht="20.100000000000001" customHeight="1" thickBot="1" x14ac:dyDescent="0.35">
      <c r="A293" s="2" t="s">
        <v>56</v>
      </c>
    </row>
    <row r="294" spans="1:1" ht="20.100000000000001" customHeight="1" thickBot="1" x14ac:dyDescent="0.35">
      <c r="A294" s="2" t="s">
        <v>56</v>
      </c>
    </row>
    <row r="295" spans="1:1" ht="20.100000000000001" customHeight="1" thickBot="1" x14ac:dyDescent="0.35">
      <c r="A295" s="2" t="s">
        <v>56</v>
      </c>
    </row>
    <row r="296" spans="1:1" ht="20.100000000000001" customHeight="1" thickBot="1" x14ac:dyDescent="0.35">
      <c r="A296" s="2" t="s">
        <v>56</v>
      </c>
    </row>
    <row r="297" spans="1:1" ht="20.100000000000001" customHeight="1" thickBot="1" x14ac:dyDescent="0.35">
      <c r="A297" s="2" t="s">
        <v>56</v>
      </c>
    </row>
    <row r="298" spans="1:1" ht="20.100000000000001" customHeight="1" thickBot="1" x14ac:dyDescent="0.35">
      <c r="A298" s="2" t="s">
        <v>56</v>
      </c>
    </row>
    <row r="299" spans="1:1" ht="20.100000000000001" customHeight="1" thickBot="1" x14ac:dyDescent="0.35">
      <c r="A299" s="2" t="s">
        <v>56</v>
      </c>
    </row>
    <row r="300" spans="1:1" ht="20.100000000000001" customHeight="1" thickBot="1" x14ac:dyDescent="0.35">
      <c r="A300" s="2" t="s">
        <v>56</v>
      </c>
    </row>
    <row r="301" spans="1:1" ht="20.100000000000001" customHeight="1" thickBot="1" x14ac:dyDescent="0.35">
      <c r="A301" s="2" t="s">
        <v>56</v>
      </c>
    </row>
    <row r="302" spans="1:1" ht="20.100000000000001" customHeight="1" thickBot="1" x14ac:dyDescent="0.35">
      <c r="A302" s="2" t="s">
        <v>56</v>
      </c>
    </row>
    <row r="303" spans="1:1" ht="20.100000000000001" customHeight="1" thickBot="1" x14ac:dyDescent="0.35">
      <c r="A303" s="2" t="s">
        <v>56</v>
      </c>
    </row>
    <row r="304" spans="1:1" ht="20.100000000000001" customHeight="1" thickBot="1" x14ac:dyDescent="0.35">
      <c r="A304" s="2" t="s">
        <v>56</v>
      </c>
    </row>
    <row r="305" spans="1:1" ht="20.100000000000001" customHeight="1" thickBot="1" x14ac:dyDescent="0.35">
      <c r="A305" s="2" t="s">
        <v>56</v>
      </c>
    </row>
    <row r="306" spans="1:1" ht="20.100000000000001" customHeight="1" thickBot="1" x14ac:dyDescent="0.35">
      <c r="A306" s="2" t="s">
        <v>56</v>
      </c>
    </row>
    <row r="307" spans="1:1" ht="20.100000000000001" customHeight="1" thickBot="1" x14ac:dyDescent="0.35">
      <c r="A307" s="2" t="s">
        <v>56</v>
      </c>
    </row>
    <row r="308" spans="1:1" ht="20.100000000000001" customHeight="1" thickBot="1" x14ac:dyDescent="0.35">
      <c r="A308" s="2" t="s">
        <v>56</v>
      </c>
    </row>
    <row r="309" spans="1:1" ht="20.100000000000001" customHeight="1" thickBot="1" x14ac:dyDescent="0.35">
      <c r="A309" s="2" t="s">
        <v>56</v>
      </c>
    </row>
    <row r="310" spans="1:1" ht="20.100000000000001" customHeight="1" thickBot="1" x14ac:dyDescent="0.35">
      <c r="A310" s="2" t="s">
        <v>56</v>
      </c>
    </row>
    <row r="311" spans="1:1" ht="20.100000000000001" customHeight="1" thickBot="1" x14ac:dyDescent="0.35">
      <c r="A311" s="2" t="s">
        <v>56</v>
      </c>
    </row>
    <row r="312" spans="1:1" ht="20.100000000000001" customHeight="1" thickBot="1" x14ac:dyDescent="0.35">
      <c r="A312" s="2" t="s">
        <v>56</v>
      </c>
    </row>
    <row r="313" spans="1:1" ht="20.100000000000001" customHeight="1" thickBot="1" x14ac:dyDescent="0.35">
      <c r="A313" s="2" t="s">
        <v>56</v>
      </c>
    </row>
    <row r="314" spans="1:1" ht="20.100000000000001" customHeight="1" thickBot="1" x14ac:dyDescent="0.35">
      <c r="A314" s="2" t="s">
        <v>56</v>
      </c>
    </row>
    <row r="315" spans="1:1" ht="20.100000000000001" customHeight="1" thickBot="1" x14ac:dyDescent="0.35">
      <c r="A315" s="2" t="s">
        <v>56</v>
      </c>
    </row>
    <row r="316" spans="1:1" ht="20.100000000000001" customHeight="1" thickBot="1" x14ac:dyDescent="0.35">
      <c r="A316" s="2" t="s">
        <v>56</v>
      </c>
    </row>
    <row r="317" spans="1:1" ht="20.100000000000001" customHeight="1" thickBot="1" x14ac:dyDescent="0.35">
      <c r="A317" s="2" t="s">
        <v>56</v>
      </c>
    </row>
    <row r="318" spans="1:1" ht="20.100000000000001" customHeight="1" thickBot="1" x14ac:dyDescent="0.35">
      <c r="A318" s="2" t="s">
        <v>56</v>
      </c>
    </row>
    <row r="319" spans="1:1" ht="20.100000000000001" customHeight="1" thickBot="1" x14ac:dyDescent="0.35">
      <c r="A319" s="2" t="s">
        <v>56</v>
      </c>
    </row>
    <row r="320" spans="1:1" ht="20.100000000000001" customHeight="1" thickBot="1" x14ac:dyDescent="0.35">
      <c r="A320" s="2" t="s">
        <v>56</v>
      </c>
    </row>
    <row r="321" spans="1:1" ht="20.100000000000001" customHeight="1" thickBot="1" x14ac:dyDescent="0.35">
      <c r="A321" s="2" t="s">
        <v>56</v>
      </c>
    </row>
    <row r="322" spans="1:1" ht="20.100000000000001" customHeight="1" thickBot="1" x14ac:dyDescent="0.35">
      <c r="A322" s="2" t="s">
        <v>56</v>
      </c>
    </row>
    <row r="323" spans="1:1" ht="20.100000000000001" customHeight="1" thickBot="1" x14ac:dyDescent="0.35">
      <c r="A323" s="2" t="s">
        <v>56</v>
      </c>
    </row>
    <row r="324" spans="1:1" ht="20.100000000000001" customHeight="1" thickBot="1" x14ac:dyDescent="0.35">
      <c r="A324" s="2" t="s">
        <v>56</v>
      </c>
    </row>
    <row r="325" spans="1:1" ht="20.100000000000001" customHeight="1" thickBot="1" x14ac:dyDescent="0.35">
      <c r="A325" s="2" t="s">
        <v>56</v>
      </c>
    </row>
    <row r="326" spans="1:1" ht="20.100000000000001" customHeight="1" thickBot="1" x14ac:dyDescent="0.35">
      <c r="A326" s="2" t="s">
        <v>56</v>
      </c>
    </row>
    <row r="327" spans="1:1" ht="20.100000000000001" customHeight="1" thickBot="1" x14ac:dyDescent="0.35">
      <c r="A327" s="2" t="s">
        <v>56</v>
      </c>
    </row>
    <row r="328" spans="1:1" ht="20.100000000000001" customHeight="1" thickBot="1" x14ac:dyDescent="0.35">
      <c r="A328" s="2" t="s">
        <v>56</v>
      </c>
    </row>
    <row r="329" spans="1:1" ht="20.100000000000001" customHeight="1" thickBot="1" x14ac:dyDescent="0.35">
      <c r="A329" s="2" t="s">
        <v>56</v>
      </c>
    </row>
    <row r="330" spans="1:1" ht="20.100000000000001" customHeight="1" thickBot="1" x14ac:dyDescent="0.35">
      <c r="A330" s="2" t="s">
        <v>56</v>
      </c>
    </row>
    <row r="331" spans="1:1" ht="20.100000000000001" customHeight="1" thickBot="1" x14ac:dyDescent="0.35">
      <c r="A331" s="2" t="s">
        <v>56</v>
      </c>
    </row>
    <row r="332" spans="1:1" ht="20.100000000000001" customHeight="1" thickBot="1" x14ac:dyDescent="0.35">
      <c r="A332" s="2" t="s">
        <v>56</v>
      </c>
    </row>
    <row r="333" spans="1:1" ht="20.100000000000001" customHeight="1" thickBot="1" x14ac:dyDescent="0.35">
      <c r="A333" s="2" t="s">
        <v>56</v>
      </c>
    </row>
    <row r="334" spans="1:1" ht="20.100000000000001" customHeight="1" thickBot="1" x14ac:dyDescent="0.35">
      <c r="A334" s="2" t="s">
        <v>56</v>
      </c>
    </row>
    <row r="335" spans="1:1" ht="20.100000000000001" customHeight="1" thickBot="1" x14ac:dyDescent="0.35">
      <c r="A335" s="2" t="s">
        <v>56</v>
      </c>
    </row>
    <row r="336" spans="1:1" ht="20.100000000000001" customHeight="1" thickBot="1" x14ac:dyDescent="0.35">
      <c r="A336" s="2" t="s">
        <v>56</v>
      </c>
    </row>
    <row r="337" spans="1:1" ht="20.100000000000001" customHeight="1" thickBot="1" x14ac:dyDescent="0.35">
      <c r="A337" s="2" t="s">
        <v>56</v>
      </c>
    </row>
    <row r="338" spans="1:1" ht="20.100000000000001" customHeight="1" thickBot="1" x14ac:dyDescent="0.35">
      <c r="A338" s="2" t="s">
        <v>56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3</vt:i4>
      </vt:variant>
    </vt:vector>
  </HeadingPairs>
  <TitlesOfParts>
    <vt:vector size="5" baseType="lpstr">
      <vt:lpstr>قائمة التقييم</vt:lpstr>
      <vt:lpstr>بيانات التقييم</vt:lpstr>
      <vt:lpstr>'قائمة التقييم'!_Hlk189049123</vt:lpstr>
      <vt:lpstr>'قائمة التقييم'!Print_Area</vt:lpstr>
      <vt:lpstr>'قائمة التقييم'!Print_Titles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2025-10-20T04:51:18Z</dcterms:modified>
</cp:coreProperties>
</file>