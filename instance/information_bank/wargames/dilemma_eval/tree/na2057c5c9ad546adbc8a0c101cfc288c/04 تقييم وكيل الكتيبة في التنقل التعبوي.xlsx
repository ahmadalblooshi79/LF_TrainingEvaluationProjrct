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EEC035D7-44DD-45A0-9D6B-C0315FAC05A3}"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التقييم'!$A$1:$J$50</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5" i="2"/>
  <c r="H15" i="2"/>
  <c r="G16" i="2"/>
  <c r="H16" i="2"/>
  <c r="G17" i="2"/>
  <c r="H17" i="2"/>
  <c r="G18" i="2"/>
  <c r="H18" i="2"/>
  <c r="G19" i="2"/>
  <c r="H19" i="2"/>
  <c r="G20" i="2"/>
  <c r="H20" i="2"/>
  <c r="G21" i="2"/>
  <c r="H21" i="2"/>
  <c r="G22" i="2"/>
  <c r="H22" i="2"/>
  <c r="G24" i="2"/>
  <c r="H24" i="2"/>
  <c r="G25" i="2"/>
  <c r="H25" i="2"/>
  <c r="G26" i="2"/>
  <c r="H26" i="2"/>
  <c r="G27" i="2"/>
  <c r="H27" i="2"/>
  <c r="G28" i="2"/>
  <c r="H28" i="2"/>
  <c r="G29" i="2"/>
  <c r="H29" i="2"/>
  <c r="G31" i="2"/>
  <c r="H31" i="2"/>
  <c r="G32" i="2"/>
  <c r="H32" i="2"/>
  <c r="G33" i="2"/>
  <c r="H33" i="2"/>
  <c r="G34" i="2"/>
  <c r="H34" i="2"/>
  <c r="G35" i="2"/>
  <c r="H35" i="2"/>
  <c r="G36" i="2"/>
  <c r="H36" i="2"/>
  <c r="G37" i="2"/>
  <c r="H37" i="2"/>
  <c r="G38" i="2"/>
  <c r="H38" i="2"/>
  <c r="G39" i="2"/>
  <c r="H39" i="2" s="1"/>
  <c r="G40" i="2"/>
  <c r="H40" i="2"/>
  <c r="G41" i="2"/>
  <c r="H41" i="2"/>
  <c r="G42" i="2"/>
  <c r="H42" i="2"/>
  <c r="G43" i="2"/>
  <c r="H43" i="2"/>
  <c r="G44" i="2"/>
  <c r="H44" i="2"/>
  <c r="G45" i="2"/>
  <c r="H45" i="2"/>
  <c r="F46" i="2"/>
  <c r="E46" i="2"/>
  <c r="E47" i="2"/>
  <c r="E48" i="2" s="1"/>
</calcChain>
</file>

<file path=xl/sharedStrings.xml><?xml version="1.0" encoding="utf-8"?>
<sst xmlns="http://schemas.openxmlformats.org/spreadsheetml/2006/main" count="275" uniqueCount="220">
  <si>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</si>
  <si>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</si>
  <si>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</si>
  <si>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</si>
  <si>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</si>
  <si>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</si>
  <si>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</si>
  <si>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</si>
  <si>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</si>
  <si>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</si>
  <si>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</si>
  <si>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</si>
  <si>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</si>
  <si>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</si>
  <si>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</si>
  <si>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</si>
  <si>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</si>
  <si>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</si>
  <si>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</si>
  <si>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</si>
  <si>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</si>
  <si>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</si>
  <si>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</si>
  <si>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</si>
  <si>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</si>
  <si>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</si>
  <si>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</si>
  <si>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</si>
  <si>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</si>
  <si>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</si>
  <si>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</si>
  <si>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</si>
  <si>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</si>
  <si>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</si>
  <si>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</si>
  <si>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</si>
  <si>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</si>
  <si>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</si>
  <si>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</si>
  <si>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</si>
  <si>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</si>
  <si>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</si>
  <si>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</si>
  <si>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</si>
  <si>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</si>
  <si>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</si>
  <si>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</si>
  <si>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</si>
  <si>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</si>
  <si>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</si>
  <si>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</si>
  <si>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</si>
  <si>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</si>
  <si>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</si>
  <si>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</si>
  <si>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</si>
  <si>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</si>
  <si>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</si>
  <si>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</si>
  <si>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</si>
  <si>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</si>
  <si>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</si>
  <si>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</si>
  <si>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</si>
  <si>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</si>
  <si>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</si>
  <si>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</si>
  <si>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</si>
  <si>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</si>
  <si>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</si>
  <si>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</si>
  <si>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</si>
  <si>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</si>
  <si>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</si>
  <si>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</si>
  <si>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</si>
  <si>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</si>
  <si>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</si>
  <si>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</si>
  <si>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</si>
  <si>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</si>
  <si>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</si>
  <si>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</si>
  <si>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</si>
  <si>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</si>
  <si>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</si>
  <si>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</si>
  <si>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</si>
  <si>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</si>
  <si>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</si>
  <si>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</si>
  <si>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</si>
  <si>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</si>
  <si>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</si>
  <si>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</si>
  <si>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</si>
  <si>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</si>
  <si>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</si>
  <si>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</si>
  <si>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</si>
  <si>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</si>
  <si>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</si>
  <si>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</si>
  <si>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</si>
  <si>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</si>
  <si>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</si>
  <si>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</si>
  <si>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</si>
  <si>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</si>
  <si>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</si>
  <si>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</si>
  <si>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</si>
  <si>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</si>
  <si>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</si>
  <si>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</si>
  <si>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</si>
  <si>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</si>
  <si>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</si>
  <si>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</si>
  <si>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</si>
  <si>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</si>
  <si>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</si>
  <si>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</si>
  <si>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</si>
  <si>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</si>
  <si>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</si>
  <si>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</si>
  <si>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</si>
  <si>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</si>
  <si>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</si>
  <si>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</si>
  <si>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</si>
  <si>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</si>
  <si>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</si>
  <si>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</si>
  <si>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</si>
  <si>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</si>
  <si>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</si>
  <si>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</si>
  <si>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</si>
  <si>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</si>
  <si>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</si>
  <si>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</si>
  <si>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</si>
  <si>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</si>
  <si>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</si>
  <si>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</si>
  <si>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</si>
  <si>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</si>
  <si>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</si>
  <si>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</si>
  <si>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</si>
  <si>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</si>
  <si>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</si>
  <si>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</si>
  <si>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</si>
  <si>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</si>
  <si>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</si>
  <si>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</si>
  <si>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</si>
  <si>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</si>
  <si>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</si>
  <si>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</si>
  <si>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</si>
  <si>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</si>
  <si>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</si>
  <si>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</si>
  <si>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</si>
  <si>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</si>
  <si>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</si>
  <si>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</si>
  <si>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</si>
  <si>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</si>
  <si>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مقدم ركن / عبدالرحمن محمد الطنيجي</t>
  </si>
  <si>
    <t xml:space="preserve">رائد / راشد ضاوي  راشد الطنيجي </t>
  </si>
  <si>
    <t>نقيب / حميد سعيد مسير الظاهري</t>
  </si>
  <si>
    <t>نقيب / يوسف محمد الفلاسي</t>
  </si>
  <si>
    <t>نقيب / سعيد راشد الظنحاني</t>
  </si>
  <si>
    <t xml:space="preserve">الوحــــــــــــــــــدة: </t>
  </si>
  <si>
    <t xml:space="preserve">اسم ضابط الصف: </t>
  </si>
  <si>
    <t>التخطيط لتسلسلات حركة التنقل التعبوي.</t>
  </si>
  <si>
    <r>
      <t>1.</t>
    </r>
    <r>
      <rPr>
        <sz val="7"/>
        <color theme="1"/>
        <rFont val="Times New Roman"/>
        <family val="1"/>
      </rPr>
      <t xml:space="preserve">        </t>
    </r>
    <r>
      <rPr>
        <sz val="12"/>
        <color theme="1"/>
        <rFont val="Arial"/>
        <family val="2"/>
      </rPr>
      <t>التأكد من تفهم المرؤوسين للأمر الإنذاري.</t>
    </r>
  </si>
  <si>
    <r>
      <t>2.</t>
    </r>
    <r>
      <rPr>
        <sz val="7"/>
        <color theme="1"/>
        <rFont val="Times New Roman"/>
        <family val="1"/>
      </rPr>
      <t xml:space="preserve">        </t>
    </r>
    <r>
      <rPr>
        <sz val="12"/>
        <color theme="1"/>
        <rFont val="Arial"/>
        <family val="2"/>
      </rPr>
      <t>تحضير تقدير موقف.</t>
    </r>
  </si>
  <si>
    <r>
      <t>3.</t>
    </r>
    <r>
      <rPr>
        <sz val="7"/>
        <color theme="1"/>
        <rFont val="Times New Roman"/>
        <family val="1"/>
      </rPr>
      <t xml:space="preserve">        </t>
    </r>
    <r>
      <rPr>
        <sz val="12"/>
        <color theme="1"/>
        <rFont val="Arial"/>
        <family val="2"/>
      </rPr>
      <t>العمل على تنظيم وإرسال أقسام استطلاع ومقدمة حسب الأوامر المستديمة للوحدة.</t>
    </r>
  </si>
  <si>
    <r>
      <t>4.</t>
    </r>
    <r>
      <rPr>
        <sz val="7"/>
        <color theme="1"/>
        <rFont val="Times New Roman"/>
        <family val="1"/>
      </rPr>
      <t xml:space="preserve">        </t>
    </r>
    <r>
      <rPr>
        <sz val="12"/>
        <color theme="1"/>
        <rFont val="Arial"/>
        <family val="2"/>
      </rPr>
      <t>تحضير خطط مفصلة للتنقل تتضمن (نظم المسير - مراجعة معلومات الاستطلاع).</t>
    </r>
  </si>
  <si>
    <r>
      <t>5.</t>
    </r>
    <r>
      <rPr>
        <sz val="7"/>
        <color theme="1"/>
        <rFont val="Times New Roman"/>
        <family val="1"/>
      </rPr>
      <t xml:space="preserve">        </t>
    </r>
    <r>
      <rPr>
        <sz val="12"/>
        <color theme="1"/>
        <rFont val="Arial"/>
        <family val="2"/>
      </rPr>
      <t>المشاركة في تحضير وتعميم أمر التنقل التعبوي على المرؤوسين.</t>
    </r>
  </si>
  <si>
    <t>السيطرة على التنقل.</t>
  </si>
  <si>
    <r>
      <t>1.</t>
    </r>
    <r>
      <rPr>
        <sz val="7"/>
        <color theme="1"/>
        <rFont val="Times New Roman"/>
        <family val="1"/>
      </rPr>
      <t xml:space="preserve">        </t>
    </r>
    <r>
      <rPr>
        <sz val="12"/>
        <color theme="1"/>
        <rFont val="Arial"/>
        <family val="2"/>
      </rPr>
      <t>تنظيم رتل التسلسل (الرأس - الجسم الرئيسي  - المؤخرة).</t>
    </r>
  </si>
  <si>
    <r>
      <t>2.</t>
    </r>
    <r>
      <rPr>
        <sz val="7"/>
        <color theme="1"/>
        <rFont val="Times New Roman"/>
        <family val="1"/>
      </rPr>
      <t xml:space="preserve">        </t>
    </r>
    <r>
      <rPr>
        <sz val="12"/>
        <color theme="1"/>
        <rFont val="Arial"/>
        <family val="2"/>
      </rPr>
      <t>التأكد من أن قائد كل آلية قد عين قواطع مراقبة بحيث تكون هناك مراقبة بمقدار (360) درجة حول آلياتهم، والتأكد بأن كل قائد آلية قد عين حارساً للمراقبة الجوية لتوفير الحماية.</t>
    </r>
  </si>
  <si>
    <r>
      <t>3.</t>
    </r>
    <r>
      <rPr>
        <sz val="7"/>
        <color theme="1"/>
        <rFont val="Times New Roman"/>
        <family val="1"/>
      </rPr>
      <t xml:space="preserve">        </t>
    </r>
    <r>
      <rPr>
        <sz val="12"/>
        <color theme="1"/>
        <rFont val="Arial"/>
        <family val="2"/>
      </rPr>
      <t>دخول طريق التنقل عند نقطة البداية وفي الوقت المحدد.</t>
    </r>
  </si>
  <si>
    <r>
      <t>4.</t>
    </r>
    <r>
      <rPr>
        <sz val="7"/>
        <color theme="1"/>
        <rFont val="Times New Roman"/>
        <family val="1"/>
      </rPr>
      <t xml:space="preserve">        </t>
    </r>
    <r>
      <rPr>
        <sz val="12"/>
        <color theme="1"/>
        <rFont val="Arial"/>
        <family val="2"/>
      </rPr>
      <t>الالتزام بالطريق المحدد في أمر التنقل.</t>
    </r>
  </si>
  <si>
    <r>
      <t>5.</t>
    </r>
    <r>
      <rPr>
        <sz val="7"/>
        <color theme="1"/>
        <rFont val="Times New Roman"/>
        <family val="1"/>
      </rPr>
      <t xml:space="preserve">        </t>
    </r>
    <r>
      <rPr>
        <sz val="12"/>
        <color theme="1"/>
        <rFont val="Arial"/>
        <family val="2"/>
      </rPr>
      <t>التأكد من التزام جميع الآليات بالسرعات المحددة في الأمر.</t>
    </r>
  </si>
  <si>
    <r>
      <t>6.</t>
    </r>
    <r>
      <rPr>
        <sz val="7"/>
        <color theme="1"/>
        <rFont val="Times New Roman"/>
        <family val="1"/>
      </rPr>
      <t xml:space="preserve">        </t>
    </r>
    <r>
      <rPr>
        <sz val="12"/>
        <color theme="1"/>
        <rFont val="Arial"/>
        <family val="2"/>
      </rPr>
      <t>تعديل المسير في النقاط الهامة إذا كانت سرعة الحركة بطيئة أو صعبة أو فقدت الآليات اتجاهها.</t>
    </r>
  </si>
  <si>
    <r>
      <t>7.</t>
    </r>
    <r>
      <rPr>
        <sz val="7"/>
        <color theme="1"/>
        <rFont val="Times New Roman"/>
        <family val="1"/>
      </rPr>
      <t xml:space="preserve">        </t>
    </r>
    <r>
      <rPr>
        <sz val="12"/>
        <color theme="1"/>
        <rFont val="Arial"/>
        <family val="2"/>
      </rPr>
      <t>المحافظة على الفواصل بين الآليات.</t>
    </r>
  </si>
  <si>
    <r>
      <t>8.</t>
    </r>
    <r>
      <rPr>
        <sz val="7"/>
        <color theme="1"/>
        <rFont val="Times New Roman"/>
        <family val="1"/>
      </rPr>
      <t xml:space="preserve">        </t>
    </r>
    <r>
      <rPr>
        <sz val="12"/>
        <color theme="1"/>
        <rFont val="Arial"/>
        <family val="2"/>
      </rPr>
      <t>تقليل فواصل الرتل أثناء فترات ظروف الرؤية المحدودة وزيادة فواصل الرتل أثناء فترات ظروف الرؤية الجيدة.</t>
    </r>
  </si>
  <si>
    <t>السيطرة على الأعمال أثناء الوقفات.</t>
  </si>
  <si>
    <r>
      <t>1.</t>
    </r>
    <r>
      <rPr>
        <sz val="7"/>
        <color theme="1"/>
        <rFont val="Times New Roman"/>
        <family val="1"/>
      </rPr>
      <t xml:space="preserve">        </t>
    </r>
    <r>
      <rPr>
        <sz val="12"/>
        <color theme="1"/>
        <rFont val="Arial"/>
        <family val="2"/>
      </rPr>
      <t>إدامة المراقبة في جميع الجهات أثناء التوقف.</t>
    </r>
  </si>
  <si>
    <r>
      <t>2.</t>
    </r>
    <r>
      <rPr>
        <sz val="7"/>
        <color theme="1"/>
        <rFont val="Times New Roman"/>
        <family val="1"/>
      </rPr>
      <t xml:space="preserve">        </t>
    </r>
    <r>
      <rPr>
        <sz val="12"/>
        <color theme="1"/>
        <rFont val="Arial"/>
        <family val="2"/>
      </rPr>
      <t>إدامة المراقبة الجوية أثناء التوقف.</t>
    </r>
  </si>
  <si>
    <r>
      <t>3.</t>
    </r>
    <r>
      <rPr>
        <sz val="7"/>
        <color theme="1"/>
        <rFont val="Times New Roman"/>
        <family val="1"/>
      </rPr>
      <t xml:space="preserve">        </t>
    </r>
    <r>
      <rPr>
        <sz val="12"/>
        <color theme="1"/>
        <rFont val="Arial"/>
        <family val="2"/>
      </rPr>
      <t>توزيع الأدلاء للمساعدة في حركة المرور.</t>
    </r>
  </si>
  <si>
    <r>
      <t>4.</t>
    </r>
    <r>
      <rPr>
        <sz val="7"/>
        <color theme="1"/>
        <rFont val="Times New Roman"/>
        <family val="1"/>
      </rPr>
      <t xml:space="preserve">        </t>
    </r>
    <r>
      <rPr>
        <sz val="12"/>
        <color theme="1"/>
        <rFont val="Arial"/>
        <family val="2"/>
      </rPr>
      <t>تحديد أسباب الوقفات غير المبرمجة والعمل على حلها.</t>
    </r>
  </si>
  <si>
    <r>
      <t>5.</t>
    </r>
    <r>
      <rPr>
        <sz val="7"/>
        <color theme="1"/>
        <rFont val="Times New Roman"/>
        <family val="1"/>
      </rPr>
      <t xml:space="preserve">        </t>
    </r>
    <r>
      <rPr>
        <sz val="12"/>
        <color theme="1"/>
        <rFont val="Arial"/>
        <family val="2"/>
      </rPr>
      <t>رفع تقرير الموقف للقائد الأعلى.</t>
    </r>
  </si>
  <si>
    <r>
      <t>6.</t>
    </r>
    <r>
      <rPr>
        <sz val="7"/>
        <color theme="1"/>
        <rFont val="Times New Roman"/>
        <family val="1"/>
      </rPr>
      <t xml:space="preserve">        </t>
    </r>
    <r>
      <rPr>
        <sz val="12"/>
        <color theme="1"/>
        <rFont val="Arial"/>
        <family val="2"/>
      </rPr>
      <t>التأكد من إجراء الصيانة في الوقفات المخطط لها.</t>
    </r>
  </si>
  <si>
    <t>السيطرة على الأعمال في منطقة التجمع.</t>
  </si>
  <si>
    <r>
      <t>1.</t>
    </r>
    <r>
      <rPr>
        <sz val="7"/>
        <color theme="1"/>
        <rFont val="Times New Roman"/>
        <family val="1"/>
      </rPr>
      <t xml:space="preserve">        </t>
    </r>
    <r>
      <rPr>
        <sz val="12"/>
        <color theme="1"/>
        <rFont val="Arial"/>
        <family val="2"/>
      </rPr>
      <t>التأكد بأن ضابط صف المقدمة يقود الرتل إلى القطاع المحدد.</t>
    </r>
  </si>
  <si>
    <r>
      <t>2.</t>
    </r>
    <r>
      <rPr>
        <sz val="7"/>
        <color theme="1"/>
        <rFont val="Times New Roman"/>
        <family val="1"/>
      </rPr>
      <t xml:space="preserve">        </t>
    </r>
    <r>
      <rPr>
        <sz val="12"/>
        <color theme="1"/>
        <rFont val="Arial"/>
        <family val="2"/>
      </rPr>
      <t>التأكد من تعيين فرد واحد لكل آلية يعمل على السلاح الذي يشغله طاقم ويراقب جهاز الاتصال وقاطع رماية الآلية.</t>
    </r>
  </si>
  <si>
    <r>
      <t>3.</t>
    </r>
    <r>
      <rPr>
        <sz val="7"/>
        <color theme="1"/>
        <rFont val="Times New Roman"/>
        <family val="1"/>
      </rPr>
      <t xml:space="preserve">        </t>
    </r>
    <r>
      <rPr>
        <sz val="12"/>
        <color theme="1"/>
        <rFont val="Arial"/>
        <family val="2"/>
      </rPr>
      <t>تجهيز مواقع المراقبة.</t>
    </r>
  </si>
  <si>
    <r>
      <t>4.</t>
    </r>
    <r>
      <rPr>
        <sz val="7"/>
        <color theme="1"/>
        <rFont val="Times New Roman"/>
        <family val="1"/>
      </rPr>
      <t xml:space="preserve">        </t>
    </r>
    <r>
      <rPr>
        <sz val="12"/>
        <color theme="1"/>
        <rFont val="Arial"/>
        <family val="2"/>
      </rPr>
      <t>فحص المواقع والقواطع الأساسية، والتعديل عند الضرورة.</t>
    </r>
  </si>
  <si>
    <r>
      <t>5.</t>
    </r>
    <r>
      <rPr>
        <sz val="7"/>
        <color theme="1"/>
        <rFont val="Times New Roman"/>
        <family val="1"/>
      </rPr>
      <t xml:space="preserve">        </t>
    </r>
    <r>
      <rPr>
        <sz val="12"/>
        <color theme="1"/>
        <rFont val="Arial"/>
        <family val="2"/>
      </rPr>
      <t>العمل على تمويه المواقع.</t>
    </r>
  </si>
  <si>
    <r>
      <t>6.</t>
    </r>
    <r>
      <rPr>
        <sz val="7"/>
        <color theme="1"/>
        <rFont val="Times New Roman"/>
        <family val="1"/>
      </rPr>
      <t xml:space="preserve">        </t>
    </r>
    <r>
      <rPr>
        <sz val="12"/>
        <color theme="1"/>
        <rFont val="Arial"/>
        <family val="2"/>
      </rPr>
      <t>بدء خطة الاستراحة.</t>
    </r>
  </si>
  <si>
    <r>
      <t>7.</t>
    </r>
    <r>
      <rPr>
        <sz val="7"/>
        <color theme="1"/>
        <rFont val="Times New Roman"/>
        <family val="1"/>
      </rPr>
      <t xml:space="preserve">        </t>
    </r>
    <r>
      <rPr>
        <sz val="12"/>
        <color theme="1"/>
        <rFont val="Arial"/>
        <family val="2"/>
      </rPr>
      <t>التأكد من تجهيز الأفراد لبطاقات المدى.</t>
    </r>
  </si>
  <si>
    <r>
      <t>8.</t>
    </r>
    <r>
      <rPr>
        <sz val="7"/>
        <color theme="1"/>
        <rFont val="Times New Roman"/>
        <family val="1"/>
      </rPr>
      <t xml:space="preserve">        </t>
    </r>
    <r>
      <rPr>
        <sz val="12"/>
        <color theme="1"/>
        <rFont val="Arial"/>
        <family val="2"/>
      </rPr>
      <t>تحديد مكان موقع القيادة في منطقة التجمع.</t>
    </r>
  </si>
  <si>
    <r>
      <t>9.</t>
    </r>
    <r>
      <rPr>
        <sz val="7"/>
        <color theme="1"/>
        <rFont val="Times New Roman"/>
        <family val="1"/>
      </rPr>
      <t xml:space="preserve">        </t>
    </r>
    <r>
      <rPr>
        <sz val="12"/>
        <color theme="1"/>
        <rFont val="Arial"/>
        <family val="2"/>
      </rPr>
      <t>التنسيق مع الوحدات المجاورة / العناصر على الأجنحة.</t>
    </r>
  </si>
  <si>
    <r>
      <t>10.</t>
    </r>
    <r>
      <rPr>
        <sz val="7"/>
        <color theme="1"/>
        <rFont val="Times New Roman"/>
        <family val="1"/>
      </rPr>
      <t xml:space="preserve">   </t>
    </r>
    <r>
      <rPr>
        <sz val="12"/>
        <color theme="1"/>
        <rFont val="Arial"/>
        <family val="2"/>
      </rPr>
      <t>انتخاب وتحضير المواقع البديلة.</t>
    </r>
  </si>
  <si>
    <r>
      <t>11.</t>
    </r>
    <r>
      <rPr>
        <sz val="7"/>
        <color theme="1"/>
        <rFont val="Times New Roman"/>
        <family val="1"/>
      </rPr>
      <t xml:space="preserve">   </t>
    </r>
    <r>
      <rPr>
        <sz val="12"/>
        <color theme="1"/>
        <rFont val="Arial"/>
        <family val="2"/>
      </rPr>
      <t>تحضير خطة رماية الوحدة وإيجاز قادة الآليات وإرسال نسخة منها للقائد.</t>
    </r>
  </si>
  <si>
    <r>
      <t>12.</t>
    </r>
    <r>
      <rPr>
        <sz val="7"/>
        <color theme="1"/>
        <rFont val="Times New Roman"/>
        <family val="1"/>
      </rPr>
      <t xml:space="preserve">   </t>
    </r>
    <r>
      <rPr>
        <sz val="12"/>
        <color theme="1"/>
        <rFont val="Arial"/>
        <family val="2"/>
      </rPr>
      <t>التأكد من قيام أفراد الفصيل بإجراء الصيانة الضرورية.</t>
    </r>
  </si>
  <si>
    <r>
      <t>13.</t>
    </r>
    <r>
      <rPr>
        <sz val="7"/>
        <color theme="1"/>
        <rFont val="Times New Roman"/>
        <family val="1"/>
      </rPr>
      <t xml:space="preserve">   </t>
    </r>
    <r>
      <rPr>
        <sz val="12"/>
        <color theme="1"/>
        <rFont val="Arial"/>
        <family val="2"/>
      </rPr>
      <t>التأكد من حالة الأفراد والمعدات ورفع تقرير بذلك للقائد.</t>
    </r>
  </si>
  <si>
    <r>
      <t>14.</t>
    </r>
    <r>
      <rPr>
        <sz val="7"/>
        <color theme="1"/>
        <rFont val="Times New Roman"/>
        <family val="1"/>
      </rPr>
      <t xml:space="preserve">   </t>
    </r>
    <r>
      <rPr>
        <sz val="12"/>
        <color theme="1"/>
        <rFont val="Arial"/>
        <family val="2"/>
      </rPr>
      <t>العمل على إعادة التزويد.</t>
    </r>
  </si>
  <si>
    <r>
      <t>15.</t>
    </r>
    <r>
      <rPr>
        <sz val="7"/>
        <color theme="1"/>
        <rFont val="Times New Roman"/>
        <family val="1"/>
      </rPr>
      <t xml:space="preserve">   </t>
    </r>
    <r>
      <rPr>
        <sz val="12"/>
        <color theme="1"/>
        <rFont val="Arial"/>
        <family val="2"/>
      </rPr>
      <t>التأكد من الإجراءات الأمنية.</t>
    </r>
  </si>
  <si>
    <r>
      <rPr>
        <b/>
        <sz val="14"/>
        <color rgb="FF000000"/>
        <rFont val="Arial"/>
        <family val="2"/>
      </rPr>
      <t>تقييم وكيل الكتيبة في التنقل التعبوي</t>
    </r>
    <r>
      <rPr>
        <b/>
        <u/>
        <sz val="14"/>
        <color rgb="FF000000"/>
        <rFont val="Arial"/>
        <family val="2"/>
      </rPr>
      <t xml:space="preserve">
تمرين جاهزية مجموعة لواء الإمارات/1 (جندي الصحراء 2025/20)</t>
    </r>
  </si>
  <si>
    <t>وكيل/1 راشد سلطان راشد النعيمي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</si>
</sst>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7"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0"/>
      <color theme="1"/>
      <name val="Calibri Light"/>
      <family val="2"/>
    </font>
    <font>
      <b/>
      <u/>
      <sz val="12"/>
      <color theme="1"/>
      <name val="Arial"/>
      <family val="2"/>
    </font>
    <font>
      <sz val="12"/>
      <color theme="1"/>
      <name val="Arial"/>
      <family val="2"/>
    </font>
    <font>
      <sz val="7"/>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3">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82">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7"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3" xfId="0" applyFont="1" applyBorder="1" applyAlignment="1">
      <alignment horizontal="center" vertical="center" wrapText="1"/>
    </xf>
    <xf numFmtId="0" fontId="13" fillId="0" borderId="4" xfId="0" applyFont="1" applyBorder="1" applyAlignment="1">
      <alignment vertical="top" wrapText="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7" fillId="4" borderId="18" xfId="0" applyFont="1" applyFill="1" applyBorder="1" applyAlignment="1" applyProtection="1">
      <alignment horizontal="center" vertical="center" wrapText="1" readingOrder="2"/>
      <protection locked="0"/>
    </xf>
    <xf numFmtId="0" fontId="7" fillId="4" borderId="1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22"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16" xfId="0" applyFont="1" applyBorder="1" applyAlignment="1">
      <alignment horizontal="center" vertical="center" wrapText="1" readingOrder="2"/>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5" fillId="0" borderId="21" xfId="0" applyFont="1" applyBorder="1" applyAlignment="1">
      <alignment horizontal="right" vertical="center" wrapText="1" readingOrder="2"/>
    </xf>
    <xf numFmtId="0" fontId="15" fillId="0" borderId="3"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11" xfId="0" applyFont="1" applyBorder="1" applyAlignment="1">
      <alignment horizontal="right" vertical="center" wrapText="1" readingOrder="2"/>
    </xf>
    <xf numFmtId="0" fontId="15" fillId="0" borderId="12"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image" Target="../media/image3.png"/><Relationship Id="rId5" Type="http://schemas.openxmlformats.org/officeDocument/2006/relationships/customXml" Target="../ink/ink3.xml"/><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customXml" Target="../ink/ink5.xml"/></Relationships>
</file>

<file path=xl/drawings/drawing1.xml><?xml version="1.0" encoding="utf-8"?>
<xdr:wsDr xmlns:xdr="http://schemas.openxmlformats.org/drawingml/2006/spreadsheetDrawing" xmlns:a="http://schemas.openxmlformats.org/drawingml/2006/main">
  <xdr:twoCellAnchor editAs="oneCell">
    <xdr:from>
      <xdr:col>6</xdr:col>
      <xdr:colOff>196199</xdr:colOff>
      <xdr:row>49</xdr:row>
      <xdr:rowOff>166043</xdr:rowOff>
    </xdr:from>
    <xdr:to>
      <xdr:col>7</xdr:col>
      <xdr:colOff>306707</xdr:colOff>
      <xdr:row>49</xdr:row>
      <xdr:rowOff>532883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96F0B7D-A0FB-A00B-D347-2F1927DD0389}"/>
                </a:ext>
              </a:extLst>
            </xdr14:cNvPr>
            <xdr14:cNvContentPartPr/>
          </xdr14:nvContentPartPr>
          <xdr14:nvPr macro=""/>
          <xdr14:xfrm>
            <a:off x="10399596293" y="19885680"/>
            <a:ext cx="768600" cy="366840"/>
          </xdr14:xfrm>
        </xdr:contentPart>
      </mc:Choice>
      <mc:Fallback xmlns="">
        <xdr:pic>
          <xdr:nvPicPr>
            <xdr:cNvPr id="2" name="Ink 1">
              <a:extLst>
                <a:ext uri="{FF2B5EF4-FFF2-40B4-BE49-F238E27FC236}">
                  <a16:creationId xmlns:a16="http://schemas.microsoft.com/office/drawing/2014/main" id="{C96F0B7D-A0FB-A00B-D347-2F1927DD0389}"/>
                </a:ext>
              </a:extLst>
            </xdr:cNvPr>
            <xdr:cNvPicPr/>
          </xdr:nvPicPr>
          <xdr:blipFill>
            <a:blip xmlns:r="http://schemas.openxmlformats.org/officeDocument/2006/relationships" r:embed="rId2"/>
            <a:stretch>
              <a:fillRect/>
            </a:stretch>
          </xdr:blipFill>
          <xdr:spPr>
            <a:xfrm>
              <a:off x="10399590173" y="19879560"/>
              <a:ext cx="780840" cy="379080"/>
            </a:xfrm>
            <a:prstGeom prst="rect">
              <a:avLst/>
            </a:prstGeom>
          </xdr:spPr>
        </xdr:pic>
      </mc:Fallback>
    </mc:AlternateContent>
    <xdr:clientData/>
  </xdr:twoCellAnchor>
  <xdr:twoCellAnchor editAs="oneCell">
    <xdr:from>
      <xdr:col>7</xdr:col>
      <xdr:colOff>239387</xdr:colOff>
      <xdr:row>49</xdr:row>
      <xdr:rowOff>193043</xdr:rowOff>
    </xdr:from>
    <xdr:to>
      <xdr:col>8</xdr:col>
      <xdr:colOff>266015</xdr:colOff>
      <xdr:row>49</xdr:row>
      <xdr:rowOff>551963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3A1C2FD-070A-C817-7184-4E9386D50CDD}"/>
                </a:ext>
              </a:extLst>
            </xdr14:cNvPr>
            <xdr14:cNvContentPartPr/>
          </xdr14:nvContentPartPr>
          <xdr14:nvPr macro=""/>
          <xdr14:xfrm>
            <a:off x="10398978893" y="19912680"/>
            <a:ext cx="684720" cy="358920"/>
          </xdr14:xfrm>
        </xdr:contentPart>
      </mc:Choice>
      <mc:Fallback xmlns="">
        <xdr:pic>
          <xdr:nvPicPr>
            <xdr:cNvPr id="3" name="Ink 2">
              <a:extLst>
                <a:ext uri="{FF2B5EF4-FFF2-40B4-BE49-F238E27FC236}">
                  <a16:creationId xmlns:a16="http://schemas.microsoft.com/office/drawing/2014/main" id="{03A1C2FD-070A-C817-7184-4E9386D50CDD}"/>
                </a:ext>
              </a:extLst>
            </xdr:cNvPr>
            <xdr:cNvPicPr/>
          </xdr:nvPicPr>
          <xdr:blipFill>
            <a:blip xmlns:r="http://schemas.openxmlformats.org/officeDocument/2006/relationships" r:embed="rId4"/>
            <a:stretch>
              <a:fillRect/>
            </a:stretch>
          </xdr:blipFill>
          <xdr:spPr>
            <a:xfrm>
              <a:off x="10398972773" y="19906560"/>
              <a:ext cx="696960" cy="371160"/>
            </a:xfrm>
            <a:prstGeom prst="rect">
              <a:avLst/>
            </a:prstGeom>
          </xdr:spPr>
        </xdr:pic>
      </mc:Fallback>
    </mc:AlternateContent>
    <xdr:clientData/>
  </xdr:twoCellAnchor>
  <xdr:twoCellAnchor editAs="oneCell">
    <xdr:from>
      <xdr:col>8</xdr:col>
      <xdr:colOff>3575</xdr:colOff>
      <xdr:row>49</xdr:row>
      <xdr:rowOff>550883</xdr:rowOff>
    </xdr:from>
    <xdr:to>
      <xdr:col>8</xdr:col>
      <xdr:colOff>196535</xdr:colOff>
      <xdr:row>49</xdr:row>
      <xdr:rowOff>603803</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C793514E-CAED-7972-CDF3-99C38863780D}"/>
                </a:ext>
              </a:extLst>
            </xdr14:cNvPr>
            <xdr14:cNvContentPartPr/>
          </xdr14:nvContentPartPr>
          <xdr14:nvPr macro=""/>
          <xdr14:xfrm>
            <a:off x="10399048373" y="20270520"/>
            <a:ext cx="192960" cy="52920"/>
          </xdr14:xfrm>
        </xdr:contentPart>
      </mc:Choice>
      <mc:Fallback xmlns="">
        <xdr:pic>
          <xdr:nvPicPr>
            <xdr:cNvPr id="4" name="Ink 3">
              <a:extLst>
                <a:ext uri="{FF2B5EF4-FFF2-40B4-BE49-F238E27FC236}">
                  <a16:creationId xmlns:a16="http://schemas.microsoft.com/office/drawing/2014/main" id="{C793514E-CAED-7972-CDF3-99C38863780D}"/>
                </a:ext>
              </a:extLst>
            </xdr:cNvPr>
            <xdr:cNvPicPr/>
          </xdr:nvPicPr>
          <xdr:blipFill>
            <a:blip xmlns:r="http://schemas.openxmlformats.org/officeDocument/2006/relationships" r:embed="rId6"/>
            <a:stretch>
              <a:fillRect/>
            </a:stretch>
          </xdr:blipFill>
          <xdr:spPr>
            <a:xfrm>
              <a:off x="10399042253" y="20264400"/>
              <a:ext cx="205200" cy="65160"/>
            </a:xfrm>
            <a:prstGeom prst="rect">
              <a:avLst/>
            </a:prstGeom>
          </xdr:spPr>
        </xdr:pic>
      </mc:Fallback>
    </mc:AlternateContent>
    <xdr:clientData/>
  </xdr:twoCellAnchor>
  <xdr:twoCellAnchor editAs="oneCell">
    <xdr:from>
      <xdr:col>8</xdr:col>
      <xdr:colOff>115895</xdr:colOff>
      <xdr:row>49</xdr:row>
      <xdr:rowOff>436403</xdr:rowOff>
    </xdr:from>
    <xdr:to>
      <xdr:col>8</xdr:col>
      <xdr:colOff>586055</xdr:colOff>
      <xdr:row>49</xdr:row>
      <xdr:rowOff>602723</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AE74D987-BCEE-4001-8CBB-31F318F82FC3}"/>
                </a:ext>
              </a:extLst>
            </xdr14:cNvPr>
            <xdr14:cNvContentPartPr/>
          </xdr14:nvContentPartPr>
          <xdr14:nvPr macro=""/>
          <xdr14:xfrm>
            <a:off x="10398658853" y="20156040"/>
            <a:ext cx="470160" cy="166320"/>
          </xdr14:xfrm>
        </xdr:contentPart>
      </mc:Choice>
      <mc:Fallback xmlns="">
        <xdr:pic>
          <xdr:nvPicPr>
            <xdr:cNvPr id="5" name="Ink 4">
              <a:extLst>
                <a:ext uri="{FF2B5EF4-FFF2-40B4-BE49-F238E27FC236}">
                  <a16:creationId xmlns:a16="http://schemas.microsoft.com/office/drawing/2014/main" id="{AE74D987-BCEE-4001-8CBB-31F318F82FC3}"/>
                </a:ext>
              </a:extLst>
            </xdr:cNvPr>
            <xdr:cNvPicPr/>
          </xdr:nvPicPr>
          <xdr:blipFill>
            <a:blip xmlns:r="http://schemas.openxmlformats.org/officeDocument/2006/relationships" r:embed="rId8"/>
            <a:stretch>
              <a:fillRect/>
            </a:stretch>
          </xdr:blipFill>
          <xdr:spPr>
            <a:xfrm>
              <a:off x="10398652733" y="20149920"/>
              <a:ext cx="482400" cy="178560"/>
            </a:xfrm>
            <a:prstGeom prst="rect">
              <a:avLst/>
            </a:prstGeom>
          </xdr:spPr>
        </xdr:pic>
      </mc:Fallback>
    </mc:AlternateContent>
    <xdr:clientData/>
  </xdr:twoCellAnchor>
  <xdr:twoCellAnchor editAs="oneCell">
    <xdr:from>
      <xdr:col>10</xdr:col>
      <xdr:colOff>421987</xdr:colOff>
      <xdr:row>1</xdr:row>
      <xdr:rowOff>196740</xdr:rowOff>
    </xdr:from>
    <xdr:to>
      <xdr:col>10</xdr:col>
      <xdr:colOff>441787</xdr:colOff>
      <xdr:row>1</xdr:row>
      <xdr:rowOff>229500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6" name="Ink 5">
              <a:extLst>
                <a:ext uri="{FF2B5EF4-FFF2-40B4-BE49-F238E27FC236}">
                  <a16:creationId xmlns:a16="http://schemas.microsoft.com/office/drawing/2014/main" id="{F069BAA5-C28E-2227-B17C-3042359AC1A0}"/>
                </a:ext>
              </a:extLst>
            </xdr14:cNvPr>
            <xdr14:cNvContentPartPr/>
          </xdr14:nvContentPartPr>
          <xdr14:nvPr macro=""/>
          <xdr14:xfrm>
            <a:off x="10397048213" y="768240"/>
            <a:ext cx="19800" cy="32760"/>
          </xdr14:xfrm>
        </xdr:contentPart>
      </mc:Choice>
      <mc:Fallback xmlns="">
        <xdr:pic>
          <xdr:nvPicPr>
            <xdr:cNvPr id="6" name="Ink 5">
              <a:extLst>
                <a:ext uri="{FF2B5EF4-FFF2-40B4-BE49-F238E27FC236}">
                  <a16:creationId xmlns:a16="http://schemas.microsoft.com/office/drawing/2014/main" id="{F069BAA5-C28E-2227-B17C-3042359AC1A0}"/>
                </a:ext>
              </a:extLst>
            </xdr:cNvPr>
            <xdr:cNvPicPr/>
          </xdr:nvPicPr>
          <xdr:blipFill>
            <a:blip xmlns:r="http://schemas.openxmlformats.org/officeDocument/2006/relationships" r:embed="rId10"/>
            <a:stretch>
              <a:fillRect/>
            </a:stretch>
          </xdr:blipFill>
          <xdr:spPr>
            <a:xfrm>
              <a:off x="10397042093" y="762120"/>
              <a:ext cx="32040" cy="45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5:18:52.474"/>
    </inkml:context>
    <inkml:brush xml:id="br0">
      <inkml:brushProperty name="width" value="0.035" units="cm"/>
      <inkml:brushProperty name="height" value="0.035" units="cm"/>
    </inkml:brush>
  </inkml:definitions>
  <inkml:trace contextRef="#ctx0" brushRef="#br0">1663 295 4777,'0'0'0,"0"-6"1544,3-7-1208,-3 8-200,0 5-136,3-12 120,0 8 0,-3-9 8,2 8 40,-2 5-168,3-15 192,0 3 40,0-1-8,0-1 56,-3 14-280,4-13 304,0 0-32,8 0 0,-8 2-72,-4 11-200,13-13 145,-9 0 23,14 2-32,-5-1-40,-13 12-96,14-11 136,0 0-112,5 5 24,-2-7-40,-17 13-8,16-4-72,3-2 64,-2-5 16,3 8 8,-20 3-16,19-4 32,2 1-32,-2 0 0,0 2 32,-19 1-32,17-2 48,0 2 0,-1 0-8,-3 3-40,-13-3 0,13 12 24,-9-10-8,11 14 16,-11-5-8,-4-11-24,4 15 0,0 2 24,-1 1 24,-3 1 16,0-19-64,0 20 104,-1-1-40,-5 4-32,-7 0 24,13-23-56,-11 21 80,-1-1 56,-2-4-8,0-2-48,14-14-80,-18 13 80,1-2-24,0-7 72,-2 12-48,19-16-80,-20 4 80,3 8 16,-2-9-64,3 1 96,16-4-128,-13 3 96,2-1 32,7-2 32,-9 0 16,13 0-176,-3-1 200,0-5-48,-3-6-32,2 0-40,4 12-80,-3-14 48,0-3-32,3-2 8,0 0 0,0 19-24,0-23-16,0 0 72,3 0 8,1-1-64,-4 24 0,4-21 24,1 1-48,-2 0-56,1 3 104,-4 17-24,4-16 0,-1 2 32,0 1-8,-3 8-8,0 5-16,0-13 8,0 10-8,0-1 0,0 1 8,0 3-8,0-3-40,0 2-32,0 1-16,-1 0-32,1 0 120,-5 0-112,0 0 16,-9 4-16,2 7 56,12-11 56,-16 5-32,-3 9-8,-2-1 24,-4 1-16,25-14 32,-26 14-40,-2 3 24,-2 0 0,-1 2 16,31-19 0,-36 19 16,-2 3 0,-4-1-8,-5 3 16,47-24-24,-48 23 16,1-2-16,2 2 0,5 0 0,40-23 0,-40 21 8,1-1 48,2-1-8,1-1 8,36-18-56,-35 16 72,4-2 24,3-1 24,3-2 72,25-11-192,-22 4 216,2 11 8,2-13 24,3 3-32,15-5-216,-13 4 241,10-1 23,-3 0 96,2-3 24,4 0-384,-3 0 416,1 0-16,2 0-64,0 0-32,0 0-304,0-2 192,0-1-32,3-1-32,0 0-48,-3 4-80,3-6 64,1 0-24,8 1-96,-9 0 56,-3 5 0,4-5 0,10 0 0,-11 1 16,11 0-16,-14 4 0,4-6-24,11 2 0,-10 0 0,12-2-32,-17 6 56,13-4-24,2 0-32,0-2 32,4 0-24,-19 6 48,17-4-32,3 0 8,-2 1 8,1 1 8,-19 2 8,21-1-16,2-2 8,-2 2-16,5-1 40,-26 2-16,26 0 8,1 0 0,2 0-8,1 0 0,-30 0 0,30 3 0,2 0 16,0 1-16,-1 0 24,-31-4-24,30 5 8,-1-1 8,-2 0-8,-2-1-8,-25-3 0,20 4 8,-3 1-16,-3-3 16,-3 1-24,-11-3 16,2 0-16,3 3 32,-1-3 16,-1 0-24,-3 0-8,0 3 24,0 0-24,0-3-24,0 4 48,0-4-24,0 4 40,0 9-8,-4-9 16,-8 11-8,12-15-40,-5 11 24,-13 2 40,-1 2-56,-2 1 16,21-16-24,-22 17 24,-4 0 0,0 1-24,-2 1 24,28-19-24,-36 20 24,0 0-8,-1-1 56,-2 1-56,39-20-16,-36 20 0,0 0-16,2 0-16,2 1 8,32-21 24,-30 23-32,5 0 8,4-2 8,2 2 40,19-23-24,-16 24-8,6-1-8,5 0 16,-1-4-56,6-19 56,-4 19-24,2-3 16,2-1-8,0-1-8,0-14 24,4 13 40,9-1-32,-9-10 24,8 3 64,-12-5-96,5 3 96,-1-1 32,7-2 48,-11 0 0,0 0-176,4-1 192,1-10 0,-3 5-40,-2-11-16,0 17-136,-1-16 80,-3-1-31,-7-3 15,-1-2-40,12 22-24,-13-25 32,-3 1-8,-1 0 0,0 3-72,17 21 48,-17-22 16,2 4-40,-2 2-24,3 2 96,14 14-48,-16-6-48,-1-6 0,-1 9-17,1-2 9,17 5 56,-20-2-48,1 0-16,-1 2 40,-1 0 0,21 0 24,-22 3-32,-5 0 8,2 1 32,-1 0 8,26-4-16,-25 5 8,3-1 16,-4 0-24,2-1 16,24-3-16,-25 3-24,0 0 8,3-3 32,-2-2-8,24 2-8,-21-4 40,1 0-16,2-2-24,-2 2 0,20 4 0,-21-2-24,-1 2-88,-2 0 40,1 5 0,23-5 72,-25 14-48,-1-1 64,-2 2-56,-5 2 8,33-17 32,-30 19-40,0 2 32,-3 2-16,0 1-240,33-24 264,-36 26-1432,6-4-1609,0 1-5352,30-23 8393</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5:18:53.488"/>
    </inkml:context>
    <inkml:brush xml:id="br0">
      <inkml:brushProperty name="width" value="0.035" units="cm"/>
      <inkml:brushProperty name="height" value="0.035" units="cm"/>
    </inkml:brush>
  </inkml:definitions>
  <inkml:trace contextRef="#ctx0" brushRef="#br0">1204 356 3904,'0'0'0,"12"-3"857,-12 3-857,4-5 464,10-8-56,-3 9-48,-7-1 64,-4 5-424,17-4 392,-7-7-64,-5 7 56,14-11 40,-19 15-424,11-5 480,3-12 64,4 5-23,-6-2-33,-12 14-488,16-14 432,-3 0-80,3-2-80,0 2-72,-16 14-200,17-16 160,1 0-24,-2 2 48,4-1-80,-20 15-104,21-15 96,0 3-8,1-1-16,1 0 24,-23 13-96,23-11 64,1-1 56,4 1 16,1 5 72,-29 6-208,27-11 264,0 7 32,-2-2-96,-6 2-24,-19 4-176,18-5 128,-2 4-104,-4 1 64,-8 0-72,-4 0-16,10 4 24,-7 8-32,0-8 8,0 10-16,-3-14 16,3 11 16,-3 2-16,0 1-24,0 2 24,0-16 0,0 16 24,-3 2 16,-3 1 16,-7-1 57,13-18-113,-16 19 104,-2-1 32,-4 2 8,-6 1 0,28-21-144,-28 22 112,-7-1-32,-2 0 8,-5-2-32,42-19-56,-43 21 64,1-1-40,-1 0 40,0 0-96,43-20 32,-43 18-48,1 2 48,1-1-64,4-1 112,37-18-48,-36 19 0,3-1 0,4 2 16,3-1-64,26-19 48,-18 19-32,-1 0-8,6-2 8,0 3 48,13-20-16,-6 18 32,1-1-56,2 3-16,3 0-8,0-20 48,0 19-32,4 2 0,12-3 48,-5 0-40,-11-18 24,13 15-64,0-1 72,-1-9-40,2 10 80,-14-15-48,12 5 32,-1-1-16,2 0 16,-2 0-72,-11-4 40,5 3 8,5-3 40,-10 0 16,4 0 40,-4 0-104,3 0 80,0 0-32,-3 0-24,0 0 40,0 0-64,0 0 88,0 0-40,0 0 24,-1 0 104,1 0-176,-6 0 104,-9 0 48,-2 0-16,0 0-136,17 0 0,-24-1 64,-2-2-64,-5-1 48,-2-2-24,33 6-24,-33-13 24,-4 7-16,1-11-64,-3 3 56,39 14 0,-39-15 0,3-1-32,0 3-40,2 0 40,34 13 32,-33-5 0,0-7-32,2 9 24,1 2-72,30 1 80,-29-1-136,3 1 96,1 2 56,-3 10-112,28-12 96,-29 4-24,-1 16-8,-4-3 24,-1 2 8,35-19 0,-35 18-16,1 2-48,4-2-32,4 1 160,26-19-64,-29 18-40,-3 2 80,-1-1 40,-4-2-120,37-17 40,-36 18-496,-1-1-1457,4 0-463,-2 0-4522,35-17 6938</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5:18:53.904"/>
    </inkml:context>
    <inkml:brush xml:id="br0">
      <inkml:brushProperty name="width" value="0.035" units="cm"/>
      <inkml:brushProperty name="height" value="0.035" units="cm"/>
    </inkml:brush>
  </inkml:definitions>
  <inkml:trace contextRef="#ctx0" brushRef="#br0">535 1 6553,'0'0'0,"0"0"0,0 0 544,-5 0-464,-7 4-48,6 9-8,6-13-24,-17 2 24,4 10 24,-1-9 24,-3 1 16,17-4-88,-16 13 168,2-10 96,-2 1 136,-1 0 120,17-4-520,-17 4 665,-4 1 55,-2-1-16,-1 0-40,24-4-664,-26 12 528,0-12-112,-3 4-200,0 7-64,29-11-152,-29 3 80,2 1-32,3 1 24,0-1 0,24-4-72,-22 4 16,5 0-112,0-1-584,11-3-888,6 0 1568,-27 13-6137,27-13 6137</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5:18:54.681"/>
    </inkml:context>
    <inkml:brush xml:id="br0">
      <inkml:brushProperty name="width" value="0.035" units="cm"/>
      <inkml:brushProperty name="height" value="0.035" units="cm"/>
    </inkml:brush>
  </inkml:definitions>
  <inkml:trace contextRef="#ctx0" brushRef="#br0">1305 182 5985,'0'0'0,"0"-1"1024,0 1-1024,0-2 160,-4 1-32,-10-1-48,2 2 56,12 0-136,-14 0 240,-1 0 144,-2 3 176,0 0 64,17-3-624,-19 3 689,-2 1-33,-1 1-112,-2 7 8,24-12-552,-27 3 560,0 1-120,-3 1-48,1-1-168,29-4-224,-30 4 232,1 0-8,2 8 33,2-12 23,25 0-280,-24 3 200,2 0 56,2-3-48,3 0 64,17 0-272,-18-2 176,1-1 32,2-1-8,1-7-24,14 11-176,-11-5 200,-1-10-24,7 3-16,-1-2-16,6 14-144,-4-16 192,3-2-88,1-2-8,0-3-88,0 23-8,2-20 16,1 2 32,2 2 8,-1 2-24,-4 14-32,13-13 40,-13 8-40,4-8-16,0 11 88,-4 2-72,0-2 48,0 0-24,-1 2-64,1 0 40,-6 0-32,-10 12-24,1 0 40,-5 4-16,20-16 32,-26 18-40,-4 5 40,-4 3 48,-7 2-32,41-28-16,-47 30 32,-3 0-8,-4-2 32,-4 2-32,58-30-24,-58 31-8,-3 2-64,-2 1-400,2 2-1544,61-36 2016,-54 34-2977,-1 6-4721,55-40 7698</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9T15:19:19.519"/>
    </inkml:context>
    <inkml:brush xml:id="br0">
      <inkml:brushProperty name="width" value="0.035" units="cm"/>
      <inkml:brushProperty name="height" value="0.035" units="cm"/>
    </inkml:brush>
  </inkml:definitions>
  <inkml:trace contextRef="#ctx0" brushRef="#br0">54 1 2152,'0'0'0,"-14"21"112,0-1-144,14-20 32,-13 21-96,0-2 0,16-19 64,1 0-64,-4 0 96,15 3-112,-4 0-616,-8-1-208,-3-2 936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0"/>
  <sheetViews>
    <sheetView rightToLeft="1" tabSelected="1" view="pageBreakPreview" topLeftCell="B1" zoomScale="130" zoomScaleNormal="100" zoomScaleSheetLayoutView="130" workbookViewId="0">
      <selection activeCell="C4" sqref="C4:D4"/>
    </sheetView>
  </sheetViews>
  <sheetFormatPr defaultColWidth="9" defaultRowHeight="14.4" x14ac:dyDescent="0.3"/>
  <cols>
    <col min="1" max="1" width="5.109375" style="1" customWidth="1"/>
    <col min="2" max="2" width="16"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49" t="s">
        <v>218</v>
      </c>
      <c r="C1" s="49"/>
      <c r="D1" s="49"/>
      <c r="E1" s="49"/>
      <c r="F1" s="49"/>
      <c r="G1" s="49"/>
      <c r="H1" s="49"/>
      <c r="I1" s="49"/>
      <c r="J1" s="49"/>
    </row>
    <row r="2" spans="1:10" ht="30" customHeight="1" x14ac:dyDescent="0.3">
      <c r="B2" s="12" t="s">
        <v>178</v>
      </c>
      <c r="C2" s="55" t="s">
        <v>43</v>
      </c>
      <c r="D2" s="55"/>
      <c r="E2" s="12" t="s">
        <v>7</v>
      </c>
      <c r="F2" s="50">
        <v>45944</v>
      </c>
      <c r="G2" s="50"/>
      <c r="H2" s="50"/>
      <c r="I2" s="50"/>
      <c r="J2" s="50"/>
    </row>
    <row r="3" spans="1:10" ht="30" customHeight="1" x14ac:dyDescent="0.3">
      <c r="B3" s="12" t="s">
        <v>179</v>
      </c>
      <c r="C3" s="55"/>
      <c r="D3" s="55"/>
      <c r="E3" s="12" t="s">
        <v>6</v>
      </c>
      <c r="F3" s="55" t="s">
        <v>163</v>
      </c>
      <c r="G3" s="55"/>
      <c r="H3" s="55"/>
      <c r="I3" s="55"/>
      <c r="J3" s="55"/>
    </row>
    <row r="4" spans="1:10" ht="30" customHeight="1" thickBot="1" x14ac:dyDescent="0.35">
      <c r="B4" s="6"/>
      <c r="C4" s="60" t="s">
        <v>219</v>
      </c>
      <c r="D4" s="60"/>
      <c r="E4" s="6"/>
      <c r="F4" s="7"/>
      <c r="G4" s="7"/>
      <c r="H4" s="8"/>
      <c r="I4" s="7"/>
      <c r="J4" s="7"/>
    </row>
    <row r="5" spans="1:10" ht="24.9" customHeight="1" x14ac:dyDescent="0.3">
      <c r="A5" s="10"/>
      <c r="B5" s="51" t="s">
        <v>0</v>
      </c>
      <c r="C5" s="52"/>
      <c r="D5" s="52"/>
      <c r="E5" s="56" t="s">
        <v>1</v>
      </c>
      <c r="F5" s="56"/>
      <c r="G5" s="56"/>
      <c r="H5" s="56"/>
      <c r="I5" s="56" t="s">
        <v>2</v>
      </c>
      <c r="J5" s="57"/>
    </row>
    <row r="6" spans="1:10" ht="24.9" customHeight="1" thickBot="1" x14ac:dyDescent="0.35">
      <c r="A6" s="10"/>
      <c r="B6" s="53"/>
      <c r="C6" s="54"/>
      <c r="D6" s="54"/>
      <c r="E6" s="11" t="s">
        <v>3</v>
      </c>
      <c r="F6" s="11" t="s">
        <v>4</v>
      </c>
      <c r="G6" s="11" t="s">
        <v>21</v>
      </c>
      <c r="H6" s="11" t="s">
        <v>22</v>
      </c>
      <c r="I6" s="58"/>
      <c r="J6" s="59"/>
    </row>
    <row r="7" spans="1:10" ht="24.9" customHeight="1" thickBot="1" x14ac:dyDescent="0.35">
      <c r="A7" s="10"/>
      <c r="B7" s="39" t="s">
        <v>19</v>
      </c>
      <c r="C7" s="40"/>
      <c r="D7" s="40"/>
      <c r="E7" s="28" t="s">
        <v>16</v>
      </c>
      <c r="F7" s="28" t="s">
        <v>17</v>
      </c>
      <c r="G7" s="28" t="s">
        <v>20</v>
      </c>
      <c r="H7" s="28" t="s">
        <v>18</v>
      </c>
      <c r="I7" s="45" t="s">
        <v>23</v>
      </c>
      <c r="J7" s="46"/>
    </row>
    <row r="8" spans="1:10" ht="30" customHeight="1" x14ac:dyDescent="0.3">
      <c r="A8" s="10"/>
      <c r="B8" s="78" t="s">
        <v>180</v>
      </c>
      <c r="C8" s="79"/>
      <c r="D8" s="79"/>
      <c r="E8" s="32"/>
      <c r="F8" s="33"/>
      <c r="G8" s="34"/>
      <c r="H8" s="35"/>
      <c r="I8" s="43"/>
      <c r="J8" s="44"/>
    </row>
    <row r="9" spans="1:10" ht="30" customHeight="1" x14ac:dyDescent="0.3">
      <c r="A9" s="10"/>
      <c r="B9" s="76" t="s">
        <v>181</v>
      </c>
      <c r="C9" s="77"/>
      <c r="D9" s="77"/>
      <c r="E9" s="31">
        <v>5</v>
      </c>
      <c r="F9" s="26">
        <v>3.75</v>
      </c>
      <c r="G9" s="29">
        <f>IFERROR(F9/E9,"")</f>
        <v>0.75</v>
      </c>
      <c r="H9" s="30" t="str">
        <f>_xlfn.IFS(F9="أدخل العلامة","",F9="لا ينطبق","تم الإلغاء",G9&gt;=90%,"ممتاز",G9&gt;=80%,"جيد جداً",G9&gt;=70%,"جيد",G9&gt;=60%,"مقبول",G9&lt;60%,"راسب")</f>
        <v>جيد</v>
      </c>
      <c r="I9" s="41"/>
      <c r="J9" s="42"/>
    </row>
    <row r="10" spans="1:10" ht="30" customHeight="1" x14ac:dyDescent="0.3">
      <c r="A10" s="10"/>
      <c r="B10" s="76" t="s">
        <v>182</v>
      </c>
      <c r="C10" s="77"/>
      <c r="D10" s="77"/>
      <c r="E10" s="31">
        <v>5</v>
      </c>
      <c r="F10" s="26">
        <v>3.5</v>
      </c>
      <c r="G10" s="29">
        <f t="shared" ref="G10:G45" si="0">IFERROR(F10/E10,"")</f>
        <v>0.7</v>
      </c>
      <c r="H10" s="30" t="str">
        <f t="shared" ref="H10:H45" si="1">_xlfn.IFS(F10="أدخل العلامة","",F10="لا ينطبق","تم الإلغاء",G10&gt;=90%,"ممتاز",G10&gt;=80%,"جيد جداً",G10&gt;=70%,"جيد",G10&gt;=60%,"مقبول",G10&lt;60%,"راسب")</f>
        <v>جيد</v>
      </c>
      <c r="I10" s="41"/>
      <c r="J10" s="42"/>
    </row>
    <row r="11" spans="1:10" ht="39.9" customHeight="1" x14ac:dyDescent="0.3">
      <c r="A11" s="10"/>
      <c r="B11" s="76" t="s">
        <v>183</v>
      </c>
      <c r="C11" s="77"/>
      <c r="D11" s="77"/>
      <c r="E11" s="31">
        <v>5</v>
      </c>
      <c r="F11" s="26">
        <v>3.75</v>
      </c>
      <c r="G11" s="29">
        <f t="shared" si="0"/>
        <v>0.75</v>
      </c>
      <c r="H11" s="30" t="str">
        <f t="shared" si="1"/>
        <v>جيد</v>
      </c>
      <c r="I11" s="41"/>
      <c r="J11" s="42"/>
    </row>
    <row r="12" spans="1:10" ht="39.9" customHeight="1" x14ac:dyDescent="0.3">
      <c r="A12" s="10"/>
      <c r="B12" s="76" t="s">
        <v>184</v>
      </c>
      <c r="C12" s="77"/>
      <c r="D12" s="77"/>
      <c r="E12" s="31">
        <v>5</v>
      </c>
      <c r="F12" s="26">
        <v>4</v>
      </c>
      <c r="G12" s="29">
        <f t="shared" si="0"/>
        <v>0.8</v>
      </c>
      <c r="H12" s="30" t="str">
        <f t="shared" si="1"/>
        <v>جيد جداً</v>
      </c>
      <c r="I12" s="41"/>
      <c r="J12" s="42"/>
    </row>
    <row r="13" spans="1:10" ht="30" customHeight="1" thickBot="1" x14ac:dyDescent="0.35">
      <c r="A13" s="10"/>
      <c r="B13" s="80" t="s">
        <v>185</v>
      </c>
      <c r="C13" s="81"/>
      <c r="D13" s="81"/>
      <c r="E13" s="36">
        <v>5</v>
      </c>
      <c r="F13" s="27">
        <v>3.75</v>
      </c>
      <c r="G13" s="37">
        <f t="shared" si="0"/>
        <v>0.75</v>
      </c>
      <c r="H13" s="38" t="str">
        <f t="shared" si="1"/>
        <v>جيد</v>
      </c>
      <c r="I13" s="47"/>
      <c r="J13" s="48"/>
    </row>
    <row r="14" spans="1:10" ht="30" customHeight="1" x14ac:dyDescent="0.3">
      <c r="A14" s="10"/>
      <c r="B14" s="78" t="s">
        <v>186</v>
      </c>
      <c r="C14" s="79"/>
      <c r="D14" s="79"/>
      <c r="E14" s="32"/>
      <c r="F14" s="33"/>
      <c r="G14" s="34"/>
      <c r="H14" s="35"/>
      <c r="I14" s="43"/>
      <c r="J14" s="44"/>
    </row>
    <row r="15" spans="1:10" ht="30" customHeight="1" x14ac:dyDescent="0.3">
      <c r="A15" s="10"/>
      <c r="B15" s="76" t="s">
        <v>187</v>
      </c>
      <c r="C15" s="77"/>
      <c r="D15" s="77"/>
      <c r="E15" s="31">
        <v>5</v>
      </c>
      <c r="F15" s="26">
        <v>3.5</v>
      </c>
      <c r="G15" s="29">
        <f t="shared" si="0"/>
        <v>0.7</v>
      </c>
      <c r="H15" s="30" t="str">
        <f t="shared" si="1"/>
        <v>جيد</v>
      </c>
      <c r="I15" s="41"/>
      <c r="J15" s="42"/>
    </row>
    <row r="16" spans="1:10" ht="51" customHeight="1" x14ac:dyDescent="0.3">
      <c r="A16" s="10"/>
      <c r="B16" s="76" t="s">
        <v>188</v>
      </c>
      <c r="C16" s="77"/>
      <c r="D16" s="77"/>
      <c r="E16" s="31">
        <v>5</v>
      </c>
      <c r="F16" s="26">
        <v>4.25</v>
      </c>
      <c r="G16" s="29">
        <f t="shared" si="0"/>
        <v>0.85</v>
      </c>
      <c r="H16" s="30" t="str">
        <f t="shared" si="1"/>
        <v>جيد جداً</v>
      </c>
      <c r="I16" s="41"/>
      <c r="J16" s="42"/>
    </row>
    <row r="17" spans="1:10" ht="30" customHeight="1" x14ac:dyDescent="0.3">
      <c r="A17" s="10"/>
      <c r="B17" s="76" t="s">
        <v>189</v>
      </c>
      <c r="C17" s="77"/>
      <c r="D17" s="77"/>
      <c r="E17" s="31">
        <v>5</v>
      </c>
      <c r="F17" s="26">
        <v>3.75</v>
      </c>
      <c r="G17" s="29">
        <f t="shared" si="0"/>
        <v>0.75</v>
      </c>
      <c r="H17" s="30" t="str">
        <f t="shared" si="1"/>
        <v>جيد</v>
      </c>
      <c r="I17" s="41"/>
      <c r="J17" s="42"/>
    </row>
    <row r="18" spans="1:10" ht="30" customHeight="1" x14ac:dyDescent="0.3">
      <c r="A18" s="10"/>
      <c r="B18" s="76" t="s">
        <v>190</v>
      </c>
      <c r="C18" s="77"/>
      <c r="D18" s="77"/>
      <c r="E18" s="31">
        <v>5</v>
      </c>
      <c r="F18" s="26">
        <v>3.5</v>
      </c>
      <c r="G18" s="29">
        <f t="shared" si="0"/>
        <v>0.7</v>
      </c>
      <c r="H18" s="30" t="str">
        <f t="shared" si="1"/>
        <v>جيد</v>
      </c>
      <c r="I18" s="41"/>
      <c r="J18" s="42"/>
    </row>
    <row r="19" spans="1:10" ht="30" customHeight="1" x14ac:dyDescent="0.3">
      <c r="A19" s="10"/>
      <c r="B19" s="76" t="s">
        <v>191</v>
      </c>
      <c r="C19" s="77"/>
      <c r="D19" s="77"/>
      <c r="E19" s="31">
        <v>5</v>
      </c>
      <c r="F19" s="26">
        <v>3.75</v>
      </c>
      <c r="G19" s="29">
        <f t="shared" si="0"/>
        <v>0.75</v>
      </c>
      <c r="H19" s="30" t="str">
        <f t="shared" si="1"/>
        <v>جيد</v>
      </c>
      <c r="I19" s="41"/>
      <c r="J19" s="42"/>
    </row>
    <row r="20" spans="1:10" ht="39.9" customHeight="1" x14ac:dyDescent="0.3">
      <c r="A20" s="10"/>
      <c r="B20" s="76" t="s">
        <v>192</v>
      </c>
      <c r="C20" s="77"/>
      <c r="D20" s="77"/>
      <c r="E20" s="31">
        <v>5</v>
      </c>
      <c r="F20" s="26">
        <v>4.25</v>
      </c>
      <c r="G20" s="29">
        <f t="shared" si="0"/>
        <v>0.85</v>
      </c>
      <c r="H20" s="30" t="str">
        <f t="shared" si="1"/>
        <v>جيد جداً</v>
      </c>
      <c r="I20" s="41"/>
      <c r="J20" s="42"/>
    </row>
    <row r="21" spans="1:10" ht="30" customHeight="1" x14ac:dyDescent="0.3">
      <c r="A21" s="10"/>
      <c r="B21" s="76" t="s">
        <v>193</v>
      </c>
      <c r="C21" s="77"/>
      <c r="D21" s="77"/>
      <c r="E21" s="31">
        <v>5</v>
      </c>
      <c r="F21" s="26">
        <v>4</v>
      </c>
      <c r="G21" s="29">
        <f t="shared" si="0"/>
        <v>0.8</v>
      </c>
      <c r="H21" s="30" t="str">
        <f t="shared" si="1"/>
        <v>جيد جداً</v>
      </c>
      <c r="I21" s="41"/>
      <c r="J21" s="42"/>
    </row>
    <row r="22" spans="1:10" ht="39.9" customHeight="1" thickBot="1" x14ac:dyDescent="0.35">
      <c r="A22" s="10"/>
      <c r="B22" s="80" t="s">
        <v>194</v>
      </c>
      <c r="C22" s="81"/>
      <c r="D22" s="81"/>
      <c r="E22" s="36">
        <v>5</v>
      </c>
      <c r="F22" s="27">
        <v>4.25</v>
      </c>
      <c r="G22" s="37">
        <f t="shared" si="0"/>
        <v>0.85</v>
      </c>
      <c r="H22" s="38" t="str">
        <f t="shared" si="1"/>
        <v>جيد جداً</v>
      </c>
      <c r="I22" s="47"/>
      <c r="J22" s="48"/>
    </row>
    <row r="23" spans="1:10" ht="30" customHeight="1" x14ac:dyDescent="0.3">
      <c r="A23" s="10"/>
      <c r="B23" s="78" t="s">
        <v>195</v>
      </c>
      <c r="C23" s="79"/>
      <c r="D23" s="79"/>
      <c r="E23" s="32"/>
      <c r="F23" s="33"/>
      <c r="G23" s="34"/>
      <c r="H23" s="35"/>
      <c r="I23" s="43"/>
      <c r="J23" s="44"/>
    </row>
    <row r="24" spans="1:10" ht="30" customHeight="1" x14ac:dyDescent="0.3">
      <c r="A24" s="10"/>
      <c r="B24" s="76" t="s">
        <v>196</v>
      </c>
      <c r="C24" s="77"/>
      <c r="D24" s="77"/>
      <c r="E24" s="31">
        <v>5</v>
      </c>
      <c r="F24" s="26">
        <v>3.75</v>
      </c>
      <c r="G24" s="29">
        <f t="shared" si="0"/>
        <v>0.75</v>
      </c>
      <c r="H24" s="30" t="str">
        <f t="shared" si="1"/>
        <v>جيد</v>
      </c>
      <c r="I24" s="41"/>
      <c r="J24" s="42"/>
    </row>
    <row r="25" spans="1:10" ht="30" customHeight="1" x14ac:dyDescent="0.3">
      <c r="A25" s="10"/>
      <c r="B25" s="76" t="s">
        <v>197</v>
      </c>
      <c r="C25" s="77"/>
      <c r="D25" s="77"/>
      <c r="E25" s="31">
        <v>5</v>
      </c>
      <c r="F25" s="26">
        <v>3.25</v>
      </c>
      <c r="G25" s="29">
        <f t="shared" si="0"/>
        <v>0.65</v>
      </c>
      <c r="H25" s="30" t="str">
        <f t="shared" si="1"/>
        <v>مقبول</v>
      </c>
      <c r="I25" s="41"/>
      <c r="J25" s="42"/>
    </row>
    <row r="26" spans="1:10" ht="30" customHeight="1" x14ac:dyDescent="0.3">
      <c r="A26" s="10"/>
      <c r="B26" s="76" t="s">
        <v>198</v>
      </c>
      <c r="C26" s="77"/>
      <c r="D26" s="77"/>
      <c r="E26" s="31">
        <v>5</v>
      </c>
      <c r="F26" s="26">
        <v>3.5</v>
      </c>
      <c r="G26" s="29">
        <f t="shared" si="0"/>
        <v>0.7</v>
      </c>
      <c r="H26" s="30" t="str">
        <f t="shared" si="1"/>
        <v>جيد</v>
      </c>
      <c r="I26" s="41"/>
      <c r="J26" s="42"/>
    </row>
    <row r="27" spans="1:10" ht="30" customHeight="1" x14ac:dyDescent="0.3">
      <c r="A27" s="10"/>
      <c r="B27" s="76" t="s">
        <v>199</v>
      </c>
      <c r="C27" s="77"/>
      <c r="D27" s="77"/>
      <c r="E27" s="31">
        <v>5</v>
      </c>
      <c r="F27" s="26">
        <v>4</v>
      </c>
      <c r="G27" s="29">
        <f t="shared" si="0"/>
        <v>0.8</v>
      </c>
      <c r="H27" s="30" t="str">
        <f t="shared" si="1"/>
        <v>جيد جداً</v>
      </c>
      <c r="I27" s="41"/>
      <c r="J27" s="42"/>
    </row>
    <row r="28" spans="1:10" ht="30" customHeight="1" x14ac:dyDescent="0.3">
      <c r="A28" s="10"/>
      <c r="B28" s="76" t="s">
        <v>200</v>
      </c>
      <c r="C28" s="77"/>
      <c r="D28" s="77"/>
      <c r="E28" s="31">
        <v>5</v>
      </c>
      <c r="F28" s="26">
        <v>4.25</v>
      </c>
      <c r="G28" s="29">
        <f t="shared" si="0"/>
        <v>0.85</v>
      </c>
      <c r="H28" s="30" t="str">
        <f t="shared" si="1"/>
        <v>جيد جداً</v>
      </c>
      <c r="I28" s="41"/>
      <c r="J28" s="42"/>
    </row>
    <row r="29" spans="1:10" ht="30" customHeight="1" thickBot="1" x14ac:dyDescent="0.35">
      <c r="A29" s="10"/>
      <c r="B29" s="80" t="s">
        <v>201</v>
      </c>
      <c r="C29" s="81"/>
      <c r="D29" s="81"/>
      <c r="E29" s="36">
        <v>5</v>
      </c>
      <c r="F29" s="27">
        <v>3.75</v>
      </c>
      <c r="G29" s="37">
        <f t="shared" si="0"/>
        <v>0.75</v>
      </c>
      <c r="H29" s="38" t="str">
        <f t="shared" si="1"/>
        <v>جيد</v>
      </c>
      <c r="I29" s="47"/>
      <c r="J29" s="48"/>
    </row>
    <row r="30" spans="1:10" ht="30" customHeight="1" x14ac:dyDescent="0.3">
      <c r="A30" s="10"/>
      <c r="B30" s="78" t="s">
        <v>202</v>
      </c>
      <c r="C30" s="79"/>
      <c r="D30" s="79"/>
      <c r="E30" s="32"/>
      <c r="F30" s="33"/>
      <c r="G30" s="34"/>
      <c r="H30" s="35"/>
      <c r="I30" s="43"/>
      <c r="J30" s="44"/>
    </row>
    <row r="31" spans="1:10" ht="30" customHeight="1" x14ac:dyDescent="0.3">
      <c r="A31" s="10"/>
      <c r="B31" s="76" t="s">
        <v>203</v>
      </c>
      <c r="C31" s="77"/>
      <c r="D31" s="77"/>
      <c r="E31" s="31">
        <v>5</v>
      </c>
      <c r="F31" s="26">
        <v>3.75</v>
      </c>
      <c r="G31" s="29">
        <f t="shared" si="0"/>
        <v>0.75</v>
      </c>
      <c r="H31" s="30" t="str">
        <f t="shared" si="1"/>
        <v>جيد</v>
      </c>
      <c r="I31" s="41"/>
      <c r="J31" s="42"/>
    </row>
    <row r="32" spans="1:10" ht="39.9" customHeight="1" x14ac:dyDescent="0.3">
      <c r="A32" s="10"/>
      <c r="B32" s="76" t="s">
        <v>204</v>
      </c>
      <c r="C32" s="77"/>
      <c r="D32" s="77"/>
      <c r="E32" s="31">
        <v>5</v>
      </c>
      <c r="F32" s="26">
        <v>3.75</v>
      </c>
      <c r="G32" s="29">
        <f t="shared" si="0"/>
        <v>0.75</v>
      </c>
      <c r="H32" s="30" t="str">
        <f t="shared" si="1"/>
        <v>جيد</v>
      </c>
      <c r="I32" s="41"/>
      <c r="J32" s="42"/>
    </row>
    <row r="33" spans="1:10" ht="30" customHeight="1" x14ac:dyDescent="0.3">
      <c r="A33" s="10"/>
      <c r="B33" s="76" t="s">
        <v>205</v>
      </c>
      <c r="C33" s="77"/>
      <c r="D33" s="77"/>
      <c r="E33" s="31">
        <v>5</v>
      </c>
      <c r="F33" s="26">
        <v>3.5</v>
      </c>
      <c r="G33" s="29">
        <f t="shared" si="0"/>
        <v>0.7</v>
      </c>
      <c r="H33" s="30" t="str">
        <f t="shared" si="1"/>
        <v>جيد</v>
      </c>
      <c r="I33" s="41"/>
      <c r="J33" s="42"/>
    </row>
    <row r="34" spans="1:10" ht="30" customHeight="1" x14ac:dyDescent="0.3">
      <c r="A34" s="10"/>
      <c r="B34" s="76" t="s">
        <v>206</v>
      </c>
      <c r="C34" s="77"/>
      <c r="D34" s="77"/>
      <c r="E34" s="31">
        <v>5</v>
      </c>
      <c r="F34" s="26">
        <v>3.5</v>
      </c>
      <c r="G34" s="29">
        <f t="shared" si="0"/>
        <v>0.7</v>
      </c>
      <c r="H34" s="30" t="str">
        <f t="shared" si="1"/>
        <v>جيد</v>
      </c>
      <c r="I34" s="41"/>
      <c r="J34" s="42"/>
    </row>
    <row r="35" spans="1:10" ht="30" customHeight="1" x14ac:dyDescent="0.3">
      <c r="A35" s="10"/>
      <c r="B35" s="76" t="s">
        <v>207</v>
      </c>
      <c r="C35" s="77"/>
      <c r="D35" s="77"/>
      <c r="E35" s="31">
        <v>5</v>
      </c>
      <c r="F35" s="26">
        <v>3.25</v>
      </c>
      <c r="G35" s="29">
        <f t="shared" si="0"/>
        <v>0.65</v>
      </c>
      <c r="H35" s="30" t="str">
        <f t="shared" si="1"/>
        <v>مقبول</v>
      </c>
      <c r="I35" s="41"/>
      <c r="J35" s="42"/>
    </row>
    <row r="36" spans="1:10" ht="30" customHeight="1" x14ac:dyDescent="0.3">
      <c r="A36" s="10"/>
      <c r="B36" s="76" t="s">
        <v>208</v>
      </c>
      <c r="C36" s="77"/>
      <c r="D36" s="77"/>
      <c r="E36" s="31">
        <v>5</v>
      </c>
      <c r="F36" s="26">
        <v>3</v>
      </c>
      <c r="G36" s="29">
        <f t="shared" si="0"/>
        <v>0.6</v>
      </c>
      <c r="H36" s="30" t="str">
        <f t="shared" si="1"/>
        <v>مقبول</v>
      </c>
      <c r="I36" s="41"/>
      <c r="J36" s="42"/>
    </row>
    <row r="37" spans="1:10" ht="30" customHeight="1" x14ac:dyDescent="0.3">
      <c r="A37" s="10"/>
      <c r="B37" s="76" t="s">
        <v>209</v>
      </c>
      <c r="C37" s="77"/>
      <c r="D37" s="77"/>
      <c r="E37" s="31">
        <v>5</v>
      </c>
      <c r="F37" s="26">
        <v>4</v>
      </c>
      <c r="G37" s="29">
        <f t="shared" si="0"/>
        <v>0.8</v>
      </c>
      <c r="H37" s="30" t="str">
        <f t="shared" si="1"/>
        <v>جيد جداً</v>
      </c>
      <c r="I37" s="41"/>
      <c r="J37" s="42"/>
    </row>
    <row r="38" spans="1:10" ht="30" customHeight="1" x14ac:dyDescent="0.3">
      <c r="A38" s="10"/>
      <c r="B38" s="76" t="s">
        <v>210</v>
      </c>
      <c r="C38" s="77"/>
      <c r="D38" s="77"/>
      <c r="E38" s="31">
        <v>5</v>
      </c>
      <c r="F38" s="26">
        <v>3.75</v>
      </c>
      <c r="G38" s="29">
        <f t="shared" si="0"/>
        <v>0.75</v>
      </c>
      <c r="H38" s="30" t="str">
        <f t="shared" si="1"/>
        <v>جيد</v>
      </c>
      <c r="I38" s="41"/>
      <c r="J38" s="42"/>
    </row>
    <row r="39" spans="1:10" ht="30" customHeight="1" x14ac:dyDescent="0.3">
      <c r="A39" s="10"/>
      <c r="B39" s="76" t="s">
        <v>211</v>
      </c>
      <c r="C39" s="77"/>
      <c r="D39" s="77"/>
      <c r="E39" s="31">
        <v>5</v>
      </c>
      <c r="F39" s="26">
        <v>4</v>
      </c>
      <c r="G39" s="29">
        <f t="shared" si="0"/>
        <v>0.8</v>
      </c>
      <c r="H39" s="30" t="str">
        <f t="shared" si="1"/>
        <v>جيد جداً</v>
      </c>
      <c r="I39" s="41"/>
      <c r="J39" s="42"/>
    </row>
    <row r="40" spans="1:10" ht="30" customHeight="1" x14ac:dyDescent="0.3">
      <c r="A40" s="10"/>
      <c r="B40" s="76" t="s">
        <v>212</v>
      </c>
      <c r="C40" s="77"/>
      <c r="D40" s="77"/>
      <c r="E40" s="31">
        <v>5</v>
      </c>
      <c r="F40" s="26">
        <v>3.75</v>
      </c>
      <c r="G40" s="29">
        <f t="shared" si="0"/>
        <v>0.75</v>
      </c>
      <c r="H40" s="30" t="str">
        <f t="shared" si="1"/>
        <v>جيد</v>
      </c>
      <c r="I40" s="41"/>
      <c r="J40" s="42"/>
    </row>
    <row r="41" spans="1:10" ht="30" customHeight="1" x14ac:dyDescent="0.3">
      <c r="A41" s="10"/>
      <c r="B41" s="76" t="s">
        <v>213</v>
      </c>
      <c r="C41" s="77"/>
      <c r="D41" s="77"/>
      <c r="E41" s="31">
        <v>5</v>
      </c>
      <c r="F41" s="26">
        <v>4</v>
      </c>
      <c r="G41" s="29">
        <f t="shared" si="0"/>
        <v>0.8</v>
      </c>
      <c r="H41" s="30" t="str">
        <f t="shared" si="1"/>
        <v>جيد جداً</v>
      </c>
      <c r="I41" s="41"/>
      <c r="J41" s="42"/>
    </row>
    <row r="42" spans="1:10" ht="30" customHeight="1" x14ac:dyDescent="0.3">
      <c r="A42" s="10"/>
      <c r="B42" s="76" t="s">
        <v>214</v>
      </c>
      <c r="C42" s="77"/>
      <c r="D42" s="77"/>
      <c r="E42" s="31">
        <v>5</v>
      </c>
      <c r="F42" s="26">
        <v>3.75</v>
      </c>
      <c r="G42" s="29">
        <f t="shared" si="0"/>
        <v>0.75</v>
      </c>
      <c r="H42" s="30" t="str">
        <f t="shared" si="1"/>
        <v>جيد</v>
      </c>
      <c r="I42" s="41"/>
      <c r="J42" s="42"/>
    </row>
    <row r="43" spans="1:10" ht="30" customHeight="1" x14ac:dyDescent="0.3">
      <c r="A43" s="10"/>
      <c r="B43" s="76" t="s">
        <v>215</v>
      </c>
      <c r="C43" s="77"/>
      <c r="D43" s="77"/>
      <c r="E43" s="31">
        <v>5</v>
      </c>
      <c r="F43" s="26">
        <v>4</v>
      </c>
      <c r="G43" s="29">
        <f t="shared" si="0"/>
        <v>0.8</v>
      </c>
      <c r="H43" s="30" t="str">
        <f t="shared" si="1"/>
        <v>جيد جداً</v>
      </c>
      <c r="I43" s="41"/>
      <c r="J43" s="42"/>
    </row>
    <row r="44" spans="1:10" ht="30" customHeight="1" x14ac:dyDescent="0.3">
      <c r="A44" s="10"/>
      <c r="B44" s="76" t="s">
        <v>216</v>
      </c>
      <c r="C44" s="77"/>
      <c r="D44" s="77"/>
      <c r="E44" s="31">
        <v>5</v>
      </c>
      <c r="F44" s="26">
        <v>3.25</v>
      </c>
      <c r="G44" s="29">
        <f t="shared" si="0"/>
        <v>0.65</v>
      </c>
      <c r="H44" s="30" t="str">
        <f t="shared" si="1"/>
        <v>مقبول</v>
      </c>
      <c r="I44" s="41"/>
      <c r="J44" s="42"/>
    </row>
    <row r="45" spans="1:10" ht="30" customHeight="1" thickBot="1" x14ac:dyDescent="0.35">
      <c r="A45" s="10"/>
      <c r="B45" s="80" t="s">
        <v>217</v>
      </c>
      <c r="C45" s="81"/>
      <c r="D45" s="81"/>
      <c r="E45" s="36">
        <v>5</v>
      </c>
      <c r="F45" s="27">
        <v>3.75</v>
      </c>
      <c r="G45" s="37">
        <f t="shared" si="0"/>
        <v>0.75</v>
      </c>
      <c r="H45" s="38" t="str">
        <f t="shared" si="1"/>
        <v>جيد</v>
      </c>
      <c r="I45" s="47"/>
      <c r="J45" s="48"/>
    </row>
    <row r="46" spans="1:10" ht="30" customHeight="1" thickBot="1" x14ac:dyDescent="0.35">
      <c r="A46" s="4"/>
      <c r="B46" s="74" t="s">
        <v>5</v>
      </c>
      <c r="C46" s="75"/>
      <c r="D46" s="75"/>
      <c r="E46" s="9">
        <f>SUM(E8:E45)</f>
        <v>170</v>
      </c>
      <c r="F46" s="9">
        <f>SUM(F8:F45)</f>
        <v>127.5</v>
      </c>
      <c r="G46" s="71"/>
      <c r="H46" s="72"/>
      <c r="I46" s="72"/>
      <c r="J46" s="73"/>
    </row>
    <row r="47" spans="1:10" ht="30" customHeight="1" thickBot="1" x14ac:dyDescent="0.35">
      <c r="A47" s="4"/>
      <c r="B47" s="74" t="s">
        <v>52</v>
      </c>
      <c r="C47" s="75"/>
      <c r="D47" s="75"/>
      <c r="E47" s="67">
        <f>F46/E46/100*100</f>
        <v>0.75</v>
      </c>
      <c r="F47" s="67"/>
      <c r="G47" s="67"/>
      <c r="H47" s="67"/>
      <c r="I47" s="67"/>
      <c r="J47" s="68"/>
    </row>
    <row r="48" spans="1:10" ht="30" customHeight="1" thickBot="1" x14ac:dyDescent="0.35">
      <c r="A48" s="4"/>
      <c r="B48" s="74" t="s">
        <v>53</v>
      </c>
      <c r="C48" s="75"/>
      <c r="D48" s="75"/>
      <c r="E48" s="65" t="str">
        <f>_xlfn.IFS(E47&gt;=90%,"ممتاز",E47&gt;=80%,"جيد جداً",E47&gt;=70%,"جيد",E47&gt;=60%,"مقبول",E47&lt;60%,"راسب")</f>
        <v>جيد</v>
      </c>
      <c r="F48" s="65"/>
      <c r="G48" s="65"/>
      <c r="H48" s="65"/>
      <c r="I48" s="65"/>
      <c r="J48" s="66"/>
    </row>
    <row r="49" spans="1:10" ht="42" customHeight="1" x14ac:dyDescent="0.3">
      <c r="B49" s="61" t="s">
        <v>172</v>
      </c>
      <c r="C49" s="61"/>
      <c r="D49" s="61"/>
      <c r="E49" s="69" t="s">
        <v>50</v>
      </c>
      <c r="F49" s="69"/>
      <c r="G49" s="63" t="s">
        <v>163</v>
      </c>
      <c r="H49" s="63"/>
      <c r="I49" s="63"/>
      <c r="J49" s="63"/>
    </row>
    <row r="50" spans="1:10" ht="51" customHeight="1" x14ac:dyDescent="0.3">
      <c r="A50" s="5"/>
      <c r="B50" s="62"/>
      <c r="C50" s="62"/>
      <c r="D50" s="62"/>
      <c r="E50" s="70" t="s">
        <v>51</v>
      </c>
      <c r="F50" s="70"/>
      <c r="G50" s="64"/>
      <c r="H50" s="64"/>
      <c r="I50" s="64"/>
      <c r="J50" s="64"/>
    </row>
  </sheetData>
  <sheetProtection formatCells="0" formatColumns="0" formatRows="0" insertColumns="0" insertRows="0" insertHyperlinks="0" deleteColumns="0" deleteRows="0" selectLockedCells="1" sort="0" autoFilter="0" pivotTables="0"/>
  <mergeCells count="98">
    <mergeCell ref="B44:D44"/>
    <mergeCell ref="B45:D45"/>
    <mergeCell ref="B35:D35"/>
    <mergeCell ref="B36:D36"/>
    <mergeCell ref="B37:D37"/>
    <mergeCell ref="B38:D38"/>
    <mergeCell ref="B39:D39"/>
    <mergeCell ref="B40:D40"/>
    <mergeCell ref="B41:D41"/>
    <mergeCell ref="B42:D42"/>
    <mergeCell ref="B43:D43"/>
    <mergeCell ref="B33:D33"/>
    <mergeCell ref="B34:D34"/>
    <mergeCell ref="B17:D17"/>
    <mergeCell ref="B18:D18"/>
    <mergeCell ref="B19:D19"/>
    <mergeCell ref="B20:D20"/>
    <mergeCell ref="B21:D21"/>
    <mergeCell ref="B22:D22"/>
    <mergeCell ref="B23:D23"/>
    <mergeCell ref="B24:D24"/>
    <mergeCell ref="B25:D25"/>
    <mergeCell ref="B26:D26"/>
    <mergeCell ref="B27:D27"/>
    <mergeCell ref="B28:D28"/>
    <mergeCell ref="B29:D29"/>
    <mergeCell ref="B30:D30"/>
    <mergeCell ref="B16:D16"/>
    <mergeCell ref="I32:J32"/>
    <mergeCell ref="B8:D8"/>
    <mergeCell ref="B9:D9"/>
    <mergeCell ref="B10:D10"/>
    <mergeCell ref="B11:D11"/>
    <mergeCell ref="B12:D12"/>
    <mergeCell ref="B31:D31"/>
    <mergeCell ref="B32:D32"/>
    <mergeCell ref="I8:J8"/>
    <mergeCell ref="I9:J9"/>
    <mergeCell ref="B13:D13"/>
    <mergeCell ref="B14:D14"/>
    <mergeCell ref="B15:D15"/>
    <mergeCell ref="B48:D48"/>
    <mergeCell ref="I11:J11"/>
    <mergeCell ref="I12:J12"/>
    <mergeCell ref="I13:J13"/>
    <mergeCell ref="I14:J14"/>
    <mergeCell ref="I15:J15"/>
    <mergeCell ref="I16:J16"/>
    <mergeCell ref="I17:J17"/>
    <mergeCell ref="I18:J18"/>
    <mergeCell ref="I28:J28"/>
    <mergeCell ref="I29:J29"/>
    <mergeCell ref="I27:J27"/>
    <mergeCell ref="I33:J33"/>
    <mergeCell ref="I34:J34"/>
    <mergeCell ref="I35:J35"/>
    <mergeCell ref="I36:J36"/>
    <mergeCell ref="B49:D50"/>
    <mergeCell ref="G49:J49"/>
    <mergeCell ref="G50:J50"/>
    <mergeCell ref="E48:J48"/>
    <mergeCell ref="I40:J40"/>
    <mergeCell ref="I41:J41"/>
    <mergeCell ref="I42:J42"/>
    <mergeCell ref="I43:J43"/>
    <mergeCell ref="I44:J44"/>
    <mergeCell ref="E47:J47"/>
    <mergeCell ref="I45:J45"/>
    <mergeCell ref="E49:F49"/>
    <mergeCell ref="E50:F50"/>
    <mergeCell ref="G46:J46"/>
    <mergeCell ref="B46:D46"/>
    <mergeCell ref="B47:D47"/>
    <mergeCell ref="B1:J1"/>
    <mergeCell ref="F2:J2"/>
    <mergeCell ref="B5:D6"/>
    <mergeCell ref="C2:D2"/>
    <mergeCell ref="C3:D3"/>
    <mergeCell ref="F3:J3"/>
    <mergeCell ref="E5:H5"/>
    <mergeCell ref="I5:J6"/>
    <mergeCell ref="C4:D4"/>
    <mergeCell ref="B7:D7"/>
    <mergeCell ref="I38:J38"/>
    <mergeCell ref="I39:J39"/>
    <mergeCell ref="I30:J30"/>
    <mergeCell ref="I31:J31"/>
    <mergeCell ref="I37:J37"/>
    <mergeCell ref="I7:J7"/>
    <mergeCell ref="I10:J10"/>
    <mergeCell ref="I19:J19"/>
    <mergeCell ref="I20:J20"/>
    <mergeCell ref="I21:J21"/>
    <mergeCell ref="I22:J22"/>
    <mergeCell ref="I23:J23"/>
    <mergeCell ref="I24:J24"/>
    <mergeCell ref="I25:J25"/>
    <mergeCell ref="I26:J26"/>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48">
    <cfRule type="expression" dxfId="14" priority="57">
      <formula>$E48="راسب"</formula>
    </cfRule>
  </conditionalFormatting>
  <conditionalFormatting sqref="E48:J48">
    <cfRule type="expression" dxfId="13" priority="58">
      <formula>$E48="مقبول"</formula>
    </cfRule>
    <cfRule type="expression" dxfId="12" priority="59">
      <formula>$E48="جيد"</formula>
    </cfRule>
    <cfRule type="expression" dxfId="11" priority="60">
      <formula>$E48="جيد جداً"</formula>
    </cfRule>
    <cfRule type="expression" dxfId="10" priority="61">
      <formula>$E48="ممتاز"</formula>
    </cfRule>
  </conditionalFormatting>
  <conditionalFormatting sqref="F8:F45">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49:J49">
    <cfRule type="containsText" dxfId="6" priority="15" operator="containsText" text="أدخل اسم المحكم">
      <formula>NOT(ISERROR(SEARCH("أدخل اسم المحكم",G49)))</formula>
    </cfRule>
  </conditionalFormatting>
  <conditionalFormatting sqref="H8:H45">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2"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F27846E5-4775-4613-AD3F-6A647663FDD7}">
          <x14:formula1>
            <xm:f>'بيانات التقييم'!$A$38:$A$106</xm:f>
          </x14:formula1>
          <xm:sqref>F2:J2</xm:sqref>
        </x14:dataValidation>
        <x14:dataValidation type="list" allowBlank="1" showInputMessage="1" showErrorMessage="1" xr:uid="{29F5EBBB-8CF0-4EBC-9568-49582573F3A1}">
          <x14:formula1>
            <xm:f>'بيانات التقييم'!$A$1:$A$34</xm:f>
          </x14:formula1>
          <xm:sqref>C2:D2</xm:sqref>
        </x14:dataValidation>
        <x14:dataValidation type="list" allowBlank="1" showInputMessage="1" showErrorMessage="1" xr:uid="{5A7ADC9F-6098-4415-8DD4-849A148D02E3}">
          <x14:formula1>
            <xm:f>'بيانات التقييم'!$A$111:$A$133</xm:f>
          </x14:formula1>
          <xm:sqref>F31:F45 F24:F29 F15:F22 F9:F13</xm:sqref>
        </x14:dataValidation>
        <x14:dataValidation type="list" allowBlank="1" showInputMessage="1" showErrorMessage="1" xr:uid="{BD8CB5A2-5F32-4EAD-A63C-382D3B90B847}">
          <x14:formula1>
            <xm:f>'بيانات التقييم'!$A$198:$A$286</xm:f>
          </x14:formula1>
          <xm:sqref>G49:J49 F3:J3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8"/>
  <sheetViews>
    <sheetView rightToLeft="1" topLeftCell="A54" workbookViewId="0">
      <selection activeCell="A64" sqref="A64"/>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55</v>
      </c>
      <c r="C1" s="2" t="s">
        <v>58</v>
      </c>
    </row>
    <row r="2" spans="1:3" ht="20.100000000000001" customHeight="1" thickBot="1" x14ac:dyDescent="0.35">
      <c r="A2" s="2" t="s">
        <v>33</v>
      </c>
      <c r="C2" s="19" t="s">
        <v>60</v>
      </c>
    </row>
    <row r="3" spans="1:3" ht="20.100000000000001" customHeight="1" thickBot="1" x14ac:dyDescent="0.35">
      <c r="A3" s="2" t="s">
        <v>24</v>
      </c>
      <c r="C3" s="19" t="s">
        <v>61</v>
      </c>
    </row>
    <row r="4" spans="1:3" ht="20.100000000000001" customHeight="1" thickBot="1" x14ac:dyDescent="0.35">
      <c r="A4" s="2" t="s">
        <v>34</v>
      </c>
      <c r="C4" s="19" t="s">
        <v>62</v>
      </c>
    </row>
    <row r="5" spans="1:3" ht="20.100000000000001" customHeight="1" thickBot="1" x14ac:dyDescent="0.35">
      <c r="A5" s="2" t="s">
        <v>35</v>
      </c>
      <c r="C5" s="19" t="s">
        <v>63</v>
      </c>
    </row>
    <row r="6" spans="1:3" ht="20.100000000000001" customHeight="1" thickBot="1" x14ac:dyDescent="0.35">
      <c r="A6" s="2" t="s">
        <v>36</v>
      </c>
      <c r="C6" s="19" t="s">
        <v>64</v>
      </c>
    </row>
    <row r="7" spans="1:3" ht="20.100000000000001" customHeight="1" thickBot="1" x14ac:dyDescent="0.35">
      <c r="A7" s="2" t="s">
        <v>37</v>
      </c>
      <c r="C7" s="19" t="s">
        <v>65</v>
      </c>
    </row>
    <row r="8" spans="1:3" ht="20.100000000000001" customHeight="1" thickBot="1" x14ac:dyDescent="0.35">
      <c r="A8" s="2" t="s">
        <v>38</v>
      </c>
      <c r="C8" s="19" t="s">
        <v>66</v>
      </c>
    </row>
    <row r="9" spans="1:3" ht="20.100000000000001" customHeight="1" thickBot="1" x14ac:dyDescent="0.35">
      <c r="A9" s="2" t="s">
        <v>39</v>
      </c>
      <c r="C9" s="19" t="s">
        <v>67</v>
      </c>
    </row>
    <row r="10" spans="1:3" ht="20.100000000000001" customHeight="1" thickBot="1" x14ac:dyDescent="0.35">
      <c r="A10" s="2" t="s">
        <v>40</v>
      </c>
      <c r="C10" s="19" t="s">
        <v>68</v>
      </c>
    </row>
    <row r="11" spans="1:3" ht="20.100000000000001" customHeight="1" thickBot="1" x14ac:dyDescent="0.35">
      <c r="A11" s="2" t="s">
        <v>41</v>
      </c>
      <c r="C11" s="19" t="s">
        <v>69</v>
      </c>
    </row>
    <row r="12" spans="1:3" ht="20.100000000000001" customHeight="1" thickBot="1" x14ac:dyDescent="0.35">
      <c r="A12" s="2" t="s">
        <v>42</v>
      </c>
      <c r="C12" s="19" t="s">
        <v>70</v>
      </c>
    </row>
    <row r="13" spans="1:3" ht="20.100000000000001" customHeight="1" thickBot="1" x14ac:dyDescent="0.35">
      <c r="A13" s="2" t="s">
        <v>43</v>
      </c>
      <c r="C13" s="19" t="s">
        <v>71</v>
      </c>
    </row>
    <row r="14" spans="1:3" ht="20.100000000000001" customHeight="1" thickBot="1" x14ac:dyDescent="0.35">
      <c r="A14" s="2" t="s">
        <v>44</v>
      </c>
      <c r="C14" s="19" t="s">
        <v>72</v>
      </c>
    </row>
    <row r="15" spans="1:3" ht="20.100000000000001" customHeight="1" thickBot="1" x14ac:dyDescent="0.35">
      <c r="A15" s="2" t="s">
        <v>45</v>
      </c>
      <c r="C15" s="19" t="s">
        <v>73</v>
      </c>
    </row>
    <row r="16" spans="1:3" ht="20.100000000000001" customHeight="1" thickBot="1" x14ac:dyDescent="0.35">
      <c r="A16" s="2" t="s">
        <v>8</v>
      </c>
      <c r="C16" s="19" t="s">
        <v>74</v>
      </c>
    </row>
    <row r="17" spans="1:3" ht="20.100000000000001" customHeight="1" thickBot="1" x14ac:dyDescent="0.35">
      <c r="A17" s="2" t="s">
        <v>25</v>
      </c>
      <c r="C17" s="19" t="s">
        <v>75</v>
      </c>
    </row>
    <row r="18" spans="1:3" ht="20.100000000000001" customHeight="1" thickBot="1" x14ac:dyDescent="0.35">
      <c r="A18" s="2" t="s">
        <v>46</v>
      </c>
      <c r="C18" s="19" t="s">
        <v>76</v>
      </c>
    </row>
    <row r="19" spans="1:3" ht="20.100000000000001" customHeight="1" thickBot="1" x14ac:dyDescent="0.35">
      <c r="A19" s="2" t="s">
        <v>47</v>
      </c>
      <c r="C19" s="19" t="s">
        <v>77</v>
      </c>
    </row>
    <row r="20" spans="1:3" ht="20.100000000000001" customHeight="1" thickBot="1" x14ac:dyDescent="0.35">
      <c r="A20" s="2" t="s">
        <v>48</v>
      </c>
      <c r="C20" s="19" t="s">
        <v>78</v>
      </c>
    </row>
    <row r="21" spans="1:3" ht="20.100000000000001" customHeight="1" thickBot="1" x14ac:dyDescent="0.35">
      <c r="A21" s="2" t="s">
        <v>49</v>
      </c>
      <c r="C21" s="19" t="s">
        <v>79</v>
      </c>
    </row>
    <row r="22" spans="1:3" ht="20.100000000000001" customHeight="1" thickBot="1" x14ac:dyDescent="0.35">
      <c r="A22" s="2" t="s">
        <v>9</v>
      </c>
      <c r="C22" s="19" t="s">
        <v>80</v>
      </c>
    </row>
    <row r="23" spans="1:3" ht="20.100000000000001" customHeight="1" thickBot="1" x14ac:dyDescent="0.35">
      <c r="A23" s="2" t="s">
        <v>10</v>
      </c>
      <c r="C23" s="19" t="s">
        <v>81</v>
      </c>
    </row>
    <row r="24" spans="1:3" ht="20.100000000000001" customHeight="1" thickBot="1" x14ac:dyDescent="0.35">
      <c r="A24" s="2" t="s">
        <v>13</v>
      </c>
      <c r="C24" s="19" t="s">
        <v>82</v>
      </c>
    </row>
    <row r="25" spans="1:3" ht="20.100000000000001" customHeight="1" thickBot="1" x14ac:dyDescent="0.35">
      <c r="A25" s="2" t="s">
        <v>26</v>
      </c>
      <c r="C25" s="19" t="s">
        <v>83</v>
      </c>
    </row>
    <row r="26" spans="1:3" ht="20.100000000000001" customHeight="1" thickBot="1" x14ac:dyDescent="0.35">
      <c r="A26" s="2" t="s">
        <v>27</v>
      </c>
      <c r="C26" s="19" t="s">
        <v>84</v>
      </c>
    </row>
    <row r="27" spans="1:3" ht="20.100000000000001" customHeight="1" thickBot="1" x14ac:dyDescent="0.35">
      <c r="A27" s="2" t="s">
        <v>11</v>
      </c>
      <c r="C27" s="19" t="s">
        <v>85</v>
      </c>
    </row>
    <row r="28" spans="1:3" ht="20.100000000000001" customHeight="1" thickBot="1" x14ac:dyDescent="0.35">
      <c r="A28" s="2" t="s">
        <v>28</v>
      </c>
      <c r="C28" s="19" t="s">
        <v>86</v>
      </c>
    </row>
    <row r="29" spans="1:3" ht="20.100000000000001" customHeight="1" thickBot="1" x14ac:dyDescent="0.35">
      <c r="A29" s="2" t="s">
        <v>29</v>
      </c>
      <c r="C29" s="19" t="s">
        <v>175</v>
      </c>
    </row>
    <row r="30" spans="1:3" ht="20.100000000000001" customHeight="1" thickBot="1" x14ac:dyDescent="0.35">
      <c r="A30" s="2" t="s">
        <v>30</v>
      </c>
      <c r="C30" s="19" t="s">
        <v>176</v>
      </c>
    </row>
    <row r="31" spans="1:3" ht="20.100000000000001" customHeight="1" thickBot="1" x14ac:dyDescent="0.35">
      <c r="A31" s="2" t="s">
        <v>31</v>
      </c>
      <c r="C31" s="19" t="s">
        <v>177</v>
      </c>
    </row>
    <row r="32" spans="1:3" ht="20.100000000000001" customHeight="1" thickBot="1" x14ac:dyDescent="0.35">
      <c r="A32" s="2" t="s">
        <v>14</v>
      </c>
      <c r="C32" s="19"/>
    </row>
    <row r="33" spans="1:9" ht="20.100000000000001" customHeight="1" thickBot="1" x14ac:dyDescent="0.35">
      <c r="A33" s="2" t="s">
        <v>12</v>
      </c>
      <c r="C33" s="19"/>
    </row>
    <row r="34" spans="1:9" ht="20.100000000000001" customHeight="1" thickBot="1" x14ac:dyDescent="0.35">
      <c r="A34" s="2" t="s">
        <v>32</v>
      </c>
      <c r="C34" s="19"/>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54</v>
      </c>
    </row>
    <row r="39" spans="1:9" ht="20.100000000000001" customHeight="1" thickBot="1" x14ac:dyDescent="0.35">
      <c r="A39" s="13">
        <v>45931</v>
      </c>
    </row>
    <row r="40" spans="1:9" ht="20.100000000000001" customHeight="1" thickBot="1" x14ac:dyDescent="0.35">
      <c r="A40" s="13">
        <v>45932</v>
      </c>
    </row>
    <row r="41" spans="1:9" ht="20.100000000000001" customHeight="1" thickBot="1" x14ac:dyDescent="0.35">
      <c r="A41" s="13">
        <v>45933</v>
      </c>
    </row>
    <row r="42" spans="1:9" ht="20.100000000000001" customHeight="1" thickBot="1" x14ac:dyDescent="0.35">
      <c r="A42" s="13">
        <v>45934</v>
      </c>
    </row>
    <row r="43" spans="1:9" ht="20.100000000000001" customHeight="1" thickBot="1" x14ac:dyDescent="0.35">
      <c r="A43" s="13">
        <v>45935</v>
      </c>
    </row>
    <row r="44" spans="1:9" ht="20.100000000000001" customHeight="1" thickBot="1" x14ac:dyDescent="0.35">
      <c r="A44" s="13">
        <v>45936</v>
      </c>
    </row>
    <row r="45" spans="1:9" ht="20.100000000000001" customHeight="1" thickBot="1" x14ac:dyDescent="0.35">
      <c r="A45" s="13">
        <v>45937</v>
      </c>
    </row>
    <row r="46" spans="1:9" ht="20.100000000000001" customHeight="1" thickBot="1" x14ac:dyDescent="0.35">
      <c r="A46" s="13">
        <v>45938</v>
      </c>
    </row>
    <row r="47" spans="1:9" ht="20.100000000000001" customHeight="1" thickBot="1" x14ac:dyDescent="0.35">
      <c r="A47" s="13">
        <v>45939</v>
      </c>
    </row>
    <row r="48" spans="1:9" ht="20.100000000000001" customHeight="1" thickBot="1" x14ac:dyDescent="0.35">
      <c r="A48" s="13">
        <v>45940</v>
      </c>
    </row>
    <row r="49" spans="1:1" ht="20.100000000000001" customHeight="1" thickBot="1" x14ac:dyDescent="0.35">
      <c r="A49" s="13">
        <v>45941</v>
      </c>
    </row>
    <row r="50" spans="1:1" ht="20.100000000000001" customHeight="1" thickBot="1" x14ac:dyDescent="0.35">
      <c r="A50" s="13">
        <v>45942</v>
      </c>
    </row>
    <row r="51" spans="1:1" ht="20.100000000000001" customHeight="1" thickBot="1" x14ac:dyDescent="0.35">
      <c r="A51" s="13">
        <v>45943</v>
      </c>
    </row>
    <row r="52" spans="1:1" ht="20.100000000000001" customHeight="1" thickBot="1" x14ac:dyDescent="0.35">
      <c r="A52" s="13">
        <v>45944</v>
      </c>
    </row>
    <row r="53" spans="1:1" ht="20.100000000000001" customHeight="1" thickBot="1" x14ac:dyDescent="0.35">
      <c r="A53" s="13">
        <v>45945</v>
      </c>
    </row>
    <row r="54" spans="1:1" ht="20.100000000000001" customHeight="1" thickBot="1" x14ac:dyDescent="0.35">
      <c r="A54" s="13">
        <v>45946</v>
      </c>
    </row>
    <row r="55" spans="1:1" ht="20.100000000000001" customHeight="1" thickBot="1" x14ac:dyDescent="0.35">
      <c r="A55" s="13">
        <v>45947</v>
      </c>
    </row>
    <row r="56" spans="1:1" ht="20.100000000000001" customHeight="1" thickBot="1" x14ac:dyDescent="0.35">
      <c r="A56" s="13">
        <v>45948</v>
      </c>
    </row>
    <row r="57" spans="1:1" ht="20.100000000000001" customHeight="1" thickBot="1" x14ac:dyDescent="0.35">
      <c r="A57" s="13">
        <v>45949</v>
      </c>
    </row>
    <row r="58" spans="1:1" ht="20.100000000000001" customHeight="1" thickBot="1" x14ac:dyDescent="0.35">
      <c r="A58" s="13">
        <v>45950</v>
      </c>
    </row>
    <row r="59" spans="1:1" ht="20.100000000000001" customHeight="1" thickBot="1" x14ac:dyDescent="0.35">
      <c r="A59" s="13">
        <v>45951</v>
      </c>
    </row>
    <row r="60" spans="1:1" ht="20.100000000000001" customHeight="1" thickBot="1" x14ac:dyDescent="0.35">
      <c r="A60" s="13">
        <v>45952</v>
      </c>
    </row>
    <row r="61" spans="1:1" ht="20.100000000000001" customHeight="1" thickBot="1" x14ac:dyDescent="0.35">
      <c r="A61" s="13">
        <v>45953</v>
      </c>
    </row>
    <row r="62" spans="1:1" ht="20.100000000000001" customHeight="1" thickBot="1" x14ac:dyDescent="0.35">
      <c r="A62" s="13">
        <v>45954</v>
      </c>
    </row>
    <row r="63" spans="1:1" ht="20.100000000000001" customHeight="1" thickBot="1" x14ac:dyDescent="0.35">
      <c r="A63" s="13">
        <v>45955</v>
      </c>
    </row>
    <row r="64" spans="1:1" ht="20.100000000000001" customHeight="1" thickBot="1" x14ac:dyDescent="0.35">
      <c r="A64" s="13">
        <v>45956</v>
      </c>
    </row>
    <row r="65" spans="1:1" ht="20.100000000000001" customHeight="1" thickBot="1" x14ac:dyDescent="0.35">
      <c r="A65" s="13">
        <v>45957</v>
      </c>
    </row>
    <row r="66" spans="1:1" ht="20.100000000000001" customHeight="1" thickBot="1" x14ac:dyDescent="0.35">
      <c r="A66" s="13">
        <v>45958</v>
      </c>
    </row>
    <row r="67" spans="1:1" ht="20.100000000000001" customHeight="1" thickBot="1" x14ac:dyDescent="0.35">
      <c r="A67" s="13">
        <v>45959</v>
      </c>
    </row>
    <row r="68" spans="1:1" ht="20.100000000000001" customHeight="1" thickBot="1" x14ac:dyDescent="0.35">
      <c r="A68" s="13">
        <v>45960</v>
      </c>
    </row>
    <row r="69" spans="1:1" ht="20.100000000000001" customHeight="1" thickBot="1" x14ac:dyDescent="0.35">
      <c r="A69" s="13">
        <v>45961</v>
      </c>
    </row>
    <row r="70" spans="1:1" ht="20.100000000000001" customHeight="1" thickBot="1" x14ac:dyDescent="0.35">
      <c r="A70" s="13"/>
    </row>
    <row r="71" spans="1:1" ht="20.100000000000001" customHeight="1" thickBot="1" x14ac:dyDescent="0.35">
      <c r="A71" s="13"/>
    </row>
    <row r="72" spans="1:1" ht="20.100000000000001" customHeight="1" thickBot="1" x14ac:dyDescent="0.35">
      <c r="A72" s="13"/>
    </row>
    <row r="73" spans="1:1" ht="20.100000000000001" customHeight="1" thickBot="1" x14ac:dyDescent="0.35">
      <c r="A73" s="13"/>
    </row>
    <row r="74" spans="1:1" ht="20.100000000000001" customHeight="1" thickBot="1" x14ac:dyDescent="0.35">
      <c r="A74" s="13"/>
    </row>
    <row r="75" spans="1:1" ht="20.100000000000001" customHeight="1" thickBot="1" x14ac:dyDescent="0.35">
      <c r="A75" s="13"/>
    </row>
    <row r="76" spans="1:1" ht="20.100000000000001" customHeight="1" thickBot="1" x14ac:dyDescent="0.35">
      <c r="A76" s="13"/>
    </row>
    <row r="77" spans="1:1" ht="20.100000000000001" customHeight="1" thickBot="1" x14ac:dyDescent="0.35">
      <c r="A77" s="13"/>
    </row>
    <row r="78" spans="1:1" ht="20.100000000000001" customHeight="1" thickBot="1" x14ac:dyDescent="0.35">
      <c r="A78" s="13"/>
    </row>
    <row r="79" spans="1:1" ht="20.100000000000001" customHeight="1" thickBot="1" x14ac:dyDescent="0.35">
      <c r="A79" s="13"/>
    </row>
    <row r="80" spans="1:1" ht="20.100000000000001" customHeight="1" thickBot="1" x14ac:dyDescent="0.35">
      <c r="A80" s="13"/>
    </row>
    <row r="81" spans="1:1" ht="20.100000000000001" customHeight="1" thickBot="1" x14ac:dyDescent="0.35">
      <c r="A81" s="13"/>
    </row>
    <row r="82" spans="1:1" ht="20.100000000000001" customHeight="1" thickBot="1" x14ac:dyDescent="0.35">
      <c r="A82" s="13"/>
    </row>
    <row r="83" spans="1:1" ht="20.100000000000001" customHeight="1" thickBot="1" x14ac:dyDescent="0.35">
      <c r="A83" s="13"/>
    </row>
    <row r="84" spans="1:1" ht="20.100000000000001" customHeight="1" thickBot="1" x14ac:dyDescent="0.35">
      <c r="A84" s="13"/>
    </row>
    <row r="85" spans="1:1" ht="20.100000000000001" customHeight="1" thickBot="1" x14ac:dyDescent="0.35">
      <c r="A85" s="13"/>
    </row>
    <row r="86" spans="1:1" ht="20.100000000000001" customHeight="1" thickBot="1" x14ac:dyDescent="0.35">
      <c r="A86" s="13"/>
    </row>
    <row r="87" spans="1:1" ht="20.100000000000001" customHeight="1" thickBot="1" x14ac:dyDescent="0.35">
      <c r="A87" s="13"/>
    </row>
    <row r="88" spans="1:1" ht="20.100000000000001" customHeight="1" thickBot="1" x14ac:dyDescent="0.35">
      <c r="A88" s="13"/>
    </row>
    <row r="89" spans="1:1" ht="20.100000000000001" customHeight="1" thickBot="1" x14ac:dyDescent="0.35">
      <c r="A89" s="13"/>
    </row>
    <row r="90" spans="1:1" ht="20.100000000000001" customHeight="1" thickBot="1" x14ac:dyDescent="0.35">
      <c r="A90" s="13"/>
    </row>
    <row r="91" spans="1:1" ht="20.100000000000001" customHeight="1" thickBot="1" x14ac:dyDescent="0.35">
      <c r="A91" s="13"/>
    </row>
    <row r="92" spans="1:1" ht="20.100000000000001" customHeight="1" thickBot="1" x14ac:dyDescent="0.35">
      <c r="A92" s="13"/>
    </row>
    <row r="93" spans="1:1" ht="20.100000000000001" customHeight="1" thickBot="1" x14ac:dyDescent="0.35">
      <c r="A93" s="13"/>
    </row>
    <row r="94" spans="1:1" ht="20.100000000000001" customHeight="1" thickBot="1" x14ac:dyDescent="0.35">
      <c r="A94" s="13"/>
    </row>
    <row r="95" spans="1:1" ht="20.100000000000001" customHeight="1" thickBot="1" x14ac:dyDescent="0.35">
      <c r="A95" s="13"/>
    </row>
    <row r="96" spans="1:1" ht="20.100000000000001" customHeight="1" thickBot="1" x14ac:dyDescent="0.35">
      <c r="A96" s="13"/>
    </row>
    <row r="97" spans="1:9" ht="20.100000000000001" customHeight="1" thickBot="1" x14ac:dyDescent="0.35">
      <c r="A97" s="13"/>
    </row>
    <row r="98" spans="1:9" ht="20.100000000000001" customHeight="1" thickBot="1" x14ac:dyDescent="0.35">
      <c r="A98" s="13"/>
    </row>
    <row r="99" spans="1:9" ht="20.100000000000001" customHeight="1" thickBot="1" x14ac:dyDescent="0.35">
      <c r="A99" s="13"/>
    </row>
    <row r="100" spans="1:9" ht="20.100000000000001" customHeight="1" thickBot="1" x14ac:dyDescent="0.35">
      <c r="A100" s="13"/>
    </row>
    <row r="101" spans="1:9" ht="20.100000000000001" customHeight="1" thickBot="1" x14ac:dyDescent="0.35">
      <c r="A101" s="13"/>
    </row>
    <row r="102" spans="1:9" ht="20.100000000000001" customHeight="1" thickBot="1" x14ac:dyDescent="0.35">
      <c r="A102" s="13"/>
    </row>
    <row r="103" spans="1:9" ht="20.100000000000001" customHeight="1" thickBot="1" x14ac:dyDescent="0.35">
      <c r="A103" s="13"/>
    </row>
    <row r="104" spans="1:9" ht="20.100000000000001" customHeight="1" thickBot="1" x14ac:dyDescent="0.35">
      <c r="A104" s="13"/>
    </row>
    <row r="105" spans="1:9" ht="20.100000000000001" customHeight="1" thickBot="1" x14ac:dyDescent="0.35">
      <c r="A105" s="13"/>
    </row>
    <row r="106" spans="1:9" ht="20.100000000000001" customHeight="1" thickBot="1" x14ac:dyDescent="0.35">
      <c r="A106" s="13"/>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59</v>
      </c>
    </row>
    <row r="112" spans="1:9" ht="20.100000000000001" customHeight="1" thickBot="1" x14ac:dyDescent="0.35">
      <c r="A112" s="2" t="s">
        <v>15</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57</v>
      </c>
    </row>
    <row r="199" spans="1:1" ht="20.100000000000001" customHeight="1" x14ac:dyDescent="0.3">
      <c r="A199" s="20" t="s">
        <v>87</v>
      </c>
    </row>
    <row r="200" spans="1:1" ht="20.100000000000001" customHeight="1" x14ac:dyDescent="0.3">
      <c r="A200" s="20" t="s">
        <v>88</v>
      </c>
    </row>
    <row r="201" spans="1:1" ht="20.100000000000001" customHeight="1" x14ac:dyDescent="0.3">
      <c r="A201" s="20" t="s">
        <v>89</v>
      </c>
    </row>
    <row r="202" spans="1:1" ht="20.100000000000001" customHeight="1" x14ac:dyDescent="0.3">
      <c r="A202" s="20" t="s">
        <v>90</v>
      </c>
    </row>
    <row r="203" spans="1:1" ht="20.100000000000001" customHeight="1" x14ac:dyDescent="0.3">
      <c r="A203" s="20" t="s">
        <v>91</v>
      </c>
    </row>
    <row r="204" spans="1:1" ht="20.100000000000001" customHeight="1" x14ac:dyDescent="0.3">
      <c r="A204" s="20" t="s">
        <v>92</v>
      </c>
    </row>
    <row r="205" spans="1:1" ht="20.100000000000001" customHeight="1" x14ac:dyDescent="0.3">
      <c r="A205" s="20" t="s">
        <v>93</v>
      </c>
    </row>
    <row r="206" spans="1:1" ht="20.100000000000001" customHeight="1" x14ac:dyDescent="0.3">
      <c r="A206" s="20" t="s">
        <v>94</v>
      </c>
    </row>
    <row r="207" spans="1:1" ht="20.100000000000001" customHeight="1" x14ac:dyDescent="0.3">
      <c r="A207" s="20" t="s">
        <v>95</v>
      </c>
    </row>
    <row r="208" spans="1:1" ht="20.100000000000001" customHeight="1" x14ac:dyDescent="0.3">
      <c r="A208" s="21" t="s">
        <v>96</v>
      </c>
    </row>
    <row r="209" spans="1:1" ht="20.100000000000001" customHeight="1" x14ac:dyDescent="0.3">
      <c r="A209" s="21" t="s">
        <v>97</v>
      </c>
    </row>
    <row r="210" spans="1:1" ht="20.100000000000001" customHeight="1" x14ac:dyDescent="0.3">
      <c r="A210" s="20" t="s">
        <v>98</v>
      </c>
    </row>
    <row r="211" spans="1:1" ht="20.100000000000001" customHeight="1" x14ac:dyDescent="0.3">
      <c r="A211" s="20" t="s">
        <v>99</v>
      </c>
    </row>
    <row r="212" spans="1:1" ht="20.100000000000001" customHeight="1" x14ac:dyDescent="0.3">
      <c r="A212" s="20" t="s">
        <v>173</v>
      </c>
    </row>
    <row r="213" spans="1:1" ht="20.100000000000001" customHeight="1" x14ac:dyDescent="0.3">
      <c r="A213" s="20" t="s">
        <v>100</v>
      </c>
    </row>
    <row r="214" spans="1:1" ht="20.100000000000001" customHeight="1" x14ac:dyDescent="0.3">
      <c r="A214" s="20" t="s">
        <v>101</v>
      </c>
    </row>
    <row r="215" spans="1:1" ht="20.100000000000001" customHeight="1" x14ac:dyDescent="0.3">
      <c r="A215" s="20" t="s">
        <v>102</v>
      </c>
    </row>
    <row r="216" spans="1:1" ht="20.100000000000001" customHeight="1" x14ac:dyDescent="0.3">
      <c r="A216" s="20" t="s">
        <v>103</v>
      </c>
    </row>
    <row r="217" spans="1:1" ht="20.100000000000001" customHeight="1" x14ac:dyDescent="0.3">
      <c r="A217" s="20" t="s">
        <v>104</v>
      </c>
    </row>
    <row r="218" spans="1:1" ht="20.100000000000001" customHeight="1" x14ac:dyDescent="0.3">
      <c r="A218" s="20" t="s">
        <v>105</v>
      </c>
    </row>
    <row r="219" spans="1:1" ht="20.100000000000001" customHeight="1" x14ac:dyDescent="0.3">
      <c r="A219" s="20" t="s">
        <v>106</v>
      </c>
    </row>
    <row r="220" spans="1:1" ht="20.100000000000001" customHeight="1" x14ac:dyDescent="0.3">
      <c r="A220" s="20" t="s">
        <v>107</v>
      </c>
    </row>
    <row r="221" spans="1:1" ht="20.100000000000001" customHeight="1" x14ac:dyDescent="0.3">
      <c r="A221" s="20" t="s">
        <v>108</v>
      </c>
    </row>
    <row r="222" spans="1:1" ht="20.100000000000001" customHeight="1" x14ac:dyDescent="0.3">
      <c r="A222" s="20" t="s">
        <v>109</v>
      </c>
    </row>
    <row r="223" spans="1:1" ht="20.100000000000001" customHeight="1" x14ac:dyDescent="0.3">
      <c r="A223" s="20" t="s">
        <v>110</v>
      </c>
    </row>
    <row r="224" spans="1:1" ht="20.100000000000001" customHeight="1" x14ac:dyDescent="0.3">
      <c r="A224" s="20" t="s">
        <v>174</v>
      </c>
    </row>
    <row r="225" spans="1:1" ht="20.100000000000001" customHeight="1" x14ac:dyDescent="0.3">
      <c r="A225" s="20" t="s">
        <v>111</v>
      </c>
    </row>
    <row r="226" spans="1:1" ht="20.100000000000001" customHeight="1" x14ac:dyDescent="0.3">
      <c r="A226" s="20" t="s">
        <v>112</v>
      </c>
    </row>
    <row r="227" spans="1:1" ht="20.100000000000001" customHeight="1" x14ac:dyDescent="0.3">
      <c r="A227" s="20" t="s">
        <v>113</v>
      </c>
    </row>
    <row r="228" spans="1:1" ht="20.100000000000001" customHeight="1" x14ac:dyDescent="0.3">
      <c r="A228" s="20" t="s">
        <v>114</v>
      </c>
    </row>
    <row r="229" spans="1:1" ht="20.100000000000001" customHeight="1" x14ac:dyDescent="0.3">
      <c r="A229" s="20" t="s">
        <v>115</v>
      </c>
    </row>
    <row r="230" spans="1:1" ht="20.100000000000001" customHeight="1" x14ac:dyDescent="0.3">
      <c r="A230" s="20" t="s">
        <v>116</v>
      </c>
    </row>
    <row r="231" spans="1:1" ht="20.100000000000001" customHeight="1" x14ac:dyDescent="0.3">
      <c r="A231" s="20" t="s">
        <v>117</v>
      </c>
    </row>
    <row r="232" spans="1:1" ht="20.100000000000001" customHeight="1" x14ac:dyDescent="0.3">
      <c r="A232" s="20" t="s">
        <v>118</v>
      </c>
    </row>
    <row r="233" spans="1:1" ht="20.100000000000001" customHeight="1" x14ac:dyDescent="0.3">
      <c r="A233" s="20" t="s">
        <v>119</v>
      </c>
    </row>
    <row r="234" spans="1:1" ht="20.100000000000001" customHeight="1" x14ac:dyDescent="0.3">
      <c r="A234" s="20" t="s">
        <v>120</v>
      </c>
    </row>
    <row r="235" spans="1:1" ht="20.100000000000001" customHeight="1" x14ac:dyDescent="0.3">
      <c r="A235" s="20" t="s">
        <v>121</v>
      </c>
    </row>
    <row r="236" spans="1:1" ht="20.100000000000001" customHeight="1" x14ac:dyDescent="0.3">
      <c r="A236" s="22" t="s">
        <v>122</v>
      </c>
    </row>
    <row r="237" spans="1:1" ht="20.100000000000001" customHeight="1" x14ac:dyDescent="0.3">
      <c r="A237" s="20" t="s">
        <v>123</v>
      </c>
    </row>
    <row r="238" spans="1:1" ht="20.100000000000001" customHeight="1" x14ac:dyDescent="0.3">
      <c r="A238" s="20" t="s">
        <v>124</v>
      </c>
    </row>
    <row r="239" spans="1:1" ht="20.100000000000001" customHeight="1" x14ac:dyDescent="0.3">
      <c r="A239" s="20" t="s">
        <v>125</v>
      </c>
    </row>
    <row r="240" spans="1:1" ht="20.100000000000001" customHeight="1" x14ac:dyDescent="0.3">
      <c r="A240" s="20" t="s">
        <v>126</v>
      </c>
    </row>
    <row r="241" spans="1:1" ht="20.100000000000001" customHeight="1" x14ac:dyDescent="0.3">
      <c r="A241" s="20" t="s">
        <v>127</v>
      </c>
    </row>
    <row r="242" spans="1:1" ht="20.100000000000001" customHeight="1" x14ac:dyDescent="0.3">
      <c r="A242" s="20" t="s">
        <v>128</v>
      </c>
    </row>
    <row r="243" spans="1:1" ht="20.100000000000001" customHeight="1" x14ac:dyDescent="0.3">
      <c r="A243" s="20" t="s">
        <v>129</v>
      </c>
    </row>
    <row r="244" spans="1:1" ht="20.100000000000001" customHeight="1" x14ac:dyDescent="0.3">
      <c r="A244" s="20" t="s">
        <v>130</v>
      </c>
    </row>
    <row r="245" spans="1:1" ht="20.100000000000001" customHeight="1" x14ac:dyDescent="0.3">
      <c r="A245" s="20" t="s">
        <v>131</v>
      </c>
    </row>
    <row r="246" spans="1:1" ht="20.100000000000001" customHeight="1" x14ac:dyDescent="0.3">
      <c r="A246" s="20" t="s">
        <v>132</v>
      </c>
    </row>
    <row r="247" spans="1:1" ht="20.100000000000001" customHeight="1" x14ac:dyDescent="0.3">
      <c r="A247" s="20" t="s">
        <v>133</v>
      </c>
    </row>
    <row r="248" spans="1:1" ht="20.100000000000001" customHeight="1" x14ac:dyDescent="0.3">
      <c r="A248" s="20" t="s">
        <v>124</v>
      </c>
    </row>
    <row r="249" spans="1:1" ht="20.100000000000001" customHeight="1" x14ac:dyDescent="0.3">
      <c r="A249" s="20" t="s">
        <v>134</v>
      </c>
    </row>
    <row r="250" spans="1:1" ht="20.100000000000001" customHeight="1" x14ac:dyDescent="0.3">
      <c r="A250" s="20" t="s">
        <v>135</v>
      </c>
    </row>
    <row r="251" spans="1:1" ht="20.100000000000001" customHeight="1" x14ac:dyDescent="0.3">
      <c r="A251" s="22" t="s">
        <v>136</v>
      </c>
    </row>
    <row r="252" spans="1:1" ht="20.100000000000001" customHeight="1" x14ac:dyDescent="0.3">
      <c r="A252" s="23" t="s">
        <v>137</v>
      </c>
    </row>
    <row r="253" spans="1:1" ht="20.100000000000001" customHeight="1" x14ac:dyDescent="0.3">
      <c r="A253" s="20" t="s">
        <v>138</v>
      </c>
    </row>
    <row r="254" spans="1:1" ht="20.100000000000001" customHeight="1" x14ac:dyDescent="0.3">
      <c r="A254" s="20" t="s">
        <v>139</v>
      </c>
    </row>
    <row r="255" spans="1:1" ht="20.100000000000001" customHeight="1" x14ac:dyDescent="0.3">
      <c r="A255" s="24" t="s">
        <v>140</v>
      </c>
    </row>
    <row r="256" spans="1:1" ht="20.100000000000001" customHeight="1" x14ac:dyDescent="0.3">
      <c r="A256" s="24" t="s">
        <v>141</v>
      </c>
    </row>
    <row r="257" spans="1:1" ht="20.100000000000001" customHeight="1" x14ac:dyDescent="0.3">
      <c r="A257" s="25" t="s">
        <v>142</v>
      </c>
    </row>
    <row r="258" spans="1:1" ht="20.100000000000001" customHeight="1" x14ac:dyDescent="0.3">
      <c r="A258" s="20" t="s">
        <v>143</v>
      </c>
    </row>
    <row r="259" spans="1:1" ht="20.100000000000001" customHeight="1" x14ac:dyDescent="0.3">
      <c r="A259" s="25" t="s">
        <v>144</v>
      </c>
    </row>
    <row r="260" spans="1:1" ht="20.100000000000001" customHeight="1" x14ac:dyDescent="0.3">
      <c r="A260" s="20" t="s">
        <v>145</v>
      </c>
    </row>
    <row r="261" spans="1:1" ht="20.100000000000001" customHeight="1" x14ac:dyDescent="0.3">
      <c r="A261" s="25" t="s">
        <v>146</v>
      </c>
    </row>
    <row r="262" spans="1:1" ht="20.100000000000001" customHeight="1" x14ac:dyDescent="0.3">
      <c r="A262" s="20" t="s">
        <v>147</v>
      </c>
    </row>
    <row r="263" spans="1:1" ht="20.100000000000001" customHeight="1" x14ac:dyDescent="0.3">
      <c r="A263" s="20" t="s">
        <v>148</v>
      </c>
    </row>
    <row r="264" spans="1:1" ht="20.100000000000001" customHeight="1" x14ac:dyDescent="0.3">
      <c r="A264" s="25" t="s">
        <v>149</v>
      </c>
    </row>
    <row r="265" spans="1:1" ht="20.100000000000001" customHeight="1" x14ac:dyDescent="0.3">
      <c r="A265" s="25" t="s">
        <v>150</v>
      </c>
    </row>
    <row r="266" spans="1:1" ht="20.100000000000001" customHeight="1" x14ac:dyDescent="0.3">
      <c r="A266" s="25" t="s">
        <v>151</v>
      </c>
    </row>
    <row r="267" spans="1:1" ht="20.100000000000001" customHeight="1" x14ac:dyDescent="0.3">
      <c r="A267" s="20" t="s">
        <v>152</v>
      </c>
    </row>
    <row r="268" spans="1:1" ht="20.100000000000001" customHeight="1" x14ac:dyDescent="0.3">
      <c r="A268" s="20" t="s">
        <v>153</v>
      </c>
    </row>
    <row r="269" spans="1:1" ht="20.100000000000001" customHeight="1" x14ac:dyDescent="0.3">
      <c r="A269" s="20" t="s">
        <v>154</v>
      </c>
    </row>
    <row r="270" spans="1:1" ht="20.100000000000001" customHeight="1" x14ac:dyDescent="0.3">
      <c r="A270" s="20" t="s">
        <v>155</v>
      </c>
    </row>
    <row r="271" spans="1:1" ht="20.100000000000001" customHeight="1" x14ac:dyDescent="0.3">
      <c r="A271" s="25" t="s">
        <v>156</v>
      </c>
    </row>
    <row r="272" spans="1:1" ht="20.100000000000001" customHeight="1" x14ac:dyDescent="0.3">
      <c r="A272" s="25" t="s">
        <v>157</v>
      </c>
    </row>
    <row r="273" spans="1:1" ht="20.100000000000001" customHeight="1" x14ac:dyDescent="0.3">
      <c r="A273" s="20" t="s">
        <v>158</v>
      </c>
    </row>
    <row r="274" spans="1:1" ht="20.100000000000001" customHeight="1" x14ac:dyDescent="0.3">
      <c r="A274" s="25" t="s">
        <v>159</v>
      </c>
    </row>
    <row r="275" spans="1:1" ht="20.100000000000001" customHeight="1" x14ac:dyDescent="0.3">
      <c r="A275" s="25" t="s">
        <v>160</v>
      </c>
    </row>
    <row r="276" spans="1:1" ht="20.100000000000001" customHeight="1" x14ac:dyDescent="0.3">
      <c r="A276" s="20" t="s">
        <v>161</v>
      </c>
    </row>
    <row r="277" spans="1:1" ht="20.100000000000001" customHeight="1" x14ac:dyDescent="0.3">
      <c r="A277" s="20" t="s">
        <v>162</v>
      </c>
    </row>
    <row r="278" spans="1:1" ht="20.100000000000001" customHeight="1" x14ac:dyDescent="0.3">
      <c r="A278" s="25" t="s">
        <v>163</v>
      </c>
    </row>
    <row r="279" spans="1:1" ht="20.100000000000001" customHeight="1" x14ac:dyDescent="0.3">
      <c r="A279" s="20" t="s">
        <v>164</v>
      </c>
    </row>
    <row r="280" spans="1:1" ht="20.100000000000001" customHeight="1" x14ac:dyDescent="0.3">
      <c r="A280" s="20" t="s">
        <v>165</v>
      </c>
    </row>
    <row r="281" spans="1:1" ht="20.100000000000001" customHeight="1" x14ac:dyDescent="0.3">
      <c r="A281" s="20" t="s">
        <v>166</v>
      </c>
    </row>
    <row r="282" spans="1:1" ht="20.100000000000001" customHeight="1" x14ac:dyDescent="0.3">
      <c r="A282" s="20" t="s">
        <v>167</v>
      </c>
    </row>
    <row r="283" spans="1:1" ht="20.100000000000001" customHeight="1" x14ac:dyDescent="0.3">
      <c r="A283" s="25" t="s">
        <v>168</v>
      </c>
    </row>
    <row r="284" spans="1:1" ht="20.100000000000001" customHeight="1" x14ac:dyDescent="0.3">
      <c r="A284" s="25" t="s">
        <v>169</v>
      </c>
    </row>
    <row r="285" spans="1:1" ht="20.100000000000001" customHeight="1" x14ac:dyDescent="0.3">
      <c r="A285" s="25" t="s">
        <v>170</v>
      </c>
    </row>
    <row r="286" spans="1:1" ht="20.100000000000001" customHeight="1" thickBot="1" x14ac:dyDescent="0.35">
      <c r="A286" s="20" t="s">
        <v>171</v>
      </c>
    </row>
    <row r="287" spans="1:1" ht="20.100000000000001" customHeight="1" thickBot="1" x14ac:dyDescent="0.35">
      <c r="A287" s="2" t="s">
        <v>56</v>
      </c>
    </row>
    <row r="288" spans="1:1" ht="20.100000000000001" customHeight="1" thickBot="1" x14ac:dyDescent="0.35">
      <c r="A288" s="2" t="s">
        <v>56</v>
      </c>
    </row>
    <row r="289" spans="1:1" ht="20.100000000000001" customHeight="1" thickBot="1" x14ac:dyDescent="0.35">
      <c r="A289" s="2" t="s">
        <v>56</v>
      </c>
    </row>
    <row r="290" spans="1:1" ht="20.100000000000001" customHeight="1" thickBot="1" x14ac:dyDescent="0.35">
      <c r="A290" s="2" t="s">
        <v>56</v>
      </c>
    </row>
    <row r="291" spans="1:1" ht="20.100000000000001" customHeight="1" thickBot="1" x14ac:dyDescent="0.35">
      <c r="A291" s="2" t="s">
        <v>56</v>
      </c>
    </row>
    <row r="292" spans="1:1" ht="20.100000000000001" customHeight="1" thickBot="1" x14ac:dyDescent="0.35">
      <c r="A292" s="2" t="s">
        <v>56</v>
      </c>
    </row>
    <row r="293" spans="1:1" ht="20.100000000000001" customHeight="1" thickBot="1" x14ac:dyDescent="0.35">
      <c r="A293" s="2" t="s">
        <v>56</v>
      </c>
    </row>
    <row r="294" spans="1:1" ht="20.100000000000001" customHeight="1" thickBot="1" x14ac:dyDescent="0.35">
      <c r="A294" s="2" t="s">
        <v>56</v>
      </c>
    </row>
    <row r="295" spans="1:1" ht="20.100000000000001" customHeight="1" thickBot="1" x14ac:dyDescent="0.35">
      <c r="A295" s="2" t="s">
        <v>56</v>
      </c>
    </row>
    <row r="296" spans="1:1" ht="20.100000000000001" customHeight="1" thickBot="1" x14ac:dyDescent="0.35">
      <c r="A296" s="2" t="s">
        <v>56</v>
      </c>
    </row>
    <row r="297" spans="1:1" ht="20.100000000000001" customHeight="1" thickBot="1" x14ac:dyDescent="0.35">
      <c r="A297" s="2" t="s">
        <v>56</v>
      </c>
    </row>
    <row r="298" spans="1:1" ht="20.100000000000001" customHeight="1" thickBot="1" x14ac:dyDescent="0.35">
      <c r="A298" s="2" t="s">
        <v>56</v>
      </c>
    </row>
    <row r="299" spans="1:1" ht="20.100000000000001" customHeight="1" thickBot="1" x14ac:dyDescent="0.35">
      <c r="A299" s="2" t="s">
        <v>56</v>
      </c>
    </row>
    <row r="300" spans="1:1" ht="20.100000000000001" customHeight="1" thickBot="1" x14ac:dyDescent="0.35">
      <c r="A300" s="2" t="s">
        <v>56</v>
      </c>
    </row>
    <row r="301" spans="1:1" ht="20.100000000000001" customHeight="1" thickBot="1" x14ac:dyDescent="0.35">
      <c r="A301" s="2" t="s">
        <v>56</v>
      </c>
    </row>
    <row r="302" spans="1:1" ht="20.100000000000001" customHeight="1" thickBot="1" x14ac:dyDescent="0.35">
      <c r="A302" s="2" t="s">
        <v>56</v>
      </c>
    </row>
    <row r="303" spans="1:1" ht="20.100000000000001" customHeight="1" thickBot="1" x14ac:dyDescent="0.35">
      <c r="A303" s="2" t="s">
        <v>56</v>
      </c>
    </row>
    <row r="304" spans="1:1" ht="20.100000000000001" customHeight="1" thickBot="1" x14ac:dyDescent="0.35">
      <c r="A304" s="2" t="s">
        <v>56</v>
      </c>
    </row>
    <row r="305" spans="1:1" ht="20.100000000000001" customHeight="1" thickBot="1" x14ac:dyDescent="0.35">
      <c r="A305" s="2" t="s">
        <v>56</v>
      </c>
    </row>
    <row r="306" spans="1:1" ht="20.100000000000001" customHeight="1" thickBot="1" x14ac:dyDescent="0.35">
      <c r="A306" s="2" t="s">
        <v>56</v>
      </c>
    </row>
    <row r="307" spans="1:1" ht="20.100000000000001" customHeight="1" thickBot="1" x14ac:dyDescent="0.35">
      <c r="A307" s="2" t="s">
        <v>56</v>
      </c>
    </row>
    <row r="308" spans="1:1" ht="20.100000000000001" customHeight="1" thickBot="1" x14ac:dyDescent="0.35">
      <c r="A308" s="2" t="s">
        <v>56</v>
      </c>
    </row>
    <row r="309" spans="1:1" ht="20.100000000000001" customHeight="1" thickBot="1" x14ac:dyDescent="0.35">
      <c r="A309" s="2" t="s">
        <v>56</v>
      </c>
    </row>
    <row r="310" spans="1:1" ht="20.100000000000001" customHeight="1" thickBot="1" x14ac:dyDescent="0.35">
      <c r="A310" s="2" t="s">
        <v>56</v>
      </c>
    </row>
    <row r="311" spans="1:1" ht="20.100000000000001" customHeight="1" thickBot="1" x14ac:dyDescent="0.35">
      <c r="A311" s="2" t="s">
        <v>56</v>
      </c>
    </row>
    <row r="312" spans="1:1" ht="20.100000000000001" customHeight="1" thickBot="1" x14ac:dyDescent="0.35">
      <c r="A312" s="2" t="s">
        <v>56</v>
      </c>
    </row>
    <row r="313" spans="1:1" ht="20.100000000000001" customHeight="1" thickBot="1" x14ac:dyDescent="0.35">
      <c r="A313" s="2" t="s">
        <v>56</v>
      </c>
    </row>
    <row r="314" spans="1:1" ht="20.100000000000001" customHeight="1" thickBot="1" x14ac:dyDescent="0.35">
      <c r="A314" s="2" t="s">
        <v>56</v>
      </c>
    </row>
    <row r="315" spans="1:1" ht="20.100000000000001" customHeight="1" thickBot="1" x14ac:dyDescent="0.35">
      <c r="A315" s="2" t="s">
        <v>56</v>
      </c>
    </row>
    <row r="316" spans="1:1" ht="20.100000000000001" customHeight="1" thickBot="1" x14ac:dyDescent="0.35">
      <c r="A316" s="2" t="s">
        <v>56</v>
      </c>
    </row>
    <row r="317" spans="1:1" ht="20.100000000000001" customHeight="1" thickBot="1" x14ac:dyDescent="0.35">
      <c r="A317" s="2" t="s">
        <v>56</v>
      </c>
    </row>
    <row r="318" spans="1:1" ht="20.100000000000001" customHeight="1" thickBot="1" x14ac:dyDescent="0.35">
      <c r="A318" s="2" t="s">
        <v>56</v>
      </c>
    </row>
    <row r="319" spans="1:1" ht="20.100000000000001" customHeight="1" thickBot="1" x14ac:dyDescent="0.35">
      <c r="A319" s="2" t="s">
        <v>56</v>
      </c>
    </row>
    <row r="320" spans="1:1" ht="20.100000000000001" customHeight="1" thickBot="1" x14ac:dyDescent="0.35">
      <c r="A320" s="2" t="s">
        <v>56</v>
      </c>
    </row>
    <row r="321" spans="1:1" ht="20.100000000000001" customHeight="1" thickBot="1" x14ac:dyDescent="0.35">
      <c r="A321" s="2" t="s">
        <v>56</v>
      </c>
    </row>
    <row r="322" spans="1:1" ht="20.100000000000001" customHeight="1" thickBot="1" x14ac:dyDescent="0.35">
      <c r="A322" s="2" t="s">
        <v>56</v>
      </c>
    </row>
    <row r="323" spans="1:1" ht="20.100000000000001" customHeight="1" thickBot="1" x14ac:dyDescent="0.35">
      <c r="A323" s="2" t="s">
        <v>56</v>
      </c>
    </row>
    <row r="324" spans="1:1" ht="20.100000000000001" customHeight="1" thickBot="1" x14ac:dyDescent="0.35">
      <c r="A324" s="2" t="s">
        <v>56</v>
      </c>
    </row>
    <row r="325" spans="1:1" ht="20.100000000000001" customHeight="1" thickBot="1" x14ac:dyDescent="0.35">
      <c r="A325" s="2" t="s">
        <v>56</v>
      </c>
    </row>
    <row r="326" spans="1:1" ht="20.100000000000001" customHeight="1" thickBot="1" x14ac:dyDescent="0.35">
      <c r="A326" s="2" t="s">
        <v>56</v>
      </c>
    </row>
    <row r="327" spans="1:1" ht="20.100000000000001" customHeight="1" thickBot="1" x14ac:dyDescent="0.35">
      <c r="A327" s="2" t="s">
        <v>56</v>
      </c>
    </row>
    <row r="328" spans="1:1" ht="20.100000000000001" customHeight="1" thickBot="1" x14ac:dyDescent="0.35">
      <c r="A328" s="2" t="s">
        <v>56</v>
      </c>
    </row>
    <row r="329" spans="1:1" ht="20.100000000000001" customHeight="1" thickBot="1" x14ac:dyDescent="0.35">
      <c r="A329" s="2" t="s">
        <v>56</v>
      </c>
    </row>
    <row r="330" spans="1:1" ht="20.100000000000001" customHeight="1" thickBot="1" x14ac:dyDescent="0.35">
      <c r="A330" s="2" t="s">
        <v>56</v>
      </c>
    </row>
    <row r="331" spans="1:1" ht="20.100000000000001" customHeight="1" thickBot="1" x14ac:dyDescent="0.35">
      <c r="A331" s="2" t="s">
        <v>56</v>
      </c>
    </row>
    <row r="332" spans="1:1" ht="20.100000000000001" customHeight="1" thickBot="1" x14ac:dyDescent="0.35">
      <c r="A332" s="2" t="s">
        <v>56</v>
      </c>
    </row>
    <row r="333" spans="1:1" ht="20.100000000000001" customHeight="1" thickBot="1" x14ac:dyDescent="0.35">
      <c r="A333" s="2" t="s">
        <v>56</v>
      </c>
    </row>
    <row r="334" spans="1:1" ht="20.100000000000001" customHeight="1" thickBot="1" x14ac:dyDescent="0.35">
      <c r="A334" s="2" t="s">
        <v>56</v>
      </c>
    </row>
    <row r="335" spans="1:1" ht="20.100000000000001" customHeight="1" thickBot="1" x14ac:dyDescent="0.35">
      <c r="A335" s="2" t="s">
        <v>56</v>
      </c>
    </row>
    <row r="336" spans="1:1" ht="20.100000000000001" customHeight="1" thickBot="1" x14ac:dyDescent="0.35">
      <c r="A336" s="2" t="s">
        <v>56</v>
      </c>
    </row>
    <row r="337" spans="1:1" ht="20.100000000000001" customHeight="1" thickBot="1" x14ac:dyDescent="0.35">
      <c r="A337" s="2" t="s">
        <v>56</v>
      </c>
    </row>
    <row r="338" spans="1:1" ht="20.100000000000001" customHeight="1" thickBot="1" x14ac:dyDescent="0.35">
      <c r="A338" s="2"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2025-10-20T04:37:44Z</dcterms:modified>
</cp:coreProperties>
</file>