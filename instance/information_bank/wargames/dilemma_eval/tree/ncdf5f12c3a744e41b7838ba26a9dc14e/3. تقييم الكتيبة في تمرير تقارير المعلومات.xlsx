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9CEEAED3-3C7E-4859-A046-AE036E93C020}"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<sst xmlns="http://schemas.openxmlformats.org/spreadsheetml/2006/main" count="258" uniqueCount="202">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</sst>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6" fillId="0" borderId="24"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29615</xdr:colOff>
      <xdr:row>36</xdr:row>
      <xdr:rowOff>97895</xdr:rowOff>
    </xdr:from>
    <xdr:to>
      <xdr:col>8</xdr:col>
      <xdr:colOff>95844</xdr:colOff>
      <xdr:row>36</xdr:row>
      <xdr:rowOff>447095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5CE2392-7569-6892-F60C-9E17B9458A95}"/>
                </a:ext>
              </a:extLst>
            </xdr14:cNvPr>
            <xdr14:cNvContentPartPr/>
          </xdr14:nvContentPartPr>
          <xdr14:nvPr macro=""/>
          <xdr14:xfrm>
            <a:off x="10399149065" y="18397440"/>
            <a:ext cx="724320" cy="349200"/>
          </xdr14:xfrm>
        </xdr:contentPart>
      </mc:Choice>
      <mc:Fallback xmlns="">
        <xdr:pic>
          <xdr:nvPicPr>
            <xdr:cNvPr id="2" name="Ink 1">
              <a:extLst>
                <a:ext uri="{FF2B5EF4-FFF2-40B4-BE49-F238E27FC236}">
                  <a16:creationId xmlns:a16="http://schemas.microsoft.com/office/drawing/2014/main" id="{75CE2392-7569-6892-F60C-9E17B9458A95}"/>
                </a:ext>
              </a:extLst>
            </xdr:cNvPr>
            <xdr:cNvPicPr/>
          </xdr:nvPicPr>
          <xdr:blipFill>
            <a:blip xmlns:r="http://schemas.openxmlformats.org/officeDocument/2006/relationships" r:embed="rId2"/>
            <a:stretch>
              <a:fillRect/>
            </a:stretch>
          </xdr:blipFill>
          <xdr:spPr>
            <a:xfrm>
              <a:off x="10399142945" y="18391320"/>
              <a:ext cx="736560" cy="361440"/>
            </a:xfrm>
            <a:prstGeom prst="rect">
              <a:avLst/>
            </a:prstGeom>
          </xdr:spPr>
        </xdr:pic>
      </mc:Fallback>
    </mc:AlternateContent>
    <xdr:clientData/>
  </xdr:twoCellAnchor>
  <xdr:twoCellAnchor editAs="oneCell">
    <xdr:from>
      <xdr:col>7</xdr:col>
      <xdr:colOff>186215</xdr:colOff>
      <xdr:row>36</xdr:row>
      <xdr:rowOff>307415</xdr:rowOff>
    </xdr:from>
    <xdr:to>
      <xdr:col>7</xdr:col>
      <xdr:colOff>204935</xdr:colOff>
      <xdr:row>36</xdr:row>
      <xdr:rowOff>347735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2C079B3-01BB-7D42-0EC9-231C3A918F7F}"/>
                </a:ext>
              </a:extLst>
            </xdr14:cNvPr>
            <xdr14:cNvContentPartPr/>
          </xdr14:nvContentPartPr>
          <xdr14:nvPr macro=""/>
          <xdr14:xfrm>
            <a:off x="10399698065" y="18606960"/>
            <a:ext cx="18720" cy="40320"/>
          </xdr14:xfrm>
        </xdr:contentPart>
      </mc:Choice>
      <mc:Fallback xmlns="">
        <xdr:pic>
          <xdr:nvPicPr>
            <xdr:cNvPr id="3" name="Ink 2">
              <a:extLst>
                <a:ext uri="{FF2B5EF4-FFF2-40B4-BE49-F238E27FC236}">
                  <a16:creationId xmlns:a16="http://schemas.microsoft.com/office/drawing/2014/main" id="{82C079B3-01BB-7D42-0EC9-231C3A918F7F}"/>
                </a:ext>
              </a:extLst>
            </xdr:cNvPr>
            <xdr:cNvPicPr/>
          </xdr:nvPicPr>
          <xdr:blipFill>
            <a:blip xmlns:r="http://schemas.openxmlformats.org/officeDocument/2006/relationships" r:embed="rId4"/>
            <a:stretch>
              <a:fillRect/>
            </a:stretch>
          </xdr:blipFill>
          <xdr:spPr>
            <a:xfrm>
              <a:off x="10399691945" y="18600840"/>
              <a:ext cx="30960" cy="52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5.782"/>
    </inkml:context>
    <inkml:brush xml:id="br0">
      <inkml:brushProperty name="width" value="0.035" units="cm"/>
      <inkml:brushProperty name="height" value="0.035" units="cm"/>
    </inkml:brush>
  </inkml:definitions>
  <inkml:trace contextRef="#ctx0" brushRef="#br0">1920 257 3016,'0'0'0,"0"-14"704,0 2-448,0 7-160,0 5-96,0-12 40,0 12-32,0 0 0,0 0-8,0 0-8,0 0 16,0 0-16,0 0 8,-2 0-24,0 0 24,-1 0 8,-2 0-8,5 0 0,0 0-8,0-1-32,-4 1-56,4-2-80,0 2 176,0-1-240,0 0 16,0-1 40,4-1 80,-4 3 104,12-4-40,-12 0 48,5-1 0,10 1 16,-15 4-24,4-4 24,-4 1-32,2 0 16,3 2-16,-5 1 8,2-2 8,1 2-32,-1 0-104,-2 0-72,0 0 200,0 0-224,-2 0 56,-3 5 104,-6 9 88,11-14-24,-10 11 32,-7 2-8,1 0-24,2 1 0,14-14 0,-16 13 0,2 0 8,-1-9-16,2 10 0,13-14 8,-15 3 0,1 1 32,10-1 24,-10-3 24,14 0-80,-5 0 104,0 0 48,-2-1 96,2-4 0,5 5-248,0-4 280,-1-2-80,1-5-80,0 8-48,0 3-72,11-5 48,-9-7-8,1 8-40,13-7 32,-16 11-32,11-5 24,1-8-24,3 9 40,-13-7-40,-2 11 0,16-4 8,-11-1-24,12 0-16,-13 0 0,-4 5 32,12-4 0,-8 0 24,-1 1-16,9 2 8,-12 1-16,4-2-8,0 2-48,-1 0 40,-1 0-56,-2 0 72,5 0-128,-5 0 32,0 3 24,2 1-40,-2-4 112,0 5-96,0 7 40,-2-9-32,-10 11 88,12-14 0,-6 12 8,-9 1-32,3 1 24,-3 1 24,15-15-24,-20 17 48,0 2 0,-6 1-32,-7-2-8,33-18-8,-36 22 8,-1-1 16,-1-3-16,-1 2 0,39-20-8,-38 17 56,1-2 48,0-3 48,0-7 8,37-5-160,-40 14 136,0-10-40,-2 0-8,2 1 48,40-5-136,-40 3 96,2-3 8,1-2 33,-1-2-81,38 4-56,-35-16 112,7 2 40,7-3 136,5-4 136,16 21-424,-12-23 424,9-1 0,3-3-144,-2 0-112,2 27-168,2-29 160,10 1-72,0-2 40,2 2-96,-14 28-32,19-29-8,7 2 16,-3 1-80,3 2 80,-26 24-8,26-24 0,-6 4-8,4 2 16,-3 2 8,-21 16-16,14-11-32,0 7 64,-5-2-128,-4 3-96,-5 3 192,5 0-176,-3 0-56,-2 4 72,0 9 128,0-13 32,-2 13 24,-8 1 8,-4 6-48,-4 3 48,18-23-32,-21 22-8,-5 1 16,0-4 80,3-4-64,23-15-24,-26 12 40,0-9 24,3 1-48,-3 0-8,26-4-8,-21 3-32,-4-3 104,5 0-16,6 0 32,14 0-88,-13-3 208,8-1-144,-10 0 40,15-1 64,0 5-168,-5-4 112,-1-7-8,6 6 96,-2-9-160,2 14-40,-3-6 64,1-9 24,2 3-104,0 0 16,0 12 0,0-13 32,5 0-40,-3 0 24,3 2 32,-5 11-48,11-4-88,-11-11 120,5 13-24,-3-3 0,-2 5-8,0-4-64,0 3-64,0-1-88,0 2 16,0 0 200,-2 0-152,-16 3-8,-2 1 88,-5 12-24,25-16 96,-28 11-40,-6 2-8,-1 0 32,-2 1 24,37-14-8,-41 13 32,-2 0 40,-1-2-8,1 2 32,43-13-96,-47 11 72,5 1 0,-2-8 48,2 10-16,42-14-104,-35 4 112,0 9-32,6-10-48,6 1-8,23-4-24,-21 5 16,7-3-8,-5-2 48,10 0 24,9 0-80,-7 0 144,-5-1 88,12-2 40,0 0-32,0 3-240,0-4 200,0 0-80,0-1-96,0 1 40,0 4-64,14-4 17,2 0-58,3-1 25,7 0-64,-26 5 80,19-6-56,6 0 16,1 1-8,-5 0 8,-21 5 40,21-2-64,-4 0 0,-4 1-24,-8-1 24,-5 2 64,17 0-64,-12 0 32,6 0-48,-9 0 0,-2 0 80,12 0-104,-12 3-32,5-3 40,0 3-24,-5-3 120,0 0-96,0 3 16,0-3 8,0 0 64,0 0 8,0 0-16,-5 0 24,-7 0 0,7 0-24,5 0 16,-13 0-8,3 3 8,-9 0 16,3-1 0,16-2-16,-19 3 0,1 1 8,-4 1-24,-1 8-24,23-13 40,-23 4 0,-1 10 0,-2-3 24,6 1 8,20-12-32,-29 13-8,6-1 0,-3 1-16,-2 1 40,28-14-16,-24 17 16,4-1-16,-2 3-8,6-2-32,16-17 40,-17 17-32,2 0-16,12-3-16,-4-3 24,7-11 40,-5 12-40,5-8 0,7 9 16,4-10 32,-11-3-8,12 4 32,3 0 16,-4-1 16,10 0-24,-21-3-40,19 0 32,7 3 8,0-3-24,2 0 0,-28 0-16,26 2 8,4-2-16,-4 5 0,2-1 0,-28-4 8,21 11-16,0-8 16,1 11-40,-9 1-16,-13-15 56,12 14-72,-7 3 16,6 4 8,-11 1-8,0-22 56,0 24 8,0 3-48,-3 1 32,-8 1 0,11-29 8,-9 28-16,-6-2 24,4-1-32,-3-2 56,14-23-32,-12 21 8,-2-1-8,0-1 72,3-2 16,11-17-88,-12 15 128,7-3 80,0-8 32,0 7 24,5-11-264,-2 3 256,0 1-24,2 8-16,0-9-40,0-3-176,4 11 185,16-8-9,-7 10-16,11-10-32,-24-3-128,28 4 96,5-1-56,2-1-56,7-2-136,-42 0 152,45 0-769,3-4-567,14-9-48,-4 8-1873,-58 5 3257,65-20-2672,-65 20 2672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6.138"/>
    </inkml:context>
    <inkml:brush xml:id="br0">
      <inkml:brushProperty name="width" value="0.035" units="cm"/>
      <inkml:brushProperty name="height" value="0.035" units="cm"/>
    </inkml:brush>
  </inkml:definitions>
  <inkml:trace contextRef="#ctx0" brushRef="#br0">46 43 7313,'0'0'0,"5"-17"1152,-5 6-87,0 11-1065,0-13 672,0 11-376,0 5-336,0-3 40,0 4-104,0 16-64,-12-1-320,7 2-969,5-21 1457,-17 22-1576,0 0-3273,17-22 4849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32" zoomScale="130" zoomScaleNormal="100" zoomScaleSheetLayoutView="130" workbookViewId="0">
      <selection activeCell="G36" sqref="G36:J36"/>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2" t="s">
        <v>201</v>
      </c>
      <c r="C1" s="72"/>
      <c r="D1" s="72"/>
      <c r="E1" s="72"/>
      <c r="F1" s="72"/>
      <c r="G1" s="72"/>
      <c r="H1" s="72"/>
      <c r="I1" s="72"/>
      <c r="J1" s="72"/>
    </row>
    <row r="2" spans="1:10" ht="30" customHeight="1" x14ac:dyDescent="0.3">
      <c r="B2" s="12" t="s">
        <v>8</v>
      </c>
      <c r="C2" s="78" t="s">
        <v>46</v>
      </c>
      <c r="D2" s="78"/>
      <c r="E2" s="12" t="s">
        <v>7</v>
      </c>
      <c r="F2" s="73">
        <v>45953</v>
      </c>
      <c r="G2" s="73"/>
      <c r="H2" s="73"/>
      <c r="I2" s="73"/>
      <c r="J2" s="73"/>
    </row>
    <row r="3" spans="1:10" ht="30" customHeight="1" x14ac:dyDescent="0.3">
      <c r="B3" s="12" t="s">
        <v>9</v>
      </c>
      <c r="C3" s="78" t="s">
        <v>85</v>
      </c>
      <c r="D3" s="78"/>
      <c r="E3" s="12" t="s">
        <v>6</v>
      </c>
      <c r="F3" s="78" t="s">
        <v>100</v>
      </c>
      <c r="G3" s="78"/>
      <c r="H3" s="78"/>
      <c r="I3" s="78"/>
      <c r="J3" s="78"/>
    </row>
    <row r="4" spans="1:10" ht="30" customHeight="1" thickBot="1" x14ac:dyDescent="0.35">
      <c r="B4" s="6"/>
      <c r="C4" s="7"/>
      <c r="D4" s="7"/>
      <c r="E4" s="6"/>
      <c r="F4" s="43"/>
      <c r="G4" s="43"/>
      <c r="H4" s="43"/>
      <c r="I4" s="43"/>
      <c r="J4" s="43"/>
    </row>
    <row r="5" spans="1:10" ht="24.9" customHeight="1" x14ac:dyDescent="0.3">
      <c r="A5" s="10"/>
      <c r="B5" s="74" t="s">
        <v>0</v>
      </c>
      <c r="C5" s="75"/>
      <c r="D5" s="75"/>
      <c r="E5" s="83" t="s">
        <v>1</v>
      </c>
      <c r="F5" s="83"/>
      <c r="G5" s="83"/>
      <c r="H5" s="83"/>
      <c r="I5" s="83" t="s">
        <v>2</v>
      </c>
      <c r="J5" s="84"/>
    </row>
    <row r="6" spans="1:10" ht="24.9" customHeight="1" thickBot="1" x14ac:dyDescent="0.35">
      <c r="A6" s="10"/>
      <c r="B6" s="76"/>
      <c r="C6" s="77"/>
      <c r="D6" s="77"/>
      <c r="E6" s="11" t="s">
        <v>3</v>
      </c>
      <c r="F6" s="11" t="s">
        <v>4</v>
      </c>
      <c r="G6" s="11" t="s">
        <v>23</v>
      </c>
      <c r="H6" s="11" t="s">
        <v>24</v>
      </c>
      <c r="I6" s="85"/>
      <c r="J6" s="86"/>
    </row>
    <row r="7" spans="1:10" ht="24.9" customHeight="1" thickBot="1" x14ac:dyDescent="0.35">
      <c r="A7" s="10"/>
      <c r="B7" s="81" t="s">
        <v>21</v>
      </c>
      <c r="C7" s="82"/>
      <c r="D7" s="82"/>
      <c r="E7" s="29" t="s">
        <v>18</v>
      </c>
      <c r="F7" s="29" t="s">
        <v>19</v>
      </c>
      <c r="G7" s="29" t="s">
        <v>22</v>
      </c>
      <c r="H7" s="29" t="s">
        <v>20</v>
      </c>
      <c r="I7" s="94" t="s">
        <v>25</v>
      </c>
      <c r="J7" s="95"/>
    </row>
    <row r="8" spans="1:10" ht="39.9" customHeight="1" thickBot="1" x14ac:dyDescent="0.35">
      <c r="A8" s="10"/>
      <c r="B8" s="50" t="s">
        <v>200</v>
      </c>
      <c r="C8" s="51"/>
      <c r="D8" s="51"/>
      <c r="E8" s="9">
        <v>5</v>
      </c>
      <c r="F8" s="40">
        <v>3.75</v>
      </c>
      <c r="G8" s="41">
        <f>IFERROR(F8/E8,"")</f>
        <v>0.75</v>
      </c>
      <c r="H8" s="27" t="str">
        <f>_xlfn.IFS(F8="أدخل العلامة","",F8="لا ينطبق","تم الإلغاء",G8&gt;=90%,"ممتاز",G8&gt;=80%,"جيد جداً",G8&gt;=70%,"جيد",G8&gt;=60%,"مقبول",G8&lt;60%,"راسب")</f>
        <v>جيد</v>
      </c>
      <c r="I8" s="92"/>
      <c r="J8" s="93"/>
    </row>
    <row r="9" spans="1:10" ht="39.9" customHeight="1" thickBot="1" x14ac:dyDescent="0.35">
      <c r="A9" s="10"/>
      <c r="B9" s="52" t="s">
        <v>195</v>
      </c>
      <c r="C9" s="53"/>
      <c r="D9" s="53"/>
      <c r="E9" s="9">
        <v>5</v>
      </c>
      <c r="F9" s="40">
        <v>3.75</v>
      </c>
      <c r="G9" s="41">
        <f>IFERROR(F9/E9,"")</f>
        <v>0.75</v>
      </c>
      <c r="H9" s="27" t="str">
        <f>_xlfn.IFS(F9="أدخل العلامة","",F9="لا ينطبق","تم الإلغاء",G9&gt;=90%,"ممتاز",G9&gt;=80%,"جيد جداً",G9&gt;=70%,"جيد",G9&gt;=60%,"مقبول",G9&lt;60%,"راسب")</f>
        <v>جيد</v>
      </c>
      <c r="I9" s="92"/>
      <c r="J9" s="93"/>
    </row>
    <row r="10" spans="1:10" ht="39.9" customHeight="1" thickBot="1" x14ac:dyDescent="0.35">
      <c r="A10" s="10"/>
      <c r="B10" s="52" t="s">
        <v>196</v>
      </c>
      <c r="C10" s="53"/>
      <c r="D10" s="53"/>
      <c r="E10" s="9">
        <v>5</v>
      </c>
      <c r="F10" s="40">
        <v>3.75</v>
      </c>
      <c r="G10" s="41">
        <f t="shared" ref="G10:G32" si="0">IFERROR(F10/E10,"")</f>
        <v>0.75</v>
      </c>
      <c r="H10" s="27" t="str">
        <f t="shared" ref="H10:H32" si="1">_xlfn.IFS(F10="أدخل العلامة","",F10="لا ينطبق","تم الإلغاء",G10&gt;=90%,"ممتاز",G10&gt;=80%,"جيد جداً",G10&gt;=70%,"جيد",G10&gt;=60%,"مقبول",G10&lt;60%,"راسب")</f>
        <v>جيد</v>
      </c>
      <c r="I10" s="92"/>
      <c r="J10" s="93"/>
    </row>
    <row r="11" spans="1:10" ht="39.9" customHeight="1" x14ac:dyDescent="0.3">
      <c r="A11" s="10"/>
      <c r="B11" s="48" t="s">
        <v>197</v>
      </c>
      <c r="C11" s="49"/>
      <c r="D11" s="49"/>
      <c r="E11" s="39"/>
      <c r="F11" s="33"/>
      <c r="G11" s="34"/>
      <c r="H11" s="35"/>
      <c r="I11" s="58"/>
      <c r="J11" s="59"/>
    </row>
    <row r="12" spans="1:10" ht="39.9" customHeight="1" x14ac:dyDescent="0.3">
      <c r="A12" s="10"/>
      <c r="B12" s="44" t="s">
        <v>176</v>
      </c>
      <c r="C12" s="45"/>
      <c r="D12" s="45"/>
      <c r="E12" s="8">
        <v>5</v>
      </c>
      <c r="F12" s="26">
        <v>3.75</v>
      </c>
      <c r="G12" s="31">
        <f t="shared" si="0"/>
        <v>0.75</v>
      </c>
      <c r="H12" s="32" t="str">
        <f t="shared" si="1"/>
        <v>جيد</v>
      </c>
      <c r="I12" s="56"/>
      <c r="J12" s="57"/>
    </row>
    <row r="13" spans="1:10" ht="54.9" customHeight="1" x14ac:dyDescent="0.3">
      <c r="A13" s="10"/>
      <c r="B13" s="44" t="s">
        <v>177</v>
      </c>
      <c r="C13" s="45"/>
      <c r="D13" s="45"/>
      <c r="E13" s="8">
        <v>5</v>
      </c>
      <c r="F13" s="26">
        <v>3.75</v>
      </c>
      <c r="G13" s="31">
        <f t="shared" si="0"/>
        <v>0.75</v>
      </c>
      <c r="H13" s="32" t="str">
        <f t="shared" si="1"/>
        <v>جيد</v>
      </c>
      <c r="I13" s="56"/>
      <c r="J13" s="57"/>
    </row>
    <row r="14" spans="1:10" ht="71.25" customHeight="1" x14ac:dyDescent="0.3">
      <c r="A14" s="10"/>
      <c r="B14" s="44" t="s">
        <v>178</v>
      </c>
      <c r="C14" s="45"/>
      <c r="D14" s="45"/>
      <c r="E14" s="8">
        <v>5</v>
      </c>
      <c r="F14" s="26">
        <v>3.75</v>
      </c>
      <c r="G14" s="31">
        <f t="shared" si="0"/>
        <v>0.75</v>
      </c>
      <c r="H14" s="32" t="str">
        <f t="shared" si="1"/>
        <v>جيد</v>
      </c>
      <c r="I14" s="56"/>
      <c r="J14" s="57"/>
    </row>
    <row r="15" spans="1:10" ht="39.9" customHeight="1" x14ac:dyDescent="0.3">
      <c r="A15" s="10"/>
      <c r="B15" s="44" t="s">
        <v>179</v>
      </c>
      <c r="C15" s="45"/>
      <c r="D15" s="45"/>
      <c r="E15" s="8">
        <v>5</v>
      </c>
      <c r="F15" s="26">
        <v>3.75</v>
      </c>
      <c r="G15" s="31">
        <f t="shared" si="0"/>
        <v>0.75</v>
      </c>
      <c r="H15" s="32" t="str">
        <f t="shared" si="1"/>
        <v>جيد</v>
      </c>
      <c r="I15" s="56"/>
      <c r="J15" s="57"/>
    </row>
    <row r="16" spans="1:10" ht="68.25" customHeight="1" x14ac:dyDescent="0.3">
      <c r="A16" s="10"/>
      <c r="B16" s="44" t="s">
        <v>180</v>
      </c>
      <c r="C16" s="45"/>
      <c r="D16" s="45"/>
      <c r="E16" s="8">
        <v>5</v>
      </c>
      <c r="F16" s="26">
        <v>3.75</v>
      </c>
      <c r="G16" s="31">
        <f t="shared" si="0"/>
        <v>0.75</v>
      </c>
      <c r="H16" s="32" t="str">
        <f t="shared" si="1"/>
        <v>جيد</v>
      </c>
      <c r="I16" s="56"/>
      <c r="J16" s="57"/>
    </row>
    <row r="17" spans="1:10" ht="65.099999999999994" customHeight="1" thickBot="1" x14ac:dyDescent="0.35">
      <c r="A17" s="10"/>
      <c r="B17" s="46" t="s">
        <v>181</v>
      </c>
      <c r="C17" s="47"/>
      <c r="D17" s="47"/>
      <c r="E17" s="36">
        <v>5</v>
      </c>
      <c r="F17" s="28">
        <v>3.75</v>
      </c>
      <c r="G17" s="37">
        <f t="shared" si="0"/>
        <v>0.75</v>
      </c>
      <c r="H17" s="38" t="str">
        <f t="shared" si="1"/>
        <v>جيد</v>
      </c>
      <c r="I17" s="54"/>
      <c r="J17" s="55"/>
    </row>
    <row r="18" spans="1:10" ht="39.9" customHeight="1" x14ac:dyDescent="0.3">
      <c r="A18" s="10"/>
      <c r="B18" s="60" t="s">
        <v>198</v>
      </c>
      <c r="C18" s="61"/>
      <c r="D18" s="61"/>
      <c r="E18" s="39"/>
      <c r="F18" s="33"/>
      <c r="G18" s="34"/>
      <c r="H18" s="35"/>
      <c r="I18" s="58"/>
      <c r="J18" s="59"/>
    </row>
    <row r="19" spans="1:10" ht="39.9" customHeight="1" x14ac:dyDescent="0.3">
      <c r="A19" s="10"/>
      <c r="B19" s="44" t="s">
        <v>182</v>
      </c>
      <c r="C19" s="45"/>
      <c r="D19" s="45"/>
      <c r="E19" s="8">
        <v>5</v>
      </c>
      <c r="F19" s="26">
        <v>4</v>
      </c>
      <c r="G19" s="31">
        <f t="shared" si="0"/>
        <v>0.8</v>
      </c>
      <c r="H19" s="32" t="str">
        <f t="shared" si="1"/>
        <v>جيد جداً</v>
      </c>
      <c r="I19" s="56"/>
      <c r="J19" s="57"/>
    </row>
    <row r="20" spans="1:10" ht="39.9" customHeight="1" x14ac:dyDescent="0.3">
      <c r="A20" s="10"/>
      <c r="B20" s="44" t="s">
        <v>183</v>
      </c>
      <c r="C20" s="45"/>
      <c r="D20" s="45"/>
      <c r="E20" s="8">
        <v>5</v>
      </c>
      <c r="F20" s="26">
        <v>4</v>
      </c>
      <c r="G20" s="31">
        <f t="shared" si="0"/>
        <v>0.8</v>
      </c>
      <c r="H20" s="32" t="str">
        <f t="shared" si="1"/>
        <v>جيد جداً</v>
      </c>
      <c r="I20" s="56"/>
      <c r="J20" s="57"/>
    </row>
    <row r="21" spans="1:10" ht="39.9" customHeight="1" x14ac:dyDescent="0.3">
      <c r="A21" s="10"/>
      <c r="B21" s="44" t="s">
        <v>184</v>
      </c>
      <c r="C21" s="45"/>
      <c r="D21" s="45"/>
      <c r="E21" s="8">
        <v>5</v>
      </c>
      <c r="F21" s="26">
        <v>4</v>
      </c>
      <c r="G21" s="31">
        <f t="shared" si="0"/>
        <v>0.8</v>
      </c>
      <c r="H21" s="32" t="str">
        <f t="shared" si="1"/>
        <v>جيد جداً</v>
      </c>
      <c r="I21" s="56"/>
      <c r="J21" s="57"/>
    </row>
    <row r="22" spans="1:10" ht="39.9" customHeight="1" x14ac:dyDescent="0.3">
      <c r="A22" s="10"/>
      <c r="B22" s="44" t="s">
        <v>185</v>
      </c>
      <c r="C22" s="45"/>
      <c r="D22" s="45"/>
      <c r="E22" s="8">
        <v>5</v>
      </c>
      <c r="F22" s="26">
        <v>4</v>
      </c>
      <c r="G22" s="31">
        <f t="shared" si="0"/>
        <v>0.8</v>
      </c>
      <c r="H22" s="32" t="str">
        <f t="shared" si="1"/>
        <v>جيد جداً</v>
      </c>
      <c r="I22" s="56"/>
      <c r="J22" s="57"/>
    </row>
    <row r="23" spans="1:10" ht="39.9" customHeight="1" x14ac:dyDescent="0.3">
      <c r="A23" s="10"/>
      <c r="B23" s="44" t="s">
        <v>186</v>
      </c>
      <c r="C23" s="45"/>
      <c r="D23" s="45"/>
      <c r="E23" s="8">
        <v>5</v>
      </c>
      <c r="F23" s="26">
        <v>3.75</v>
      </c>
      <c r="G23" s="31">
        <f t="shared" si="0"/>
        <v>0.75</v>
      </c>
      <c r="H23" s="32" t="str">
        <f t="shared" si="1"/>
        <v>جيد</v>
      </c>
      <c r="I23" s="56"/>
      <c r="J23" s="57"/>
    </row>
    <row r="24" spans="1:10" ht="39.9" customHeight="1" x14ac:dyDescent="0.3">
      <c r="A24" s="10"/>
      <c r="B24" s="44" t="s">
        <v>187</v>
      </c>
      <c r="C24" s="45"/>
      <c r="D24" s="45"/>
      <c r="E24" s="8">
        <v>5</v>
      </c>
      <c r="F24" s="26">
        <v>3.75</v>
      </c>
      <c r="G24" s="31">
        <f t="shared" si="0"/>
        <v>0.75</v>
      </c>
      <c r="H24" s="32" t="str">
        <f t="shared" si="1"/>
        <v>جيد</v>
      </c>
      <c r="I24" s="56"/>
      <c r="J24" s="57"/>
    </row>
    <row r="25" spans="1:10" ht="39.9" customHeight="1" x14ac:dyDescent="0.3">
      <c r="A25" s="10"/>
      <c r="B25" s="44" t="s">
        <v>188</v>
      </c>
      <c r="C25" s="45"/>
      <c r="D25" s="45"/>
      <c r="E25" s="8">
        <v>5</v>
      </c>
      <c r="F25" s="42">
        <v>3.75</v>
      </c>
      <c r="G25" s="31">
        <f t="shared" si="0"/>
        <v>0.75</v>
      </c>
      <c r="H25" s="32" t="str">
        <f t="shared" si="1"/>
        <v>جيد</v>
      </c>
      <c r="I25" s="56"/>
      <c r="J25" s="57"/>
    </row>
    <row r="26" spans="1:10" ht="39.9" customHeight="1" thickBot="1" x14ac:dyDescent="0.35">
      <c r="A26" s="10"/>
      <c r="B26" s="46" t="s">
        <v>189</v>
      </c>
      <c r="C26" s="47"/>
      <c r="D26" s="47"/>
      <c r="E26" s="36">
        <v>5</v>
      </c>
      <c r="F26" s="42">
        <v>4</v>
      </c>
      <c r="G26" s="37">
        <f t="shared" si="0"/>
        <v>0.8</v>
      </c>
      <c r="H26" s="38" t="str">
        <f t="shared" si="1"/>
        <v>جيد جداً</v>
      </c>
      <c r="I26" s="54"/>
      <c r="J26" s="55"/>
    </row>
    <row r="27" spans="1:10" ht="39.9" customHeight="1" x14ac:dyDescent="0.3">
      <c r="A27" s="10"/>
      <c r="B27" s="48" t="s">
        <v>199</v>
      </c>
      <c r="C27" s="49"/>
      <c r="D27" s="49"/>
      <c r="E27" s="39"/>
      <c r="F27" s="42">
        <v>4</v>
      </c>
      <c r="G27" s="34"/>
      <c r="H27" s="35"/>
      <c r="I27" s="58"/>
      <c r="J27" s="59"/>
    </row>
    <row r="28" spans="1:10" ht="39.9" customHeight="1" x14ac:dyDescent="0.3">
      <c r="A28" s="10"/>
      <c r="B28" s="44" t="s">
        <v>190</v>
      </c>
      <c r="C28" s="45"/>
      <c r="D28" s="45"/>
      <c r="E28" s="8">
        <v>5</v>
      </c>
      <c r="F28" s="26">
        <v>3.75</v>
      </c>
      <c r="G28" s="31">
        <f t="shared" si="0"/>
        <v>0.75</v>
      </c>
      <c r="H28" s="32" t="str">
        <f t="shared" si="1"/>
        <v>جيد</v>
      </c>
      <c r="I28" s="56"/>
      <c r="J28" s="57"/>
    </row>
    <row r="29" spans="1:10" ht="39.9" customHeight="1" x14ac:dyDescent="0.3">
      <c r="A29" s="10"/>
      <c r="B29" s="44" t="s">
        <v>191</v>
      </c>
      <c r="C29" s="45"/>
      <c r="D29" s="45"/>
      <c r="E29" s="8">
        <v>5</v>
      </c>
      <c r="F29" s="26">
        <v>3.75</v>
      </c>
      <c r="G29" s="31">
        <f t="shared" si="0"/>
        <v>0.75</v>
      </c>
      <c r="H29" s="32" t="str">
        <f t="shared" si="1"/>
        <v>جيد</v>
      </c>
      <c r="I29" s="56"/>
      <c r="J29" s="57"/>
    </row>
    <row r="30" spans="1:10" ht="39.9" customHeight="1" x14ac:dyDescent="0.3">
      <c r="A30" s="10"/>
      <c r="B30" s="44" t="s">
        <v>192</v>
      </c>
      <c r="C30" s="45"/>
      <c r="D30" s="45"/>
      <c r="E30" s="8">
        <v>5</v>
      </c>
      <c r="F30" s="26">
        <v>3.75</v>
      </c>
      <c r="G30" s="31">
        <f t="shared" si="0"/>
        <v>0.75</v>
      </c>
      <c r="H30" s="32" t="str">
        <f t="shared" si="1"/>
        <v>جيد</v>
      </c>
      <c r="I30" s="56"/>
      <c r="J30" s="57"/>
    </row>
    <row r="31" spans="1:10" ht="39.9" customHeight="1" x14ac:dyDescent="0.3">
      <c r="A31" s="10"/>
      <c r="B31" s="44" t="s">
        <v>193</v>
      </c>
      <c r="C31" s="45"/>
      <c r="D31" s="45"/>
      <c r="E31" s="8">
        <v>5</v>
      </c>
      <c r="F31" s="26">
        <v>3.75</v>
      </c>
      <c r="G31" s="31">
        <f t="shared" si="0"/>
        <v>0.75</v>
      </c>
      <c r="H31" s="32" t="str">
        <f t="shared" si="1"/>
        <v>جيد</v>
      </c>
      <c r="I31" s="56"/>
      <c r="J31" s="57"/>
    </row>
    <row r="32" spans="1:10" ht="39.9" customHeight="1" thickBot="1" x14ac:dyDescent="0.35">
      <c r="A32" s="10"/>
      <c r="B32" s="46" t="s">
        <v>194</v>
      </c>
      <c r="C32" s="47"/>
      <c r="D32" s="47"/>
      <c r="E32" s="36">
        <v>5</v>
      </c>
      <c r="F32" s="28">
        <v>3.75</v>
      </c>
      <c r="G32" s="37">
        <f t="shared" si="0"/>
        <v>0.75</v>
      </c>
      <c r="H32" s="38" t="str">
        <f t="shared" si="1"/>
        <v>جيد</v>
      </c>
      <c r="I32" s="54"/>
      <c r="J32" s="55"/>
    </row>
    <row r="33" spans="1:10" ht="30" customHeight="1" thickBot="1" x14ac:dyDescent="0.35">
      <c r="A33" s="4"/>
      <c r="B33" s="62" t="s">
        <v>5</v>
      </c>
      <c r="C33" s="63"/>
      <c r="D33" s="63"/>
      <c r="E33" s="30">
        <f>SUM(E8:E32)</f>
        <v>110</v>
      </c>
      <c r="F33" s="30">
        <f>SUM(F8:F32)</f>
        <v>87.75</v>
      </c>
      <c r="G33" s="89"/>
      <c r="H33" s="90"/>
      <c r="I33" s="90"/>
      <c r="J33" s="91"/>
    </row>
    <row r="34" spans="1:10" ht="30" customHeight="1" thickBot="1" x14ac:dyDescent="0.35">
      <c r="A34" s="4"/>
      <c r="B34" s="64" t="s">
        <v>54</v>
      </c>
      <c r="C34" s="65"/>
      <c r="D34" s="65"/>
      <c r="E34" s="79">
        <f>F33/E33/100*100</f>
        <v>0.79772727272727273</v>
      </c>
      <c r="F34" s="79"/>
      <c r="G34" s="79"/>
      <c r="H34" s="79"/>
      <c r="I34" s="79"/>
      <c r="J34" s="80"/>
    </row>
    <row r="35" spans="1:10" ht="30" customHeight="1" thickBot="1" x14ac:dyDescent="0.35">
      <c r="A35" s="4"/>
      <c r="B35" s="64" t="s">
        <v>55</v>
      </c>
      <c r="C35" s="65"/>
      <c r="D35" s="65"/>
      <c r="E35" s="70" t="str">
        <f>_xlfn.IFS(E34&gt;=90%,"ممتاز",E34&gt;=80%,"جيد جداً",E34&gt;=70%,"جيد",E34&gt;=60%,"مقبول",E34&lt;60%,"راسب")</f>
        <v>جيد</v>
      </c>
      <c r="F35" s="70"/>
      <c r="G35" s="70"/>
      <c r="H35" s="70"/>
      <c r="I35" s="70"/>
      <c r="J35" s="71"/>
    </row>
    <row r="36" spans="1:10" ht="42" customHeight="1" x14ac:dyDescent="0.3">
      <c r="B36" s="66" t="s">
        <v>175</v>
      </c>
      <c r="C36" s="66"/>
      <c r="D36" s="66"/>
      <c r="E36" s="87" t="s">
        <v>52</v>
      </c>
      <c r="F36" s="87"/>
      <c r="G36" s="68" t="s">
        <v>100</v>
      </c>
      <c r="H36" s="68"/>
      <c r="I36" s="68"/>
      <c r="J36" s="68"/>
    </row>
    <row r="37" spans="1:10" ht="51" customHeight="1" x14ac:dyDescent="0.3">
      <c r="A37" s="5"/>
      <c r="B37" s="67"/>
      <c r="C37" s="67"/>
      <c r="D37" s="67"/>
      <c r="E37" s="88" t="s">
        <v>53</v>
      </c>
      <c r="F37" s="88"/>
      <c r="G37" s="69"/>
      <c r="H37" s="69"/>
      <c r="I37" s="69"/>
      <c r="J37" s="69"/>
    </row>
  </sheetData>
  <sheetProtection sheet="1" formatCells="0" formatColumns="0" formatRows="0" insertColumns="0" insertRows="0" insertHyperlinks="0" deleteColumns="0" deleteRows="0" selectLockedCells="1" sort="0" autoFilter="0" pivotTables="0"/>
  <mergeCells count="72">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F4:J4"/>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2025-10-27T16:40:28Z</dcterms:modified>
</cp:coreProperties>
</file>