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6E362BEE-F576-D142-A38F-867E7852DD27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19" i="2"/>
  <c r="H19" i="2"/>
  <c r="G20" i="2"/>
  <c r="H20" i="2"/>
  <c r="G21" i="2"/>
  <c r="H21" i="2"/>
  <c r="F22" i="2"/>
  <c r="E22" i="2"/>
  <c r="E23" i="2"/>
  <c r="E24" i="2"/>
</calcChain>
</file>

<file path=xl/sharedStrings.xml><?xml version="1.0" encoding="utf-8"?>
<sst xmlns="http://schemas.openxmlformats.org/spreadsheetml/2006/main" count="250" uniqueCount="194">
  <si>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</si>
  <si>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</si>
  <si>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</si>
  <si>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</si>
  <si>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</si>
  <si>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</si>
  <si>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</si>
  <si>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</si>
  <si>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</si>
  <si>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</si>
  <si>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</si>
  <si>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</si>
  <si>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</si>
  <si>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</si>
  <si>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</si>
  <si>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</si>
  <si>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</si>
  <si>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</si>
  <si>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</si>
  <si>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</si>
  <si>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</si>
  <si>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</si>
  <si>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</si>
  <si>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</si>
  <si>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</si>
  <si>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</si>
  <si>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</si>
  <si>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</si>
  <si>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</si>
  <si>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</si>
  <si>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</si>
  <si>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</si>
  <si>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</si>
  <si>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</si>
  <si>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</si>
  <si>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</si>
  <si>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</si>
  <si>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</si>
  <si>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</si>
  <si>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</si>
  <si>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</si>
  <si>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</si>
  <si>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</si>
  <si>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</si>
  <si>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</si>
  <si>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</si>
  <si>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</si>
  <si>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</si>
  <si>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</si>
  <si>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</si>
  <si>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</si>
  <si>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</si>
  <si>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</si>
  <si>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</si>
  <si>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</si>
  <si>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</si>
  <si>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</si>
  <si>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</si>
  <si>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</si>
  <si>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</si>
  <si>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</si>
  <si>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</si>
  <si>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</si>
  <si>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</si>
  <si>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</si>
  <si>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</si>
  <si>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</si>
  <si>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</si>
  <si>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</si>
  <si>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</si>
  <si>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</si>
  <si>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</si>
  <si>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</si>
  <si>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</si>
  <si>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</si>
  <si>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</si>
  <si>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</si>
  <si>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</si>
  <si>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</si>
  <si>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</si>
  <si>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</si>
  <si>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</si>
  <si>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</si>
  <si>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</si>
  <si>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</si>
  <si>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</si>
  <si>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</si>
  <si>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</si>
  <si>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</si>
  <si>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</si>
  <si>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</si>
  <si>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</si>
  <si>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</si>
  <si>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</si>
  <si>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</si>
  <si>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</si>
  <si>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</si>
  <si>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</si>
  <si>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</si>
  <si>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</si>
  <si>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</si>
  <si>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</si>
  <si>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</si>
  <si>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</si>
  <si>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</si>
  <si>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</si>
  <si>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</si>
  <si>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</si>
  <si>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</si>
  <si>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</si>
  <si>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</si>
  <si>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</si>
  <si>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</si>
  <si>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</si>
  <si>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</si>
  <si>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</si>
  <si>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</si>
  <si>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</si>
  <si>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</si>
  <si>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</si>
  <si>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</si>
  <si>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</si>
  <si>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</si>
  <si>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</si>
  <si>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</si>
  <si>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</si>
  <si>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</si>
  <si>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</si>
  <si>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</si>
  <si>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</si>
  <si>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</si>
  <si>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</si>
  <si>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</si>
  <si>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</si>
  <si>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</si>
  <si>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</si>
  <si>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</si>
  <si>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</si>
  <si>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</si>
  <si>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</si>
  <si>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</si>
  <si>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</si>
  <si>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</si>
  <si>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</si>
  <si>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</si>
  <si>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</si>
  <si>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</si>
  <si>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</si>
  <si>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</si>
  <si>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</si>
  <si>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</si>
  <si>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</si>
  <si>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</si>
  <si>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</si>
  <si>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</si>
  <si>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</si>
  <si>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</si>
  <si>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</si>
  <si>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</si>
  <si>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</si>
  <si>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</si>
  <si>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</si>
  <si>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</si>
  <si>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</si>
  <si>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</si>
  <si>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</si>
  <si>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</si>
  <si>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</si>
  <si>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</si>
  <si>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</si>
  <si>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</si>
  <si>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</si>
  <si>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</si>
  <si>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</si>
  <si>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</si>
  <si>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</si>
  <si>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</si>
  <si>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</si>
  <si>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t>اجراءات رد فعل وحدة المناورة</t>
  </si>
  <si>
    <t>اجراءات رد فعل الوحدة الطبية</t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</si>
  <si>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التوزيع السليم للأدوار</t>
    </r>
  </si>
  <si>
    <r>
      <t>3.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تصنيف الإصابات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</si>
  <si>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إبلاغ المستوى الأعلى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</si>
  <si>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توفير الحماية للقوات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</si>
  <si>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إجراءات إسعاف الذاتي والتبادلي</t>
    </r>
  </si>
  <si>
    <r>
      <t>4.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اخراج ونقل المصابين من الآلية</t>
    </r>
  </si>
  <si>
    <r>
      <t>5.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التعامل مع الشهداء</t>
    </r>
  </si>
  <si>
    <r>
      <t>6.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نقل المصابين إلى نقطة جمع المصابين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</si>
  <si>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سرعة عناصر الإسناد الطبي إلى موقع الحدث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</si>
  <si>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إبلاغ المستوى الأعلى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</si>
  <si>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طلب إخلاء جوي حسب النسق الصحيح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</si>
  <si>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الإخلاء الطبي</t>
    </r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</si>
  <si>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</si>
  <si>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اليوم/2 - تقييم معضلة/4 - إنقاذ المصابين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</si>
</sst>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8" fillId="0" borderId="11" xfId="0" applyFont="1" applyBorder="1" applyAlignment="1">
      <alignment horizontal="right" vertical="center" wrapText="1" readingOrder="2"/>
    </xf>
    <xf numFmtId="0" fontId="8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8" fillId="0" borderId="2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293145</xdr:colOff>
      <xdr:row>24</xdr:row>
      <xdr:rowOff>516240</xdr:rowOff>
    </xdr:from>
    <xdr:to>
      <xdr:col>9</xdr:col>
      <xdr:colOff>154154</xdr:colOff>
      <xdr:row>25</xdr:row>
      <xdr:rowOff>533428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DCF497F-FF0C-3A61-47B4-D21F72FEE21A}"/>
                </a:ext>
              </a:extLst>
            </xdr14:cNvPr>
            <xdr14:cNvContentPartPr/>
          </xdr14:nvContentPartPr>
          <xdr14:nvPr macro=""/>
          <xdr14:xfrm>
            <a:off x="10398432665" y="9660240"/>
            <a:ext cx="1835280" cy="5482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DCF497F-FF0C-3A61-47B4-D21F72FEE21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424025" y="9651240"/>
              <a:ext cx="1852920" cy="56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529305</xdr:colOff>
      <xdr:row>25</xdr:row>
      <xdr:rowOff>480508</xdr:rowOff>
    </xdr:from>
    <xdr:to>
      <xdr:col>6</xdr:col>
      <xdr:colOff>558465</xdr:colOff>
      <xdr:row>25</xdr:row>
      <xdr:rowOff>498868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5EEB2D5-6FB5-2171-8F32-B0982E8C3C9E}"/>
                </a:ext>
              </a:extLst>
            </xdr14:cNvPr>
            <xdr14:cNvContentPartPr/>
          </xdr14:nvContentPartPr>
          <xdr14:nvPr macro=""/>
          <xdr14:xfrm>
            <a:off x="10400002625" y="10155600"/>
            <a:ext cx="29160" cy="183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5EEB2D5-6FB5-2171-8F32-B0982E8C3C9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993985" y="10146600"/>
              <a:ext cx="46800" cy="3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6:52:10.59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4944 238 9193,'0'0'0,"0"-5"2089,0 1-1801,0 4-288,2-4-16,1 2 16,-1 1 48,0 1 144,-2 0-192,5 0 264,-2 0 64,1 0-32,9 4-160,-13-4-136,4 5 120,6 6-56,-5-7-64,9 15 8,-14-19-8,10 18 16,-5 5 24,14 5-64,-7 4 96,-12-32-72,2 37 40,15 1 8,-14 0 48,9 1-120,-12-39 24,2 37 32,0 0-32,1-3 64,-3-4 24,0-30-88,0 27 72,0-5 40,-3-5 24,3-2 8,0-15-144,-2 11 193,-5-8 7,2 1 24,-7-1 88,12-3-312,-5 3 304,-9-3 40,-3 0-168,-5-2 8,22 2-184,-26-4 128,2-7-24,-5 6 72,-2-7-136,31 12-40,-27-5 32,-2 1-104,0 1 40,-7 2 8,36 1 24,-26-2-40,-8 2 40,3 3-56,2 2 24,29-5 32,-31 12-16,2-7 64,2 10-64,-4-3-40,31-12 56,-29 11 56,-2 0-72,0 1 104,4-8 24,27-4-112,-31 14 24,0-10 56,2 8-64,-5-9 104,34-3-120,-31 3 144,0-1-8,-5 1 96,-5 0 0,41-3-232,-48 0 248,-8 3 16,-6-3 8,-6 3-16,68-3-256,-84 4 224,-2 7-224,-18-6 48,-11 13-32,115-18-16,-133 14 72,-11 2 233,-19 4-153,-11 0-16,174-20-136,-185 21 104,-2 3-32,-6-2 72,-2 0 16,195-22-160,-187 23 200,-6-2-88,8 2-8,5 0-8,180-23-96,-181 21 40,8-2 24,7-2 0,15-4-40,151-13-24,-135 4 112,10 0-56,14-1-24,10-3 8,101 0-40,-82-2 24,15-3-8,36-1 192,2 0 48,29 6-256,-19-11 168,-3 7 48,10-9-256,0 7-128,12 6 168,0-30-304,19 5-96,27-2 120,14 0 80,-60 27 200,77-26-24,19-4 64,12 1-16,15-4 40,-123 33-64,137-36 48,15-1 56,9-1-96,17 0-8,-178 38 0,187-36-24,11 3 64,6 1-16,8-1-24,-212 33 0,214-34 8,5 0-56,0-2-16,-8-1 144,-211 37-80,214-38 32,-14-5 32,-3 1 152,-16-1-120,-181 43-96,168-41 48,-24 2 40,-23 7-32,-25 2-72,-96 30 16,72-26 88,-19 3 32,-17 2-72,-17 3 200,-19 18-248,3-19 352,-6 1-200,-21-1-80,-5 1-24,29 18-48,-41-16-8,-2 2 72,-7 3 0,-3 8-80,53 3 16,-60-2 112,2 2-88,-2 16 104,0 2-88,60-18-40,-61 27-112,4 6 32,4 7-96,-2 5 112,55-45 64,-44 53-96,6 5 48,4 5 64,8 5-128,26-68 112,-20 70 16,8 4-80,10-2-16,2-1 208,0-71-128,12 70 200,0-8-40,2-2-32,1-6-112,-15-54-16,17 48-16,0-2 8,-5-3 72,2-2-40,-14-41-24,14 40-80,1-3 112,-3 0-32,2-3 288,-14-34-288,12 34 224,-9 0-72,14-3 128,-3-1-264,-14-30-16,5 26 81,7-7 127,-12-3-280,2-3-128,-2-13 200,0 11-297,5-6-543,-3 7-528,1-9-488,-3-3 1856,2 4-2537,13 1-1112,-3-5 633,5 0-3810,-17 0 6826,0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6:52:11.0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80 47 18868,'0'0'0,"0"0"3712,-7 0-3672,5 0 280,2 0-320,0 3 272,-3-3 105,3 0-129,-5 0-112,5 0-136,-5 0 32,-7-1-104,10-2-48,-5 0-88,7 3 208,-15-4-833,11-1-1071,-8 1-1593,7-12-1144,5 16 4641,0-14-8714,0 14 8714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topLeftCell="C5" zoomScale="130" zoomScaleNormal="100" zoomScaleSheetLayoutView="130" workbookViewId="0">
      <selection activeCell="G26" sqref="G26:J26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60" t="s">
        <v>193</v>
      </c>
      <c r="C1" s="60"/>
      <c r="D1" s="60"/>
      <c r="E1" s="60"/>
      <c r="F1" s="60"/>
      <c r="G1" s="60"/>
      <c r="H1" s="60"/>
      <c r="I1" s="60"/>
      <c r="J1" s="60"/>
    </row>
    <row r="2" spans="1:10" ht="30" customHeight="1">
      <c r="B2" s="11" t="s">
        <v>8</v>
      </c>
      <c r="C2" s="66" t="s">
        <v>37</v>
      </c>
      <c r="D2" s="66"/>
      <c r="E2" s="11" t="s">
        <v>7</v>
      </c>
      <c r="F2" s="61">
        <v>45913</v>
      </c>
      <c r="G2" s="61"/>
      <c r="H2" s="61"/>
      <c r="I2" s="61"/>
      <c r="J2" s="61"/>
    </row>
    <row r="3" spans="1:10" ht="30" customHeight="1">
      <c r="B3" s="11" t="s">
        <v>9</v>
      </c>
      <c r="C3" s="66" t="s">
        <v>78</v>
      </c>
      <c r="D3" s="66"/>
      <c r="E3" s="11" t="s">
        <v>6</v>
      </c>
      <c r="F3" s="66" t="s">
        <v>134</v>
      </c>
      <c r="G3" s="66"/>
      <c r="H3" s="66"/>
      <c r="I3" s="66"/>
      <c r="J3" s="66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9"/>
      <c r="B5" s="62" t="s">
        <v>0</v>
      </c>
      <c r="C5" s="63"/>
      <c r="D5" s="63"/>
      <c r="E5" s="67" t="s">
        <v>1</v>
      </c>
      <c r="F5" s="67"/>
      <c r="G5" s="67"/>
      <c r="H5" s="67"/>
      <c r="I5" s="67" t="s">
        <v>2</v>
      </c>
      <c r="J5" s="68"/>
    </row>
    <row r="6" spans="1:10" ht="24.95" customHeight="1" thickBot="1">
      <c r="A6" s="9"/>
      <c r="B6" s="64"/>
      <c r="C6" s="65"/>
      <c r="D6" s="65"/>
      <c r="E6" s="10" t="s">
        <v>3</v>
      </c>
      <c r="F6" s="10" t="s">
        <v>4</v>
      </c>
      <c r="G6" s="10" t="s">
        <v>23</v>
      </c>
      <c r="H6" s="10" t="s">
        <v>24</v>
      </c>
      <c r="I6" s="69"/>
      <c r="J6" s="70"/>
    </row>
    <row r="7" spans="1:10" ht="24.95" customHeight="1" thickBot="1">
      <c r="A7" s="9"/>
      <c r="B7" s="71" t="s">
        <v>21</v>
      </c>
      <c r="C7" s="72"/>
      <c r="D7" s="72"/>
      <c r="E7" s="30" t="s">
        <v>18</v>
      </c>
      <c r="F7" s="30" t="s">
        <v>19</v>
      </c>
      <c r="G7" s="30" t="s">
        <v>22</v>
      </c>
      <c r="H7" s="30" t="s">
        <v>20</v>
      </c>
      <c r="I7" s="73" t="s">
        <v>25</v>
      </c>
      <c r="J7" s="74"/>
    </row>
    <row r="8" spans="1:10" ht="30" customHeight="1">
      <c r="A8" s="9"/>
      <c r="B8" s="75" t="s">
        <v>178</v>
      </c>
      <c r="C8" s="76"/>
      <c r="D8" s="76"/>
      <c r="E8" s="35"/>
      <c r="F8" s="36"/>
      <c r="G8" s="37"/>
      <c r="H8" s="38"/>
      <c r="I8" s="48"/>
      <c r="J8" s="49"/>
    </row>
    <row r="9" spans="1:10" ht="30" customHeight="1">
      <c r="A9" s="9"/>
      <c r="B9" s="77" t="s">
        <v>182</v>
      </c>
      <c r="C9" s="78"/>
      <c r="D9" s="78"/>
      <c r="E9" s="32">
        <v>3</v>
      </c>
      <c r="F9" s="25">
        <v>2.25</v>
      </c>
      <c r="G9" s="33">
        <f>IFERROR(F9/E9,"")</f>
        <v>0.75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4"/>
      <c r="J9" s="55"/>
    </row>
    <row r="10" spans="1:10" ht="30" customHeight="1">
      <c r="A10" s="9"/>
      <c r="B10" s="77" t="s">
        <v>183</v>
      </c>
      <c r="C10" s="78"/>
      <c r="D10" s="78"/>
      <c r="E10" s="32">
        <v>3</v>
      </c>
      <c r="F10" s="25">
        <v>2</v>
      </c>
      <c r="G10" s="33">
        <f t="shared" ref="G10:G21" si="0">IFERROR(F10/E10,"")</f>
        <v>0.66666666666666663</v>
      </c>
      <c r="H10" s="34" t="str">
        <f t="shared" ref="H10:H21" si="1">_xlfn.IFS(F10="أدخل العلامة","",F10="لا ينطبق","تم الإلغاء",G10&gt;=90%,"ممتاز",G10&gt;=80%,"جيد جداً",G10&gt;=70%,"جيد",G10&gt;=60%,"مقبول",G10&lt;60%,"راسب")</f>
        <v>مقبول</v>
      </c>
      <c r="I10" s="54"/>
      <c r="J10" s="55"/>
    </row>
    <row r="11" spans="1:10" ht="30" customHeight="1">
      <c r="A11" s="9"/>
      <c r="B11" s="77" t="s">
        <v>184</v>
      </c>
      <c r="C11" s="78"/>
      <c r="D11" s="78"/>
      <c r="E11" s="32">
        <v>3</v>
      </c>
      <c r="F11" s="25">
        <v>2.25</v>
      </c>
      <c r="G11" s="33">
        <f t="shared" si="0"/>
        <v>0.75</v>
      </c>
      <c r="H11" s="34" t="str">
        <f t="shared" si="1"/>
        <v>جيد</v>
      </c>
      <c r="I11" s="54"/>
      <c r="J11" s="55"/>
    </row>
    <row r="12" spans="1:10" ht="30" customHeight="1">
      <c r="A12" s="9"/>
      <c r="B12" s="77" t="s">
        <v>185</v>
      </c>
      <c r="C12" s="78"/>
      <c r="D12" s="78"/>
      <c r="E12" s="32">
        <v>3</v>
      </c>
      <c r="F12" s="25">
        <v>2</v>
      </c>
      <c r="G12" s="33">
        <f t="shared" si="0"/>
        <v>0.66666666666666663</v>
      </c>
      <c r="H12" s="34" t="str">
        <f t="shared" si="1"/>
        <v>مقبول</v>
      </c>
      <c r="I12" s="54"/>
      <c r="J12" s="55"/>
    </row>
    <row r="13" spans="1:10" ht="30" customHeight="1">
      <c r="A13" s="9"/>
      <c r="B13" s="77" t="s">
        <v>186</v>
      </c>
      <c r="C13" s="78"/>
      <c r="D13" s="78"/>
      <c r="E13" s="32">
        <v>3</v>
      </c>
      <c r="F13" s="25">
        <v>2</v>
      </c>
      <c r="G13" s="33">
        <f t="shared" si="0"/>
        <v>0.66666666666666663</v>
      </c>
      <c r="H13" s="34" t="str">
        <f t="shared" si="1"/>
        <v>مقبول</v>
      </c>
      <c r="I13" s="54"/>
      <c r="J13" s="55"/>
    </row>
    <row r="14" spans="1:10" ht="30" customHeight="1" thickBot="1">
      <c r="A14" s="9"/>
      <c r="B14" s="58" t="s">
        <v>187</v>
      </c>
      <c r="C14" s="59"/>
      <c r="D14" s="59"/>
      <c r="E14" s="39">
        <v>3</v>
      </c>
      <c r="F14" s="26">
        <v>2</v>
      </c>
      <c r="G14" s="40">
        <f t="shared" si="0"/>
        <v>0.66666666666666663</v>
      </c>
      <c r="H14" s="41" t="str">
        <f t="shared" si="1"/>
        <v>مقبول</v>
      </c>
      <c r="I14" s="56"/>
      <c r="J14" s="57"/>
    </row>
    <row r="15" spans="1:10" ht="30" customHeight="1">
      <c r="A15" s="9"/>
      <c r="B15" s="75" t="s">
        <v>179</v>
      </c>
      <c r="C15" s="76"/>
      <c r="D15" s="76"/>
      <c r="E15" s="35"/>
      <c r="F15" s="36"/>
      <c r="G15" s="37"/>
      <c r="H15" s="38"/>
      <c r="I15" s="48"/>
      <c r="J15" s="49"/>
    </row>
    <row r="16" spans="1:10" ht="30" customHeight="1">
      <c r="A16" s="9"/>
      <c r="B16" s="77" t="s">
        <v>188</v>
      </c>
      <c r="C16" s="78"/>
      <c r="D16" s="78"/>
      <c r="E16" s="32">
        <v>3</v>
      </c>
      <c r="F16" s="25">
        <v>2.25</v>
      </c>
      <c r="G16" s="33">
        <f t="shared" si="0"/>
        <v>0.75</v>
      </c>
      <c r="H16" s="34" t="str">
        <f t="shared" si="1"/>
        <v>جيد</v>
      </c>
      <c r="I16" s="54"/>
      <c r="J16" s="55"/>
    </row>
    <row r="17" spans="1:10" ht="30" customHeight="1">
      <c r="A17" s="9"/>
      <c r="B17" s="77" t="s">
        <v>180</v>
      </c>
      <c r="C17" s="78"/>
      <c r="D17" s="78"/>
      <c r="E17" s="32">
        <v>3</v>
      </c>
      <c r="F17" s="25">
        <v>2.25</v>
      </c>
      <c r="G17" s="33">
        <f t="shared" si="0"/>
        <v>0.75</v>
      </c>
      <c r="H17" s="34" t="str">
        <f t="shared" si="1"/>
        <v>جيد</v>
      </c>
      <c r="I17" s="54"/>
      <c r="J17" s="55"/>
    </row>
    <row r="18" spans="1:10" ht="30" customHeight="1">
      <c r="A18" s="9"/>
      <c r="B18" s="77" t="s">
        <v>181</v>
      </c>
      <c r="C18" s="78"/>
      <c r="D18" s="78"/>
      <c r="E18" s="32">
        <v>3</v>
      </c>
      <c r="F18" s="25">
        <v>2.25</v>
      </c>
      <c r="G18" s="33">
        <f t="shared" si="0"/>
        <v>0.75</v>
      </c>
      <c r="H18" s="34" t="str">
        <f t="shared" si="1"/>
        <v>جيد</v>
      </c>
      <c r="I18" s="54"/>
      <c r="J18" s="55"/>
    </row>
    <row r="19" spans="1:10" ht="30" customHeight="1">
      <c r="A19" s="9"/>
      <c r="B19" s="77" t="s">
        <v>189</v>
      </c>
      <c r="C19" s="78"/>
      <c r="D19" s="78"/>
      <c r="E19" s="32">
        <v>3</v>
      </c>
      <c r="F19" s="25">
        <v>2.25</v>
      </c>
      <c r="G19" s="33">
        <f t="shared" si="0"/>
        <v>0.75</v>
      </c>
      <c r="H19" s="34" t="str">
        <f t="shared" si="1"/>
        <v>جيد</v>
      </c>
      <c r="I19" s="54"/>
      <c r="J19" s="55"/>
    </row>
    <row r="20" spans="1:10" ht="30" customHeight="1">
      <c r="A20" s="9"/>
      <c r="B20" s="77" t="s">
        <v>190</v>
      </c>
      <c r="C20" s="78"/>
      <c r="D20" s="78"/>
      <c r="E20" s="32">
        <v>3</v>
      </c>
      <c r="F20" s="25">
        <v>2.25</v>
      </c>
      <c r="G20" s="33">
        <f t="shared" si="0"/>
        <v>0.75</v>
      </c>
      <c r="H20" s="34" t="str">
        <f t="shared" si="1"/>
        <v>جيد</v>
      </c>
      <c r="I20" s="54"/>
      <c r="J20" s="55"/>
    </row>
    <row r="21" spans="1:10" ht="30" customHeight="1" thickBot="1">
      <c r="A21" s="9"/>
      <c r="B21" s="58" t="s">
        <v>191</v>
      </c>
      <c r="C21" s="59"/>
      <c r="D21" s="59"/>
      <c r="E21" s="39">
        <v>3</v>
      </c>
      <c r="F21" s="26">
        <v>2</v>
      </c>
      <c r="G21" s="40">
        <f t="shared" si="0"/>
        <v>0.66666666666666663</v>
      </c>
      <c r="H21" s="41" t="str">
        <f t="shared" si="1"/>
        <v>مقبول</v>
      </c>
      <c r="I21" s="56"/>
      <c r="J21" s="57"/>
    </row>
    <row r="22" spans="1:10" ht="30" customHeight="1" thickBot="1">
      <c r="A22" s="4"/>
      <c r="B22" s="50" t="s">
        <v>5</v>
      </c>
      <c r="C22" s="51"/>
      <c r="D22" s="51"/>
      <c r="E22" s="31">
        <f>SUM(E8:E21)</f>
        <v>36</v>
      </c>
      <c r="F22" s="31">
        <f>SUM(F8:F21)</f>
        <v>25.75</v>
      </c>
      <c r="G22" s="87"/>
      <c r="H22" s="88"/>
      <c r="I22" s="88"/>
      <c r="J22" s="89"/>
    </row>
    <row r="23" spans="1:10" ht="30" customHeight="1" thickBot="1">
      <c r="A23" s="4"/>
      <c r="B23" s="52" t="s">
        <v>54</v>
      </c>
      <c r="C23" s="53"/>
      <c r="D23" s="53"/>
      <c r="E23" s="90">
        <f>F22/E22/100*100</f>
        <v>0.71527777777777779</v>
      </c>
      <c r="F23" s="90"/>
      <c r="G23" s="90"/>
      <c r="H23" s="90"/>
      <c r="I23" s="90"/>
      <c r="J23" s="91"/>
    </row>
    <row r="24" spans="1:10" ht="30" customHeight="1" thickBot="1">
      <c r="A24" s="4"/>
      <c r="B24" s="52" t="s">
        <v>55</v>
      </c>
      <c r="C24" s="53"/>
      <c r="D24" s="53"/>
      <c r="E24" s="83" t="str">
        <f>_xlfn.IFS(E23&gt;=90%,"ممتاز",E23&gt;=80%,"جيد جداً",E23&gt;=70%,"جيد",E23&gt;=60%,"مقبول",E23&lt;60%,"راسب")</f>
        <v>جيد</v>
      </c>
      <c r="F24" s="83"/>
      <c r="G24" s="83"/>
      <c r="H24" s="83"/>
      <c r="I24" s="83"/>
      <c r="J24" s="84"/>
    </row>
    <row r="25" spans="1:10" ht="42" customHeight="1">
      <c r="B25" s="79" t="s">
        <v>192</v>
      </c>
      <c r="C25" s="79"/>
      <c r="D25" s="79"/>
      <c r="E25" s="85" t="s">
        <v>52</v>
      </c>
      <c r="F25" s="85"/>
      <c r="G25" s="81" t="s">
        <v>134</v>
      </c>
      <c r="H25" s="81"/>
      <c r="I25" s="81"/>
      <c r="J25" s="81"/>
    </row>
    <row r="26" spans="1:10" ht="51" customHeight="1">
      <c r="A26" s="5"/>
      <c r="B26" s="80"/>
      <c r="C26" s="80"/>
      <c r="D26" s="80"/>
      <c r="E26" s="86" t="s">
        <v>53</v>
      </c>
      <c r="F26" s="86"/>
      <c r="G26" s="82"/>
      <c r="H26" s="82"/>
      <c r="I26" s="82"/>
      <c r="J26" s="82"/>
    </row>
    <row r="27" spans="1:10">
      <c r="A27" s="27">
        <v>3</v>
      </c>
      <c r="B27" s="42" t="s">
        <v>175</v>
      </c>
      <c r="C27" s="43"/>
    </row>
    <row r="28" spans="1:10">
      <c r="A28" s="28">
        <v>2</v>
      </c>
      <c r="B28" s="44" t="s">
        <v>176</v>
      </c>
      <c r="C28" s="45"/>
    </row>
    <row r="29" spans="1:10">
      <c r="A29" s="29">
        <v>1</v>
      </c>
      <c r="B29" s="46" t="s">
        <v>177</v>
      </c>
      <c r="C29" s="4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2">
    <mergeCell ref="B25:D26"/>
    <mergeCell ref="G25:J25"/>
    <mergeCell ref="G26:J26"/>
    <mergeCell ref="E24:J24"/>
    <mergeCell ref="B16:D16"/>
    <mergeCell ref="B17:D17"/>
    <mergeCell ref="B18:D18"/>
    <mergeCell ref="B19:D19"/>
    <mergeCell ref="B20:D20"/>
    <mergeCell ref="E25:F25"/>
    <mergeCell ref="E26:F26"/>
    <mergeCell ref="G22:J22"/>
    <mergeCell ref="E23:J23"/>
    <mergeCell ref="I21:J21"/>
    <mergeCell ref="B7:D7"/>
    <mergeCell ref="I7:J7"/>
    <mergeCell ref="I10:J10"/>
    <mergeCell ref="I19:J19"/>
    <mergeCell ref="I20:J20"/>
    <mergeCell ref="B8:D8"/>
    <mergeCell ref="B9:D9"/>
    <mergeCell ref="B10:D10"/>
    <mergeCell ref="B11:D11"/>
    <mergeCell ref="B12:D12"/>
    <mergeCell ref="B13:D13"/>
    <mergeCell ref="B14:D14"/>
    <mergeCell ref="B15:D15"/>
    <mergeCell ref="I9:J9"/>
    <mergeCell ref="B1:J1"/>
    <mergeCell ref="F2:J2"/>
    <mergeCell ref="B5:D6"/>
    <mergeCell ref="C2:D2"/>
    <mergeCell ref="C3:D3"/>
    <mergeCell ref="F3:J3"/>
    <mergeCell ref="E5:H5"/>
    <mergeCell ref="I5:J6"/>
    <mergeCell ref="B27:C27"/>
    <mergeCell ref="B28:C28"/>
    <mergeCell ref="B29:C29"/>
    <mergeCell ref="I8:J8"/>
    <mergeCell ref="B22:D22"/>
    <mergeCell ref="B23:D23"/>
    <mergeCell ref="B24:D24"/>
    <mergeCell ref="I11:J11"/>
    <mergeCell ref="I12:J12"/>
    <mergeCell ref="I13:J13"/>
    <mergeCell ref="I14:J14"/>
    <mergeCell ref="I15:J15"/>
    <mergeCell ref="I16:J16"/>
    <mergeCell ref="I17:J17"/>
    <mergeCell ref="I18:J18"/>
    <mergeCell ref="B21:D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8:F21">
    <cfRule type="containsText" dxfId="9" priority="38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8:H2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G25:J25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F16:F21 F9:F14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8" t="s">
        <v>62</v>
      </c>
    </row>
    <row r="3" spans="1:3" ht="20.100000000000001" customHeight="1" thickBot="1">
      <c r="A3" s="2" t="s">
        <v>26</v>
      </c>
      <c r="C3" s="18" t="s">
        <v>63</v>
      </c>
    </row>
    <row r="4" spans="1:3" ht="20.100000000000001" customHeight="1" thickBot="1">
      <c r="A4" s="2" t="s">
        <v>36</v>
      </c>
      <c r="C4" s="18" t="s">
        <v>64</v>
      </c>
    </row>
    <row r="5" spans="1:3" ht="20.100000000000001" customHeight="1" thickBot="1">
      <c r="A5" s="2" t="s">
        <v>37</v>
      </c>
      <c r="C5" s="18" t="s">
        <v>65</v>
      </c>
    </row>
    <row r="6" spans="1:3" ht="20.100000000000001" customHeight="1" thickBot="1">
      <c r="A6" s="2" t="s">
        <v>38</v>
      </c>
      <c r="C6" s="18" t="s">
        <v>66</v>
      </c>
    </row>
    <row r="7" spans="1:3" ht="20.100000000000001" customHeight="1" thickBot="1">
      <c r="A7" s="2" t="s">
        <v>39</v>
      </c>
      <c r="C7" s="18" t="s">
        <v>67</v>
      </c>
    </row>
    <row r="8" spans="1:3" ht="20.100000000000001" customHeight="1" thickBot="1">
      <c r="A8" s="2" t="s">
        <v>40</v>
      </c>
      <c r="C8" s="18" t="s">
        <v>68</v>
      </c>
    </row>
    <row r="9" spans="1:3" ht="20.100000000000001" customHeight="1" thickBot="1">
      <c r="A9" s="2" t="s">
        <v>41</v>
      </c>
      <c r="C9" s="18" t="s">
        <v>69</v>
      </c>
    </row>
    <row r="10" spans="1:3" ht="20.100000000000001" customHeight="1" thickBot="1">
      <c r="A10" s="2" t="s">
        <v>42</v>
      </c>
      <c r="C10" s="18" t="s">
        <v>70</v>
      </c>
    </row>
    <row r="11" spans="1:3" ht="20.100000000000001" customHeight="1" thickBot="1">
      <c r="A11" s="2" t="s">
        <v>43</v>
      </c>
      <c r="C11" s="18" t="s">
        <v>71</v>
      </c>
    </row>
    <row r="12" spans="1:3" ht="20.100000000000001" customHeight="1" thickBot="1">
      <c r="A12" s="2" t="s">
        <v>44</v>
      </c>
      <c r="C12" s="18" t="s">
        <v>72</v>
      </c>
    </row>
    <row r="13" spans="1:3" ht="20.100000000000001" customHeight="1" thickBot="1">
      <c r="A13" s="2" t="s">
        <v>45</v>
      </c>
      <c r="C13" s="18" t="s">
        <v>73</v>
      </c>
    </row>
    <row r="14" spans="1:3" ht="20.100000000000001" customHeight="1" thickBot="1">
      <c r="A14" s="2" t="s">
        <v>46</v>
      </c>
      <c r="C14" s="18" t="s">
        <v>74</v>
      </c>
    </row>
    <row r="15" spans="1:3" ht="20.100000000000001" customHeight="1" thickBot="1">
      <c r="A15" s="2" t="s">
        <v>47</v>
      </c>
      <c r="C15" s="18" t="s">
        <v>75</v>
      </c>
    </row>
    <row r="16" spans="1:3" ht="20.100000000000001" customHeight="1" thickBot="1">
      <c r="A16" s="2" t="s">
        <v>10</v>
      </c>
      <c r="C16" s="18" t="s">
        <v>76</v>
      </c>
    </row>
    <row r="17" spans="1:3" ht="20.100000000000001" customHeight="1" thickBot="1">
      <c r="A17" s="2" t="s">
        <v>27</v>
      </c>
      <c r="C17" s="18" t="s">
        <v>77</v>
      </c>
    </row>
    <row r="18" spans="1:3" ht="20.100000000000001" customHeight="1" thickBot="1">
      <c r="A18" s="2" t="s">
        <v>48</v>
      </c>
      <c r="C18" s="18" t="s">
        <v>78</v>
      </c>
    </row>
    <row r="19" spans="1:3" ht="20.100000000000001" customHeight="1" thickBot="1">
      <c r="A19" s="2" t="s">
        <v>49</v>
      </c>
      <c r="C19" s="18" t="s">
        <v>79</v>
      </c>
    </row>
    <row r="20" spans="1:3" ht="20.100000000000001" customHeight="1" thickBot="1">
      <c r="A20" s="2" t="s">
        <v>50</v>
      </c>
      <c r="C20" s="18" t="s">
        <v>80</v>
      </c>
    </row>
    <row r="21" spans="1:3" ht="20.100000000000001" customHeight="1" thickBot="1">
      <c r="A21" s="2" t="s">
        <v>51</v>
      </c>
      <c r="C21" s="18" t="s">
        <v>81</v>
      </c>
    </row>
    <row r="22" spans="1:3" ht="20.100000000000001" customHeight="1" thickBot="1">
      <c r="A22" s="2" t="s">
        <v>11</v>
      </c>
      <c r="C22" s="18" t="s">
        <v>82</v>
      </c>
    </row>
    <row r="23" spans="1:3" ht="20.100000000000001" customHeight="1" thickBot="1">
      <c r="A23" s="2" t="s">
        <v>12</v>
      </c>
      <c r="C23" s="18" t="s">
        <v>83</v>
      </c>
    </row>
    <row r="24" spans="1:3" ht="20.100000000000001" customHeight="1" thickBot="1">
      <c r="A24" s="2" t="s">
        <v>15</v>
      </c>
      <c r="C24" s="18" t="s">
        <v>84</v>
      </c>
    </row>
    <row r="25" spans="1:3" ht="20.100000000000001" customHeight="1" thickBot="1">
      <c r="A25" s="2" t="s">
        <v>28</v>
      </c>
      <c r="C25" s="18" t="s">
        <v>85</v>
      </c>
    </row>
    <row r="26" spans="1:3" ht="20.100000000000001" customHeight="1" thickBot="1">
      <c r="A26" s="2" t="s">
        <v>29</v>
      </c>
      <c r="C26" s="18" t="s">
        <v>86</v>
      </c>
    </row>
    <row r="27" spans="1:3" ht="20.100000000000001" customHeight="1" thickBot="1">
      <c r="A27" s="2" t="s">
        <v>13</v>
      </c>
      <c r="C27" s="18" t="s">
        <v>87</v>
      </c>
    </row>
    <row r="28" spans="1:3" ht="20.100000000000001" customHeight="1" thickBot="1">
      <c r="A28" s="2" t="s">
        <v>30</v>
      </c>
      <c r="C28" s="18" t="s">
        <v>88</v>
      </c>
    </row>
    <row r="29" spans="1:3" ht="20.100000000000001" customHeight="1" thickBot="1">
      <c r="A29" s="2" t="s">
        <v>31</v>
      </c>
      <c r="C29" s="2"/>
    </row>
    <row r="30" spans="1:3" ht="20.100000000000001" customHeight="1" thickBot="1">
      <c r="A30" s="2" t="s">
        <v>32</v>
      </c>
      <c r="C30" s="2"/>
    </row>
    <row r="31" spans="1:3" ht="20.100000000000001" customHeight="1" thickBot="1">
      <c r="A31" s="2" t="s">
        <v>33</v>
      </c>
      <c r="C31" s="2"/>
    </row>
    <row r="32" spans="1:3" ht="20.100000000000001" customHeight="1" thickBot="1">
      <c r="A32" s="2" t="s">
        <v>16</v>
      </c>
      <c r="C32" s="2"/>
    </row>
    <row r="33" spans="1:9" ht="20.100000000000001" customHeight="1" thickBot="1">
      <c r="A33" s="2" t="s">
        <v>14</v>
      </c>
      <c r="C33" s="2"/>
    </row>
    <row r="34" spans="1:9" ht="20.100000000000001" customHeight="1" thickBot="1">
      <c r="A34" s="2" t="s">
        <v>34</v>
      </c>
      <c r="C34" s="2"/>
    </row>
    <row r="35" spans="1:9" ht="20.100000000000001" customHeight="1">
      <c r="A35" s="17"/>
    </row>
    <row r="36" spans="1:9" s="16" customFormat="1" ht="20.100000000000001" customHeight="1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2">
        <v>45901</v>
      </c>
    </row>
    <row r="40" spans="1:9" ht="20.100000000000001" customHeight="1" thickBot="1">
      <c r="A40" s="12">
        <v>45902</v>
      </c>
    </row>
    <row r="41" spans="1:9" ht="20.100000000000001" customHeight="1" thickBot="1">
      <c r="A41" s="12">
        <v>45903</v>
      </c>
    </row>
    <row r="42" spans="1:9" ht="20.100000000000001" customHeight="1" thickBot="1">
      <c r="A42" s="12">
        <v>45904</v>
      </c>
    </row>
    <row r="43" spans="1:9" ht="20.100000000000001" customHeight="1" thickBot="1">
      <c r="A43" s="12">
        <v>45905</v>
      </c>
    </row>
    <row r="44" spans="1:9" ht="20.100000000000001" customHeight="1" thickBot="1">
      <c r="A44" s="12">
        <v>45906</v>
      </c>
    </row>
    <row r="45" spans="1:9" ht="20.100000000000001" customHeight="1" thickBot="1">
      <c r="A45" s="12">
        <v>45907</v>
      </c>
    </row>
    <row r="46" spans="1:9" ht="20.100000000000001" customHeight="1" thickBot="1">
      <c r="A46" s="12">
        <v>45908</v>
      </c>
    </row>
    <row r="47" spans="1:9" ht="20.100000000000001" customHeight="1" thickBot="1">
      <c r="A47" s="12">
        <v>45909</v>
      </c>
    </row>
    <row r="48" spans="1:9" ht="20.100000000000001" customHeight="1" thickBot="1">
      <c r="A48" s="12">
        <v>45910</v>
      </c>
    </row>
    <row r="49" spans="1:1" ht="20.100000000000001" customHeight="1" thickBot="1">
      <c r="A49" s="12">
        <v>45911</v>
      </c>
    </row>
    <row r="50" spans="1:1" ht="20.100000000000001" customHeight="1" thickBot="1">
      <c r="A50" s="12">
        <v>45912</v>
      </c>
    </row>
    <row r="51" spans="1:1" ht="20.100000000000001" customHeight="1" thickBot="1">
      <c r="A51" s="12">
        <v>45913</v>
      </c>
    </row>
    <row r="52" spans="1:1" ht="20.100000000000001" customHeight="1" thickBot="1">
      <c r="A52" s="12">
        <v>45914</v>
      </c>
    </row>
    <row r="53" spans="1:1" ht="20.100000000000001" customHeight="1" thickBot="1">
      <c r="A53" s="12">
        <v>45915</v>
      </c>
    </row>
    <row r="54" spans="1:1" ht="20.100000000000001" customHeight="1" thickBot="1">
      <c r="A54" s="12">
        <v>45916</v>
      </c>
    </row>
    <row r="55" spans="1:1" ht="20.100000000000001" customHeight="1" thickBot="1">
      <c r="A55" s="12">
        <v>45917</v>
      </c>
    </row>
    <row r="56" spans="1:1" ht="20.100000000000001" customHeight="1" thickBot="1">
      <c r="A56" s="12">
        <v>45918</v>
      </c>
    </row>
    <row r="57" spans="1:1" ht="20.100000000000001" customHeight="1" thickBot="1">
      <c r="A57" s="12">
        <v>45919</v>
      </c>
    </row>
    <row r="58" spans="1:1" ht="20.100000000000001" customHeight="1" thickBot="1">
      <c r="A58" s="12">
        <v>45920</v>
      </c>
    </row>
    <row r="59" spans="1:1" ht="20.100000000000001" customHeight="1" thickBot="1">
      <c r="A59" s="12">
        <v>45921</v>
      </c>
    </row>
    <row r="60" spans="1:1" ht="20.100000000000001" customHeight="1" thickBot="1">
      <c r="A60" s="12">
        <v>45922</v>
      </c>
    </row>
    <row r="61" spans="1:1" ht="20.100000000000001" customHeight="1" thickBot="1">
      <c r="A61" s="12">
        <v>45923</v>
      </c>
    </row>
    <row r="62" spans="1:1" ht="20.100000000000001" customHeight="1" thickBot="1">
      <c r="A62" s="12">
        <v>45924</v>
      </c>
    </row>
    <row r="63" spans="1:1" ht="20.100000000000001" customHeight="1" thickBot="1">
      <c r="A63" s="12">
        <v>45925</v>
      </c>
    </row>
    <row r="64" spans="1:1" ht="20.100000000000001" customHeight="1" thickBot="1">
      <c r="A64" s="12">
        <v>45926</v>
      </c>
    </row>
    <row r="65" spans="1:1" ht="20.100000000000001" customHeight="1" thickBot="1">
      <c r="A65" s="12">
        <v>45927</v>
      </c>
    </row>
    <row r="66" spans="1:1" ht="20.100000000000001" customHeight="1" thickBot="1">
      <c r="A66" s="12">
        <v>45928</v>
      </c>
    </row>
    <row r="67" spans="1:1" ht="20.100000000000001" customHeight="1" thickBot="1">
      <c r="A67" s="12">
        <v>45929</v>
      </c>
    </row>
    <row r="68" spans="1:1" ht="20.100000000000001" customHeight="1" thickBot="1">
      <c r="A68" s="12">
        <v>45930</v>
      </c>
    </row>
    <row r="69" spans="1:1" ht="20.100000000000001" customHeight="1" thickBot="1">
      <c r="A69" s="12">
        <v>45931</v>
      </c>
    </row>
    <row r="70" spans="1:1" ht="20.100000000000001" customHeight="1" thickBot="1">
      <c r="A70" s="12">
        <v>45932</v>
      </c>
    </row>
    <row r="71" spans="1:1" ht="20.100000000000001" customHeight="1" thickBot="1">
      <c r="A71" s="12">
        <v>45933</v>
      </c>
    </row>
    <row r="72" spans="1:1" ht="20.100000000000001" customHeight="1" thickBot="1">
      <c r="A72" s="12">
        <v>45934</v>
      </c>
    </row>
    <row r="73" spans="1:1" ht="20.100000000000001" customHeight="1" thickBot="1">
      <c r="A73" s="12">
        <v>45935</v>
      </c>
    </row>
    <row r="74" spans="1:1" ht="20.100000000000001" customHeight="1" thickBot="1">
      <c r="A74" s="12">
        <v>45936</v>
      </c>
    </row>
    <row r="75" spans="1:1" ht="20.100000000000001" customHeight="1" thickBot="1">
      <c r="A75" s="12">
        <v>45937</v>
      </c>
    </row>
    <row r="76" spans="1:1" ht="20.100000000000001" customHeight="1" thickBot="1">
      <c r="A76" s="12">
        <v>45938</v>
      </c>
    </row>
    <row r="77" spans="1:1" ht="20.100000000000001" customHeight="1" thickBot="1">
      <c r="A77" s="12">
        <v>45939</v>
      </c>
    </row>
    <row r="78" spans="1:1" ht="20.100000000000001" customHeight="1" thickBot="1">
      <c r="A78" s="12">
        <v>45940</v>
      </c>
    </row>
    <row r="79" spans="1:1" ht="20.100000000000001" customHeight="1" thickBot="1">
      <c r="A79" s="12">
        <v>45941</v>
      </c>
    </row>
    <row r="80" spans="1:1" ht="20.100000000000001" customHeight="1" thickBot="1">
      <c r="A80" s="12">
        <v>45942</v>
      </c>
    </row>
    <row r="81" spans="1:1" ht="20.100000000000001" customHeight="1" thickBot="1">
      <c r="A81" s="12">
        <v>45943</v>
      </c>
    </row>
    <row r="82" spans="1:1" ht="20.100000000000001" customHeight="1" thickBot="1">
      <c r="A82" s="12">
        <v>45944</v>
      </c>
    </row>
    <row r="83" spans="1:1" ht="20.100000000000001" customHeight="1" thickBot="1">
      <c r="A83" s="12">
        <v>45945</v>
      </c>
    </row>
    <row r="84" spans="1:1" ht="20.100000000000001" customHeight="1" thickBot="1">
      <c r="A84" s="12">
        <v>45946</v>
      </c>
    </row>
    <row r="85" spans="1:1" ht="20.100000000000001" customHeight="1" thickBot="1">
      <c r="A85" s="12">
        <v>45947</v>
      </c>
    </row>
    <row r="86" spans="1:1" ht="20.100000000000001" customHeight="1" thickBot="1">
      <c r="A86" s="12">
        <v>45948</v>
      </c>
    </row>
    <row r="87" spans="1:1" ht="20.100000000000001" customHeight="1" thickBot="1">
      <c r="A87" s="12">
        <v>45949</v>
      </c>
    </row>
    <row r="88" spans="1:1" ht="20.100000000000001" customHeight="1" thickBot="1">
      <c r="A88" s="12">
        <v>45950</v>
      </c>
    </row>
    <row r="89" spans="1:1" ht="20.100000000000001" customHeight="1" thickBot="1">
      <c r="A89" s="12">
        <v>45951</v>
      </c>
    </row>
    <row r="90" spans="1:1" ht="20.100000000000001" customHeight="1" thickBot="1">
      <c r="A90" s="12">
        <v>45952</v>
      </c>
    </row>
    <row r="91" spans="1:1" ht="20.100000000000001" customHeight="1" thickBot="1">
      <c r="A91" s="12">
        <v>45953</v>
      </c>
    </row>
    <row r="92" spans="1:1" ht="20.100000000000001" customHeight="1" thickBot="1">
      <c r="A92" s="12">
        <v>45954</v>
      </c>
    </row>
    <row r="93" spans="1:1" ht="20.100000000000001" customHeight="1" thickBot="1">
      <c r="A93" s="12">
        <v>45955</v>
      </c>
    </row>
    <row r="94" spans="1:1" ht="20.100000000000001" customHeight="1" thickBot="1">
      <c r="A94" s="12">
        <v>45956</v>
      </c>
    </row>
    <row r="95" spans="1:1" ht="20.100000000000001" customHeight="1" thickBot="1">
      <c r="A95" s="12">
        <v>45957</v>
      </c>
    </row>
    <row r="96" spans="1:1" ht="20.100000000000001" customHeight="1" thickBot="1">
      <c r="A96" s="12">
        <v>45958</v>
      </c>
    </row>
    <row r="97" spans="1:9" ht="20.100000000000001" customHeight="1" thickBot="1">
      <c r="A97" s="12">
        <v>45959</v>
      </c>
    </row>
    <row r="98" spans="1:9" ht="20.100000000000001" customHeight="1" thickBot="1">
      <c r="A98" s="12">
        <v>45960</v>
      </c>
    </row>
    <row r="99" spans="1:9" ht="20.100000000000001" customHeight="1" thickBot="1">
      <c r="A99" s="12">
        <v>45961</v>
      </c>
    </row>
    <row r="100" spans="1:9" ht="20.100000000000001" customHeight="1" thickBot="1">
      <c r="A100" s="12">
        <v>45962</v>
      </c>
    </row>
    <row r="101" spans="1:9" ht="20.100000000000001" customHeight="1" thickBot="1">
      <c r="A101" s="12">
        <v>45963</v>
      </c>
    </row>
    <row r="102" spans="1:9" ht="20.100000000000001" customHeight="1" thickBot="1">
      <c r="A102" s="12">
        <v>45964</v>
      </c>
    </row>
    <row r="103" spans="1:9" ht="20.100000000000001" customHeight="1" thickBot="1">
      <c r="A103" s="12">
        <v>45965</v>
      </c>
    </row>
    <row r="104" spans="1:9" ht="20.100000000000001" customHeight="1" thickBot="1">
      <c r="A104" s="12">
        <v>45966</v>
      </c>
    </row>
    <row r="105" spans="1:9" ht="20.100000000000001" customHeight="1" thickBot="1">
      <c r="A105" s="12">
        <v>45967</v>
      </c>
    </row>
    <row r="106" spans="1:9" ht="20.100000000000001" customHeight="1" thickBot="1">
      <c r="A106" s="12">
        <v>45968</v>
      </c>
    </row>
    <row r="107" spans="1:9" ht="20.100000000000001" customHeight="1">
      <c r="A107" s="13"/>
    </row>
    <row r="108" spans="1:9" ht="20.100000000000001" customHeight="1">
      <c r="A108" s="13"/>
    </row>
    <row r="109" spans="1:9" s="16" customFormat="1" ht="20.100000000000001" customHeight="1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19" t="s">
        <v>89</v>
      </c>
    </row>
    <row r="200" spans="1:1" ht="20.100000000000001" customHeight="1">
      <c r="A200" s="19" t="s">
        <v>90</v>
      </c>
    </row>
    <row r="201" spans="1:1" ht="20.100000000000001" customHeight="1">
      <c r="A201" s="19" t="s">
        <v>91</v>
      </c>
    </row>
    <row r="202" spans="1:1" ht="20.100000000000001" customHeight="1">
      <c r="A202" s="19" t="s">
        <v>92</v>
      </c>
    </row>
    <row r="203" spans="1:1" ht="20.100000000000001" customHeight="1">
      <c r="A203" s="19" t="s">
        <v>93</v>
      </c>
    </row>
    <row r="204" spans="1:1" ht="20.100000000000001" customHeight="1">
      <c r="A204" s="19" t="s">
        <v>94</v>
      </c>
    </row>
    <row r="205" spans="1:1" ht="20.100000000000001" customHeight="1">
      <c r="A205" s="19" t="s">
        <v>95</v>
      </c>
    </row>
    <row r="206" spans="1:1" ht="20.100000000000001" customHeight="1">
      <c r="A206" s="19" t="s">
        <v>96</v>
      </c>
    </row>
    <row r="207" spans="1:1" ht="20.100000000000001" customHeight="1">
      <c r="A207" s="19" t="s">
        <v>97</v>
      </c>
    </row>
    <row r="208" spans="1:1" ht="20.100000000000001" customHeight="1">
      <c r="A208" s="20" t="s">
        <v>98</v>
      </c>
    </row>
    <row r="209" spans="1:1" ht="20.100000000000001" customHeight="1">
      <c r="A209" s="20" t="s">
        <v>99</v>
      </c>
    </row>
    <row r="210" spans="1:1" ht="20.100000000000001" customHeight="1">
      <c r="A210" s="19" t="s">
        <v>100</v>
      </c>
    </row>
    <row r="211" spans="1:1" ht="20.100000000000001" customHeight="1">
      <c r="A211" s="19" t="s">
        <v>101</v>
      </c>
    </row>
    <row r="212" spans="1:1" ht="20.100000000000001" customHeight="1">
      <c r="A212" s="19" t="s">
        <v>102</v>
      </c>
    </row>
    <row r="213" spans="1:1" ht="20.100000000000001" customHeight="1">
      <c r="A213" s="19" t="s">
        <v>103</v>
      </c>
    </row>
    <row r="214" spans="1:1" ht="20.100000000000001" customHeight="1">
      <c r="A214" s="19" t="s">
        <v>104</v>
      </c>
    </row>
    <row r="215" spans="1:1" ht="20.100000000000001" customHeight="1">
      <c r="A215" s="19" t="s">
        <v>105</v>
      </c>
    </row>
    <row r="216" spans="1:1" ht="20.100000000000001" customHeight="1">
      <c r="A216" s="19" t="s">
        <v>106</v>
      </c>
    </row>
    <row r="217" spans="1:1" ht="20.100000000000001" customHeight="1">
      <c r="A217" s="19" t="s">
        <v>107</v>
      </c>
    </row>
    <row r="218" spans="1:1" ht="20.100000000000001" customHeight="1">
      <c r="A218" s="19" t="s">
        <v>108</v>
      </c>
    </row>
    <row r="219" spans="1:1" ht="20.100000000000001" customHeight="1">
      <c r="A219" s="19" t="s">
        <v>109</v>
      </c>
    </row>
    <row r="220" spans="1:1" ht="20.100000000000001" customHeight="1">
      <c r="A220" s="19" t="s">
        <v>110</v>
      </c>
    </row>
    <row r="221" spans="1:1" ht="20.100000000000001" customHeight="1">
      <c r="A221" s="19" t="s">
        <v>111</v>
      </c>
    </row>
    <row r="222" spans="1:1" ht="20.100000000000001" customHeight="1">
      <c r="A222" s="19" t="s">
        <v>112</v>
      </c>
    </row>
    <row r="223" spans="1:1" ht="20.100000000000001" customHeight="1">
      <c r="A223" s="19" t="s">
        <v>113</v>
      </c>
    </row>
    <row r="224" spans="1:1" ht="20.100000000000001" customHeight="1">
      <c r="A224" s="19" t="s">
        <v>114</v>
      </c>
    </row>
    <row r="225" spans="1:1" ht="20.100000000000001" customHeight="1">
      <c r="A225" s="19" t="s">
        <v>115</v>
      </c>
    </row>
    <row r="226" spans="1:1" ht="20.100000000000001" customHeight="1">
      <c r="A226" s="19" t="s">
        <v>116</v>
      </c>
    </row>
    <row r="227" spans="1:1" ht="20.100000000000001" customHeight="1">
      <c r="A227" s="19" t="s">
        <v>117</v>
      </c>
    </row>
    <row r="228" spans="1:1" ht="20.100000000000001" customHeight="1">
      <c r="A228" s="19" t="s">
        <v>118</v>
      </c>
    </row>
    <row r="229" spans="1:1" ht="20.100000000000001" customHeight="1">
      <c r="A229" s="19" t="s">
        <v>119</v>
      </c>
    </row>
    <row r="230" spans="1:1" ht="20.100000000000001" customHeight="1">
      <c r="A230" s="19" t="s">
        <v>120</v>
      </c>
    </row>
    <row r="231" spans="1:1" ht="20.100000000000001" customHeight="1">
      <c r="A231" s="19" t="s">
        <v>121</v>
      </c>
    </row>
    <row r="232" spans="1:1" ht="20.100000000000001" customHeight="1">
      <c r="A232" s="19" t="s">
        <v>122</v>
      </c>
    </row>
    <row r="233" spans="1:1" ht="20.100000000000001" customHeight="1">
      <c r="A233" s="19" t="s">
        <v>123</v>
      </c>
    </row>
    <row r="234" spans="1:1" ht="20.100000000000001" customHeight="1">
      <c r="A234" s="19" t="s">
        <v>124</v>
      </c>
    </row>
    <row r="235" spans="1:1" ht="20.100000000000001" customHeight="1">
      <c r="A235" s="21" t="s">
        <v>125</v>
      </c>
    </row>
    <row r="236" spans="1:1" ht="20.100000000000001" customHeight="1">
      <c r="A236" s="19" t="s">
        <v>126</v>
      </c>
    </row>
    <row r="237" spans="1:1" ht="20.100000000000001" customHeight="1">
      <c r="A237" s="19" t="s">
        <v>127</v>
      </c>
    </row>
    <row r="238" spans="1:1" ht="20.100000000000001" customHeight="1">
      <c r="A238" s="19" t="s">
        <v>128</v>
      </c>
    </row>
    <row r="239" spans="1:1" ht="20.100000000000001" customHeight="1">
      <c r="A239" s="19" t="s">
        <v>129</v>
      </c>
    </row>
    <row r="240" spans="1:1" ht="20.100000000000001" customHeight="1">
      <c r="A240" s="19" t="s">
        <v>130</v>
      </c>
    </row>
    <row r="241" spans="1:1" ht="20.100000000000001" customHeight="1">
      <c r="A241" s="19" t="s">
        <v>131</v>
      </c>
    </row>
    <row r="242" spans="1:1" ht="20.100000000000001" customHeight="1">
      <c r="A242" s="19" t="s">
        <v>132</v>
      </c>
    </row>
    <row r="243" spans="1:1" ht="20.100000000000001" customHeight="1">
      <c r="A243" s="19" t="s">
        <v>133</v>
      </c>
    </row>
    <row r="244" spans="1:1" ht="20.100000000000001" customHeight="1">
      <c r="A244" s="19" t="s">
        <v>134</v>
      </c>
    </row>
    <row r="245" spans="1:1" ht="20.100000000000001" customHeight="1">
      <c r="A245" s="19" t="s">
        <v>135</v>
      </c>
    </row>
    <row r="246" spans="1:1" ht="20.100000000000001" customHeight="1">
      <c r="A246" s="19" t="s">
        <v>136</v>
      </c>
    </row>
    <row r="247" spans="1:1" ht="20.100000000000001" customHeight="1">
      <c r="A247" s="19" t="s">
        <v>127</v>
      </c>
    </row>
    <row r="248" spans="1:1" ht="20.100000000000001" customHeight="1">
      <c r="A248" s="19" t="s">
        <v>137</v>
      </c>
    </row>
    <row r="249" spans="1:1" ht="20.100000000000001" customHeight="1">
      <c r="A249" s="19" t="s">
        <v>138</v>
      </c>
    </row>
    <row r="250" spans="1:1" ht="20.100000000000001" customHeight="1">
      <c r="A250" s="21" t="s">
        <v>139</v>
      </c>
    </row>
    <row r="251" spans="1:1" ht="20.100000000000001" customHeight="1">
      <c r="A251" s="22" t="s">
        <v>140</v>
      </c>
    </row>
    <row r="252" spans="1:1" ht="20.100000000000001" customHeight="1">
      <c r="A252" s="19" t="s">
        <v>141</v>
      </c>
    </row>
    <row r="253" spans="1:1" ht="20.100000000000001" customHeight="1">
      <c r="A253" s="19" t="s">
        <v>142</v>
      </c>
    </row>
    <row r="254" spans="1:1" ht="20.100000000000001" customHeight="1">
      <c r="A254" s="23" t="s">
        <v>143</v>
      </c>
    </row>
    <row r="255" spans="1:1" ht="20.100000000000001" customHeight="1">
      <c r="A255" s="23" t="s">
        <v>144</v>
      </c>
    </row>
    <row r="256" spans="1:1" ht="20.100000000000001" customHeight="1">
      <c r="A256" s="24" t="s">
        <v>145</v>
      </c>
    </row>
    <row r="257" spans="1:1" ht="20.100000000000001" customHeight="1">
      <c r="A257" s="19" t="s">
        <v>146</v>
      </c>
    </row>
    <row r="258" spans="1:1" ht="20.100000000000001" customHeight="1">
      <c r="A258" s="24" t="s">
        <v>147</v>
      </c>
    </row>
    <row r="259" spans="1:1" ht="20.100000000000001" customHeight="1">
      <c r="A259" s="19" t="s">
        <v>148</v>
      </c>
    </row>
    <row r="260" spans="1:1" ht="20.100000000000001" customHeight="1">
      <c r="A260" s="24" t="s">
        <v>149</v>
      </c>
    </row>
    <row r="261" spans="1:1" ht="20.100000000000001" customHeight="1">
      <c r="A261" s="19" t="s">
        <v>150</v>
      </c>
    </row>
    <row r="262" spans="1:1" ht="20.100000000000001" customHeight="1">
      <c r="A262" s="19" t="s">
        <v>151</v>
      </c>
    </row>
    <row r="263" spans="1:1" ht="20.100000000000001" customHeight="1">
      <c r="A263" s="24" t="s">
        <v>152</v>
      </c>
    </row>
    <row r="264" spans="1:1" ht="20.100000000000001" customHeight="1">
      <c r="A264" s="24" t="s">
        <v>153</v>
      </c>
    </row>
    <row r="265" spans="1:1" ht="20.100000000000001" customHeight="1">
      <c r="A265" s="24" t="s">
        <v>154</v>
      </c>
    </row>
    <row r="266" spans="1:1" ht="20.100000000000001" customHeight="1">
      <c r="A266" s="19" t="s">
        <v>155</v>
      </c>
    </row>
    <row r="267" spans="1:1" ht="20.100000000000001" customHeight="1">
      <c r="A267" s="19" t="s">
        <v>156</v>
      </c>
    </row>
    <row r="268" spans="1:1" ht="20.100000000000001" customHeight="1">
      <c r="A268" s="19" t="s">
        <v>157</v>
      </c>
    </row>
    <row r="269" spans="1:1" ht="20.100000000000001" customHeight="1">
      <c r="A269" s="19" t="s">
        <v>158</v>
      </c>
    </row>
    <row r="270" spans="1:1" ht="20.100000000000001" customHeight="1">
      <c r="A270" s="24" t="s">
        <v>159</v>
      </c>
    </row>
    <row r="271" spans="1:1" ht="20.100000000000001" customHeight="1">
      <c r="A271" s="24" t="s">
        <v>160</v>
      </c>
    </row>
    <row r="272" spans="1:1" ht="20.100000000000001" customHeight="1">
      <c r="A272" s="19" t="s">
        <v>161</v>
      </c>
    </row>
    <row r="273" spans="1:1" ht="20.100000000000001" customHeight="1">
      <c r="A273" s="24" t="s">
        <v>162</v>
      </c>
    </row>
    <row r="274" spans="1:1" ht="20.100000000000001" customHeight="1">
      <c r="A274" s="24" t="s">
        <v>163</v>
      </c>
    </row>
    <row r="275" spans="1:1" ht="20.100000000000001" customHeight="1">
      <c r="A275" s="19" t="s">
        <v>164</v>
      </c>
    </row>
    <row r="276" spans="1:1" ht="20.100000000000001" customHeight="1">
      <c r="A276" s="19" t="s">
        <v>165</v>
      </c>
    </row>
    <row r="277" spans="1:1" ht="20.100000000000001" customHeight="1">
      <c r="A277" s="24" t="s">
        <v>166</v>
      </c>
    </row>
    <row r="278" spans="1:1" ht="20.100000000000001" customHeight="1">
      <c r="A278" s="19" t="s">
        <v>167</v>
      </c>
    </row>
    <row r="279" spans="1:1" ht="20.100000000000001" customHeight="1">
      <c r="A279" s="19" t="s">
        <v>168</v>
      </c>
    </row>
    <row r="280" spans="1:1" ht="20.100000000000001" customHeight="1">
      <c r="A280" s="19" t="s">
        <v>169</v>
      </c>
    </row>
    <row r="281" spans="1:1" ht="20.100000000000001" customHeight="1">
      <c r="A281" s="19" t="s">
        <v>170</v>
      </c>
    </row>
    <row r="282" spans="1:1" ht="20.100000000000001" customHeight="1">
      <c r="A282" s="24" t="s">
        <v>171</v>
      </c>
    </row>
    <row r="283" spans="1:1" ht="20.100000000000001" customHeight="1">
      <c r="A283" s="24" t="s">
        <v>172</v>
      </c>
    </row>
    <row r="284" spans="1:1" ht="20.100000000000001" customHeight="1">
      <c r="A284" s="24" t="s">
        <v>173</v>
      </c>
    </row>
    <row r="285" spans="1:1" ht="20.100000000000001" customHeight="1" thickBot="1">
      <c r="A285" s="19" t="s">
        <v>174</v>
      </c>
    </row>
    <row r="286" spans="1:1" ht="20.100000000000001" customHeight="1" thickBot="1">
      <c r="A286" s="2" t="s">
        <v>58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2025-10-09T10:02:51Z</dcterms:modified>
</cp:coreProperties>
</file>