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DEED2A42-67DC-4DCF-9B7D-222F216336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8" i="2"/>
  <c r="H8" i="2"/>
  <c r="F18" i="2"/>
  <c r="E18" i="2"/>
  <c r="E19" i="2"/>
  <c r="E20" i="2"/>
</calcChain>
</file>

<file path=xl/sharedStrings.xml><?xml version="1.0" encoding="utf-8"?>
<sst xmlns="http://schemas.openxmlformats.org/spreadsheetml/2006/main" count="112" uniqueCount="110">
  <si>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</si>
  <si>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</si>
  <si>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</si>
  <si>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</si>
  <si>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</si>
  <si>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</si>
  <si>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</si>
  <si>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</si>
  <si>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</si>
  <si>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</si>
  <si>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</si>
  <si>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</si>
  <si>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</si>
  <si>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</si>
  <si>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</si>
  <si>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</si>
  <si>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</si>
  <si>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</si>
  <si>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</si>
  <si>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</si>
  <si>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</si>
  <si>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</si>
  <si>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</si>
  <si>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</si>
  <si>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</si>
  <si>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</si>
  <si>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</si>
  <si>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</si>
  <si>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</si>
  <si>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</si>
  <si>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</si>
  <si>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</si>
  <si>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</si>
  <si>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</si>
  <si>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</si>
  <si>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</si>
  <si>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</si>
  <si>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</si>
  <si>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</si>
  <si>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</si>
  <si>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</si>
  <si>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</si>
  <si>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</si>
  <si>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</si>
  <si>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</si>
  <si>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</si>
  <si>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</si>
  <si>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</si>
  <si>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</si>
  <si>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</si>
  <si>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</si>
  <si>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</si>
  <si>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</si>
  <si>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</si>
  <si>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</si>
  <si>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</si>
  <si>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</si>
  <si>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</si>
  <si>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</si>
  <si>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</si>
  <si>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</si>
  <si>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</si>
  <si>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</si>
  <si>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</si>
  <si>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</si>
  <si>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</si>
  <si>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</si>
  <si>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</si>
  <si>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</si>
  <si>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</si>
  <si>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</si>
  <si>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</si>
  <si>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</si>
  <si>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</si>
  <si>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</si>
  <si>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</si>
  <si>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</si>
  <si>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</si>
  <si>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</si>
  <si>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</si>
  <si>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</si>
  <si>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</si>
  <si>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</si>
  <si>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</si>
  <si>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</si>
  <si>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</si>
  <si>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</si>
  <si>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</si>
  <si>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</si>
  <si>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</si>
  <si>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</si>
  <si>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</si>
  <si>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</si>
  <si>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</si>
  <si>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</si>
  <si>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</si>
  <si>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</si>
  <si>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الثقة بالنفس</t>
    </r>
    <r>
      <rPr>
        <sz val="14"/>
        <color theme="1"/>
        <rFont val="Calibri"/>
        <family val="2"/>
      </rPr>
      <t xml:space="preserve"> 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</si>
  <si>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الصوت</t>
    </r>
    <r>
      <rPr>
        <sz val="14"/>
        <color theme="1"/>
        <rFont val="Calibri"/>
        <family val="2"/>
      </rPr>
      <t xml:space="preserve"> 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</si>
  <si>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استيعاب المهام الموكلة إليه</t>
    </r>
    <r>
      <rPr>
        <sz val="14"/>
        <color theme="1"/>
        <rFont val="Calibri"/>
        <family val="2"/>
      </rPr>
      <t xml:space="preserve"> 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</si>
  <si>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إيصال المعلومة والأوامر إلى مرؤوسيه</t>
    </r>
    <r>
      <rPr>
        <sz val="14"/>
        <color theme="1"/>
        <rFont val="Calibri"/>
        <family val="2"/>
      </rPr>
      <t xml:space="preserve"> 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</si>
  <si>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درجة الإبداع والمخاطرة</t>
    </r>
    <r>
      <rPr>
        <sz val="14"/>
        <color theme="1"/>
        <rFont val="Calibri"/>
        <family val="2"/>
      </rPr>
      <t xml:space="preserve"> 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</si>
  <si>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رد الفعل والاستجابة السريعة للمواقف الطارئة (المرونة)</t>
    </r>
    <r>
      <rPr>
        <sz val="14"/>
        <color theme="1"/>
        <rFont val="Calibri"/>
        <family val="2"/>
      </rPr>
      <t xml:space="preserve"> 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</si>
  <si>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إظهار روح المبادرة والجرأة</t>
    </r>
    <r>
      <rPr>
        <sz val="14"/>
        <color theme="1"/>
        <rFont val="Calibri"/>
        <family val="2"/>
      </rPr>
      <t xml:space="preserve"> 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</si>
  <si>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المهارة باستخدام سلاحه ومعداته الشخصية</t>
    </r>
    <r>
      <rPr>
        <sz val="14"/>
        <color theme="1"/>
        <rFont val="Calibri"/>
        <family val="2"/>
      </rPr>
      <t xml:space="preserve"> 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</si>
  <si>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القدرة على السيطرة على من دونه من المرؤوسين</t>
    </r>
    <r>
      <rPr>
        <sz val="14"/>
        <color theme="1"/>
        <rFont val="Calibri"/>
        <family val="2"/>
      </rPr>
      <t xml:space="preserve"> </t>
    </r>
  </si>
  <si>
    <r>
      <t>10.</t>
    </r>
    <r>
      <rPr>
        <sz val="7"/>
        <color theme="1"/>
        <rFont val="Times New Roman"/>
        <family val="1"/>
      </rPr>
      <t>   </t>
    </r>
    <r>
      <rPr>
        <sz val="14"/>
        <color theme="1"/>
        <rFont val="Arial"/>
        <family val="2"/>
      </rPr>
      <t>الصبر والتحمل</t>
    </r>
    <r>
      <rPr>
        <sz val="14"/>
        <color theme="1"/>
        <rFont val="Calibri"/>
        <family val="2"/>
      </rPr>
      <t xml:space="preserve"> </t>
    </r>
  </si>
  <si>
    <r>
      <rPr>
        <b/>
        <sz val="14"/>
        <color rgb="FF000000"/>
        <rFont val="Arial"/>
        <family val="2"/>
      </rPr>
      <t>تقييم الكفاءة القيادية للقادة الأصاغر (فصيل الاستطلاع)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</si>
  <si>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الرائد/ أحمد محمد الظهوري</t>
  </si>
  <si>
    <t>الرائد/ عبدالله مطر الكتبي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</si>
</sst>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0" fillId="0" borderId="11" xfId="0" applyFont="1" applyBorder="1" applyAlignment="1">
      <alignment horizontal="right" vertical="center" wrapText="1" readingOrder="2"/>
    </xf>
    <xf numFmtId="0" fontId="10" fillId="0" borderId="12" xfId="0" applyFont="1" applyBorder="1" applyAlignment="1">
      <alignment horizontal="right" vertical="center" wrapText="1" readingOrder="2"/>
    </xf>
    <xf numFmtId="0" fontId="10" fillId="0" borderId="20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0" fontId="10" fillId="0" borderId="5" xfId="0" applyFont="1" applyBorder="1" applyAlignment="1">
      <alignment horizontal="right" vertical="center" wrapText="1" readingOrder="2"/>
    </xf>
    <xf numFmtId="0" fontId="10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564415</xdr:colOff>
      <xdr:row>21</xdr:row>
      <xdr:rowOff>57988</xdr:rowOff>
    </xdr:from>
    <xdr:to>
      <xdr:col>9</xdr:col>
      <xdr:colOff>410652</xdr:colOff>
      <xdr:row>21</xdr:row>
      <xdr:rowOff>573148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F3CEC16-572C-D98D-0A21-9F8D929E7996}"/>
                </a:ext>
              </a:extLst>
            </xdr14:cNvPr>
            <xdr14:cNvContentPartPr/>
          </xdr14:nvContentPartPr>
          <xdr14:nvPr macro=""/>
          <xdr14:xfrm>
            <a:off x="10398176167" y="8209080"/>
            <a:ext cx="2478600" cy="5151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F3CEC16-572C-D98D-0A21-9F8D929E799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167527" y="8200080"/>
              <a:ext cx="2496240" cy="53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310593</xdr:colOff>
      <xdr:row>21</xdr:row>
      <xdr:rowOff>24148</xdr:rowOff>
    </xdr:from>
    <xdr:to>
      <xdr:col>8</xdr:col>
      <xdr:colOff>69382</xdr:colOff>
      <xdr:row>21</xdr:row>
      <xdr:rowOff>544348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E74651F-E72E-BD86-EBA7-F32A838A2180}"/>
                </a:ext>
              </a:extLst>
            </xdr14:cNvPr>
            <xdr14:cNvContentPartPr/>
          </xdr14:nvContentPartPr>
          <xdr14:nvPr macro=""/>
          <xdr14:xfrm>
            <a:off x="10399175527" y="8175240"/>
            <a:ext cx="416880" cy="5202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E74651F-E72E-BD86-EBA7-F32A838A218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166527" y="8166240"/>
              <a:ext cx="434520" cy="537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06:16:56.2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5707 740,'0'0,"0"0,0 0,0 0,0 0,0 0,0 0,0 0,0 0,0 0,0 0,0 0,0-16,0 0,0 14,-17-12,1-18,16 28,0-24,-14 12,11 14,-10-28,-4 30,17 0,-13-16,-4 0,14 13,3 3,-13 3,13-3,-14 16,14 0,0-14,-16 28,16 2,0-27,-17 38,34 5,-15-41,12 34,16 7,-23-40,16 32,57 9,-69-42,71 18,42-9,-106-14,73-4,32 2,-104 0,87-16,-13 0,-80 13,53-10,-19 13,-41 0,34-17,-10 17,-23 0,16-16,10 16,-28 0,4 0,7 0,-13 0,-22 0,5 0,12 0,-29 16,-15 1,39-15,-33 28,-36 18,61-40,-64 32,-14 8,76-40,-76 48,-14-8,88-40,-71 48,12-24,65-26,-53 36,-11-25,64-15,-37 12,-10 2,51-14,-29 12,-25-14,54 0,-44 0,-8 0,51 0,-27-16,-26 0,54 13,-28-10,-26-4,53 15,-41-12,-12-2,54 14,-59-28,-11 14,67 14,-53-12,-28-2,77 14,-62-12,-15 14,80 0,-67-16,-13 16,78 0,-48 0,1-16,53 14,-45 4,-7-18,52 14,-28-12,-10-2,38 13,-15-26,24-19,0 40,0-64,47-57,-37 109,43-88,40-52,-78 136,79-97,0-23,-80 121,66-50,-20 25,-49 40,25-32,-4 8,-29 27,24-6,-10-5,-15 13,27-10,1-4,-26 15,-8 21,-11 13,13-27,-28 22,-1 21,27-41,-68 66,-38 39,94-95,-91 94,-50 2,132-95,-106 76,-23 2,131-81,-110 34,23-17,94-26,-61 4,1 6,61-13,-48 10,0-13,55 0,-47 0,-5 0,50 0,-43 0,7 0,39 0,-16 0,-25-16,39 14,-14 4,-7-18,25 14,-21 4,-6-2,27 0,-37-16,12 16,25 0,-37 16,-21-16,54 0,-42 16,-12 0,53-13,-89 27,5 2,80-27,-96 38,-14 5,104-40,-99 48,-7-8,106-40,-37 16,-52 24,92-40,-44 0,-1 8,53-13,-43-6,6 19,36-13,-43-6,6-13,40 14,-16-12,7-18,13 27,-11-38,14-37,0 67,47-70,32-46,-65 109,79-104,47-20,-116 121,108-98,54-24,-155 123,79-36,13 10,-102 40,37 0,19-24,-65 27,23-6,11 11,-38 0,15 0,24 0,-39 0,17 0,5 0,-26 0,8 16,-12 0,0-14,-16 12,-14 18,22-27,-47 54,-70 5,104-54,-114 76,-51 27,158-97,-131 64,-58 16,185-81,-122 50,-18-17,147-40,-73 32,-26-7,102-28,-66 6,-5 21,79-28,-65 24,-15 4,78-27,-61 22,-16 5,78-27,-47 22,-17 5,67-27,-23 22,-26-11,52-13,-28 10,20 3,16-13,-28 10,13 3,14-13,4 10,-2-11,30-4,16 18,-36-13,60-6,70-13,-116 14,139 4,37-34,-165 27,163-6,68-21,-224 27,195-38,10 11,-205 27,182-38,40-5,-220 40,192-64,13-25,-210 81,169-64,-208 80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06:16:56.94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537 802,'0'0,"0"0,0 0,0 0,0 0,0 0,0 0,0 0,0 0,0 0,0 0,0 0,15-16,-14 13,13-26,2-3,-13 27,40-54,17-37,-49 80,56-65,9-15,-65 82,53-52,-2-14,-52 67,11-38,10 19,-28 27,8-23,6 12,-16 14,13-12,0-18,-12 28,-2 4,0 0,-2-12,2 28,0-13,-29 10,-2 19,24-26,-32 37,-23 21,54-54,-92 76,-5 42,86-108,-69 104,-51 21,119-122,-81 130,-37 24,118-150,-68 138,-4 11,76-143,32-66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topLeftCell="A13" zoomScale="130" zoomScaleNormal="100" zoomScaleSheetLayoutView="130" workbookViewId="0">
      <selection activeCell="G21" sqref="G21:J21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1" t="s">
        <v>107</v>
      </c>
      <c r="C1" s="51"/>
      <c r="D1" s="51"/>
      <c r="E1" s="51"/>
      <c r="F1" s="51"/>
      <c r="G1" s="51"/>
      <c r="H1" s="51"/>
      <c r="I1" s="51"/>
      <c r="J1" s="51"/>
    </row>
    <row r="2" spans="1:10" ht="30" customHeight="1" x14ac:dyDescent="0.3">
      <c r="B2" s="13" t="s">
        <v>8</v>
      </c>
      <c r="C2" s="57" t="s">
        <v>10</v>
      </c>
      <c r="D2" s="57"/>
      <c r="E2" s="13" t="s">
        <v>7</v>
      </c>
      <c r="F2" s="52">
        <v>45937</v>
      </c>
      <c r="G2" s="52"/>
      <c r="H2" s="52"/>
      <c r="I2" s="52"/>
      <c r="J2" s="52"/>
    </row>
    <row r="3" spans="1:10" ht="30" customHeight="1" x14ac:dyDescent="0.3">
      <c r="B3" s="13" t="s">
        <v>9</v>
      </c>
      <c r="C3" s="57" t="s">
        <v>108</v>
      </c>
      <c r="D3" s="57"/>
      <c r="E3" s="13" t="s">
        <v>6</v>
      </c>
      <c r="F3" s="57" t="s">
        <v>109</v>
      </c>
      <c r="G3" s="57"/>
      <c r="H3" s="57"/>
      <c r="I3" s="57"/>
      <c r="J3" s="57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53" t="s">
        <v>0</v>
      </c>
      <c r="C5" s="54"/>
      <c r="D5" s="54"/>
      <c r="E5" s="62" t="s">
        <v>1</v>
      </c>
      <c r="F5" s="62"/>
      <c r="G5" s="62"/>
      <c r="H5" s="62"/>
      <c r="I5" s="62" t="s">
        <v>2</v>
      </c>
      <c r="J5" s="63"/>
    </row>
    <row r="6" spans="1:10" ht="24.9" customHeight="1" thickBot="1" x14ac:dyDescent="0.35">
      <c r="A6" s="11"/>
      <c r="B6" s="55"/>
      <c r="C6" s="56"/>
      <c r="D6" s="56"/>
      <c r="E6" s="12" t="s">
        <v>3</v>
      </c>
      <c r="F6" s="12" t="s">
        <v>4</v>
      </c>
      <c r="G6" s="12" t="s">
        <v>23</v>
      </c>
      <c r="H6" s="12" t="s">
        <v>24</v>
      </c>
      <c r="I6" s="64"/>
      <c r="J6" s="65"/>
    </row>
    <row r="7" spans="1:10" ht="24.9" customHeight="1" thickBot="1" x14ac:dyDescent="0.35">
      <c r="A7" s="11"/>
      <c r="B7" s="60" t="s">
        <v>21</v>
      </c>
      <c r="C7" s="61"/>
      <c r="D7" s="61"/>
      <c r="E7" s="22" t="s">
        <v>18</v>
      </c>
      <c r="F7" s="22" t="s">
        <v>19</v>
      </c>
      <c r="G7" s="22" t="s">
        <v>22</v>
      </c>
      <c r="H7" s="22" t="s">
        <v>20</v>
      </c>
      <c r="I7" s="66" t="s">
        <v>25</v>
      </c>
      <c r="J7" s="67"/>
    </row>
    <row r="8" spans="1:10" ht="30" customHeight="1" x14ac:dyDescent="0.3">
      <c r="A8" s="11"/>
      <c r="B8" s="72" t="s">
        <v>97</v>
      </c>
      <c r="C8" s="73"/>
      <c r="D8" s="73"/>
      <c r="E8" s="25">
        <v>5</v>
      </c>
      <c r="F8" s="26">
        <v>3.75</v>
      </c>
      <c r="G8" s="27">
        <f>IFERROR(F8/E8,"")</f>
        <v>0.75</v>
      </c>
      <c r="H8" s="28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38"/>
      <c r="J8" s="39"/>
    </row>
    <row r="9" spans="1:10" ht="30" customHeight="1" x14ac:dyDescent="0.3">
      <c r="A9" s="11"/>
      <c r="B9" s="70" t="s">
        <v>98</v>
      </c>
      <c r="C9" s="71"/>
      <c r="D9" s="71"/>
      <c r="E9" s="9">
        <v>5</v>
      </c>
      <c r="F9" s="20">
        <v>4</v>
      </c>
      <c r="G9" s="23">
        <f>IFERROR(F9/E9,"")</f>
        <v>0.8</v>
      </c>
      <c r="H9" s="24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2"/>
      <c r="J9" s="43"/>
    </row>
    <row r="10" spans="1:10" ht="30" customHeight="1" x14ac:dyDescent="0.3">
      <c r="A10" s="11"/>
      <c r="B10" s="70" t="s">
        <v>99</v>
      </c>
      <c r="C10" s="71"/>
      <c r="D10" s="71"/>
      <c r="E10" s="9">
        <v>5</v>
      </c>
      <c r="F10" s="20">
        <v>3.75</v>
      </c>
      <c r="G10" s="23">
        <f t="shared" ref="G10:G17" si="0">IFERROR(F10/E10,"")</f>
        <v>0.75</v>
      </c>
      <c r="H10" s="24" t="str">
        <f t="shared" ref="H10:H17" si="1">_xlfn.IFS(F10="أدخل العلامة","",F10="لا ينطبق","تم الإلغاء",G10&gt;=90%,"ممتاز",G10&gt;=80%,"جيد جداً",G10&gt;=70%,"جيد",G10&gt;=60%,"مقبول",G10&lt;60%,"راسب")</f>
        <v>جيد</v>
      </c>
      <c r="I10" s="42"/>
      <c r="J10" s="43"/>
    </row>
    <row r="11" spans="1:10" ht="30" customHeight="1" x14ac:dyDescent="0.3">
      <c r="A11" s="11"/>
      <c r="B11" s="70" t="s">
        <v>100</v>
      </c>
      <c r="C11" s="71"/>
      <c r="D11" s="71"/>
      <c r="E11" s="9">
        <v>5</v>
      </c>
      <c r="F11" s="20">
        <v>4</v>
      </c>
      <c r="G11" s="23">
        <f t="shared" si="0"/>
        <v>0.8</v>
      </c>
      <c r="H11" s="24" t="str">
        <f t="shared" si="1"/>
        <v>جيد جداً</v>
      </c>
      <c r="I11" s="42"/>
      <c r="J11" s="43"/>
    </row>
    <row r="12" spans="1:10" ht="30" customHeight="1" x14ac:dyDescent="0.3">
      <c r="A12" s="11"/>
      <c r="B12" s="70" t="s">
        <v>101</v>
      </c>
      <c r="C12" s="71"/>
      <c r="D12" s="71"/>
      <c r="E12" s="9">
        <v>5</v>
      </c>
      <c r="F12" s="20">
        <v>3.75</v>
      </c>
      <c r="G12" s="23">
        <f t="shared" si="0"/>
        <v>0.75</v>
      </c>
      <c r="H12" s="24" t="str">
        <f t="shared" si="1"/>
        <v>جيد</v>
      </c>
      <c r="I12" s="42"/>
      <c r="J12" s="43"/>
    </row>
    <row r="13" spans="1:10" ht="30" customHeight="1" x14ac:dyDescent="0.3">
      <c r="A13" s="11"/>
      <c r="B13" s="70" t="s">
        <v>102</v>
      </c>
      <c r="C13" s="71"/>
      <c r="D13" s="71"/>
      <c r="E13" s="9">
        <v>5</v>
      </c>
      <c r="F13" s="20">
        <v>3.75</v>
      </c>
      <c r="G13" s="23">
        <f t="shared" si="0"/>
        <v>0.75</v>
      </c>
      <c r="H13" s="24" t="str">
        <f t="shared" si="1"/>
        <v>جيد</v>
      </c>
      <c r="I13" s="42"/>
      <c r="J13" s="43"/>
    </row>
    <row r="14" spans="1:10" ht="30" customHeight="1" x14ac:dyDescent="0.3">
      <c r="A14" s="11"/>
      <c r="B14" s="70" t="s">
        <v>103</v>
      </c>
      <c r="C14" s="71"/>
      <c r="D14" s="71"/>
      <c r="E14" s="9">
        <v>5</v>
      </c>
      <c r="F14" s="20">
        <v>4</v>
      </c>
      <c r="G14" s="23">
        <f t="shared" si="0"/>
        <v>0.8</v>
      </c>
      <c r="H14" s="24" t="str">
        <f t="shared" si="1"/>
        <v>جيد جداً</v>
      </c>
      <c r="I14" s="42"/>
      <c r="J14" s="43"/>
    </row>
    <row r="15" spans="1:10" ht="30" customHeight="1" x14ac:dyDescent="0.3">
      <c r="A15" s="11"/>
      <c r="B15" s="70" t="s">
        <v>104</v>
      </c>
      <c r="C15" s="71"/>
      <c r="D15" s="71"/>
      <c r="E15" s="9">
        <v>5</v>
      </c>
      <c r="F15" s="20">
        <v>3.75</v>
      </c>
      <c r="G15" s="23">
        <f t="shared" si="0"/>
        <v>0.75</v>
      </c>
      <c r="H15" s="24" t="str">
        <f t="shared" si="1"/>
        <v>جيد</v>
      </c>
      <c r="I15" s="42"/>
      <c r="J15" s="43"/>
    </row>
    <row r="16" spans="1:10" ht="30" customHeight="1" x14ac:dyDescent="0.3">
      <c r="A16" s="11"/>
      <c r="B16" s="70" t="s">
        <v>105</v>
      </c>
      <c r="C16" s="71"/>
      <c r="D16" s="71"/>
      <c r="E16" s="9">
        <v>5</v>
      </c>
      <c r="F16" s="20">
        <v>3.75</v>
      </c>
      <c r="G16" s="23">
        <f t="shared" si="0"/>
        <v>0.75</v>
      </c>
      <c r="H16" s="24" t="str">
        <f t="shared" si="1"/>
        <v>جيد</v>
      </c>
      <c r="I16" s="42"/>
      <c r="J16" s="43"/>
    </row>
    <row r="17" spans="1:10" ht="30" customHeight="1" thickBot="1" x14ac:dyDescent="0.35">
      <c r="A17" s="11"/>
      <c r="B17" s="68" t="s">
        <v>106</v>
      </c>
      <c r="C17" s="69"/>
      <c r="D17" s="69"/>
      <c r="E17" s="29">
        <v>5</v>
      </c>
      <c r="F17" s="21">
        <v>4</v>
      </c>
      <c r="G17" s="30">
        <f t="shared" si="0"/>
        <v>0.8</v>
      </c>
      <c r="H17" s="31" t="str">
        <f t="shared" si="1"/>
        <v>جيد جداً</v>
      </c>
      <c r="I17" s="44"/>
      <c r="J17" s="45"/>
    </row>
    <row r="18" spans="1:10" ht="30" customHeight="1" thickBot="1" x14ac:dyDescent="0.35">
      <c r="A18" s="4"/>
      <c r="B18" s="40" t="s">
        <v>5</v>
      </c>
      <c r="C18" s="41"/>
      <c r="D18" s="41"/>
      <c r="E18" s="10">
        <f>SUM(E8:E17)</f>
        <v>50</v>
      </c>
      <c r="F18" s="10">
        <f>SUM(F8:F17)</f>
        <v>38.5</v>
      </c>
      <c r="G18" s="48"/>
      <c r="H18" s="49"/>
      <c r="I18" s="49"/>
      <c r="J18" s="50"/>
    </row>
    <row r="19" spans="1:10" ht="30" customHeight="1" thickBot="1" x14ac:dyDescent="0.35">
      <c r="A19" s="4"/>
      <c r="B19" s="40" t="s">
        <v>54</v>
      </c>
      <c r="C19" s="41"/>
      <c r="D19" s="41"/>
      <c r="E19" s="58">
        <f>F18/E18/100*100</f>
        <v>0.77</v>
      </c>
      <c r="F19" s="58"/>
      <c r="G19" s="58"/>
      <c r="H19" s="58"/>
      <c r="I19" s="58"/>
      <c r="J19" s="59"/>
    </row>
    <row r="20" spans="1:10" ht="30" customHeight="1" thickBot="1" x14ac:dyDescent="0.35">
      <c r="A20" s="4"/>
      <c r="B20" s="40" t="s">
        <v>55</v>
      </c>
      <c r="C20" s="41"/>
      <c r="D20" s="41"/>
      <c r="E20" s="36" t="str">
        <f>_xlfn.IFS(E19&gt;=90%,"ممتاز",E19&gt;=80%,"جيد جداً",E19&gt;=70%,"جيد",E19&gt;=60%,"مقبول",E19&lt;60%,"راسب")</f>
        <v>جيد</v>
      </c>
      <c r="F20" s="36"/>
      <c r="G20" s="36"/>
      <c r="H20" s="36"/>
      <c r="I20" s="36"/>
      <c r="J20" s="37"/>
    </row>
    <row r="21" spans="1:10" ht="42" customHeight="1" x14ac:dyDescent="0.3">
      <c r="B21" s="32" t="s">
        <v>60</v>
      </c>
      <c r="C21" s="32"/>
      <c r="D21" s="32"/>
      <c r="E21" s="46" t="s">
        <v>52</v>
      </c>
      <c r="F21" s="46"/>
      <c r="G21" s="34" t="s">
        <v>58</v>
      </c>
      <c r="H21" s="34"/>
      <c r="I21" s="34"/>
      <c r="J21" s="34"/>
    </row>
    <row r="22" spans="1:10" ht="51" customHeight="1" x14ac:dyDescent="0.3">
      <c r="A22" s="5"/>
      <c r="B22" s="33"/>
      <c r="C22" s="33"/>
      <c r="D22" s="33"/>
      <c r="E22" s="47" t="s">
        <v>53</v>
      </c>
      <c r="F22" s="47"/>
      <c r="G22" s="35"/>
      <c r="H22" s="35"/>
      <c r="I22" s="35"/>
      <c r="J22" s="3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1">
    <mergeCell ref="B13:D13"/>
    <mergeCell ref="B14:D14"/>
    <mergeCell ref="B15:D15"/>
    <mergeCell ref="B16:D16"/>
    <mergeCell ref="B8:D8"/>
    <mergeCell ref="B9:D9"/>
    <mergeCell ref="B10:D10"/>
    <mergeCell ref="B11:D11"/>
    <mergeCell ref="B12:D12"/>
    <mergeCell ref="E21:F21"/>
    <mergeCell ref="E22:F22"/>
    <mergeCell ref="G18:J18"/>
    <mergeCell ref="B1:J1"/>
    <mergeCell ref="F2:J2"/>
    <mergeCell ref="B5:D6"/>
    <mergeCell ref="C2:D2"/>
    <mergeCell ref="C3:D3"/>
    <mergeCell ref="F3:J3"/>
    <mergeCell ref="E19:J19"/>
    <mergeCell ref="B7:D7"/>
    <mergeCell ref="E5:H5"/>
    <mergeCell ref="I5:J6"/>
    <mergeCell ref="I7:J7"/>
    <mergeCell ref="I10:J10"/>
    <mergeCell ref="B17:D17"/>
    <mergeCell ref="B21:D22"/>
    <mergeCell ref="G21:J21"/>
    <mergeCell ref="G22:J22"/>
    <mergeCell ref="E20:J20"/>
    <mergeCell ref="I8:J8"/>
    <mergeCell ref="B18:D18"/>
    <mergeCell ref="B19:D19"/>
    <mergeCell ref="B20:D20"/>
    <mergeCell ref="I11:J11"/>
    <mergeCell ref="I12:J12"/>
    <mergeCell ref="I13:J13"/>
    <mergeCell ref="I14:J14"/>
    <mergeCell ref="I15:J15"/>
    <mergeCell ref="I16:J16"/>
    <mergeCell ref="I17:J17"/>
    <mergeCell ref="I9:J9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0">
    <cfRule type="expression" dxfId="14" priority="57">
      <formula>$E20="راسب"</formula>
    </cfRule>
  </conditionalFormatting>
  <conditionalFormatting sqref="E20:J20">
    <cfRule type="expression" dxfId="13" priority="58">
      <formula>$E20="مقبول"</formula>
    </cfRule>
    <cfRule type="expression" dxfId="12" priority="59">
      <formula>$E20="جيد"</formula>
    </cfRule>
    <cfRule type="expression" dxfId="11" priority="60">
      <formula>$E20="جيد جداً"</formula>
    </cfRule>
    <cfRule type="expression" dxfId="10" priority="61">
      <formula>$E20="ممتاز"</formula>
    </cfRule>
  </conditionalFormatting>
  <conditionalFormatting sqref="F8:F1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1:J21">
    <cfRule type="containsText" dxfId="6" priority="15" operator="containsText" text="أدخل اسم المحكم">
      <formula>NOT(ISERROR(SEARCH("أدخل اسم المحكم",G21)))</formula>
    </cfRule>
  </conditionalFormatting>
  <conditionalFormatting sqref="H8:H1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63B6DE-AA59-4C03-B91E-0E4266CD5498}">
          <x14:formula1>
            <xm:f>'بيانات التقييم'!$A$110:$A$132</xm:f>
          </x14:formula1>
          <xm:sqref>F8:F17</xm:sqref>
        </x14:dataValidation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G21:J21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197"/>
  <sheetViews>
    <sheetView rightToLeft="1" topLeftCell="A97" workbookViewId="0">
      <selection activeCell="A110" sqref="A110:XFD110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8" width="9" style="1"/>
  </cols>
  <sheetData>
    <row r="1" spans="1:1" ht="20.100000000000001" customHeight="1" thickBot="1" x14ac:dyDescent="0.35">
      <c r="A1" s="2" t="s">
        <v>57</v>
      </c>
    </row>
    <row r="2" spans="1:1" ht="20.100000000000001" customHeight="1" thickBot="1" x14ac:dyDescent="0.35">
      <c r="A2" s="2" t="s">
        <v>35</v>
      </c>
    </row>
    <row r="3" spans="1:1" ht="20.100000000000001" customHeight="1" thickBot="1" x14ac:dyDescent="0.35">
      <c r="A3" s="2" t="s">
        <v>26</v>
      </c>
    </row>
    <row r="4" spans="1:1" ht="20.100000000000001" customHeight="1" thickBot="1" x14ac:dyDescent="0.35">
      <c r="A4" s="2" t="s">
        <v>36</v>
      </c>
    </row>
    <row r="5" spans="1:1" ht="20.100000000000001" customHeight="1" thickBot="1" x14ac:dyDescent="0.35">
      <c r="A5" s="2" t="s">
        <v>37</v>
      </c>
    </row>
    <row r="6" spans="1:1" ht="20.100000000000001" customHeight="1" thickBot="1" x14ac:dyDescent="0.35">
      <c r="A6" s="2" t="s">
        <v>61</v>
      </c>
    </row>
    <row r="7" spans="1:1" ht="20.100000000000001" customHeight="1" thickBot="1" x14ac:dyDescent="0.35">
      <c r="A7" s="2" t="s">
        <v>62</v>
      </c>
    </row>
    <row r="8" spans="1:1" ht="20.100000000000001" customHeight="1" thickBot="1" x14ac:dyDescent="0.35">
      <c r="A8" s="2" t="s">
        <v>63</v>
      </c>
    </row>
    <row r="9" spans="1:1" ht="20.100000000000001" customHeight="1" thickBot="1" x14ac:dyDescent="0.35">
      <c r="A9" s="2" t="s">
        <v>82</v>
      </c>
    </row>
    <row r="10" spans="1:1" ht="20.100000000000001" customHeight="1" thickBot="1" x14ac:dyDescent="0.35">
      <c r="A10" s="2" t="s">
        <v>38</v>
      </c>
    </row>
    <row r="11" spans="1:1" ht="20.100000000000001" customHeight="1" thickBot="1" x14ac:dyDescent="0.35">
      <c r="A11" s="2" t="s">
        <v>64</v>
      </c>
    </row>
    <row r="12" spans="1:1" ht="20.100000000000001" customHeight="1" thickBot="1" x14ac:dyDescent="0.35">
      <c r="A12" s="2" t="s">
        <v>65</v>
      </c>
    </row>
    <row r="13" spans="1:1" ht="20.100000000000001" customHeight="1" thickBot="1" x14ac:dyDescent="0.35">
      <c r="A13" s="2" t="s">
        <v>66</v>
      </c>
    </row>
    <row r="14" spans="1:1" ht="20.100000000000001" customHeight="1" thickBot="1" x14ac:dyDescent="0.35">
      <c r="A14" s="2" t="s">
        <v>83</v>
      </c>
    </row>
    <row r="15" spans="1:1" ht="20.100000000000001" customHeight="1" thickBot="1" x14ac:dyDescent="0.35">
      <c r="A15" s="2" t="s">
        <v>39</v>
      </c>
    </row>
    <row r="16" spans="1:1" ht="20.100000000000001" customHeight="1" thickBot="1" x14ac:dyDescent="0.35">
      <c r="A16" s="2" t="s">
        <v>67</v>
      </c>
    </row>
    <row r="17" spans="1:1" ht="20.100000000000001" customHeight="1" thickBot="1" x14ac:dyDescent="0.35">
      <c r="A17" s="2" t="s">
        <v>68</v>
      </c>
    </row>
    <row r="18" spans="1:1" ht="20.100000000000001" customHeight="1" thickBot="1" x14ac:dyDescent="0.35">
      <c r="A18" s="2" t="s">
        <v>69</v>
      </c>
    </row>
    <row r="19" spans="1:1" ht="20.100000000000001" customHeight="1" thickBot="1" x14ac:dyDescent="0.35">
      <c r="A19" s="2" t="s">
        <v>84</v>
      </c>
    </row>
    <row r="20" spans="1:1" ht="20.100000000000001" customHeight="1" thickBot="1" x14ac:dyDescent="0.35">
      <c r="A20" s="2" t="s">
        <v>40</v>
      </c>
    </row>
    <row r="21" spans="1:1" ht="20.100000000000001" customHeight="1" thickBot="1" x14ac:dyDescent="0.35">
      <c r="A21" s="2" t="s">
        <v>41</v>
      </c>
    </row>
    <row r="22" spans="1:1" ht="20.100000000000001" customHeight="1" thickBot="1" x14ac:dyDescent="0.35">
      <c r="A22" s="2" t="s">
        <v>70</v>
      </c>
    </row>
    <row r="23" spans="1:1" ht="20.100000000000001" customHeight="1" thickBot="1" x14ac:dyDescent="0.35">
      <c r="A23" s="2" t="s">
        <v>71</v>
      </c>
    </row>
    <row r="24" spans="1:1" ht="20.100000000000001" customHeight="1" thickBot="1" x14ac:dyDescent="0.35">
      <c r="A24" s="2" t="s">
        <v>72</v>
      </c>
    </row>
    <row r="25" spans="1:1" ht="20.100000000000001" customHeight="1" thickBot="1" x14ac:dyDescent="0.35">
      <c r="A25" s="2" t="s">
        <v>85</v>
      </c>
    </row>
    <row r="26" spans="1:1" ht="20.100000000000001" customHeight="1" thickBot="1" x14ac:dyDescent="0.35">
      <c r="A26" s="2" t="s">
        <v>42</v>
      </c>
    </row>
    <row r="27" spans="1:1" ht="20.100000000000001" customHeight="1" thickBot="1" x14ac:dyDescent="0.35">
      <c r="A27" s="2" t="s">
        <v>73</v>
      </c>
    </row>
    <row r="28" spans="1:1" ht="20.100000000000001" customHeight="1" thickBot="1" x14ac:dyDescent="0.35">
      <c r="A28" s="2" t="s">
        <v>74</v>
      </c>
    </row>
    <row r="29" spans="1:1" ht="20.100000000000001" customHeight="1" thickBot="1" x14ac:dyDescent="0.35">
      <c r="A29" s="2" t="s">
        <v>75</v>
      </c>
    </row>
    <row r="30" spans="1:1" ht="20.100000000000001" customHeight="1" thickBot="1" x14ac:dyDescent="0.35">
      <c r="A30" s="2" t="s">
        <v>86</v>
      </c>
    </row>
    <row r="31" spans="1:1" ht="20.100000000000001" customHeight="1" thickBot="1" x14ac:dyDescent="0.35">
      <c r="A31" s="2" t="s">
        <v>43</v>
      </c>
    </row>
    <row r="32" spans="1:1" ht="20.100000000000001" customHeight="1" thickBot="1" x14ac:dyDescent="0.35">
      <c r="A32" s="2" t="s">
        <v>76</v>
      </c>
    </row>
    <row r="33" spans="1:1" ht="20.100000000000001" customHeight="1" thickBot="1" x14ac:dyDescent="0.35">
      <c r="A33" s="2" t="s">
        <v>77</v>
      </c>
    </row>
    <row r="34" spans="1:1" ht="20.100000000000001" customHeight="1" thickBot="1" x14ac:dyDescent="0.35">
      <c r="A34" s="2" t="s">
        <v>78</v>
      </c>
    </row>
    <row r="35" spans="1:1" ht="20.100000000000001" customHeight="1" thickBot="1" x14ac:dyDescent="0.35">
      <c r="A35" s="2" t="s">
        <v>87</v>
      </c>
    </row>
    <row r="36" spans="1:1" ht="20.100000000000001" customHeight="1" thickBot="1" x14ac:dyDescent="0.35">
      <c r="A36" s="2" t="s">
        <v>44</v>
      </c>
    </row>
    <row r="37" spans="1:1" ht="20.100000000000001" customHeight="1" thickBot="1" x14ac:dyDescent="0.35">
      <c r="A37" s="2" t="s">
        <v>45</v>
      </c>
    </row>
    <row r="38" spans="1:1" ht="20.100000000000001" customHeight="1" thickBot="1" x14ac:dyDescent="0.35">
      <c r="A38" s="2" t="s">
        <v>79</v>
      </c>
    </row>
    <row r="39" spans="1:1" ht="20.100000000000001" customHeight="1" thickBot="1" x14ac:dyDescent="0.35">
      <c r="A39" s="2" t="s">
        <v>80</v>
      </c>
    </row>
    <row r="40" spans="1:1" ht="20.100000000000001" customHeight="1" thickBot="1" x14ac:dyDescent="0.35">
      <c r="A40" s="2" t="s">
        <v>81</v>
      </c>
    </row>
    <row r="41" spans="1:1" ht="20.100000000000001" customHeight="1" thickBot="1" x14ac:dyDescent="0.35">
      <c r="A41" s="2" t="s">
        <v>88</v>
      </c>
    </row>
    <row r="42" spans="1:1" ht="20.100000000000001" customHeight="1" thickBot="1" x14ac:dyDescent="0.35">
      <c r="A42" s="2" t="s">
        <v>46</v>
      </c>
    </row>
    <row r="43" spans="1:1" ht="20.100000000000001" customHeight="1" thickBot="1" x14ac:dyDescent="0.35">
      <c r="A43" s="2" t="s">
        <v>89</v>
      </c>
    </row>
    <row r="44" spans="1:1" ht="20.100000000000001" customHeight="1" thickBot="1" x14ac:dyDescent="0.35">
      <c r="A44" s="2" t="s">
        <v>90</v>
      </c>
    </row>
    <row r="45" spans="1:1" ht="20.100000000000001" customHeight="1" thickBot="1" x14ac:dyDescent="0.35">
      <c r="A45" s="2" t="s">
        <v>91</v>
      </c>
    </row>
    <row r="46" spans="1:1" ht="20.100000000000001" customHeight="1" thickBot="1" x14ac:dyDescent="0.35">
      <c r="A46" s="2" t="s">
        <v>92</v>
      </c>
    </row>
    <row r="47" spans="1:1" ht="20.100000000000001" customHeight="1" thickBot="1" x14ac:dyDescent="0.35">
      <c r="A47" s="2" t="s">
        <v>47</v>
      </c>
    </row>
    <row r="48" spans="1:1" ht="20.100000000000001" customHeight="1" thickBot="1" x14ac:dyDescent="0.35">
      <c r="A48" s="2" t="s">
        <v>93</v>
      </c>
    </row>
    <row r="49" spans="1:1" ht="20.100000000000001" customHeight="1" thickBot="1" x14ac:dyDescent="0.35">
      <c r="A49" s="2" t="s">
        <v>94</v>
      </c>
    </row>
    <row r="50" spans="1:1" ht="20.100000000000001" customHeight="1" thickBot="1" x14ac:dyDescent="0.35">
      <c r="A50" s="2" t="s">
        <v>95</v>
      </c>
    </row>
    <row r="51" spans="1:1" ht="20.100000000000001" customHeight="1" thickBot="1" x14ac:dyDescent="0.35">
      <c r="A51" s="2" t="s">
        <v>96</v>
      </c>
    </row>
    <row r="52" spans="1:1" ht="20.100000000000001" customHeight="1" thickBot="1" x14ac:dyDescent="0.35">
      <c r="A52" s="2" t="s">
        <v>10</v>
      </c>
    </row>
    <row r="53" spans="1:1" ht="20.100000000000001" customHeight="1" thickBot="1" x14ac:dyDescent="0.35">
      <c r="A53" s="2" t="s">
        <v>27</v>
      </c>
    </row>
    <row r="54" spans="1:1" ht="20.100000000000001" customHeight="1" thickBot="1" x14ac:dyDescent="0.35">
      <c r="A54" s="2" t="s">
        <v>48</v>
      </c>
    </row>
    <row r="55" spans="1:1" ht="20.100000000000001" customHeight="1" thickBot="1" x14ac:dyDescent="0.35">
      <c r="A55" s="2" t="s">
        <v>49</v>
      </c>
    </row>
    <row r="56" spans="1:1" ht="20.100000000000001" customHeight="1" thickBot="1" x14ac:dyDescent="0.35">
      <c r="A56" s="2" t="s">
        <v>50</v>
      </c>
    </row>
    <row r="57" spans="1:1" ht="20.100000000000001" customHeight="1" thickBot="1" x14ac:dyDescent="0.35">
      <c r="A57" s="2" t="s">
        <v>51</v>
      </c>
    </row>
    <row r="58" spans="1:1" ht="20.100000000000001" customHeight="1" thickBot="1" x14ac:dyDescent="0.35">
      <c r="A58" s="2" t="s">
        <v>11</v>
      </c>
    </row>
    <row r="59" spans="1:1" ht="20.100000000000001" customHeight="1" thickBot="1" x14ac:dyDescent="0.35">
      <c r="A59" s="2" t="s">
        <v>12</v>
      </c>
    </row>
    <row r="60" spans="1:1" ht="20.100000000000001" customHeight="1" thickBot="1" x14ac:dyDescent="0.35">
      <c r="A60" s="2" t="s">
        <v>15</v>
      </c>
    </row>
    <row r="61" spans="1:1" ht="20.100000000000001" customHeight="1" thickBot="1" x14ac:dyDescent="0.35">
      <c r="A61" s="2" t="s">
        <v>28</v>
      </c>
    </row>
    <row r="62" spans="1:1" ht="20.100000000000001" customHeight="1" thickBot="1" x14ac:dyDescent="0.35">
      <c r="A62" s="2" t="s">
        <v>29</v>
      </c>
    </row>
    <row r="63" spans="1:1" ht="20.100000000000001" customHeight="1" thickBot="1" x14ac:dyDescent="0.35">
      <c r="A63" s="2" t="s">
        <v>13</v>
      </c>
    </row>
    <row r="64" spans="1:1" ht="20.100000000000001" customHeight="1" thickBot="1" x14ac:dyDescent="0.35">
      <c r="A64" s="2" t="s">
        <v>30</v>
      </c>
    </row>
    <row r="65" spans="1:8" ht="20.100000000000001" customHeight="1" thickBot="1" x14ac:dyDescent="0.35">
      <c r="A65" s="2" t="s">
        <v>31</v>
      </c>
    </row>
    <row r="66" spans="1:8" ht="20.100000000000001" customHeight="1" thickBot="1" x14ac:dyDescent="0.35">
      <c r="A66" s="2" t="s">
        <v>32</v>
      </c>
    </row>
    <row r="67" spans="1:8" ht="20.100000000000001" customHeight="1" thickBot="1" x14ac:dyDescent="0.35">
      <c r="A67" s="2" t="s">
        <v>33</v>
      </c>
    </row>
    <row r="68" spans="1:8" ht="20.100000000000001" customHeight="1" thickBot="1" x14ac:dyDescent="0.35">
      <c r="A68" s="2" t="s">
        <v>16</v>
      </c>
    </row>
    <row r="69" spans="1:8" ht="20.100000000000001" customHeight="1" thickBot="1" x14ac:dyDescent="0.35">
      <c r="A69" s="2" t="s">
        <v>14</v>
      </c>
    </row>
    <row r="70" spans="1:8" ht="20.100000000000001" customHeight="1" thickBot="1" x14ac:dyDescent="0.35">
      <c r="A70" s="2" t="s">
        <v>34</v>
      </c>
    </row>
    <row r="71" spans="1:8" ht="20.100000000000001" customHeight="1" x14ac:dyDescent="0.3">
      <c r="A71" s="19"/>
    </row>
    <row r="72" spans="1:8" s="18" customFormat="1" ht="20.100000000000001" customHeight="1" x14ac:dyDescent="0.3">
      <c r="A72" s="16"/>
      <c r="B72" s="17"/>
      <c r="C72" s="17"/>
      <c r="D72" s="17"/>
      <c r="E72" s="17"/>
      <c r="F72" s="17"/>
      <c r="G72" s="17"/>
      <c r="H72" s="17"/>
    </row>
    <row r="73" spans="1:8" ht="20.100000000000001" customHeight="1" thickBot="1" x14ac:dyDescent="0.35"/>
    <row r="74" spans="1:8" ht="20.100000000000001" customHeight="1" thickBot="1" x14ac:dyDescent="0.35">
      <c r="A74" s="2" t="s">
        <v>56</v>
      </c>
    </row>
    <row r="75" spans="1:8" ht="20.100000000000001" customHeight="1" thickBot="1" x14ac:dyDescent="0.35">
      <c r="A75" s="14">
        <v>45931</v>
      </c>
    </row>
    <row r="76" spans="1:8" ht="20.100000000000001" customHeight="1" thickBot="1" x14ac:dyDescent="0.35">
      <c r="A76" s="14">
        <v>45932</v>
      </c>
    </row>
    <row r="77" spans="1:8" ht="20.100000000000001" customHeight="1" thickBot="1" x14ac:dyDescent="0.35">
      <c r="A77" s="14">
        <v>45933</v>
      </c>
    </row>
    <row r="78" spans="1:8" ht="20.100000000000001" customHeight="1" thickBot="1" x14ac:dyDescent="0.35">
      <c r="A78" s="14">
        <v>45934</v>
      </c>
    </row>
    <row r="79" spans="1:8" ht="20.100000000000001" customHeight="1" thickBot="1" x14ac:dyDescent="0.35">
      <c r="A79" s="14">
        <v>45935</v>
      </c>
    </row>
    <row r="80" spans="1:8" ht="20.100000000000001" customHeight="1" thickBot="1" x14ac:dyDescent="0.35">
      <c r="A80" s="14">
        <v>45936</v>
      </c>
    </row>
    <row r="81" spans="1:1" ht="20.100000000000001" customHeight="1" thickBot="1" x14ac:dyDescent="0.35">
      <c r="A81" s="14">
        <v>45937</v>
      </c>
    </row>
    <row r="82" spans="1:1" ht="20.100000000000001" customHeight="1" thickBot="1" x14ac:dyDescent="0.35">
      <c r="A82" s="14">
        <v>45938</v>
      </c>
    </row>
    <row r="83" spans="1:1" ht="20.100000000000001" customHeight="1" thickBot="1" x14ac:dyDescent="0.35">
      <c r="A83" s="14">
        <v>45939</v>
      </c>
    </row>
    <row r="84" spans="1:1" ht="20.100000000000001" customHeight="1" thickBot="1" x14ac:dyDescent="0.35">
      <c r="A84" s="14">
        <v>45940</v>
      </c>
    </row>
    <row r="85" spans="1:1" ht="20.100000000000001" customHeight="1" thickBot="1" x14ac:dyDescent="0.35">
      <c r="A85" s="14">
        <v>45941</v>
      </c>
    </row>
    <row r="86" spans="1:1" ht="20.100000000000001" customHeight="1" thickBot="1" x14ac:dyDescent="0.35">
      <c r="A86" s="14">
        <v>45942</v>
      </c>
    </row>
    <row r="87" spans="1:1" ht="20.100000000000001" customHeight="1" thickBot="1" x14ac:dyDescent="0.35">
      <c r="A87" s="14">
        <v>45943</v>
      </c>
    </row>
    <row r="88" spans="1:1" ht="20.100000000000001" customHeight="1" thickBot="1" x14ac:dyDescent="0.35">
      <c r="A88" s="14">
        <v>45944</v>
      </c>
    </row>
    <row r="89" spans="1:1" ht="20.100000000000001" customHeight="1" thickBot="1" x14ac:dyDescent="0.35">
      <c r="A89" s="14">
        <v>45945</v>
      </c>
    </row>
    <row r="90" spans="1:1" ht="20.100000000000001" customHeight="1" thickBot="1" x14ac:dyDescent="0.35">
      <c r="A90" s="14">
        <v>45946</v>
      </c>
    </row>
    <row r="91" spans="1:1" ht="20.100000000000001" customHeight="1" thickBot="1" x14ac:dyDescent="0.35">
      <c r="A91" s="14">
        <v>45947</v>
      </c>
    </row>
    <row r="92" spans="1:1" ht="20.100000000000001" customHeight="1" thickBot="1" x14ac:dyDescent="0.35">
      <c r="A92" s="14">
        <v>45948</v>
      </c>
    </row>
    <row r="93" spans="1:1" ht="20.100000000000001" customHeight="1" thickBot="1" x14ac:dyDescent="0.35">
      <c r="A93" s="14">
        <v>45949</v>
      </c>
    </row>
    <row r="94" spans="1:1" ht="20.100000000000001" customHeight="1" thickBot="1" x14ac:dyDescent="0.35">
      <c r="A94" s="14">
        <v>45950</v>
      </c>
    </row>
    <row r="95" spans="1:1" ht="20.100000000000001" customHeight="1" thickBot="1" x14ac:dyDescent="0.35">
      <c r="A95" s="14">
        <v>45951</v>
      </c>
    </row>
    <row r="96" spans="1:1" ht="20.100000000000001" customHeight="1" thickBot="1" x14ac:dyDescent="0.35">
      <c r="A96" s="14">
        <v>45952</v>
      </c>
    </row>
    <row r="97" spans="1:8" ht="20.100000000000001" customHeight="1" thickBot="1" x14ac:dyDescent="0.35">
      <c r="A97" s="14">
        <v>45953</v>
      </c>
    </row>
    <row r="98" spans="1:8" ht="20.100000000000001" customHeight="1" thickBot="1" x14ac:dyDescent="0.35">
      <c r="A98" s="14">
        <v>45954</v>
      </c>
    </row>
    <row r="99" spans="1:8" ht="20.100000000000001" customHeight="1" thickBot="1" x14ac:dyDescent="0.35">
      <c r="A99" s="14">
        <v>45955</v>
      </c>
    </row>
    <row r="100" spans="1:8" ht="20.100000000000001" customHeight="1" thickBot="1" x14ac:dyDescent="0.35">
      <c r="A100" s="14">
        <v>45956</v>
      </c>
    </row>
    <row r="101" spans="1:8" ht="20.100000000000001" customHeight="1" thickBot="1" x14ac:dyDescent="0.35">
      <c r="A101" s="14">
        <v>45957</v>
      </c>
    </row>
    <row r="102" spans="1:8" ht="20.100000000000001" customHeight="1" thickBot="1" x14ac:dyDescent="0.35">
      <c r="A102" s="14">
        <v>45958</v>
      </c>
    </row>
    <row r="103" spans="1:8" ht="20.100000000000001" customHeight="1" thickBot="1" x14ac:dyDescent="0.35">
      <c r="A103" s="14">
        <v>45959</v>
      </c>
    </row>
    <row r="104" spans="1:8" ht="20.100000000000001" customHeight="1" thickBot="1" x14ac:dyDescent="0.35">
      <c r="A104" s="14">
        <v>45960</v>
      </c>
    </row>
    <row r="105" spans="1:8" ht="20.100000000000001" customHeight="1" thickBot="1" x14ac:dyDescent="0.35">
      <c r="A105" s="14">
        <v>45961</v>
      </c>
    </row>
    <row r="106" spans="1:8" ht="20.100000000000001" customHeight="1" x14ac:dyDescent="0.3">
      <c r="A106" s="15"/>
    </row>
    <row r="107" spans="1:8" ht="20.100000000000001" customHeight="1" x14ac:dyDescent="0.3">
      <c r="A107" s="15"/>
    </row>
    <row r="108" spans="1:8" s="18" customFormat="1" ht="20.100000000000001" customHeight="1" x14ac:dyDescent="0.3">
      <c r="A108" s="16"/>
      <c r="B108" s="17"/>
      <c r="C108" s="17"/>
      <c r="D108" s="17"/>
      <c r="E108" s="17"/>
      <c r="F108" s="17"/>
      <c r="G108" s="17"/>
      <c r="H108" s="17"/>
    </row>
    <row r="109" spans="1:8" ht="20.100000000000001" customHeight="1" thickBot="1" x14ac:dyDescent="0.35"/>
    <row r="110" spans="1:8" ht="20.100000000000001" customHeight="1" thickBot="1" x14ac:dyDescent="0.35">
      <c r="A110" s="2" t="s">
        <v>59</v>
      </c>
    </row>
    <row r="111" spans="1:8" ht="20.100000000000001" customHeight="1" thickBot="1" x14ac:dyDescent="0.35">
      <c r="A111" s="2" t="s">
        <v>17</v>
      </c>
    </row>
    <row r="112" spans="1:8" ht="20.100000000000001" customHeight="1" thickBot="1" x14ac:dyDescent="0.35">
      <c r="A112" s="2">
        <v>0</v>
      </c>
    </row>
    <row r="113" spans="1:1" ht="20.100000000000001" customHeight="1" thickBot="1" x14ac:dyDescent="0.35">
      <c r="A113" s="2">
        <v>0.25</v>
      </c>
    </row>
    <row r="114" spans="1:1" ht="20.100000000000001" customHeight="1" thickBot="1" x14ac:dyDescent="0.35">
      <c r="A114" s="2">
        <v>0.5</v>
      </c>
    </row>
    <row r="115" spans="1:1" ht="20.100000000000001" customHeight="1" thickBot="1" x14ac:dyDescent="0.35">
      <c r="A115" s="2">
        <v>0.75</v>
      </c>
    </row>
    <row r="116" spans="1:1" ht="20.100000000000001" customHeight="1" thickBot="1" x14ac:dyDescent="0.35">
      <c r="A116" s="2">
        <v>1</v>
      </c>
    </row>
    <row r="117" spans="1:1" ht="20.100000000000001" customHeight="1" thickBot="1" x14ac:dyDescent="0.35">
      <c r="A117" s="2">
        <v>1.25</v>
      </c>
    </row>
    <row r="118" spans="1:1" ht="20.100000000000001" customHeight="1" thickBot="1" x14ac:dyDescent="0.35">
      <c r="A118" s="2">
        <v>1.5</v>
      </c>
    </row>
    <row r="119" spans="1:1" ht="20.100000000000001" customHeight="1" thickBot="1" x14ac:dyDescent="0.35">
      <c r="A119" s="2">
        <v>1.75</v>
      </c>
    </row>
    <row r="120" spans="1:1" ht="20.100000000000001" customHeight="1" thickBot="1" x14ac:dyDescent="0.35">
      <c r="A120" s="2">
        <v>2</v>
      </c>
    </row>
    <row r="121" spans="1:1" ht="20.100000000000001" customHeight="1" thickBot="1" x14ac:dyDescent="0.35">
      <c r="A121" s="2">
        <v>2.25</v>
      </c>
    </row>
    <row r="122" spans="1:1" ht="20.100000000000001" customHeight="1" thickBot="1" x14ac:dyDescent="0.35">
      <c r="A122" s="2">
        <v>2.5</v>
      </c>
    </row>
    <row r="123" spans="1:1" ht="20.100000000000001" customHeight="1" thickBot="1" x14ac:dyDescent="0.35">
      <c r="A123" s="2">
        <v>2.75</v>
      </c>
    </row>
    <row r="124" spans="1:1" ht="20.100000000000001" customHeight="1" thickBot="1" x14ac:dyDescent="0.35">
      <c r="A124" s="2">
        <v>3</v>
      </c>
    </row>
    <row r="125" spans="1:1" ht="20.100000000000001" customHeight="1" thickBot="1" x14ac:dyDescent="0.35">
      <c r="A125" s="2">
        <v>3.25</v>
      </c>
    </row>
    <row r="126" spans="1:1" ht="20.100000000000001" customHeight="1" thickBot="1" x14ac:dyDescent="0.35">
      <c r="A126" s="2">
        <v>3.5</v>
      </c>
    </row>
    <row r="127" spans="1:1" ht="20.100000000000001" customHeight="1" thickBot="1" x14ac:dyDescent="0.35">
      <c r="A127" s="2">
        <v>3.75</v>
      </c>
    </row>
    <row r="128" spans="1:1" ht="20.100000000000001" customHeight="1" thickBot="1" x14ac:dyDescent="0.35">
      <c r="A128" s="2">
        <v>4</v>
      </c>
    </row>
    <row r="129" spans="1:1" ht="20.100000000000001" customHeight="1" thickBot="1" x14ac:dyDescent="0.35">
      <c r="A129" s="2">
        <v>4.25</v>
      </c>
    </row>
    <row r="130" spans="1:1" ht="20.100000000000001" customHeight="1" thickBot="1" x14ac:dyDescent="0.35">
      <c r="A130" s="2">
        <v>4.5</v>
      </c>
    </row>
    <row r="131" spans="1:1" ht="20.100000000000001" customHeight="1" thickBot="1" x14ac:dyDescent="0.35">
      <c r="A131" s="2">
        <v>4.75</v>
      </c>
    </row>
    <row r="132" spans="1:1" ht="20.100000000000001" customHeight="1" thickBot="1" x14ac:dyDescent="0.35">
      <c r="A132" s="2">
        <v>5</v>
      </c>
    </row>
    <row r="133" spans="1:1" ht="20.100000000000001" customHeight="1" thickBot="1" x14ac:dyDescent="0.35">
      <c r="A133" s="2">
        <v>5.25</v>
      </c>
    </row>
    <row r="134" spans="1:1" ht="20.100000000000001" customHeight="1" thickBot="1" x14ac:dyDescent="0.35">
      <c r="A134" s="2">
        <v>5.5</v>
      </c>
    </row>
    <row r="135" spans="1:1" ht="20.100000000000001" customHeight="1" thickBot="1" x14ac:dyDescent="0.35">
      <c r="A135" s="2">
        <v>5.75</v>
      </c>
    </row>
    <row r="136" spans="1:1" ht="20.100000000000001" customHeight="1" thickBot="1" x14ac:dyDescent="0.35">
      <c r="A136" s="2">
        <v>6</v>
      </c>
    </row>
    <row r="137" spans="1:1" ht="20.100000000000001" customHeight="1" thickBot="1" x14ac:dyDescent="0.35">
      <c r="A137" s="2">
        <v>6.25</v>
      </c>
    </row>
    <row r="138" spans="1:1" ht="20.100000000000001" customHeight="1" thickBot="1" x14ac:dyDescent="0.35">
      <c r="A138" s="2">
        <v>6.5</v>
      </c>
    </row>
    <row r="139" spans="1:1" ht="20.100000000000001" customHeight="1" thickBot="1" x14ac:dyDescent="0.35">
      <c r="A139" s="2">
        <v>6.75</v>
      </c>
    </row>
    <row r="140" spans="1:1" ht="20.100000000000001" customHeight="1" thickBot="1" x14ac:dyDescent="0.35">
      <c r="A140" s="2">
        <v>7</v>
      </c>
    </row>
    <row r="141" spans="1:1" ht="20.100000000000001" customHeight="1" thickBot="1" x14ac:dyDescent="0.35">
      <c r="A141" s="2">
        <v>7.25</v>
      </c>
    </row>
    <row r="142" spans="1:1" ht="20.100000000000001" customHeight="1" thickBot="1" x14ac:dyDescent="0.35">
      <c r="A142" s="2">
        <v>7.5</v>
      </c>
    </row>
    <row r="143" spans="1:1" ht="20.100000000000001" customHeight="1" thickBot="1" x14ac:dyDescent="0.35">
      <c r="A143" s="2">
        <v>7.75</v>
      </c>
    </row>
    <row r="144" spans="1:1" ht="20.100000000000001" customHeight="1" thickBot="1" x14ac:dyDescent="0.35">
      <c r="A144" s="2">
        <v>8</v>
      </c>
    </row>
    <row r="145" spans="1:1" ht="20.100000000000001" customHeight="1" thickBot="1" x14ac:dyDescent="0.35">
      <c r="A145" s="2">
        <v>8.25</v>
      </c>
    </row>
    <row r="146" spans="1:1" ht="20.100000000000001" customHeight="1" thickBot="1" x14ac:dyDescent="0.35">
      <c r="A146" s="2">
        <v>8.5</v>
      </c>
    </row>
    <row r="147" spans="1:1" ht="20.100000000000001" customHeight="1" thickBot="1" x14ac:dyDescent="0.35">
      <c r="A147" s="2">
        <v>8.75</v>
      </c>
    </row>
    <row r="148" spans="1:1" ht="20.100000000000001" customHeight="1" thickBot="1" x14ac:dyDescent="0.35">
      <c r="A148" s="2">
        <v>9</v>
      </c>
    </row>
    <row r="149" spans="1:1" ht="20.100000000000001" customHeight="1" thickBot="1" x14ac:dyDescent="0.35">
      <c r="A149" s="2">
        <v>9.25</v>
      </c>
    </row>
    <row r="150" spans="1:1" ht="20.100000000000001" customHeight="1" thickBot="1" x14ac:dyDescent="0.35">
      <c r="A150" s="2">
        <v>9.5</v>
      </c>
    </row>
    <row r="151" spans="1:1" ht="20.100000000000001" customHeight="1" thickBot="1" x14ac:dyDescent="0.35">
      <c r="A151" s="2">
        <v>9.75</v>
      </c>
    </row>
    <row r="152" spans="1:1" ht="20.100000000000001" customHeight="1" thickBot="1" x14ac:dyDescent="0.35">
      <c r="A152" s="2">
        <v>10</v>
      </c>
    </row>
    <row r="153" spans="1:1" ht="20.100000000000001" customHeight="1" thickBot="1" x14ac:dyDescent="0.35">
      <c r="A153" s="2">
        <v>10.25</v>
      </c>
    </row>
    <row r="154" spans="1:1" ht="20.100000000000001" customHeight="1" thickBot="1" x14ac:dyDescent="0.35">
      <c r="A154" s="2">
        <v>10.5</v>
      </c>
    </row>
    <row r="155" spans="1:1" ht="20.100000000000001" customHeight="1" thickBot="1" x14ac:dyDescent="0.35">
      <c r="A155" s="2">
        <v>10.75</v>
      </c>
    </row>
    <row r="156" spans="1:1" ht="20.100000000000001" customHeight="1" thickBot="1" x14ac:dyDescent="0.35">
      <c r="A156" s="2">
        <v>11</v>
      </c>
    </row>
    <row r="157" spans="1:1" ht="20.100000000000001" customHeight="1" thickBot="1" x14ac:dyDescent="0.35">
      <c r="A157" s="2">
        <v>11.25</v>
      </c>
    </row>
    <row r="158" spans="1:1" ht="20.100000000000001" customHeight="1" thickBot="1" x14ac:dyDescent="0.35">
      <c r="A158" s="2">
        <v>11.5</v>
      </c>
    </row>
    <row r="159" spans="1:1" ht="20.100000000000001" customHeight="1" thickBot="1" x14ac:dyDescent="0.35">
      <c r="A159" s="2">
        <v>11.75</v>
      </c>
    </row>
    <row r="160" spans="1:1" ht="20.100000000000001" customHeight="1" thickBot="1" x14ac:dyDescent="0.35">
      <c r="A160" s="2">
        <v>12</v>
      </c>
    </row>
    <row r="161" spans="1:1" ht="20.100000000000001" customHeight="1" thickBot="1" x14ac:dyDescent="0.35">
      <c r="A161" s="2">
        <v>12.25</v>
      </c>
    </row>
    <row r="162" spans="1:1" ht="20.100000000000001" customHeight="1" thickBot="1" x14ac:dyDescent="0.35">
      <c r="A162" s="2">
        <v>12.5</v>
      </c>
    </row>
    <row r="163" spans="1:1" ht="20.100000000000001" customHeight="1" thickBot="1" x14ac:dyDescent="0.35">
      <c r="A163" s="2">
        <v>12.75</v>
      </c>
    </row>
    <row r="164" spans="1:1" ht="20.100000000000001" customHeight="1" thickBot="1" x14ac:dyDescent="0.35">
      <c r="A164" s="2">
        <v>13</v>
      </c>
    </row>
    <row r="165" spans="1:1" ht="20.100000000000001" customHeight="1" thickBot="1" x14ac:dyDescent="0.35">
      <c r="A165" s="2">
        <v>13.25</v>
      </c>
    </row>
    <row r="166" spans="1:1" ht="20.100000000000001" customHeight="1" thickBot="1" x14ac:dyDescent="0.35">
      <c r="A166" s="2">
        <v>13.5</v>
      </c>
    </row>
    <row r="167" spans="1:1" ht="20.100000000000001" customHeight="1" thickBot="1" x14ac:dyDescent="0.35">
      <c r="A167" s="2">
        <v>13.75</v>
      </c>
    </row>
    <row r="168" spans="1:1" ht="20.100000000000001" customHeight="1" thickBot="1" x14ac:dyDescent="0.35">
      <c r="A168" s="2">
        <v>14</v>
      </c>
    </row>
    <row r="169" spans="1:1" ht="20.100000000000001" customHeight="1" thickBot="1" x14ac:dyDescent="0.35">
      <c r="A169" s="2">
        <v>14.25</v>
      </c>
    </row>
    <row r="170" spans="1:1" ht="20.100000000000001" customHeight="1" thickBot="1" x14ac:dyDescent="0.35">
      <c r="A170" s="2">
        <v>14.5</v>
      </c>
    </row>
    <row r="171" spans="1:1" ht="20.100000000000001" customHeight="1" thickBot="1" x14ac:dyDescent="0.35">
      <c r="A171" s="2">
        <v>14.75</v>
      </c>
    </row>
    <row r="172" spans="1:1" ht="20.100000000000001" customHeight="1" thickBot="1" x14ac:dyDescent="0.35">
      <c r="A172" s="2">
        <v>15</v>
      </c>
    </row>
    <row r="173" spans="1:1" ht="20.100000000000001" customHeight="1" thickBot="1" x14ac:dyDescent="0.35">
      <c r="A173" s="2">
        <v>15.25</v>
      </c>
    </row>
    <row r="174" spans="1:1" ht="20.100000000000001" customHeight="1" thickBot="1" x14ac:dyDescent="0.35">
      <c r="A174" s="2">
        <v>15.5</v>
      </c>
    </row>
    <row r="175" spans="1:1" ht="20.100000000000001" customHeight="1" thickBot="1" x14ac:dyDescent="0.35">
      <c r="A175" s="2">
        <v>15.75</v>
      </c>
    </row>
    <row r="176" spans="1:1" ht="20.100000000000001" customHeight="1" thickBot="1" x14ac:dyDescent="0.35">
      <c r="A176" s="2">
        <v>16</v>
      </c>
    </row>
    <row r="177" spans="1:1" ht="20.100000000000001" customHeight="1" thickBot="1" x14ac:dyDescent="0.35">
      <c r="A177" s="2">
        <v>16.25</v>
      </c>
    </row>
    <row r="178" spans="1:1" ht="20.100000000000001" customHeight="1" thickBot="1" x14ac:dyDescent="0.35">
      <c r="A178" s="2">
        <v>16.5</v>
      </c>
    </row>
    <row r="179" spans="1:1" ht="20.100000000000001" customHeight="1" thickBot="1" x14ac:dyDescent="0.35">
      <c r="A179" s="2">
        <v>16.75</v>
      </c>
    </row>
    <row r="180" spans="1:1" ht="20.100000000000001" customHeight="1" thickBot="1" x14ac:dyDescent="0.35">
      <c r="A180" s="2">
        <v>17</v>
      </c>
    </row>
    <row r="181" spans="1:1" ht="20.100000000000001" customHeight="1" thickBot="1" x14ac:dyDescent="0.35">
      <c r="A181" s="2">
        <v>17.25</v>
      </c>
    </row>
    <row r="182" spans="1:1" ht="20.100000000000001" customHeight="1" thickBot="1" x14ac:dyDescent="0.35">
      <c r="A182" s="2">
        <v>17.5</v>
      </c>
    </row>
    <row r="183" spans="1:1" ht="20.100000000000001" customHeight="1" thickBot="1" x14ac:dyDescent="0.35">
      <c r="A183" s="2">
        <v>17.75</v>
      </c>
    </row>
    <row r="184" spans="1:1" ht="20.100000000000001" customHeight="1" thickBot="1" x14ac:dyDescent="0.35">
      <c r="A184" s="2">
        <v>18</v>
      </c>
    </row>
    <row r="185" spans="1:1" ht="20.100000000000001" customHeight="1" thickBot="1" x14ac:dyDescent="0.35">
      <c r="A185" s="2">
        <v>18.25</v>
      </c>
    </row>
    <row r="186" spans="1:1" ht="20.100000000000001" customHeight="1" thickBot="1" x14ac:dyDescent="0.35">
      <c r="A186" s="2">
        <v>18.5</v>
      </c>
    </row>
    <row r="187" spans="1:1" ht="20.100000000000001" customHeight="1" thickBot="1" x14ac:dyDescent="0.35">
      <c r="A187" s="2">
        <v>18.75</v>
      </c>
    </row>
    <row r="188" spans="1:1" ht="20.100000000000001" customHeight="1" thickBot="1" x14ac:dyDescent="0.35">
      <c r="A188" s="2">
        <v>19</v>
      </c>
    </row>
    <row r="189" spans="1:1" ht="20.100000000000001" customHeight="1" thickBot="1" x14ac:dyDescent="0.35">
      <c r="A189" s="2">
        <v>19.25</v>
      </c>
    </row>
    <row r="190" spans="1:1" ht="20.100000000000001" customHeight="1" thickBot="1" x14ac:dyDescent="0.35">
      <c r="A190" s="2">
        <v>19.5</v>
      </c>
    </row>
    <row r="191" spans="1:1" ht="20.100000000000001" customHeight="1" thickBot="1" x14ac:dyDescent="0.35">
      <c r="A191" s="2">
        <v>19.75</v>
      </c>
    </row>
    <row r="192" spans="1:1" ht="20.100000000000001" customHeight="1" thickBot="1" x14ac:dyDescent="0.35">
      <c r="A192" s="2">
        <v>20</v>
      </c>
    </row>
    <row r="196" spans="1:1" ht="20.100000000000001" customHeight="1" thickBot="1" x14ac:dyDescent="0.35"/>
    <row r="197" spans="1:1" ht="20.100000000000001" customHeight="1" thickBot="1" x14ac:dyDescent="0.35">
      <c r="A19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2025-10-07T21:00:28Z</dcterms:modified>
</cp:coreProperties>
</file>