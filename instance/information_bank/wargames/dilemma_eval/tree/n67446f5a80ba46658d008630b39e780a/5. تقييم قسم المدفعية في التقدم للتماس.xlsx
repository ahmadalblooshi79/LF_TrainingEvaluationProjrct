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B38B934C-A029-3143-8785-3DBD923563FF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2" l="1"/>
  <c r="H18" i="2"/>
  <c r="G22" i="2"/>
  <c r="H22" i="2"/>
  <c r="G21" i="2"/>
  <c r="H21" i="2"/>
  <c r="G23" i="2"/>
  <c r="H23" i="2"/>
  <c r="G26" i="2"/>
  <c r="H26" i="2"/>
  <c r="G24" i="2"/>
  <c r="H24" i="2"/>
  <c r="G20" i="2"/>
  <c r="H20" i="2"/>
  <c r="G25" i="2"/>
  <c r="H25" i="2"/>
  <c r="G19" i="2"/>
  <c r="H19" i="2"/>
  <c r="G17" i="2"/>
  <c r="H17" i="2"/>
  <c r="G15" i="2"/>
  <c r="H15" i="2"/>
  <c r="G14" i="2"/>
  <c r="H14" i="2"/>
  <c r="G12" i="2"/>
  <c r="H12" i="2"/>
  <c r="G8" i="2"/>
  <c r="H8" i="2"/>
  <c r="G9" i="2"/>
  <c r="H9" i="2"/>
  <c r="G10" i="2"/>
  <c r="H10" i="2"/>
  <c r="G11" i="2"/>
  <c r="H11" i="2"/>
  <c r="G13" i="2"/>
  <c r="H13" i="2"/>
  <c r="G16" i="2"/>
  <c r="H16" i="2"/>
  <c r="F27" i="2"/>
  <c r="E27" i="2"/>
  <c r="E28" i="2"/>
  <c r="E29" i="2"/>
</calcChain>
</file>

<file path=xl/sharedStrings.xml><?xml version="1.0" encoding="utf-8"?>
<sst xmlns="http://schemas.openxmlformats.org/spreadsheetml/2006/main" count="252" uniqueCount="196">
  <si>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</si>
  <si>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</si>
  <si>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</si>
  <si>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</si>
  <si>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</si>
  <si>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</si>
  <si>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</si>
  <si>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</si>
  <si>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</si>
  <si>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</si>
  <si>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</si>
  <si>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</si>
  <si>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</si>
  <si>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</si>
  <si>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</si>
  <si>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</si>
  <si>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</si>
  <si>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</si>
  <si>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</si>
  <si>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</si>
  <si>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</si>
  <si>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</si>
  <si>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</si>
  <si>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</si>
  <si>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</si>
  <si>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</si>
  <si>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</si>
  <si>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</si>
  <si>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</si>
  <si>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</si>
  <si>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</si>
  <si>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</si>
  <si>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</si>
  <si>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</si>
  <si>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</si>
  <si>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</si>
  <si>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</si>
  <si>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</si>
  <si>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</si>
  <si>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</si>
  <si>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</si>
  <si>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</si>
  <si>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</si>
  <si>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</si>
  <si>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</si>
  <si>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</si>
  <si>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</si>
  <si>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</si>
  <si>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</si>
  <si>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</si>
  <si>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</si>
  <si>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</si>
  <si>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</si>
  <si>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</si>
  <si>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</si>
  <si>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</si>
  <si>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</si>
  <si>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</si>
  <si>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</si>
  <si>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</si>
  <si>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</si>
  <si>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</si>
  <si>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</si>
  <si>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</si>
  <si>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</si>
  <si>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</si>
  <si>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</si>
  <si>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</si>
  <si>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</si>
  <si>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</si>
  <si>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</si>
  <si>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</si>
  <si>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</si>
  <si>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</si>
  <si>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</si>
  <si>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</si>
  <si>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</si>
  <si>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</si>
  <si>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</si>
  <si>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</si>
  <si>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</si>
  <si>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</si>
  <si>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</si>
  <si>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</si>
  <si>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</si>
  <si>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</si>
  <si>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</si>
  <si>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</si>
  <si>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</si>
  <si>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</si>
  <si>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</si>
  <si>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</si>
  <si>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</si>
  <si>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</si>
  <si>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</si>
  <si>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</si>
  <si>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</si>
  <si>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</si>
  <si>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</si>
  <si>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</si>
  <si>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</si>
  <si>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</si>
  <si>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</si>
  <si>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</si>
  <si>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</si>
  <si>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</si>
  <si>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</si>
  <si>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</si>
  <si>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</si>
  <si>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</si>
  <si>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</si>
  <si>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</si>
  <si>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</si>
  <si>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</si>
  <si>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</si>
  <si>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</si>
  <si>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</si>
  <si>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</si>
  <si>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</si>
  <si>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</si>
  <si>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</si>
  <si>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</si>
  <si>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</si>
  <si>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</si>
  <si>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</si>
  <si>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</si>
  <si>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</si>
  <si>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</si>
  <si>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</si>
  <si>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</si>
  <si>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</si>
  <si>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</si>
  <si>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</si>
  <si>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</si>
  <si>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</si>
  <si>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</si>
  <si>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</si>
  <si>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</si>
  <si>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</si>
  <si>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</si>
  <si>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</si>
  <si>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</si>
  <si>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</si>
  <si>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</si>
  <si>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</si>
  <si>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</si>
  <si>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</si>
  <si>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</si>
  <si>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</si>
  <si>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</si>
  <si>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</si>
  <si>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</si>
  <si>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</si>
  <si>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</si>
  <si>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</si>
  <si>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</si>
  <si>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</si>
  <si>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</si>
  <si>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</si>
  <si>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</si>
  <si>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</si>
  <si>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</si>
  <si>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</si>
  <si>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</si>
  <si>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</si>
  <si>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</si>
  <si>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</si>
  <si>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</si>
  <si>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</si>
  <si>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</si>
  <si>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</si>
  <si>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</si>
  <si>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</si>
  <si>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</si>
  <si>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</si>
  <si>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</si>
  <si>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إعطاء أولوية النيران لوحدة المناورة الأمامية.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</si>
  <si>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تخطيط النيران على طول الطريق وعلى الأجنحة، خصوصاً على المقتربات التي توفر الحركة السريعة إلى أجنحة وحدة المناورة الأمامية.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</si>
  <si>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تخطيط الرماية على الارض الحاكمة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</si>
  <si>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تخطيط الرماية على مواقع العدو المحتملة.</t>
    </r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</si>
  <si>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إصدار أوامر عمليات مجزأة عند التماس مع العدو</t>
    </r>
  </si>
  <si>
    <r>
      <t>9.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توضيع أي عناصر متحركة في مواقع اختباء فور التماس مع العدو</t>
    </r>
  </si>
  <si>
    <r>
      <t>10.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توفير أقصى قدر من النيران غير المباشرة لإسناد الهجوم</t>
    </r>
  </si>
  <si>
    <r>
      <t>11.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تنفيذ إجراءات التخفية والتموية</t>
    </r>
  </si>
  <si>
    <r>
      <t>12.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إعطاء أولوية النيران لوحدة المناورة الأمامية.</t>
    </r>
  </si>
  <si>
    <r>
      <t>13.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رماية الدخان الفوري عند التماس مع العدو.</t>
    </r>
  </si>
  <si>
    <r>
      <t>16.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حشد مهام الرماية القصيرة والمكثفة، وسلسلة الأهداف، ومجموعات الأهداف النيران على المناطق الخطرة أو مجموعات الأهداف</t>
    </r>
  </si>
  <si>
    <r>
      <t>17.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التحويل السريع للنيران المكثفة لاستغلال نقاط ضعف العدو المحددة</t>
    </r>
  </si>
  <si>
    <r>
      <t>18.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إدامة الإلمام بالموقف، وتوقع متطلبات الإسناد الناري</t>
    </r>
  </si>
  <si>
    <r>
      <rPr>
        <b/>
        <sz val="14"/>
        <color rgb="FF000000"/>
        <rFont val="Arial"/>
        <family val="2"/>
      </rPr>
      <t>تقييم قسم المدفعية في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</si>
  <si>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إلمام قائد القسم بالموقف، وتوقع متطلبات الإسناد الناري.</t>
    </r>
  </si>
  <si>
    <r>
      <t>14.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الرماية على قوات العدو التي تهدد قسم المدفعية بشكل مباشر.</t>
    </r>
  </si>
  <si>
    <r>
      <t>15.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تقيد قائد قسم المدفعية بقواعد الاشتباك أثناء التقدم.</t>
    </r>
  </si>
  <si>
    <r>
      <t>19.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إعادة تزويد المدافع بسرعة بعد الهجوم السريع الناجح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</si>
  <si>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الاستعداد للرماية على قوات العدو التي تهدد المدافع بشكل مباشر.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</si>
  <si>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حركة المدافع بشكل قريب من وحدات المناورة للمساهمة بالنيران الفورية سريعة الاستجابة.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</si>
</sst>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 /><Relationship Id="rId3" Type="http://schemas.openxmlformats.org/officeDocument/2006/relationships/customXml" Target="../ink/ink2.xml" /><Relationship Id="rId7" Type="http://schemas.openxmlformats.org/officeDocument/2006/relationships/customXml" Target="../ink/ink4.xml" /><Relationship Id="rId12" Type="http://schemas.openxmlformats.org/officeDocument/2006/relationships/image" Target="../media/image6.png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6" Type="http://schemas.openxmlformats.org/officeDocument/2006/relationships/image" Target="../media/image3.png" /><Relationship Id="rId11" Type="http://schemas.openxmlformats.org/officeDocument/2006/relationships/customXml" Target="../ink/ink6.xml" /><Relationship Id="rId5" Type="http://schemas.openxmlformats.org/officeDocument/2006/relationships/customXml" Target="../ink/ink3.xml" /><Relationship Id="rId10" Type="http://schemas.openxmlformats.org/officeDocument/2006/relationships/image" Target="../media/image5.png" /><Relationship Id="rId4" Type="http://schemas.openxmlformats.org/officeDocument/2006/relationships/image" Target="../media/image2.png" /><Relationship Id="rId9" Type="http://schemas.openxmlformats.org/officeDocument/2006/relationships/customXml" Target="../ink/ink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160333</xdr:colOff>
      <xdr:row>29</xdr:row>
      <xdr:rowOff>89870</xdr:rowOff>
    </xdr:from>
    <xdr:to>
      <xdr:col>8</xdr:col>
      <xdr:colOff>160693</xdr:colOff>
      <xdr:row>29</xdr:row>
      <xdr:rowOff>99230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0CD511E-8997-DB83-878B-E2523EF392BF}"/>
                </a:ext>
              </a:extLst>
            </xdr14:cNvPr>
            <xdr14:cNvContentPartPr/>
          </xdr14:nvContentPartPr>
          <xdr14:nvPr macro=""/>
          <xdr14:xfrm>
            <a:off x="10471788607" y="13500360"/>
            <a:ext cx="360" cy="9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0CD511E-8997-DB83-878B-E2523EF392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71782487" y="13494240"/>
              <a:ext cx="12600" cy="2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512579</xdr:colOff>
      <xdr:row>30</xdr:row>
      <xdr:rowOff>143546</xdr:rowOff>
    </xdr:from>
    <xdr:to>
      <xdr:col>7</xdr:col>
      <xdr:colOff>620939</xdr:colOff>
      <xdr:row>30</xdr:row>
      <xdr:rowOff>462506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0FFB37C-883D-F068-7507-FB52714D8AEB}"/>
                </a:ext>
              </a:extLst>
            </xdr14:cNvPr>
            <xdr14:cNvContentPartPr/>
          </xdr14:nvContentPartPr>
          <xdr14:nvPr macro=""/>
          <xdr14:xfrm>
            <a:off x="10431871694" y="14093640"/>
            <a:ext cx="108360" cy="3189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0FFB37C-883D-F068-7507-FB52714D8AE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1863054" y="14084640"/>
              <a:ext cx="126000" cy="33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80432</xdr:colOff>
      <xdr:row>30</xdr:row>
      <xdr:rowOff>107100</xdr:rowOff>
    </xdr:from>
    <xdr:to>
      <xdr:col>8</xdr:col>
      <xdr:colOff>171152</xdr:colOff>
      <xdr:row>30</xdr:row>
      <xdr:rowOff>206100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EB32969-74B8-5102-1E0D-55EE1D9E5FED}"/>
                </a:ext>
              </a:extLst>
            </xdr14:cNvPr>
            <xdr14:cNvContentPartPr/>
          </xdr14:nvContentPartPr>
          <xdr14:nvPr macro=""/>
          <xdr14:xfrm>
            <a:off x="10456012879" y="14036760"/>
            <a:ext cx="90720" cy="990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FEB32969-74B8-5102-1E0D-55EE1D9E5FE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56003879" y="14028120"/>
              <a:ext cx="10836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95192</xdr:colOff>
      <xdr:row>30</xdr:row>
      <xdr:rowOff>286740</xdr:rowOff>
    </xdr:from>
    <xdr:to>
      <xdr:col>8</xdr:col>
      <xdr:colOff>447992</xdr:colOff>
      <xdr:row>30</xdr:row>
      <xdr:rowOff>517140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A6BD86A-A89F-5391-3C73-60A64F3DB971}"/>
                </a:ext>
              </a:extLst>
            </xdr14:cNvPr>
            <xdr14:cNvContentPartPr/>
          </xdr14:nvContentPartPr>
          <xdr14:nvPr macro=""/>
          <xdr14:xfrm>
            <a:off x="10455736039" y="14216400"/>
            <a:ext cx="352800" cy="23040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A6BD86A-A89F-5391-3C73-60A64F3DB97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55727039" y="14207400"/>
              <a:ext cx="370440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537815</xdr:colOff>
      <xdr:row>29</xdr:row>
      <xdr:rowOff>428490</xdr:rowOff>
    </xdr:from>
    <xdr:to>
      <xdr:col>8</xdr:col>
      <xdr:colOff>617912</xdr:colOff>
      <xdr:row>31</xdr:row>
      <xdr:rowOff>37356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EFFFB0F7-B6FB-DEC5-FBB6-2DFAD9EC06BB}"/>
                </a:ext>
              </a:extLst>
            </xdr14:cNvPr>
            <xdr14:cNvContentPartPr/>
          </xdr14:nvContentPartPr>
          <xdr14:nvPr macro=""/>
          <xdr14:xfrm>
            <a:off x="10455566119" y="13824000"/>
            <a:ext cx="739440" cy="78984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FFFB0F7-B6FB-DEC5-FBB6-2DFAD9EC06B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455557479" y="13815360"/>
              <a:ext cx="757080" cy="80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24632</xdr:colOff>
      <xdr:row>30</xdr:row>
      <xdr:rowOff>461340</xdr:rowOff>
    </xdr:from>
    <xdr:to>
      <xdr:col>8</xdr:col>
      <xdr:colOff>250352</xdr:colOff>
      <xdr:row>30</xdr:row>
      <xdr:rowOff>616860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1B91852-0424-5E49-0557-645B4A4772CF}"/>
                </a:ext>
              </a:extLst>
            </xdr14:cNvPr>
            <xdr14:cNvContentPartPr/>
          </xdr14:nvContentPartPr>
          <xdr14:nvPr macro=""/>
          <xdr14:xfrm>
            <a:off x="10455933679" y="14391000"/>
            <a:ext cx="225720" cy="1555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1B91852-0424-5E49-0557-645B4A4772C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455924679" y="14382000"/>
              <a:ext cx="243360" cy="173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5:17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25,'0'0,"0"0,0 0,0 0,0 0,0 0,0 0,0 0,0 0,0 0,0 0,0 0,0 0,0 0,0-25,0 25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6:46.2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0,'0'0,"0"0,0 0,0 0,0 0,0 0,11 12,0-12,-9 0,7 11,13 11,-19-20,27 18,3 2,-29-20,14 29,15-9,-30-20,17 29,-9-20,-10-10,31 54,1 0,-30-49,5 32,3-5,-10-29,-2 37,1-8,0-30,-11 49,0 3,10-48,-31 86,-12 7,38-88,-44 97,50-109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8:15.6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1,'0'0,"0"0,0 0,0 0,0 0,0 0,0 0,0 0,0 0,0 0,0 0,0 0,12 11,-10-9,7 8,3 13,-10-19,42 38,3 16,-40-48,55 50,-15-14,-40-38,-14-16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8:17.1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792 0,'0'0,"0"0,0 0,0 0,0 0,0 0,0 0,0 0,0 0,0 0,0 0,0 0,0 0,0 0,0 0,0 0,0 0,0 0,0 0,0 0,0 0,0 0,0 0,0 0,0 0,0 0,12 12,-1-1,-9-9,8 8,13 2,-19-11,15 21,5 1,-21-19,17 15,-9-7,-9-10,8 19,2-10,-11-9,9 20,2-11,-10-9,-4 8,2 1,0-9,0 8,0-9,-12 10,1-11,9 0,-8 0,-13 0,19 0,-15 11,-5-11,21 0,-17-11,-3 11,20 0,-6 0,-2 0,9 0,-8-12,-1 12,9 0,-8-12,4 7,12-1,-17-6,9 10,4-7,-2 8,11 13,-11 11,0-19,12 16,-1 3,-9-19,8 27,-10 3,0-28,11 12,-11 16,0-30,0 16,-11 3,9-20,4 5,-14 15,10-19,-7 4,-14-8,19 0,-4 12,-4-12,10 0,-7 0,-3 0,10 0,-7 0,-3 0,10 0,-8 11,-1 1,9-10,-8-4,-1 13,9-9,-8 8,-2 2,11-11,-21-2,11 12,9-9,-20-4,-1 2,20 0,-29 0,9 0,20 0,-28-11,-4-1,29 10,-23-19,-6 9,30 10,-13-19,-17 9,30 11,-13-9,6-13,11 19,-9-4,-2-3,10 9,-7-20,3 11,0 11,0-6,12 23,-18-17,11 0,2 24,-12-13,9-9,-8 19,-13 2,20-19,-5 16,-15 3,19-19,-4 15,-15 4,19-19,-4 15,-15 5,19-21,-4 5,-15 4,19-10,8-4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8:18.7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974 916,'0'0,"0"0,0 0,0 0,0 0,0 0,0 0,0 0,0 0,0 0,0 0,0 0,0 0,0 0,0 0,0 0,0 0,0 0,0 0,0 0,0 0,0 0,0 0,0 0,12-11,0 11,-11 0,9-12,2 1,-10 9,19-8,2-13,-19 19,15-15,5 7,-21 10,17-19,3-2,-20 19,6-4,14-4,-20 11,-6 2</inkml:trace>
  <inkml:trace contextRef="#ctx0" brushRef="#br0" timeOffset="1">1090 684,'0'0,"0"0,0 0,0 0,0 0,0 0,0 12,0 0,0-10,0-4</inkml:trace>
  <inkml:trace contextRef="#ctx0" brushRef="#br0" timeOffset="2">604 1670,'0'0,"0"0,0 0,0 0,0 0,0 0,0 0,0 0,0 0,0 0,-12 0,10 0,-7-12,-3 12,10 0,-19-11,-14-1,29 10,-23 4,-6-25,30 19,-36-4,-6-3,41 9,-34-8,6-13,28 20,-35-17,6-15,30 30,-25-25,-4-28,29 50,-2-65,-5-31,11 89,26-75,9-37,-29 109,60-115,39-29,-88 138,107-103,40-23,-141 129,141-74,23-10,-160 90,133-39,27-4,-160 49,110-5,15 25,-130-9,85 19,-13 26,-80-41,43 34,-9 6,-40-38,9 31,-4 42,-11-69,-37 69,-34 35,60-99,-96 105,-44 28,127-127,-128 128,-46 35,166-158,-159 141,-41 16,196-157,-162 107,0 4,167-118,-102 85,4-13,108-78,-30 28,4-8,39-30,-9 13,27-7,-9-9,54-15,49-22,-90 30,97-36,27-17,-119 49,123-52,30-20,-149 70,138-71,35 1,-169 70,118-71,5 13,-130 59,62-26,-14 1,-59 30,27-13,-2 18,-30 0,1-12,-17 24,9-11,-43 9,-36 25,69-30,-69 13,-23 17,88-30,-72 25,-17 4,90-29,-74 25,8-7,69-19,-57 16,34-9,30-9,-2 8,2-4,22-24,6 7,-19 9,38-8,-42 10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3T04:28:19.7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510 60,'0'0,"0"0,0 0,0 0,12-12,-11 11,9 2,2-12,-10 9,7-8,3 10,-10 0,19-11,-9-1,-10 10,19 4,-21-2,0 0,0 0,0 12,0-11,-12 9,-11 13,20-19,-40 27,-15 4,49-30,-52 36,-20 17,69-49,-46 17,1 9,47-30,-38 25,1 4,40-28,-32 12,16 5,19-20,-16 5,9-2,11 0,11-6,-9 0,8 0,13-12,-19 11,27-9,15-2,-38 10,54-19,-16-2,-39 19,44-4,-16-15,-30 20,36-6,-6-14,-30 20,25-5,-18-4,-11 10,9 4,-4-2,-23 12,17-12</inkml:trace>
  <inkml:trace contextRef="#ctx0" brushRef="#br0" timeOffset="1">382 396,'0'0,"0"0,0 0,0 0,0 0,0 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1"/>
  <sheetViews>
    <sheetView rightToLeft="1" tabSelected="1" view="pageBreakPreview" topLeftCell="F23" zoomScale="115" zoomScaleNormal="100" zoomScaleSheetLayoutView="115" workbookViewId="0">
      <selection activeCell="G31" sqref="G31:J31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0" t="s">
        <v>189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2">
      <c r="B2" s="12" t="s">
        <v>8</v>
      </c>
      <c r="C2" s="66" t="s">
        <v>48</v>
      </c>
      <c r="D2" s="66"/>
      <c r="E2" s="12" t="s">
        <v>7</v>
      </c>
      <c r="F2" s="61">
        <v>45939</v>
      </c>
      <c r="G2" s="61"/>
      <c r="H2" s="61"/>
      <c r="I2" s="61"/>
      <c r="J2" s="61"/>
    </row>
    <row r="3" spans="1:10" ht="30" customHeight="1" x14ac:dyDescent="0.2">
      <c r="B3" s="12" t="s">
        <v>9</v>
      </c>
      <c r="C3" s="66" t="s">
        <v>68</v>
      </c>
      <c r="D3" s="66"/>
      <c r="E3" s="12" t="s">
        <v>6</v>
      </c>
      <c r="F3" s="66" t="s">
        <v>113</v>
      </c>
      <c r="G3" s="66"/>
      <c r="H3" s="66"/>
      <c r="I3" s="66"/>
      <c r="J3" s="66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2" t="s">
        <v>0</v>
      </c>
      <c r="C5" s="63"/>
      <c r="D5" s="63"/>
      <c r="E5" s="69" t="s">
        <v>1</v>
      </c>
      <c r="F5" s="69"/>
      <c r="G5" s="69"/>
      <c r="H5" s="69"/>
      <c r="I5" s="69" t="s">
        <v>2</v>
      </c>
      <c r="J5" s="70"/>
    </row>
    <row r="6" spans="1:10" ht="24.95" customHeight="1" thickBot="1" x14ac:dyDescent="0.25">
      <c r="A6" s="10"/>
      <c r="B6" s="64"/>
      <c r="C6" s="65"/>
      <c r="D6" s="65"/>
      <c r="E6" s="11" t="s">
        <v>3</v>
      </c>
      <c r="F6" s="11" t="s">
        <v>4</v>
      </c>
      <c r="G6" s="11" t="s">
        <v>23</v>
      </c>
      <c r="H6" s="11" t="s">
        <v>24</v>
      </c>
      <c r="I6" s="71"/>
      <c r="J6" s="72"/>
    </row>
    <row r="7" spans="1:10" ht="24.95" customHeight="1" x14ac:dyDescent="0.2">
      <c r="A7" s="10"/>
      <c r="B7" s="67" t="s">
        <v>21</v>
      </c>
      <c r="C7" s="68"/>
      <c r="D7" s="68"/>
      <c r="E7" s="27" t="s">
        <v>18</v>
      </c>
      <c r="F7" s="27" t="s">
        <v>19</v>
      </c>
      <c r="G7" s="27" t="s">
        <v>22</v>
      </c>
      <c r="H7" s="27" t="s">
        <v>20</v>
      </c>
      <c r="I7" s="73" t="s">
        <v>25</v>
      </c>
      <c r="J7" s="74"/>
    </row>
    <row r="8" spans="1:10" ht="39.950000000000003" customHeight="1" x14ac:dyDescent="0.2">
      <c r="A8" s="10"/>
      <c r="B8" s="37" t="s">
        <v>176</v>
      </c>
      <c r="C8" s="38"/>
      <c r="D8" s="38"/>
      <c r="E8" s="9">
        <v>5</v>
      </c>
      <c r="F8" s="26">
        <v>4.5</v>
      </c>
      <c r="G8" s="29">
        <f t="shared" ref="G8:G16" si="0">IFERROR(F8/E8,"")</f>
        <v>0.9</v>
      </c>
      <c r="H8" s="30" t="str">
        <f t="shared" ref="H8:H16" si="1">_xlfn.IFS(F8="أدخل العلامة","",F8="لا ينطبق","تم الإلغاء",G8&gt;=90%,"ممتاز",G8&gt;=80%,"جيد جداً",G8&gt;=70%,"جيد",G8&gt;=60%,"مقبول",G8&lt;60%,"راسب")</f>
        <v>ممتاز</v>
      </c>
      <c r="I8" s="35"/>
      <c r="J8" s="36"/>
    </row>
    <row r="9" spans="1:10" ht="39.950000000000003" customHeight="1" x14ac:dyDescent="0.2">
      <c r="A9" s="10"/>
      <c r="B9" s="37" t="s">
        <v>177</v>
      </c>
      <c r="C9" s="38"/>
      <c r="D9" s="38"/>
      <c r="E9" s="9">
        <v>5</v>
      </c>
      <c r="F9" s="34">
        <v>3.5</v>
      </c>
      <c r="G9" s="29">
        <f t="shared" si="0"/>
        <v>0.7</v>
      </c>
      <c r="H9" s="30" t="str">
        <f t="shared" si="1"/>
        <v>جيد</v>
      </c>
      <c r="I9" s="35"/>
      <c r="J9" s="36"/>
    </row>
    <row r="10" spans="1:10" ht="39.950000000000003" customHeight="1" x14ac:dyDescent="0.2">
      <c r="A10" s="10"/>
      <c r="B10" s="37" t="s">
        <v>194</v>
      </c>
      <c r="C10" s="38"/>
      <c r="D10" s="38"/>
      <c r="E10" s="9">
        <v>5</v>
      </c>
      <c r="F10" s="34">
        <v>4.25</v>
      </c>
      <c r="G10" s="29">
        <f t="shared" si="0"/>
        <v>0.85</v>
      </c>
      <c r="H10" s="30" t="str">
        <f t="shared" si="1"/>
        <v>جيد جداً</v>
      </c>
      <c r="I10" s="35"/>
      <c r="J10" s="36"/>
    </row>
    <row r="11" spans="1:10" ht="39.950000000000003" customHeight="1" x14ac:dyDescent="0.2">
      <c r="A11" s="10"/>
      <c r="B11" s="37" t="s">
        <v>178</v>
      </c>
      <c r="C11" s="38"/>
      <c r="D11" s="38"/>
      <c r="E11" s="9">
        <v>5</v>
      </c>
      <c r="F11" s="34">
        <v>3.5</v>
      </c>
      <c r="G11" s="29">
        <f t="shared" si="0"/>
        <v>0.7</v>
      </c>
      <c r="H11" s="30" t="str">
        <f t="shared" si="1"/>
        <v>جيد</v>
      </c>
      <c r="I11" s="35"/>
      <c r="J11" s="36"/>
    </row>
    <row r="12" spans="1:10" ht="39.950000000000003" customHeight="1" x14ac:dyDescent="0.2">
      <c r="A12" s="10"/>
      <c r="B12" s="37" t="s">
        <v>179</v>
      </c>
      <c r="C12" s="38"/>
      <c r="D12" s="38"/>
      <c r="E12" s="9">
        <v>5</v>
      </c>
      <c r="F12" s="34">
        <v>3.5</v>
      </c>
      <c r="G12" s="29">
        <f t="shared" ref="G12" si="2">IFERROR(F12/E12,"")</f>
        <v>0.7</v>
      </c>
      <c r="H12" s="30" t="str">
        <f t="shared" ref="H12" si="3">_xlfn.IFS(F12="أدخل العلامة","",F12="لا ينطبق","تم الإلغاء",G12&gt;=90%,"ممتاز",G12&gt;=80%,"جيد جداً",G12&gt;=70%,"جيد",G12&gt;=60%,"مقبول",G12&lt;60%,"راسب")</f>
        <v>جيد</v>
      </c>
      <c r="I12" s="35"/>
      <c r="J12" s="36"/>
    </row>
    <row r="13" spans="1:10" ht="39.950000000000003" customHeight="1" x14ac:dyDescent="0.2">
      <c r="A13" s="10"/>
      <c r="B13" s="37" t="s">
        <v>195</v>
      </c>
      <c r="C13" s="38"/>
      <c r="D13" s="38"/>
      <c r="E13" s="9">
        <v>5</v>
      </c>
      <c r="F13" s="34">
        <v>3.5</v>
      </c>
      <c r="G13" s="29">
        <f t="shared" si="0"/>
        <v>0.7</v>
      </c>
      <c r="H13" s="30" t="str">
        <f t="shared" si="1"/>
        <v>جيد</v>
      </c>
      <c r="I13" s="35"/>
      <c r="J13" s="36"/>
    </row>
    <row r="14" spans="1:10" ht="39.950000000000003" customHeight="1" x14ac:dyDescent="0.2">
      <c r="A14" s="10"/>
      <c r="B14" s="37" t="s">
        <v>190</v>
      </c>
      <c r="C14" s="38"/>
      <c r="D14" s="38"/>
      <c r="E14" s="9">
        <v>5</v>
      </c>
      <c r="F14" s="34">
        <v>4</v>
      </c>
      <c r="G14" s="29">
        <f t="shared" ref="G14" si="4">IFERROR(F14/E14,"")</f>
        <v>0.8</v>
      </c>
      <c r="H14" s="30" t="str">
        <f t="shared" ref="H14" si="5">_xlfn.IFS(F14="أدخل العلامة","",F14="لا ينطبق","تم الإلغاء",G14&gt;=90%,"ممتاز",G14&gt;=80%,"جيد جداً",G14&gt;=70%,"جيد",G14&gt;=60%,"مقبول",G14&lt;60%,"راسب")</f>
        <v>جيد جداً</v>
      </c>
      <c r="I14" s="35"/>
      <c r="J14" s="36"/>
    </row>
    <row r="15" spans="1:10" ht="39.950000000000003" customHeight="1" x14ac:dyDescent="0.2">
      <c r="A15" s="10"/>
      <c r="B15" s="37" t="s">
        <v>180</v>
      </c>
      <c r="C15" s="38"/>
      <c r="D15" s="38"/>
      <c r="E15" s="9">
        <v>5</v>
      </c>
      <c r="F15" s="34">
        <v>3.75</v>
      </c>
      <c r="G15" s="29">
        <f t="shared" ref="G15" si="6">IFERROR(F15/E15,"")</f>
        <v>0.75</v>
      </c>
      <c r="H15" s="30" t="str">
        <f t="shared" ref="H15" si="7">_xlfn.IFS(F15="أدخل العلامة","",F15="لا ينطبق","تم الإلغاء",G15&gt;=90%,"ممتاز",G15&gt;=80%,"جيد جداً",G15&gt;=70%,"جيد",G15&gt;=60%,"مقبول",G15&lt;60%,"راسب")</f>
        <v>جيد</v>
      </c>
      <c r="I15" s="35"/>
      <c r="J15" s="36"/>
    </row>
    <row r="16" spans="1:10" ht="39.950000000000003" customHeight="1" x14ac:dyDescent="0.2">
      <c r="A16" s="10"/>
      <c r="B16" s="37" t="s">
        <v>181</v>
      </c>
      <c r="C16" s="38"/>
      <c r="D16" s="38"/>
      <c r="E16" s="9">
        <v>5</v>
      </c>
      <c r="F16" s="34">
        <v>3.25</v>
      </c>
      <c r="G16" s="29">
        <f t="shared" si="0"/>
        <v>0.65</v>
      </c>
      <c r="H16" s="30" t="str">
        <f t="shared" si="1"/>
        <v>مقبول</v>
      </c>
      <c r="I16" s="35"/>
      <c r="J16" s="36"/>
    </row>
    <row r="17" spans="1:10" ht="39.950000000000003" customHeight="1" x14ac:dyDescent="0.2">
      <c r="A17" s="10"/>
      <c r="B17" s="37" t="s">
        <v>182</v>
      </c>
      <c r="C17" s="38"/>
      <c r="D17" s="38"/>
      <c r="E17" s="9">
        <v>5</v>
      </c>
      <c r="F17" s="34">
        <v>3.75</v>
      </c>
      <c r="G17" s="29">
        <f t="shared" ref="G17:G24" si="8">IFERROR(F17/E17,"")</f>
        <v>0.75</v>
      </c>
      <c r="H17" s="30" t="str">
        <f t="shared" ref="H17:H24" si="9">_xlfn.IFS(F17="أدخل العلامة","",F17="لا ينطبق","تم الإلغاء",G17&gt;=90%,"ممتاز",G17&gt;=80%,"جيد جداً",G17&gt;=70%,"جيد",G17&gt;=60%,"مقبول",G17&lt;60%,"راسب")</f>
        <v>جيد</v>
      </c>
      <c r="I17" s="35"/>
      <c r="J17" s="36"/>
    </row>
    <row r="18" spans="1:10" ht="39.950000000000003" customHeight="1" x14ac:dyDescent="0.2">
      <c r="A18" s="10"/>
      <c r="B18" s="37" t="s">
        <v>183</v>
      </c>
      <c r="C18" s="38"/>
      <c r="D18" s="38"/>
      <c r="E18" s="9">
        <v>5</v>
      </c>
      <c r="F18" s="34">
        <v>3.75</v>
      </c>
      <c r="G18" s="29">
        <f t="shared" ref="G18" si="10">IFERROR(F18/E18,"")</f>
        <v>0.75</v>
      </c>
      <c r="H18" s="30" t="str">
        <f t="shared" ref="H18" si="11">_xlfn.IFS(F18="أدخل العلامة","",F18="لا ينطبق","تم الإلغاء",G18&gt;=90%,"ممتاز",G18&gt;=80%,"جيد جداً",G18&gt;=70%,"جيد",G18&gt;=60%,"مقبول",G18&lt;60%,"راسب")</f>
        <v>جيد</v>
      </c>
      <c r="I18" s="35"/>
      <c r="J18" s="36"/>
    </row>
    <row r="19" spans="1:10" ht="39.950000000000003" customHeight="1" x14ac:dyDescent="0.2">
      <c r="A19" s="10"/>
      <c r="B19" s="37" t="s">
        <v>184</v>
      </c>
      <c r="C19" s="38"/>
      <c r="D19" s="38"/>
      <c r="E19" s="9">
        <v>5</v>
      </c>
      <c r="F19" s="34">
        <v>4</v>
      </c>
      <c r="G19" s="29">
        <f t="shared" si="8"/>
        <v>0.8</v>
      </c>
      <c r="H19" s="30" t="str">
        <f t="shared" si="9"/>
        <v>جيد جداً</v>
      </c>
      <c r="I19" s="35"/>
      <c r="J19" s="36"/>
    </row>
    <row r="20" spans="1:10" ht="39.950000000000003" customHeight="1" x14ac:dyDescent="0.2">
      <c r="A20" s="10"/>
      <c r="B20" s="37" t="s">
        <v>185</v>
      </c>
      <c r="C20" s="38"/>
      <c r="D20" s="38"/>
      <c r="E20" s="9">
        <v>5</v>
      </c>
      <c r="F20" s="34">
        <v>3.75</v>
      </c>
      <c r="G20" s="29">
        <f t="shared" si="8"/>
        <v>0.75</v>
      </c>
      <c r="H20" s="30" t="str">
        <f t="shared" si="9"/>
        <v>جيد</v>
      </c>
      <c r="I20" s="35"/>
      <c r="J20" s="36"/>
    </row>
    <row r="21" spans="1:10" ht="39.950000000000003" customHeight="1" x14ac:dyDescent="0.2">
      <c r="A21" s="10"/>
      <c r="B21" s="37" t="s">
        <v>191</v>
      </c>
      <c r="C21" s="38"/>
      <c r="D21" s="38"/>
      <c r="E21" s="9">
        <v>5</v>
      </c>
      <c r="F21" s="34">
        <v>3.75</v>
      </c>
      <c r="G21" s="29">
        <f t="shared" si="8"/>
        <v>0.75</v>
      </c>
      <c r="H21" s="30" t="str">
        <f t="shared" si="9"/>
        <v>جيد</v>
      </c>
      <c r="I21" s="35"/>
      <c r="J21" s="36"/>
    </row>
    <row r="22" spans="1:10" ht="39.950000000000003" customHeight="1" x14ac:dyDescent="0.2">
      <c r="A22" s="10"/>
      <c r="B22" s="37" t="s">
        <v>192</v>
      </c>
      <c r="C22" s="38"/>
      <c r="D22" s="38"/>
      <c r="E22" s="9">
        <v>5</v>
      </c>
      <c r="F22" s="34">
        <v>3.75</v>
      </c>
      <c r="G22" s="29">
        <f t="shared" si="8"/>
        <v>0.75</v>
      </c>
      <c r="H22" s="30" t="str">
        <f t="shared" si="9"/>
        <v>جيد</v>
      </c>
      <c r="I22" s="35"/>
      <c r="J22" s="36"/>
    </row>
    <row r="23" spans="1:10" ht="39.950000000000003" customHeight="1" x14ac:dyDescent="0.2">
      <c r="A23" s="10"/>
      <c r="B23" s="37" t="s">
        <v>186</v>
      </c>
      <c r="C23" s="38"/>
      <c r="D23" s="38"/>
      <c r="E23" s="9">
        <v>5</v>
      </c>
      <c r="F23" s="34">
        <v>3.75</v>
      </c>
      <c r="G23" s="29">
        <f t="shared" ref="G23" si="12">IFERROR(F23/E23,"")</f>
        <v>0.75</v>
      </c>
      <c r="H23" s="30" t="str">
        <f t="shared" ref="H23" si="13">_xlfn.IFS(F23="أدخل العلامة","",F23="لا ينطبق","تم الإلغاء",G23&gt;=90%,"ممتاز",G23&gt;=80%,"جيد جداً",G23&gt;=70%,"جيد",G23&gt;=60%,"مقبول",G23&lt;60%,"راسب")</f>
        <v>جيد</v>
      </c>
      <c r="I23" s="35"/>
      <c r="J23" s="36"/>
    </row>
    <row r="24" spans="1:10" ht="39.950000000000003" customHeight="1" x14ac:dyDescent="0.2">
      <c r="A24" s="10"/>
      <c r="B24" s="37" t="s">
        <v>187</v>
      </c>
      <c r="C24" s="38"/>
      <c r="D24" s="38"/>
      <c r="E24" s="9">
        <v>5</v>
      </c>
      <c r="F24" s="34">
        <v>4.25</v>
      </c>
      <c r="G24" s="29">
        <f t="shared" si="8"/>
        <v>0.85</v>
      </c>
      <c r="H24" s="30" t="str">
        <f t="shared" si="9"/>
        <v>جيد جداً</v>
      </c>
      <c r="I24" s="35"/>
      <c r="J24" s="36"/>
    </row>
    <row r="25" spans="1:10" ht="39.950000000000003" customHeight="1" x14ac:dyDescent="0.2">
      <c r="A25" s="10"/>
      <c r="B25" s="37" t="s">
        <v>188</v>
      </c>
      <c r="C25" s="38"/>
      <c r="D25" s="38"/>
      <c r="E25" s="9">
        <v>5</v>
      </c>
      <c r="F25" s="34">
        <v>4</v>
      </c>
      <c r="G25" s="29">
        <f t="shared" ref="G25:G26" si="14">IFERROR(F25/E25,"")</f>
        <v>0.8</v>
      </c>
      <c r="H25" s="30" t="str">
        <f t="shared" ref="H25:H26" si="15">_xlfn.IFS(F25="أدخل العلامة","",F25="لا ينطبق","تم الإلغاء",G25&gt;=90%,"ممتاز",G25&gt;=80%,"جيد جداً",G25&gt;=70%,"جيد",G25&gt;=60%,"مقبول",G25&lt;60%,"راسب")</f>
        <v>جيد جداً</v>
      </c>
      <c r="I25" s="35"/>
      <c r="J25" s="36"/>
    </row>
    <row r="26" spans="1:10" ht="39.950000000000003" customHeight="1" thickBot="1" x14ac:dyDescent="0.25">
      <c r="A26" s="10"/>
      <c r="B26" s="56" t="s">
        <v>193</v>
      </c>
      <c r="C26" s="57"/>
      <c r="D26" s="57"/>
      <c r="E26" s="31">
        <v>5</v>
      </c>
      <c r="F26" s="34">
        <v>3.5</v>
      </c>
      <c r="G26" s="32">
        <f t="shared" si="14"/>
        <v>0.7</v>
      </c>
      <c r="H26" s="33" t="str">
        <f t="shared" si="15"/>
        <v>جيد</v>
      </c>
      <c r="I26" s="58"/>
      <c r="J26" s="59"/>
    </row>
    <row r="27" spans="1:10" ht="30" customHeight="1" thickBot="1" x14ac:dyDescent="0.25">
      <c r="A27" s="4"/>
      <c r="B27" s="45" t="s">
        <v>5</v>
      </c>
      <c r="C27" s="46"/>
      <c r="D27" s="46"/>
      <c r="E27" s="28">
        <f>SUM(E8:E26)</f>
        <v>95</v>
      </c>
      <c r="F27" s="28">
        <f>SUM(F8:F26)</f>
        <v>72</v>
      </c>
      <c r="G27" s="51"/>
      <c r="H27" s="52"/>
      <c r="I27" s="52"/>
      <c r="J27" s="53"/>
    </row>
    <row r="28" spans="1:10" ht="30" customHeight="1" thickBot="1" x14ac:dyDescent="0.25">
      <c r="A28" s="4"/>
      <c r="B28" s="47" t="s">
        <v>54</v>
      </c>
      <c r="C28" s="48"/>
      <c r="D28" s="48"/>
      <c r="E28" s="54">
        <f>F27/E27/100*100</f>
        <v>0.75789473684210529</v>
      </c>
      <c r="F28" s="54"/>
      <c r="G28" s="54"/>
      <c r="H28" s="54"/>
      <c r="I28" s="54"/>
      <c r="J28" s="55"/>
    </row>
    <row r="29" spans="1:10" ht="30" customHeight="1" thickBot="1" x14ac:dyDescent="0.25">
      <c r="A29" s="4"/>
      <c r="B29" s="47" t="s">
        <v>55</v>
      </c>
      <c r="C29" s="48"/>
      <c r="D29" s="48"/>
      <c r="E29" s="43" t="str">
        <f>_xlfn.IFS(E28&gt;=90%,"ممتاز",E28&gt;=80%,"جيد جداً",E28&gt;=70%,"جيد",E28&gt;=60%,"مقبول",E28&lt;60%,"راسب")</f>
        <v>جيد</v>
      </c>
      <c r="F29" s="43"/>
      <c r="G29" s="43"/>
      <c r="H29" s="43"/>
      <c r="I29" s="43"/>
      <c r="J29" s="44"/>
    </row>
    <row r="30" spans="1:10" ht="42" customHeight="1" x14ac:dyDescent="0.2">
      <c r="B30" s="39" t="s">
        <v>175</v>
      </c>
      <c r="C30" s="39"/>
      <c r="D30" s="39"/>
      <c r="E30" s="49" t="s">
        <v>52</v>
      </c>
      <c r="F30" s="49"/>
      <c r="G30" s="41" t="s">
        <v>113</v>
      </c>
      <c r="H30" s="41"/>
      <c r="I30" s="41"/>
      <c r="J30" s="41"/>
    </row>
    <row r="31" spans="1:10" ht="51" customHeight="1" x14ac:dyDescent="0.2">
      <c r="A31" s="5"/>
      <c r="B31" s="40"/>
      <c r="C31" s="40"/>
      <c r="D31" s="40"/>
      <c r="E31" s="50" t="s">
        <v>53</v>
      </c>
      <c r="F31" s="50"/>
      <c r="G31" s="42"/>
      <c r="H31" s="42"/>
      <c r="I31" s="42"/>
      <c r="J31" s="4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9">
    <mergeCell ref="B10:D10"/>
    <mergeCell ref="B11:D11"/>
    <mergeCell ref="B13:D13"/>
    <mergeCell ref="B16:D16"/>
    <mergeCell ref="B12:D12"/>
    <mergeCell ref="B7:D7"/>
    <mergeCell ref="E5:H5"/>
    <mergeCell ref="I5:J6"/>
    <mergeCell ref="I7:J7"/>
    <mergeCell ref="I8:J8"/>
    <mergeCell ref="B8:D8"/>
    <mergeCell ref="B1:J1"/>
    <mergeCell ref="F2:J2"/>
    <mergeCell ref="B5:D6"/>
    <mergeCell ref="C2:D2"/>
    <mergeCell ref="C3:D3"/>
    <mergeCell ref="F3:J3"/>
    <mergeCell ref="B26:D26"/>
    <mergeCell ref="I26:J26"/>
    <mergeCell ref="I9:J9"/>
    <mergeCell ref="I10:J10"/>
    <mergeCell ref="I11:J11"/>
    <mergeCell ref="I13:J13"/>
    <mergeCell ref="I16:J16"/>
    <mergeCell ref="I12:J12"/>
    <mergeCell ref="I14:J14"/>
    <mergeCell ref="I15:J15"/>
    <mergeCell ref="B19:D19"/>
    <mergeCell ref="B17:D17"/>
    <mergeCell ref="B18:D18"/>
    <mergeCell ref="B14:D14"/>
    <mergeCell ref="B15:D15"/>
    <mergeCell ref="B9:D9"/>
    <mergeCell ref="B30:D31"/>
    <mergeCell ref="G30:J30"/>
    <mergeCell ref="G31:J31"/>
    <mergeCell ref="E29:J29"/>
    <mergeCell ref="B27:D27"/>
    <mergeCell ref="B28:D28"/>
    <mergeCell ref="B29:D29"/>
    <mergeCell ref="E30:F30"/>
    <mergeCell ref="E31:F31"/>
    <mergeCell ref="G27:J27"/>
    <mergeCell ref="E28:J28"/>
    <mergeCell ref="I17:J17"/>
    <mergeCell ref="I25:J25"/>
    <mergeCell ref="B20:D20"/>
    <mergeCell ref="I20:J20"/>
    <mergeCell ref="I24:J24"/>
    <mergeCell ref="B23:D23"/>
    <mergeCell ref="I23:J23"/>
    <mergeCell ref="B21:D21"/>
    <mergeCell ref="I21:J21"/>
    <mergeCell ref="B22:D22"/>
    <mergeCell ref="I22:J22"/>
    <mergeCell ref="I19:J19"/>
    <mergeCell ref="I18:J18"/>
    <mergeCell ref="B24:D24"/>
    <mergeCell ref="B25:D25"/>
  </mergeCells>
  <conditionalFormatting sqref="C2:D2">
    <cfRule type="containsText" dxfId="16" priority="173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2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9">
    <cfRule type="expression" dxfId="14" priority="212">
      <formula>$E29="راسب"</formula>
    </cfRule>
  </conditionalFormatting>
  <conditionalFormatting sqref="E29:J29">
    <cfRule type="expression" dxfId="13" priority="213">
      <formula>$E29="مقبول"</formula>
    </cfRule>
    <cfRule type="expression" dxfId="12" priority="214">
      <formula>$E29="جيد"</formula>
    </cfRule>
    <cfRule type="expression" dxfId="11" priority="215">
      <formula>$E29="جيد جداً"</formula>
    </cfRule>
    <cfRule type="expression" dxfId="10" priority="216">
      <formula>$E29="ممتاز"</formula>
    </cfRule>
  </conditionalFormatting>
  <conditionalFormatting sqref="F8:F26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174" operator="containsText" text="أدخل التاريخ">
      <formula>NOT(ISERROR(SEARCH("أدخل التاريخ",F2)))</formula>
    </cfRule>
  </conditionalFormatting>
  <conditionalFormatting sqref="F3:J3">
    <cfRule type="containsText" dxfId="7" priority="171" operator="containsText" text="أدخل أسم المحكم">
      <formula>NOT(ISERROR(SEARCH("أدخل أسم المحكم",F3)))</formula>
    </cfRule>
  </conditionalFormatting>
  <conditionalFormatting sqref="G30:J30">
    <cfRule type="containsText" dxfId="6" priority="170" operator="containsText" text="أدخل اسم المحكم">
      <formula>NOT(ISERROR(SEARCH("أدخل اسم المحكم",G30)))</formula>
    </cfRule>
  </conditionalFormatting>
  <conditionalFormatting sqref="H8:H26">
    <cfRule type="containsText" dxfId="5" priority="2" operator="containsText" text="أدخل العلامة">
      <formula>NOT(ISERROR(SEARCH("أدخل العلامة",H8)))</formula>
    </cfRule>
    <cfRule type="containsText" dxfId="4" priority="3" operator="containsText" text="ممتاز">
      <formula>NOT(ISERROR(SEARCH("ممتاز",H8)))</formula>
    </cfRule>
    <cfRule type="containsText" dxfId="3" priority="4" operator="containsText" text="جيد جداً">
      <formula>NOT(ISERROR(SEARCH("جيد جداً",H8)))</formula>
    </cfRule>
    <cfRule type="containsText" dxfId="2" priority="5" operator="containsText" text="جيد">
      <formula>NOT(ISERROR(SEARCH("جيد",H8)))</formula>
    </cfRule>
    <cfRule type="containsText" dxfId="1" priority="6" operator="containsText" text="مقبول">
      <formula>NOT(ISERROR(SEARCH("مقبول",H8)))</formula>
    </cfRule>
    <cfRule type="containsText" dxfId="0" priority="7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G30:J30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F8:F26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102</v>
      </c>
    </row>
    <row r="213" spans="1:1" ht="20.100000000000001" customHeight="1" x14ac:dyDescent="0.2">
      <c r="A213" s="20" t="s">
        <v>103</v>
      </c>
    </row>
    <row r="214" spans="1:1" ht="20.100000000000001" customHeight="1" x14ac:dyDescent="0.2">
      <c r="A214" s="20" t="s">
        <v>104</v>
      </c>
    </row>
    <row r="215" spans="1:1" ht="20.100000000000001" customHeight="1" x14ac:dyDescent="0.2">
      <c r="A215" s="20" t="s">
        <v>105</v>
      </c>
    </row>
    <row r="216" spans="1:1" ht="20.100000000000001" customHeight="1" x14ac:dyDescent="0.2">
      <c r="A216" s="20" t="s">
        <v>106</v>
      </c>
    </row>
    <row r="217" spans="1:1" ht="20.100000000000001" customHeight="1" x14ac:dyDescent="0.2">
      <c r="A217" s="20" t="s">
        <v>107</v>
      </c>
    </row>
    <row r="218" spans="1:1" ht="20.100000000000001" customHeight="1" x14ac:dyDescent="0.2">
      <c r="A218" s="20" t="s">
        <v>108</v>
      </c>
    </row>
    <row r="219" spans="1:1" ht="20.100000000000001" customHeight="1" x14ac:dyDescent="0.2">
      <c r="A219" s="20" t="s">
        <v>109</v>
      </c>
    </row>
    <row r="220" spans="1:1" ht="20.100000000000001" customHeight="1" x14ac:dyDescent="0.2">
      <c r="A220" s="20" t="s">
        <v>110</v>
      </c>
    </row>
    <row r="221" spans="1:1" ht="20.100000000000001" customHeight="1" x14ac:dyDescent="0.2">
      <c r="A221" s="20" t="s">
        <v>111</v>
      </c>
    </row>
    <row r="222" spans="1:1" ht="20.100000000000001" customHeight="1" x14ac:dyDescent="0.2">
      <c r="A222" s="20" t="s">
        <v>112</v>
      </c>
    </row>
    <row r="223" spans="1:1" ht="20.100000000000001" customHeight="1" x14ac:dyDescent="0.2">
      <c r="A223" s="20" t="s">
        <v>113</v>
      </c>
    </row>
    <row r="224" spans="1:1" ht="20.100000000000001" customHeight="1" x14ac:dyDescent="0.2">
      <c r="A224" s="20" t="s">
        <v>114</v>
      </c>
    </row>
    <row r="225" spans="1:1" ht="20.100000000000001" customHeight="1" x14ac:dyDescent="0.2">
      <c r="A225" s="20" t="s">
        <v>115</v>
      </c>
    </row>
    <row r="226" spans="1:1" ht="20.100000000000001" customHeight="1" x14ac:dyDescent="0.2">
      <c r="A226" s="20" t="s">
        <v>116</v>
      </c>
    </row>
    <row r="227" spans="1:1" ht="20.100000000000001" customHeight="1" x14ac:dyDescent="0.2">
      <c r="A227" s="20" t="s">
        <v>117</v>
      </c>
    </row>
    <row r="228" spans="1:1" ht="20.100000000000001" customHeight="1" x14ac:dyDescent="0.2">
      <c r="A228" s="20" t="s">
        <v>118</v>
      </c>
    </row>
    <row r="229" spans="1:1" ht="20.100000000000001" customHeight="1" x14ac:dyDescent="0.2">
      <c r="A229" s="20" t="s">
        <v>119</v>
      </c>
    </row>
    <row r="230" spans="1:1" ht="20.100000000000001" customHeight="1" x14ac:dyDescent="0.2">
      <c r="A230" s="20" t="s">
        <v>120</v>
      </c>
    </row>
    <row r="231" spans="1:1" ht="20.100000000000001" customHeight="1" x14ac:dyDescent="0.2">
      <c r="A231" s="20" t="s">
        <v>121</v>
      </c>
    </row>
    <row r="232" spans="1:1" ht="20.100000000000001" customHeight="1" x14ac:dyDescent="0.2">
      <c r="A232" s="20" t="s">
        <v>122</v>
      </c>
    </row>
    <row r="233" spans="1:1" ht="20.100000000000001" customHeight="1" x14ac:dyDescent="0.2">
      <c r="A233" s="20" t="s">
        <v>123</v>
      </c>
    </row>
    <row r="234" spans="1:1" ht="20.100000000000001" customHeight="1" x14ac:dyDescent="0.2">
      <c r="A234" s="20" t="s">
        <v>124</v>
      </c>
    </row>
    <row r="235" spans="1:1" ht="20.100000000000001" customHeight="1" x14ac:dyDescent="0.2">
      <c r="A235" s="22" t="s">
        <v>125</v>
      </c>
    </row>
    <row r="236" spans="1:1" ht="20.100000000000001" customHeight="1" x14ac:dyDescent="0.2">
      <c r="A236" s="20" t="s">
        <v>126</v>
      </c>
    </row>
    <row r="237" spans="1:1" ht="20.100000000000001" customHeight="1" x14ac:dyDescent="0.2">
      <c r="A237" s="20" t="s">
        <v>127</v>
      </c>
    </row>
    <row r="238" spans="1:1" ht="20.100000000000001" customHeight="1" x14ac:dyDescent="0.2">
      <c r="A238" s="20" t="s">
        <v>128</v>
      </c>
    </row>
    <row r="239" spans="1:1" ht="20.100000000000001" customHeight="1" x14ac:dyDescent="0.2">
      <c r="A239" s="20" t="s">
        <v>129</v>
      </c>
    </row>
    <row r="240" spans="1:1" ht="20.100000000000001" customHeight="1" x14ac:dyDescent="0.2">
      <c r="A240" s="20" t="s">
        <v>130</v>
      </c>
    </row>
    <row r="241" spans="1:1" ht="20.100000000000001" customHeight="1" x14ac:dyDescent="0.2">
      <c r="A241" s="20" t="s">
        <v>131</v>
      </c>
    </row>
    <row r="242" spans="1:1" ht="20.100000000000001" customHeight="1" x14ac:dyDescent="0.2">
      <c r="A242" s="20" t="s">
        <v>132</v>
      </c>
    </row>
    <row r="243" spans="1:1" ht="20.100000000000001" customHeight="1" x14ac:dyDescent="0.2">
      <c r="A243" s="20" t="s">
        <v>133</v>
      </c>
    </row>
    <row r="244" spans="1:1" ht="20.100000000000001" customHeight="1" x14ac:dyDescent="0.2">
      <c r="A244" s="20" t="s">
        <v>134</v>
      </c>
    </row>
    <row r="245" spans="1:1" ht="20.100000000000001" customHeight="1" x14ac:dyDescent="0.2">
      <c r="A245" s="20" t="s">
        <v>135</v>
      </c>
    </row>
    <row r="246" spans="1:1" ht="20.100000000000001" customHeight="1" x14ac:dyDescent="0.2">
      <c r="A246" s="20" t="s">
        <v>136</v>
      </c>
    </row>
    <row r="247" spans="1:1" ht="20.100000000000001" customHeight="1" x14ac:dyDescent="0.2">
      <c r="A247" s="20" t="s">
        <v>127</v>
      </c>
    </row>
    <row r="248" spans="1:1" ht="20.100000000000001" customHeight="1" x14ac:dyDescent="0.2">
      <c r="A248" s="20" t="s">
        <v>137</v>
      </c>
    </row>
    <row r="249" spans="1:1" ht="20.100000000000001" customHeight="1" x14ac:dyDescent="0.2">
      <c r="A249" s="20" t="s">
        <v>138</v>
      </c>
    </row>
    <row r="250" spans="1:1" ht="20.100000000000001" customHeight="1" x14ac:dyDescent="0.2">
      <c r="A250" s="22" t="s">
        <v>139</v>
      </c>
    </row>
    <row r="251" spans="1:1" ht="20.100000000000001" customHeight="1" x14ac:dyDescent="0.2">
      <c r="A251" s="23" t="s">
        <v>140</v>
      </c>
    </row>
    <row r="252" spans="1:1" ht="20.100000000000001" customHeight="1" x14ac:dyDescent="0.2">
      <c r="A252" s="20" t="s">
        <v>141</v>
      </c>
    </row>
    <row r="253" spans="1:1" ht="20.100000000000001" customHeight="1" x14ac:dyDescent="0.2">
      <c r="A253" s="20" t="s">
        <v>142</v>
      </c>
    </row>
    <row r="254" spans="1:1" ht="20.100000000000001" customHeight="1" x14ac:dyDescent="0.2">
      <c r="A254" s="24" t="s">
        <v>143</v>
      </c>
    </row>
    <row r="255" spans="1:1" ht="20.100000000000001" customHeight="1" x14ac:dyDescent="0.2">
      <c r="A255" s="24" t="s">
        <v>144</v>
      </c>
    </row>
    <row r="256" spans="1:1" ht="20.100000000000001" customHeight="1" x14ac:dyDescent="0.2">
      <c r="A256" s="25" t="s">
        <v>145</v>
      </c>
    </row>
    <row r="257" spans="1:1" ht="20.100000000000001" customHeight="1" x14ac:dyDescent="0.2">
      <c r="A257" s="20" t="s">
        <v>146</v>
      </c>
    </row>
    <row r="258" spans="1:1" ht="20.100000000000001" customHeight="1" x14ac:dyDescent="0.2">
      <c r="A258" s="25" t="s">
        <v>147</v>
      </c>
    </row>
    <row r="259" spans="1:1" ht="20.100000000000001" customHeight="1" x14ac:dyDescent="0.2">
      <c r="A259" s="20" t="s">
        <v>148</v>
      </c>
    </row>
    <row r="260" spans="1:1" ht="20.100000000000001" customHeight="1" x14ac:dyDescent="0.2">
      <c r="A260" s="25" t="s">
        <v>149</v>
      </c>
    </row>
    <row r="261" spans="1:1" ht="20.100000000000001" customHeight="1" x14ac:dyDescent="0.2">
      <c r="A261" s="20" t="s">
        <v>150</v>
      </c>
    </row>
    <row r="262" spans="1:1" ht="20.100000000000001" customHeight="1" x14ac:dyDescent="0.2">
      <c r="A262" s="20" t="s">
        <v>151</v>
      </c>
    </row>
    <row r="263" spans="1:1" ht="20.100000000000001" customHeight="1" x14ac:dyDescent="0.2">
      <c r="A263" s="25" t="s">
        <v>152</v>
      </c>
    </row>
    <row r="264" spans="1:1" ht="20.100000000000001" customHeight="1" x14ac:dyDescent="0.2">
      <c r="A264" s="25" t="s">
        <v>153</v>
      </c>
    </row>
    <row r="265" spans="1:1" ht="20.100000000000001" customHeight="1" x14ac:dyDescent="0.2">
      <c r="A265" s="25" t="s">
        <v>154</v>
      </c>
    </row>
    <row r="266" spans="1:1" ht="20.100000000000001" customHeight="1" x14ac:dyDescent="0.2">
      <c r="A266" s="20" t="s">
        <v>155</v>
      </c>
    </row>
    <row r="267" spans="1:1" ht="20.100000000000001" customHeight="1" x14ac:dyDescent="0.2">
      <c r="A267" s="20" t="s">
        <v>156</v>
      </c>
    </row>
    <row r="268" spans="1:1" ht="20.100000000000001" customHeight="1" x14ac:dyDescent="0.2">
      <c r="A268" s="20" t="s">
        <v>157</v>
      </c>
    </row>
    <row r="269" spans="1:1" ht="20.100000000000001" customHeight="1" x14ac:dyDescent="0.2">
      <c r="A269" s="20" t="s">
        <v>158</v>
      </c>
    </row>
    <row r="270" spans="1:1" ht="20.100000000000001" customHeight="1" x14ac:dyDescent="0.2">
      <c r="A270" s="25" t="s">
        <v>159</v>
      </c>
    </row>
    <row r="271" spans="1:1" ht="20.100000000000001" customHeight="1" x14ac:dyDescent="0.2">
      <c r="A271" s="25" t="s">
        <v>160</v>
      </c>
    </row>
    <row r="272" spans="1:1" ht="20.100000000000001" customHeight="1" x14ac:dyDescent="0.2">
      <c r="A272" s="20" t="s">
        <v>161</v>
      </c>
    </row>
    <row r="273" spans="1:1" ht="20.100000000000001" customHeight="1" x14ac:dyDescent="0.2">
      <c r="A273" s="25" t="s">
        <v>162</v>
      </c>
    </row>
    <row r="274" spans="1:1" ht="20.100000000000001" customHeight="1" x14ac:dyDescent="0.2">
      <c r="A274" s="25" t="s">
        <v>163</v>
      </c>
    </row>
    <row r="275" spans="1:1" ht="20.100000000000001" customHeight="1" x14ac:dyDescent="0.2">
      <c r="A275" s="20" t="s">
        <v>164</v>
      </c>
    </row>
    <row r="276" spans="1:1" ht="20.100000000000001" customHeight="1" x14ac:dyDescent="0.2">
      <c r="A276" s="20" t="s">
        <v>165</v>
      </c>
    </row>
    <row r="277" spans="1:1" ht="20.100000000000001" customHeight="1" x14ac:dyDescent="0.2">
      <c r="A277" s="25" t="s">
        <v>166</v>
      </c>
    </row>
    <row r="278" spans="1:1" ht="20.100000000000001" customHeight="1" x14ac:dyDescent="0.2">
      <c r="A278" s="20" t="s">
        <v>167</v>
      </c>
    </row>
    <row r="279" spans="1:1" ht="20.100000000000001" customHeight="1" x14ac:dyDescent="0.2">
      <c r="A279" s="20" t="s">
        <v>168</v>
      </c>
    </row>
    <row r="280" spans="1:1" ht="20.100000000000001" customHeight="1" x14ac:dyDescent="0.2">
      <c r="A280" s="20" t="s">
        <v>169</v>
      </c>
    </row>
    <row r="281" spans="1:1" ht="20.100000000000001" customHeight="1" x14ac:dyDescent="0.2">
      <c r="A281" s="20" t="s">
        <v>170</v>
      </c>
    </row>
    <row r="282" spans="1:1" ht="20.100000000000001" customHeight="1" x14ac:dyDescent="0.2">
      <c r="A282" s="25" t="s">
        <v>171</v>
      </c>
    </row>
    <row r="283" spans="1:1" ht="20.100000000000001" customHeight="1" x14ac:dyDescent="0.2">
      <c r="A283" s="25" t="s">
        <v>172</v>
      </c>
    </row>
    <row r="284" spans="1:1" ht="20.100000000000001" customHeight="1" x14ac:dyDescent="0.2">
      <c r="A284" s="25" t="s">
        <v>173</v>
      </c>
    </row>
    <row r="285" spans="1:1" ht="20.100000000000001" customHeight="1" thickBot="1" x14ac:dyDescent="0.25">
      <c r="A285" s="20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2025-10-06T08:29:03Z</dcterms:modified>
</cp:coreProperties>
</file>