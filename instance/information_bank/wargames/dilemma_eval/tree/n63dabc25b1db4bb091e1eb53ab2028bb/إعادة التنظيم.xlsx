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2471EEC-D553-4395-871E-FD0BE94ADF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8" i="2"/>
  <c r="H8" i="2"/>
  <c r="F26" i="2"/>
  <c r="E27" i="2" s="1"/>
  <c r="E28" i="2" s="1"/>
  <c r="E26" i="2"/>
</calcChain>
</file>

<file path=xl/sharedStrings.xml><?xml version="1.0" encoding="utf-8"?>
<sst xmlns="http://schemas.openxmlformats.org/spreadsheetml/2006/main" count="255" uniqueCount="199">
  <si>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</si>
  <si>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</si>
  <si>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</si>
  <si>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</si>
  <si>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</si>
  <si>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</si>
  <si>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</si>
  <si>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</si>
  <si>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</si>
  <si>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</si>
  <si>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</si>
  <si>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</si>
  <si>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</si>
  <si>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</si>
  <si>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</si>
  <si>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</si>
  <si>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</si>
  <si>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</si>
  <si>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</si>
  <si>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</si>
  <si>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</si>
  <si>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</si>
  <si>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</si>
  <si>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</si>
  <si>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</si>
  <si>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</si>
  <si>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</si>
  <si>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</si>
  <si>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</si>
  <si>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</si>
  <si>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</si>
  <si>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</si>
  <si>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</si>
  <si>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</si>
  <si>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</si>
  <si>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</si>
  <si>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</si>
  <si>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</si>
  <si>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</si>
  <si>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</si>
  <si>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</si>
  <si>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</si>
  <si>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</si>
  <si>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</si>
  <si>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</si>
  <si>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</si>
  <si>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</si>
  <si>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</si>
  <si>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</si>
  <si>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</si>
  <si>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</si>
  <si>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</si>
  <si>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</si>
  <si>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</si>
  <si>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</si>
  <si>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</si>
  <si>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</si>
  <si>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</si>
  <si>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</si>
  <si>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</si>
  <si>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</si>
  <si>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</si>
  <si>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</si>
  <si>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</si>
  <si>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</si>
  <si>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</si>
  <si>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</si>
  <si>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</si>
  <si>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</si>
  <si>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</si>
  <si>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</si>
  <si>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</si>
  <si>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</si>
  <si>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</si>
  <si>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</si>
  <si>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</si>
  <si>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</si>
  <si>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</si>
  <si>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</si>
  <si>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</si>
  <si>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</si>
  <si>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</si>
  <si>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</si>
  <si>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</si>
  <si>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</si>
  <si>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</si>
  <si>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</si>
  <si>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</si>
  <si>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</si>
  <si>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</si>
  <si>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</si>
  <si>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</si>
  <si>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</si>
  <si>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</si>
  <si>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</si>
  <si>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</si>
  <si>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</si>
  <si>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</si>
  <si>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</si>
  <si>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</si>
  <si>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</si>
  <si>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</si>
  <si>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</si>
  <si>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</si>
  <si>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</si>
  <si>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</si>
  <si>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</si>
  <si>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</si>
  <si>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</si>
  <si>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</si>
  <si>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</si>
  <si>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</si>
  <si>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</si>
  <si>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</si>
  <si>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</si>
  <si>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</si>
  <si>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</si>
  <si>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</si>
  <si>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</si>
  <si>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</si>
  <si>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</si>
  <si>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</si>
  <si>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</si>
  <si>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</si>
  <si>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</si>
  <si>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</si>
  <si>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</si>
  <si>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</si>
  <si>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</si>
  <si>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</si>
  <si>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</si>
  <si>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</si>
  <si>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</si>
  <si>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</si>
  <si>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</si>
  <si>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</si>
  <si>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</si>
  <si>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</si>
  <si>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</si>
  <si>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</si>
  <si>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</si>
  <si>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</si>
  <si>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</si>
  <si>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</si>
  <si>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</si>
  <si>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</si>
  <si>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</si>
  <si>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</si>
  <si>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</si>
  <si>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</si>
  <si>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</si>
  <si>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</si>
  <si>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</si>
  <si>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</si>
  <si>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</si>
  <si>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</si>
  <si>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</si>
  <si>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</si>
  <si>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</si>
  <si>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</si>
  <si>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</si>
  <si>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</si>
  <si>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</si>
  <si>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</si>
  <si>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</si>
  <si>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</si>
  <si>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</si>
  <si>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</si>
  <si>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</si>
  <si>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</si>
  <si>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</si>
  <si>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</si>
  <si>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</si>
  <si>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</si>
  <si>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</si>
  <si>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</si>
  <si>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</si>
  <si>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</si>
  <si>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</si>
  <si>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</si>
  <si>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إلمام قائد السرية بالموقف عن طريق المعلومات التي تم جمعها من خلال الاتصالات اللاسلكية، الخرائط، تقارير الموقف و/أو أية مصادر معلومات أخرى متوفرة.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</si>
  <si>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تأكد قائد السرية من موقف القوات الصديقة والمعادية وكما يلي:</t>
    </r>
  </si>
  <si>
    <t xml:space="preserve">أ. الحصول على التقارير والمعلومات المحدثَة التي تبين مواقع القوات الأمامية والجانبية (المجاورة) من قبل عناصر الاستطلاع وحسب الحاجة. </t>
  </si>
  <si>
    <t xml:space="preserve">ب. الحصول على معلومات محدثَة عن مواقع قوات العدو لمنع الإصابة بالنيران الصديقة وزيادة حماية القوة وحسب الحاجة. 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</si>
  <si>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قيام قائد السرية بتوزيع المعلومات الضرورية لجميع الفصائل لاطلاعهم على آخر مستجدات الموقف.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</si>
  <si>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تركيز أو إعادة تركيز نقاط المراقبة في الأمام لتوفير الحماية.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</si>
  <si>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يقظة وجاهزية جميع الأفراد للتعامل مع أي هجوم محتمل.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</si>
  <si>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تفادي اشتباك السرية مع قوات خارج امكانياتها.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</si>
  <si>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السرية ونقاط المراقبة.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</si>
  <si>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أرسال التقارير من قبل قادة الفصائل لقائد السرية حول الذخيرة، الإصابات والمعدات.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</si>
  <si>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والارزاق والوقود من قبل نائب قائد السرية ووكيل السرية.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</si>
  <si>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إشراف القادة على إعادة توزيع الذخيرة.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</si>
  <si>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أرسال تقرير مفصل لركن استخبارات مجموعة اللواء من قبل قائد السرية يتضمن التالي:</t>
    </r>
  </si>
  <si>
    <t>أ. مواقع وحدات السرية.</t>
  </si>
  <si>
    <t>ب. الموقف الإداري للسرية شاملاً (الخسائر في الأفراد والمعدات والذخيرة والوقود).</t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</si>
  <si>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التعامل مع الإصابات وإخلاء الجرحى والشهداء حسب الإجراءات المتبعة.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</si>
  <si>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طلب استعواض خسائر القوى البشرية بأسرع ما يمكن.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</si>
  <si>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</si>
  <si>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سرية الـ م/د في إعادة التزويد أثناء الدفاع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</si>
</sst>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271437</xdr:colOff>
      <xdr:row>28</xdr:row>
      <xdr:rowOff>264380</xdr:rowOff>
    </xdr:from>
    <xdr:to>
      <xdr:col>9</xdr:col>
      <xdr:colOff>640743</xdr:colOff>
      <xdr:row>32</xdr:row>
      <xdr:rowOff>114500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حبر 3">
              <a:extLst>
                <a:ext uri="{FF2B5EF4-FFF2-40B4-BE49-F238E27FC236}">
                  <a16:creationId xmlns:a16="http://schemas.microsoft.com/office/drawing/2014/main" id="{100493F1-C6A3-01CA-971C-E798C03119B8}"/>
                </a:ext>
              </a:extLst>
            </xdr14:cNvPr>
            <xdr14:cNvContentPartPr/>
          </xdr14:nvContentPartPr>
          <xdr14:nvPr macro=""/>
          <xdr14:xfrm>
            <a:off x="11437798985" y="13916880"/>
            <a:ext cx="2516760" cy="1374120"/>
          </xdr14:xfrm>
        </xdr:contentPart>
      </mc:Choice>
      <mc:Fallback xmlns="">
        <xdr:pic>
          <xdr:nvPicPr>
            <xdr:cNvPr id="4" name="حبر 3">
              <a:extLst>
                <a:ext uri="{FF2B5EF4-FFF2-40B4-BE49-F238E27FC236}">
                  <a16:creationId xmlns:a16="http://schemas.microsoft.com/office/drawing/2014/main" id="{100493F1-C6A3-01CA-971C-E798C03119B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7790345" y="13907880"/>
              <a:ext cx="2534400" cy="1391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05:12:10.7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1211 1716,'0'0,"0"0,0 0,0 0,0 0,0 0,0 0,0 0,0 0,-15 17,0-1,-7 9,1-1,-36 57,18-29,5-6,-38 53,32-43,9-14,-27 39,43-34,2-12,-17 30,40-46,-5-5,109-47,-21-14,-26 13,150-113,-71 59,-20 12,177-87,-120 51,-20 12,225-130,-198 115,-4 2,160-116,-195 131,1 0,135-66,-183 93,8-5,61-22,-115 66,-1-1,1 1,-52 32,3 0,-67 49,8-10,-1 3,-92 89,64-67,-2 2,-77 65,88-66,-5 1,-82 64,100-74,-1 3,-16 7,61-51,-2 2,15 0,28-26,2 1,70-41,-35 17,0-2,95-47,-96 56,1 1,65-25,-80 24,-1 1,53-9,-81 25,1 0,-22 24,-22 9,1-1,-81 58,46-41,-2-1,-57 43,70-50,4-1,-33 50,31-57,0-2,-13 43,41-57,-1-2,32-7,-1 0,-2 0,30-33,-11 25,-6 0,45-8,-10 8,-5-1,31-23,-36 23,-3 2,26-10,-29 17,-4 0,16-16,-19 16,-3 0,8 0,-30 0,2 0,28-16,-4 6,-7 3,55-25,-33 14,-6 3,54-35,-58 25,-2 1,44-8,-32 6,-8 3,28-10,-45 16,-3 1,17 0,-27 7,-1 2,13-9,-13 16,-2 0,17-17,-24 17,1 0,-18 12,9-7,-84 43,10-5,7-4,-147 75,71-45,16-6,-217 132,110-57,26-14,-296 153,212-114,26-15,-264 163,263-158,20-12,-198 137,239-161,11-6,-161 102,215-136,12-7,-28-5,114-39,4-3,-2-23,43-8,0 0,43-58,2 15,-4 5,89-85,-41 46,-5 6,102-84,-56 52,-14 10,187-112,-121 84,-18 13,195-113,-171 102,-16 10,232-129,-193 118,-19 11,168-128,-186 134,-17 10,118-96,-161 87,-12 8,86-78,-129 103,-4 7,16-44,-46 62,-6 5,-63-35,-16 40,6 3,-104-10,67 49,10 0,-136 0,112 17,7-1,-131 16,101-6,10-3,-84 59,127-30,6-5,-18 18,57-32,5-1,-6 17,31-14,0-5,74 35,-8-39,-3-3,110 27,-67-16,-11-3,136 35,-110-41,-13-1,152 8,-124-6,-12-3,122-7,-134-16,-9 0,40 0,-89 10,-6-3,24-7,-58 9,1-2,-15 9,-29 2,0-3,-100 50,53-30,7-4,-105 67,77-56,9-2,-100 41,91-38,6-4,-52 26,81-38,7-4,-31 10,56-33,4 0,26-17,45-27,-4 6,102-44,-37 31,-9 4,104-67,-95 71,-11 5,251-110,-158 71,-15 7,158-44,-189 79,-10 5,56-19,-136 32,-4 0,53 1,-62 8,-7 0,12 8,-57 0,-3 0,-27 16,-26 1,9-1,-185 50,101-15,14-4,-129 34,200-55,4-3,-539 174,223-40,8-4,-169 109,265-97,1-4,-225 166,220-153,10-5,-158 126,276-181,-1 0,-14-16,130-90,-3 0,31-8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topLeftCell="A23" zoomScale="145" zoomScaleNormal="100" zoomScaleSheetLayoutView="145" workbookViewId="0">
      <selection activeCell="B26" sqref="B26:D2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61" t="s">
        <v>198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3">
      <c r="B2" s="12" t="s">
        <v>8</v>
      </c>
      <c r="C2" s="67" t="s">
        <v>27</v>
      </c>
      <c r="D2" s="67"/>
      <c r="E2" s="12" t="s">
        <v>7</v>
      </c>
      <c r="F2" s="62">
        <v>45955</v>
      </c>
      <c r="G2" s="62"/>
      <c r="H2" s="62"/>
      <c r="I2" s="62"/>
      <c r="J2" s="62"/>
    </row>
    <row r="3" spans="1:10" ht="30" customHeight="1" x14ac:dyDescent="0.3">
      <c r="B3" s="12" t="s">
        <v>9</v>
      </c>
      <c r="C3" s="67" t="s">
        <v>70</v>
      </c>
      <c r="D3" s="67"/>
      <c r="E3" s="12" t="s">
        <v>6</v>
      </c>
      <c r="F3" s="67" t="s">
        <v>115</v>
      </c>
      <c r="G3" s="67"/>
      <c r="H3" s="67"/>
      <c r="I3" s="67"/>
      <c r="J3" s="6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3" t="s">
        <v>0</v>
      </c>
      <c r="C5" s="64"/>
      <c r="D5" s="64"/>
      <c r="E5" s="55" t="s">
        <v>1</v>
      </c>
      <c r="F5" s="55"/>
      <c r="G5" s="55"/>
      <c r="H5" s="55"/>
      <c r="I5" s="55" t="s">
        <v>2</v>
      </c>
      <c r="J5" s="56"/>
    </row>
    <row r="6" spans="1:10" ht="24.9" customHeight="1" thickBot="1" x14ac:dyDescent="0.35">
      <c r="A6" s="10"/>
      <c r="B6" s="65"/>
      <c r="C6" s="66"/>
      <c r="D6" s="66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" customHeight="1" thickBot="1" x14ac:dyDescent="0.35">
      <c r="A7" s="10"/>
      <c r="B7" s="53" t="s">
        <v>21</v>
      </c>
      <c r="C7" s="54"/>
      <c r="D7" s="54"/>
      <c r="E7" s="28" t="s">
        <v>18</v>
      </c>
      <c r="F7" s="28" t="s">
        <v>19</v>
      </c>
      <c r="G7" s="28" t="s">
        <v>22</v>
      </c>
      <c r="H7" s="28" t="s">
        <v>20</v>
      </c>
      <c r="I7" s="59" t="s">
        <v>25</v>
      </c>
      <c r="J7" s="60"/>
    </row>
    <row r="8" spans="1:10" ht="58.5" customHeight="1" x14ac:dyDescent="0.3">
      <c r="A8" s="10"/>
      <c r="B8" s="79" t="s">
        <v>180</v>
      </c>
      <c r="C8" s="80"/>
      <c r="D8" s="80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45"/>
      <c r="J8" s="46"/>
    </row>
    <row r="9" spans="1:10" ht="39.9" customHeight="1" x14ac:dyDescent="0.3">
      <c r="A9" s="10"/>
      <c r="B9" s="81" t="s">
        <v>181</v>
      </c>
      <c r="C9" s="82"/>
      <c r="D9" s="82"/>
      <c r="E9" s="9"/>
      <c r="F9" s="26"/>
      <c r="G9" s="30"/>
      <c r="H9" s="31"/>
      <c r="I9" s="51"/>
      <c r="J9" s="52"/>
    </row>
    <row r="10" spans="1:10" ht="58.5" customHeight="1" x14ac:dyDescent="0.3">
      <c r="A10" s="10"/>
      <c r="B10" s="83" t="s">
        <v>182</v>
      </c>
      <c r="C10" s="84"/>
      <c r="D10" s="84"/>
      <c r="E10" s="9">
        <v>5</v>
      </c>
      <c r="F10" s="26">
        <v>3.5</v>
      </c>
      <c r="G10" s="30">
        <f t="shared" ref="G10:G25" si="0">IFERROR(F10/E10,"")</f>
        <v>0.7</v>
      </c>
      <c r="H10" s="31" t="str">
        <f t="shared" ref="H10:H25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57.75" customHeight="1" x14ac:dyDescent="0.3">
      <c r="A11" s="10"/>
      <c r="B11" s="83" t="s">
        <v>183</v>
      </c>
      <c r="C11" s="84"/>
      <c r="D11" s="84"/>
      <c r="E11" s="9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51"/>
      <c r="J11" s="52"/>
    </row>
    <row r="12" spans="1:10" ht="39.9" customHeight="1" x14ac:dyDescent="0.3">
      <c r="A12" s="10"/>
      <c r="B12" s="81" t="s">
        <v>184</v>
      </c>
      <c r="C12" s="82"/>
      <c r="D12" s="82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51"/>
      <c r="J12" s="52"/>
    </row>
    <row r="13" spans="1:10" ht="39.9" customHeight="1" x14ac:dyDescent="0.3">
      <c r="A13" s="10"/>
      <c r="B13" s="81" t="s">
        <v>185</v>
      </c>
      <c r="C13" s="82"/>
      <c r="D13" s="82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51"/>
      <c r="J13" s="52"/>
    </row>
    <row r="14" spans="1:10" ht="39.9" customHeight="1" x14ac:dyDescent="0.3">
      <c r="A14" s="10"/>
      <c r="B14" s="81" t="s">
        <v>186</v>
      </c>
      <c r="C14" s="82"/>
      <c r="D14" s="82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51"/>
      <c r="J14" s="52"/>
    </row>
    <row r="15" spans="1:10" ht="39.9" customHeight="1" x14ac:dyDescent="0.3">
      <c r="A15" s="10"/>
      <c r="B15" s="81" t="s">
        <v>187</v>
      </c>
      <c r="C15" s="82"/>
      <c r="D15" s="82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51"/>
      <c r="J15" s="52"/>
    </row>
    <row r="16" spans="1:10" ht="39.9" customHeight="1" x14ac:dyDescent="0.3">
      <c r="A16" s="10"/>
      <c r="B16" s="81" t="s">
        <v>188</v>
      </c>
      <c r="C16" s="82"/>
      <c r="D16" s="82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51"/>
      <c r="J16" s="52"/>
    </row>
    <row r="17" spans="1:10" ht="39.9" customHeight="1" x14ac:dyDescent="0.3">
      <c r="A17" s="10"/>
      <c r="B17" s="81" t="s">
        <v>189</v>
      </c>
      <c r="C17" s="82"/>
      <c r="D17" s="82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51"/>
      <c r="J17" s="52"/>
    </row>
    <row r="18" spans="1:10" ht="39.9" customHeight="1" x14ac:dyDescent="0.3">
      <c r="A18" s="10"/>
      <c r="B18" s="81" t="s">
        <v>190</v>
      </c>
      <c r="C18" s="82"/>
      <c r="D18" s="82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51"/>
      <c r="J18" s="52"/>
    </row>
    <row r="19" spans="1:10" ht="39.9" customHeight="1" x14ac:dyDescent="0.3">
      <c r="A19" s="10"/>
      <c r="B19" s="81" t="s">
        <v>191</v>
      </c>
      <c r="C19" s="82"/>
      <c r="D19" s="82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1"/>
      <c r="J19" s="52"/>
    </row>
    <row r="20" spans="1:10" ht="39.9" customHeight="1" x14ac:dyDescent="0.3">
      <c r="A20" s="10"/>
      <c r="B20" s="81" t="s">
        <v>192</v>
      </c>
      <c r="C20" s="82"/>
      <c r="D20" s="82"/>
      <c r="E20" s="9"/>
      <c r="F20" s="26"/>
      <c r="G20" s="30"/>
      <c r="H20" s="31"/>
      <c r="I20" s="51"/>
      <c r="J20" s="52"/>
    </row>
    <row r="21" spans="1:10" ht="39.9" customHeight="1" x14ac:dyDescent="0.3">
      <c r="A21" s="10"/>
      <c r="B21" s="83" t="s">
        <v>193</v>
      </c>
      <c r="C21" s="84"/>
      <c r="D21" s="84"/>
      <c r="E21" s="9">
        <v>5</v>
      </c>
      <c r="F21" s="26">
        <v>4</v>
      </c>
      <c r="G21" s="30">
        <f t="shared" si="0"/>
        <v>0.8</v>
      </c>
      <c r="H21" s="31" t="str">
        <f t="shared" si="1"/>
        <v>جيد جداً</v>
      </c>
      <c r="I21" s="51"/>
      <c r="J21" s="52"/>
    </row>
    <row r="22" spans="1:10" ht="39.9" customHeight="1" x14ac:dyDescent="0.3">
      <c r="A22" s="10"/>
      <c r="B22" s="83" t="s">
        <v>194</v>
      </c>
      <c r="C22" s="84"/>
      <c r="D22" s="84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51"/>
      <c r="J22" s="52"/>
    </row>
    <row r="23" spans="1:10" ht="39.9" customHeight="1" x14ac:dyDescent="0.3">
      <c r="A23" s="10"/>
      <c r="B23" s="81" t="s">
        <v>195</v>
      </c>
      <c r="C23" s="82"/>
      <c r="D23" s="82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1"/>
      <c r="J23" s="52"/>
    </row>
    <row r="24" spans="1:10" ht="39.9" customHeight="1" x14ac:dyDescent="0.3">
      <c r="A24" s="10"/>
      <c r="B24" s="81" t="s">
        <v>196</v>
      </c>
      <c r="C24" s="82"/>
      <c r="D24" s="82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51"/>
      <c r="J24" s="52"/>
    </row>
    <row r="25" spans="1:10" ht="39.9" customHeight="1" thickBot="1" x14ac:dyDescent="0.35">
      <c r="A25" s="10"/>
      <c r="B25" s="77" t="s">
        <v>197</v>
      </c>
      <c r="C25" s="78"/>
      <c r="D25" s="78"/>
      <c r="E25" s="36">
        <v>5</v>
      </c>
      <c r="F25" s="27">
        <v>3.5</v>
      </c>
      <c r="G25" s="37">
        <f t="shared" si="0"/>
        <v>0.7</v>
      </c>
      <c r="H25" s="38" t="str">
        <f t="shared" si="1"/>
        <v>جيد</v>
      </c>
      <c r="I25" s="73"/>
      <c r="J25" s="74"/>
    </row>
    <row r="26" spans="1:10" ht="30" customHeight="1" thickBot="1" x14ac:dyDescent="0.35">
      <c r="A26" s="4"/>
      <c r="B26" s="47" t="s">
        <v>5</v>
      </c>
      <c r="C26" s="48"/>
      <c r="D26" s="48"/>
      <c r="E26" s="29">
        <f>SUM(E8:E25)</f>
        <v>80</v>
      </c>
      <c r="F26" s="29">
        <f>SUM(F8:F25)</f>
        <v>58.5</v>
      </c>
      <c r="G26" s="70"/>
      <c r="H26" s="71"/>
      <c r="I26" s="71"/>
      <c r="J26" s="72"/>
    </row>
    <row r="27" spans="1:10" ht="30" customHeight="1" thickBot="1" x14ac:dyDescent="0.35">
      <c r="A27" s="4"/>
      <c r="B27" s="49" t="s">
        <v>54</v>
      </c>
      <c r="C27" s="50"/>
      <c r="D27" s="50"/>
      <c r="E27" s="75">
        <f>F26/E26/100*100</f>
        <v>0.73124999999999996</v>
      </c>
      <c r="F27" s="75"/>
      <c r="G27" s="75"/>
      <c r="H27" s="75"/>
      <c r="I27" s="75"/>
      <c r="J27" s="76"/>
    </row>
    <row r="28" spans="1:10" ht="30" customHeight="1" thickBot="1" x14ac:dyDescent="0.35">
      <c r="A28" s="4"/>
      <c r="B28" s="49" t="s">
        <v>55</v>
      </c>
      <c r="C28" s="50"/>
      <c r="D28" s="50"/>
      <c r="E28" s="43" t="str">
        <f>_xlfn.IFS(E27&gt;=90%,"ممتاز",E27&gt;=80%,"جيد جداً",E27&gt;=70%,"جيد",E27&gt;=60%,"مقبول",E27&lt;60%,"راسب")</f>
        <v>جيد</v>
      </c>
      <c r="F28" s="43"/>
      <c r="G28" s="43"/>
      <c r="H28" s="43"/>
      <c r="I28" s="43"/>
      <c r="J28" s="44"/>
    </row>
    <row r="29" spans="1:10" ht="42" customHeight="1" x14ac:dyDescent="0.3">
      <c r="B29" s="39" t="s">
        <v>174</v>
      </c>
      <c r="C29" s="39"/>
      <c r="D29" s="39"/>
      <c r="E29" s="68" t="s">
        <v>52</v>
      </c>
      <c r="F29" s="68"/>
      <c r="G29" s="41" t="s">
        <v>115</v>
      </c>
      <c r="H29" s="41"/>
      <c r="I29" s="41"/>
      <c r="J29" s="41"/>
    </row>
    <row r="30" spans="1:10" ht="51" customHeight="1" x14ac:dyDescent="0.3">
      <c r="A30" s="5"/>
      <c r="B30" s="40"/>
      <c r="C30" s="40"/>
      <c r="D30" s="40"/>
      <c r="E30" s="69" t="s">
        <v>53</v>
      </c>
      <c r="F30" s="69"/>
      <c r="G30" s="42"/>
      <c r="H30" s="42"/>
      <c r="I30" s="42"/>
      <c r="J30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7"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E29:F29"/>
    <mergeCell ref="E30:F30"/>
    <mergeCell ref="G26:J26"/>
    <mergeCell ref="I19:J19"/>
    <mergeCell ref="I20:J20"/>
    <mergeCell ref="I21:J21"/>
    <mergeCell ref="I22:J22"/>
    <mergeCell ref="I23:J23"/>
    <mergeCell ref="I24:J24"/>
    <mergeCell ref="I25:J25"/>
    <mergeCell ref="E27:J27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9:J9"/>
    <mergeCell ref="B29:D30"/>
    <mergeCell ref="G29:J29"/>
    <mergeCell ref="G30:J30"/>
    <mergeCell ref="E28:J28"/>
    <mergeCell ref="I8:J8"/>
    <mergeCell ref="B26:D26"/>
    <mergeCell ref="B27:D27"/>
    <mergeCell ref="B28:D28"/>
    <mergeCell ref="I11:J11"/>
    <mergeCell ref="I12:J12"/>
    <mergeCell ref="I13:J13"/>
    <mergeCell ref="I14:J14"/>
    <mergeCell ref="I15:J15"/>
    <mergeCell ref="I16:J16"/>
    <mergeCell ref="I17:J17"/>
    <mergeCell ref="I18:J1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8">
    <cfRule type="expression" dxfId="14" priority="57">
      <formula>$E28="راسب"</formula>
    </cfRule>
  </conditionalFormatting>
  <conditionalFormatting sqref="E28:J28">
    <cfRule type="expression" dxfId="13" priority="58">
      <formula>$E28="مقبول"</formula>
    </cfRule>
    <cfRule type="expression" dxfId="12" priority="59">
      <formula>$E28="جيد"</formula>
    </cfRule>
    <cfRule type="expression" dxfId="11" priority="60">
      <formula>$E28="جيد جداً"</formula>
    </cfRule>
    <cfRule type="expression" dxfId="10" priority="61">
      <formula>$E28="ممتاز"</formula>
    </cfRule>
  </conditionalFormatting>
  <conditionalFormatting sqref="F8:F2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9:J29">
    <cfRule type="containsText" dxfId="6" priority="15" operator="containsText" text="أدخل اسم المحكم">
      <formula>NOT(ISERROR(SEARCH("أدخل اسم المحكم",G29)))</formula>
    </cfRule>
  </conditionalFormatting>
  <conditionalFormatting sqref="H8:H2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F21:F25 F8 F10:F19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G29:J29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2025-10-26T19:30:33Z</dcterms:modified>
</cp:coreProperties>
</file>