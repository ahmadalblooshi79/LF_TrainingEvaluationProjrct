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4259663-AA93-4D23-9125-F8188FDFA5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G11" i="2"/>
  <c r="H11" i="2"/>
  <c r="G10" i="2"/>
  <c r="H10" i="2"/>
  <c r="G8" i="2"/>
  <c r="H8" i="2"/>
  <c r="G9" i="2"/>
  <c r="H9" i="2"/>
  <c r="G13" i="2"/>
  <c r="H13" i="2"/>
  <c r="G14" i="2"/>
  <c r="H14" i="2"/>
  <c r="G12" i="2"/>
  <c r="H12" i="2"/>
  <c r="F15" i="2"/>
  <c r="E16" i="2"/>
  <c r="E17" i="2"/>
</calcChain>
</file>

<file path=xl/sharedStrings.xml><?xml version="1.0" encoding="utf-8"?>
<sst xmlns="http://schemas.openxmlformats.org/spreadsheetml/2006/main" count="241" uniqueCount="185">
  <si>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</si>
  <si>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</si>
  <si>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</si>
  <si>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</si>
  <si>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</si>
  <si>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</si>
  <si>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</si>
  <si>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</si>
  <si>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</si>
  <si>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</si>
  <si>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</si>
  <si>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</si>
  <si>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</si>
  <si>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</si>
  <si>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</si>
  <si>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</si>
  <si>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</si>
  <si>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</si>
  <si>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</si>
  <si>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</si>
  <si>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</si>
  <si>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</si>
  <si>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</si>
  <si>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</si>
  <si>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</si>
  <si>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</si>
  <si>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</si>
  <si>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</si>
  <si>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</si>
  <si>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</si>
  <si>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</si>
  <si>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</si>
  <si>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</si>
  <si>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</si>
  <si>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</si>
  <si>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</si>
  <si>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</si>
  <si>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</si>
  <si>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</si>
  <si>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</si>
  <si>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</si>
  <si>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</si>
  <si>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</si>
  <si>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</si>
  <si>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</si>
  <si>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</si>
  <si>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</si>
  <si>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</si>
  <si>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</si>
  <si>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</si>
  <si>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</si>
  <si>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</si>
  <si>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</si>
  <si>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</si>
  <si>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</si>
  <si>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</si>
  <si>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</si>
  <si>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</si>
  <si>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</si>
  <si>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</si>
  <si>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</si>
  <si>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</si>
  <si>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</si>
  <si>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</si>
  <si>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</si>
  <si>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</si>
  <si>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</si>
  <si>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</si>
  <si>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</si>
  <si>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</si>
  <si>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</si>
  <si>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</si>
  <si>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</si>
  <si>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</si>
  <si>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</si>
  <si>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</si>
  <si>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</si>
  <si>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</si>
  <si>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</si>
  <si>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</si>
  <si>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</si>
  <si>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</si>
  <si>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</si>
  <si>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</si>
  <si>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</si>
  <si>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</si>
  <si>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</si>
  <si>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</si>
  <si>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</si>
  <si>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</si>
  <si>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</si>
  <si>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</si>
  <si>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</si>
  <si>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</si>
  <si>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</si>
  <si>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</si>
  <si>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</si>
  <si>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</si>
  <si>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</si>
  <si>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</si>
  <si>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</si>
  <si>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</si>
  <si>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</si>
  <si>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</si>
  <si>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</si>
  <si>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</si>
  <si>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</si>
  <si>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</si>
  <si>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</si>
  <si>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</si>
  <si>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</si>
  <si>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</si>
  <si>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</si>
  <si>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</si>
  <si>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</si>
  <si>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</si>
  <si>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</si>
  <si>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</si>
  <si>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</si>
  <si>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</si>
  <si>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</si>
  <si>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</si>
  <si>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</si>
  <si>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</si>
  <si>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</si>
  <si>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</si>
  <si>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</si>
  <si>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</si>
  <si>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</si>
  <si>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</si>
  <si>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</si>
  <si>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</si>
  <si>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</si>
  <si>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</si>
  <si>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</si>
  <si>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</si>
  <si>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</si>
  <si>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</si>
  <si>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</si>
  <si>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</si>
  <si>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</si>
  <si>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</si>
  <si>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</si>
  <si>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</si>
  <si>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</si>
  <si>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</si>
  <si>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</si>
  <si>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</si>
  <si>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</si>
  <si>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</si>
  <si>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</si>
  <si>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</si>
  <si>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</si>
  <si>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</si>
  <si>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</si>
  <si>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</si>
  <si>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</si>
  <si>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</si>
  <si>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</si>
  <si>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</si>
  <si>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</si>
  <si>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</si>
  <si>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</si>
  <si>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</si>
  <si>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</si>
  <si>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</si>
  <si>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</si>
  <si>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</si>
  <si>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</si>
  <si>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</si>
  <si>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</si>
  <si>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</si>
  <si>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</si>
  <si>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</si>
  <si>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</si>
  <si>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</si>
  <si>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2.	استخدام مواقع رمي مموهه ومخفية بشكل جيد.</t>
  </si>
  <si>
    <t>3.	تنفيذ مهام الرمي باستخدام أقل حشوة وارتفاع.</t>
  </si>
  <si>
    <t>4.	التغيير المتكرر للمواقع للرماية من مواقع محضرة وغير محضرة.</t>
  </si>
  <si>
    <t>5.	رماية نيران مكثفة من أقسام متعددة.</t>
  </si>
  <si>
    <t>7.	تنفيذ الاقتحام النهائي بجميع أسلحة الرمي المباشر المتوفرة من مواقع الإسناد بالنيران ومن عناصر الاقتحام.</t>
  </si>
  <si>
    <t>1.	تحضير الذخيرة، ومعايرة المدافع، وإعادة التزويد قبل بدء الهجوم.</t>
  </si>
  <si>
    <r>
      <rPr>
        <b/>
        <sz val="14"/>
        <color rgb="FF000000"/>
        <rFont val="Arial"/>
        <family val="2"/>
      </rPr>
      <t>تقييم سرية المدفعية في الهجوم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</si>
  <si>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6.	تحويل نيران المدفعية إلى مواقع عمق العدو أو مواقع إسناده عند وصول عناصر الاقتحام إلى خط البدء المحدد.</t>
  </si>
  <si>
    <t>نقيب/ مسعود الاحبابي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</si>
</sst>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0" Type="http://schemas.openxmlformats.org/officeDocument/2006/relationships/customXml" Target="../ink/ink4.xml"/><Relationship Id="rId9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468923</xdr:colOff>
      <xdr:row>18</xdr:row>
      <xdr:rowOff>275492</xdr:rowOff>
    </xdr:from>
    <xdr:to>
      <xdr:col>9</xdr:col>
      <xdr:colOff>475012</xdr:colOff>
      <xdr:row>18</xdr:row>
      <xdr:rowOff>515252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C777AAC-1115-466D-A740-FFDC55D3C61C}"/>
                </a:ext>
              </a:extLst>
            </xdr14:cNvPr>
            <xdr14:cNvContentPartPr/>
          </xdr14:nvContentPartPr>
          <xdr14:nvPr macro=""/>
          <xdr14:xfrm>
            <a:off x="10078153157" y="8129954"/>
            <a:ext cx="1922812" cy="239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E35A409-2826-F844-C99F-419FCC1B52E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37424" y="8348040"/>
              <a:ext cx="199800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545123</xdr:colOff>
      <xdr:row>18</xdr:row>
      <xdr:rowOff>134816</xdr:rowOff>
    </xdr:from>
    <xdr:to>
      <xdr:col>9</xdr:col>
      <xdr:colOff>403262</xdr:colOff>
      <xdr:row>18</xdr:row>
      <xdr:rowOff>253616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A96B9EF-8179-4061-815E-A45F094E1C11}"/>
                </a:ext>
              </a:extLst>
            </xdr14:cNvPr>
            <xdr14:cNvContentPartPr/>
          </xdr14:nvContentPartPr>
          <xdr14:nvPr macro=""/>
          <xdr14:xfrm>
            <a:off x="10078224907" y="7989278"/>
            <a:ext cx="1135954" cy="1188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FA94332-2F80-901D-3EFB-5F4957185D7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142744" y="8258760"/>
              <a:ext cx="119196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209831</xdr:colOff>
      <xdr:row>18</xdr:row>
      <xdr:rowOff>275492</xdr:rowOff>
    </xdr:from>
    <xdr:to>
      <xdr:col>9</xdr:col>
      <xdr:colOff>487370</xdr:colOff>
      <xdr:row>18</xdr:row>
      <xdr:rowOff>374852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F83D892-A571-4FB8-8DA4-4FE0DB007E5E}"/>
                </a:ext>
              </a:extLst>
            </xdr14:cNvPr>
            <xdr14:cNvContentPartPr/>
          </xdr14:nvContentPartPr>
          <xdr14:nvPr macro=""/>
          <xdr14:xfrm>
            <a:off x="10078140799" y="8129954"/>
            <a:ext cx="1555354" cy="99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2561784-A45E-77AB-8216-5DC4891CCE3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56424" y="8374320"/>
              <a:ext cx="1611360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217739</xdr:colOff>
      <xdr:row>18</xdr:row>
      <xdr:rowOff>175846</xdr:rowOff>
    </xdr:from>
    <xdr:to>
      <xdr:col>9</xdr:col>
      <xdr:colOff>218078</xdr:colOff>
      <xdr:row>18</xdr:row>
      <xdr:rowOff>268726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F24DE04-0666-41CB-9602-E52665F2D641}"/>
                </a:ext>
              </a:extLst>
            </xdr14:cNvPr>
            <xdr14:cNvContentPartPr/>
          </xdr14:nvContentPartPr>
          <xdr14:nvPr macro=""/>
          <xdr14:xfrm>
            <a:off x="10078410091" y="8030308"/>
            <a:ext cx="1278154" cy="928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6A1860B-EA04-939D-DA2E-FB28FFF1523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369904" y="8310600"/>
              <a:ext cx="1334160" cy="110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22:05:46.5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4189 665,'0'0,"0"0,0 0,0 0,0 0,0 0,0 0,0 0,0 0,0 0,0 0,0 0,0-16,0 13,16-10,-1-19,-12 26,25-20,-12-22,-13 40,25-33,3 9,-26 27,21-38,-9 11,-15 27,26-37,4 10,-28 27,7-38,5 11,-14 27,12-22,1-5,-13 27,12-22,-14-5,0 27,15-6,-15-22,0 29,16-8,-9 4,1 16,-8 8,16-16,-14 0,11 16,34 17,-40-29,33 8,6 20,-39-28,33 24,23-12,-54-14,44 28,9-14,-52-14,27 28,9-14,-39-14,33 12,7 18,-40-27,32 6,-8 4,-26-13,22 12,-11 2,-14-13,27-6,-14 19,-13-13,12-6,-14 19,0-13,-16-6,1 19,12-13,-25-6,-4 3,28 0,-54 0,-20 0,66 0,-100 0,-60-16,146 14,-135 4,-57-2,185 0,-167-16,-34 0,199 14,-163 4,-20-18,184 14,-150 4,-66-2,211 0,-155 0,-56 0,216 0,-180 16,-20-16,198 0,-177 16,-5 0,185-13,-152 10,-18-13,171 0,-122 16,-2-16,132 0,-108 0,-8 0,118 0,-65 0,9 0,67 0,-56 0,5 0,52 0,-27 0,6 0,26 0,-21 0,-5 0,25 0,-19 0,9 0,14 0,-11 0,13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22:05:55.0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3155 1,'0'0,"0"0,0 0,0 0,0 0,0 0,-15 0,10 0,-6 0,-20 0,21 0,-42 0,-72 16,86-11,-79-10,-69 5,133 0,-96 16,-68 0,153-11,-74 6,-95 5,166-11,-114 6,-36 5,157-11,-82 22,-44-11,131-11,-29 6,-522 118,492-105,228-48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22:06:04.3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4321 1,'0'0,"0"0,0 0,0 0,0 0,0 0,0 0,0 0,0 0,0 0,0 0,0 0,-16 16,-15-16,25 0,-36 16,-20 0,53-14,-91 28,-41-14,-46 0,-17 0,-47 0,-15-16,0 16,-15-16,237 0,-194 16,-44 0,237-13,-176 10,-45 3,228-14,-206 12,-6 2,209-13,-138-6,-8 19,156-13,-63-6,0 3,81 0,-37-16,3 16,40 0,-18 0,-6 0,26 0,-21 0,26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22:06:13.6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3550 0,'0'0,"0"0,0 0,0 0,0 0,0 0,-16 0,-16 16,17-8,-1 0,-30-8,7 8,0 0,-85 24,53-24,1 0,-85 24,68-23,3-2,-103 10,84-9,4 0,-166 8,138-16,4 0,-110 16,114-16,4 0,-102 16,106-16,3 0,-78 16,98-16,5 0,-89 0,100 8,5 0,-11-8,46 0,2 0,-33 0,47 0,2 0,-18 0,16 0,32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A10" zoomScale="130" zoomScaleNormal="100" zoomScaleSheetLayoutView="130" workbookViewId="0">
      <selection activeCell="E19" sqref="E19:F1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182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8</v>
      </c>
      <c r="C2" s="65" t="s">
        <v>48</v>
      </c>
      <c r="D2" s="65"/>
      <c r="E2" s="12" t="s">
        <v>7</v>
      </c>
      <c r="F2" s="60">
        <v>45944</v>
      </c>
      <c r="G2" s="60"/>
      <c r="H2" s="60"/>
      <c r="I2" s="60"/>
      <c r="J2" s="60"/>
    </row>
    <row r="3" spans="1:10" ht="30" customHeight="1" x14ac:dyDescent="0.3">
      <c r="B3" s="12" t="s">
        <v>9</v>
      </c>
      <c r="C3" s="65" t="s">
        <v>60</v>
      </c>
      <c r="D3" s="65"/>
      <c r="E3" s="12" t="s">
        <v>6</v>
      </c>
      <c r="F3" s="65" t="s">
        <v>115</v>
      </c>
      <c r="G3" s="65"/>
      <c r="H3" s="65"/>
      <c r="I3" s="65"/>
      <c r="J3" s="65"/>
    </row>
    <row r="4" spans="1:10" ht="30" customHeight="1" thickBot="1" x14ac:dyDescent="0.35">
      <c r="B4" s="6"/>
      <c r="C4" s="82" t="s">
        <v>184</v>
      </c>
      <c r="D4" s="82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68" t="s">
        <v>1</v>
      </c>
      <c r="F5" s="68"/>
      <c r="G5" s="68"/>
      <c r="H5" s="68"/>
      <c r="I5" s="68" t="s">
        <v>2</v>
      </c>
      <c r="J5" s="69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23</v>
      </c>
      <c r="H6" s="11" t="s">
        <v>24</v>
      </c>
      <c r="I6" s="70"/>
      <c r="J6" s="71"/>
    </row>
    <row r="7" spans="1:10" ht="24.9" customHeight="1" thickBot="1" x14ac:dyDescent="0.35">
      <c r="A7" s="10"/>
      <c r="B7" s="66" t="s">
        <v>21</v>
      </c>
      <c r="C7" s="67"/>
      <c r="D7" s="67"/>
      <c r="E7" s="26" t="s">
        <v>18</v>
      </c>
      <c r="F7" s="26" t="s">
        <v>19</v>
      </c>
      <c r="G7" s="26" t="s">
        <v>22</v>
      </c>
      <c r="H7" s="26" t="s">
        <v>20</v>
      </c>
      <c r="I7" s="72" t="s">
        <v>25</v>
      </c>
      <c r="J7" s="73"/>
    </row>
    <row r="8" spans="1:10" ht="39.9" customHeight="1" thickBot="1" x14ac:dyDescent="0.35">
      <c r="A8" s="10"/>
      <c r="B8" s="78" t="s">
        <v>181</v>
      </c>
      <c r="C8" s="79"/>
      <c r="D8" s="79"/>
      <c r="E8" s="30">
        <v>5</v>
      </c>
      <c r="F8" s="36">
        <v>4</v>
      </c>
      <c r="G8" s="31">
        <f t="shared" ref="G8:G13" si="0">IFERROR(F8/E8,"")</f>
        <v>0.8</v>
      </c>
      <c r="H8" s="32" t="str">
        <f t="shared" ref="H8:H13" si="1">_xlfn.IFS(F8="أدخل العلامة","",F8="لا ينطبق","تم الإلغاء",G8&gt;=90%,"ممتاز",G8&gt;=80%,"جيد جداً",G8&gt;=70%,"جيد",G8&gt;=60%,"مقبول",G8&lt;60%,"راسب")</f>
        <v>جيد جداً</v>
      </c>
      <c r="I8" s="80"/>
      <c r="J8" s="81"/>
    </row>
    <row r="9" spans="1:10" ht="39.9" customHeight="1" thickBot="1" x14ac:dyDescent="0.35">
      <c r="A9" s="10"/>
      <c r="B9" s="38" t="s">
        <v>176</v>
      </c>
      <c r="C9" s="39"/>
      <c r="D9" s="39"/>
      <c r="E9" s="9">
        <v>5</v>
      </c>
      <c r="F9" s="37">
        <v>3.75</v>
      </c>
      <c r="G9" s="28">
        <f t="shared" si="0"/>
        <v>0.75</v>
      </c>
      <c r="H9" s="29" t="str">
        <f t="shared" si="1"/>
        <v>جيد</v>
      </c>
      <c r="I9" s="40"/>
      <c r="J9" s="41"/>
    </row>
    <row r="10" spans="1:10" ht="39.9" customHeight="1" thickBot="1" x14ac:dyDescent="0.35">
      <c r="A10" s="10"/>
      <c r="B10" s="38" t="s">
        <v>177</v>
      </c>
      <c r="C10" s="39"/>
      <c r="D10" s="39"/>
      <c r="E10" s="9">
        <v>5</v>
      </c>
      <c r="F10" s="37">
        <v>4.25</v>
      </c>
      <c r="G10" s="28">
        <f t="shared" si="0"/>
        <v>0.85</v>
      </c>
      <c r="H10" s="29" t="str">
        <f t="shared" si="1"/>
        <v>جيد جداً</v>
      </c>
      <c r="I10" s="40"/>
      <c r="J10" s="41"/>
    </row>
    <row r="11" spans="1:10" ht="39.9" customHeight="1" thickBot="1" x14ac:dyDescent="0.35">
      <c r="A11" s="10"/>
      <c r="B11" s="38" t="s">
        <v>178</v>
      </c>
      <c r="C11" s="39"/>
      <c r="D11" s="39"/>
      <c r="E11" s="9">
        <v>5</v>
      </c>
      <c r="F11" s="37">
        <v>3.75</v>
      </c>
      <c r="G11" s="28">
        <f t="shared" si="0"/>
        <v>0.75</v>
      </c>
      <c r="H11" s="29" t="str">
        <f t="shared" si="1"/>
        <v>جيد</v>
      </c>
      <c r="I11" s="40"/>
      <c r="J11" s="41"/>
    </row>
    <row r="12" spans="1:10" ht="39.9" customHeight="1" thickBot="1" x14ac:dyDescent="0.35">
      <c r="A12" s="10"/>
      <c r="B12" s="38" t="s">
        <v>179</v>
      </c>
      <c r="C12" s="39"/>
      <c r="D12" s="39"/>
      <c r="E12" s="9">
        <v>5</v>
      </c>
      <c r="F12" s="37">
        <v>3.75</v>
      </c>
      <c r="G12" s="28">
        <f t="shared" si="0"/>
        <v>0.75</v>
      </c>
      <c r="H12" s="29" t="str">
        <f t="shared" si="1"/>
        <v>جيد</v>
      </c>
      <c r="I12" s="40"/>
      <c r="J12" s="41"/>
    </row>
    <row r="13" spans="1:10" ht="39.9" customHeight="1" thickBot="1" x14ac:dyDescent="0.35">
      <c r="A13" s="10"/>
      <c r="B13" s="38" t="s">
        <v>183</v>
      </c>
      <c r="C13" s="39"/>
      <c r="D13" s="39"/>
      <c r="E13" s="9">
        <v>5</v>
      </c>
      <c r="F13" s="37">
        <v>4.75</v>
      </c>
      <c r="G13" s="28">
        <f t="shared" si="0"/>
        <v>0.95</v>
      </c>
      <c r="H13" s="29" t="str">
        <f t="shared" si="1"/>
        <v>ممتاز</v>
      </c>
      <c r="I13" s="40"/>
      <c r="J13" s="41"/>
    </row>
    <row r="14" spans="1:10" ht="39.9" customHeight="1" thickBot="1" x14ac:dyDescent="0.35">
      <c r="A14" s="10"/>
      <c r="B14" s="76" t="s">
        <v>180</v>
      </c>
      <c r="C14" s="77"/>
      <c r="D14" s="77"/>
      <c r="E14" s="33">
        <v>5</v>
      </c>
      <c r="F14" s="37">
        <v>3.75</v>
      </c>
      <c r="G14" s="34">
        <f t="shared" ref="G14" si="2">IFERROR(F14/E14,"")</f>
        <v>0.75</v>
      </c>
      <c r="H14" s="35" t="str">
        <f t="shared" ref="H14" si="3">_xlfn.IFS(F14="أدخل العلامة","",F14="لا ينطبق","تم الإلغاء",G14&gt;=90%,"ممتاز",G14&gt;=80%,"جيد جداً",G14&gt;=70%,"جيد",G14&gt;=60%,"مقبول",G14&lt;60%,"راسب")</f>
        <v>جيد</v>
      </c>
      <c r="I14" s="74"/>
      <c r="J14" s="75"/>
    </row>
    <row r="15" spans="1:10" ht="30" customHeight="1" thickBot="1" x14ac:dyDescent="0.35">
      <c r="A15" s="4"/>
      <c r="B15" s="55" t="s">
        <v>5</v>
      </c>
      <c r="C15" s="56"/>
      <c r="D15" s="56"/>
      <c r="E15" s="27">
        <f>SUM(E8:E14)</f>
        <v>35</v>
      </c>
      <c r="F15" s="27">
        <f>SUM(F12:F14)</f>
        <v>12.25</v>
      </c>
      <c r="G15" s="44"/>
      <c r="H15" s="45"/>
      <c r="I15" s="45"/>
      <c r="J15" s="46"/>
    </row>
    <row r="16" spans="1:10" ht="30" customHeight="1" thickBot="1" x14ac:dyDescent="0.35">
      <c r="A16" s="4"/>
      <c r="B16" s="57" t="s">
        <v>54</v>
      </c>
      <c r="C16" s="58"/>
      <c r="D16" s="58"/>
      <c r="E16" s="47">
        <f>F15/E15/100*100</f>
        <v>0.35</v>
      </c>
      <c r="F16" s="47"/>
      <c r="G16" s="47"/>
      <c r="H16" s="47"/>
      <c r="I16" s="47"/>
      <c r="J16" s="48"/>
    </row>
    <row r="17" spans="1:10" ht="30" customHeight="1" thickBot="1" x14ac:dyDescent="0.35">
      <c r="A17" s="4"/>
      <c r="B17" s="57" t="s">
        <v>55</v>
      </c>
      <c r="C17" s="58"/>
      <c r="D17" s="58"/>
      <c r="E17" s="53" t="str">
        <f>_xlfn.IFS(E16&gt;=90%,"ممتاز",E16&gt;=80%,"جيد جداً",E16&gt;=70%,"جيد",E16&gt;=60%,"مقبول",E16&lt;60%,"راسب")</f>
        <v>راسب</v>
      </c>
      <c r="F17" s="53"/>
      <c r="G17" s="53"/>
      <c r="H17" s="53"/>
      <c r="I17" s="53"/>
      <c r="J17" s="54"/>
    </row>
    <row r="18" spans="1:10" ht="42" customHeight="1" x14ac:dyDescent="0.3">
      <c r="B18" s="49" t="s">
        <v>175</v>
      </c>
      <c r="C18" s="49"/>
      <c r="D18" s="49"/>
      <c r="E18" s="42" t="s">
        <v>52</v>
      </c>
      <c r="F18" s="42"/>
      <c r="G18" s="51" t="s">
        <v>125</v>
      </c>
      <c r="H18" s="51"/>
      <c r="I18" s="51"/>
      <c r="J18" s="51"/>
    </row>
    <row r="19" spans="1:10" ht="51" customHeight="1" x14ac:dyDescent="0.3">
      <c r="A19" s="5"/>
      <c r="B19" s="50"/>
      <c r="C19" s="50"/>
      <c r="D19" s="50"/>
      <c r="E19" s="43" t="s">
        <v>53</v>
      </c>
      <c r="F19" s="43"/>
      <c r="G19" s="52"/>
      <c r="H19" s="52"/>
      <c r="I19" s="52"/>
      <c r="J19" s="52"/>
    </row>
  </sheetData>
  <sheetProtection formatCells="0" formatColumns="0" formatRows="0" insertColumns="0" insertRows="0" insertHyperlinks="0" deleteColumns="0" deleteRows="0" selectLockedCells="1" sort="0" autoFilter="0" pivotTables="0"/>
  <mergeCells count="36">
    <mergeCell ref="B7:D7"/>
    <mergeCell ref="E5:H5"/>
    <mergeCell ref="I5:J6"/>
    <mergeCell ref="I7:J7"/>
    <mergeCell ref="I14:J14"/>
    <mergeCell ref="I12:J12"/>
    <mergeCell ref="I13:J13"/>
    <mergeCell ref="B12:D12"/>
    <mergeCell ref="B13:D13"/>
    <mergeCell ref="B14:D14"/>
    <mergeCell ref="B11:D11"/>
    <mergeCell ref="I11:J11"/>
    <mergeCell ref="B9:D9"/>
    <mergeCell ref="I9:J9"/>
    <mergeCell ref="B8:D8"/>
    <mergeCell ref="I8:J8"/>
    <mergeCell ref="B1:J1"/>
    <mergeCell ref="F2:J2"/>
    <mergeCell ref="B5:D6"/>
    <mergeCell ref="C2:D2"/>
    <mergeCell ref="C3:D3"/>
    <mergeCell ref="F3:J3"/>
    <mergeCell ref="C4:D4"/>
    <mergeCell ref="B10:D10"/>
    <mergeCell ref="I10:J10"/>
    <mergeCell ref="E18:F18"/>
    <mergeCell ref="E19:F19"/>
    <mergeCell ref="G15:J15"/>
    <mergeCell ref="E16:J16"/>
    <mergeCell ref="B18:D19"/>
    <mergeCell ref="G18:J18"/>
    <mergeCell ref="G19:J19"/>
    <mergeCell ref="E17:J17"/>
    <mergeCell ref="B15:D15"/>
    <mergeCell ref="B16:D16"/>
    <mergeCell ref="B17:D17"/>
  </mergeCells>
  <conditionalFormatting sqref="C2:D2">
    <cfRule type="containsText" dxfId="16" priority="46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45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85">
      <formula>$E17="راسب"</formula>
    </cfRule>
  </conditionalFormatting>
  <conditionalFormatting sqref="E17:J17">
    <cfRule type="expression" dxfId="13" priority="86">
      <formula>$E17="مقبول"</formula>
    </cfRule>
    <cfRule type="expression" dxfId="12" priority="87">
      <formula>$E17="جيد"</formula>
    </cfRule>
    <cfRule type="expression" dxfId="11" priority="88">
      <formula>$E17="جيد جداً"</formula>
    </cfRule>
    <cfRule type="expression" dxfId="10" priority="89">
      <formula>$E17="ممتاز"</formula>
    </cfRule>
  </conditionalFormatting>
  <conditionalFormatting sqref="F8:F14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47" operator="containsText" text="أدخل التاريخ">
      <formula>NOT(ISERROR(SEARCH("أدخل التاريخ",F2)))</formula>
    </cfRule>
  </conditionalFormatting>
  <conditionalFormatting sqref="F3:J3">
    <cfRule type="containsText" dxfId="7" priority="44" operator="containsText" text="أدخل أسم المحكم">
      <formula>NOT(ISERROR(SEARCH("أدخل أسم المحكم",F3)))</formula>
    </cfRule>
  </conditionalFormatting>
  <conditionalFormatting sqref="G18:J18">
    <cfRule type="containsText" dxfId="6" priority="43" operator="containsText" text="أدخل اسم المحكم">
      <formula>NOT(ISERROR(SEARCH("أدخل اسم المحكم",G18)))</formula>
    </cfRule>
  </conditionalFormatting>
  <conditionalFormatting sqref="H8:H14">
    <cfRule type="containsText" dxfId="5" priority="2" operator="containsText" text="أدخل العلامة">
      <formula>NOT(ISERROR(SEARCH("أدخل العلامة",H8)))</formula>
    </cfRule>
    <cfRule type="containsText" dxfId="4" priority="3" operator="containsText" text="ممتاز">
      <formula>NOT(ISERROR(SEARCH("ممتاز",H8)))</formula>
    </cfRule>
    <cfRule type="containsText" dxfId="3" priority="4" operator="containsText" text="جيد جداً">
      <formula>NOT(ISERROR(SEARCH("جيد جداً",H8)))</formula>
    </cfRule>
    <cfRule type="containsText" dxfId="2" priority="5" operator="containsText" text="جيد">
      <formula>NOT(ISERROR(SEARCH("جيد",H8)))</formula>
    </cfRule>
    <cfRule type="containsText" dxfId="1" priority="6" operator="containsText" text="مقبول">
      <formula>NOT(ISERROR(SEARCH("مقبول",H8)))</formula>
    </cfRule>
    <cfRule type="containsText" dxfId="0" priority="7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G18:J18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2025-10-14T22:06:58Z</dcterms:modified>
</cp:coreProperties>
</file>