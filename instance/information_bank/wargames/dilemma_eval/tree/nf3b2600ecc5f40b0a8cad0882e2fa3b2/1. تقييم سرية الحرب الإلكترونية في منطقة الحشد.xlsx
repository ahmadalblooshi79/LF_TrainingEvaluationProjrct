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0919B357-DF99-F141-8266-BA3C48134AA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8" i="2"/>
  <c r="H8" i="2"/>
  <c r="F20" i="2"/>
  <c r="E20" i="2"/>
  <c r="E21" i="2"/>
  <c r="E22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<sst xmlns="http://schemas.openxmlformats.org/spreadsheetml/2006/main" count="250" uniqueCount="194">
  <si>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</si>
  <si>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</si>
  <si>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</si>
  <si>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</si>
  <si>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</si>
  <si>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</si>
  <si>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</si>
  <si>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</si>
  <si>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</si>
  <si>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</si>
  <si>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</si>
  <si>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</si>
  <si>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</si>
  <si>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</si>
  <si>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</si>
  <si>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</si>
  <si>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</si>
  <si>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</si>
  <si>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</si>
  <si>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</si>
  <si>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</si>
  <si>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</si>
  <si>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</si>
  <si>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</si>
  <si>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</si>
  <si>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</si>
  <si>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</si>
  <si>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</si>
  <si>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</si>
  <si>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</si>
  <si>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</si>
  <si>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</si>
  <si>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</si>
  <si>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</si>
  <si>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</si>
  <si>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</si>
  <si>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</si>
  <si>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</si>
  <si>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</si>
  <si>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</si>
  <si>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</si>
  <si>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</si>
  <si>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</si>
  <si>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</si>
  <si>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</si>
  <si>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</si>
  <si>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</si>
  <si>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</si>
  <si>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</si>
  <si>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</si>
  <si>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</si>
  <si>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</si>
  <si>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</si>
  <si>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</si>
  <si>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</si>
  <si>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</si>
  <si>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</si>
  <si>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</si>
  <si>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</si>
  <si>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</si>
  <si>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</si>
  <si>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</si>
  <si>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</si>
  <si>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</si>
  <si>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</si>
  <si>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</si>
  <si>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</si>
  <si>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</si>
  <si>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</si>
  <si>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</si>
  <si>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</si>
  <si>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</si>
  <si>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</si>
  <si>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</si>
  <si>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</si>
  <si>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</si>
  <si>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</si>
  <si>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</si>
  <si>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</si>
  <si>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</si>
  <si>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</si>
  <si>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</si>
  <si>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</si>
  <si>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</si>
  <si>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</si>
  <si>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</si>
  <si>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</si>
  <si>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</si>
  <si>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</si>
  <si>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</si>
  <si>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</si>
  <si>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</si>
  <si>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</si>
  <si>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</si>
  <si>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</si>
  <si>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</si>
  <si>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</si>
  <si>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</si>
  <si>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</si>
  <si>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</si>
  <si>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</si>
  <si>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</si>
  <si>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</si>
  <si>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</si>
  <si>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</si>
  <si>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</si>
  <si>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</si>
  <si>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</si>
  <si>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</si>
  <si>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</si>
  <si>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</si>
  <si>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</si>
  <si>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</si>
  <si>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</si>
  <si>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</si>
  <si>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</si>
  <si>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</si>
  <si>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</si>
  <si>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</si>
  <si>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</si>
  <si>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</si>
  <si>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</si>
  <si>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</si>
  <si>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</si>
  <si>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</si>
  <si>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</si>
  <si>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</si>
  <si>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</si>
  <si>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</si>
  <si>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</si>
  <si>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</si>
  <si>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</si>
  <si>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</si>
  <si>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</si>
  <si>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</si>
  <si>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</si>
  <si>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</si>
  <si>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</si>
  <si>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</si>
  <si>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</si>
  <si>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</si>
  <si>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</si>
  <si>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</si>
  <si>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</si>
  <si>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</si>
  <si>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</si>
  <si>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</si>
  <si>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</si>
  <si>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</si>
  <si>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</si>
  <si>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</si>
  <si>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</si>
  <si>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</si>
  <si>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</si>
  <si>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</si>
  <si>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</si>
  <si>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</si>
  <si>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</si>
  <si>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</si>
  <si>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</si>
  <si>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</si>
  <si>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</si>
  <si>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</si>
  <si>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</si>
  <si>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</si>
  <si>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</si>
  <si>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</si>
  <si>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</si>
  <si>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</si>
  <si>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</si>
  <si>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</si>
  <si>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</si>
  <si>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</si>
  <si>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</si>
  <si>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</si>
  <si>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</si>
  <si>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</si>
  <si>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</si>
  <si>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</si>
  <si>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</si>
  <si>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الحرب الإلكترونية في منطقة الحشد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</si>
  <si>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صلاحية الموقع.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</si>
  <si>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التأكد من فحص الأجهزة اللاسلكية وتأسيس الاتصال.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</si>
  <si>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الصيانة للأليات وللنظام والأجهزة.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</si>
  <si>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التنسيق مع ركن الإدارة والامداد في مجموعة اللواء للإعاشة والتزويد.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</si>
  <si>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تنفيذ أعمال الحراسة وحفر الخنادق.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</si>
  <si>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متابعة سير الأعمال للأطقم.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</si>
  <si>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مراجعة الخطط مع قائد مجموعة اللواء.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</si>
  <si>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ركن العمليات مجموعة اللواء فيما يخص التنقل من منطقة الحشد إلى منطقة التجمع.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</si>
  <si>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قائد مجموعة اللواء لتوفير الحماية لمحطات سرية الحرب الإلكترونية.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</si>
  <si>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التنسيق مع الادلاء لتحديد موقع السرية في منطقة الحشد.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</si>
  <si>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تمويه الأليات (الكومفلاش).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</si>
  <si>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 xml:space="preserve">تحقيق الاتصال بين قيادة السرية وقيادة مجموعة اللواء. </t>
    </r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</si>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</sst>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2" fillId="0" borderId="18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7" fillId="4" borderId="14" xfId="0" applyFont="1" applyFill="1" applyBorder="1" applyAlignment="1" applyProtection="1">
      <alignment horizontal="center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5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545865</xdr:colOff>
      <xdr:row>23</xdr:row>
      <xdr:rowOff>121428</xdr:rowOff>
    </xdr:from>
    <xdr:to>
      <xdr:col>8</xdr:col>
      <xdr:colOff>379884</xdr:colOff>
      <xdr:row>24</xdr:row>
      <xdr:rowOff>123243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D30B676-DC9D-B123-8E46-7795E3B700E5}"/>
                </a:ext>
              </a:extLst>
            </xdr14:cNvPr>
            <xdr14:cNvContentPartPr/>
          </xdr14:nvContentPartPr>
          <xdr14:nvPr macro=""/>
          <xdr14:xfrm>
            <a:off x="10398865025" y="9542520"/>
            <a:ext cx="1150200" cy="648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D30B676-DC9D-B123-8E46-7795E3B700E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858905" y="9536400"/>
              <a:ext cx="1162440" cy="66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14855</xdr:colOff>
      <xdr:row>23</xdr:row>
      <xdr:rowOff>433188</xdr:rowOff>
    </xdr:from>
    <xdr:to>
      <xdr:col>7</xdr:col>
      <xdr:colOff>44015</xdr:colOff>
      <xdr:row>23</xdr:row>
      <xdr:rowOff>452628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71C09F6-F08B-78AF-271E-ED92F874CCE1}"/>
                </a:ext>
              </a:extLst>
            </xdr14:cNvPr>
            <xdr14:cNvContentPartPr/>
          </xdr14:nvContentPartPr>
          <xdr14:nvPr macro=""/>
          <xdr14:xfrm>
            <a:off x="10399858985" y="9854280"/>
            <a:ext cx="29160" cy="194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71C09F6-F08B-78AF-271E-ED92F874CCE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852865" y="9848160"/>
              <a:ext cx="41400" cy="31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19:23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2516 1017 6497,'0'0'0,"0"0"0,-2-14 4849,-10 1-3065,7-3-183,-7 2-401,12 14-1200,-3-14 952,-13-2-104,11 0-192,-10-1-47,15 17-609,-7-17 472,-5-3-72,7 0-104,-9-1-120,14 21-176,-5-23 152,-9 1-120,14-2 32,-12-3-64,12 27 0,-5-27 8,-2-2-56,-5-2 24,9-2 24,3 33 0,-5-35-32,1-2 88,-8 0-8,9 3-8,3 34-40,-5-32 8,0 4 8,5-1 0,-2 2-16,2 27 0,-5-25 64,5-1-16,0 1-72,-2 2 8,2 23 16,0-24-136,0 1 160,0 3-48,0 3-40,0 17 64,-3-16 72,3 4-72,0 6 40,0-5-80,0 11 40,0-3-216,0-2-272,5 1-216,0-2-169,-5 6 873,2-5-968,11 1-56,-9-2-72,1 0-72,-5 6 1168,15-4-1073,-13 1 193,17 0 264,-4 2 328,-15 1 288,14-2-144,3 1 88,5 1 64,2-1-8,-24 1 0,26-2 48,3 1-8,-3-1-40,6 1 16,-32 1-16,29-2-24,2 1-8,-2-2 40,4 0 16,-33 3-24,34-3 16,2 1-24,-2-1 8,-1 0-24,-33 3 24,34-4-40,0 1 40,2-1-104,-2-2 0,-34 6 104,33-4-136,-4-1-64,2 1 24,-2 1-16,-29 3 192,24-1-104,0-1 32,-9 2 40,2 3-24,-17-3 56,12 4-80,-10 8-16,0-9 8,-2 1 64,0-4 24,0 11 0,-12-8 16,0 11 0,-7-1 0,19-13-16,-22 14 16,-6 5-80,-6 1 16,-5 3 24,39-23 24,-38 24-48,-10 3 136,-5 3-128,-7 1 64,60-31-24,-68 35 40,-1 2-72,-6 2 96,-2 3-80,77-42 16,-82 44 8,-2 3 0,-10 3-32,3 3 48,91-53-24,-94 54 0,-4 0-8,-3 0 24,-5 1 0,106-55-16,-106 56 8,5-4 24,2-2 16,3-3 8,96-47-56,-91 45 64,2-1 48,2-2-24,0-1-32,87-41-56,-81 41 0,-6 0-32,8 2-64,-1 1-40,80-44 136,-77 44-32,5 3-16,2-1 88,6-5-40,64-41 0,-61 40-16,6-6 16,5-2 16,4-2 8,46-30-24,-39 27-8,-2-3 8,8-1-40,2-6 16,31-17 24,-25 14 48,6-9-40,5 6 16,11-11 32,3 0-56,-4 0 48,1 0 0,3 0 64,5-1-72,-5 1-40,17-6-72,-5-10 24,10 1-64,4-4 16,-26 19 96,31-23-88,0-2-16,6-2-8,-1-4 40,-36 31 72,41-36-72,-3-1-1,8-6 17,-1-4 8,-45 47 48,51-46 32,-1-4-64,3 0 16,0-1-8,-53 51 24,51-51-104,-3-2 72,5 1-40,-3 0 72,-50 52 0,44-49 24,-1 2 32,-5 3 0,1 4-48,-39 40-8,34-36 8,-8 5 8,-4 3 24,-5 3 16,-17 25-56,12-19 112,-8 4 73,-1 4 103,-3 7 24,0 4-312,0-5 280,-3 4-88,-4 1-112,-5 0-120,12 0 40,-2 0-104,-18 4-40,6 10-16,-5-1-40,19-13 200,-22 17-200,0 2-8,-2 2-73,0 0 57,24-21 224,-24 22-232,5-1 56,0 2 80,2 1 32,17-24 64,-17 27-56,0 1-24,0 2-64,5 0 24,12-30 120,-2 31-104,-12 1 56,9-1 48,-7 0-24,12-31 24,-3 30-16,3-3-16,-2-3 16,2 0 32,0-24-16,0 20-8,2-1 24,3-5 0,7-10 0,-12-4-16,0 14 16,12-14 16,-9 3 32,-1-3 0,-2 0-64,14-1 128,-11-3 8,9-9-8,-7-1-8,-5 14-120,14-20 80,-2-2-16,0-3-32,0-4 0,-12 29-32,12-28 32,0-2 8,-9-3-8,14 1 24,-17 32-56,14-33 72,-2 2-8,2 1 48,1 1-88,-15 29-24,14-24 32,6 3-40,-4 3-24,4 5-48,-20 13 80,14-5-184,3 3-160,-5 2-168,0 2-256,-12-2 768,17 16-856,-8 0 112,6 4 152,-3 1 272,-12-21 320,14 23 56,-2 1 24,3-1 72,-1-2 24,-14-21-176,12 18-8,0-2 24,0-3 0,0-9-16,-12-4 0,3 11 32,9-11 40,-12 0-8,2 0-128,-2 0 64,3-1-24,-1-3 80,3-10 32,-3-1 352,-2 15-440,0-18 552,0-3 24,0-4 64,0 0-32,0 25-608,-2-27 504,-3 0-40,-7 1-39,10 3-137,2 23-288,-3-19 232,-2 1-72,0 7-32,3 7-64,2 4-64,0-4-16,0 1-240,0 3-576,2 0-105,-2 0 937,10 4-872,5 10 248,4 0 480,5 4 72,-24-18 72,26 22-32,10 4-40,0 5 8,8 0 16,-44-31 48,43 35 24,5-3-56,-2 1-48,7-3-48,-53-30 128,53 24-1432,-3-7-1969,-50-17 3401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19:23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53 22348,'0'0'0,"-36"-24"352,12 8-376,24 16 24,-20-13-104,20 13-160,0 14-720,25-9-2425,-25-5 3409,12 19-7433,9-14 23,-21-5 7410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topLeftCell="B1" zoomScale="130" zoomScaleNormal="100" zoomScaleSheetLayoutView="130" workbookViewId="0">
      <selection activeCell="D4" sqref="D4"/>
    </sheetView>
  </sheetViews>
  <sheetFormatPr defaultColWidth="9.01171875" defaultRowHeight="15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>
      <c r="B1" s="41" t="s">
        <v>180</v>
      </c>
      <c r="C1" s="41"/>
      <c r="D1" s="41"/>
      <c r="E1" s="41"/>
      <c r="F1" s="41"/>
      <c r="G1" s="41"/>
      <c r="H1" s="41"/>
      <c r="I1" s="41"/>
      <c r="J1" s="41"/>
    </row>
    <row r="2" spans="1:10" ht="30" customHeight="1">
      <c r="B2" s="12" t="s">
        <v>8</v>
      </c>
      <c r="C2" s="47" t="s">
        <v>14</v>
      </c>
      <c r="D2" s="47"/>
      <c r="E2" s="12" t="s">
        <v>7</v>
      </c>
      <c r="F2" s="42">
        <v>45952</v>
      </c>
      <c r="G2" s="42"/>
      <c r="H2" s="42"/>
      <c r="I2" s="42"/>
      <c r="J2" s="42"/>
    </row>
    <row r="3" spans="1:10" ht="30" customHeight="1">
      <c r="B3" s="12" t="s">
        <v>9</v>
      </c>
      <c r="C3" s="47" t="s">
        <v>60</v>
      </c>
      <c r="D3" s="47"/>
      <c r="E3" s="12" t="s">
        <v>6</v>
      </c>
      <c r="F3" s="47" t="s">
        <v>123</v>
      </c>
      <c r="G3" s="47"/>
      <c r="H3" s="47"/>
      <c r="I3" s="47"/>
      <c r="J3" s="47"/>
    </row>
    <row r="4" spans="1:10" ht="30" customHeight="1" thickBot="1">
      <c r="B4" s="6"/>
      <c r="C4" s="7"/>
      <c r="D4" s="7" t="s">
        <v>193</v>
      </c>
      <c r="E4" s="6"/>
      <c r="F4" s="7"/>
      <c r="G4" s="7"/>
      <c r="H4" s="8"/>
      <c r="I4" s="7"/>
      <c r="J4" s="7"/>
    </row>
    <row r="5" spans="1:10" ht="24.95" customHeight="1">
      <c r="A5" s="10"/>
      <c r="B5" s="43" t="s">
        <v>0</v>
      </c>
      <c r="C5" s="44"/>
      <c r="D5" s="44"/>
      <c r="E5" s="35" t="s">
        <v>1</v>
      </c>
      <c r="F5" s="35"/>
      <c r="G5" s="35"/>
      <c r="H5" s="35"/>
      <c r="I5" s="35" t="s">
        <v>2</v>
      </c>
      <c r="J5" s="36"/>
    </row>
    <row r="6" spans="1:10" ht="24.95" customHeight="1" thickBot="1">
      <c r="A6" s="10"/>
      <c r="B6" s="45"/>
      <c r="C6" s="46"/>
      <c r="D6" s="46"/>
      <c r="E6" s="11" t="s">
        <v>3</v>
      </c>
      <c r="F6" s="11" t="s">
        <v>4</v>
      </c>
      <c r="G6" s="11" t="s">
        <v>23</v>
      </c>
      <c r="H6" s="11" t="s">
        <v>24</v>
      </c>
      <c r="I6" s="37"/>
      <c r="J6" s="38"/>
    </row>
    <row r="7" spans="1:10" ht="24.95" customHeight="1">
      <c r="A7" s="10"/>
      <c r="B7" s="33" t="s">
        <v>21</v>
      </c>
      <c r="C7" s="34"/>
      <c r="D7" s="34"/>
      <c r="E7" s="27" t="s">
        <v>18</v>
      </c>
      <c r="F7" s="27" t="s">
        <v>19</v>
      </c>
      <c r="G7" s="27" t="s">
        <v>22</v>
      </c>
      <c r="H7" s="27" t="s">
        <v>20</v>
      </c>
      <c r="I7" s="39" t="s">
        <v>25</v>
      </c>
      <c r="J7" s="40"/>
    </row>
    <row r="8" spans="1:10" ht="30" customHeight="1">
      <c r="A8" s="10"/>
      <c r="B8" s="31" t="s">
        <v>181</v>
      </c>
      <c r="C8" s="31"/>
      <c r="D8" s="31"/>
      <c r="E8" s="9">
        <v>5</v>
      </c>
      <c r="F8" s="26">
        <v>4</v>
      </c>
      <c r="G8" s="29">
        <f>IFERROR(F8/E8,"")</f>
        <v>0.8</v>
      </c>
      <c r="H8" s="30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32"/>
      <c r="J8" s="32"/>
    </row>
    <row r="9" spans="1:10" ht="30" customHeight="1">
      <c r="A9" s="10"/>
      <c r="B9" s="31" t="s">
        <v>182</v>
      </c>
      <c r="C9" s="31"/>
      <c r="D9" s="31"/>
      <c r="E9" s="9">
        <v>5</v>
      </c>
      <c r="F9" s="26">
        <v>4</v>
      </c>
      <c r="G9" s="29">
        <f>IFERROR(F9/E9,"")</f>
        <v>0.8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32"/>
      <c r="J9" s="32"/>
    </row>
    <row r="10" spans="1:10" ht="30" customHeight="1">
      <c r="A10" s="10"/>
      <c r="B10" s="31" t="s">
        <v>191</v>
      </c>
      <c r="C10" s="31"/>
      <c r="D10" s="31"/>
      <c r="E10" s="9">
        <v>5</v>
      </c>
      <c r="F10" s="26">
        <v>3.25</v>
      </c>
      <c r="G10" s="29">
        <f t="shared" ref="G10:G19" si="0">IFERROR(F10/E10,"")</f>
        <v>0.65</v>
      </c>
      <c r="H10" s="30" t="str">
        <f t="shared" ref="H10:H19" si="1">_xlfn.IFS(F10="أدخل العلامة","",F10="لا ينطبق","تم الإلغاء",G10&gt;=90%,"ممتاز",G10&gt;=80%,"جيد جداً",G10&gt;=70%,"جيد",G10&gt;=60%,"مقبول",G10&lt;60%,"راسب")</f>
        <v>مقبول</v>
      </c>
      <c r="I10" s="32"/>
      <c r="J10" s="32"/>
    </row>
    <row r="11" spans="1:10" ht="30" customHeight="1">
      <c r="A11" s="10"/>
      <c r="B11" s="31" t="s">
        <v>183</v>
      </c>
      <c r="C11" s="31"/>
      <c r="D11" s="31"/>
      <c r="E11" s="9">
        <v>5</v>
      </c>
      <c r="F11" s="26">
        <v>4</v>
      </c>
      <c r="G11" s="29">
        <f t="shared" si="0"/>
        <v>0.8</v>
      </c>
      <c r="H11" s="30" t="str">
        <f t="shared" si="1"/>
        <v>جيد جداً</v>
      </c>
      <c r="I11" s="32"/>
      <c r="J11" s="32"/>
    </row>
    <row r="12" spans="1:10" ht="39.950000000000003" customHeight="1">
      <c r="A12" s="10"/>
      <c r="B12" s="31" t="s">
        <v>184</v>
      </c>
      <c r="C12" s="31"/>
      <c r="D12" s="31"/>
      <c r="E12" s="9">
        <v>5</v>
      </c>
      <c r="F12" s="26">
        <v>3</v>
      </c>
      <c r="G12" s="29">
        <f t="shared" si="0"/>
        <v>0.6</v>
      </c>
      <c r="H12" s="30" t="str">
        <f t="shared" si="1"/>
        <v>مقبول</v>
      </c>
      <c r="I12" s="32"/>
      <c r="J12" s="32"/>
    </row>
    <row r="13" spans="1:10" ht="30" customHeight="1">
      <c r="A13" s="10"/>
      <c r="B13" s="31" t="s">
        <v>185</v>
      </c>
      <c r="C13" s="31"/>
      <c r="D13" s="31"/>
      <c r="E13" s="9">
        <v>5</v>
      </c>
      <c r="F13" s="26">
        <v>3.25</v>
      </c>
      <c r="G13" s="29">
        <f t="shared" si="0"/>
        <v>0.65</v>
      </c>
      <c r="H13" s="30" t="str">
        <f t="shared" si="1"/>
        <v>مقبول</v>
      </c>
      <c r="I13" s="32"/>
      <c r="J13" s="32"/>
    </row>
    <row r="14" spans="1:10" ht="30" customHeight="1">
      <c r="A14" s="10"/>
      <c r="B14" s="31" t="s">
        <v>186</v>
      </c>
      <c r="C14" s="31"/>
      <c r="D14" s="31"/>
      <c r="E14" s="9">
        <v>5</v>
      </c>
      <c r="F14" s="26">
        <v>3.75</v>
      </c>
      <c r="G14" s="29">
        <f t="shared" si="0"/>
        <v>0.75</v>
      </c>
      <c r="H14" s="30" t="str">
        <f t="shared" si="1"/>
        <v>جيد</v>
      </c>
      <c r="I14" s="32"/>
      <c r="J14" s="32"/>
    </row>
    <row r="15" spans="1:10" ht="39.950000000000003" customHeight="1">
      <c r="A15" s="10"/>
      <c r="B15" s="31" t="s">
        <v>192</v>
      </c>
      <c r="C15" s="31"/>
      <c r="D15" s="31"/>
      <c r="E15" s="9">
        <v>5</v>
      </c>
      <c r="F15" s="26">
        <v>4</v>
      </c>
      <c r="G15" s="29">
        <f t="shared" si="0"/>
        <v>0.8</v>
      </c>
      <c r="H15" s="30" t="str">
        <f t="shared" si="1"/>
        <v>جيد جداً</v>
      </c>
      <c r="I15" s="32"/>
      <c r="J15" s="32"/>
    </row>
    <row r="16" spans="1:10" ht="30" customHeight="1">
      <c r="A16" s="10"/>
      <c r="B16" s="31" t="s">
        <v>187</v>
      </c>
      <c r="C16" s="31"/>
      <c r="D16" s="31"/>
      <c r="E16" s="9">
        <v>5</v>
      </c>
      <c r="F16" s="26">
        <v>3.25</v>
      </c>
      <c r="G16" s="29">
        <f t="shared" si="0"/>
        <v>0.65</v>
      </c>
      <c r="H16" s="30" t="str">
        <f t="shared" si="1"/>
        <v>مقبول</v>
      </c>
      <c r="I16" s="32"/>
      <c r="J16" s="32"/>
    </row>
    <row r="17" spans="1:10" ht="39.950000000000003" customHeight="1">
      <c r="A17" s="10"/>
      <c r="B17" s="31" t="s">
        <v>188</v>
      </c>
      <c r="C17" s="31"/>
      <c r="D17" s="31"/>
      <c r="E17" s="9">
        <v>5</v>
      </c>
      <c r="F17" s="26">
        <v>4</v>
      </c>
      <c r="G17" s="29">
        <f t="shared" si="0"/>
        <v>0.8</v>
      </c>
      <c r="H17" s="30" t="str">
        <f t="shared" si="1"/>
        <v>جيد جداً</v>
      </c>
      <c r="I17" s="32"/>
      <c r="J17" s="32"/>
    </row>
    <row r="18" spans="1:10" ht="39.950000000000003" customHeight="1">
      <c r="A18" s="10"/>
      <c r="B18" s="31" t="s">
        <v>189</v>
      </c>
      <c r="C18" s="31"/>
      <c r="D18" s="31"/>
      <c r="E18" s="9">
        <v>5</v>
      </c>
      <c r="F18" s="26">
        <v>3.75</v>
      </c>
      <c r="G18" s="29">
        <f t="shared" si="0"/>
        <v>0.75</v>
      </c>
      <c r="H18" s="30" t="str">
        <f t="shared" si="1"/>
        <v>جيد</v>
      </c>
      <c r="I18" s="32"/>
      <c r="J18" s="32"/>
    </row>
    <row r="19" spans="1:10" ht="30" customHeight="1">
      <c r="A19" s="10"/>
      <c r="B19" s="31" t="s">
        <v>190</v>
      </c>
      <c r="C19" s="31"/>
      <c r="D19" s="31"/>
      <c r="E19" s="9">
        <v>5</v>
      </c>
      <c r="F19" s="26">
        <v>3.25</v>
      </c>
      <c r="G19" s="29">
        <f t="shared" si="0"/>
        <v>0.65</v>
      </c>
      <c r="H19" s="30" t="str">
        <f t="shared" si="1"/>
        <v>مقبول</v>
      </c>
      <c r="I19" s="32"/>
      <c r="J19" s="32"/>
    </row>
    <row r="20" spans="1:10" ht="30" customHeight="1" thickBot="1">
      <c r="A20" s="4"/>
      <c r="B20" s="61" t="s">
        <v>5</v>
      </c>
      <c r="C20" s="62"/>
      <c r="D20" s="62"/>
      <c r="E20" s="28">
        <f>SUM(E8:E19)</f>
        <v>60</v>
      </c>
      <c r="F20" s="28">
        <f>SUM(F8:F19)</f>
        <v>43.5</v>
      </c>
      <c r="G20" s="50"/>
      <c r="H20" s="51"/>
      <c r="I20" s="51"/>
      <c r="J20" s="52"/>
    </row>
    <row r="21" spans="1:10" ht="30" customHeight="1" thickBot="1">
      <c r="A21" s="4"/>
      <c r="B21" s="63" t="s">
        <v>54</v>
      </c>
      <c r="C21" s="64"/>
      <c r="D21" s="64"/>
      <c r="E21" s="59">
        <f>F20/E20/100*100</f>
        <v>0.72499999999999998</v>
      </c>
      <c r="F21" s="59"/>
      <c r="G21" s="59"/>
      <c r="H21" s="59"/>
      <c r="I21" s="59"/>
      <c r="J21" s="60"/>
    </row>
    <row r="22" spans="1:10" ht="30" customHeight="1" thickBot="1">
      <c r="A22" s="4"/>
      <c r="B22" s="63" t="s">
        <v>55</v>
      </c>
      <c r="C22" s="64"/>
      <c r="D22" s="64"/>
      <c r="E22" s="57" t="str">
        <f>_xlfn.IFS(E21&gt;=90%,"ممتاز",E21&gt;=80%,"جيد جداً",E21&gt;=70%,"جيد",E21&gt;=60%,"مقبول",E21&lt;60%,"راسب")</f>
        <v>جيد</v>
      </c>
      <c r="F22" s="57"/>
      <c r="G22" s="57"/>
      <c r="H22" s="57"/>
      <c r="I22" s="57"/>
      <c r="J22" s="58"/>
    </row>
    <row r="23" spans="1:10" ht="42" customHeight="1">
      <c r="B23" s="53" t="s">
        <v>174</v>
      </c>
      <c r="C23" s="53"/>
      <c r="D23" s="53"/>
      <c r="E23" s="48" t="s">
        <v>52</v>
      </c>
      <c r="F23" s="48"/>
      <c r="G23" s="55" t="s">
        <v>123</v>
      </c>
      <c r="H23" s="55"/>
      <c r="I23" s="55"/>
      <c r="J23" s="55"/>
    </row>
    <row r="24" spans="1:10" ht="51" customHeight="1">
      <c r="A24" s="5"/>
      <c r="B24" s="54"/>
      <c r="C24" s="54"/>
      <c r="D24" s="54"/>
      <c r="E24" s="49" t="s">
        <v>53</v>
      </c>
      <c r="F24" s="49"/>
      <c r="G24" s="56"/>
      <c r="H24" s="56"/>
      <c r="I24" s="56"/>
      <c r="J24" s="5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5">
    <mergeCell ref="E23:F23"/>
    <mergeCell ref="E24:F24"/>
    <mergeCell ref="G20:J20"/>
    <mergeCell ref="I9:J9"/>
    <mergeCell ref="B23:D24"/>
    <mergeCell ref="G23:J23"/>
    <mergeCell ref="G24:J24"/>
    <mergeCell ref="E22:J22"/>
    <mergeCell ref="E21:J21"/>
    <mergeCell ref="B20:D20"/>
    <mergeCell ref="B21:D21"/>
    <mergeCell ref="B22:D22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I15:J15"/>
    <mergeCell ref="I16:J16"/>
    <mergeCell ref="I17:J17"/>
    <mergeCell ref="I18:J18"/>
    <mergeCell ref="I19:J19"/>
    <mergeCell ref="B17:D17"/>
    <mergeCell ref="B18:D18"/>
    <mergeCell ref="B19:D1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2">
    <cfRule type="expression" dxfId="14" priority="57">
      <formula>$E22="راسب"</formula>
    </cfRule>
  </conditionalFormatting>
  <conditionalFormatting sqref="E22:J22">
    <cfRule type="expression" dxfId="13" priority="58">
      <formula>$E22="مقبول"</formula>
    </cfRule>
    <cfRule type="expression" dxfId="12" priority="59">
      <formula>$E22="جيد"</formula>
    </cfRule>
    <cfRule type="expression" dxfId="11" priority="60">
      <formula>$E22="جيد جداً"</formula>
    </cfRule>
    <cfRule type="expression" dxfId="10" priority="61">
      <formula>$E22="ممتاز"</formula>
    </cfRule>
  </conditionalFormatting>
  <conditionalFormatting sqref="F8:F1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3:J23">
    <cfRule type="containsText" dxfId="6" priority="15" operator="containsText" text="أدخل اسم المحكم">
      <formula>NOT(ISERROR(SEARCH("أدخل اسم المحكم",G23)))</formula>
    </cfRule>
  </conditionalFormatting>
  <conditionalFormatting sqref="H8:H1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F8:F19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G23:J23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>
      <c r="A1" s="2" t="s">
        <v>57</v>
      </c>
      <c r="C1" s="2" t="s">
        <v>60</v>
      </c>
    </row>
    <row r="2" spans="1:3" ht="20.100000000000001" customHeight="1" thickBot="1">
      <c r="A2" s="2" t="s">
        <v>35</v>
      </c>
      <c r="C2" s="19" t="s">
        <v>62</v>
      </c>
    </row>
    <row r="3" spans="1:3" ht="20.100000000000001" customHeight="1" thickBot="1">
      <c r="A3" s="2" t="s">
        <v>26</v>
      </c>
      <c r="C3" s="19" t="s">
        <v>63</v>
      </c>
    </row>
    <row r="4" spans="1:3" ht="20.100000000000001" customHeight="1" thickBot="1">
      <c r="A4" s="2" t="s">
        <v>36</v>
      </c>
      <c r="C4" s="19" t="s">
        <v>64</v>
      </c>
    </row>
    <row r="5" spans="1:3" ht="20.100000000000001" customHeight="1" thickBot="1">
      <c r="A5" s="2" t="s">
        <v>37</v>
      </c>
      <c r="C5" s="19" t="s">
        <v>65</v>
      </c>
    </row>
    <row r="6" spans="1:3" ht="20.100000000000001" customHeight="1" thickBot="1">
      <c r="A6" s="2" t="s">
        <v>38</v>
      </c>
      <c r="C6" s="19" t="s">
        <v>66</v>
      </c>
    </row>
    <row r="7" spans="1:3" ht="20.100000000000001" customHeight="1" thickBot="1">
      <c r="A7" s="2" t="s">
        <v>39</v>
      </c>
      <c r="C7" s="19" t="s">
        <v>67</v>
      </c>
    </row>
    <row r="8" spans="1:3" ht="20.100000000000001" customHeight="1" thickBot="1">
      <c r="A8" s="2" t="s">
        <v>40</v>
      </c>
      <c r="C8" s="19" t="s">
        <v>68</v>
      </c>
    </row>
    <row r="9" spans="1:3" ht="20.100000000000001" customHeight="1" thickBot="1">
      <c r="A9" s="2" t="s">
        <v>41</v>
      </c>
      <c r="C9" s="19" t="s">
        <v>69</v>
      </c>
    </row>
    <row r="10" spans="1:3" ht="20.100000000000001" customHeight="1" thickBot="1">
      <c r="A10" s="2" t="s">
        <v>42</v>
      </c>
      <c r="C10" s="19" t="s">
        <v>70</v>
      </c>
    </row>
    <row r="11" spans="1:3" ht="20.100000000000001" customHeight="1" thickBot="1">
      <c r="A11" s="2" t="s">
        <v>43</v>
      </c>
      <c r="C11" s="19" t="s">
        <v>71</v>
      </c>
    </row>
    <row r="12" spans="1:3" ht="20.100000000000001" customHeight="1" thickBot="1">
      <c r="A12" s="2" t="s">
        <v>44</v>
      </c>
      <c r="C12" s="19" t="s">
        <v>72</v>
      </c>
    </row>
    <row r="13" spans="1:3" ht="20.100000000000001" customHeight="1" thickBot="1">
      <c r="A13" s="2" t="s">
        <v>45</v>
      </c>
      <c r="C13" s="19" t="s">
        <v>73</v>
      </c>
    </row>
    <row r="14" spans="1:3" ht="20.100000000000001" customHeight="1" thickBot="1">
      <c r="A14" s="2" t="s">
        <v>46</v>
      </c>
      <c r="C14" s="19" t="s">
        <v>74</v>
      </c>
    </row>
    <row r="15" spans="1:3" ht="20.100000000000001" customHeight="1" thickBot="1">
      <c r="A15" s="2" t="s">
        <v>47</v>
      </c>
      <c r="C15" s="19" t="s">
        <v>75</v>
      </c>
    </row>
    <row r="16" spans="1:3" ht="20.100000000000001" customHeight="1" thickBot="1">
      <c r="A16" s="2" t="s">
        <v>10</v>
      </c>
      <c r="C16" s="19" t="s">
        <v>76</v>
      </c>
    </row>
    <row r="17" spans="1:3" ht="20.100000000000001" customHeight="1" thickBot="1">
      <c r="A17" s="2" t="s">
        <v>27</v>
      </c>
      <c r="C17" s="19" t="s">
        <v>77</v>
      </c>
    </row>
    <row r="18" spans="1:3" ht="20.100000000000001" customHeight="1" thickBot="1">
      <c r="A18" s="2" t="s">
        <v>48</v>
      </c>
      <c r="C18" s="19" t="s">
        <v>78</v>
      </c>
    </row>
    <row r="19" spans="1:3" ht="20.100000000000001" customHeight="1" thickBot="1">
      <c r="A19" s="2" t="s">
        <v>49</v>
      </c>
      <c r="C19" s="19" t="s">
        <v>79</v>
      </c>
    </row>
    <row r="20" spans="1:3" ht="20.100000000000001" customHeight="1" thickBot="1">
      <c r="A20" s="2" t="s">
        <v>50</v>
      </c>
      <c r="C20" s="19" t="s">
        <v>80</v>
      </c>
    </row>
    <row r="21" spans="1:3" ht="20.100000000000001" customHeight="1" thickBot="1">
      <c r="A21" s="2" t="s">
        <v>51</v>
      </c>
      <c r="C21" s="19" t="s">
        <v>81</v>
      </c>
    </row>
    <row r="22" spans="1:3" ht="20.100000000000001" customHeight="1" thickBot="1">
      <c r="A22" s="2" t="s">
        <v>11</v>
      </c>
      <c r="C22" s="19" t="s">
        <v>82</v>
      </c>
    </row>
    <row r="23" spans="1:3" ht="20.100000000000001" customHeight="1" thickBot="1">
      <c r="A23" s="2" t="s">
        <v>12</v>
      </c>
      <c r="C23" s="19" t="s">
        <v>83</v>
      </c>
    </row>
    <row r="24" spans="1:3" ht="20.100000000000001" customHeight="1" thickBot="1">
      <c r="A24" s="2" t="s">
        <v>15</v>
      </c>
      <c r="C24" s="19" t="s">
        <v>84</v>
      </c>
    </row>
    <row r="25" spans="1:3" ht="20.100000000000001" customHeight="1" thickBot="1">
      <c r="A25" s="2" t="s">
        <v>28</v>
      </c>
      <c r="C25" s="19" t="s">
        <v>85</v>
      </c>
    </row>
    <row r="26" spans="1:3" ht="20.100000000000001" customHeight="1" thickBot="1">
      <c r="A26" s="2" t="s">
        <v>29</v>
      </c>
      <c r="C26" s="19" t="s">
        <v>86</v>
      </c>
    </row>
    <row r="27" spans="1:3" ht="20.100000000000001" customHeight="1" thickBot="1">
      <c r="A27" s="2" t="s">
        <v>13</v>
      </c>
      <c r="C27" s="19" t="s">
        <v>87</v>
      </c>
    </row>
    <row r="28" spans="1:3" ht="20.100000000000001" customHeight="1" thickBot="1">
      <c r="A28" s="2" t="s">
        <v>30</v>
      </c>
      <c r="C28" s="19" t="s">
        <v>88</v>
      </c>
    </row>
    <row r="29" spans="1:3" ht="20.100000000000001" customHeight="1" thickBot="1">
      <c r="A29" s="2" t="s">
        <v>31</v>
      </c>
      <c r="C29" s="19" t="s">
        <v>177</v>
      </c>
    </row>
    <row r="30" spans="1:3" ht="20.100000000000001" customHeight="1" thickBot="1">
      <c r="A30" s="2" t="s">
        <v>32</v>
      </c>
      <c r="C30" s="19" t="s">
        <v>178</v>
      </c>
    </row>
    <row r="31" spans="1:3" ht="20.100000000000001" customHeight="1" thickBot="1">
      <c r="A31" s="2" t="s">
        <v>33</v>
      </c>
      <c r="C31" s="19" t="s">
        <v>179</v>
      </c>
    </row>
    <row r="32" spans="1:3" ht="20.100000000000001" customHeight="1" thickBot="1">
      <c r="A32" s="2" t="s">
        <v>16</v>
      </c>
      <c r="C32" s="19"/>
    </row>
    <row r="33" spans="1:9" ht="20.100000000000001" customHeight="1" thickBot="1">
      <c r="A33" s="2" t="s">
        <v>14</v>
      </c>
      <c r="C33" s="19"/>
    </row>
    <row r="34" spans="1:9" ht="20.100000000000001" customHeight="1" thickBot="1">
      <c r="A34" s="2" t="s">
        <v>34</v>
      </c>
      <c r="C34" s="19"/>
    </row>
    <row r="35" spans="1:9" ht="20.100000000000001" customHeight="1">
      <c r="A35" s="18"/>
    </row>
    <row r="36" spans="1:9" s="17" customFormat="1" ht="20.100000000000001" customHeight="1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/>
    <row r="38" spans="1:9" ht="20.100000000000001" customHeight="1" thickBot="1">
      <c r="A38" s="2" t="s">
        <v>56</v>
      </c>
    </row>
    <row r="39" spans="1:9" ht="20.100000000000001" customHeight="1" thickBot="1">
      <c r="A39" s="13">
        <v>45931</v>
      </c>
    </row>
    <row r="40" spans="1:9" ht="20.100000000000001" customHeight="1" thickBot="1">
      <c r="A40" s="13">
        <v>45932</v>
      </c>
    </row>
    <row r="41" spans="1:9" ht="20.100000000000001" customHeight="1" thickBot="1">
      <c r="A41" s="13">
        <v>45933</v>
      </c>
    </row>
    <row r="42" spans="1:9" ht="20.100000000000001" customHeight="1" thickBot="1">
      <c r="A42" s="13">
        <v>45934</v>
      </c>
    </row>
    <row r="43" spans="1:9" ht="20.100000000000001" customHeight="1" thickBot="1">
      <c r="A43" s="13">
        <v>45935</v>
      </c>
    </row>
    <row r="44" spans="1:9" ht="20.100000000000001" customHeight="1" thickBot="1">
      <c r="A44" s="13">
        <v>45936</v>
      </c>
    </row>
    <row r="45" spans="1:9" ht="20.100000000000001" customHeight="1" thickBot="1">
      <c r="A45" s="13">
        <v>45937</v>
      </c>
    </row>
    <row r="46" spans="1:9" ht="20.100000000000001" customHeight="1" thickBot="1">
      <c r="A46" s="13">
        <v>45938</v>
      </c>
    </row>
    <row r="47" spans="1:9" ht="20.100000000000001" customHeight="1" thickBot="1">
      <c r="A47" s="13">
        <v>45939</v>
      </c>
    </row>
    <row r="48" spans="1:9" ht="20.100000000000001" customHeight="1" thickBot="1">
      <c r="A48" s="13">
        <v>45940</v>
      </c>
    </row>
    <row r="49" spans="1:1" ht="20.100000000000001" customHeight="1" thickBot="1">
      <c r="A49" s="13">
        <v>45941</v>
      </c>
    </row>
    <row r="50" spans="1:1" ht="20.100000000000001" customHeight="1" thickBot="1">
      <c r="A50" s="13">
        <v>45942</v>
      </c>
    </row>
    <row r="51" spans="1:1" ht="20.100000000000001" customHeight="1" thickBot="1">
      <c r="A51" s="13">
        <v>45943</v>
      </c>
    </row>
    <row r="52" spans="1:1" ht="20.100000000000001" customHeight="1" thickBot="1">
      <c r="A52" s="13">
        <v>45944</v>
      </c>
    </row>
    <row r="53" spans="1:1" ht="20.100000000000001" customHeight="1" thickBot="1">
      <c r="A53" s="13">
        <v>45945</v>
      </c>
    </row>
    <row r="54" spans="1:1" ht="20.100000000000001" customHeight="1" thickBot="1">
      <c r="A54" s="13">
        <v>45946</v>
      </c>
    </row>
    <row r="55" spans="1:1" ht="20.100000000000001" customHeight="1" thickBot="1">
      <c r="A55" s="13">
        <v>45947</v>
      </c>
    </row>
    <row r="56" spans="1:1" ht="20.100000000000001" customHeight="1" thickBot="1">
      <c r="A56" s="13">
        <v>45948</v>
      </c>
    </row>
    <row r="57" spans="1:1" ht="20.100000000000001" customHeight="1" thickBot="1">
      <c r="A57" s="13">
        <v>45949</v>
      </c>
    </row>
    <row r="58" spans="1:1" ht="20.100000000000001" customHeight="1" thickBot="1">
      <c r="A58" s="13">
        <v>45950</v>
      </c>
    </row>
    <row r="59" spans="1:1" ht="20.100000000000001" customHeight="1" thickBot="1">
      <c r="A59" s="13">
        <v>45951</v>
      </c>
    </row>
    <row r="60" spans="1:1" ht="20.100000000000001" customHeight="1" thickBot="1">
      <c r="A60" s="13">
        <v>45952</v>
      </c>
    </row>
    <row r="61" spans="1:1" ht="20.100000000000001" customHeight="1" thickBot="1">
      <c r="A61" s="13">
        <v>45953</v>
      </c>
    </row>
    <row r="62" spans="1:1" ht="20.100000000000001" customHeight="1" thickBot="1">
      <c r="A62" s="13">
        <v>45954</v>
      </c>
    </row>
    <row r="63" spans="1:1" ht="20.100000000000001" customHeight="1" thickBot="1">
      <c r="A63" s="13">
        <v>45955</v>
      </c>
    </row>
    <row r="64" spans="1:1" ht="20.100000000000001" customHeight="1" thickBot="1">
      <c r="A64" s="13">
        <v>45956</v>
      </c>
    </row>
    <row r="65" spans="1:1" ht="20.100000000000001" customHeight="1" thickBot="1">
      <c r="A65" s="13">
        <v>45957</v>
      </c>
    </row>
    <row r="66" spans="1:1" ht="20.100000000000001" customHeight="1" thickBot="1">
      <c r="A66" s="13">
        <v>45958</v>
      </c>
    </row>
    <row r="67" spans="1:1" ht="20.100000000000001" customHeight="1" thickBot="1">
      <c r="A67" s="13">
        <v>45959</v>
      </c>
    </row>
    <row r="68" spans="1:1" ht="20.100000000000001" customHeight="1" thickBot="1">
      <c r="A68" s="13">
        <v>45960</v>
      </c>
    </row>
    <row r="69" spans="1:1" ht="20.100000000000001" customHeight="1" thickBot="1">
      <c r="A69" s="13">
        <v>45961</v>
      </c>
    </row>
    <row r="70" spans="1:1" ht="20.100000000000001" customHeight="1" thickBot="1">
      <c r="A70" s="13"/>
    </row>
    <row r="71" spans="1:1" ht="20.100000000000001" customHeight="1" thickBot="1">
      <c r="A71" s="13"/>
    </row>
    <row r="72" spans="1:1" ht="20.100000000000001" customHeight="1" thickBot="1">
      <c r="A72" s="13"/>
    </row>
    <row r="73" spans="1:1" ht="20.100000000000001" customHeight="1" thickBot="1">
      <c r="A73" s="13"/>
    </row>
    <row r="74" spans="1:1" ht="20.100000000000001" customHeight="1" thickBot="1">
      <c r="A74" s="13"/>
    </row>
    <row r="75" spans="1:1" ht="20.100000000000001" customHeight="1" thickBot="1">
      <c r="A75" s="13"/>
    </row>
    <row r="76" spans="1:1" ht="20.100000000000001" customHeight="1" thickBot="1">
      <c r="A76" s="13"/>
    </row>
    <row r="77" spans="1:1" ht="20.100000000000001" customHeight="1" thickBot="1">
      <c r="A77" s="13"/>
    </row>
    <row r="78" spans="1:1" ht="20.100000000000001" customHeight="1" thickBot="1">
      <c r="A78" s="13"/>
    </row>
    <row r="79" spans="1:1" ht="20.100000000000001" customHeight="1" thickBot="1">
      <c r="A79" s="13"/>
    </row>
    <row r="80" spans="1:1" ht="20.100000000000001" customHeight="1" thickBot="1">
      <c r="A80" s="13"/>
    </row>
    <row r="81" spans="1:1" ht="20.100000000000001" customHeight="1" thickBot="1">
      <c r="A81" s="13"/>
    </row>
    <row r="82" spans="1:1" ht="20.100000000000001" customHeight="1" thickBot="1">
      <c r="A82" s="13"/>
    </row>
    <row r="83" spans="1:1" ht="20.100000000000001" customHeight="1" thickBot="1">
      <c r="A83" s="13"/>
    </row>
    <row r="84" spans="1:1" ht="20.100000000000001" customHeight="1" thickBot="1">
      <c r="A84" s="13"/>
    </row>
    <row r="85" spans="1:1" ht="20.100000000000001" customHeight="1" thickBot="1">
      <c r="A85" s="13"/>
    </row>
    <row r="86" spans="1:1" ht="20.100000000000001" customHeight="1" thickBot="1">
      <c r="A86" s="13"/>
    </row>
    <row r="87" spans="1:1" ht="20.100000000000001" customHeight="1" thickBot="1">
      <c r="A87" s="13"/>
    </row>
    <row r="88" spans="1:1" ht="20.100000000000001" customHeight="1" thickBot="1">
      <c r="A88" s="13"/>
    </row>
    <row r="89" spans="1:1" ht="20.100000000000001" customHeight="1" thickBot="1">
      <c r="A89" s="13"/>
    </row>
    <row r="90" spans="1:1" ht="20.100000000000001" customHeight="1" thickBot="1">
      <c r="A90" s="13"/>
    </row>
    <row r="91" spans="1:1" ht="20.100000000000001" customHeight="1" thickBot="1">
      <c r="A91" s="13"/>
    </row>
    <row r="92" spans="1:1" ht="20.100000000000001" customHeight="1" thickBot="1">
      <c r="A92" s="13"/>
    </row>
    <row r="93" spans="1:1" ht="20.100000000000001" customHeight="1" thickBot="1">
      <c r="A93" s="13"/>
    </row>
    <row r="94" spans="1:1" ht="20.100000000000001" customHeight="1" thickBot="1">
      <c r="A94" s="13"/>
    </row>
    <row r="95" spans="1:1" ht="20.100000000000001" customHeight="1" thickBot="1">
      <c r="A95" s="13"/>
    </row>
    <row r="96" spans="1:1" ht="20.100000000000001" customHeight="1" thickBot="1">
      <c r="A96" s="13"/>
    </row>
    <row r="97" spans="1:9" ht="20.100000000000001" customHeight="1" thickBot="1">
      <c r="A97" s="13"/>
    </row>
    <row r="98" spans="1:9" ht="20.100000000000001" customHeight="1" thickBot="1">
      <c r="A98" s="13"/>
    </row>
    <row r="99" spans="1:9" ht="20.100000000000001" customHeight="1" thickBot="1">
      <c r="A99" s="13"/>
    </row>
    <row r="100" spans="1:9" ht="20.100000000000001" customHeight="1" thickBot="1">
      <c r="A100" s="13"/>
    </row>
    <row r="101" spans="1:9" ht="20.100000000000001" customHeight="1" thickBot="1">
      <c r="A101" s="13"/>
    </row>
    <row r="102" spans="1:9" ht="20.100000000000001" customHeight="1" thickBot="1">
      <c r="A102" s="13"/>
    </row>
    <row r="103" spans="1:9" ht="20.100000000000001" customHeight="1" thickBot="1">
      <c r="A103" s="13"/>
    </row>
    <row r="104" spans="1:9" ht="20.100000000000001" customHeight="1" thickBot="1">
      <c r="A104" s="13"/>
    </row>
    <row r="105" spans="1:9" ht="20.100000000000001" customHeight="1" thickBot="1">
      <c r="A105" s="13"/>
    </row>
    <row r="106" spans="1:9" ht="20.100000000000001" customHeight="1" thickBot="1">
      <c r="A106" s="13"/>
    </row>
    <row r="107" spans="1:9" ht="20.100000000000001" customHeight="1">
      <c r="A107" s="14"/>
    </row>
    <row r="108" spans="1:9" ht="20.100000000000001" customHeight="1">
      <c r="A108" s="14"/>
    </row>
    <row r="109" spans="1:9" s="17" customFormat="1" ht="20.100000000000001" customHeight="1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/>
    <row r="111" spans="1:9" ht="20.100000000000001" customHeight="1" thickBot="1">
      <c r="A111" s="2" t="s">
        <v>61</v>
      </c>
    </row>
    <row r="112" spans="1:9" ht="20.100000000000001" customHeight="1" thickBot="1">
      <c r="A112" s="2" t="s">
        <v>17</v>
      </c>
    </row>
    <row r="113" spans="1:1" ht="20.100000000000001" customHeight="1" thickBot="1">
      <c r="A113" s="2">
        <v>0</v>
      </c>
    </row>
    <row r="114" spans="1:1" ht="20.100000000000001" customHeight="1" thickBot="1">
      <c r="A114" s="2">
        <v>0.25</v>
      </c>
    </row>
    <row r="115" spans="1:1" ht="20.100000000000001" customHeight="1" thickBot="1">
      <c r="A115" s="2">
        <v>0.5</v>
      </c>
    </row>
    <row r="116" spans="1:1" ht="20.100000000000001" customHeight="1" thickBot="1">
      <c r="A116" s="2">
        <v>0.75</v>
      </c>
    </row>
    <row r="117" spans="1:1" ht="20.100000000000001" customHeight="1" thickBot="1">
      <c r="A117" s="2">
        <v>1</v>
      </c>
    </row>
    <row r="118" spans="1:1" ht="20.100000000000001" customHeight="1" thickBot="1">
      <c r="A118" s="2">
        <v>1.25</v>
      </c>
    </row>
    <row r="119" spans="1:1" ht="20.100000000000001" customHeight="1" thickBot="1">
      <c r="A119" s="2">
        <v>1.5</v>
      </c>
    </row>
    <row r="120" spans="1:1" ht="20.100000000000001" customHeight="1" thickBot="1">
      <c r="A120" s="2">
        <v>1.75</v>
      </c>
    </row>
    <row r="121" spans="1:1" ht="20.100000000000001" customHeight="1" thickBot="1">
      <c r="A121" s="2">
        <v>2</v>
      </c>
    </row>
    <row r="122" spans="1:1" ht="20.100000000000001" customHeight="1" thickBot="1">
      <c r="A122" s="2">
        <v>2.25</v>
      </c>
    </row>
    <row r="123" spans="1:1" ht="20.100000000000001" customHeight="1" thickBot="1">
      <c r="A123" s="2">
        <v>2.5</v>
      </c>
    </row>
    <row r="124" spans="1:1" ht="20.100000000000001" customHeight="1" thickBot="1">
      <c r="A124" s="2">
        <v>2.75</v>
      </c>
    </row>
    <row r="125" spans="1:1" ht="20.100000000000001" customHeight="1" thickBot="1">
      <c r="A125" s="2">
        <v>3</v>
      </c>
    </row>
    <row r="126" spans="1:1" ht="20.100000000000001" customHeight="1" thickBot="1">
      <c r="A126" s="2">
        <v>3.25</v>
      </c>
    </row>
    <row r="127" spans="1:1" ht="20.100000000000001" customHeight="1" thickBot="1">
      <c r="A127" s="2">
        <v>3.5</v>
      </c>
    </row>
    <row r="128" spans="1:1" ht="20.100000000000001" customHeight="1" thickBot="1">
      <c r="A128" s="2">
        <v>3.75</v>
      </c>
    </row>
    <row r="129" spans="1:1" ht="20.100000000000001" customHeight="1" thickBot="1">
      <c r="A129" s="2">
        <v>4</v>
      </c>
    </row>
    <row r="130" spans="1:1" ht="20.100000000000001" customHeight="1" thickBot="1">
      <c r="A130" s="2">
        <v>4.25</v>
      </c>
    </row>
    <row r="131" spans="1:1" ht="20.100000000000001" customHeight="1" thickBot="1">
      <c r="A131" s="2">
        <v>4.5</v>
      </c>
    </row>
    <row r="132" spans="1:1" ht="20.100000000000001" customHeight="1" thickBot="1">
      <c r="A132" s="2">
        <v>4.75</v>
      </c>
    </row>
    <row r="133" spans="1:1" ht="20.100000000000001" customHeight="1" thickBot="1">
      <c r="A133" s="2">
        <v>5</v>
      </c>
    </row>
    <row r="134" spans="1:1" ht="20.100000000000001" customHeight="1" thickBot="1">
      <c r="A134" s="2">
        <v>5.25</v>
      </c>
    </row>
    <row r="135" spans="1:1" ht="20.100000000000001" customHeight="1" thickBot="1">
      <c r="A135" s="2">
        <v>5.5</v>
      </c>
    </row>
    <row r="136" spans="1:1" ht="20.100000000000001" customHeight="1" thickBot="1">
      <c r="A136" s="2">
        <v>5.75</v>
      </c>
    </row>
    <row r="137" spans="1:1" ht="20.100000000000001" customHeight="1" thickBot="1">
      <c r="A137" s="2">
        <v>6</v>
      </c>
    </row>
    <row r="138" spans="1:1" ht="20.100000000000001" customHeight="1" thickBot="1">
      <c r="A138" s="2">
        <v>6.25</v>
      </c>
    </row>
    <row r="139" spans="1:1" ht="20.100000000000001" customHeight="1" thickBot="1">
      <c r="A139" s="2">
        <v>6.5</v>
      </c>
    </row>
    <row r="140" spans="1:1" ht="20.100000000000001" customHeight="1" thickBot="1">
      <c r="A140" s="2">
        <v>6.75</v>
      </c>
    </row>
    <row r="141" spans="1:1" ht="20.100000000000001" customHeight="1" thickBot="1">
      <c r="A141" s="2">
        <v>7</v>
      </c>
    </row>
    <row r="142" spans="1:1" ht="20.100000000000001" customHeight="1" thickBot="1">
      <c r="A142" s="2">
        <v>7.25</v>
      </c>
    </row>
    <row r="143" spans="1:1" ht="20.100000000000001" customHeight="1" thickBot="1">
      <c r="A143" s="2">
        <v>7.5</v>
      </c>
    </row>
    <row r="144" spans="1:1" ht="20.100000000000001" customHeight="1" thickBot="1">
      <c r="A144" s="2">
        <v>7.75</v>
      </c>
    </row>
    <row r="145" spans="1:1" ht="20.100000000000001" customHeight="1" thickBot="1">
      <c r="A145" s="2">
        <v>8</v>
      </c>
    </row>
    <row r="146" spans="1:1" ht="20.100000000000001" customHeight="1" thickBot="1">
      <c r="A146" s="2">
        <v>8.25</v>
      </c>
    </row>
    <row r="147" spans="1:1" ht="20.100000000000001" customHeight="1" thickBot="1">
      <c r="A147" s="2">
        <v>8.5</v>
      </c>
    </row>
    <row r="148" spans="1:1" ht="20.100000000000001" customHeight="1" thickBot="1">
      <c r="A148" s="2">
        <v>8.75</v>
      </c>
    </row>
    <row r="149" spans="1:1" ht="20.100000000000001" customHeight="1" thickBot="1">
      <c r="A149" s="2">
        <v>9</v>
      </c>
    </row>
    <row r="150" spans="1:1" ht="20.100000000000001" customHeight="1" thickBot="1">
      <c r="A150" s="2">
        <v>9.25</v>
      </c>
    </row>
    <row r="151" spans="1:1" ht="20.100000000000001" customHeight="1" thickBot="1">
      <c r="A151" s="2">
        <v>9.5</v>
      </c>
    </row>
    <row r="152" spans="1:1" ht="20.100000000000001" customHeight="1" thickBot="1">
      <c r="A152" s="2">
        <v>9.75</v>
      </c>
    </row>
    <row r="153" spans="1:1" ht="20.100000000000001" customHeight="1" thickBot="1">
      <c r="A153" s="2">
        <v>10</v>
      </c>
    </row>
    <row r="154" spans="1:1" ht="20.100000000000001" customHeight="1" thickBot="1">
      <c r="A154" s="2">
        <v>10.25</v>
      </c>
    </row>
    <row r="155" spans="1:1" ht="20.100000000000001" customHeight="1" thickBot="1">
      <c r="A155" s="2">
        <v>10.5</v>
      </c>
    </row>
    <row r="156" spans="1:1" ht="20.100000000000001" customHeight="1" thickBot="1">
      <c r="A156" s="2">
        <v>10.75</v>
      </c>
    </row>
    <row r="157" spans="1:1" ht="20.100000000000001" customHeight="1" thickBot="1">
      <c r="A157" s="2">
        <v>11</v>
      </c>
    </row>
    <row r="158" spans="1:1" ht="20.100000000000001" customHeight="1" thickBot="1">
      <c r="A158" s="2">
        <v>11.25</v>
      </c>
    </row>
    <row r="159" spans="1:1" ht="20.100000000000001" customHeight="1" thickBot="1">
      <c r="A159" s="2">
        <v>11.5</v>
      </c>
    </row>
    <row r="160" spans="1:1" ht="20.100000000000001" customHeight="1" thickBot="1">
      <c r="A160" s="2">
        <v>11.75</v>
      </c>
    </row>
    <row r="161" spans="1:1" ht="20.100000000000001" customHeight="1" thickBot="1">
      <c r="A161" s="2">
        <v>12</v>
      </c>
    </row>
    <row r="162" spans="1:1" ht="20.100000000000001" customHeight="1" thickBot="1">
      <c r="A162" s="2">
        <v>12.25</v>
      </c>
    </row>
    <row r="163" spans="1:1" ht="20.100000000000001" customHeight="1" thickBot="1">
      <c r="A163" s="2">
        <v>12.5</v>
      </c>
    </row>
    <row r="164" spans="1:1" ht="20.100000000000001" customHeight="1" thickBot="1">
      <c r="A164" s="2">
        <v>12.75</v>
      </c>
    </row>
    <row r="165" spans="1:1" ht="20.100000000000001" customHeight="1" thickBot="1">
      <c r="A165" s="2">
        <v>13</v>
      </c>
    </row>
    <row r="166" spans="1:1" ht="20.100000000000001" customHeight="1" thickBot="1">
      <c r="A166" s="2">
        <v>13.25</v>
      </c>
    </row>
    <row r="167" spans="1:1" ht="20.100000000000001" customHeight="1" thickBot="1">
      <c r="A167" s="2">
        <v>13.5</v>
      </c>
    </row>
    <row r="168" spans="1:1" ht="20.100000000000001" customHeight="1" thickBot="1">
      <c r="A168" s="2">
        <v>13.75</v>
      </c>
    </row>
    <row r="169" spans="1:1" ht="20.100000000000001" customHeight="1" thickBot="1">
      <c r="A169" s="2">
        <v>14</v>
      </c>
    </row>
    <row r="170" spans="1:1" ht="20.100000000000001" customHeight="1" thickBot="1">
      <c r="A170" s="2">
        <v>14.25</v>
      </c>
    </row>
    <row r="171" spans="1:1" ht="20.100000000000001" customHeight="1" thickBot="1">
      <c r="A171" s="2">
        <v>14.5</v>
      </c>
    </row>
    <row r="172" spans="1:1" ht="20.100000000000001" customHeight="1" thickBot="1">
      <c r="A172" s="2">
        <v>14.75</v>
      </c>
    </row>
    <row r="173" spans="1:1" ht="20.100000000000001" customHeight="1" thickBot="1">
      <c r="A173" s="2">
        <v>15</v>
      </c>
    </row>
    <row r="174" spans="1:1" ht="20.100000000000001" customHeight="1" thickBot="1">
      <c r="A174" s="2">
        <v>15.25</v>
      </c>
    </row>
    <row r="175" spans="1:1" ht="20.100000000000001" customHeight="1" thickBot="1">
      <c r="A175" s="2">
        <v>15.5</v>
      </c>
    </row>
    <row r="176" spans="1:1" ht="20.100000000000001" customHeight="1" thickBot="1">
      <c r="A176" s="2">
        <v>15.75</v>
      </c>
    </row>
    <row r="177" spans="1:1" ht="20.100000000000001" customHeight="1" thickBot="1">
      <c r="A177" s="2">
        <v>16</v>
      </c>
    </row>
    <row r="178" spans="1:1" ht="20.100000000000001" customHeight="1" thickBot="1">
      <c r="A178" s="2">
        <v>16.25</v>
      </c>
    </row>
    <row r="179" spans="1:1" ht="20.100000000000001" customHeight="1" thickBot="1">
      <c r="A179" s="2">
        <v>16.5</v>
      </c>
    </row>
    <row r="180" spans="1:1" ht="20.100000000000001" customHeight="1" thickBot="1">
      <c r="A180" s="2">
        <v>16.75</v>
      </c>
    </row>
    <row r="181" spans="1:1" ht="20.100000000000001" customHeight="1" thickBot="1">
      <c r="A181" s="2">
        <v>17</v>
      </c>
    </row>
    <row r="182" spans="1:1" ht="20.100000000000001" customHeight="1" thickBot="1">
      <c r="A182" s="2">
        <v>17.25</v>
      </c>
    </row>
    <row r="183" spans="1:1" ht="20.100000000000001" customHeight="1" thickBot="1">
      <c r="A183" s="2">
        <v>17.5</v>
      </c>
    </row>
    <row r="184" spans="1:1" ht="20.100000000000001" customHeight="1" thickBot="1">
      <c r="A184" s="2">
        <v>17.75</v>
      </c>
    </row>
    <row r="185" spans="1:1" ht="20.100000000000001" customHeight="1" thickBot="1">
      <c r="A185" s="2">
        <v>18</v>
      </c>
    </row>
    <row r="186" spans="1:1" ht="20.100000000000001" customHeight="1" thickBot="1">
      <c r="A186" s="2">
        <v>18.25</v>
      </c>
    </row>
    <row r="187" spans="1:1" ht="20.100000000000001" customHeight="1" thickBot="1">
      <c r="A187" s="2">
        <v>18.5</v>
      </c>
    </row>
    <row r="188" spans="1:1" ht="20.100000000000001" customHeight="1" thickBot="1">
      <c r="A188" s="2">
        <v>18.75</v>
      </c>
    </row>
    <row r="189" spans="1:1" ht="20.100000000000001" customHeight="1" thickBot="1">
      <c r="A189" s="2">
        <v>19</v>
      </c>
    </row>
    <row r="190" spans="1:1" ht="20.100000000000001" customHeight="1" thickBot="1">
      <c r="A190" s="2">
        <v>19.25</v>
      </c>
    </row>
    <row r="191" spans="1:1" ht="20.100000000000001" customHeight="1" thickBot="1">
      <c r="A191" s="2">
        <v>19.5</v>
      </c>
    </row>
    <row r="192" spans="1:1" ht="20.100000000000001" customHeight="1" thickBot="1">
      <c r="A192" s="2">
        <v>19.75</v>
      </c>
    </row>
    <row r="193" spans="1:1" ht="20.100000000000001" customHeight="1" thickBot="1">
      <c r="A193" s="2">
        <v>20</v>
      </c>
    </row>
    <row r="197" spans="1:1" ht="20.100000000000001" customHeight="1" thickBot="1"/>
    <row r="198" spans="1:1" ht="20.100000000000001" customHeight="1" thickBot="1">
      <c r="A198" s="2" t="s">
        <v>59</v>
      </c>
    </row>
    <row r="199" spans="1:1" ht="20.100000000000001" customHeight="1">
      <c r="A199" s="20" t="s">
        <v>89</v>
      </c>
    </row>
    <row r="200" spans="1:1" ht="20.100000000000001" customHeight="1">
      <c r="A200" s="20" t="s">
        <v>90</v>
      </c>
    </row>
    <row r="201" spans="1:1" ht="20.100000000000001" customHeight="1">
      <c r="A201" s="20" t="s">
        <v>91</v>
      </c>
    </row>
    <row r="202" spans="1:1" ht="20.100000000000001" customHeight="1">
      <c r="A202" s="20" t="s">
        <v>92</v>
      </c>
    </row>
    <row r="203" spans="1:1" ht="20.100000000000001" customHeight="1">
      <c r="A203" s="20" t="s">
        <v>93</v>
      </c>
    </row>
    <row r="204" spans="1:1" ht="20.100000000000001" customHeight="1">
      <c r="A204" s="20" t="s">
        <v>94</v>
      </c>
    </row>
    <row r="205" spans="1:1" ht="20.100000000000001" customHeight="1">
      <c r="A205" s="20" t="s">
        <v>95</v>
      </c>
    </row>
    <row r="206" spans="1:1" ht="20.100000000000001" customHeight="1">
      <c r="A206" s="20" t="s">
        <v>96</v>
      </c>
    </row>
    <row r="207" spans="1:1" ht="20.100000000000001" customHeight="1">
      <c r="A207" s="20" t="s">
        <v>97</v>
      </c>
    </row>
    <row r="208" spans="1:1" ht="20.100000000000001" customHeight="1">
      <c r="A208" s="21" t="s">
        <v>98</v>
      </c>
    </row>
    <row r="209" spans="1:1" ht="20.100000000000001" customHeight="1">
      <c r="A209" s="21" t="s">
        <v>99</v>
      </c>
    </row>
    <row r="210" spans="1:1" ht="20.100000000000001" customHeight="1">
      <c r="A210" s="20" t="s">
        <v>100</v>
      </c>
    </row>
    <row r="211" spans="1:1" ht="20.100000000000001" customHeight="1">
      <c r="A211" s="20" t="s">
        <v>101</v>
      </c>
    </row>
    <row r="212" spans="1:1" ht="20.100000000000001" customHeight="1">
      <c r="A212" s="20" t="s">
        <v>175</v>
      </c>
    </row>
    <row r="213" spans="1:1" ht="20.100000000000001" customHeight="1">
      <c r="A213" s="20" t="s">
        <v>102</v>
      </c>
    </row>
    <row r="214" spans="1:1" ht="20.100000000000001" customHeight="1">
      <c r="A214" s="20" t="s">
        <v>103</v>
      </c>
    </row>
    <row r="215" spans="1:1" ht="20.100000000000001" customHeight="1">
      <c r="A215" s="20" t="s">
        <v>104</v>
      </c>
    </row>
    <row r="216" spans="1:1" ht="20.100000000000001" customHeight="1">
      <c r="A216" s="20" t="s">
        <v>105</v>
      </c>
    </row>
    <row r="217" spans="1:1" ht="20.100000000000001" customHeight="1">
      <c r="A217" s="20" t="s">
        <v>106</v>
      </c>
    </row>
    <row r="218" spans="1:1" ht="20.100000000000001" customHeight="1">
      <c r="A218" s="20" t="s">
        <v>107</v>
      </c>
    </row>
    <row r="219" spans="1:1" ht="20.100000000000001" customHeight="1">
      <c r="A219" s="20" t="s">
        <v>108</v>
      </c>
    </row>
    <row r="220" spans="1:1" ht="20.100000000000001" customHeight="1">
      <c r="A220" s="20" t="s">
        <v>109</v>
      </c>
    </row>
    <row r="221" spans="1:1" ht="20.100000000000001" customHeight="1">
      <c r="A221" s="20" t="s">
        <v>110</v>
      </c>
    </row>
    <row r="222" spans="1:1" ht="20.100000000000001" customHeight="1">
      <c r="A222" s="20" t="s">
        <v>111</v>
      </c>
    </row>
    <row r="223" spans="1:1" ht="20.100000000000001" customHeight="1">
      <c r="A223" s="20" t="s">
        <v>112</v>
      </c>
    </row>
    <row r="224" spans="1:1" ht="20.100000000000001" customHeight="1">
      <c r="A224" s="20" t="s">
        <v>176</v>
      </c>
    </row>
    <row r="225" spans="1:1" ht="20.100000000000001" customHeight="1">
      <c r="A225" s="20" t="s">
        <v>113</v>
      </c>
    </row>
    <row r="226" spans="1:1" ht="20.100000000000001" customHeight="1">
      <c r="A226" s="20" t="s">
        <v>114</v>
      </c>
    </row>
    <row r="227" spans="1:1" ht="20.100000000000001" customHeight="1">
      <c r="A227" s="20" t="s">
        <v>115</v>
      </c>
    </row>
    <row r="228" spans="1:1" ht="20.100000000000001" customHeight="1">
      <c r="A228" s="20" t="s">
        <v>116</v>
      </c>
    </row>
    <row r="229" spans="1:1" ht="20.100000000000001" customHeight="1">
      <c r="A229" s="20" t="s">
        <v>117</v>
      </c>
    </row>
    <row r="230" spans="1:1" ht="20.100000000000001" customHeight="1">
      <c r="A230" s="20" t="s">
        <v>118</v>
      </c>
    </row>
    <row r="231" spans="1:1" ht="20.100000000000001" customHeight="1">
      <c r="A231" s="20" t="s">
        <v>119</v>
      </c>
    </row>
    <row r="232" spans="1:1" ht="20.100000000000001" customHeight="1">
      <c r="A232" s="20" t="s">
        <v>120</v>
      </c>
    </row>
    <row r="233" spans="1:1" ht="20.100000000000001" customHeight="1">
      <c r="A233" s="20" t="s">
        <v>121</v>
      </c>
    </row>
    <row r="234" spans="1:1" ht="20.100000000000001" customHeight="1">
      <c r="A234" s="20" t="s">
        <v>122</v>
      </c>
    </row>
    <row r="235" spans="1:1" ht="20.100000000000001" customHeight="1">
      <c r="A235" s="20" t="s">
        <v>123</v>
      </c>
    </row>
    <row r="236" spans="1:1" ht="20.100000000000001" customHeight="1">
      <c r="A236" s="22" t="s">
        <v>124</v>
      </c>
    </row>
    <row r="237" spans="1:1" ht="20.100000000000001" customHeight="1">
      <c r="A237" s="20" t="s">
        <v>125</v>
      </c>
    </row>
    <row r="238" spans="1:1" ht="20.100000000000001" customHeight="1">
      <c r="A238" s="20" t="s">
        <v>126</v>
      </c>
    </row>
    <row r="239" spans="1:1" ht="20.100000000000001" customHeight="1">
      <c r="A239" s="20" t="s">
        <v>127</v>
      </c>
    </row>
    <row r="240" spans="1:1" ht="20.100000000000001" customHeight="1">
      <c r="A240" s="20" t="s">
        <v>128</v>
      </c>
    </row>
    <row r="241" spans="1:1" ht="20.100000000000001" customHeight="1">
      <c r="A241" s="20" t="s">
        <v>129</v>
      </c>
    </row>
    <row r="242" spans="1:1" ht="20.100000000000001" customHeight="1">
      <c r="A242" s="20" t="s">
        <v>130</v>
      </c>
    </row>
    <row r="243" spans="1:1" ht="20.100000000000001" customHeight="1">
      <c r="A243" s="20" t="s">
        <v>131</v>
      </c>
    </row>
    <row r="244" spans="1:1" ht="20.100000000000001" customHeight="1">
      <c r="A244" s="20" t="s">
        <v>132</v>
      </c>
    </row>
    <row r="245" spans="1:1" ht="20.100000000000001" customHeight="1">
      <c r="A245" s="20" t="s">
        <v>133</v>
      </c>
    </row>
    <row r="246" spans="1:1" ht="20.100000000000001" customHeight="1">
      <c r="A246" s="20" t="s">
        <v>134</v>
      </c>
    </row>
    <row r="247" spans="1:1" ht="20.100000000000001" customHeight="1">
      <c r="A247" s="20" t="s">
        <v>135</v>
      </c>
    </row>
    <row r="248" spans="1:1" ht="20.100000000000001" customHeight="1">
      <c r="A248" s="20" t="s">
        <v>126</v>
      </c>
    </row>
    <row r="249" spans="1:1" ht="20.100000000000001" customHeight="1">
      <c r="A249" s="20" t="s">
        <v>136</v>
      </c>
    </row>
    <row r="250" spans="1:1" ht="20.100000000000001" customHeight="1">
      <c r="A250" s="20" t="s">
        <v>137</v>
      </c>
    </row>
    <row r="251" spans="1:1" ht="20.100000000000001" customHeight="1">
      <c r="A251" s="22" t="s">
        <v>138</v>
      </c>
    </row>
    <row r="252" spans="1:1" ht="20.100000000000001" customHeight="1">
      <c r="A252" s="23" t="s">
        <v>139</v>
      </c>
    </row>
    <row r="253" spans="1:1" ht="20.100000000000001" customHeight="1">
      <c r="A253" s="20" t="s">
        <v>140</v>
      </c>
    </row>
    <row r="254" spans="1:1" ht="20.100000000000001" customHeight="1">
      <c r="A254" s="20" t="s">
        <v>141</v>
      </c>
    </row>
    <row r="255" spans="1:1" ht="20.100000000000001" customHeight="1">
      <c r="A255" s="24" t="s">
        <v>142</v>
      </c>
    </row>
    <row r="256" spans="1:1" ht="20.100000000000001" customHeight="1">
      <c r="A256" s="24" t="s">
        <v>143</v>
      </c>
    </row>
    <row r="257" spans="1:1" ht="20.100000000000001" customHeight="1">
      <c r="A257" s="25" t="s">
        <v>144</v>
      </c>
    </row>
    <row r="258" spans="1:1" ht="20.100000000000001" customHeight="1">
      <c r="A258" s="20" t="s">
        <v>145</v>
      </c>
    </row>
    <row r="259" spans="1:1" ht="20.100000000000001" customHeight="1">
      <c r="A259" s="25" t="s">
        <v>146</v>
      </c>
    </row>
    <row r="260" spans="1:1" ht="20.100000000000001" customHeight="1">
      <c r="A260" s="20" t="s">
        <v>147</v>
      </c>
    </row>
    <row r="261" spans="1:1" ht="20.100000000000001" customHeight="1">
      <c r="A261" s="25" t="s">
        <v>148</v>
      </c>
    </row>
    <row r="262" spans="1:1" ht="20.100000000000001" customHeight="1">
      <c r="A262" s="20" t="s">
        <v>149</v>
      </c>
    </row>
    <row r="263" spans="1:1" ht="20.100000000000001" customHeight="1">
      <c r="A263" s="20" t="s">
        <v>150</v>
      </c>
    </row>
    <row r="264" spans="1:1" ht="20.100000000000001" customHeight="1">
      <c r="A264" s="25" t="s">
        <v>151</v>
      </c>
    </row>
    <row r="265" spans="1:1" ht="20.100000000000001" customHeight="1">
      <c r="A265" s="25" t="s">
        <v>152</v>
      </c>
    </row>
    <row r="266" spans="1:1" ht="20.100000000000001" customHeight="1">
      <c r="A266" s="25" t="s">
        <v>153</v>
      </c>
    </row>
    <row r="267" spans="1:1" ht="20.100000000000001" customHeight="1">
      <c r="A267" s="20" t="s">
        <v>154</v>
      </c>
    </row>
    <row r="268" spans="1:1" ht="20.100000000000001" customHeight="1">
      <c r="A268" s="20" t="s">
        <v>155</v>
      </c>
    </row>
    <row r="269" spans="1:1" ht="20.100000000000001" customHeight="1">
      <c r="A269" s="20" t="s">
        <v>156</v>
      </c>
    </row>
    <row r="270" spans="1:1" ht="20.100000000000001" customHeight="1">
      <c r="A270" s="20" t="s">
        <v>157</v>
      </c>
    </row>
    <row r="271" spans="1:1" ht="20.100000000000001" customHeight="1">
      <c r="A271" s="25" t="s">
        <v>158</v>
      </c>
    </row>
    <row r="272" spans="1:1" ht="20.100000000000001" customHeight="1">
      <c r="A272" s="25" t="s">
        <v>159</v>
      </c>
    </row>
    <row r="273" spans="1:1" ht="20.100000000000001" customHeight="1">
      <c r="A273" s="20" t="s">
        <v>160</v>
      </c>
    </row>
    <row r="274" spans="1:1" ht="20.100000000000001" customHeight="1">
      <c r="A274" s="25" t="s">
        <v>161</v>
      </c>
    </row>
    <row r="275" spans="1:1" ht="20.100000000000001" customHeight="1">
      <c r="A275" s="25" t="s">
        <v>162</v>
      </c>
    </row>
    <row r="276" spans="1:1" ht="20.100000000000001" customHeight="1">
      <c r="A276" s="20" t="s">
        <v>163</v>
      </c>
    </row>
    <row r="277" spans="1:1" ht="20.100000000000001" customHeight="1">
      <c r="A277" s="20" t="s">
        <v>164</v>
      </c>
    </row>
    <row r="278" spans="1:1" ht="20.100000000000001" customHeight="1">
      <c r="A278" s="25" t="s">
        <v>165</v>
      </c>
    </row>
    <row r="279" spans="1:1" ht="20.100000000000001" customHeight="1">
      <c r="A279" s="20" t="s">
        <v>166</v>
      </c>
    </row>
    <row r="280" spans="1:1" ht="20.100000000000001" customHeight="1">
      <c r="A280" s="20" t="s">
        <v>167</v>
      </c>
    </row>
    <row r="281" spans="1:1" ht="20.100000000000001" customHeight="1">
      <c r="A281" s="20" t="s">
        <v>168</v>
      </c>
    </row>
    <row r="282" spans="1:1" ht="20.100000000000001" customHeight="1">
      <c r="A282" s="20" t="s">
        <v>169</v>
      </c>
    </row>
    <row r="283" spans="1:1" ht="20.100000000000001" customHeight="1">
      <c r="A283" s="25" t="s">
        <v>170</v>
      </c>
    </row>
    <row r="284" spans="1:1" ht="20.100000000000001" customHeight="1">
      <c r="A284" s="25" t="s">
        <v>171</v>
      </c>
    </row>
    <row r="285" spans="1:1" ht="20.100000000000001" customHeight="1">
      <c r="A285" s="25" t="s">
        <v>172</v>
      </c>
    </row>
    <row r="286" spans="1:1" ht="20.100000000000001" customHeight="1" thickBot="1">
      <c r="A286" s="20" t="s">
        <v>173</v>
      </c>
    </row>
    <row r="287" spans="1:1" ht="20.100000000000001" customHeight="1" thickBot="1">
      <c r="A287" s="2" t="s">
        <v>58</v>
      </c>
    </row>
    <row r="288" spans="1:1" ht="20.100000000000001" customHeight="1" thickBot="1">
      <c r="A288" s="2" t="s">
        <v>58</v>
      </c>
    </row>
    <row r="289" spans="1:1" ht="20.100000000000001" customHeight="1" thickBot="1">
      <c r="A289" s="2" t="s">
        <v>58</v>
      </c>
    </row>
    <row r="290" spans="1:1" ht="20.100000000000001" customHeight="1" thickBot="1">
      <c r="A290" s="2" t="s">
        <v>58</v>
      </c>
    </row>
    <row r="291" spans="1:1" ht="20.100000000000001" customHeight="1" thickBot="1">
      <c r="A291" s="2" t="s">
        <v>58</v>
      </c>
    </row>
    <row r="292" spans="1:1" ht="20.100000000000001" customHeight="1" thickBot="1">
      <c r="A292" s="2" t="s">
        <v>58</v>
      </c>
    </row>
    <row r="293" spans="1:1" ht="20.100000000000001" customHeight="1" thickBot="1">
      <c r="A293" s="2" t="s">
        <v>58</v>
      </c>
    </row>
    <row r="294" spans="1:1" ht="20.100000000000001" customHeight="1" thickBot="1">
      <c r="A294" s="2" t="s">
        <v>58</v>
      </c>
    </row>
    <row r="295" spans="1:1" ht="20.100000000000001" customHeight="1" thickBot="1">
      <c r="A295" s="2" t="s">
        <v>58</v>
      </c>
    </row>
    <row r="296" spans="1:1" ht="20.100000000000001" customHeight="1" thickBot="1">
      <c r="A296" s="2" t="s">
        <v>58</v>
      </c>
    </row>
    <row r="297" spans="1:1" ht="20.100000000000001" customHeight="1" thickBot="1">
      <c r="A297" s="2" t="s">
        <v>58</v>
      </c>
    </row>
    <row r="298" spans="1:1" ht="20.100000000000001" customHeight="1" thickBot="1">
      <c r="A298" s="2" t="s">
        <v>58</v>
      </c>
    </row>
    <row r="299" spans="1:1" ht="20.100000000000001" customHeight="1" thickBot="1">
      <c r="A299" s="2" t="s">
        <v>58</v>
      </c>
    </row>
    <row r="300" spans="1:1" ht="20.100000000000001" customHeight="1" thickBot="1">
      <c r="A300" s="2" t="s">
        <v>58</v>
      </c>
    </row>
    <row r="301" spans="1:1" ht="20.100000000000001" customHeight="1" thickBot="1">
      <c r="A301" s="2" t="s">
        <v>58</v>
      </c>
    </row>
    <row r="302" spans="1:1" ht="20.100000000000001" customHeight="1" thickBot="1">
      <c r="A302" s="2" t="s">
        <v>58</v>
      </c>
    </row>
    <row r="303" spans="1:1" ht="20.100000000000001" customHeight="1" thickBot="1">
      <c r="A303" s="2" t="s">
        <v>58</v>
      </c>
    </row>
    <row r="304" spans="1:1" ht="20.100000000000001" customHeight="1" thickBot="1">
      <c r="A304" s="2" t="s">
        <v>58</v>
      </c>
    </row>
    <row r="305" spans="1:1" ht="20.100000000000001" customHeight="1" thickBot="1">
      <c r="A305" s="2" t="s">
        <v>58</v>
      </c>
    </row>
    <row r="306" spans="1:1" ht="20.100000000000001" customHeight="1" thickBot="1">
      <c r="A306" s="2" t="s">
        <v>58</v>
      </c>
    </row>
    <row r="307" spans="1:1" ht="20.100000000000001" customHeight="1" thickBot="1">
      <c r="A307" s="2" t="s">
        <v>58</v>
      </c>
    </row>
    <row r="308" spans="1:1" ht="20.100000000000001" customHeight="1" thickBot="1">
      <c r="A308" s="2" t="s">
        <v>58</v>
      </c>
    </row>
    <row r="309" spans="1:1" ht="20.100000000000001" customHeight="1" thickBot="1">
      <c r="A309" s="2" t="s">
        <v>58</v>
      </c>
    </row>
    <row r="310" spans="1:1" ht="20.100000000000001" customHeight="1" thickBot="1">
      <c r="A310" s="2" t="s">
        <v>58</v>
      </c>
    </row>
    <row r="311" spans="1:1" ht="20.100000000000001" customHeight="1" thickBot="1">
      <c r="A311" s="2" t="s">
        <v>58</v>
      </c>
    </row>
    <row r="312" spans="1:1" ht="20.100000000000001" customHeight="1" thickBot="1">
      <c r="A312" s="2" t="s">
        <v>58</v>
      </c>
    </row>
    <row r="313" spans="1:1" ht="20.100000000000001" customHeight="1" thickBot="1">
      <c r="A313" s="2" t="s">
        <v>58</v>
      </c>
    </row>
    <row r="314" spans="1:1" ht="20.100000000000001" customHeight="1" thickBot="1">
      <c r="A314" s="2" t="s">
        <v>58</v>
      </c>
    </row>
    <row r="315" spans="1:1" ht="20.100000000000001" customHeight="1" thickBot="1">
      <c r="A315" s="2" t="s">
        <v>58</v>
      </c>
    </row>
    <row r="316" spans="1:1" ht="20.100000000000001" customHeight="1" thickBot="1">
      <c r="A316" s="2" t="s">
        <v>58</v>
      </c>
    </row>
    <row r="317" spans="1:1" ht="20.100000000000001" customHeight="1" thickBot="1">
      <c r="A317" s="2" t="s">
        <v>58</v>
      </c>
    </row>
    <row r="318" spans="1:1" ht="20.100000000000001" customHeight="1" thickBot="1">
      <c r="A318" s="2" t="s">
        <v>58</v>
      </c>
    </row>
    <row r="319" spans="1:1" ht="20.100000000000001" customHeight="1" thickBot="1">
      <c r="A319" s="2" t="s">
        <v>58</v>
      </c>
    </row>
    <row r="320" spans="1:1" ht="20.100000000000001" customHeight="1" thickBot="1">
      <c r="A320" s="2" t="s">
        <v>58</v>
      </c>
    </row>
    <row r="321" spans="1:1" ht="20.100000000000001" customHeight="1" thickBot="1">
      <c r="A321" s="2" t="s">
        <v>58</v>
      </c>
    </row>
    <row r="322" spans="1:1" ht="20.100000000000001" customHeight="1" thickBot="1">
      <c r="A322" s="2" t="s">
        <v>58</v>
      </c>
    </row>
    <row r="323" spans="1:1" ht="20.100000000000001" customHeight="1" thickBot="1">
      <c r="A323" s="2" t="s">
        <v>58</v>
      </c>
    </row>
    <row r="324" spans="1:1" ht="20.100000000000001" customHeight="1" thickBot="1">
      <c r="A324" s="2" t="s">
        <v>58</v>
      </c>
    </row>
    <row r="325" spans="1:1" ht="20.100000000000001" customHeight="1" thickBot="1">
      <c r="A325" s="2" t="s">
        <v>58</v>
      </c>
    </row>
    <row r="326" spans="1:1" ht="20.100000000000001" customHeight="1" thickBot="1">
      <c r="A326" s="2" t="s">
        <v>58</v>
      </c>
    </row>
    <row r="327" spans="1:1" ht="20.100000000000001" customHeight="1" thickBot="1">
      <c r="A327" s="2" t="s">
        <v>58</v>
      </c>
    </row>
    <row r="328" spans="1:1" ht="20.100000000000001" customHeight="1" thickBot="1">
      <c r="A328" s="2" t="s">
        <v>58</v>
      </c>
    </row>
    <row r="329" spans="1:1" ht="20.100000000000001" customHeight="1" thickBot="1">
      <c r="A329" s="2" t="s">
        <v>58</v>
      </c>
    </row>
    <row r="330" spans="1:1" ht="20.100000000000001" customHeight="1" thickBot="1">
      <c r="A330" s="2" t="s">
        <v>58</v>
      </c>
    </row>
    <row r="331" spans="1:1" ht="20.100000000000001" customHeight="1" thickBot="1">
      <c r="A331" s="2" t="s">
        <v>58</v>
      </c>
    </row>
    <row r="332" spans="1:1" ht="20.100000000000001" customHeight="1" thickBot="1">
      <c r="A332" s="2" t="s">
        <v>58</v>
      </c>
    </row>
    <row r="333" spans="1:1" ht="20.100000000000001" customHeight="1" thickBot="1">
      <c r="A333" s="2" t="s">
        <v>58</v>
      </c>
    </row>
    <row r="334" spans="1:1" ht="20.100000000000001" customHeight="1" thickBot="1">
      <c r="A334" s="2" t="s">
        <v>58</v>
      </c>
    </row>
    <row r="335" spans="1:1" ht="20.100000000000001" customHeight="1" thickBot="1">
      <c r="A335" s="2" t="s">
        <v>58</v>
      </c>
    </row>
    <row r="336" spans="1:1" ht="20.100000000000001" customHeight="1" thickBot="1">
      <c r="A336" s="2" t="s">
        <v>58</v>
      </c>
    </row>
    <row r="337" spans="1:1" ht="20.100000000000001" customHeight="1" thickBot="1">
      <c r="A337" s="2" t="s">
        <v>58</v>
      </c>
    </row>
    <row r="338" spans="1:1" ht="20.100000000000001" customHeight="1" thickBot="1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2025-10-20T15:29:08Z</dcterms:modified>
</cp:coreProperties>
</file>