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D0A75DC-613B-4FB5-B530-74F111E911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 s="1"/>
  <c r="G12" i="2"/>
  <c r="H12" i="2"/>
  <c r="G13" i="2"/>
  <c r="H13" i="2"/>
  <c r="G14" i="2"/>
  <c r="H14" i="2" s="1"/>
  <c r="G15" i="2"/>
  <c r="H15" i="2"/>
  <c r="G16" i="2"/>
  <c r="H16" i="2" s="1"/>
  <c r="G8" i="2"/>
  <c r="H8" i="2"/>
  <c r="F17" i="2"/>
  <c r="E18" i="2" s="1"/>
  <c r="E19" i="2" s="1"/>
  <c r="E17" i="2"/>
</calcChain>
</file>

<file path=xl/sharedStrings.xml><?xml version="1.0" encoding="utf-8"?>
<sst xmlns="http://schemas.openxmlformats.org/spreadsheetml/2006/main" count="246" uniqueCount="191">
  <si>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</si>
  <si>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</si>
  <si>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</si>
  <si>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</si>
  <si>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</si>
  <si>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</si>
  <si>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</si>
  <si>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</si>
  <si>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</si>
  <si>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</si>
  <si>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</si>
  <si>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</si>
  <si>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</si>
  <si>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</si>
  <si>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</si>
  <si>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</si>
  <si>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</si>
  <si>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</si>
  <si>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</si>
  <si>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</si>
  <si>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</si>
  <si>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</si>
  <si>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</si>
  <si>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</si>
  <si>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</si>
  <si>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</si>
  <si>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</si>
  <si>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</si>
  <si>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</si>
  <si>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</si>
  <si>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</si>
  <si>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</si>
  <si>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</si>
  <si>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</si>
  <si>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</si>
  <si>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</si>
  <si>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</si>
  <si>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</si>
  <si>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</si>
  <si>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</si>
  <si>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</si>
  <si>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</si>
  <si>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</si>
  <si>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</si>
  <si>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</si>
  <si>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</si>
  <si>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</si>
  <si>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</si>
  <si>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</si>
  <si>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</si>
  <si>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</si>
  <si>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</si>
  <si>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</si>
  <si>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</si>
  <si>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</si>
  <si>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</si>
  <si>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</si>
  <si>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</si>
  <si>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</si>
  <si>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</si>
  <si>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</si>
  <si>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</si>
  <si>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</si>
  <si>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</si>
  <si>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</si>
  <si>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</si>
  <si>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</si>
  <si>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</si>
  <si>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</si>
  <si>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</si>
  <si>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</si>
  <si>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</si>
  <si>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</si>
  <si>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</si>
  <si>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</si>
  <si>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</si>
  <si>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</si>
  <si>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</si>
  <si>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</si>
  <si>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</si>
  <si>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</si>
  <si>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</si>
  <si>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</si>
  <si>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</si>
  <si>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</si>
  <si>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</si>
  <si>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</si>
  <si>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</si>
  <si>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</si>
  <si>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</si>
  <si>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</si>
  <si>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</si>
  <si>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</si>
  <si>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</si>
  <si>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</si>
  <si>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</si>
  <si>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</si>
  <si>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</si>
  <si>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</si>
  <si>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</si>
  <si>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</si>
  <si>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</si>
  <si>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</si>
  <si>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</si>
  <si>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</si>
  <si>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</si>
  <si>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</si>
  <si>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</si>
  <si>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</si>
  <si>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</si>
  <si>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</si>
  <si>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</si>
  <si>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</si>
  <si>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</si>
  <si>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</si>
  <si>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</si>
  <si>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</si>
  <si>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</si>
  <si>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</si>
  <si>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</si>
  <si>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</si>
  <si>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</si>
  <si>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</si>
  <si>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</si>
  <si>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</si>
  <si>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</si>
  <si>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</si>
  <si>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</si>
  <si>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</si>
  <si>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</si>
  <si>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</si>
  <si>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</si>
  <si>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</si>
  <si>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</si>
  <si>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</si>
  <si>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</si>
  <si>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</si>
  <si>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</si>
  <si>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</si>
  <si>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</si>
  <si>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</si>
  <si>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</si>
  <si>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</si>
  <si>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</si>
  <si>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</si>
  <si>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</si>
  <si>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</si>
  <si>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</si>
  <si>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</si>
  <si>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</si>
  <si>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</si>
  <si>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</si>
  <si>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</si>
  <si>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</si>
  <si>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</si>
  <si>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</si>
  <si>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</si>
  <si>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</si>
  <si>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</si>
  <si>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</si>
  <si>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</si>
  <si>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</si>
  <si>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</si>
  <si>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</si>
  <si>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</si>
  <si>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</si>
  <si>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</si>
  <si>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</si>
  <si>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</si>
  <si>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</si>
  <si>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</si>
  <si>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</si>
  <si>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</si>
  <si>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</si>
  <si>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</si>
  <si>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</si>
  <si>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</si>
  <si>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</si>
  <si>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</si>
  <si>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</si>
  <si>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</si>
  <si>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</si>
  <si>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</si>
  <si>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</si>
  <si>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</si>
  <si>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</si>
  <si>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</si>
  <si>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</si>
  <si>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</si>
  <si>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السرية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</si>
  <si>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 xml:space="preserve">وكيل/ راشد حميد راشد المرشدي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</si>
</sst>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331499</xdr:colOff>
      <xdr:row>20</xdr:row>
      <xdr:rowOff>174028</xdr:rowOff>
    </xdr:from>
    <xdr:to>
      <xdr:col>7</xdr:col>
      <xdr:colOff>333647</xdr:colOff>
      <xdr:row>20</xdr:row>
      <xdr:rowOff>547348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F58835C-850C-A99B-C15A-543374C051B6}"/>
                </a:ext>
              </a:extLst>
            </xdr14:cNvPr>
            <xdr14:cNvContentPartPr/>
          </xdr14:nvContentPartPr>
          <xdr14:nvPr macro=""/>
          <xdr14:xfrm>
            <a:off x="10399569353" y="9087120"/>
            <a:ext cx="660240" cy="373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F58835C-850C-A99B-C15A-543374C051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563233" y="9081000"/>
              <a:ext cx="672480" cy="38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196847</xdr:colOff>
      <xdr:row>20</xdr:row>
      <xdr:rowOff>5188</xdr:rowOff>
    </xdr:from>
    <xdr:to>
      <xdr:col>9</xdr:col>
      <xdr:colOff>594625</xdr:colOff>
      <xdr:row>20</xdr:row>
      <xdr:rowOff>590548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DE5248D-DB29-EA46-344D-BB68C4415F37}"/>
                </a:ext>
              </a:extLst>
            </xdr14:cNvPr>
            <xdr14:cNvContentPartPr/>
          </xdr14:nvContentPartPr>
          <xdr14:nvPr macro=""/>
          <xdr14:xfrm>
            <a:off x="10397992193" y="8918280"/>
            <a:ext cx="1713960" cy="585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DE5248D-DB29-EA46-344D-BB68C4415F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86073" y="8912160"/>
              <a:ext cx="1726200" cy="597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7:47:10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1775 163 8,'0'0'0,"0"2"24,0 11 16,0-13-40,0 4 72,0 8 48,0-12 72,0-2 104,0 2-296,5-1 336,-5 0-72,0-1-152,0 2-128,0 0 16,0 0-32,0 0 0,0 0 8,-3 0-16,3 0 40,-2 0-64,0 0 32,-1 0 16,-2 3 40,5-3-24,-1 0 40,1 0 0,-2 0 64,2 0 16,0 0-120,-3 0 128,1 0-32,-1 0-56,1 3-8,2-3-32,-5 0 56,-2 0 136,-4 0 56,-1 3-48,12-3-200,-12 0 160,-9 0-136,4 0-80,-3 0 64,20 0-8,-18 0 32,-7 0 56,2 0 16,-2-2 40,25 2-144,-30-1 144,-1-3 32,0-1 32,-2 1 16,33 4-224,-32-6 224,-6 1-56,-1 0-32,0 0-64,39 5-72,-43-6 40,6 0-16,-3 1 8,3 0-8,37 5-24,-35-5 40,3-1 0,3 2-24,3-2-8,26 6-8,-23-6 40,6 2 17,2 0 47,12 0 80,3 4-184,-14-5 240,9 2 160,1-1 88,4 3 56,0 1-544,0-3 536,0-1-152,0 1-160,2-1-144,-2 4-80,4-5-16,8 1-88,-2-7 8,8 9-16,-18 2 112,17-4-104,1 0 8,5-1 0,1 3 40,-24 2 56,23-3-24,-2 0 8,1 0 0,-2 0 0,-20 3 16,23-3-24,2 1 16,-2-1 16,-3 0 8,-20 3-16,24-2 0,2 1-16,-8 0 8,6-1-16,-1 1 0,-23 1 24,23-2 0,1 1-8,4-1-16,-28 2 24,21 0-16,-4 3-32,-2 0 0,5 9-16,-5-10-8,-15-2 72,17 12-32,-1-8-8,-1 10 0,-4-10 0,-11-4 40,12 16-32,0-12 0,-10 13 0,16-5-16,-18-12 48,3 13-32,14 1-16,-14 0 16,12 2 40,-15-16-8,2 15-40,10 4-8,-10-1 24,-2-18 24,12 20-16,-8 0-8,8 3 16,-9 1-16,10 2-56,-13-26 80,3 25-40,2 1-8,-3 1 0,5 0-48,-7-27 96,3 28-64,-3-1 8,0 2-32,0-1 88,0-28 0,-5 30-40,0 2 0,-7-1 40,7 4 16,5-35-16,-6 36-16,-6-1 0,0 0 32,12-35-16,-14 29-24,-5 1 8,-2-1-8,-2-1 0,-5-1 0,28-27 24,-33 24 8,0-1-8,-4-3-16,0-3-8,37-17 24,-47 13 8,0-9 16,-6 9-32,-8-13 56,61 0-48,-63 3-8,-9-3-32,-3 0-56,-5-5-208,80 5 304,-84-11-609,0 7-431,-2-9-48,-3 7 216,89 6 872,-84-12-632,3-4 304,3 3 136,8-2 64,70 15 128,-60-16-72,3 2 24,8 1 16,5 1 16,44 12 16,-36-12-8,11 0 8,25 12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7:47:13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4048 575 16,'0'0'0,"5"12"40,6-7 72,-11-5-112,12 13 296,-9-13 304,9-2 208,-10-1 152,-2 3-960,5-4 664,0 0-384,-1-1-112,-2 1-184,-2 4 16,5-4-8,7 0 16,-10-1-16,13-6 32,-15 11-24,11-4-48,1-2 24,2-8 72,1 8 104,-15 6-152,15-15 328,0 0 161,3 1 87,-1 0 48,-17 14-624,19-16 528,-1 2-80,2 0-192,-7 0-160,-13 14-96,19-15 72,-2 0-64,-3-1 56,2 0-40,-16 16-24,17-17 8,-6 0 8,1 0-24,3-3 40,-15 20-32,8-20-8,-3-1-24,14 0 72,-6-2-48,-13 23 8,13-25 192,6-5 184,-1 0-48,-1 4 120,-17 26-448,12-20 288,-7 9-159,6 5-33,-8-8-32,-3 14-64,7-4-8,-5-8 16,3 10-24,-3-3 32,-2 5-16,3-4 0,-3 1-16,0 2 48,0-1-168,0 2 136,0 0-193,0 0-63,0 0-16,0 12 48,0-12 224,0 4-80,0 17 40,0-1-16,0 4 64,0-24-8,0 27-48,0 3-8,0 0 64,-3 1-32,3-31 24,-2 33-8,0-2 8,-1 2-8,3-2-16,0-31 24,0 33-8,0 0-80,0 1 24,3 0 16,-3-34 48,12 34-88,-10-3 96,12-2-32,-12-1 0,-2-28 24,5 26 16,4 1-16,-9-3-24,5-1 8,-5-23 16,0 22 32,0 1-56,0 1 24,-5 1-16,5-25 16,-2 24-48,-10 1 0,8 2-16,-10 2 88,14-29-24,-5 27-72,-7 0 96,12-2-56,-5 2 0,5-27 32,-6 26 0,3-1-32,-4 1 48,5-3-40,2-23 24,-5 23 8,0-1 0,3 0 0,-3-1-24,5-21 16,-10 20 72,5-3-56,-3 0 0,3-1-8,5-16-8,-5 15-104,-7 1 96,5-2 0,-6 0 56,13-14-48,-13 15 56,1-3-40,8 4 16,-12 0-40,16-16 8,-10 15 0,-4 2 0,0 0 0,2-2 8,12-15-8,-12 14 8,0-3-8,1-7-24,-3 13-8,14-17 32,-12 5 40,0 10-48,1-10 48,-1 6 40,12-11-80,-12 3 0,-2 1 48,0-1 8,-3 0-56,17-3 0,-13 0 64,-4 0-8,2 0-32,2-2 32,13 2-56,-17-4 72,3 0-8,0-8 72,12 8-40,2 4-96,-12-11 120,7 7 72,0-8-8,3 8 40,2 4-224,0-11 200,0 6-111,0-9-25,0 8 16,0 6-80,2-15 32,3 2-24,9-1-8,-11 0-16,-3 14 16,11-15-48,-6 1 104,4 3-48,-4-2 8,-5 13-16,5-6 16,7-9 16,-12 9 0,5-10-40,-5 16 8,3-4 32,0-7-32,4 8 24,-5-1 16,-2 4-40,3-6 8,-1 0 0,1 2-16,1 0-8,-4 4 16,0-3 0,0 1-32,0 1 32,0 0 48,0 1-48,0-2 0,0 2-16,0 0-96,0 0-88,0 0 200,0 0-193,0 0 41,0 0 48,0 0 72,0 0 513,-2 3-1026,0-3 457,-1 3 48,1 0 32,2-3 8,-5 2-8,-2 3 16,4-1-32,-10 0-8,13-4 32,-7 12 0,-5-9-16,0 1-8,3 9-24,9-13 48,-12 2-56,0 10 16,0-9 48,-1 8-24,13-11 16,-12 3 0,-5 8 24,3-8-32,0 1-8,14-4 16,-15 13 24,4-10-32,-1 1 16,0 8-16,12-12 8,-12 2-24,1 3 8,-1-1-8,-2 9 56,14-13-32,-9 3 0,-3-1 32,0 3-40,0-1-8,12-4 16,-7 3-32,-9 0-56,14-3 96,-10 0 8,12 0-16,-5 3 56,2-3 64,1 0 0,2 0-24,0 0-96,0-3 184,0-2-8,0 1-64,0-9 17,0 13-129,5-4 32,9-9-16,-9 8-24,10-8 56,-15 13-48,13-6 32,1-8 16,3 10-16,-6-11-48,-11 15 16,15-4-8,-3-9-48,1 9 48,-8 0 0,-5 4 8,14-4-48,-9-1 64,2 1-80,-4 3 32,-3 1 32,0-2-89,0 2-79,0 0 32,-3 0 32,3 0 104,0 0-120,-16 4 96,1 1 8,-3 6-16,18-11 32,-29 3 16,-6 1-8,-7 0 8,-15 9-24,57-13 8,-51 3 32,-11 8 0,-1-8-32,2 2 40,61-5-40,-69 12 56,-1-9 24,-2 9 56,-8-10 40,80-2-176,-81 12 225,-4-9-25,-9 8 40,1-7-40,93-4-200,-97 12 192,-9-9-16,3 8-64,-1-8-40,104-3-72,-106 4 32,8 7 24,-6-8-32,3 0-8,101-3-16,-99 4 24,6-1-56,-4 0 48,3-3-48,94 0 32,-90 0 0,6 0 16,2 0 16,8-1-16,74 1-16,-72-5 48,1 1-32,7-7 0,4 6 48,60 5-64,-59-12-16,7 6 24,5-11-32,12 3 16,35 14 8,-31-15 8,10 0 40,6-1 88,11 1-8,4 15-128,0-16 136,2-1-168,17 0-152,9-2-72,-28 19 256,38-17-272,9 2 80,9-1 0,11 0 32,-67 16 160,77-15-224,5-1-88,12 3-49,8-1-127,-102 14 488,108-13-496,9-1 0,8 3 40,7-2 128,-132 13 328,136-6-216,2-8 104,6 10 80,5-8 24,-149 12 8,142-3 0,4-1-24,1 3 72,-11 1 32,-136 0-80,127 0 56,-5 0 48,-12 3-24,-11-1 48,-99-2-128,87 5 192,-16-1 32,-13-1-48,-13 0-80,-45-3-96,36 3 8,-10-1-32,-12 1-128,-11 0-56,-3-3 208,0 0-224,-3 3-8,-9-3 136,-12 0 96,24 0 0,-35 0 64,-12 0 48,-11-2 32,-11-2 40,69 4-184,-80-5 200,-7-1 40,-17-6 72,-8 11-8,112 1-304,-117-4 336,-13 0-40,-6 2-88,-13 1-47,149 1-161,-153 0 80,1 0-16,-4 4-48,8 0-48,148-4 32,-148 12-32,0-10 32,7 3-24,4-1-8,137-4 32,-131 4-8,6 8-64,1-10 80,6 3-16,118-5 8,-123 11 8,9-8-40,5 10-25,4-9 41,105-4 16,-50 3 32,-9 0 17,2 1-9,-8 0-32,65-4-8,-59 4-105,-4 1 49,6-1 8,0-1 16,57-3 32,-47 4-8,15-1 56,4-3 72,13 0-95,15 0-25,-2 0-49,2 0-175,17-1-64,11-5 104,-28 6 184,40-12-80,21 1-24,66-9-16,14 2-96,-141 18 216,141-16-232,-18 2-96,4 0-144,11-1-208,-138 15 680,148-15-848,10-1-129,2 3-15,9 1-80,-169 12 1072,172-12-872,-1 7 312,3-8 160,-9 7 240,-165 6 160,162-14-88,-12 10 32,-6-8 64,-12 9 8,-132 3-16,119-4 16,-7 0 32,-16 0 32,-16 2 24,-80 2-104,63 0 120,-6 0-40,-13 0-40,-11 0-8,-33 0-32,24 0 0,-12 0 16,-12 0-24,-2 0 0,2 0 8,-20 0 8,-12 0 8,-15-1 120,-13-2 72,60 3-208,-74-4 264,-11-1 112,-19 1 176,-11-2 224,115 6-776,-129-5 1064,-15-1 177,-2-5-217,-6 8-328,152 3-696,-154-4 416,0-1-184,-5 0-112,7-1-72,152 6-48,-144-6 48,6-5-72,11 7-16,5-8 72,122 12-32,-113-4 24,14-12 0,7 12 40,10-12-80,82 16 16,-71-11 32,15-3 16,11 1 0,14-1 152,31 14-200,-16-16 176,2 1 88,14-3-8,2-1-216,-2 19-40,20-22-40,5-2-192,15-2-144,9-2-8,-49 28 384,68-31-464,8-5 64,6 1 136,5-2 80,-87 37 184,87-34-96,5 1 72,2 0-16,1 2 32,-95 31 8,84-31 40,3 4-56,0 1 32,-5 3-64,-82 23 48,85-21-56,-5 1-40,2 4-80,-7 11-8,-75 5 184,76-12-224,-11 11 32,-3 1 16,-10 0 16,-52 0 160,42 13-312,-7 0-56,-7 5 39,-2 9 9,-26-27 320,21 34-168,-4 9 112,-1 7 16,-4 6 24,-12-56 16,2 64 8,1 2-24,-3 2-24,0-3 16,0-65 24,-3 64-48,1 2 16,-13-1-32,7 3 16,8-68 48,-5 66-120,0 2-88,0-3-56,0 1-232,5-66 496,-2 65-688,2-1 32,0 0 128,0-3 216,0-61 312,2 57-136,3-6 48,0-7 40,-5-5 8,0-39 40,5 35-16,0-5 16,-5-30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12" zoomScale="130" zoomScaleNormal="100" zoomScaleSheetLayoutView="130" workbookViewId="0">
      <selection activeCell="F16" sqref="F16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189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39</v>
      </c>
      <c r="D2" s="65"/>
      <c r="E2" s="12" t="s">
        <v>7</v>
      </c>
      <c r="F2" s="60">
        <v>45945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 t="s">
        <v>190</v>
      </c>
      <c r="D3" s="65"/>
      <c r="E3" s="12" t="s">
        <v>6</v>
      </c>
      <c r="F3" s="65" t="s">
        <v>160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180</v>
      </c>
      <c r="C8" s="58"/>
      <c r="D8" s="58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5"/>
      <c r="J8" s="56"/>
    </row>
    <row r="9" spans="1:10" ht="39.9" customHeight="1" x14ac:dyDescent="0.3">
      <c r="A9" s="10"/>
      <c r="B9" s="39" t="s">
        <v>181</v>
      </c>
      <c r="C9" s="40"/>
      <c r="D9" s="40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9.9" customHeight="1" x14ac:dyDescent="0.3">
      <c r="A10" s="10"/>
      <c r="B10" s="39" t="s">
        <v>182</v>
      </c>
      <c r="C10" s="40"/>
      <c r="D10" s="40"/>
      <c r="E10" s="9">
        <v>5</v>
      </c>
      <c r="F10" s="26">
        <v>3.5</v>
      </c>
      <c r="G10" s="30">
        <f t="shared" ref="G10:G16" si="0">IFERROR(F10/E10,"")</f>
        <v>0.7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2"/>
    </row>
    <row r="11" spans="1:10" ht="39.9" customHeight="1" x14ac:dyDescent="0.3">
      <c r="A11" s="10"/>
      <c r="B11" s="39" t="s">
        <v>183</v>
      </c>
      <c r="C11" s="40"/>
      <c r="D11" s="40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1"/>
      <c r="J11" s="42"/>
    </row>
    <row r="12" spans="1:10" ht="39.9" customHeight="1" x14ac:dyDescent="0.3">
      <c r="A12" s="10"/>
      <c r="B12" s="39" t="s">
        <v>184</v>
      </c>
      <c r="C12" s="40"/>
      <c r="D12" s="40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1"/>
      <c r="J12" s="42"/>
    </row>
    <row r="13" spans="1:10" ht="39.9" customHeight="1" x14ac:dyDescent="0.3">
      <c r="A13" s="10"/>
      <c r="B13" s="39" t="s">
        <v>185</v>
      </c>
      <c r="C13" s="40"/>
      <c r="D13" s="40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41"/>
      <c r="J13" s="42"/>
    </row>
    <row r="14" spans="1:10" ht="39.9" customHeight="1" x14ac:dyDescent="0.3">
      <c r="A14" s="10"/>
      <c r="B14" s="39" t="s">
        <v>186</v>
      </c>
      <c r="C14" s="40"/>
      <c r="D14" s="40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1"/>
      <c r="J14" s="42"/>
    </row>
    <row r="15" spans="1:10" ht="39.9" customHeight="1" x14ac:dyDescent="0.3">
      <c r="A15" s="10"/>
      <c r="B15" s="39" t="s">
        <v>187</v>
      </c>
      <c r="C15" s="40"/>
      <c r="D15" s="40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1"/>
      <c r="J15" s="42"/>
    </row>
    <row r="16" spans="1:10" ht="39.9" customHeight="1" thickBot="1" x14ac:dyDescent="0.35">
      <c r="A16" s="10"/>
      <c r="B16" s="45" t="s">
        <v>188</v>
      </c>
      <c r="C16" s="46"/>
      <c r="D16" s="46"/>
      <c r="E16" s="36">
        <v>5</v>
      </c>
      <c r="F16" s="27">
        <v>3.5</v>
      </c>
      <c r="G16" s="37">
        <f t="shared" si="0"/>
        <v>0.7</v>
      </c>
      <c r="H16" s="38" t="str">
        <f t="shared" si="1"/>
        <v>جيد</v>
      </c>
      <c r="I16" s="43"/>
      <c r="J16" s="44"/>
    </row>
    <row r="17" spans="1:10" ht="30" customHeight="1" thickBot="1" x14ac:dyDescent="0.35">
      <c r="A17" s="4"/>
      <c r="B17" s="79" t="s">
        <v>5</v>
      </c>
      <c r="C17" s="80"/>
      <c r="D17" s="80"/>
      <c r="E17" s="29">
        <f>SUM(E8:E16)</f>
        <v>45</v>
      </c>
      <c r="F17" s="29">
        <f>SUM(F8:F16)</f>
        <v>32.75</v>
      </c>
      <c r="G17" s="68"/>
      <c r="H17" s="69"/>
      <c r="I17" s="69"/>
      <c r="J17" s="70"/>
    </row>
    <row r="18" spans="1:10" ht="30" customHeight="1" thickBot="1" x14ac:dyDescent="0.35">
      <c r="A18" s="4"/>
      <c r="B18" s="81" t="s">
        <v>52</v>
      </c>
      <c r="C18" s="82"/>
      <c r="D18" s="82"/>
      <c r="E18" s="77">
        <f>F17/E17/100*100</f>
        <v>0.72777777777777775</v>
      </c>
      <c r="F18" s="77"/>
      <c r="G18" s="77"/>
      <c r="H18" s="77"/>
      <c r="I18" s="77"/>
      <c r="J18" s="78"/>
    </row>
    <row r="19" spans="1:10" ht="30" customHeight="1" thickBot="1" x14ac:dyDescent="0.35">
      <c r="A19" s="4"/>
      <c r="B19" s="81" t="s">
        <v>53</v>
      </c>
      <c r="C19" s="82"/>
      <c r="D19" s="82"/>
      <c r="E19" s="75" t="str">
        <f>_xlfn.IFS(E18&gt;=90%,"ممتاز",E18&gt;=80%,"جيد جداً",E18&gt;=70%,"جيد",E18&gt;=60%,"مقبول",E18&lt;60%,"راسب")</f>
        <v>جيد</v>
      </c>
      <c r="F19" s="75"/>
      <c r="G19" s="75"/>
      <c r="H19" s="75"/>
      <c r="I19" s="75"/>
      <c r="J19" s="76"/>
    </row>
    <row r="20" spans="1:10" ht="42" customHeight="1" x14ac:dyDescent="0.3">
      <c r="B20" s="71" t="s">
        <v>172</v>
      </c>
      <c r="C20" s="71"/>
      <c r="D20" s="71"/>
      <c r="E20" s="66" t="s">
        <v>50</v>
      </c>
      <c r="F20" s="66"/>
      <c r="G20" s="73" t="s">
        <v>160</v>
      </c>
      <c r="H20" s="73"/>
      <c r="I20" s="73"/>
      <c r="J20" s="73"/>
    </row>
    <row r="21" spans="1:10" ht="51" customHeight="1" x14ac:dyDescent="0.3">
      <c r="A21" s="5"/>
      <c r="B21" s="72"/>
      <c r="C21" s="72"/>
      <c r="D21" s="72"/>
      <c r="E21" s="67" t="s">
        <v>51</v>
      </c>
      <c r="F21" s="67"/>
      <c r="G21" s="74"/>
      <c r="H21" s="74"/>
      <c r="I21" s="74"/>
      <c r="J21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2025-10-15T21:33:22Z</dcterms:modified>
</cp:coreProperties>
</file>