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3AA8A64-FE9D-49E2-9CC0-C5921B570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/>
  <c r="G19" i="2"/>
  <c r="H19" i="2" s="1"/>
  <c r="G20" i="2"/>
  <c r="H20" i="2"/>
  <c r="G8" i="2"/>
  <c r="H8" i="2"/>
  <c r="F21" i="2"/>
  <c r="E22" i="2" s="1"/>
  <c r="E23" i="2" s="1"/>
  <c r="E21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<sst xmlns="http://schemas.openxmlformats.org/spreadsheetml/2006/main" count="250" uniqueCount="195">
  <si>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</si>
  <si>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</si>
  <si>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</si>
  <si>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</si>
  <si>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</si>
  <si>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</si>
  <si>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</si>
  <si>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</si>
  <si>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</si>
  <si>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</si>
  <si>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</si>
  <si>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</si>
  <si>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</si>
  <si>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</si>
  <si>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</si>
  <si>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</si>
  <si>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</si>
  <si>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</si>
  <si>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</si>
  <si>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</si>
  <si>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</si>
  <si>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</si>
  <si>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</si>
  <si>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</si>
  <si>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</si>
  <si>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</si>
  <si>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</si>
  <si>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</si>
  <si>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</si>
  <si>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</si>
  <si>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</si>
  <si>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</si>
  <si>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</si>
  <si>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</si>
  <si>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</si>
  <si>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</si>
  <si>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</si>
  <si>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</si>
  <si>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</si>
  <si>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</si>
  <si>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</si>
  <si>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</si>
  <si>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</si>
  <si>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</si>
  <si>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</si>
  <si>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</si>
  <si>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</si>
  <si>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</si>
  <si>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</si>
  <si>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</si>
  <si>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</si>
  <si>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</si>
  <si>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</si>
  <si>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</si>
  <si>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</si>
  <si>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</si>
  <si>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</si>
  <si>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</si>
  <si>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</si>
  <si>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</si>
  <si>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</si>
  <si>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</si>
  <si>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</si>
  <si>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</si>
  <si>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</si>
  <si>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</si>
  <si>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</si>
  <si>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</si>
  <si>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</si>
  <si>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</si>
  <si>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</si>
  <si>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</si>
  <si>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</si>
  <si>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</si>
  <si>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</si>
  <si>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</si>
  <si>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</si>
  <si>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</si>
  <si>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</si>
  <si>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</si>
  <si>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</si>
  <si>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</si>
  <si>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</si>
  <si>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</si>
  <si>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</si>
  <si>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</si>
  <si>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</si>
  <si>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</si>
  <si>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</si>
  <si>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</si>
  <si>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</si>
  <si>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</si>
  <si>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</si>
  <si>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</si>
  <si>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</si>
  <si>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</si>
  <si>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</si>
  <si>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</si>
  <si>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</si>
  <si>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</si>
  <si>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</si>
  <si>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</si>
  <si>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</si>
  <si>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</si>
  <si>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</si>
  <si>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</si>
  <si>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</si>
  <si>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</si>
  <si>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</si>
  <si>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</si>
  <si>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</si>
  <si>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</si>
  <si>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</si>
  <si>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</si>
  <si>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</si>
  <si>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</si>
  <si>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</si>
  <si>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</si>
  <si>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</si>
  <si>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</si>
  <si>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</si>
  <si>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</si>
  <si>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</si>
  <si>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</si>
  <si>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</si>
  <si>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</si>
  <si>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</si>
  <si>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</si>
  <si>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</si>
  <si>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</si>
  <si>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</si>
  <si>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</si>
  <si>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</si>
  <si>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</si>
  <si>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</si>
  <si>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</si>
  <si>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</si>
  <si>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</si>
  <si>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</si>
  <si>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</si>
  <si>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</si>
  <si>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</si>
  <si>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</si>
  <si>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</si>
  <si>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</si>
  <si>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</si>
  <si>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</si>
  <si>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</si>
  <si>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</si>
  <si>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</si>
  <si>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</si>
  <si>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</si>
  <si>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</si>
  <si>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</si>
  <si>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</si>
  <si>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</si>
  <si>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</si>
  <si>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</si>
  <si>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</si>
  <si>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</si>
  <si>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</si>
  <si>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</si>
  <si>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</si>
  <si>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</si>
  <si>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</si>
  <si>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</si>
  <si>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</si>
  <si>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</si>
  <si>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</si>
  <si>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</si>
  <si>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</si>
  <si>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</si>
  <si>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</si>
  <si>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</si>
  <si>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</si>
  <si>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</si>
  <si>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</si>
  <si>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</si>
  <si>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</si>
  <si>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</si>
  <si>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</si>
  <si>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</si>
  <si>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</si>
  <si>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</si>
  <si>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</si>
  <si>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</si>
  <si>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</si>
  <si>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</si>
  <si>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</si>
  <si>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</si>
  <si>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</si>
  <si>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</si>
  <si>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</si>
  <si>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</si>
  <si>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 راشد حميد راشد المرشدي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</si>
</sst>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224523</xdr:colOff>
      <xdr:row>24</xdr:row>
      <xdr:rowOff>199428</xdr:rowOff>
    </xdr:from>
    <xdr:to>
      <xdr:col>7</xdr:col>
      <xdr:colOff>203271</xdr:colOff>
      <xdr:row>24</xdr:row>
      <xdr:rowOff>493908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D1E2182-6843-96E0-5E84-EB2D728ED3F3}"/>
                </a:ext>
              </a:extLst>
            </xdr14:cNvPr>
            <xdr14:cNvContentPartPr/>
          </xdr14:nvContentPartPr>
          <xdr14:nvPr macro=""/>
          <xdr14:xfrm>
            <a:off x="10399699729" y="11144520"/>
            <a:ext cx="636840" cy="294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D1E2182-6843-96E0-5E84-EB2D728ED3F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93609" y="11138400"/>
              <a:ext cx="64908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61071</xdr:colOff>
      <xdr:row>24</xdr:row>
      <xdr:rowOff>46428</xdr:rowOff>
    </xdr:from>
    <xdr:to>
      <xdr:col>9</xdr:col>
      <xdr:colOff>493409</xdr:colOff>
      <xdr:row>24</xdr:row>
      <xdr:rowOff>576348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C5F2740-57B9-3B08-45F3-E06BF53C3691}"/>
                </a:ext>
              </a:extLst>
            </xdr14:cNvPr>
            <xdr14:cNvContentPartPr/>
          </xdr14:nvContentPartPr>
          <xdr14:nvPr macro=""/>
          <xdr14:xfrm>
            <a:off x="10398093409" y="10991520"/>
            <a:ext cx="1748520" cy="529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C5F2740-57B9-3B08-45F3-E06BF53C36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87289" y="10985400"/>
              <a:ext cx="1760760" cy="542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50:13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1557 287 8,'0'0'0,"0"0"0,0-1 0,0-3 16,2-2 8,-2-5 8,0 11-32,2 0 56,3 0 8,-1-2 48,1-1 64,-5 3-176,9-4 256,-9 0 112,5 0-16,0-1-48,-5 5-304,2-4 216,1 1-128,-3 0-32,0 1-24,0 2-32,2-3 8,2 0-8,-4 1 8,0 1 24,0 1-32,3-1 88,-3-1 64,0 1 128,0-1 120,0 2-400,0-1 448,0 1 72,0-2-80,0 2-95,0 0-345,0 0 240,0 0-128,0 0-16,0 0-56,0 0-40,0 0 40,-3 0 0,3 0-16,-6 3 24,6-3-48,-3 0 48,-1 3 8,-8-3-16,7 3 16,5-3-56,-14 3 88,5 0-8,-3-3 8,-2 0-40,14 0-48,-19 0 32,3 0 24,-7 0-40,-1 0 16,24 0-32,-20 0 64,-6 0-64,1 0 0,1 0 16,24 0-16,-26 0-16,3 0 48,0-2 0,-1 2-32,24 0 0,-21-1 0,1-1 0,-2 1 40,4 0-24,18 1-16,-20-2 40,2-1-8,1 0-24,6 1 32,11 2-40,-14-5 32,7 3 8,-7-3 16,12 2 32,2 3-88,-5-2 104,5-3 32,-2 2 0,2-1-8,0 4-128,0-4 152,0-2-8,4-5 0,9 8-48,-13 3-96,4-11 104,7 6-48,-6 0-24,12-7 24,-17 12-56,9-4 40,3-9 16,0 9 8,1-10-32,-13 14-32,12-6 24,2-5-32,-2 6 32,0-7 8,-12 12-32,13-5 32,4 0 16,-1-7-8,1 8-16,-17 4-24,18-4 32,-1-2-24,1 2 16,-4 0 16,-14 4-40,21-5 0,-5 1 16,3 3-24,-3-1-16,-16 2 24,17 0 0,-1 0 0,-2 0-24,-4 3 32,-10-3-8,13 3-24,-3 0 8,2 0 0,-8-1-24,-4-2 40,14 3-48,-9 2 0,8 6 32,-3-8-8,-10-3 24,12 4 16,-1 10-24,1-9-24,0 7 32,-12-12 0,11 5-48,1 12 24,0-6 0,-1 2 24,-11-13 0,5 13 8,9 1-24,-11 0 24,8 0-40,-11-14 32,4 14-16,9 2-8,-11 1 0,9-1 16,-11-16 8,2 17-8,1-2 32,-1 3-24,-2-1-32,0-17 32,0 20-16,0-1-8,0 1 24,-2 0 16,2-20-16,-14 20 8,10-1-32,-13 2 8,1-1 24,16-20-8,-19 20 8,-2-1 8,0-2-8,-3 0 8,24-17-16,-25 17 16,-1 0 8,-4-2-32,2 1-24,28-16 32,-35 16-8,0-2 0,-2-1 40,-3 1-32,40-14 0,-40 13 24,6 0-24,-6-1-8,-2 0 24,42-12-16,-45 11 0,-4-7 32,2 13-24,-4-12 0,51-5-8,-49 17-40,-2-6 16,-5-7 8,0 13-16,56-17 32,-59 5-56,1 6-144,0-8-280,0 0-464,58-3 944,-59 3-1224,3-3 55,0 0 129,3 0 152,53 0 888,-50-2-632,2 1 120,1-3 160,2-8 168,45 12 184,-36-6-128,3-11 64,9 5 16,3-1 16,21 13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50:16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4235 587 8,'0'0'0,"5"0"8,-5 0-8,4-1 32,8-1 32,-10-2 56,10 1 160,-12 3-280,5-2 528,8-3 232,-10 2 64,9-1-184,-12 4-640,5-3 416,7-1-160,-1 0-40,-7 0-56,-4 4-160,15-5 184,-1 1-24,0-2 57,0 1 47,-14 5-264,17-6 312,-4-5 48,4 6 112,0-8 56,-17 13-528,14-5 536,0-9-32,-4 8-104,3-10-64,-13 16-336,10-11 280,-3 0-96,7-4-32,-11 1-40,-3 14-112,11-16 73,-6 1 31,9-1 8,-9-1-8,-5 17-104,12-17 96,-10-3 0,9 2-16,-8-4-32,-3 22-48,4-21 72,1 1 8,5 0-48,-10 2 48,0 18-80,5-20 152,-1 0 56,1 0-8,-1 0-24,-4 20-176,3-15 128,1 2-104,1 1 48,-2 7-32,-3 5-40,2-13 16,3 7 32,-5-5-16,2 7 32,-2 4-64,0-5 8,3 1-16,-3 0 24,0-1-16,0 5 0,2-1-24,-2 0-72,0-1-64,0 2-56,0 0 216,0 0-208,0 0-16,0 3 48,-2 0 48,2-3 128,0 3-104,0 1 48,-5 0 0,2 8 24,3-12 32,-4 2-8,4 10-8,-5-9-32,2 10 16,3-13 32,-2 4-32,0 10 32,2-3-8,0 1 8,0-12 0,0 13-8,0-1-24,0 3 24,2-1 16,-2-14-8,0 15-40,5 1 72,-3 1-24,1 3-16,-3-20 8,2 20 56,-2 1-56,5 2-32,-5 1 56,0-24-24,2 24 0,1 2 8,-3-2 16,2 3-40,-2-27 16,2 28-32,-2 4 24,5-1 72,-2-1-72,-3-30 8,0 31 0,6-2 8,-4-1 16,1-1-24,-3-27 0,4 27 8,1 0 0,-2-1-48,-3-1 16,0-25 24,4 27-16,-4-3 0,0-1-24,0 1 48,0-24-8,0 23 0,-4-2 8,1 2-24,-4-2-16,7-21 32,-13 20-16,10 0-32,-4-3 24,-3 2-16,10-19 40,-4 18-8,-8-1 0,0 0-24,0-1 80,12-16-48,-14 17-16,-2-1 8,2-2 24,-3 0-48,17-14 32,-16 14 0,-1 1-24,-2-1 0,3-1 64,16-13-40,-21 11 16,5-7-8,-4 12 32,4-13-56,16-3 16,-21 12-8,2-9 32,-2 9-24,2-9 24,19-3-24,-23 4-8,-1 7-8,3-11 32,2 3-16,19-3 0,-26 3 24,0 0 0,5-3 0,-3 0 0,24 0-24,-18 0 40,-4 0-32,9 0-8,-2-2 40,15 2-40,-12-1 64,5-2 32,-4 0 72,9-1-32,2 4-136,-5-4 232,3-1-32,-1 1 0,3 0-40,0 4-160,-2-6 240,-1-5-80,1 7 32,2-2-80,0 6-112,0-13 64,0 7 48,5-8-80,-3 3 104,-2 11-136,12-13-32,-7-1 48,8 2 72,-8 0-88,-5 12 0,12-12 48,-7 1-8,8-2-80,-8 2 48,-5 11-8,12-12 120,-7 1-80,0 5 8,9-8 64,-14 14-112,0-4 96,4-9-32,1 9-16,-3-2 0,-2 6-48,3-4-8,-3-2 56,0 2-64,0 0-40,0 4 56,0-2-88,0 1 32,0-1 0,0 2-96,0 0 152,0 0-160,-3 0 40,3 0-32,-4 3 64,4-3 88,-11 3-80,6 0-16,-7 1 64,9 0 56,3-4-24,-14 13-16,9-10-40,-11 10-8,4-9-8,12-4 72,-5 13-96,-10-9 104,0 9-8,3-9-16,12-4 16,-12 12 40,-1-10-88,-2 10 24,1-9-32,14-3 56,-16 4-8,2 9 16,-1-11 0,2 3 40,13-5-48,-15 11 32,1-8-24,3 1 0,-1 0-24,12-4 16,-12 5-8,5-1-24,-7 0 24,9-1 72,5-3-64,-5 4-16,-9-1 56,12 0-40,-1 0-40,3-3 40,-2 3 40,-1-3-40,3 0 152,0 0 56,0 0-208,0 0 264,0-2 56,3 1-136,-1-3-48,-2 4-136,3-5 88,-1 1-40,3 0 0,7 0-8,-12 4-40,0-6 32,12 0 24,-11 1-48,2-1 8,-3 6-16,14-6-24,-9 0 32,5 2-8,-6-1-40,-4 5 40,3-5 32,8 1-56,-9 0 16,1 1 16,-3 3-8,7-3-16,-5 2-16,1-1 40,-3 1-48,0 1 40,0-2-48,0 2-56,0 0-64,0 0 0,0 0 168,0 0-240,0 0 0,0 0 16,0 0 64,0 0 1024,-3 0-1840,3 3 896,-2 0 24,-1 1 16,3-4 40,-4 5-32,-10-3-8,12 3 24,-3-1-16,5-4 32,-14 4 0,9 8-24,-7-10 24,-2 3-32,14-5 32,-9 4-8,-6 0 24,4 0-24,-1 1 40,12-5-32,-12 4 24,-5 0-24,1 1 24,4-3-16,12-2-8,-20 3-8,3 0 40,-5 0-8,4-3 0,18 0-24,-22 3 16,2-3-40,-7 0 16,2-2-56,25 2 64,-28-1 0,-1 1 32,-1-2-24,0 1 40,30 1-48,-34-3-16,-1 0 32,0 1-24,-5-1 0,40 3 8,-38-3 8,-4 0-32,0-1 40,-8 1-24,50 3 8,-47-3 24,0-1-24,5 1 8,-3 0 32,45 3-40,-42-3-40,-1 0 24,-1 1 0,1-1-8,43 3 24,-47-3-8,5 1 16,-5 1-8,0 0 48,47 1-48,-45 0 24,0 0 8,-6 0-40,3 2-16,48-2 24,-49 3 32,-3 2-32,0 7 72,1-9-64,51-3-8,-52 13-24,10-9 64,0 13-56,8-12 24,34-5-8,-28 12 32,3-9-56,3 2 32,8-1-56,14-4 48,-11 3 32,11-1 80,0-2 320,0 0 152,0 0-584,0 0 640,8-1-88,9-2-320,5-1-183,-22 4-49,28-6-81,7-7 41,2 9-32,8-9 24,-45 13 48,52-11-40,4 0-128,6-2-88,1-1-288,-63 14 544,71-13-816,2 0-104,9-1 8,-2-2 136,-80 16 776,82-14-553,1 0 129,-3 1 88,-5 7 152,-75 6 184,77-11-80,-11 8 272,-9 0 248,-12 0 160,-45 3-600,25-1 569,-5 0-193,-17 1-272,0 0-200,-3 0 96,0 0-152,-3 2 96,-17 3 128,-8 7 160,28-12-232,-41 3 416,-17 0 40,-11 1 40,-8 1-104,77-5-392,-92 4 336,-2 0-48,-8 0-104,-3-4 32,105 0-216,-111 3 104,-1-3-40,-2 0 88,-3 0-72,117 0-80,-113 0 184,-2 0 24,2-1-40,-5-1 41,118 2-209,-120-2 112,-2-1 8,0-1-80,1 1 48,121 3-88,-115-5 80,56 3 32,-11-3-16,4 2-88,66 3-8,-78-4 32,1 0-88,-12 0-8,6-1 16,83 5 48,-89-5-56,4-1-8,5 0 32,12 1-8,68 5 40,-62-5-96,13 1 80,9 0 8,12 0 104,28 4-96,-23-5 184,6 2-72,12 1-24,5-3-112,0 5 24,15-4-96,8 0 32,7 0 0,9-2 0,-39 6 64,53-6-16,9-5 16,8 7-32,13-8 80,-83 12-48,105-5-80,84-17-64,1 7-49,-11 2-215,-179 13 408,148-5-488,7-7-176,15 7-16,1-6-48,-171 11 728,179-4-664,7-2 24,0 2 15,11 0 97,-197 4 528,196-3-480,1 1 104,6 1 72,-6 1 64,-197 0 240,198 0-184,-10 0 16,-7 0 64,-9 0 72,-172 0 32,160 0 24,-12 0 120,-21 0 24,-17 0 56,-110 0-224,88 0 312,-25 0-64,-16 0 24,-14-2-24,-33 2-248,12-1 192,-12 0-24,-3-1-72,-22-2-24,25 4-72,-38-4-24,-18-9 80,-20 2 48,-11-1 88,87 12-192,-103-13 305,-13 2 103,-11-2 0,-9 9-56,136 4-352,-148-13 288,0 9-88,-10 1-32,3 0-40,155 3-128,-160-1 112,-8 1-56,9 3-40,-3 1-24,162-4 8,-166 11-16,4-8-40,5 11 32,-3-2 8,160-12 16,-153 12-32,5 4 64,-1 0-32,2 1-8,147-17 8,-144 15-48,12 2-56,5 2 16,71-15 72,56-4 16,-69 16 0,6-5 24,-10 3-40,5-1-80,68-13 96,-70 14-128,1 1-48,-1 0 40,8 0 8,62-15 128,-57 14-56,13-3 24,6 0 8,13-6 8,25-5 16,-24 4 16,10 7 96,9-11 32,5 0-48,0 0-96,3 0 24,15 0-136,6-4-184,11-2-48,-35 6 344,45-12-352,7 6 56,11-11 103,81-13 9,-144 30 184,148-28-168,-14-1-16,-7 4-112,-7 2-64,-120 23 360,129-23-504,10-1-112,5 0 16,-1 0 168,-143 24 432,142-23-240,0 0 152,-3 3 136,-5 2 40,-134 18-88,130-17 136,-14 2 208,-16 4 200,-11 7 120,-89 4-664,72-12 680,-18 11-216,-9-3-224,-13 1-128,-32 3-112,21-3 56,-9 2 16,-12-1 32,0 1-40,0 1-64,-5-2 56,-16 0-48,-7-3-8,-10-9 32,38 14-32,-45-14 32,-13-5 33,-3-1-9,-3-2-8,64 22-48,-70-23 80,1-1-56,4 0 32,-2-2 64,67 26-120,-58-24 64,-1-2 64,7 2-16,5-1 8,47 25-120,-45-25 104,15 4-24,4 1 0,7 2-24,19 18-56,-12-15 64,7 3 88,1 0 0,2 8 40,2 4-192,0-13 168,0 10-96,4-1-40,6 1-176,-10 3 144,4-1-232,16 1-96,-9 0-80,10 3 24,-21-3 384,20 4-352,10 10 87,-2-10 57,3 12 96,-31-16 112,30 4 16,-2 11-48,1-13 16,-1 11 32,-28-13-16,28 12-32,3-1 32,-6 3 80,3 3-96,-28-17 16,27 20-48,-4 1 56,-4 4 0,-3 2-8,-16-27 0,17 30-16,-5 2 0,-10 5-16,10 3-8,-12-40 40,0 41-24,4 2-40,1-1-64,-5 3 40,0-45 88,5 46-72,2 6-48,5 2-56,-10 4-88,-2-58 264,19 58-568,-5 2-560,-4 1-577,3 0-23,-13-61 1728,14 63-1352,1 2 640,3-2 392,-1-5 168,-17-58 152,17 51-88,-15-13 16,1-11 40,-3-27 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5" zoomScale="130" zoomScaleNormal="100" zoomScaleSheetLayoutView="130" workbookViewId="0">
      <selection activeCell="F20" sqref="F20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39</v>
      </c>
      <c r="D2" s="64"/>
      <c r="E2" s="12" t="s">
        <v>7</v>
      </c>
      <c r="F2" s="59">
        <v>45945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 t="s">
        <v>194</v>
      </c>
      <c r="D3" s="64"/>
      <c r="E3" s="12" t="s">
        <v>6</v>
      </c>
      <c r="F3" s="64" t="s">
        <v>160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181</v>
      </c>
      <c r="C8" s="76"/>
      <c r="D8" s="7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0"/>
      <c r="B9" s="77" t="s">
        <v>182</v>
      </c>
      <c r="C9" s="78"/>
      <c r="D9" s="78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183</v>
      </c>
      <c r="C10" s="78"/>
      <c r="D10" s="78"/>
      <c r="E10" s="9">
        <v>5</v>
      </c>
      <c r="F10" s="26">
        <v>3.5</v>
      </c>
      <c r="G10" s="30">
        <f t="shared" ref="G10:G20" si="0">IFERROR(F10/E10,"")</f>
        <v>0.7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7" t="s">
        <v>184</v>
      </c>
      <c r="C11" s="78"/>
      <c r="D11" s="78"/>
      <c r="E11" s="9">
        <v>5</v>
      </c>
      <c r="F11" s="26">
        <v>4.25</v>
      </c>
      <c r="G11" s="30">
        <f t="shared" si="0"/>
        <v>0.85</v>
      </c>
      <c r="H11" s="31" t="str">
        <f t="shared" si="1"/>
        <v>جيد جداً</v>
      </c>
      <c r="I11" s="44"/>
      <c r="J11" s="45"/>
    </row>
    <row r="12" spans="1:10" ht="39.9" customHeight="1" x14ac:dyDescent="0.3">
      <c r="A12" s="10"/>
      <c r="B12" s="77" t="s">
        <v>185</v>
      </c>
      <c r="C12" s="78"/>
      <c r="D12" s="78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186</v>
      </c>
      <c r="C13" s="78"/>
      <c r="D13" s="78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187</v>
      </c>
      <c r="C14" s="78"/>
      <c r="D14" s="78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7" t="s">
        <v>188</v>
      </c>
      <c r="C15" s="78"/>
      <c r="D15" s="78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" customHeight="1" x14ac:dyDescent="0.3">
      <c r="A16" s="10"/>
      <c r="B16" s="77" t="s">
        <v>189</v>
      </c>
      <c r="C16" s="78"/>
      <c r="D16" s="78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4"/>
      <c r="J16" s="45"/>
    </row>
    <row r="17" spans="1:10" ht="39.9" customHeight="1" x14ac:dyDescent="0.3">
      <c r="A17" s="10"/>
      <c r="B17" s="77" t="s">
        <v>193</v>
      </c>
      <c r="C17" s="78"/>
      <c r="D17" s="78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4"/>
      <c r="J17" s="45"/>
    </row>
    <row r="18" spans="1:10" ht="39.9" customHeight="1" x14ac:dyDescent="0.3">
      <c r="A18" s="10"/>
      <c r="B18" s="77" t="s">
        <v>190</v>
      </c>
      <c r="C18" s="78"/>
      <c r="D18" s="78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4"/>
      <c r="J18" s="45"/>
    </row>
    <row r="19" spans="1:10" ht="39.9" customHeight="1" x14ac:dyDescent="0.3">
      <c r="A19" s="10"/>
      <c r="B19" s="77" t="s">
        <v>191</v>
      </c>
      <c r="C19" s="78"/>
      <c r="D19" s="78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4"/>
      <c r="J19" s="45"/>
    </row>
    <row r="20" spans="1:10" ht="39.9" customHeight="1" thickBot="1" x14ac:dyDescent="0.35">
      <c r="A20" s="10"/>
      <c r="B20" s="81" t="s">
        <v>192</v>
      </c>
      <c r="C20" s="82"/>
      <c r="D20" s="82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79"/>
      <c r="J20" s="80"/>
    </row>
    <row r="21" spans="1:10" ht="30" customHeight="1" thickBot="1" x14ac:dyDescent="0.35">
      <c r="A21" s="4"/>
      <c r="B21" s="54" t="s">
        <v>5</v>
      </c>
      <c r="C21" s="55"/>
      <c r="D21" s="55"/>
      <c r="E21" s="29">
        <f>SUM(E8:E20)</f>
        <v>65</v>
      </c>
      <c r="F21" s="29">
        <f>SUM(F8:F20)</f>
        <v>48.25</v>
      </c>
      <c r="G21" s="41"/>
      <c r="H21" s="42"/>
      <c r="I21" s="42"/>
      <c r="J21" s="43"/>
    </row>
    <row r="22" spans="1:10" ht="30" customHeight="1" thickBot="1" x14ac:dyDescent="0.35">
      <c r="A22" s="4"/>
      <c r="B22" s="56" t="s">
        <v>52</v>
      </c>
      <c r="C22" s="57"/>
      <c r="D22" s="57"/>
      <c r="E22" s="52">
        <f>F21/E21/100*100</f>
        <v>0.74230769230769234</v>
      </c>
      <c r="F22" s="52"/>
      <c r="G22" s="52"/>
      <c r="H22" s="52"/>
      <c r="I22" s="52"/>
      <c r="J22" s="53"/>
    </row>
    <row r="23" spans="1:10" ht="30" customHeight="1" thickBot="1" x14ac:dyDescent="0.35">
      <c r="A23" s="4"/>
      <c r="B23" s="56" t="s">
        <v>53</v>
      </c>
      <c r="C23" s="57"/>
      <c r="D23" s="57"/>
      <c r="E23" s="50" t="str">
        <f>_xlfn.IFS(E22&gt;=90%,"ممتاز",E22&gt;=80%,"جيد جداً",E22&gt;=70%,"جيد",E22&gt;=60%,"مقبول",E22&lt;60%,"راسب")</f>
        <v>جيد</v>
      </c>
      <c r="F23" s="50"/>
      <c r="G23" s="50"/>
      <c r="H23" s="50"/>
      <c r="I23" s="50"/>
      <c r="J23" s="51"/>
    </row>
    <row r="24" spans="1:10" ht="42" customHeight="1" x14ac:dyDescent="0.3">
      <c r="B24" s="46" t="s">
        <v>172</v>
      </c>
      <c r="C24" s="46"/>
      <c r="D24" s="46"/>
      <c r="E24" s="39" t="s">
        <v>50</v>
      </c>
      <c r="F24" s="39"/>
      <c r="G24" s="48" t="s">
        <v>160</v>
      </c>
      <c r="H24" s="48"/>
      <c r="I24" s="48"/>
      <c r="J24" s="48"/>
    </row>
    <row r="25" spans="1:10" ht="51" customHeight="1" x14ac:dyDescent="0.3">
      <c r="A25" s="5"/>
      <c r="B25" s="47"/>
      <c r="C25" s="47"/>
      <c r="D25" s="47"/>
      <c r="E25" s="40" t="s">
        <v>51</v>
      </c>
      <c r="F25" s="40"/>
      <c r="G25" s="49"/>
      <c r="H25" s="49"/>
      <c r="I25" s="49"/>
      <c r="J25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2025-10-15T21:36:11Z</dcterms:modified>
</cp:coreProperties>
</file>