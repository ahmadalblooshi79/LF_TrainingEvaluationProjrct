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28675A7C-E152-4973-9B4D-586E4587B69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8" i="2"/>
  <c r="H8" i="2"/>
  <c r="F34" i="2"/>
  <c r="E34" i="2"/>
  <c r="E35" i="2"/>
  <c r="E36" i="2"/>
</calcChain>
</file>

<file path=xl/sharedStrings.xml><?xml version="1.0" encoding="utf-8"?>
<sst xmlns="http://schemas.openxmlformats.org/spreadsheetml/2006/main" count="263" uniqueCount="207">
  <si>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</si>
  <si>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</si>
  <si>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</si>
  <si>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</si>
  <si>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</si>
  <si>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</si>
  <si>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</si>
  <si>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</si>
  <si>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</si>
  <si>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</si>
  <si>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</si>
  <si>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</si>
  <si>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</si>
  <si>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</si>
  <si>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</si>
  <si>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</si>
  <si>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</si>
  <si>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</si>
  <si>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</si>
  <si>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</si>
  <si>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</si>
  <si>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</si>
  <si>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</si>
  <si>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</si>
  <si>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</si>
  <si>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</si>
  <si>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</si>
  <si>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</si>
  <si>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</si>
  <si>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</si>
  <si>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</si>
  <si>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</si>
  <si>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</si>
  <si>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</si>
  <si>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</si>
  <si>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</si>
  <si>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</si>
  <si>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</si>
  <si>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</si>
  <si>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</si>
  <si>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</si>
  <si>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</si>
  <si>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</si>
  <si>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</si>
  <si>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</si>
  <si>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</si>
  <si>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</si>
  <si>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</si>
  <si>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</si>
  <si>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</si>
  <si>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</si>
  <si>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</si>
  <si>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</si>
  <si>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</si>
  <si>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</si>
  <si>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</si>
  <si>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</si>
  <si>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</si>
  <si>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</si>
  <si>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</si>
  <si>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</si>
  <si>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</si>
  <si>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</si>
  <si>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</si>
  <si>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</si>
  <si>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</si>
  <si>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</si>
  <si>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</si>
  <si>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</si>
  <si>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</si>
  <si>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</si>
  <si>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</si>
  <si>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</si>
  <si>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</si>
  <si>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</si>
  <si>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</si>
  <si>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</si>
  <si>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</si>
  <si>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</si>
  <si>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</si>
  <si>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</si>
  <si>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</si>
  <si>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</si>
  <si>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</si>
  <si>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</si>
  <si>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</si>
  <si>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</si>
  <si>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</si>
  <si>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</si>
  <si>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</si>
  <si>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</si>
  <si>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</si>
  <si>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</si>
  <si>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</si>
  <si>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</si>
  <si>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</si>
  <si>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</si>
  <si>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</si>
  <si>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</si>
  <si>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</si>
  <si>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</si>
  <si>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</si>
  <si>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</si>
  <si>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</si>
  <si>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</si>
  <si>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</si>
  <si>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</si>
  <si>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</si>
  <si>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</si>
  <si>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</si>
  <si>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</si>
  <si>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</si>
  <si>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</si>
  <si>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</si>
  <si>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</si>
  <si>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</si>
  <si>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</si>
  <si>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</si>
  <si>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</si>
  <si>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</si>
  <si>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</si>
  <si>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</si>
  <si>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</si>
  <si>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</si>
  <si>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</si>
  <si>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</si>
  <si>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</si>
  <si>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</si>
  <si>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</si>
  <si>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</si>
  <si>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</si>
  <si>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</si>
  <si>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</si>
  <si>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</si>
  <si>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</si>
  <si>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</si>
  <si>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</si>
  <si>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</si>
  <si>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</si>
  <si>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</si>
  <si>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</si>
  <si>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</si>
  <si>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</si>
  <si>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</si>
  <si>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</si>
  <si>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</si>
  <si>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</si>
  <si>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</si>
  <si>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</si>
  <si>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</si>
  <si>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</si>
  <si>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</si>
  <si>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</si>
  <si>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</si>
  <si>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</si>
  <si>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</si>
  <si>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</si>
  <si>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</si>
  <si>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</si>
  <si>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</si>
  <si>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</si>
  <si>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</si>
  <si>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</si>
  <si>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</si>
  <si>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</si>
  <si>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</si>
  <si>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</si>
  <si>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</si>
  <si>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</si>
  <si>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</si>
  <si>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</si>
  <si>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</si>
  <si>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</si>
  <si>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</si>
  <si>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</si>
  <si>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</si>
  <si>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</si>
  <si>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</si>
  <si>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</si>
  <si>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</si>
  <si>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1.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أصدرا أمراً مجزأً من المستوى الأعلى لتنفيذ الدفاع السريع وتعميمه على المستوى الأدنى.</t>
    </r>
  </si>
  <si>
    <r>
      <t>2.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المهمة الرئيسة للوحدات المرؤوسة في كل المستويات.</t>
    </r>
  </si>
  <si>
    <r>
      <t>3.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مواقع الدفاع السريع للوحدات المرؤوسة.</t>
    </r>
  </si>
  <si>
    <r>
      <t>4.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اختيار طبيعة الأرض التي توفر التخفية والتستر وتسمح بتركيز نيران الأسلحة.</t>
    </r>
  </si>
  <si>
    <r>
      <t>5.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إبلاغ المستوى الأعلى بإحداثيات مواقع الوحدة.</t>
    </r>
  </si>
  <si>
    <r>
      <t>6.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إقامة الحماية المحلية والمراقبة على طول مقتربات العدو المحتملة وتعيين عناصر لتوفر الإنذار المبكر.</t>
    </r>
  </si>
  <si>
    <r>
      <t>7.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نقاط مرجع الهدف من اجل تركيز النيران وتأمين إسناد متبادل.</t>
    </r>
  </si>
  <si>
    <r>
      <t>8.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استطلاع منطقة الأهداف من قبل الدوريات وعناصر الكشف للتأكد من خلوها من العدو.</t>
    </r>
  </si>
  <si>
    <r>
      <t>9.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توضيع معدات المراقبة في مواقع تساعد على تحديد نقاط مرجع الأهداف ليلاً أو أثناء الرؤية المحددة.</t>
    </r>
  </si>
  <si>
    <r>
      <t>10.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تجهيز مواقع ثانوية وبديلة للآليات والأفراد.</t>
    </r>
  </si>
  <si>
    <r>
      <t>11.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إعداد بطاقات المدى لأنظمة الرماية المباشرة.</t>
    </r>
  </si>
  <si>
    <r>
      <t>12.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أهداف المدفعية وطلب الإسناد المدفعي عند الحاجة.</t>
    </r>
  </si>
  <si>
    <r>
      <t>13.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تفقد قادة الوحدات لمواقع الآليات والأفراد (مواقع رئيسة، ثانوية، بديلة).</t>
    </r>
  </si>
  <si>
    <r>
      <t>14.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الحصول على التقارير والمعلومات المحدثَة التي تبين مواقع القوات الأمامية والجانبية (المجاورة) الصديقة وحسب الحاجة.</t>
    </r>
  </si>
  <si>
    <r>
      <t>15.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 xml:space="preserve">الحصول على معلومات محدثَة عن مواقع قوات العدو لمنع الإصابة بالنيران الصديقة وزيادة حماية القوة وحسب الحاجة. </t>
    </r>
  </si>
  <si>
    <r>
      <t>16.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توزيع المعلومات الضرورية لجميع الوحدات المرؤوسة لاطلاعهم على آخر مستجدات الموقف.</t>
    </r>
  </si>
  <si>
    <r>
      <t>17.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التخطيط للدفاع ضد الهجمات المعاكسة والتأكد من يقظة وجاهزية جميع الأفراد للتعامل معها.</t>
    </r>
  </si>
  <si>
    <r>
      <t>18.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فعالية الاتصالات بين القيادة ونقاط المراقبة.</t>
    </r>
  </si>
  <si>
    <r>
      <t>19.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إعادة تأسيس شبكات الاتصالات.</t>
    </r>
  </si>
  <si>
    <r>
      <t>20.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تأمين الإسناد المتبادل داخل الوحدة ومع الوحدات الجانبية.</t>
    </r>
  </si>
  <si>
    <r>
      <t>21.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إرسال تقارير المرؤوسين حول الذخيرة، الإصابات والمعدات.</t>
    </r>
  </si>
  <si>
    <r>
      <t>22.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تنسيق عملية إعادة التزويد وسد النقص من الذخيرة والأرزاق والوقود.</t>
    </r>
  </si>
  <si>
    <r>
      <t>23.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إرسال تقرير الموقف الإداري المفصل يشمل (الخسائر في الأفراد والمعدات والذخيرة والوقود).</t>
    </r>
  </si>
  <si>
    <r>
      <t>24.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نقاط تجميع الإصابات والتعامل مع الإصابات وإخلاء الجرحى والشهداء حسب الإجراءات المتبعة.</t>
    </r>
  </si>
  <si>
    <r>
      <t>25.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تعويض خسائر القوى البشرية بأسرع ما يمكن.</t>
    </r>
  </si>
  <si>
    <r>
      <t>26.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نقاط تجميع الصيانة واخلاء الآليات والمعدات المعطلة حسب الإجراءات المتبعة.</t>
    </r>
  </si>
  <si>
    <r>
      <rPr>
        <b/>
        <sz val="14"/>
        <color rgb="FF000000"/>
        <rFont val="Arial"/>
        <family val="2"/>
      </rPr>
      <t>تقييم الدفاع السريع (قيادة اللواء - الكتيبة - السرية)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</si>
</sst>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3" fillId="5" borderId="23" xfId="0" applyFont="1" applyFill="1" applyBorder="1" applyAlignment="1">
      <alignment horizontal="right" vertical="center" wrapText="1" readingOrder="2"/>
    </xf>
    <xf numFmtId="0" fontId="13" fillId="5" borderId="3" xfId="0" applyFont="1" applyFill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3" fillId="5" borderId="11" xfId="0" applyFont="1" applyFill="1" applyBorder="1" applyAlignment="1">
      <alignment horizontal="right" vertical="center" wrapText="1" readingOrder="2"/>
    </xf>
    <xf numFmtId="0" fontId="13" fillId="5" borderId="12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1074079</xdr:colOff>
      <xdr:row>51</xdr:row>
      <xdr:rowOff>23903</xdr:rowOff>
    </xdr:from>
    <xdr:to>
      <xdr:col>3</xdr:col>
      <xdr:colOff>1074439</xdr:colOff>
      <xdr:row>51</xdr:row>
      <xdr:rowOff>151343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58177690-B46F-416E-040D-D9CBFC03B458}"/>
                </a:ext>
              </a:extLst>
            </xdr14:cNvPr>
            <xdr14:cNvContentPartPr/>
          </xdr14:nvContentPartPr>
          <xdr14:nvPr macro=""/>
          <xdr14:xfrm>
            <a:off x="10402794425" y="20696040"/>
            <a:ext cx="360" cy="1274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58177690-B46F-416E-040D-D9CBFC03B45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02788305" y="20689920"/>
              <a:ext cx="12600" cy="13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431385</xdr:colOff>
      <xdr:row>37</xdr:row>
      <xdr:rowOff>188108</xdr:rowOff>
    </xdr:from>
    <xdr:to>
      <xdr:col>7</xdr:col>
      <xdr:colOff>411935</xdr:colOff>
      <xdr:row>37</xdr:row>
      <xdr:rowOff>446228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C3373419-6F6C-5599-B450-454AA4B5DAB1}"/>
                </a:ext>
              </a:extLst>
            </xdr14:cNvPr>
            <xdr14:cNvContentPartPr/>
          </xdr14:nvContentPartPr>
          <xdr14:nvPr macro=""/>
          <xdr14:xfrm>
            <a:off x="10399491065" y="17737200"/>
            <a:ext cx="638640" cy="2581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C3373419-6F6C-5599-B450-454AA4B5DAB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484945" y="17731080"/>
              <a:ext cx="650880" cy="27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271175</xdr:colOff>
      <xdr:row>37</xdr:row>
      <xdr:rowOff>134828</xdr:rowOff>
    </xdr:from>
    <xdr:to>
      <xdr:col>9</xdr:col>
      <xdr:colOff>212834</xdr:colOff>
      <xdr:row>37</xdr:row>
      <xdr:rowOff>512468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216601CC-BC0A-068A-DA4A-8E108521A2DB}"/>
                </a:ext>
              </a:extLst>
            </xdr14:cNvPr>
            <xdr14:cNvContentPartPr/>
          </xdr14:nvContentPartPr>
          <xdr14:nvPr macro=""/>
          <xdr14:xfrm>
            <a:off x="10398373985" y="17683920"/>
            <a:ext cx="1257840" cy="37764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216601CC-BC0A-068A-DA4A-8E108521A2D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8367865" y="17677800"/>
              <a:ext cx="1270080" cy="389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6T17:55:12.2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1,'0'16,"0"0,0-1,0 2,0 15,0-17,0 2,0 15,0-9,0 2,0 24,0-26,0 2,0 7,0-16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6T17:55:14.5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1353 706 7889,'0'0'0,"0"3"4249,0-3-4249,-2 3 1200,-1-1-287,3 0-25,-3-2-192,3 0-696,0 0 640,0 0-240,0-3-112,0 0-72,0 3-216,0-3 168,-3-1-16,3 0 0,0-8 160,0 12-312,-5-2 368,3-3 201,-3-6 87,5 8 32,0 3-688,0-4 688,-5-10-64,3 9-64,0-9-80,2 14-480,-3-11 432,-1-1-119,0 1-97,-8-3-16,12 14-200,-3-16 184,1 1-48,-9-3 0,8 1-96,3 17-40,-12-17 0,10 0 56,-13-1 40,14-1-152,1 19 56,-12-20 72,12-1-40,-7 1 8,-7-1 16,14 21-56,-2-20 56,-10 0-48,12 0-64,-5 4 184,5 16-128,-5-16-16,3 5 48,-3 7 8,4-12-56,1 16 16,0-3 56,0-8-56,0 8-8,-5-1 16,5 4-8,0-4-8,0 1 32,0 0-8,0 0-112,0 3 96,0-3 0,0 0-72,0 1 72,0 2-16,0 0 16,5-3-96,-1 3 96,5 0-32,-4-3 80,-5 3-48,14 0 56,-7 0-16,7-3-24,-12 0 24,-2 3-40,19-3 16,-7 1-32,1-1-16,9 0 64,-22 3-32,16 0-56,3-3 24,-6-1 64,9 1 8,-22 3-40,13-4 72,4-1-48,1 1-8,-1 0 72,-17 4-88,19-13-32,-3 10 88,-2-1-16,0-9-96,-14 13 56,16-3 48,1-1 8,-1-10-88,1 11 64,-17 3-32,15-13 24,0 10 32,1-9 32,-2 9-48,-14 3-40,14-12 56,-2 9-88,-8-1 104,12-7-88,-16 11 16,5-3 32,7-1-32,-7-1-16,2 1 48,-7 4-32,1-4 24,4 1 8,0 0-8,-5 0-24,0 3 0,5 0 0,-5 0-24,0 0-32,0 0 40,0 0 16,0 0-16,0 0-64,0 0 48,-2 2-48,2-2 80,0 4-56,-3 0 56,-2 2-48,0 5 24,5-11 24,-11 5-32,9 7 32,-12-7 16,7 6 40,7-11-56,-14 4-16,9 11 8,-13-11-8,6 11 16,12-15 0,-12 6 24,-6 10 24,1-5-96,-1 3 8,18-14 40,-16 15 128,-6 2-128,1-2 0,2 2-128,19-17 128,-20 17-184,-1-1 128,2 0 128,0-1 72,19-15-144,-14 13 56,-2 0-56,4-2-72,2 1 32,10-12 40,-3 11-48,-12-5 80,13 8-72,-12-10-16,14-4 56,-4 12-16,-11-8 96,13 8-120,-12-8 72,14-4-32,-9 11 0,4-6-48,-10-1 120,14 7-72,1-11 0,-12 2 72,5 2-72,-5 0 40,10-1-24,2-3-16,-12 1 0,10 1-32,-12-1 48,10-1 152,4 0-168,-5 0 16,-10 0 96,11-3-56,-7-1-40,11 4-16,-5-4 72,-7 0 24,9-9 16,-10 10-80,13 3-32,-12-11 96,0 6-168,-2-10 64,0 3 32,14 12-24,-13-10 16,-7-4-48,5-2 8,-2 0 120,17 16-96,-16-17 48,1 0 120,0 0-128,-2-1 8,17 18-48,-14-19-104,0 1 88,2-2 64,-4 3-208,16 17 160,-12-17 72,-1 1-112,1 3 120,0 1-32,12 12-48,-3-12 40,-15 8-40,13-9-96,-6 10 104,11 3-8,0-4-80,-5 0 88,0 0-8,3-1 88,2 5-88,-2-3 72,-3 1-56,2-1-200,1 0 96,2 3 88,-2 0-32,-3 0 8,5 0 112,0 0-232,0 0 144,0 0-144,0 0-24,0 0 184,2 1-80,-2-1 64,5 5-56,0 6 48,4 0-80,-1 1 120,-8-12-32,11 12 0,1 1 0,-10 1-56,14 1 24,-16-15 32,12 15 96,0 1-40,-3 0 120,-2-2-112,-7-14-64,12 14 0,-7 0 48,6-1 64,-7-2-56,-4-11-56,12 12 16,-7-1 40,-1-7-40,3 9-32,-7-13 16,3 4 32,-1 2-96,3 6-104,-3-8 224,3 9 16,0-9-16,-3 2-40,0 5-56,-2-11 40,2 4 0,1-1 40,-1 3 72,-2-2-128,0-4 16,0 5 72,0-1-128,0 0 40,0 0 80,0-4-64,-5 6-120,1-2 176,2 2 32,-10 0-144,12-6 56,-5 5 32,-7 1 32,8 0-128,-8 0 192,12-6-128,-12 5 96,1 1-112,-1 0 8,-2 5-56,14-11 64,-18 4-56,2 8 32,-6-8 32,1 7 56,21-11-64,-16 5-16,-5-1-16,3 0 32,1-3 56,17-1-56,-16 2 16,9-2-56,-5-3 40,7-8-184,5 11 184,-5-5-216,4-12 144,1 6-184,0 0-48,0 11 304,0-12-256,6 8-24,8-13 112,-11 13 184,-3 4-16,13-15-152,-6 13 152,8-10-56,-4 9 56,-11 3 0,5-2-64,7-1 32,-10 0-32,1 3 48,-3 0 16,2 0 152,-2 0-192,0 0 176,-5 0-64,5 0-72,-5 1 208,-9 2-200,3 1 64,-4 1-48,15-5-24,-20 11-160,1-7 184,-2 9-96,-2-7 64,23-6 8,-26 15 160,5-3-48,-5-7-24,3 11 96,23-16-184,-26 6 80,3 7 88,-3-9 88,3 2-176,23-6-80,-21 4 176,7-1-32,-3-2-80,1-1 8,16 0-72,-12-3 160,-1-1-88,1 0-88,0-11 88,12 15-72,-11-2-16,-1-11-24,7 9 72,-8-8-64,13 12 32,-15-4-56,6-7 80,4 8 8,-11 0 40,16 3-72,-12-3 40,-2 3-24,-2 0-16,-3 0-88,19 0 88,-21 1-144,-5 2 32,8 2-232,-5-1-1040,23-4 1384,-24 4-3201,-6 9-6841,4-12 1536,26-1 8506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6T17:55:15.1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2221 634 13266,'0'0'0,"16"2"520,5 2 9,-21-4-529,26 4 784,4-1 160,1-2-104,1 4-120,-32-5-720,33 2 568,2 1-48,4 2-39,1-4-57,-40-1-424,42 1 544,4 1 40,1-2 80,4 0 40,-51 0-704,52 0 688,-3-4-136,0-8 89,2 8-201,-51 4-440,46-14 304,-1 2-8,-3-2-184,-2-2 80,-40 16-192,41-18 112,-3-5 8,-3-2 16,-2 0-104,-33 25-32,25-29 168,-2 2-208,-1-1 136,-4 1-120,-18 27 24,19-29 112,-3 1 72,-11 1-144,13-2 64,-18 29-104,0-28 32,5-1 184,0 0-64,-5-1 232,0 30-384,0-27 168,-5 0-16,-11 3 64,2 1-144,14 23-72,-16-20 192,-8 4-192,3 4-24,-4 9 8,25 3 16,-30-5-48,-10 3 8,-3 2-64,-3 0 160,46 0-56,-49 4-112,3 0 136,-6 9-40,-4-9-8,56-4 24,-53 16 24,-3-5-32,-3 2 120,-4 3-136,63-16 24,-61 15 56,1 2 32,-6 0-32,1 0 8,65-17-64,-65 20 89,-5 0 31,0 2-120,0-3 56,70-19-56,-68 22 0,-2-2-160,-2 4-169,-5 1 241,77-25 88,-77 29 32,-2 4 96,-5 1 273,5 3-337,79-37-64,-91 38 40,4 1 40,-4 3-40,-2-3 24,93-39-64,-93 42-88,0 2-128,4-2 128,-4 0 32,93-42 56,-96 41 40,-2-1-80,-4-2 7,-9 0-87,111-38 120,-58 19-248,-14 2-1032,-2 0-1584,-24 5-5714,98-26 8578,-101 24-10499,101-24 10499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8"/>
  <sheetViews>
    <sheetView rightToLeft="1" tabSelected="1" view="pageBreakPreview" zoomScale="130" zoomScaleNormal="100" zoomScaleSheetLayoutView="130" workbookViewId="0">
      <selection activeCell="C2" sqref="C2:D2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4" t="s">
        <v>206</v>
      </c>
      <c r="C1" s="54"/>
      <c r="D1" s="54"/>
      <c r="E1" s="54"/>
      <c r="F1" s="54"/>
      <c r="G1" s="54"/>
      <c r="H1" s="54"/>
      <c r="I1" s="54"/>
      <c r="J1" s="54"/>
    </row>
    <row r="2" spans="1:10" ht="30" customHeight="1" x14ac:dyDescent="0.3">
      <c r="B2" s="12" t="s">
        <v>8</v>
      </c>
      <c r="C2" s="60" t="s">
        <v>47</v>
      </c>
      <c r="D2" s="60"/>
      <c r="E2" s="12" t="s">
        <v>7</v>
      </c>
      <c r="F2" s="55">
        <v>45955</v>
      </c>
      <c r="G2" s="55"/>
      <c r="H2" s="55"/>
      <c r="I2" s="55"/>
      <c r="J2" s="55"/>
    </row>
    <row r="3" spans="1:10" ht="30" customHeight="1" x14ac:dyDescent="0.3">
      <c r="B3" s="12" t="s">
        <v>9</v>
      </c>
      <c r="C3" s="60" t="s">
        <v>87</v>
      </c>
      <c r="D3" s="60"/>
      <c r="E3" s="12" t="s">
        <v>6</v>
      </c>
      <c r="F3" s="60" t="s">
        <v>104</v>
      </c>
      <c r="G3" s="60"/>
      <c r="H3" s="60"/>
      <c r="I3" s="60"/>
      <c r="J3" s="60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56" t="s">
        <v>0</v>
      </c>
      <c r="C5" s="57"/>
      <c r="D5" s="57"/>
      <c r="E5" s="63" t="s">
        <v>1</v>
      </c>
      <c r="F5" s="63"/>
      <c r="G5" s="63"/>
      <c r="H5" s="63"/>
      <c r="I5" s="63" t="s">
        <v>2</v>
      </c>
      <c r="J5" s="64"/>
    </row>
    <row r="6" spans="1:10" ht="24.9" customHeight="1" thickBot="1" x14ac:dyDescent="0.35">
      <c r="A6" s="10"/>
      <c r="B6" s="58"/>
      <c r="C6" s="59"/>
      <c r="D6" s="59"/>
      <c r="E6" s="11" t="s">
        <v>3</v>
      </c>
      <c r="F6" s="11" t="s">
        <v>4</v>
      </c>
      <c r="G6" s="11" t="s">
        <v>23</v>
      </c>
      <c r="H6" s="11" t="s">
        <v>24</v>
      </c>
      <c r="I6" s="65"/>
      <c r="J6" s="66"/>
    </row>
    <row r="7" spans="1:10" ht="24.9" customHeight="1" thickBot="1" x14ac:dyDescent="0.35">
      <c r="A7" s="10"/>
      <c r="B7" s="61" t="s">
        <v>21</v>
      </c>
      <c r="C7" s="62"/>
      <c r="D7" s="62"/>
      <c r="E7" s="28" t="s">
        <v>18</v>
      </c>
      <c r="F7" s="28" t="s">
        <v>19</v>
      </c>
      <c r="G7" s="28" t="s">
        <v>22</v>
      </c>
      <c r="H7" s="28" t="s">
        <v>20</v>
      </c>
      <c r="I7" s="67" t="s">
        <v>25</v>
      </c>
      <c r="J7" s="68"/>
    </row>
    <row r="8" spans="1:10" ht="39.9" customHeight="1" x14ac:dyDescent="0.3">
      <c r="A8" s="10"/>
      <c r="B8" s="43" t="s">
        <v>180</v>
      </c>
      <c r="C8" s="44"/>
      <c r="D8" s="44"/>
      <c r="E8" s="32">
        <v>5</v>
      </c>
      <c r="F8" s="33">
        <v>3.75</v>
      </c>
      <c r="G8" s="34">
        <f>IFERROR(F8/E8,"")</f>
        <v>0.75</v>
      </c>
      <c r="H8" s="35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69"/>
      <c r="J8" s="70"/>
    </row>
    <row r="9" spans="1:10" ht="39.9" customHeight="1" x14ac:dyDescent="0.3">
      <c r="A9" s="10"/>
      <c r="B9" s="41" t="s">
        <v>181</v>
      </c>
      <c r="C9" s="42"/>
      <c r="D9" s="42"/>
      <c r="E9" s="9">
        <v>5</v>
      </c>
      <c r="F9" s="26">
        <v>3.75</v>
      </c>
      <c r="G9" s="30">
        <f>IFERROR(F9/E9,"")</f>
        <v>0.75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5"/>
      <c r="J9" s="46"/>
    </row>
    <row r="10" spans="1:10" ht="39.9" customHeight="1" x14ac:dyDescent="0.3">
      <c r="A10" s="10"/>
      <c r="B10" s="41" t="s">
        <v>182</v>
      </c>
      <c r="C10" s="42"/>
      <c r="D10" s="42"/>
      <c r="E10" s="9">
        <v>5</v>
      </c>
      <c r="F10" s="26">
        <v>3.5</v>
      </c>
      <c r="G10" s="30">
        <f t="shared" ref="G10:G33" si="0">IFERROR(F10/E10,"")</f>
        <v>0.7</v>
      </c>
      <c r="H10" s="31" t="str">
        <f t="shared" ref="H10:H33" si="1">_xlfn.IFS(F10="أدخل العلامة","",F10="لا ينطبق","تم الإلغاء",G10&gt;=90%,"ممتاز",G10&gt;=80%,"جيد جداً",G10&gt;=70%,"جيد",G10&gt;=60%,"مقبول",G10&lt;60%,"راسب")</f>
        <v>جيد</v>
      </c>
      <c r="I10" s="45"/>
      <c r="J10" s="46"/>
    </row>
    <row r="11" spans="1:10" ht="39.9" customHeight="1" x14ac:dyDescent="0.3">
      <c r="A11" s="10"/>
      <c r="B11" s="41" t="s">
        <v>183</v>
      </c>
      <c r="C11" s="42"/>
      <c r="D11" s="42"/>
      <c r="E11" s="9">
        <v>5</v>
      </c>
      <c r="F11" s="26">
        <v>3.75</v>
      </c>
      <c r="G11" s="30">
        <f t="shared" si="0"/>
        <v>0.75</v>
      </c>
      <c r="H11" s="31" t="str">
        <f t="shared" si="1"/>
        <v>جيد</v>
      </c>
      <c r="I11" s="45"/>
      <c r="J11" s="46"/>
    </row>
    <row r="12" spans="1:10" ht="39.9" customHeight="1" x14ac:dyDescent="0.3">
      <c r="A12" s="10"/>
      <c r="B12" s="41" t="s">
        <v>184</v>
      </c>
      <c r="C12" s="42"/>
      <c r="D12" s="42"/>
      <c r="E12" s="9">
        <v>5</v>
      </c>
      <c r="F12" s="26">
        <v>3.75</v>
      </c>
      <c r="G12" s="30">
        <f t="shared" si="0"/>
        <v>0.75</v>
      </c>
      <c r="H12" s="31" t="str">
        <f t="shared" si="1"/>
        <v>جيد</v>
      </c>
      <c r="I12" s="45"/>
      <c r="J12" s="46"/>
    </row>
    <row r="13" spans="1:10" ht="39.9" customHeight="1" x14ac:dyDescent="0.3">
      <c r="A13" s="10"/>
      <c r="B13" s="41" t="s">
        <v>185</v>
      </c>
      <c r="C13" s="42"/>
      <c r="D13" s="42"/>
      <c r="E13" s="9">
        <v>5</v>
      </c>
      <c r="F13" s="26">
        <v>3.75</v>
      </c>
      <c r="G13" s="30">
        <f t="shared" si="0"/>
        <v>0.75</v>
      </c>
      <c r="H13" s="31" t="str">
        <f t="shared" si="1"/>
        <v>جيد</v>
      </c>
      <c r="I13" s="45"/>
      <c r="J13" s="46"/>
    </row>
    <row r="14" spans="1:10" ht="39.9" customHeight="1" x14ac:dyDescent="0.3">
      <c r="A14" s="10"/>
      <c r="B14" s="41" t="s">
        <v>186</v>
      </c>
      <c r="C14" s="42"/>
      <c r="D14" s="42"/>
      <c r="E14" s="9">
        <v>5</v>
      </c>
      <c r="F14" s="26">
        <v>3.75</v>
      </c>
      <c r="G14" s="30">
        <f t="shared" si="0"/>
        <v>0.75</v>
      </c>
      <c r="H14" s="31" t="str">
        <f t="shared" si="1"/>
        <v>جيد</v>
      </c>
      <c r="I14" s="45"/>
      <c r="J14" s="46"/>
    </row>
    <row r="15" spans="1:10" ht="39.9" customHeight="1" x14ac:dyDescent="0.3">
      <c r="A15" s="10"/>
      <c r="B15" s="41" t="s">
        <v>187</v>
      </c>
      <c r="C15" s="42"/>
      <c r="D15" s="42"/>
      <c r="E15" s="9">
        <v>5</v>
      </c>
      <c r="F15" s="26">
        <v>3.75</v>
      </c>
      <c r="G15" s="30">
        <f t="shared" si="0"/>
        <v>0.75</v>
      </c>
      <c r="H15" s="31" t="str">
        <f t="shared" si="1"/>
        <v>جيد</v>
      </c>
      <c r="I15" s="45"/>
      <c r="J15" s="46"/>
    </row>
    <row r="16" spans="1:10" ht="39.9" customHeight="1" x14ac:dyDescent="0.3">
      <c r="A16" s="10"/>
      <c r="B16" s="41" t="s">
        <v>188</v>
      </c>
      <c r="C16" s="42"/>
      <c r="D16" s="42"/>
      <c r="E16" s="9">
        <v>5</v>
      </c>
      <c r="F16" s="26">
        <v>3.75</v>
      </c>
      <c r="G16" s="30">
        <f t="shared" si="0"/>
        <v>0.75</v>
      </c>
      <c r="H16" s="31" t="str">
        <f t="shared" si="1"/>
        <v>جيد</v>
      </c>
      <c r="I16" s="45"/>
      <c r="J16" s="46"/>
    </row>
    <row r="17" spans="1:10" ht="39.9" customHeight="1" x14ac:dyDescent="0.3">
      <c r="A17" s="10"/>
      <c r="B17" s="41" t="s">
        <v>189</v>
      </c>
      <c r="C17" s="42"/>
      <c r="D17" s="42"/>
      <c r="E17" s="9">
        <v>5</v>
      </c>
      <c r="F17" s="26">
        <v>3.5</v>
      </c>
      <c r="G17" s="30">
        <f t="shared" si="0"/>
        <v>0.7</v>
      </c>
      <c r="H17" s="31" t="str">
        <f t="shared" si="1"/>
        <v>جيد</v>
      </c>
      <c r="I17" s="45"/>
      <c r="J17" s="46"/>
    </row>
    <row r="18" spans="1:10" ht="39.9" customHeight="1" x14ac:dyDescent="0.3">
      <c r="A18" s="10"/>
      <c r="B18" s="41" t="s">
        <v>190</v>
      </c>
      <c r="C18" s="42"/>
      <c r="D18" s="42"/>
      <c r="E18" s="9">
        <v>5</v>
      </c>
      <c r="F18" s="26">
        <v>3.5</v>
      </c>
      <c r="G18" s="30">
        <f t="shared" si="0"/>
        <v>0.7</v>
      </c>
      <c r="H18" s="31" t="str">
        <f t="shared" si="1"/>
        <v>جيد</v>
      </c>
      <c r="I18" s="45"/>
      <c r="J18" s="46"/>
    </row>
    <row r="19" spans="1:10" ht="39.9" customHeight="1" x14ac:dyDescent="0.3">
      <c r="A19" s="10"/>
      <c r="B19" s="41" t="s">
        <v>191</v>
      </c>
      <c r="C19" s="42"/>
      <c r="D19" s="42"/>
      <c r="E19" s="9">
        <v>5</v>
      </c>
      <c r="F19" s="26">
        <v>3.5</v>
      </c>
      <c r="G19" s="30">
        <f t="shared" si="0"/>
        <v>0.7</v>
      </c>
      <c r="H19" s="31" t="str">
        <f t="shared" si="1"/>
        <v>جيد</v>
      </c>
      <c r="I19" s="45"/>
      <c r="J19" s="46"/>
    </row>
    <row r="20" spans="1:10" ht="39.9" customHeight="1" x14ac:dyDescent="0.3">
      <c r="A20" s="10"/>
      <c r="B20" s="41" t="s">
        <v>192</v>
      </c>
      <c r="C20" s="42"/>
      <c r="D20" s="42"/>
      <c r="E20" s="9">
        <v>5</v>
      </c>
      <c r="F20" s="26">
        <v>3.5</v>
      </c>
      <c r="G20" s="30">
        <f t="shared" si="0"/>
        <v>0.7</v>
      </c>
      <c r="H20" s="31" t="str">
        <f t="shared" si="1"/>
        <v>جيد</v>
      </c>
      <c r="I20" s="45"/>
      <c r="J20" s="46"/>
    </row>
    <row r="21" spans="1:10" ht="39.9" customHeight="1" x14ac:dyDescent="0.3">
      <c r="A21" s="10"/>
      <c r="B21" s="39" t="s">
        <v>193</v>
      </c>
      <c r="C21" s="40"/>
      <c r="D21" s="40"/>
      <c r="E21" s="9">
        <v>5</v>
      </c>
      <c r="F21" s="26">
        <v>3.5</v>
      </c>
      <c r="G21" s="30">
        <f t="shared" si="0"/>
        <v>0.7</v>
      </c>
      <c r="H21" s="31" t="str">
        <f t="shared" si="1"/>
        <v>جيد</v>
      </c>
      <c r="I21" s="45"/>
      <c r="J21" s="46"/>
    </row>
    <row r="22" spans="1:10" ht="39.9" customHeight="1" x14ac:dyDescent="0.3">
      <c r="A22" s="10"/>
      <c r="B22" s="39" t="s">
        <v>194</v>
      </c>
      <c r="C22" s="40"/>
      <c r="D22" s="40"/>
      <c r="E22" s="9">
        <v>5</v>
      </c>
      <c r="F22" s="26">
        <v>3.75</v>
      </c>
      <c r="G22" s="30">
        <f t="shared" si="0"/>
        <v>0.75</v>
      </c>
      <c r="H22" s="31" t="str">
        <f t="shared" si="1"/>
        <v>جيد</v>
      </c>
      <c r="I22" s="45"/>
      <c r="J22" s="46"/>
    </row>
    <row r="23" spans="1:10" ht="39.9" customHeight="1" x14ac:dyDescent="0.3">
      <c r="A23" s="10"/>
      <c r="B23" s="39" t="s">
        <v>195</v>
      </c>
      <c r="C23" s="40"/>
      <c r="D23" s="40"/>
      <c r="E23" s="9">
        <v>5</v>
      </c>
      <c r="F23" s="26">
        <v>3.75</v>
      </c>
      <c r="G23" s="30">
        <f t="shared" si="0"/>
        <v>0.75</v>
      </c>
      <c r="H23" s="31" t="str">
        <f t="shared" si="1"/>
        <v>جيد</v>
      </c>
      <c r="I23" s="45"/>
      <c r="J23" s="46"/>
    </row>
    <row r="24" spans="1:10" ht="39.9" customHeight="1" x14ac:dyDescent="0.3">
      <c r="A24" s="10"/>
      <c r="B24" s="39" t="s">
        <v>196</v>
      </c>
      <c r="C24" s="40"/>
      <c r="D24" s="40"/>
      <c r="E24" s="9">
        <v>5</v>
      </c>
      <c r="F24" s="26">
        <v>3.5</v>
      </c>
      <c r="G24" s="30">
        <f t="shared" si="0"/>
        <v>0.7</v>
      </c>
      <c r="H24" s="31" t="str">
        <f t="shared" si="1"/>
        <v>جيد</v>
      </c>
      <c r="I24" s="45"/>
      <c r="J24" s="46"/>
    </row>
    <row r="25" spans="1:10" ht="39.9" customHeight="1" x14ac:dyDescent="0.3">
      <c r="A25" s="10"/>
      <c r="B25" s="39" t="s">
        <v>197</v>
      </c>
      <c r="C25" s="40"/>
      <c r="D25" s="40"/>
      <c r="E25" s="9">
        <v>5</v>
      </c>
      <c r="F25" s="26">
        <v>3.5</v>
      </c>
      <c r="G25" s="30">
        <f t="shared" si="0"/>
        <v>0.7</v>
      </c>
      <c r="H25" s="31" t="str">
        <f t="shared" si="1"/>
        <v>جيد</v>
      </c>
      <c r="I25" s="45"/>
      <c r="J25" s="46"/>
    </row>
    <row r="26" spans="1:10" ht="39.9" customHeight="1" x14ac:dyDescent="0.3">
      <c r="A26" s="10"/>
      <c r="B26" s="39" t="s">
        <v>198</v>
      </c>
      <c r="C26" s="40"/>
      <c r="D26" s="40"/>
      <c r="E26" s="9">
        <v>5</v>
      </c>
      <c r="F26" s="26">
        <v>3.5</v>
      </c>
      <c r="G26" s="30">
        <f t="shared" si="0"/>
        <v>0.7</v>
      </c>
      <c r="H26" s="31" t="str">
        <f t="shared" si="1"/>
        <v>جيد</v>
      </c>
      <c r="I26" s="45"/>
      <c r="J26" s="46"/>
    </row>
    <row r="27" spans="1:10" ht="39.9" customHeight="1" x14ac:dyDescent="0.3">
      <c r="A27" s="10"/>
      <c r="B27" s="39" t="s">
        <v>199</v>
      </c>
      <c r="C27" s="40"/>
      <c r="D27" s="40"/>
      <c r="E27" s="9">
        <v>5</v>
      </c>
      <c r="F27" s="26">
        <v>3.5</v>
      </c>
      <c r="G27" s="30">
        <f t="shared" si="0"/>
        <v>0.7</v>
      </c>
      <c r="H27" s="31" t="str">
        <f t="shared" si="1"/>
        <v>جيد</v>
      </c>
      <c r="I27" s="45"/>
      <c r="J27" s="46"/>
    </row>
    <row r="28" spans="1:10" ht="39.9" customHeight="1" x14ac:dyDescent="0.3">
      <c r="A28" s="10"/>
      <c r="B28" s="39" t="s">
        <v>200</v>
      </c>
      <c r="C28" s="40"/>
      <c r="D28" s="40"/>
      <c r="E28" s="9">
        <v>5</v>
      </c>
      <c r="F28" s="26">
        <v>3.5</v>
      </c>
      <c r="G28" s="30">
        <f t="shared" si="0"/>
        <v>0.7</v>
      </c>
      <c r="H28" s="31" t="str">
        <f t="shared" si="1"/>
        <v>جيد</v>
      </c>
      <c r="I28" s="45"/>
      <c r="J28" s="46"/>
    </row>
    <row r="29" spans="1:10" ht="39.9" customHeight="1" x14ac:dyDescent="0.3">
      <c r="A29" s="10"/>
      <c r="B29" s="39" t="s">
        <v>201</v>
      </c>
      <c r="C29" s="40"/>
      <c r="D29" s="40"/>
      <c r="E29" s="9">
        <v>5</v>
      </c>
      <c r="F29" s="26">
        <v>3.75</v>
      </c>
      <c r="G29" s="30">
        <f t="shared" si="0"/>
        <v>0.75</v>
      </c>
      <c r="H29" s="31" t="str">
        <f t="shared" si="1"/>
        <v>جيد</v>
      </c>
      <c r="I29" s="45"/>
      <c r="J29" s="46"/>
    </row>
    <row r="30" spans="1:10" ht="39.9" customHeight="1" x14ac:dyDescent="0.3">
      <c r="A30" s="10"/>
      <c r="B30" s="39" t="s">
        <v>202</v>
      </c>
      <c r="C30" s="40"/>
      <c r="D30" s="40"/>
      <c r="E30" s="9">
        <v>5</v>
      </c>
      <c r="F30" s="26">
        <v>3.75</v>
      </c>
      <c r="G30" s="30">
        <f t="shared" si="0"/>
        <v>0.75</v>
      </c>
      <c r="H30" s="31" t="str">
        <f t="shared" si="1"/>
        <v>جيد</v>
      </c>
      <c r="I30" s="45"/>
      <c r="J30" s="46"/>
    </row>
    <row r="31" spans="1:10" ht="39.9" customHeight="1" x14ac:dyDescent="0.3">
      <c r="A31" s="10"/>
      <c r="B31" s="39" t="s">
        <v>203</v>
      </c>
      <c r="C31" s="40"/>
      <c r="D31" s="40"/>
      <c r="E31" s="9">
        <v>5</v>
      </c>
      <c r="F31" s="26">
        <v>3.75</v>
      </c>
      <c r="G31" s="30">
        <f t="shared" si="0"/>
        <v>0.75</v>
      </c>
      <c r="H31" s="31" t="str">
        <f t="shared" si="1"/>
        <v>جيد</v>
      </c>
      <c r="I31" s="45"/>
      <c r="J31" s="46"/>
    </row>
    <row r="32" spans="1:10" ht="39.9" customHeight="1" x14ac:dyDescent="0.3">
      <c r="A32" s="10"/>
      <c r="B32" s="39" t="s">
        <v>204</v>
      </c>
      <c r="C32" s="40"/>
      <c r="D32" s="40"/>
      <c r="E32" s="9">
        <v>5</v>
      </c>
      <c r="F32" s="26">
        <v>3.75</v>
      </c>
      <c r="G32" s="30">
        <f t="shared" si="0"/>
        <v>0.75</v>
      </c>
      <c r="H32" s="31" t="str">
        <f t="shared" si="1"/>
        <v>جيد</v>
      </c>
      <c r="I32" s="45"/>
      <c r="J32" s="46"/>
    </row>
    <row r="33" spans="1:10" ht="39.9" customHeight="1" thickBot="1" x14ac:dyDescent="0.35">
      <c r="A33" s="10"/>
      <c r="B33" s="83" t="s">
        <v>205</v>
      </c>
      <c r="C33" s="84"/>
      <c r="D33" s="84"/>
      <c r="E33" s="36">
        <v>5</v>
      </c>
      <c r="F33" s="27">
        <v>3.5</v>
      </c>
      <c r="G33" s="37">
        <f t="shared" si="0"/>
        <v>0.7</v>
      </c>
      <c r="H33" s="38" t="str">
        <f t="shared" si="1"/>
        <v>جيد</v>
      </c>
      <c r="I33" s="77"/>
      <c r="J33" s="78"/>
    </row>
    <row r="34" spans="1:10" ht="30" customHeight="1" thickBot="1" x14ac:dyDescent="0.35">
      <c r="A34" s="4"/>
      <c r="B34" s="79" t="s">
        <v>5</v>
      </c>
      <c r="C34" s="80"/>
      <c r="D34" s="80"/>
      <c r="E34" s="29">
        <f>SUM(E8:E33)</f>
        <v>130</v>
      </c>
      <c r="F34" s="29">
        <f>SUM(F8:F33)</f>
        <v>94.5</v>
      </c>
      <c r="G34" s="49"/>
      <c r="H34" s="50"/>
      <c r="I34" s="50"/>
      <c r="J34" s="51"/>
    </row>
    <row r="35" spans="1:10" ht="30" customHeight="1" thickBot="1" x14ac:dyDescent="0.35">
      <c r="A35" s="4"/>
      <c r="B35" s="81" t="s">
        <v>54</v>
      </c>
      <c r="C35" s="82"/>
      <c r="D35" s="82"/>
      <c r="E35" s="52">
        <f>F34/E34/100*100</f>
        <v>0.72692307692307689</v>
      </c>
      <c r="F35" s="52"/>
      <c r="G35" s="52"/>
      <c r="H35" s="52"/>
      <c r="I35" s="52"/>
      <c r="J35" s="53"/>
    </row>
    <row r="36" spans="1:10" ht="30" customHeight="1" thickBot="1" x14ac:dyDescent="0.35">
      <c r="A36" s="4"/>
      <c r="B36" s="81" t="s">
        <v>55</v>
      </c>
      <c r="C36" s="82"/>
      <c r="D36" s="82"/>
      <c r="E36" s="75" t="str">
        <f>_xlfn.IFS(E35&gt;=90%,"ممتاز",E35&gt;=80%,"جيد جداً",E35&gt;=70%,"جيد",E35&gt;=60%,"مقبول",E35&lt;60%,"راسب")</f>
        <v>جيد</v>
      </c>
      <c r="F36" s="75"/>
      <c r="G36" s="75"/>
      <c r="H36" s="75"/>
      <c r="I36" s="75"/>
      <c r="J36" s="76"/>
    </row>
    <row r="37" spans="1:10" ht="42" customHeight="1" x14ac:dyDescent="0.3">
      <c r="B37" s="71" t="s">
        <v>174</v>
      </c>
      <c r="C37" s="71"/>
      <c r="D37" s="71"/>
      <c r="E37" s="47" t="s">
        <v>52</v>
      </c>
      <c r="F37" s="47"/>
      <c r="G37" s="73" t="s">
        <v>104</v>
      </c>
      <c r="H37" s="73"/>
      <c r="I37" s="73"/>
      <c r="J37" s="73"/>
    </row>
    <row r="38" spans="1:10" ht="51" customHeight="1" x14ac:dyDescent="0.3">
      <c r="A38" s="5"/>
      <c r="B38" s="72"/>
      <c r="C38" s="72"/>
      <c r="D38" s="72"/>
      <c r="E38" s="48" t="s">
        <v>53</v>
      </c>
      <c r="F38" s="48"/>
      <c r="G38" s="74"/>
      <c r="H38" s="74"/>
      <c r="I38" s="74"/>
      <c r="J38" s="74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3">
    <mergeCell ref="B7:D7"/>
    <mergeCell ref="I30:J30"/>
    <mergeCell ref="I31:J31"/>
    <mergeCell ref="E5:H5"/>
    <mergeCell ref="I5:J6"/>
    <mergeCell ref="I7:J7"/>
    <mergeCell ref="I10:J10"/>
    <mergeCell ref="I8:J8"/>
    <mergeCell ref="I11:J11"/>
    <mergeCell ref="I12:J12"/>
    <mergeCell ref="I13:J13"/>
    <mergeCell ref="I14:J14"/>
    <mergeCell ref="I15:J15"/>
    <mergeCell ref="I16:J16"/>
    <mergeCell ref="I17:J17"/>
    <mergeCell ref="I18:J18"/>
    <mergeCell ref="B1:J1"/>
    <mergeCell ref="F2:J2"/>
    <mergeCell ref="B5:D6"/>
    <mergeCell ref="C2:D2"/>
    <mergeCell ref="C3:D3"/>
    <mergeCell ref="F3:J3"/>
    <mergeCell ref="E38:F38"/>
    <mergeCell ref="G34:J34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E35:J35"/>
    <mergeCell ref="I28:J28"/>
    <mergeCell ref="I29:J29"/>
    <mergeCell ref="G37:J37"/>
    <mergeCell ref="G38:J38"/>
    <mergeCell ref="B18:D18"/>
    <mergeCell ref="B19:D19"/>
    <mergeCell ref="B20:D20"/>
    <mergeCell ref="I9:J9"/>
    <mergeCell ref="E37:F37"/>
    <mergeCell ref="B37:D38"/>
    <mergeCell ref="E36:J36"/>
    <mergeCell ref="I32:J32"/>
    <mergeCell ref="I33:J33"/>
    <mergeCell ref="B34:D34"/>
    <mergeCell ref="B35:D35"/>
    <mergeCell ref="B36:D36"/>
    <mergeCell ref="B33:D33"/>
    <mergeCell ref="B17:D1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29:D29"/>
    <mergeCell ref="B30:D30"/>
    <mergeCell ref="B31:D31"/>
    <mergeCell ref="B32:D32"/>
    <mergeCell ref="B21:D21"/>
    <mergeCell ref="B22:D22"/>
    <mergeCell ref="B23:D23"/>
    <mergeCell ref="B24:D24"/>
    <mergeCell ref="B28:D28"/>
    <mergeCell ref="B25:D25"/>
    <mergeCell ref="B27:D27"/>
    <mergeCell ref="B26:D2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6">
    <cfRule type="expression" dxfId="14" priority="57">
      <formula>$E36="راسب"</formula>
    </cfRule>
  </conditionalFormatting>
  <conditionalFormatting sqref="E36:J36">
    <cfRule type="expression" dxfId="13" priority="58">
      <formula>$E36="مقبول"</formula>
    </cfRule>
    <cfRule type="expression" dxfId="12" priority="59">
      <formula>$E36="جيد"</formula>
    </cfRule>
    <cfRule type="expression" dxfId="11" priority="60">
      <formula>$E36="جيد جداً"</formula>
    </cfRule>
    <cfRule type="expression" dxfId="10" priority="61">
      <formula>$E36="ممتاز"</formula>
    </cfRule>
  </conditionalFormatting>
  <conditionalFormatting sqref="F8:F33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7:J37">
    <cfRule type="containsText" dxfId="6" priority="15" operator="containsText" text="أدخل اسم المحكم">
      <formula>NOT(ISERROR(SEARCH("أدخل اسم المحكم",G37)))</formula>
    </cfRule>
  </conditionalFormatting>
  <conditionalFormatting sqref="H8:H33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F8:F33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G37:J37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45931</v>
      </c>
    </row>
    <row r="40" spans="1:9" ht="20.100000000000001" customHeight="1" thickBot="1" x14ac:dyDescent="0.35">
      <c r="A40" s="13">
        <v>45932</v>
      </c>
    </row>
    <row r="41" spans="1:9" ht="20.100000000000001" customHeight="1" thickBot="1" x14ac:dyDescent="0.35">
      <c r="A41" s="13">
        <v>45933</v>
      </c>
    </row>
    <row r="42" spans="1:9" ht="20.100000000000001" customHeight="1" thickBot="1" x14ac:dyDescent="0.35">
      <c r="A42" s="13">
        <v>45934</v>
      </c>
    </row>
    <row r="43" spans="1:9" ht="20.100000000000001" customHeight="1" thickBot="1" x14ac:dyDescent="0.35">
      <c r="A43" s="13">
        <v>45935</v>
      </c>
    </row>
    <row r="44" spans="1:9" ht="20.100000000000001" customHeight="1" thickBot="1" x14ac:dyDescent="0.35">
      <c r="A44" s="13">
        <v>45936</v>
      </c>
    </row>
    <row r="45" spans="1:9" ht="20.100000000000001" customHeight="1" thickBot="1" x14ac:dyDescent="0.35">
      <c r="A45" s="13">
        <v>45937</v>
      </c>
    </row>
    <row r="46" spans="1:9" ht="20.100000000000001" customHeight="1" thickBot="1" x14ac:dyDescent="0.35">
      <c r="A46" s="13">
        <v>45938</v>
      </c>
    </row>
    <row r="47" spans="1:9" ht="20.100000000000001" customHeight="1" thickBot="1" x14ac:dyDescent="0.35">
      <c r="A47" s="13">
        <v>45939</v>
      </c>
    </row>
    <row r="48" spans="1:9" ht="20.100000000000001" customHeight="1" thickBot="1" x14ac:dyDescent="0.35">
      <c r="A48" s="13">
        <v>45940</v>
      </c>
    </row>
    <row r="49" spans="1:1" ht="20.100000000000001" customHeight="1" thickBot="1" x14ac:dyDescent="0.35">
      <c r="A49" s="13">
        <v>45941</v>
      </c>
    </row>
    <row r="50" spans="1:1" ht="20.100000000000001" customHeight="1" thickBot="1" x14ac:dyDescent="0.35">
      <c r="A50" s="13">
        <v>45942</v>
      </c>
    </row>
    <row r="51" spans="1:1" ht="20.100000000000001" customHeight="1" thickBot="1" x14ac:dyDescent="0.35">
      <c r="A51" s="13">
        <v>45943</v>
      </c>
    </row>
    <row r="52" spans="1:1" ht="20.100000000000001" customHeight="1" thickBot="1" x14ac:dyDescent="0.35">
      <c r="A52" s="13">
        <v>45944</v>
      </c>
    </row>
    <row r="53" spans="1:1" ht="20.100000000000001" customHeight="1" thickBot="1" x14ac:dyDescent="0.35">
      <c r="A53" s="13">
        <v>45945</v>
      </c>
    </row>
    <row r="54" spans="1:1" ht="20.100000000000001" customHeight="1" thickBot="1" x14ac:dyDescent="0.35">
      <c r="A54" s="13">
        <v>45946</v>
      </c>
    </row>
    <row r="55" spans="1:1" ht="20.100000000000001" customHeight="1" thickBot="1" x14ac:dyDescent="0.35">
      <c r="A55" s="13">
        <v>45947</v>
      </c>
    </row>
    <row r="56" spans="1:1" ht="20.100000000000001" customHeight="1" thickBot="1" x14ac:dyDescent="0.35">
      <c r="A56" s="13">
        <v>45948</v>
      </c>
    </row>
    <row r="57" spans="1:1" ht="20.100000000000001" customHeight="1" thickBot="1" x14ac:dyDescent="0.35">
      <c r="A57" s="13">
        <v>45949</v>
      </c>
    </row>
    <row r="58" spans="1:1" ht="20.100000000000001" customHeight="1" thickBot="1" x14ac:dyDescent="0.35">
      <c r="A58" s="13">
        <v>45950</v>
      </c>
    </row>
    <row r="59" spans="1:1" ht="20.100000000000001" customHeight="1" thickBot="1" x14ac:dyDescent="0.35">
      <c r="A59" s="13">
        <v>45951</v>
      </c>
    </row>
    <row r="60" spans="1:1" ht="20.100000000000001" customHeight="1" thickBot="1" x14ac:dyDescent="0.35">
      <c r="A60" s="13">
        <v>45952</v>
      </c>
    </row>
    <row r="61" spans="1:1" ht="20.100000000000001" customHeight="1" thickBot="1" x14ac:dyDescent="0.35">
      <c r="A61" s="13">
        <v>45953</v>
      </c>
    </row>
    <row r="62" spans="1:1" ht="20.100000000000001" customHeight="1" thickBot="1" x14ac:dyDescent="0.35">
      <c r="A62" s="13">
        <v>45954</v>
      </c>
    </row>
    <row r="63" spans="1:1" ht="20.100000000000001" customHeight="1" thickBot="1" x14ac:dyDescent="0.35">
      <c r="A63" s="13">
        <v>45955</v>
      </c>
    </row>
    <row r="64" spans="1:1" ht="20.100000000000001" customHeight="1" thickBot="1" x14ac:dyDescent="0.35">
      <c r="A64" s="13">
        <v>45956</v>
      </c>
    </row>
    <row r="65" spans="1:1" ht="20.100000000000001" customHeight="1" thickBot="1" x14ac:dyDescent="0.35">
      <c r="A65" s="13">
        <v>45957</v>
      </c>
    </row>
    <row r="66" spans="1:1" ht="20.100000000000001" customHeight="1" thickBot="1" x14ac:dyDescent="0.35">
      <c r="A66" s="13">
        <v>45958</v>
      </c>
    </row>
    <row r="67" spans="1:1" ht="20.100000000000001" customHeight="1" thickBot="1" x14ac:dyDescent="0.35">
      <c r="A67" s="13">
        <v>45959</v>
      </c>
    </row>
    <row r="68" spans="1:1" ht="20.100000000000001" customHeight="1" thickBot="1" x14ac:dyDescent="0.35">
      <c r="A68" s="13">
        <v>45960</v>
      </c>
    </row>
    <row r="69" spans="1:1" ht="20.100000000000001" customHeight="1" thickBot="1" x14ac:dyDescent="0.35">
      <c r="A69" s="13">
        <v>45961</v>
      </c>
    </row>
    <row r="70" spans="1:1" ht="20.100000000000001" customHeight="1" thickBot="1" x14ac:dyDescent="0.35">
      <c r="A70" s="13"/>
    </row>
    <row r="71" spans="1:1" ht="20.100000000000001" customHeight="1" thickBot="1" x14ac:dyDescent="0.35">
      <c r="A71" s="13"/>
    </row>
    <row r="72" spans="1:1" ht="20.100000000000001" customHeight="1" thickBot="1" x14ac:dyDescent="0.35">
      <c r="A72" s="13"/>
    </row>
    <row r="73" spans="1:1" ht="20.100000000000001" customHeight="1" thickBot="1" x14ac:dyDescent="0.35">
      <c r="A73" s="13"/>
    </row>
    <row r="74" spans="1:1" ht="20.100000000000001" customHeight="1" thickBot="1" x14ac:dyDescent="0.35">
      <c r="A74" s="13"/>
    </row>
    <row r="75" spans="1:1" ht="20.100000000000001" customHeight="1" thickBot="1" x14ac:dyDescent="0.35">
      <c r="A75" s="13"/>
    </row>
    <row r="76" spans="1:1" ht="20.100000000000001" customHeight="1" thickBot="1" x14ac:dyDescent="0.35">
      <c r="A76" s="13"/>
    </row>
    <row r="77" spans="1:1" ht="20.100000000000001" customHeight="1" thickBot="1" x14ac:dyDescent="0.35">
      <c r="A77" s="13"/>
    </row>
    <row r="78" spans="1:1" ht="20.100000000000001" customHeight="1" thickBot="1" x14ac:dyDescent="0.35">
      <c r="A78" s="13"/>
    </row>
    <row r="79" spans="1:1" ht="20.100000000000001" customHeight="1" thickBot="1" x14ac:dyDescent="0.35">
      <c r="A79" s="13"/>
    </row>
    <row r="80" spans="1:1" ht="20.100000000000001" customHeight="1" thickBot="1" x14ac:dyDescent="0.35">
      <c r="A80" s="13"/>
    </row>
    <row r="81" spans="1:1" ht="20.100000000000001" customHeight="1" thickBot="1" x14ac:dyDescent="0.35">
      <c r="A81" s="13"/>
    </row>
    <row r="82" spans="1:1" ht="20.100000000000001" customHeight="1" thickBot="1" x14ac:dyDescent="0.35">
      <c r="A82" s="13"/>
    </row>
    <row r="83" spans="1:1" ht="20.100000000000001" customHeight="1" thickBot="1" x14ac:dyDescent="0.35">
      <c r="A83" s="13"/>
    </row>
    <row r="84" spans="1:1" ht="20.100000000000001" customHeight="1" thickBot="1" x14ac:dyDescent="0.35">
      <c r="A84" s="13"/>
    </row>
    <row r="85" spans="1:1" ht="20.100000000000001" customHeight="1" thickBot="1" x14ac:dyDescent="0.35">
      <c r="A85" s="13"/>
    </row>
    <row r="86" spans="1:1" ht="20.100000000000001" customHeight="1" thickBot="1" x14ac:dyDescent="0.35">
      <c r="A86" s="13"/>
    </row>
    <row r="87" spans="1:1" ht="20.100000000000001" customHeight="1" thickBot="1" x14ac:dyDescent="0.35">
      <c r="A87" s="13"/>
    </row>
    <row r="88" spans="1:1" ht="20.100000000000001" customHeight="1" thickBot="1" x14ac:dyDescent="0.35">
      <c r="A88" s="13"/>
    </row>
    <row r="89" spans="1:1" ht="20.100000000000001" customHeight="1" thickBot="1" x14ac:dyDescent="0.35">
      <c r="A89" s="13"/>
    </row>
    <row r="90" spans="1:1" ht="20.100000000000001" customHeight="1" thickBot="1" x14ac:dyDescent="0.35">
      <c r="A90" s="13"/>
    </row>
    <row r="91" spans="1:1" ht="20.100000000000001" customHeight="1" thickBot="1" x14ac:dyDescent="0.35">
      <c r="A91" s="13"/>
    </row>
    <row r="92" spans="1:1" ht="20.100000000000001" customHeight="1" thickBot="1" x14ac:dyDescent="0.35">
      <c r="A92" s="13"/>
    </row>
    <row r="93" spans="1:1" ht="20.100000000000001" customHeight="1" thickBot="1" x14ac:dyDescent="0.35">
      <c r="A93" s="13"/>
    </row>
    <row r="94" spans="1:1" ht="20.100000000000001" customHeight="1" thickBot="1" x14ac:dyDescent="0.35">
      <c r="A94" s="13"/>
    </row>
    <row r="95" spans="1:1" ht="20.100000000000001" customHeight="1" thickBot="1" x14ac:dyDescent="0.35">
      <c r="A95" s="13"/>
    </row>
    <row r="96" spans="1:1" ht="20.100000000000001" customHeight="1" thickBot="1" x14ac:dyDescent="0.35">
      <c r="A96" s="13"/>
    </row>
    <row r="97" spans="1:9" ht="20.100000000000001" customHeight="1" thickBot="1" x14ac:dyDescent="0.35">
      <c r="A97" s="13"/>
    </row>
    <row r="98" spans="1:9" ht="20.100000000000001" customHeight="1" thickBot="1" x14ac:dyDescent="0.35">
      <c r="A98" s="13"/>
    </row>
    <row r="99" spans="1:9" ht="20.100000000000001" customHeight="1" thickBot="1" x14ac:dyDescent="0.35">
      <c r="A99" s="13"/>
    </row>
    <row r="100" spans="1:9" ht="20.100000000000001" customHeight="1" thickBot="1" x14ac:dyDescent="0.35">
      <c r="A100" s="13"/>
    </row>
    <row r="101" spans="1:9" ht="20.100000000000001" customHeight="1" thickBot="1" x14ac:dyDescent="0.35">
      <c r="A101" s="13"/>
    </row>
    <row r="102" spans="1:9" ht="20.100000000000001" customHeight="1" thickBot="1" x14ac:dyDescent="0.35">
      <c r="A102" s="13"/>
    </row>
    <row r="103" spans="1:9" ht="20.100000000000001" customHeight="1" thickBot="1" x14ac:dyDescent="0.35">
      <c r="A103" s="13"/>
    </row>
    <row r="104" spans="1:9" ht="20.100000000000001" customHeight="1" thickBot="1" x14ac:dyDescent="0.35">
      <c r="A104" s="13"/>
    </row>
    <row r="105" spans="1:9" ht="20.100000000000001" customHeight="1" thickBot="1" x14ac:dyDescent="0.35">
      <c r="A105" s="13"/>
    </row>
    <row r="106" spans="1:9" ht="20.100000000000001" customHeight="1" thickBot="1" x14ac:dyDescent="0.35">
      <c r="A106" s="13"/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2025-10-27T16:35:21Z</dcterms:modified>
</cp:coreProperties>
</file>