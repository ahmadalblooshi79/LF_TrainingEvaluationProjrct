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542CBFE-B90F-42B7-8AAB-BF46150923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/>
  <c r="G12" i="2"/>
  <c r="H12" i="2" s="1"/>
  <c r="G13" i="2"/>
  <c r="H13" i="2"/>
  <c r="G14" i="2"/>
  <c r="H14" i="2"/>
  <c r="G8" i="2"/>
  <c r="H8" i="2"/>
  <c r="F15" i="2"/>
  <c r="E16" i="2" s="1"/>
  <c r="E17" i="2" s="1"/>
  <c r="E15" i="2"/>
</calcChain>
</file>

<file path=xl/sharedStrings.xml><?xml version="1.0" encoding="utf-8"?>
<sst xmlns="http://schemas.openxmlformats.org/spreadsheetml/2006/main" count="244" uniqueCount="188">
  <si>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</si>
  <si>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</si>
  <si>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</si>
  <si>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</si>
  <si>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</si>
  <si>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</si>
  <si>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</si>
  <si>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</si>
  <si>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</si>
  <si>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</si>
  <si>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</si>
  <si>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</si>
  <si>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</si>
  <si>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</si>
  <si>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</si>
  <si>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</si>
  <si>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</si>
  <si>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</si>
  <si>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</si>
  <si>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</si>
  <si>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</si>
  <si>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</si>
  <si>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</si>
  <si>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</si>
  <si>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</si>
  <si>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</si>
  <si>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</si>
  <si>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</si>
  <si>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</si>
  <si>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</si>
  <si>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</si>
  <si>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</si>
  <si>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</si>
  <si>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</si>
  <si>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</si>
  <si>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</si>
  <si>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</si>
  <si>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</si>
  <si>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</si>
  <si>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</si>
  <si>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</si>
  <si>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</si>
  <si>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</si>
  <si>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</si>
  <si>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</si>
  <si>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</si>
  <si>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</si>
  <si>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</si>
  <si>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</si>
  <si>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</si>
  <si>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</si>
  <si>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</si>
  <si>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</si>
  <si>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</si>
  <si>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</si>
  <si>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</si>
  <si>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</si>
  <si>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</si>
  <si>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</si>
  <si>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</si>
  <si>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</si>
  <si>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</si>
  <si>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</si>
  <si>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</si>
  <si>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</si>
  <si>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</si>
  <si>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</si>
  <si>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</si>
  <si>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</si>
  <si>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</si>
  <si>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</si>
  <si>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</si>
  <si>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</si>
  <si>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</si>
  <si>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</si>
  <si>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</si>
  <si>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</si>
  <si>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</si>
  <si>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</si>
  <si>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</si>
  <si>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</si>
  <si>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</si>
  <si>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</si>
  <si>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</si>
  <si>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</si>
  <si>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</si>
  <si>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</si>
  <si>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</si>
  <si>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</si>
  <si>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</si>
  <si>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</si>
  <si>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</si>
  <si>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</si>
  <si>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</si>
  <si>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</si>
  <si>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</si>
  <si>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</si>
  <si>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</si>
  <si>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</si>
  <si>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</si>
  <si>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</si>
  <si>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</si>
  <si>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</si>
  <si>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</si>
  <si>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</si>
  <si>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</si>
  <si>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</si>
  <si>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</si>
  <si>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</si>
  <si>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</si>
  <si>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</si>
  <si>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</si>
  <si>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</si>
  <si>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</si>
  <si>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</si>
  <si>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</si>
  <si>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</si>
  <si>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</si>
  <si>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</si>
  <si>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</si>
  <si>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</si>
  <si>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</si>
  <si>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</si>
  <si>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</si>
  <si>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</si>
  <si>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</si>
  <si>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</si>
  <si>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</si>
  <si>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</si>
  <si>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</si>
  <si>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</si>
  <si>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</si>
  <si>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</si>
  <si>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</si>
  <si>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</si>
  <si>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</si>
  <si>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</si>
  <si>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</si>
  <si>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</si>
  <si>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</si>
  <si>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</si>
  <si>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</si>
  <si>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</si>
  <si>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</si>
  <si>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</si>
  <si>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</si>
  <si>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</si>
  <si>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</si>
  <si>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</si>
  <si>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</si>
  <si>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</si>
  <si>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</si>
  <si>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</si>
  <si>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</si>
  <si>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</si>
  <si>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</si>
  <si>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</si>
  <si>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</si>
  <si>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</si>
  <si>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</si>
  <si>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</si>
  <si>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</si>
  <si>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</si>
  <si>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</si>
  <si>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</si>
  <si>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</si>
  <si>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</si>
  <si>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</si>
  <si>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</si>
  <si>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</si>
  <si>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</si>
  <si>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</si>
  <si>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</si>
  <si>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</si>
  <si>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</si>
  <si>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</si>
  <si>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</si>
  <si>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</si>
  <si>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</si>
  <si>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</si>
  <si>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7.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صلاحية مكان المبيت.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</si>
  <si>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</si>
  <si>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الفصيلة على شكل دائري.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</si>
  <si>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</si>
  <si>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</si>
  <si>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</si>
  <si>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r>
      <rPr>
        <b/>
        <sz val="14"/>
        <color rgb="FF000000"/>
        <rFont val="Arial"/>
        <family val="2"/>
      </rPr>
      <t>تقييم سرية مشاة راجلة في المبيت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</si>
  <si>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السرية (في الوسط).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</si>
</sst>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497702</xdr:colOff>
      <xdr:row>18</xdr:row>
      <xdr:rowOff>9565</xdr:rowOff>
    </xdr:from>
    <xdr:to>
      <xdr:col>8</xdr:col>
      <xdr:colOff>195776</xdr:colOff>
      <xdr:row>18</xdr:row>
      <xdr:rowOff>412045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1FD075F-4FE8-2A0D-DE6A-65655CAB7FD2}"/>
                </a:ext>
              </a:extLst>
            </xdr14:cNvPr>
            <xdr14:cNvContentPartPr/>
          </xdr14:nvContentPartPr>
          <xdr14:nvPr macro=""/>
          <xdr14:xfrm>
            <a:off x="10423507024" y="7011000"/>
            <a:ext cx="1006920" cy="4024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1FD075F-4FE8-2A0D-DE6A-65655CAB7FD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498024" y="7002000"/>
              <a:ext cx="1024560" cy="42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274559</xdr:colOff>
      <xdr:row>18</xdr:row>
      <xdr:rowOff>175165</xdr:rowOff>
    </xdr:from>
    <xdr:to>
      <xdr:col>8</xdr:col>
      <xdr:colOff>556856</xdr:colOff>
      <xdr:row>19</xdr:row>
      <xdr:rowOff>23103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DCFA940-ABDB-421D-EA04-203E8AF0C6CF}"/>
                </a:ext>
              </a:extLst>
            </xdr14:cNvPr>
            <xdr14:cNvContentPartPr/>
          </xdr14:nvContentPartPr>
          <xdr14:nvPr macro=""/>
          <xdr14:xfrm>
            <a:off x="10423145944" y="7176600"/>
            <a:ext cx="936720" cy="497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DCFA940-ABDB-421D-EA04-203E8AF0C6C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136944" y="7167960"/>
              <a:ext cx="954360" cy="515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6:53:12.5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2048 842 3128,'0'0'0,"-2"0"1056,-1 0 121,1-2-465,-2-1-384,1 0-240,3 3-88,-2-3-40,-1 2 128,0-2-88,2 2-8,0 0 0,0 0-88,1 1 96,0-2 0,-2 1 88,2 0 24,0 0 56,0 0 24,0-1-40,0 2-152,0-2 176,0 0 8,0 0-56,0 0-8,0 1-8,0-2 0,0 3-112,0-2 160,0 0 64,0-2-40,0 2 0,0-2-56,3 2-72,-3 2-56,0-4 48,2 1-72,1-1-16,-1 0-16,1 1-24,0 0 0,-3 3 80,11-3-96,-8-2-8,11 0 0,-4 0 16,1-4 8,3 6 16,-14 3 64,16-3-56,-1-7-16,3 7 0,2-2 8,0-5-8,2 7 24,-22 3 48,21-4-56,3-6-16,-2 9 0,1-2 16,0-1-16,1 2 8,-24 2 64,23-2-48,0 1-16,0 1-8,0 0 24,-1 0-48,-2 3 24,-20-3 72,21 3-80,-3 7-16,0-8 8,1 8-24,-2-7-24,1 9-24,-18-12 160,16 4-168,1 9-24,-2-3 16,1-1-40,-3 2 16,-1 0 8,-12-11 192,10 12-200,-7 0 24,7 0-33,-7 1-55,-1 0-32,-2 0-48,0-13 344,0 15-304,0-1 72,-3 1 48,-7-2 40,1 0 0,-2-1 32,11-12 112,-13 12-104,-2 1 40,-2-2 40,0 1 8,0-1 24,-1-8 8,18-3-16,-18 15 16,-3-12-8,1 9-8,-2-8 8,-1 7 0,0-9-8,23-2 0,-24 4 8,0 5 0,-1-9 8,0 3 0,0-1 8,25-2-24,-25 0 32,1 0 24,-1 0 40,0-1 48,1-2 88,1 0 104,23 3-336,-24-4 448,2-1 104,1 1 89,-2 0 23,1-1-48,0 2-72,22 3-544,-21-4 384,-1 2-72,0-1-72,0 2-56,-3 0-24,-1 0-72,26 1-88,-27 0 48,1 0 16,0 0-24,1 0-8,0 0 24,-1 2-48,26-2-8,-25 0 40,-4 2-32,0 1 0,0-3 8,0 2-48,3-2 40,26 0-8,-29 0-40,2 0 56,2 0-16,0 0 24,-1-2 32,1-2-40,25 4-16,-25-5 16,2-5 0,2 5-24,1-8 8,0 1 0,2 0-40,18 12 40,-19-15-80,3-1-144,-2-2-88,4-4-16,-3-1 72,1-1 136,16 24 120,-18-24 24,3 0 56,-1 2 96,2 0 24,-1 2 24,0-1 32,15 21-256,-15-19 168,0 0 24,1 0-24,0 1 24,-1 1 8,0 0-16,15 17-184,-12-15 121,-2-1-9,3 2 56,-2-1-72,-3 3 144,1 0-24,15 12-216,-13-11 120,2 7 64,2-9-40,-1 8 8,0-8-8,1 8 80,9 5-224,-5-12 104,-5 7 32,8-7 64,-2 7-136,1-8 40,0 8-88,3 5-16,-1-12-80,0 7-56,1-8-136,0 8-40,0-9-152,3 3-32,-3 11 496,4-12-464,8-1-17,-2-1 121,-1-1 24,2 0-56,3 0 104,-14 15 288,14-14-240,0 1-8,3-2 96,1 2-32,2-1-8,3 0 32,-23 14 160,21-16-144,3 2 8,3-1-16,1 2 24,4-1-8,1-1 16,-33 15 120,36-13-88,0 1-8,0 0-40,2 2 24,0 6 32,1-7 8,-39 11 72,40-5 0,1-6-24,-1 8 24,1-7 24,0 8-72,0-2 40,-41 4 8,38-2-32,1 1-56,-2-1 144,-2 2-32,1 0-16,-1 0 32,-35 0-40,34 4-24,0 0-8,-3 6 64,-2-6-56,-3 8-56,-4-8-48,-22-4 128,22 14-209,0-3 97,-3 1 16,-1 0-48,-1 2 24,-5 0-56,-12-14 176,13 15-176,-2-1 88,-7-1 40,7 1-48,-11 0 32,2-1 0,-2-13 64,3 16-72,-3-1 144,-2 0-24,-2 0 0,-6 1 8,0 2-48,10-18-8,-12 17 104,0 1 96,-4 1 56,-1-1 40,-2 1 17,-1 0-1,20-19-312,-23 20 248,-2 1 56,-1-1-104,-3-1-48,-2 0 16,-3 1-64,34-20-104,-36 20 176,1 0-24,-3 1-8,0-1-16,-3-1-24,-1 2 24,42-21-128,-45 19 104,-2 1 8,-1 1-16,-3-2-16,-2 0-24,-2-1-32,55-18-24,-55 19 64,0 0 8,-4-1 8,-2 0 56,1 0 40,0 0 56,60-18-232,-60 18 336,1 0 48,-2-1 49,1 0-1,1-2-72,1 1-72,58-16-288,-58 15 208,5 0-64,2-2-32,1 0-48,1 0 0,2-2-16,47-11-48,-43 11 16,2 0 0,5-2-16,2-5-16,2 9 0,4-10-88,28-3 104,-27 9-232,5-7-280,1 1-368,3-1-457,1-2-159,5 0 8,12 0 1488,-12 0-1345,2 0 465,6-2 320,-5-3 256,6-6 216,2 1 24,1 10 64,0-14-88,0-2-1616,0 16 1704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6:53:13.6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2601 1 8201,'0'0'0,"-2"0"3689,-1 0-2265,-1 0-1040,-5 3-248,9-3-136,-12 4 16,-1 8-88,-5-1-32,-4 0-16,-1 5-16,-4 0 136,27-16 0,-30 18-80,0 1 8,-3 1 0,1-1-72,-3 2 144,-4-1-56,39-20 56,-42 20-24,-1 1-32,-2-2-80,1-1 72,-2 0 32,0-1 32,46-17 0,-48 18 0,-1-1-24,2 0-24,-1 0-8,-1 0-112,-1 0-16,50-17 184,-49 15-344,2-1-64,3-2-64,2-9-104,4 9-16,-1-9-281,39-3 873,-36 3-984,2 1-112,4-2-48,4-2 128,2 0 71,2-1 273,22 1 672,-20-4-512,2 0 224,2-7 176,3 6 16,0-11 48,8 4 32,5 12 16,-12-13-16,8-1 16,1 2 0,1 0-32,0 2 40,2 7 24,0 3-32,0-10 32,0 8-8,0-2 24,0 2-32,-1 1 32,0-1-16,1 2-32,-1 0 24,-3 0 16,0 0 8,1 0 72,-2 3 72,-5-1-16,10-2-176,-3 4 192,-2-1-32,-7 1-32,3-1-48,-1 7 0,0-8-24,10-2-56,-10 4-8,6 7 64,-7-9-16,7 2 16,-7-1-8,7 1-40,4-4-8,-3 4 32,-1-2-8,-1 0 24,3-2 0,-1 3-40,1-3-24,2 0 16,-1 0-80,0 0-56,-1 0-64,1-1-64,-1-1-32,-1-1 24,3 3 272,-2-3-184,-1 0 80,0-2 48,-7 0 40,7 0 0,-10-4 0,13 9 16,-4-3 8,-10 0 8,2-1 24,0 1 24,-3 1 32,0 1 16,15 1-112,-17-1 136,-1 1 24,-1 0 16,-3 0 24,-1 2 32,1 1 24,22-3-256,-24 3 312,-2 1 16,0 0 105,-1-1 87,-3 1 72,-2 5 56,32-9-648,-28 3 624,0 0-88,1 1-88,-1 7-80,0-9-64,1 1-48,27-3-256,-26 3 216,-1 1-7,1-1-57,1 1-32,-1 0-40,1-2-8,25-2-72,-24 2 64,1-2 0,1 0 24,0 0 16,1 0 32,1 0 24,20 0-160,-19-1 176,0-2-24,2-2 24,2-5 0,-1 7-16,3-7 24,13 10-184,-14-5 136,2-7-32,2 3 8,1 5 8,4-9-32,-6 8-16,11 5-72,-2-14 40,-2 4-56,0 1-32,1-1-64,1 5-56,1-8-88,1 13 256,-1-5-376,1-7-104,0 3-56,2 4 32,8-8 47,-6 3 89,-4 10 368,10-11-304,0 2 32,1-2 56,-1 0 8,4 2 8,-1 4 32,-13 5 168,14-11-160,2 7 64,-1 1 24,2-1 16,-1 1 48,-1-1-32,-15 4 40,16-1-8,0 0-8,-2 1-24,2 0 0,-4 3-88,-1 7-48,-11-10 176,11 3-224,-7 12 0,8-2 8,-10 2 24,1 3 32,-1 2 32,-2-20 128,2 20-88,-2 2 32,0 0 16,-1 4 16,-1 0 8,-3 4-8,5-30 24,-11 30-24,2 1-8,-1 1 8,-1 1 16,-1 0 0,0 3 0,12-36 8,-14 36-8,0 2 16,0 2 0,0 0 32,1-1 16,13-39-56,-13 40 128,1-1 72,1 0 80,1-1 48,6-1 40,-6-2 8,10-35-376,-1 33 344,-1-1-40,2-3-40,0-1-8,4 1 0,10-3 24,-14-26-280,11 24 344,5-1 49,2-3 71,3-1 16,5-2-16,2-1-40,-28-16-424,33 14 392,3-1-56,3-1-48,4-2-56,5-6-48,3 8-40,-51-12-144,55 2 136,5 2-24,3-2-40,3 0-8,4-2-80,1 0-16,-71 0 32,77-1-96,4-2-48,1-1-48,5-1-96,0-4-216,5 5-472,-92 4 976,94-5-1448,3 0-553,1 1-103,4-1 415,1 1 585,2 2 552,-105 2 552,106-4-1728,-106 4 1728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D9" zoomScale="130" zoomScaleNormal="100" zoomScaleSheetLayoutView="130" workbookViewId="0">
      <selection activeCell="F13" sqref="F1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5" t="s">
        <v>186</v>
      </c>
      <c r="C1" s="45"/>
      <c r="D1" s="45"/>
      <c r="E1" s="45"/>
      <c r="F1" s="45"/>
      <c r="G1" s="45"/>
      <c r="H1" s="45"/>
      <c r="I1" s="45"/>
      <c r="J1" s="45"/>
    </row>
    <row r="2" spans="1:10" ht="30" customHeight="1" x14ac:dyDescent="0.3">
      <c r="B2" s="12" t="s">
        <v>8</v>
      </c>
      <c r="C2" s="51" t="s">
        <v>41</v>
      </c>
      <c r="D2" s="51"/>
      <c r="E2" s="12" t="s">
        <v>7</v>
      </c>
      <c r="F2" s="46">
        <v>45944</v>
      </c>
      <c r="G2" s="46"/>
      <c r="H2" s="46"/>
      <c r="I2" s="46"/>
      <c r="J2" s="46"/>
    </row>
    <row r="3" spans="1:10" ht="30" customHeight="1" x14ac:dyDescent="0.3">
      <c r="B3" s="12" t="s">
        <v>9</v>
      </c>
      <c r="C3" s="51" t="s">
        <v>82</v>
      </c>
      <c r="D3" s="51"/>
      <c r="E3" s="12" t="s">
        <v>6</v>
      </c>
      <c r="F3" s="51" t="s">
        <v>92</v>
      </c>
      <c r="G3" s="51"/>
      <c r="H3" s="51"/>
      <c r="I3" s="51"/>
      <c r="J3" s="5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7" t="s">
        <v>0</v>
      </c>
      <c r="C5" s="48"/>
      <c r="D5" s="48"/>
      <c r="E5" s="38" t="s">
        <v>1</v>
      </c>
      <c r="F5" s="38"/>
      <c r="G5" s="38"/>
      <c r="H5" s="38"/>
      <c r="I5" s="38" t="s">
        <v>2</v>
      </c>
      <c r="J5" s="39"/>
    </row>
    <row r="6" spans="1:10" ht="24.9" customHeight="1" thickBot="1" x14ac:dyDescent="0.35">
      <c r="A6" s="10"/>
      <c r="B6" s="49"/>
      <c r="C6" s="50"/>
      <c r="D6" s="50"/>
      <c r="E6" s="11" t="s">
        <v>3</v>
      </c>
      <c r="F6" s="11" t="s">
        <v>4</v>
      </c>
      <c r="G6" s="11" t="s">
        <v>23</v>
      </c>
      <c r="H6" s="11" t="s">
        <v>24</v>
      </c>
      <c r="I6" s="40"/>
      <c r="J6" s="41"/>
    </row>
    <row r="7" spans="1:10" ht="24.9" customHeight="1" x14ac:dyDescent="0.3">
      <c r="A7" s="10"/>
      <c r="B7" s="36" t="s">
        <v>21</v>
      </c>
      <c r="C7" s="37"/>
      <c r="D7" s="37"/>
      <c r="E7" s="27" t="s">
        <v>18</v>
      </c>
      <c r="F7" s="27" t="s">
        <v>19</v>
      </c>
      <c r="G7" s="27" t="s">
        <v>22</v>
      </c>
      <c r="H7" s="27" t="s">
        <v>20</v>
      </c>
      <c r="I7" s="42" t="s">
        <v>25</v>
      </c>
      <c r="J7" s="43"/>
    </row>
    <row r="8" spans="1:10" ht="30" customHeight="1" x14ac:dyDescent="0.3">
      <c r="A8" s="10"/>
      <c r="B8" s="35" t="s">
        <v>185</v>
      </c>
      <c r="C8" s="35"/>
      <c r="D8" s="35"/>
      <c r="E8" s="9">
        <v>5</v>
      </c>
      <c r="F8" s="26">
        <v>3.75</v>
      </c>
      <c r="G8" s="29">
        <f>IFERROR(F8/E8,"")</f>
        <v>0.75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4"/>
      <c r="J8" s="44"/>
    </row>
    <row r="9" spans="1:10" ht="30" customHeight="1" x14ac:dyDescent="0.3">
      <c r="A9" s="10"/>
      <c r="B9" s="35" t="s">
        <v>184</v>
      </c>
      <c r="C9" s="35"/>
      <c r="D9" s="35"/>
      <c r="E9" s="9">
        <v>5</v>
      </c>
      <c r="F9" s="26">
        <v>3.5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4"/>
    </row>
    <row r="10" spans="1:10" ht="30" customHeight="1" x14ac:dyDescent="0.3">
      <c r="A10" s="10"/>
      <c r="B10" s="35" t="s">
        <v>183</v>
      </c>
      <c r="C10" s="35"/>
      <c r="D10" s="35"/>
      <c r="E10" s="9">
        <v>5</v>
      </c>
      <c r="F10" s="26">
        <v>3.5</v>
      </c>
      <c r="G10" s="29">
        <f t="shared" ref="G10:G14" si="0">IFERROR(F10/E10,"")</f>
        <v>0.7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4"/>
    </row>
    <row r="11" spans="1:10" ht="30" customHeight="1" x14ac:dyDescent="0.3">
      <c r="A11" s="10"/>
      <c r="B11" s="35" t="s">
        <v>182</v>
      </c>
      <c r="C11" s="35"/>
      <c r="D11" s="35"/>
      <c r="E11" s="9">
        <v>5</v>
      </c>
      <c r="F11" s="26">
        <v>3.5</v>
      </c>
      <c r="G11" s="29">
        <f t="shared" si="0"/>
        <v>0.7</v>
      </c>
      <c r="H11" s="30" t="str">
        <f t="shared" si="1"/>
        <v>جيد</v>
      </c>
      <c r="I11" s="44"/>
      <c r="J11" s="44"/>
    </row>
    <row r="12" spans="1:10" ht="30" customHeight="1" x14ac:dyDescent="0.3">
      <c r="A12" s="10"/>
      <c r="B12" s="35" t="s">
        <v>181</v>
      </c>
      <c r="C12" s="35"/>
      <c r="D12" s="35"/>
      <c r="E12" s="9">
        <v>5</v>
      </c>
      <c r="F12" s="26">
        <v>3.5</v>
      </c>
      <c r="G12" s="29">
        <f t="shared" si="0"/>
        <v>0.7</v>
      </c>
      <c r="H12" s="30" t="str">
        <f t="shared" si="1"/>
        <v>جيد</v>
      </c>
      <c r="I12" s="44"/>
      <c r="J12" s="44"/>
    </row>
    <row r="13" spans="1:10" ht="30" customHeight="1" x14ac:dyDescent="0.3">
      <c r="A13" s="10"/>
      <c r="B13" s="35" t="s">
        <v>187</v>
      </c>
      <c r="C13" s="35"/>
      <c r="D13" s="35"/>
      <c r="E13" s="9">
        <v>5</v>
      </c>
      <c r="F13" s="26">
        <v>3.75</v>
      </c>
      <c r="G13" s="29">
        <f t="shared" si="0"/>
        <v>0.75</v>
      </c>
      <c r="H13" s="30" t="str">
        <f t="shared" si="1"/>
        <v>جيد</v>
      </c>
      <c r="I13" s="44"/>
      <c r="J13" s="44"/>
    </row>
    <row r="14" spans="1:10" ht="30" customHeight="1" x14ac:dyDescent="0.3">
      <c r="A14" s="10"/>
      <c r="B14" s="35" t="s">
        <v>180</v>
      </c>
      <c r="C14" s="35"/>
      <c r="D14" s="35"/>
      <c r="E14" s="9">
        <v>5</v>
      </c>
      <c r="F14" s="26">
        <v>3.75</v>
      </c>
      <c r="G14" s="29">
        <f t="shared" si="0"/>
        <v>0.75</v>
      </c>
      <c r="H14" s="30" t="str">
        <f t="shared" si="1"/>
        <v>جيد</v>
      </c>
      <c r="I14" s="44"/>
      <c r="J14" s="44"/>
    </row>
    <row r="15" spans="1:10" ht="30" customHeight="1" thickBot="1" x14ac:dyDescent="0.35">
      <c r="A15" s="4"/>
      <c r="B15" s="31" t="s">
        <v>5</v>
      </c>
      <c r="C15" s="32"/>
      <c r="D15" s="32"/>
      <c r="E15" s="28">
        <f>SUM(E8:E14)</f>
        <v>35</v>
      </c>
      <c r="F15" s="28">
        <f>SUM(F8:F14)</f>
        <v>25.25</v>
      </c>
      <c r="G15" s="54"/>
      <c r="H15" s="55"/>
      <c r="I15" s="55"/>
      <c r="J15" s="56"/>
    </row>
    <row r="16" spans="1:10" ht="30" customHeight="1" thickBot="1" x14ac:dyDescent="0.35">
      <c r="A16" s="4"/>
      <c r="B16" s="33" t="s">
        <v>54</v>
      </c>
      <c r="C16" s="34"/>
      <c r="D16" s="34"/>
      <c r="E16" s="63">
        <f>F15/E15/100*100</f>
        <v>0.72142857142857142</v>
      </c>
      <c r="F16" s="63"/>
      <c r="G16" s="63"/>
      <c r="H16" s="63"/>
      <c r="I16" s="63"/>
      <c r="J16" s="64"/>
    </row>
    <row r="17" spans="1:10" ht="30" customHeight="1" thickBot="1" x14ac:dyDescent="0.35">
      <c r="A17" s="4"/>
      <c r="B17" s="33" t="s">
        <v>55</v>
      </c>
      <c r="C17" s="34"/>
      <c r="D17" s="34"/>
      <c r="E17" s="61" t="str">
        <f>_xlfn.IFS(E16&gt;=90%,"ممتاز",E16&gt;=80%,"جيد جداً",E16&gt;=70%,"جيد",E16&gt;=60%,"مقبول",E16&lt;60%,"راسب")</f>
        <v>جيد</v>
      </c>
      <c r="F17" s="61"/>
      <c r="G17" s="61"/>
      <c r="H17" s="61"/>
      <c r="I17" s="61"/>
      <c r="J17" s="62"/>
    </row>
    <row r="18" spans="1:10" ht="42" customHeight="1" x14ac:dyDescent="0.3">
      <c r="B18" s="57" t="s">
        <v>174</v>
      </c>
      <c r="C18" s="57"/>
      <c r="D18" s="57"/>
      <c r="E18" s="52" t="s">
        <v>52</v>
      </c>
      <c r="F18" s="52"/>
      <c r="G18" s="59" t="s">
        <v>92</v>
      </c>
      <c r="H18" s="59"/>
      <c r="I18" s="59"/>
      <c r="J18" s="59"/>
    </row>
    <row r="19" spans="1:10" ht="51" customHeight="1" x14ac:dyDescent="0.3">
      <c r="A19" s="5"/>
      <c r="B19" s="58"/>
      <c r="C19" s="58"/>
      <c r="D19" s="58"/>
      <c r="E19" s="53" t="s">
        <v>53</v>
      </c>
      <c r="F19" s="53"/>
      <c r="G19" s="60"/>
      <c r="H19" s="60"/>
      <c r="I19" s="60"/>
      <c r="J19" s="6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5"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60">
      <formula>$E17="جيد جداً"</formula>
    </cfRule>
    <cfRule type="expression" dxfId="12" priority="59">
      <formula>$E17="جيد"</formula>
    </cfRule>
    <cfRule type="expression" dxfId="11" priority="58">
      <formula>$E17="مقبول"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2025-10-15T17:29:50Z</dcterms:modified>
</cp:coreProperties>
</file>