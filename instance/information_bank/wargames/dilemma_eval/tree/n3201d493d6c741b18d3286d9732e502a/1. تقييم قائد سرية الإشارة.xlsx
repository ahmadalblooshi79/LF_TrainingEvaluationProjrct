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1E48E02C-7A76-4F12-B456-10ADA9E1F2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8" i="2"/>
  <c r="H8" i="2"/>
  <c r="F17" i="2"/>
  <c r="E17" i="2"/>
  <c r="E18" i="2"/>
  <c r="E19" i="2"/>
</calcChain>
</file>

<file path=xl/sharedStrings.xml><?xml version="1.0" encoding="utf-8"?>
<sst xmlns="http://schemas.openxmlformats.org/spreadsheetml/2006/main" count="246" uniqueCount="190">
  <si>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</si>
  <si>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</si>
  <si>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</si>
  <si>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</si>
  <si>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</si>
  <si>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</si>
  <si>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</si>
  <si>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</si>
  <si>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</si>
  <si>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</si>
  <si>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</si>
  <si>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</si>
  <si>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</si>
  <si>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</si>
  <si>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</si>
  <si>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</si>
  <si>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</si>
  <si>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</si>
  <si>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</si>
  <si>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</si>
  <si>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</si>
  <si>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</si>
  <si>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</si>
  <si>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</si>
  <si>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</si>
  <si>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</si>
  <si>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</si>
  <si>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</si>
  <si>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</si>
  <si>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</si>
  <si>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</si>
  <si>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</si>
  <si>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</si>
  <si>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</si>
  <si>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</si>
  <si>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</si>
  <si>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</si>
  <si>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</si>
  <si>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</si>
  <si>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</si>
  <si>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</si>
  <si>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</si>
  <si>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</si>
  <si>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</si>
  <si>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</si>
  <si>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</si>
  <si>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</si>
  <si>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</si>
  <si>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</si>
  <si>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</si>
  <si>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</si>
  <si>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</si>
  <si>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</si>
  <si>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</si>
  <si>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</si>
  <si>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</si>
  <si>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</si>
  <si>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</si>
  <si>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</si>
  <si>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</si>
  <si>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</si>
  <si>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</si>
  <si>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</si>
  <si>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</si>
  <si>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</si>
  <si>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</si>
  <si>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</si>
  <si>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</si>
  <si>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</si>
  <si>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</si>
  <si>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</si>
  <si>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</si>
  <si>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</si>
  <si>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</si>
  <si>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</si>
  <si>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</si>
  <si>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</si>
  <si>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</si>
  <si>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</si>
  <si>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</si>
  <si>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</si>
  <si>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</si>
  <si>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</si>
  <si>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</si>
  <si>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</si>
  <si>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</si>
  <si>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</si>
  <si>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</si>
  <si>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</si>
  <si>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</si>
  <si>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</si>
  <si>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</si>
  <si>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</si>
  <si>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</si>
  <si>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</si>
  <si>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</si>
  <si>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</si>
  <si>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</si>
  <si>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</si>
  <si>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</si>
  <si>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</si>
  <si>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</si>
  <si>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</si>
  <si>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</si>
  <si>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</si>
  <si>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</si>
  <si>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</si>
  <si>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</si>
  <si>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</si>
  <si>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</si>
  <si>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</si>
  <si>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</si>
  <si>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</si>
  <si>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</si>
  <si>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</si>
  <si>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</si>
  <si>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</si>
  <si>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</si>
  <si>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</si>
  <si>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</si>
  <si>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</si>
  <si>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</si>
  <si>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</si>
  <si>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</si>
  <si>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</si>
  <si>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</si>
  <si>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</si>
  <si>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</si>
  <si>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</si>
  <si>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</si>
  <si>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</si>
  <si>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</si>
  <si>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</si>
  <si>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</si>
  <si>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</si>
  <si>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</si>
  <si>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</si>
  <si>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</si>
  <si>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</si>
  <si>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</si>
  <si>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</si>
  <si>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</si>
  <si>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</si>
  <si>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</si>
  <si>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</si>
  <si>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</si>
  <si>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</si>
  <si>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</si>
  <si>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</si>
  <si>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</si>
  <si>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</si>
  <si>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</si>
  <si>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</si>
  <si>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</si>
  <si>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</si>
  <si>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</si>
  <si>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</si>
  <si>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</si>
  <si>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</si>
  <si>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</si>
  <si>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</si>
  <si>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</si>
  <si>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</si>
  <si>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</si>
  <si>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</si>
  <si>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</si>
  <si>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</si>
  <si>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</si>
  <si>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</si>
  <si>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</si>
  <si>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</si>
  <si>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</si>
  <si>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</si>
  <si>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</si>
  <si>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</si>
  <si>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</si>
  <si>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</si>
  <si>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</si>
  <si>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</si>
  <si>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</si>
  <si>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قائد سرية الإشارة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</si>
  <si>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العمل كمستشار فني لقائد اللواء وهيئة الركن فيما يخص أمور الاتصالات.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</si>
  <si>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التأكد من أنّ شبكة الاتصالات اللاسلكية التعبوية لمجموعة اللواء تُسْند القيادة والسيطرة.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</si>
  <si>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تفهم خطة المناورة لمجموعة اللواء والوحدات المرؤوسة.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</si>
  <si>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 xml:space="preserve">تنسيق وتخصيص الترددات للوحدات المرؤوسة وإصدار تعليمات الإشارة.  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</si>
  <si>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وضع مخططات الاتصالات السلكية واللاسلكية التي تخدم مجموعة اللواء ومراقبة تنفيذها.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</si>
  <si>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التنسيق فيما يخص متطلبات مجموعة اللواء من المعدات الإشارية والإشراف على استخدام معدات الاتصالات.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</si>
  <si>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البقاء على اطلاع تام بالموقف التعبوي والتأكد من أن كافة الأمور المتعلقة بالاتصالات تسند عمليات مجموعة اللواء.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</si>
  <si>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المشاركة في إعداد فقرة القيادة والاتصالات في أوامر العمليات لمجموعة اللواء.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</si>
  <si>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 xml:space="preserve">تخطيط المواقع البديلة والثانوية لمعدات الاتصال لضمان استمرارية الاتصالات.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</si>
</sst>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>
      <alignment horizontal="center" vertical="center" wrapText="1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3" fillId="0" borderId="24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225312</xdr:colOff>
      <xdr:row>20</xdr:row>
      <xdr:rowOff>215903</xdr:rowOff>
    </xdr:from>
    <xdr:to>
      <xdr:col>6</xdr:col>
      <xdr:colOff>329712</xdr:colOff>
      <xdr:row>20</xdr:row>
      <xdr:rowOff>499943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366C32D-C112-56B7-D18D-FF140CB5C28D}"/>
                </a:ext>
              </a:extLst>
            </xdr14:cNvPr>
            <xdr14:cNvContentPartPr/>
          </xdr14:nvContentPartPr>
          <xdr14:nvPr macro=""/>
          <xdr14:xfrm>
            <a:off x="10400231378" y="10220040"/>
            <a:ext cx="104400" cy="2840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366C32D-C112-56B7-D18D-FF140CB5C28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0225258" y="10213920"/>
              <a:ext cx="116640" cy="29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287232</xdr:colOff>
      <xdr:row>20</xdr:row>
      <xdr:rowOff>146423</xdr:rowOff>
    </xdr:from>
    <xdr:to>
      <xdr:col>6</xdr:col>
      <xdr:colOff>362832</xdr:colOff>
      <xdr:row>20</xdr:row>
      <xdr:rowOff>221663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ADD01C3-304A-9FAE-439F-CE2DF52D0DC6}"/>
                </a:ext>
              </a:extLst>
            </xdr14:cNvPr>
            <xdr14:cNvContentPartPr/>
          </xdr14:nvContentPartPr>
          <xdr14:nvPr macro=""/>
          <xdr14:xfrm>
            <a:off x="10400198258" y="10150560"/>
            <a:ext cx="75600" cy="752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ADD01C3-304A-9FAE-439F-CE2DF52D0DC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192138" y="10144440"/>
              <a:ext cx="87840" cy="8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361392</xdr:colOff>
      <xdr:row>20</xdr:row>
      <xdr:rowOff>349103</xdr:rowOff>
    </xdr:from>
    <xdr:to>
      <xdr:col>7</xdr:col>
      <xdr:colOff>463982</xdr:colOff>
      <xdr:row>20</xdr:row>
      <xdr:rowOff>544583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4A93536F-BF2D-86D3-1A7C-E7E05CE2C9F3}"/>
                </a:ext>
              </a:extLst>
            </xdr14:cNvPr>
            <xdr14:cNvContentPartPr/>
          </xdr14:nvContentPartPr>
          <xdr14:nvPr macro=""/>
          <xdr14:xfrm>
            <a:off x="10399439018" y="10353240"/>
            <a:ext cx="760680" cy="1954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A93536F-BF2D-86D3-1A7C-E7E05CE2C9F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432898" y="10347120"/>
              <a:ext cx="772920" cy="20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541382</xdr:colOff>
      <xdr:row>20</xdr:row>
      <xdr:rowOff>297983</xdr:rowOff>
    </xdr:from>
    <xdr:to>
      <xdr:col>7</xdr:col>
      <xdr:colOff>611942</xdr:colOff>
      <xdr:row>20</xdr:row>
      <xdr:rowOff>489863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C5B14536-17E0-E81A-2E7A-DEB5528E5A9F}"/>
                </a:ext>
              </a:extLst>
            </xdr14:cNvPr>
            <xdr14:cNvContentPartPr/>
          </xdr14:nvContentPartPr>
          <xdr14:nvPr macro=""/>
          <xdr14:xfrm>
            <a:off x="10399291058" y="10302120"/>
            <a:ext cx="70560" cy="1918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C5B14536-17E0-E81A-2E7A-DEB5528E5A9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9284938" y="10296000"/>
              <a:ext cx="82800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173472</xdr:colOff>
      <xdr:row>20</xdr:row>
      <xdr:rowOff>172343</xdr:rowOff>
    </xdr:from>
    <xdr:to>
      <xdr:col>9</xdr:col>
      <xdr:colOff>215561</xdr:colOff>
      <xdr:row>20</xdr:row>
      <xdr:rowOff>506423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9CFE3653-A210-2A14-2179-CA5032A00156}"/>
                </a:ext>
              </a:extLst>
            </xdr14:cNvPr>
            <xdr14:cNvContentPartPr/>
          </xdr14:nvContentPartPr>
          <xdr14:nvPr macro=""/>
          <xdr14:xfrm>
            <a:off x="10398371258" y="10176480"/>
            <a:ext cx="2016360" cy="3340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9CFE3653-A210-2A14-2179-CA5032A00156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398365138" y="10170360"/>
              <a:ext cx="2028600" cy="34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363171</xdr:colOff>
      <xdr:row>20</xdr:row>
      <xdr:rowOff>522983</xdr:rowOff>
    </xdr:from>
    <xdr:to>
      <xdr:col>8</xdr:col>
      <xdr:colOff>499611</xdr:colOff>
      <xdr:row>20</xdr:row>
      <xdr:rowOff>546383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27CFEB76-4735-D86C-7CED-783EF1FCA37B}"/>
                </a:ext>
              </a:extLst>
            </xdr14:cNvPr>
            <xdr14:cNvContentPartPr/>
          </xdr14:nvContentPartPr>
          <xdr14:nvPr macro=""/>
          <xdr14:xfrm>
            <a:off x="10398745298" y="10527120"/>
            <a:ext cx="136440" cy="234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27CFEB76-4735-D86C-7CED-783EF1FCA37B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398739178" y="10521000"/>
              <a:ext cx="148680" cy="35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1:59:26.580"/>
    </inkml:context>
    <inkml:brush xml:id="br0">
      <inkml:brushProperty name="width" value="0.035" units="cm"/>
      <inkml:brushProperty name="height" value="0.035" units="cm"/>
      <inkml:brushProperty name="color" value="#333333"/>
    </inkml:brush>
  </inkml:definitions>
  <inkml:trace contextRef="#ctx0" brushRef="#br0">46 73 4785,'0'0'0,"0"0"0,-12-6 1648,5-8-1152,-8 9-80,13-7-8,2 12-408,-5-3 432,3-1-64,-1 0 0,3 1 0,0 3-368,0-1 297,0-2-33,0 0-8,5-1-24,-5 4-232,0-3 240,3 1 32,-1-1 8,-2 2 8,0 1-288,0-1 304,0 1-80,0 0-80,0 0-72,0 0-72,2 0 8,-2 0 24,5 2-16,0 3 32,-5-5-48,2 11 56,10-7 16,-12 13 8,5-4-8,-5-13-72,12 16 64,-7 2 0,9 4 0,-1 0 0,-13-22-64,12 23 32,0 4-24,7 2-72,-2-1 16,-17-28 48,16 30-48,1 1 8,-2 0 0,-3 1 8,-12-32 32,12 32-48,0 0-32,-7-1-40,11 0 24,-16-31 96,3 32-104,9-1-32,-10-1 48,3-2-112,-5-28 200,5 27-256,-3-3-88,3-1-56,0-3-56,-5-20 456,0 18-624,0-1-329,0-2-559,0-3-160,0-12 1672,0 5-1537,0 13-1439,0-18 2976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1:59:28.287"/>
    </inkml:context>
    <inkml:brush xml:id="br0">
      <inkml:brushProperty name="width" value="0.035" units="cm"/>
      <inkml:brushProperty name="height" value="0.035" units="cm"/>
      <inkml:brushProperty name="color" value="#333333"/>
    </inkml:brush>
  </inkml:definitions>
  <inkml:trace contextRef="#ctx0" brushRef="#br0">56 0 248,'0'0'0,"-5"3"392,-2 0 56,-5 0 24,12-3-472,0 3 392,0-3-48,0 0-64,0 0-128,0 0-152,-2 0 80,-1 0 8,3 0-40,-2 0 0,2 0-48,-2 0 40,2 3-16,-3-3 24,3 2-24,0-2-24,0 3 16,-2 0-16,-1 0-40,3 0 16,0-3 24,-2 4-8,2-1 0,-5 1-8,5 0 8,0-4 8,-2 3-24,-1 2 8,3-1-8,-2-1 0,2-3 24,0 4-32,0-1-40,0 0-56,5-3-80,-5 0 208,2 0-232,3 2 40,0-2 64,-3 3 56,-2-3 72,12 3-88,-7-3 80,9 0-32,-9 0-8,-5 0 48,12 0 0,-9 0-72,1 0 40,9 3 16,-13-3 16,4 0-32,6 3 0,-8 0-24,6-1-24,-8-2 80,4 5-40,-1-1-72,-1 0-56,3 1 24,-5-5 144,2 11-160,-2-8 48,3 10 40,-3-11 0,0-2 72,0 13-56,0-9 24,0 8 8,0-9-8,0-3 32,0 11-32,0-8-16,-3 1 0,3 0 40,0-4 8,0 5 8,0-1 8,0-1 16,3 0 8,-3-3-40,5 0 48,-3 2 24,0-2 48,1 0 72,-3 0-192,2 0 184,3 0 0,-3 0 32,1 0-16,-3 0-200,2 0 240,-2 0 24,3-1-80,1 0-72,-4 1-112,0 0 104,0-2-16,0 1-8,0-1-32,0 2-48,0 0 16,0 0 0,5 0 0,-2-1-16,-3 1 0,5 0-8,-5 0-16,0 0 24,2 0 8,3 0 0,-3 0 8,1 0-24,-3 0 8,4 0-16,-1 0 16,2 0-24,-5-2 24,0 2 0,2 0-16,3 0 8,-5 0 16,0 0-8,2 0 32,-2 0-48,0 0 32,0 0-16,-2 0-8,-3 0 40,5 0 8,-2 0-24,2 0-16,-3 0 32,-2 0-32,1 0-32,-1 0 8,5 0 24,-5 0-40,3 0 8,-6 3-8,3-3-8,5 0 48,-4 0-24,-1 3-16,2-3-16,-1 0-48,4 0 104,-5 0-144,2 0-8,-1 3 24,-1-3 32,5 0 96,-5 0-72,3 0 24,-1 0-88,1 0-392,2 0 528,-3 3-944,3-3 944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1:59:30.057"/>
    </inkml:context>
    <inkml:brush xml:id="br0">
      <inkml:brushProperty name="width" value="0.035" units="cm"/>
      <inkml:brushProperty name="height" value="0.035" units="cm"/>
      <inkml:brushProperty name="color" value="#333333"/>
    </inkml:brush>
  </inkml:definitions>
  <inkml:trace contextRef="#ctx0" brushRef="#br0">1959 73 472,'0'0'0,"0"-2"392,0-1-120,0 1-168,0 2-104,0-3 56,2 0-8,2-1-40,-4 1 16,0 3-24,3-4 24,-3 1 40,0 0 96,0-1 120,0 4-280,0-3 368,0-1 24,0-1-40,0 1-56,0 4-296,0-4 320,-3 1 48,3 0 0,0-1-31,0 4-337,-2-3 280,0 0-72,0 2-80,2-1-48,0 2-80,-3 0 0,3 0-32,-2 0-32,0 3-24,2-3 88,-3 4-64,1 1 0,-3 9 32,-2-10 8,7-4 24,-10 17-48,9-13 8,-6 15 0,-3-8 0,10-11 40,-5 13-32,0-2-16,1 2-16,-1-1-1,5-12 65,-4 4-96,-1 13 8,5-13-16,-2 9-16,2-13 120,0 3-120,0 1 8,0 0 8,2 1 32,-2-5 72,5 2-72,-4 1 0,2-3 16,2 3 32,-5-3 24,4 0 0,-1 0 16,9 0-8,-10-1 8,-2 1-16,5-3 24,6 0 16,-6 0 24,7 0-8,-12 3-56,0-2 72,5-1-16,8 0-8,-8 1-32,-5 2-16,12-1 0,-12 1-8,12 0-16,-7 0 24,-5 0 0,8 0-16,-3 3 16,5 0-24,-5 1 8,-5-4 16,9 4-8,-4 0 0,-4 9-16,12-10 24,-13-3 0,0 4 0,2 8-8,-2-9 0,2 8-8,-2-11 16,0 3-8,0 1 0,0 7 16,-4-11 0,4 0-8,-3 5 16,-4-1 32,-2-1 8,2 0 8,7-3-64,-14 0 32,2 0-24,1 0-8,-4 0 16,15 0-16,-14 0 8,0 0 16,2 0 16,0 0-8,12 0-32,-4-2 40,-10 1-8,9-2-8,0 0 0,5 3-24,-4-1 40,-1-2 0,5 1 0,-3 0-16,3 2-24,-1-3-8,1 1 8,0-1 0,-2-1-8,2 4 8,-3-1-24,1-1-32,-1 1-48,-2 0-48,5 1 152,-4-2-160,-8 2-32,5 0 48,-9 0 24,16 0 120,-10 3-56,5 0 40,-13 0 16,6-1-24,12-2 24,-15 5-40,0-2 32,3-1-32,-2 1-8,14-3 48,-5 3-8,-11 0-56,6 0 24,3-3 64,7 0-24,-14 3-8,12-3 16,-8 0 8,5 0-8,5 0-8,-4 0-16,1-2 0,3-1-8,-1 1-8,1 2 32,0-5-16,0 1 0,0-2-16,0-5 24,0 11 8,0-3-32,0-3 24,0 1 8,0-7 24,0 12-24,-3-2 16,-1-3 24,1 2-56,-2 2 8,5 1 8,-7 0 0,-2 0-40,-2 4 72,-4 9-40,15-13 8,-12 4 16,-4 11-24,-1-4-8,3 0 48,14-11-32,-21 5-8,4 12 32,-3-13 0,1 12-8,19-16-16,-16 4 24,-4 7 32,5-8 32,0 1 32,15-4-120,-16 5 144,2-1 40,0-1-32,2-3-32,12 0-120,-14 0 88,2 0-40,3 0 0,5-2 16,4 2-64,-12-4 80,7 0 0,2-1 0,-1-6-32,4 11-48,-5-3 88,2-2-31,3-7-9,0 9-32,0 3-16,-2-5-40,2-1-89,-1 0-47,-2 1-48,3 5 224,-5-5-296,5 4 80,-5-1 24,-7 2 104,12 0 88,-7 0 8,-6 12 8,-4-8 24,1 10 0,16-14-40,-17 13 40,-2 1 8,1-2-8,1 0-16,17-12-24,-16 13 24,-3-8 16,1 10-8,1-11 16,17-4-48,-18 12 56,-2-9-8,2-1-32,4 1 16,14-3-32,-20 3 40,7-3-16,-1 0 24,2 0-8,12 0-40,-4 0 40,-11-1 16,10-4-32,-7 1 8,12 4-32,-2-4 32,-2 0-16,-8-1 8,10 0 0,2 5-24,-5-6 8,0 0 0,0 2 16,5 0-48,0 4 24,-4-3-48,1 2-40,-1 1-16,-8 0 8,12 0 96,0 0-88,-14 4 64,9 9 0,-11-9 8,16-4 16,-14 16 8,-2-5-32,-1 0 56,-2 2-56,19-13 24,-18 13 0,-2-2 8,2-7-32,-1 12 64,19-16-40,-18 3 8,1 8 24,-1-8-8,1 1 16,17-4-40,-16 3 8,-1 0-8,3-3-16,3 0-40,11 0 56,-15 0-56,1-1-48,0-2-24,0-1 32,14 4 96,-12-5-80,10-6 48,-12 7 32,9-2-8,5 6 8,-5-11 8,-7 6 8,10-7-8,-4 7 8,6 5-16,-5-11 0,0 7-32,0-1 32,1 1 8,4 4-8,-5-3 16,0 2 48,-1-1 40,-9 2 88,15 0-192,-2 0 304,-15 12 112,4-9 49,-2 9 55,15-12-520,-12 5 496,-4 10-72,-3-3-48,1-8-104,18-4-272,-19 16 216,0-5-72,0-7-48,1 13-56,18-17-40,-22 5 8,4 7-40,-1-9-8,-2 9-32,21-12 72,-19 2-168,1 3-224,3-1-592,1-1-80,14-3 1064,-4 0-1585,-11 0-1207,15 0 2792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1:59:30.618"/>
    </inkml:context>
    <inkml:brush xml:id="br0">
      <inkml:brushProperty name="width" value="0.035" units="cm"/>
      <inkml:brushProperty name="height" value="0.035" units="cm"/>
      <inkml:brushProperty name="color" value="#333333"/>
    </inkml:brush>
  </inkml:definitions>
  <inkml:trace contextRef="#ctx0" brushRef="#br0">15 6 6633,'0'0'0,"-3"-2"848,-2 1-424,1 0-112,4 1-312,0-2 136,-3 2-88,3 0-48,0 0 16,0 0 16,3 3 8,-3 0 24,0-3-64,2 4 40,-2 7 24,2-8-24,3 9 16,-5-12-56,3 4 24,-3 12-8,4-4 40,-1 4-48,-3-16-8,5 17 48,4 2-32,-6 2-24,-1 2 0,-2-23 8,12 22-32,-10 2 8,11 1 32,-9 0-40,-4-25 32,15 26-16,-3 1-32,-7 1 0,11-1 0,-16-27 48,12 29-88,0-4-176,-2 2-472,2-1-688,-12-26 1424,12 21-1408,0-2-881,-7-2 41,-5-17 2248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1:59:32.067"/>
    </inkml:context>
    <inkml:brush xml:id="br0">
      <inkml:brushProperty name="width" value="0.035" units="cm"/>
      <inkml:brushProperty name="height" value="0.035" units="cm"/>
      <inkml:brushProperty name="color" value="#333333"/>
    </inkml:brush>
  </inkml:definitions>
  <inkml:trace contextRef="#ctx0" brushRef="#br0">2182 697 5089,'0'0'0,"0"0"0,-15-11 800,3-2-568,-1-2-104,3 2-40,10 13-88,-2-13 136,-3 0 16,3 2 56,-1 5 80,3 6-288,-1-13 384,-1 9 32,-1-2 0,3 1 8,0 5-424,0-12 392,-2 9 1,2-1 55,0 0 32,0 4-480,-3-3 448,3 0-56,0 2-88,0-1-168,0 2-136,0 0 64,0 0-128,0 0-32,0 0 16,0 0 256,3 5-464,-1 6 280,3-8-8,8 8-16,-13-11 32,3 5 0,9 9-24,-10-1-16,12-1 0,-14-12 40,12 16-24,0 0-32,1 1 16,2 3 0,-15-20 40,11 18-24,1 1-32,-3-1 16,5-1-16,-14-17 56,2 16-16,15-1-24,-15 0-40,9-1 32,-11-14 48,0 11-80,5-7 72,-5 11 16,0-13 64,0-2-72,0 5 40,0-1-8,-2-1 56,-4 0-40,6-3-48,-15 3 136,10-3-24,-8 2-8,-4-2 0,17 0-104,-18 0 72,-4 0 8,-3 0-24,-3-2 8,28 2-64,-30-5 80,-3 1 24,-2-7 24,2 6-8,33 5-120,-34-12 168,-1 6-32,5-7-16,-5 9 0,35 4-120,-30-13 88,-3 7 64,3-9-16,0 3-32,30 12-104,-31-11 144,6-2-160,-2 0 120,4-2 8,23 15-112,-23-16 88,-1-1 160,4 1-88,-1-1-23,21 17-137,-17-15 96,-1 0 8,3 0-32,-1 1 72,16 14-144,-11-15 80,-4 1 40,10 0 0,-6 0-48,11 14-72,-2-14 152,-5-1-72,4 4-32,-2-2-8,5 13-40,0-13 32,0 1-56,0 0-24,3-1-56,-3 13 104,2-14-120,10 0 56,-1 1-48,4-1 96,-15 14 16,18-14-96,4 0-16,3-1 16,3 3-32,-28 12 128,33-15-128,2 1 56,7 0 24,0 0-8,-42 14 56,47-15-65,4 0-7,1 1-56,-1-1-64,-51 15 192,53-15-128,4 1-24,1-2 72,3 0 32,-61 16 48,59-15-32,4-1 8,0 2 16,7 2 16,-70 12-8,70-11 40,3 5-40,-1-8 24,3 10 16,-75 4-40,77-13 0,2 9 48,4-2 8,-2 0-24,-81 6-32,82-4 56,0 0-32,4 0-24,3 2-64,-89 2 64,87-1-40,1 1 16,1 0 8,5 0 32,-94 0-16,88 0-16,4 3-16,1 1 0,-2 7 24,-91-11 8,92 3 16,-4 10-40,4-9 32,-6 12-8,-86-16 0,82 11-48,-6 2 32,4 1-40,-10 3 24,-70-17 32,66 17-80,-3 2 8,-9-2 32,-3 0-88,-51-17 128,42 16-64,0-1 24,-6 1-48,-9 1 72,-27-17 16,31 16-32,-8-1-48,1-1 88,-4 1-48,-20-15 40,20 12-16,-2 4 24,-1-3-40,-1 2 48,-16-15-16,14 15-40,2-3 8,-2 3-64,2-4-16,-16-11 112,12 13-104,0-2-48,2 1 72,-2-8-8,-12-4 88,4 16-96,10-12 48,-12 9 0,1-9-16,-3-4 64,7 11-32,-5-8-32,-2 1-40,0 8 24,0-12 80,0 3-48,-2 1 8,2 7 8,-7-8-16,7-3 48,-3 4-96,1 1 72,-4 6-24,-6-11 40,12 0 8,-3 4-8,-9 8-48,1-10 24,-1 1 32,12-3 0,-12 4 24,-4-1-8,-1 2 32,-3-3-96,20-2 48,-19 5-104,-5-2 80,-1-1-64,-3 1 128,28-3-40,-30 3 8,-5 0-48,-3 0 8,-2-3-72,40 0 104,-47 0 16,-1 3-8,-7-3 40,2 0 8,53 0-56,-59 0 8,-2 0-16,-4 0-32,-3 0-16,68 0 56,-70 0-72,-2 0-8,-3 0-16,1 0 0,74 0 96,-82 0-112,4 0 32,-3 2 56,1 1 16,80-3 8,-84 3-8,-2 0 0,-1 0-72,-2 1-64,89-4 144,-91 4-152,2 1-1,-2-1 25,-4 0 8,95-4 120,-97 4-88,-1 8 40,-2-9 16,-3 1 56,103-4-24,-106 13 16,1-9-24,0 9 48,2-9-8,103-4-32,-103 14 72,3-10 16,-5 12-40,2-12 8,103-4-56,-105 17 73,2-12-9,0 12 32,2-6 80,101-11-176,-95 4 192,4 13 24,2-12-16,3 10-88,86-15-112,-87 5 128,3 9-88,2-11 72,2 8-48,80-11-64,-70 3-16,0 1 48,0 8-40,2-10 40,68-2-32,-61 3 104,3 1 16,1-1 64,9 0 48,48-3-232,-47 0 216,3 3-24,-1 0-32,6-3-72,39 0-88,-40 3 64,2 0-8,8-3 16,-3 0-40,33 0-32,-30 2 16,5-2 32,0 0 0,12 0-32,13 0-16,-17 0 40,6 0-72,6 0-8,1 0-8,4 0 48,0 3-96,-3-3-80,3 0-216,-2 0-88,2 0 480,0 0-728,0 0-160,5 0-169,8 0-151,-13 0 1208,2 0-1448,20 0 288,-4-1 15,-8 4-1431,-10-3 2576,0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1:59:32.398"/>
    </inkml:context>
    <inkml:brush xml:id="br0">
      <inkml:brushProperty name="width" value="0.035" units="cm"/>
      <inkml:brushProperty name="height" value="0.035" units="cm"/>
      <inkml:brushProperty name="color" value="#333333"/>
    </inkml:brush>
  </inkml:definitions>
  <inkml:trace contextRef="#ctx0" brushRef="#br0">378 65 6201,'0'0'0,"0"0"0,-2-3 1128,-10-2-816,10 1-128,-13 0-8,15 4-176,-2-6 240,-3 2 184,0 0 24,-4-1 57,9 5-505,-5-4 488,-12 1-88,14-1-64,-13 1-88,16 3-248,-15-3 200,1 2-64,2-2-32,-5 2 32,17 1-136,-17-2 40,0 1-72,-4-1 8,-1 2-32,22 0 56,-19 0-224,-5 0-240,0 0-744,-3 0-1049,27 0 2257,-29-1-2040,3 0-2281,26 1 4321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topLeftCell="D1" zoomScale="130" zoomScaleNormal="100" zoomScaleSheetLayoutView="130" workbookViewId="0">
      <selection activeCell="F2" sqref="F2:J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4" t="s">
        <v>180</v>
      </c>
      <c r="C1" s="64"/>
      <c r="D1" s="64"/>
      <c r="E1" s="64"/>
      <c r="F1" s="64"/>
      <c r="G1" s="64"/>
      <c r="H1" s="64"/>
      <c r="I1" s="64"/>
      <c r="J1" s="64"/>
    </row>
    <row r="2" spans="1:10" ht="30" customHeight="1" x14ac:dyDescent="0.3">
      <c r="B2" s="9" t="s">
        <v>8</v>
      </c>
      <c r="C2" s="70" t="s">
        <v>15</v>
      </c>
      <c r="D2" s="70"/>
      <c r="E2" s="9" t="s">
        <v>7</v>
      </c>
      <c r="F2" s="65">
        <v>45952</v>
      </c>
      <c r="G2" s="65"/>
      <c r="H2" s="65"/>
      <c r="I2" s="65"/>
      <c r="J2" s="65"/>
    </row>
    <row r="3" spans="1:10" ht="30" customHeight="1" x14ac:dyDescent="0.3">
      <c r="B3" s="9" t="s">
        <v>9</v>
      </c>
      <c r="C3" s="70" t="s">
        <v>75</v>
      </c>
      <c r="D3" s="70"/>
      <c r="E3" s="9" t="s">
        <v>6</v>
      </c>
      <c r="F3" s="70" t="s">
        <v>122</v>
      </c>
      <c r="G3" s="70"/>
      <c r="H3" s="70"/>
      <c r="I3" s="70"/>
      <c r="J3" s="70"/>
    </row>
    <row r="4" spans="1:10" ht="30" customHeight="1" thickBot="1" x14ac:dyDescent="0.35">
      <c r="B4" s="6"/>
      <c r="C4" s="75"/>
      <c r="D4" s="75"/>
      <c r="E4" s="6"/>
      <c r="F4" s="75"/>
      <c r="G4" s="75"/>
      <c r="H4" s="75"/>
      <c r="I4" s="75"/>
      <c r="J4" s="75"/>
    </row>
    <row r="5" spans="1:10" ht="24.9" customHeight="1" x14ac:dyDescent="0.3">
      <c r="A5" s="7"/>
      <c r="B5" s="66" t="s">
        <v>0</v>
      </c>
      <c r="C5" s="67"/>
      <c r="D5" s="67"/>
      <c r="E5" s="71" t="s">
        <v>1</v>
      </c>
      <c r="F5" s="71"/>
      <c r="G5" s="71"/>
      <c r="H5" s="71"/>
      <c r="I5" s="71" t="s">
        <v>2</v>
      </c>
      <c r="J5" s="72"/>
    </row>
    <row r="6" spans="1:10" ht="24.9" customHeight="1" thickBot="1" x14ac:dyDescent="0.35">
      <c r="A6" s="7"/>
      <c r="B6" s="68"/>
      <c r="C6" s="69"/>
      <c r="D6" s="69"/>
      <c r="E6" s="8" t="s">
        <v>3</v>
      </c>
      <c r="F6" s="8" t="s">
        <v>4</v>
      </c>
      <c r="G6" s="8" t="s">
        <v>23</v>
      </c>
      <c r="H6" s="8" t="s">
        <v>24</v>
      </c>
      <c r="I6" s="73"/>
      <c r="J6" s="74"/>
    </row>
    <row r="7" spans="1:10" ht="24.9" customHeight="1" thickBot="1" x14ac:dyDescent="0.35">
      <c r="A7" s="7"/>
      <c r="B7" s="43" t="s">
        <v>21</v>
      </c>
      <c r="C7" s="44"/>
      <c r="D7" s="44"/>
      <c r="E7" s="25" t="s">
        <v>18</v>
      </c>
      <c r="F7" s="25" t="s">
        <v>19</v>
      </c>
      <c r="G7" s="25" t="s">
        <v>22</v>
      </c>
      <c r="H7" s="25" t="s">
        <v>20</v>
      </c>
      <c r="I7" s="45" t="s">
        <v>25</v>
      </c>
      <c r="J7" s="46"/>
    </row>
    <row r="8" spans="1:10" ht="50.1" customHeight="1" x14ac:dyDescent="0.3">
      <c r="A8" s="7"/>
      <c r="B8" s="78" t="s">
        <v>181</v>
      </c>
      <c r="C8" s="79"/>
      <c r="D8" s="79"/>
      <c r="E8" s="29">
        <v>10</v>
      </c>
      <c r="F8" s="30">
        <v>7.75</v>
      </c>
      <c r="G8" s="31">
        <f>IFERROR(F8/E8,"")</f>
        <v>0.77500000000000002</v>
      </c>
      <c r="H8" s="32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80"/>
      <c r="J8" s="81"/>
    </row>
    <row r="9" spans="1:10" ht="50.1" customHeight="1" x14ac:dyDescent="0.3">
      <c r="A9" s="7"/>
      <c r="B9" s="49" t="s">
        <v>182</v>
      </c>
      <c r="C9" s="50"/>
      <c r="D9" s="50"/>
      <c r="E9" s="24">
        <v>10</v>
      </c>
      <c r="F9" s="23">
        <v>7.25</v>
      </c>
      <c r="G9" s="27">
        <f>IFERROR(F9/E9,"")</f>
        <v>0.72499999999999998</v>
      </c>
      <c r="H9" s="28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7"/>
      <c r="J9" s="48"/>
    </row>
    <row r="10" spans="1:10" ht="50.1" customHeight="1" x14ac:dyDescent="0.3">
      <c r="A10" s="7"/>
      <c r="B10" s="49" t="s">
        <v>183</v>
      </c>
      <c r="C10" s="50"/>
      <c r="D10" s="50"/>
      <c r="E10" s="24">
        <v>10</v>
      </c>
      <c r="F10" s="23">
        <v>7.25</v>
      </c>
      <c r="G10" s="27">
        <f t="shared" ref="G10:G16" si="0">IFERROR(F10/E10,"")</f>
        <v>0.72499999999999998</v>
      </c>
      <c r="H10" s="28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</v>
      </c>
      <c r="I10" s="47"/>
      <c r="J10" s="48"/>
    </row>
    <row r="11" spans="1:10" ht="50.1" customHeight="1" x14ac:dyDescent="0.3">
      <c r="A11" s="7"/>
      <c r="B11" s="49" t="s">
        <v>184</v>
      </c>
      <c r="C11" s="50"/>
      <c r="D11" s="50"/>
      <c r="E11" s="24">
        <v>15</v>
      </c>
      <c r="F11" s="23">
        <v>11.75</v>
      </c>
      <c r="G11" s="27">
        <f t="shared" si="0"/>
        <v>0.78333333333333333</v>
      </c>
      <c r="H11" s="28" t="str">
        <f t="shared" si="1"/>
        <v>جيد</v>
      </c>
      <c r="I11" s="47"/>
      <c r="J11" s="48"/>
    </row>
    <row r="12" spans="1:10" ht="50.1" customHeight="1" x14ac:dyDescent="0.3">
      <c r="A12" s="7"/>
      <c r="B12" s="49" t="s">
        <v>185</v>
      </c>
      <c r="C12" s="50"/>
      <c r="D12" s="50"/>
      <c r="E12" s="24">
        <v>10</v>
      </c>
      <c r="F12" s="23">
        <v>8</v>
      </c>
      <c r="G12" s="27">
        <f t="shared" si="0"/>
        <v>0.8</v>
      </c>
      <c r="H12" s="28" t="str">
        <f t="shared" si="1"/>
        <v>جيد جداً</v>
      </c>
      <c r="I12" s="47"/>
      <c r="J12" s="48"/>
    </row>
    <row r="13" spans="1:10" ht="50.1" customHeight="1" x14ac:dyDescent="0.3">
      <c r="A13" s="7"/>
      <c r="B13" s="49" t="s">
        <v>186</v>
      </c>
      <c r="C13" s="50"/>
      <c r="D13" s="50"/>
      <c r="E13" s="24">
        <v>10</v>
      </c>
      <c r="F13" s="23">
        <v>8</v>
      </c>
      <c r="G13" s="27">
        <f t="shared" si="0"/>
        <v>0.8</v>
      </c>
      <c r="H13" s="28" t="str">
        <f t="shared" si="1"/>
        <v>جيد جداً</v>
      </c>
      <c r="I13" s="47"/>
      <c r="J13" s="48"/>
    </row>
    <row r="14" spans="1:10" ht="50.1" customHeight="1" x14ac:dyDescent="0.3">
      <c r="A14" s="7"/>
      <c r="B14" s="49" t="s">
        <v>187</v>
      </c>
      <c r="C14" s="50"/>
      <c r="D14" s="50"/>
      <c r="E14" s="24">
        <v>10</v>
      </c>
      <c r="F14" s="23">
        <v>7.5</v>
      </c>
      <c r="G14" s="27">
        <f t="shared" si="0"/>
        <v>0.75</v>
      </c>
      <c r="H14" s="28" t="str">
        <f t="shared" si="1"/>
        <v>جيد</v>
      </c>
      <c r="I14" s="47"/>
      <c r="J14" s="48"/>
    </row>
    <row r="15" spans="1:10" ht="50.1" customHeight="1" x14ac:dyDescent="0.3">
      <c r="A15" s="7"/>
      <c r="B15" s="49" t="s">
        <v>188</v>
      </c>
      <c r="C15" s="50"/>
      <c r="D15" s="50"/>
      <c r="E15" s="24">
        <v>10</v>
      </c>
      <c r="F15" s="23">
        <v>8.5</v>
      </c>
      <c r="G15" s="27">
        <f t="shared" si="0"/>
        <v>0.85</v>
      </c>
      <c r="H15" s="28" t="str">
        <f t="shared" si="1"/>
        <v>جيد جداً</v>
      </c>
      <c r="I15" s="47"/>
      <c r="J15" s="48"/>
    </row>
    <row r="16" spans="1:10" ht="50.1" customHeight="1" thickBot="1" x14ac:dyDescent="0.35">
      <c r="A16" s="7"/>
      <c r="B16" s="51" t="s">
        <v>189</v>
      </c>
      <c r="C16" s="52"/>
      <c r="D16" s="52"/>
      <c r="E16" s="33">
        <v>15</v>
      </c>
      <c r="F16" s="34">
        <v>11.75</v>
      </c>
      <c r="G16" s="35">
        <f t="shared" si="0"/>
        <v>0.78333333333333333</v>
      </c>
      <c r="H16" s="36" t="str">
        <f t="shared" si="1"/>
        <v>جيد</v>
      </c>
      <c r="I16" s="76"/>
      <c r="J16" s="77"/>
    </row>
    <row r="17" spans="1:10" ht="30" customHeight="1" thickBot="1" x14ac:dyDescent="0.35">
      <c r="A17" s="4"/>
      <c r="B17" s="37" t="s">
        <v>5</v>
      </c>
      <c r="C17" s="38"/>
      <c r="D17" s="38"/>
      <c r="E17" s="26">
        <f>SUM(E8:E16)</f>
        <v>100</v>
      </c>
      <c r="F17" s="26">
        <f>SUM(F8:F16)</f>
        <v>77.75</v>
      </c>
      <c r="G17" s="40"/>
      <c r="H17" s="41"/>
      <c r="I17" s="41"/>
      <c r="J17" s="42"/>
    </row>
    <row r="18" spans="1:10" ht="30" customHeight="1" thickBot="1" x14ac:dyDescent="0.35">
      <c r="A18" s="4"/>
      <c r="B18" s="56" t="s">
        <v>54</v>
      </c>
      <c r="C18" s="57"/>
      <c r="D18" s="57"/>
      <c r="E18" s="60">
        <f>F17/E17/100*100</f>
        <v>0.77749999999999997</v>
      </c>
      <c r="F18" s="60"/>
      <c r="G18" s="60"/>
      <c r="H18" s="60"/>
      <c r="I18" s="60"/>
      <c r="J18" s="61"/>
    </row>
    <row r="19" spans="1:10" ht="30" customHeight="1" thickBot="1" x14ac:dyDescent="0.35">
      <c r="A19" s="4"/>
      <c r="B19" s="56" t="s">
        <v>55</v>
      </c>
      <c r="C19" s="57"/>
      <c r="D19" s="57"/>
      <c r="E19" s="54" t="str">
        <f>_xlfn.IFS(E18&gt;=90%,"ممتاز",E18&gt;=80%,"جيد جداً",E18&gt;=70%,"جيد",E18&gt;=60%,"مقبول",E18&lt;60%,"راسب")</f>
        <v>جيد</v>
      </c>
      <c r="F19" s="54"/>
      <c r="G19" s="54"/>
      <c r="H19" s="54"/>
      <c r="I19" s="54"/>
      <c r="J19" s="55"/>
    </row>
    <row r="20" spans="1:10" ht="42" customHeight="1" x14ac:dyDescent="0.3">
      <c r="B20" s="62" t="s">
        <v>174</v>
      </c>
      <c r="C20" s="62"/>
      <c r="D20" s="62"/>
      <c r="E20" s="58" t="s">
        <v>52</v>
      </c>
      <c r="F20" s="58"/>
      <c r="G20" s="39" t="s">
        <v>122</v>
      </c>
      <c r="H20" s="39"/>
      <c r="I20" s="39"/>
      <c r="J20" s="39"/>
    </row>
    <row r="21" spans="1:10" ht="51" customHeight="1" x14ac:dyDescent="0.3">
      <c r="A21" s="5"/>
      <c r="B21" s="63"/>
      <c r="C21" s="63"/>
      <c r="D21" s="63"/>
      <c r="E21" s="59" t="s">
        <v>53</v>
      </c>
      <c r="F21" s="59"/>
      <c r="G21" s="53"/>
      <c r="H21" s="53"/>
      <c r="I21" s="53"/>
      <c r="J21" s="5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1">
    <mergeCell ref="I16:J16"/>
    <mergeCell ref="B8:D8"/>
    <mergeCell ref="B9:D9"/>
    <mergeCell ref="B10:D10"/>
    <mergeCell ref="B11:D11"/>
    <mergeCell ref="B12:D12"/>
    <mergeCell ref="I8:J8"/>
    <mergeCell ref="B1:J1"/>
    <mergeCell ref="F2:J2"/>
    <mergeCell ref="B5:D6"/>
    <mergeCell ref="C2:D2"/>
    <mergeCell ref="C3:D3"/>
    <mergeCell ref="F3:J3"/>
    <mergeCell ref="E5:H5"/>
    <mergeCell ref="I5:J6"/>
    <mergeCell ref="F4:J4"/>
    <mergeCell ref="C4:D4"/>
    <mergeCell ref="G21:J21"/>
    <mergeCell ref="E19:J19"/>
    <mergeCell ref="B18:D18"/>
    <mergeCell ref="B19:D19"/>
    <mergeCell ref="E20:F20"/>
    <mergeCell ref="E21:F21"/>
    <mergeCell ref="E18:J18"/>
    <mergeCell ref="B20:D21"/>
    <mergeCell ref="B17:D17"/>
    <mergeCell ref="G20:J20"/>
    <mergeCell ref="G17:J17"/>
    <mergeCell ref="B7:D7"/>
    <mergeCell ref="I7:J7"/>
    <mergeCell ref="I10:J10"/>
    <mergeCell ref="B13:D13"/>
    <mergeCell ref="B14:D14"/>
    <mergeCell ref="B15:D15"/>
    <mergeCell ref="B16:D16"/>
    <mergeCell ref="I9:J9"/>
    <mergeCell ref="I11:J11"/>
    <mergeCell ref="I12:J12"/>
    <mergeCell ref="I13:J13"/>
    <mergeCell ref="I14:J14"/>
    <mergeCell ref="I15:J1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التقييم'!$A$111:$A$173</xm:f>
          </x14:formula1>
          <xm:sqref>F11 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847D8320-9C69-426F-A487-DBA057646872}">
          <x14:formula1>
            <xm:f>'بيانات التقييم'!$A$111:$A$153</xm:f>
          </x14:formula1>
          <xm:sqref>F8:F10 F12:F14 F15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61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6" t="s">
        <v>62</v>
      </c>
    </row>
    <row r="3" spans="1:3" ht="20.100000000000001" customHeight="1" thickBot="1" x14ac:dyDescent="0.35">
      <c r="A3" s="2" t="s">
        <v>26</v>
      </c>
      <c r="C3" s="16" t="s">
        <v>63</v>
      </c>
    </row>
    <row r="4" spans="1:3" ht="20.100000000000001" customHeight="1" thickBot="1" x14ac:dyDescent="0.35">
      <c r="A4" s="2" t="s">
        <v>36</v>
      </c>
      <c r="C4" s="16" t="s">
        <v>64</v>
      </c>
    </row>
    <row r="5" spans="1:3" ht="20.100000000000001" customHeight="1" thickBot="1" x14ac:dyDescent="0.35">
      <c r="A5" s="2" t="s">
        <v>37</v>
      </c>
      <c r="C5" s="16" t="s">
        <v>65</v>
      </c>
    </row>
    <row r="6" spans="1:3" ht="20.100000000000001" customHeight="1" thickBot="1" x14ac:dyDescent="0.35">
      <c r="A6" s="2" t="s">
        <v>38</v>
      </c>
      <c r="C6" s="16" t="s">
        <v>66</v>
      </c>
    </row>
    <row r="7" spans="1:3" ht="20.100000000000001" customHeight="1" thickBot="1" x14ac:dyDescent="0.35">
      <c r="A7" s="2" t="s">
        <v>39</v>
      </c>
      <c r="C7" s="16" t="s">
        <v>67</v>
      </c>
    </row>
    <row r="8" spans="1:3" ht="20.100000000000001" customHeight="1" thickBot="1" x14ac:dyDescent="0.35">
      <c r="A8" s="2" t="s">
        <v>40</v>
      </c>
      <c r="C8" s="16" t="s">
        <v>68</v>
      </c>
    </row>
    <row r="9" spans="1:3" ht="20.100000000000001" customHeight="1" thickBot="1" x14ac:dyDescent="0.35">
      <c r="A9" s="2" t="s">
        <v>41</v>
      </c>
      <c r="C9" s="16" t="s">
        <v>69</v>
      </c>
    </row>
    <row r="10" spans="1:3" ht="20.100000000000001" customHeight="1" thickBot="1" x14ac:dyDescent="0.35">
      <c r="A10" s="2" t="s">
        <v>42</v>
      </c>
      <c r="C10" s="16" t="s">
        <v>70</v>
      </c>
    </row>
    <row r="11" spans="1:3" ht="20.100000000000001" customHeight="1" thickBot="1" x14ac:dyDescent="0.35">
      <c r="A11" s="2" t="s">
        <v>43</v>
      </c>
      <c r="C11" s="16" t="s">
        <v>71</v>
      </c>
    </row>
    <row r="12" spans="1:3" ht="20.100000000000001" customHeight="1" thickBot="1" x14ac:dyDescent="0.35">
      <c r="A12" s="2" t="s">
        <v>44</v>
      </c>
      <c r="C12" s="16" t="s">
        <v>72</v>
      </c>
    </row>
    <row r="13" spans="1:3" ht="20.100000000000001" customHeight="1" thickBot="1" x14ac:dyDescent="0.35">
      <c r="A13" s="2" t="s">
        <v>45</v>
      </c>
      <c r="C13" s="16" t="s">
        <v>73</v>
      </c>
    </row>
    <row r="14" spans="1:3" ht="20.100000000000001" customHeight="1" thickBot="1" x14ac:dyDescent="0.35">
      <c r="A14" s="2" t="s">
        <v>46</v>
      </c>
      <c r="C14" s="16" t="s">
        <v>74</v>
      </c>
    </row>
    <row r="15" spans="1:3" ht="20.100000000000001" customHeight="1" thickBot="1" x14ac:dyDescent="0.35">
      <c r="A15" s="2" t="s">
        <v>47</v>
      </c>
      <c r="C15" s="16" t="s">
        <v>75</v>
      </c>
    </row>
    <row r="16" spans="1:3" ht="20.100000000000001" customHeight="1" thickBot="1" x14ac:dyDescent="0.35">
      <c r="A16" s="2" t="s">
        <v>10</v>
      </c>
      <c r="C16" s="16" t="s">
        <v>76</v>
      </c>
    </row>
    <row r="17" spans="1:3" ht="20.100000000000001" customHeight="1" thickBot="1" x14ac:dyDescent="0.35">
      <c r="A17" s="2" t="s">
        <v>27</v>
      </c>
      <c r="C17" s="16" t="s">
        <v>77</v>
      </c>
    </row>
    <row r="18" spans="1:3" ht="20.100000000000001" customHeight="1" thickBot="1" x14ac:dyDescent="0.35">
      <c r="A18" s="2" t="s">
        <v>48</v>
      </c>
      <c r="C18" s="16" t="s">
        <v>78</v>
      </c>
    </row>
    <row r="19" spans="1:3" ht="20.100000000000001" customHeight="1" thickBot="1" x14ac:dyDescent="0.35">
      <c r="A19" s="2" t="s">
        <v>49</v>
      </c>
      <c r="C19" s="16" t="s">
        <v>79</v>
      </c>
    </row>
    <row r="20" spans="1:3" ht="20.100000000000001" customHeight="1" thickBot="1" x14ac:dyDescent="0.35">
      <c r="A20" s="2" t="s">
        <v>50</v>
      </c>
      <c r="C20" s="16" t="s">
        <v>80</v>
      </c>
    </row>
    <row r="21" spans="1:3" ht="20.100000000000001" customHeight="1" thickBot="1" x14ac:dyDescent="0.35">
      <c r="A21" s="2" t="s">
        <v>51</v>
      </c>
      <c r="C21" s="16" t="s">
        <v>81</v>
      </c>
    </row>
    <row r="22" spans="1:3" ht="20.100000000000001" customHeight="1" thickBot="1" x14ac:dyDescent="0.35">
      <c r="A22" s="2" t="s">
        <v>11</v>
      </c>
      <c r="C22" s="16" t="s">
        <v>82</v>
      </c>
    </row>
    <row r="23" spans="1:3" ht="20.100000000000001" customHeight="1" thickBot="1" x14ac:dyDescent="0.35">
      <c r="A23" s="2" t="s">
        <v>12</v>
      </c>
      <c r="C23" s="16" t="s">
        <v>83</v>
      </c>
    </row>
    <row r="24" spans="1:3" ht="20.100000000000001" customHeight="1" thickBot="1" x14ac:dyDescent="0.35">
      <c r="A24" s="2" t="s">
        <v>15</v>
      </c>
      <c r="C24" s="16" t="s">
        <v>84</v>
      </c>
    </row>
    <row r="25" spans="1:3" ht="20.100000000000001" customHeight="1" thickBot="1" x14ac:dyDescent="0.35">
      <c r="A25" s="2" t="s">
        <v>28</v>
      </c>
      <c r="C25" s="16" t="s">
        <v>85</v>
      </c>
    </row>
    <row r="26" spans="1:3" ht="20.100000000000001" customHeight="1" thickBot="1" x14ac:dyDescent="0.35">
      <c r="A26" s="2" t="s">
        <v>29</v>
      </c>
      <c r="C26" s="16" t="s">
        <v>86</v>
      </c>
    </row>
    <row r="27" spans="1:3" ht="20.100000000000001" customHeight="1" thickBot="1" x14ac:dyDescent="0.35">
      <c r="A27" s="2" t="s">
        <v>13</v>
      </c>
      <c r="C27" s="16" t="s">
        <v>87</v>
      </c>
    </row>
    <row r="28" spans="1:3" ht="20.100000000000001" customHeight="1" thickBot="1" x14ac:dyDescent="0.35">
      <c r="A28" s="2" t="s">
        <v>30</v>
      </c>
      <c r="C28" s="16" t="s">
        <v>88</v>
      </c>
    </row>
    <row r="29" spans="1:3" ht="20.100000000000001" customHeight="1" thickBot="1" x14ac:dyDescent="0.35">
      <c r="A29" s="2" t="s">
        <v>31</v>
      </c>
      <c r="C29" s="16" t="s">
        <v>177</v>
      </c>
    </row>
    <row r="30" spans="1:3" ht="20.100000000000001" customHeight="1" thickBot="1" x14ac:dyDescent="0.35">
      <c r="A30" s="2" t="s">
        <v>32</v>
      </c>
      <c r="C30" s="16" t="s">
        <v>178</v>
      </c>
    </row>
    <row r="31" spans="1:3" ht="20.100000000000001" customHeight="1" thickBot="1" x14ac:dyDescent="0.35">
      <c r="A31" s="2" t="s">
        <v>33</v>
      </c>
      <c r="C31" s="16" t="s">
        <v>179</v>
      </c>
    </row>
    <row r="32" spans="1:3" ht="20.100000000000001" customHeight="1" thickBot="1" x14ac:dyDescent="0.35">
      <c r="A32" s="2" t="s">
        <v>16</v>
      </c>
      <c r="C32" s="16"/>
    </row>
    <row r="33" spans="1:9" ht="20.100000000000001" customHeight="1" thickBot="1" x14ac:dyDescent="0.35">
      <c r="A33" s="2" t="s">
        <v>14</v>
      </c>
      <c r="C33" s="16"/>
    </row>
    <row r="34" spans="1:9" ht="20.100000000000001" customHeight="1" thickBot="1" x14ac:dyDescent="0.35">
      <c r="A34" s="2" t="s">
        <v>34</v>
      </c>
      <c r="C34" s="16"/>
    </row>
    <row r="35" spans="1:9" ht="20.100000000000001" customHeight="1" x14ac:dyDescent="0.3">
      <c r="A35" s="15"/>
    </row>
    <row r="36" spans="1:9" s="14" customFormat="1" ht="20.100000000000001" customHeight="1" x14ac:dyDescent="0.3">
      <c r="A36" s="12"/>
      <c r="B36" s="13"/>
      <c r="C36" s="13"/>
      <c r="D36" s="13"/>
      <c r="E36" s="13"/>
      <c r="F36" s="13"/>
      <c r="G36" s="13"/>
      <c r="H36" s="13"/>
      <c r="I36" s="13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0">
        <v>45931</v>
      </c>
    </row>
    <row r="40" spans="1:9" ht="20.100000000000001" customHeight="1" thickBot="1" x14ac:dyDescent="0.35">
      <c r="A40" s="10">
        <v>45932</v>
      </c>
    </row>
    <row r="41" spans="1:9" ht="20.100000000000001" customHeight="1" thickBot="1" x14ac:dyDescent="0.35">
      <c r="A41" s="10">
        <v>45933</v>
      </c>
    </row>
    <row r="42" spans="1:9" ht="20.100000000000001" customHeight="1" thickBot="1" x14ac:dyDescent="0.35">
      <c r="A42" s="10">
        <v>45934</v>
      </c>
    </row>
    <row r="43" spans="1:9" ht="20.100000000000001" customHeight="1" thickBot="1" x14ac:dyDescent="0.35">
      <c r="A43" s="10">
        <v>45935</v>
      </c>
    </row>
    <row r="44" spans="1:9" ht="20.100000000000001" customHeight="1" thickBot="1" x14ac:dyDescent="0.35">
      <c r="A44" s="10">
        <v>45936</v>
      </c>
    </row>
    <row r="45" spans="1:9" ht="20.100000000000001" customHeight="1" thickBot="1" x14ac:dyDescent="0.35">
      <c r="A45" s="10">
        <v>45937</v>
      </c>
    </row>
    <row r="46" spans="1:9" ht="20.100000000000001" customHeight="1" thickBot="1" x14ac:dyDescent="0.35">
      <c r="A46" s="10">
        <v>45938</v>
      </c>
    </row>
    <row r="47" spans="1:9" ht="20.100000000000001" customHeight="1" thickBot="1" x14ac:dyDescent="0.35">
      <c r="A47" s="10">
        <v>45939</v>
      </c>
    </row>
    <row r="48" spans="1:9" ht="20.100000000000001" customHeight="1" thickBot="1" x14ac:dyDescent="0.35">
      <c r="A48" s="10">
        <v>45940</v>
      </c>
    </row>
    <row r="49" spans="1:1" ht="20.100000000000001" customHeight="1" thickBot="1" x14ac:dyDescent="0.35">
      <c r="A49" s="10">
        <v>45941</v>
      </c>
    </row>
    <row r="50" spans="1:1" ht="20.100000000000001" customHeight="1" thickBot="1" x14ac:dyDescent="0.35">
      <c r="A50" s="10">
        <v>45942</v>
      </c>
    </row>
    <row r="51" spans="1:1" ht="20.100000000000001" customHeight="1" thickBot="1" x14ac:dyDescent="0.35">
      <c r="A51" s="10">
        <v>45943</v>
      </c>
    </row>
    <row r="52" spans="1:1" ht="20.100000000000001" customHeight="1" thickBot="1" x14ac:dyDescent="0.35">
      <c r="A52" s="10">
        <v>45944</v>
      </c>
    </row>
    <row r="53" spans="1:1" ht="20.100000000000001" customHeight="1" thickBot="1" x14ac:dyDescent="0.35">
      <c r="A53" s="10">
        <v>45945</v>
      </c>
    </row>
    <row r="54" spans="1:1" ht="20.100000000000001" customHeight="1" thickBot="1" x14ac:dyDescent="0.35">
      <c r="A54" s="10">
        <v>45946</v>
      </c>
    </row>
    <row r="55" spans="1:1" ht="20.100000000000001" customHeight="1" thickBot="1" x14ac:dyDescent="0.35">
      <c r="A55" s="10">
        <v>45947</v>
      </c>
    </row>
    <row r="56" spans="1:1" ht="20.100000000000001" customHeight="1" thickBot="1" x14ac:dyDescent="0.35">
      <c r="A56" s="10">
        <v>45948</v>
      </c>
    </row>
    <row r="57" spans="1:1" ht="20.100000000000001" customHeight="1" thickBot="1" x14ac:dyDescent="0.35">
      <c r="A57" s="10">
        <v>45949</v>
      </c>
    </row>
    <row r="58" spans="1:1" ht="20.100000000000001" customHeight="1" thickBot="1" x14ac:dyDescent="0.35">
      <c r="A58" s="10">
        <v>45950</v>
      </c>
    </row>
    <row r="59" spans="1:1" ht="20.100000000000001" customHeight="1" thickBot="1" x14ac:dyDescent="0.35">
      <c r="A59" s="10">
        <v>45951</v>
      </c>
    </row>
    <row r="60" spans="1:1" ht="20.100000000000001" customHeight="1" thickBot="1" x14ac:dyDescent="0.35">
      <c r="A60" s="10">
        <v>45952</v>
      </c>
    </row>
    <row r="61" spans="1:1" ht="20.100000000000001" customHeight="1" thickBot="1" x14ac:dyDescent="0.35">
      <c r="A61" s="10">
        <v>45953</v>
      </c>
    </row>
    <row r="62" spans="1:1" ht="20.100000000000001" customHeight="1" thickBot="1" x14ac:dyDescent="0.35">
      <c r="A62" s="10">
        <v>45954</v>
      </c>
    </row>
    <row r="63" spans="1:1" ht="20.100000000000001" customHeight="1" thickBot="1" x14ac:dyDescent="0.35">
      <c r="A63" s="10">
        <v>45955</v>
      </c>
    </row>
    <row r="64" spans="1:1" ht="20.100000000000001" customHeight="1" thickBot="1" x14ac:dyDescent="0.35">
      <c r="A64" s="10">
        <v>45956</v>
      </c>
    </row>
    <row r="65" spans="1:1" ht="20.100000000000001" customHeight="1" thickBot="1" x14ac:dyDescent="0.35">
      <c r="A65" s="10">
        <v>45957</v>
      </c>
    </row>
    <row r="66" spans="1:1" ht="20.100000000000001" customHeight="1" thickBot="1" x14ac:dyDescent="0.35">
      <c r="A66" s="10">
        <v>45958</v>
      </c>
    </row>
    <row r="67" spans="1:1" ht="20.100000000000001" customHeight="1" thickBot="1" x14ac:dyDescent="0.35">
      <c r="A67" s="10">
        <v>45959</v>
      </c>
    </row>
    <row r="68" spans="1:1" ht="20.100000000000001" customHeight="1" thickBot="1" x14ac:dyDescent="0.35">
      <c r="A68" s="10">
        <v>45960</v>
      </c>
    </row>
    <row r="69" spans="1:1" ht="20.100000000000001" customHeight="1" thickBot="1" x14ac:dyDescent="0.35">
      <c r="A69" s="10">
        <v>45961</v>
      </c>
    </row>
    <row r="70" spans="1:1" ht="20.100000000000001" customHeight="1" thickBot="1" x14ac:dyDescent="0.35">
      <c r="A70" s="10"/>
    </row>
    <row r="71" spans="1:1" ht="20.100000000000001" customHeight="1" thickBot="1" x14ac:dyDescent="0.35">
      <c r="A71" s="10"/>
    </row>
    <row r="72" spans="1:1" ht="20.100000000000001" customHeight="1" thickBot="1" x14ac:dyDescent="0.35">
      <c r="A72" s="10"/>
    </row>
    <row r="73" spans="1:1" ht="20.100000000000001" customHeight="1" thickBot="1" x14ac:dyDescent="0.35">
      <c r="A73" s="10"/>
    </row>
    <row r="74" spans="1:1" ht="20.100000000000001" customHeight="1" thickBot="1" x14ac:dyDescent="0.35">
      <c r="A74" s="10"/>
    </row>
    <row r="75" spans="1:1" ht="20.100000000000001" customHeight="1" thickBot="1" x14ac:dyDescent="0.35">
      <c r="A75" s="10"/>
    </row>
    <row r="76" spans="1:1" ht="20.100000000000001" customHeight="1" thickBot="1" x14ac:dyDescent="0.35">
      <c r="A76" s="10"/>
    </row>
    <row r="77" spans="1:1" ht="20.100000000000001" customHeight="1" thickBot="1" x14ac:dyDescent="0.35">
      <c r="A77" s="10"/>
    </row>
    <row r="78" spans="1:1" ht="20.100000000000001" customHeight="1" thickBot="1" x14ac:dyDescent="0.35">
      <c r="A78" s="10"/>
    </row>
    <row r="79" spans="1:1" ht="20.100000000000001" customHeight="1" thickBot="1" x14ac:dyDescent="0.35">
      <c r="A79" s="10"/>
    </row>
    <row r="80" spans="1:1" ht="20.100000000000001" customHeight="1" thickBot="1" x14ac:dyDescent="0.35">
      <c r="A80" s="10"/>
    </row>
    <row r="81" spans="1:1" ht="20.100000000000001" customHeight="1" thickBot="1" x14ac:dyDescent="0.35">
      <c r="A81" s="10"/>
    </row>
    <row r="82" spans="1:1" ht="20.100000000000001" customHeight="1" thickBot="1" x14ac:dyDescent="0.35">
      <c r="A82" s="10"/>
    </row>
    <row r="83" spans="1:1" ht="20.100000000000001" customHeight="1" thickBot="1" x14ac:dyDescent="0.35">
      <c r="A83" s="10"/>
    </row>
    <row r="84" spans="1:1" ht="20.100000000000001" customHeight="1" thickBot="1" x14ac:dyDescent="0.35">
      <c r="A84" s="10"/>
    </row>
    <row r="85" spans="1:1" ht="20.100000000000001" customHeight="1" thickBot="1" x14ac:dyDescent="0.35">
      <c r="A85" s="10"/>
    </row>
    <row r="86" spans="1:1" ht="20.100000000000001" customHeight="1" thickBot="1" x14ac:dyDescent="0.35">
      <c r="A86" s="10"/>
    </row>
    <row r="87" spans="1:1" ht="20.100000000000001" customHeight="1" thickBot="1" x14ac:dyDescent="0.35">
      <c r="A87" s="10"/>
    </row>
    <row r="88" spans="1:1" ht="20.100000000000001" customHeight="1" thickBot="1" x14ac:dyDescent="0.35">
      <c r="A88" s="10"/>
    </row>
    <row r="89" spans="1:1" ht="20.100000000000001" customHeight="1" thickBot="1" x14ac:dyDescent="0.35">
      <c r="A89" s="10"/>
    </row>
    <row r="90" spans="1:1" ht="20.100000000000001" customHeight="1" thickBot="1" x14ac:dyDescent="0.35">
      <c r="A90" s="10"/>
    </row>
    <row r="91" spans="1:1" ht="20.100000000000001" customHeight="1" thickBot="1" x14ac:dyDescent="0.35">
      <c r="A91" s="10"/>
    </row>
    <row r="92" spans="1:1" ht="20.100000000000001" customHeight="1" thickBot="1" x14ac:dyDescent="0.35">
      <c r="A92" s="10"/>
    </row>
    <row r="93" spans="1:1" ht="20.100000000000001" customHeight="1" thickBot="1" x14ac:dyDescent="0.35">
      <c r="A93" s="10"/>
    </row>
    <row r="94" spans="1:1" ht="20.100000000000001" customHeight="1" thickBot="1" x14ac:dyDescent="0.35">
      <c r="A94" s="10"/>
    </row>
    <row r="95" spans="1:1" ht="20.100000000000001" customHeight="1" thickBot="1" x14ac:dyDescent="0.35">
      <c r="A95" s="10"/>
    </row>
    <row r="96" spans="1:1" ht="20.100000000000001" customHeight="1" thickBot="1" x14ac:dyDescent="0.35">
      <c r="A96" s="10"/>
    </row>
    <row r="97" spans="1:9" ht="20.100000000000001" customHeight="1" thickBot="1" x14ac:dyDescent="0.35">
      <c r="A97" s="10"/>
    </row>
    <row r="98" spans="1:9" ht="20.100000000000001" customHeight="1" thickBot="1" x14ac:dyDescent="0.35">
      <c r="A98" s="10"/>
    </row>
    <row r="99" spans="1:9" ht="20.100000000000001" customHeight="1" thickBot="1" x14ac:dyDescent="0.35">
      <c r="A99" s="10"/>
    </row>
    <row r="100" spans="1:9" ht="20.100000000000001" customHeight="1" thickBot="1" x14ac:dyDescent="0.35">
      <c r="A100" s="10"/>
    </row>
    <row r="101" spans="1:9" ht="20.100000000000001" customHeight="1" thickBot="1" x14ac:dyDescent="0.35">
      <c r="A101" s="10"/>
    </row>
    <row r="102" spans="1:9" ht="20.100000000000001" customHeight="1" thickBot="1" x14ac:dyDescent="0.35">
      <c r="A102" s="10"/>
    </row>
    <row r="103" spans="1:9" ht="20.100000000000001" customHeight="1" thickBot="1" x14ac:dyDescent="0.35">
      <c r="A103" s="10"/>
    </row>
    <row r="104" spans="1:9" ht="20.100000000000001" customHeight="1" thickBot="1" x14ac:dyDescent="0.35">
      <c r="A104" s="10"/>
    </row>
    <row r="105" spans="1:9" ht="20.100000000000001" customHeight="1" thickBot="1" x14ac:dyDescent="0.35">
      <c r="A105" s="10"/>
    </row>
    <row r="106" spans="1:9" ht="20.100000000000001" customHeight="1" thickBot="1" x14ac:dyDescent="0.35">
      <c r="A106" s="10"/>
    </row>
    <row r="107" spans="1:9" ht="20.100000000000001" customHeight="1" x14ac:dyDescent="0.3">
      <c r="A107" s="11"/>
    </row>
    <row r="108" spans="1:9" ht="20.100000000000001" customHeight="1" x14ac:dyDescent="0.3">
      <c r="A108" s="11"/>
    </row>
    <row r="109" spans="1:9" s="14" customFormat="1" ht="20.100000000000001" customHeight="1" x14ac:dyDescent="0.3">
      <c r="A109" s="12"/>
      <c r="B109" s="13"/>
      <c r="C109" s="13"/>
      <c r="D109" s="13"/>
      <c r="E109" s="13"/>
      <c r="F109" s="13"/>
      <c r="G109" s="13"/>
      <c r="H109" s="13"/>
      <c r="I109" s="13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7" t="s">
        <v>89</v>
      </c>
    </row>
    <row r="200" spans="1:1" ht="20.100000000000001" customHeight="1" x14ac:dyDescent="0.3">
      <c r="A200" s="17" t="s">
        <v>90</v>
      </c>
    </row>
    <row r="201" spans="1:1" ht="20.100000000000001" customHeight="1" x14ac:dyDescent="0.3">
      <c r="A201" s="17" t="s">
        <v>91</v>
      </c>
    </row>
    <row r="202" spans="1:1" ht="20.100000000000001" customHeight="1" x14ac:dyDescent="0.3">
      <c r="A202" s="17" t="s">
        <v>92</v>
      </c>
    </row>
    <row r="203" spans="1:1" ht="20.100000000000001" customHeight="1" x14ac:dyDescent="0.3">
      <c r="A203" s="17" t="s">
        <v>93</v>
      </c>
    </row>
    <row r="204" spans="1:1" ht="20.100000000000001" customHeight="1" x14ac:dyDescent="0.3">
      <c r="A204" s="17" t="s">
        <v>94</v>
      </c>
    </row>
    <row r="205" spans="1:1" ht="20.100000000000001" customHeight="1" x14ac:dyDescent="0.3">
      <c r="A205" s="17" t="s">
        <v>95</v>
      </c>
    </row>
    <row r="206" spans="1:1" ht="20.100000000000001" customHeight="1" x14ac:dyDescent="0.3">
      <c r="A206" s="17" t="s">
        <v>96</v>
      </c>
    </row>
    <row r="207" spans="1:1" ht="20.100000000000001" customHeight="1" x14ac:dyDescent="0.3">
      <c r="A207" s="17" t="s">
        <v>97</v>
      </c>
    </row>
    <row r="208" spans="1:1" ht="20.100000000000001" customHeight="1" x14ac:dyDescent="0.3">
      <c r="A208" s="18" t="s">
        <v>98</v>
      </c>
    </row>
    <row r="209" spans="1:1" ht="20.100000000000001" customHeight="1" x14ac:dyDescent="0.3">
      <c r="A209" s="18" t="s">
        <v>99</v>
      </c>
    </row>
    <row r="210" spans="1:1" ht="20.100000000000001" customHeight="1" x14ac:dyDescent="0.3">
      <c r="A210" s="17" t="s">
        <v>100</v>
      </c>
    </row>
    <row r="211" spans="1:1" ht="20.100000000000001" customHeight="1" x14ac:dyDescent="0.3">
      <c r="A211" s="17" t="s">
        <v>101</v>
      </c>
    </row>
    <row r="212" spans="1:1" ht="20.100000000000001" customHeight="1" x14ac:dyDescent="0.3">
      <c r="A212" s="17" t="s">
        <v>175</v>
      </c>
    </row>
    <row r="213" spans="1:1" ht="20.100000000000001" customHeight="1" x14ac:dyDescent="0.3">
      <c r="A213" s="17" t="s">
        <v>102</v>
      </c>
    </row>
    <row r="214" spans="1:1" ht="20.100000000000001" customHeight="1" x14ac:dyDescent="0.3">
      <c r="A214" s="17" t="s">
        <v>103</v>
      </c>
    </row>
    <row r="215" spans="1:1" ht="20.100000000000001" customHeight="1" x14ac:dyDescent="0.3">
      <c r="A215" s="17" t="s">
        <v>104</v>
      </c>
    </row>
    <row r="216" spans="1:1" ht="20.100000000000001" customHeight="1" x14ac:dyDescent="0.3">
      <c r="A216" s="17" t="s">
        <v>105</v>
      </c>
    </row>
    <row r="217" spans="1:1" ht="20.100000000000001" customHeight="1" x14ac:dyDescent="0.3">
      <c r="A217" s="17" t="s">
        <v>106</v>
      </c>
    </row>
    <row r="218" spans="1:1" ht="20.100000000000001" customHeight="1" x14ac:dyDescent="0.3">
      <c r="A218" s="17" t="s">
        <v>107</v>
      </c>
    </row>
    <row r="219" spans="1:1" ht="20.100000000000001" customHeight="1" x14ac:dyDescent="0.3">
      <c r="A219" s="17" t="s">
        <v>108</v>
      </c>
    </row>
    <row r="220" spans="1:1" ht="20.100000000000001" customHeight="1" x14ac:dyDescent="0.3">
      <c r="A220" s="17" t="s">
        <v>109</v>
      </c>
    </row>
    <row r="221" spans="1:1" ht="20.100000000000001" customHeight="1" x14ac:dyDescent="0.3">
      <c r="A221" s="17" t="s">
        <v>110</v>
      </c>
    </row>
    <row r="222" spans="1:1" ht="20.100000000000001" customHeight="1" x14ac:dyDescent="0.3">
      <c r="A222" s="17" t="s">
        <v>111</v>
      </c>
    </row>
    <row r="223" spans="1:1" ht="20.100000000000001" customHeight="1" x14ac:dyDescent="0.3">
      <c r="A223" s="17" t="s">
        <v>112</v>
      </c>
    </row>
    <row r="224" spans="1:1" ht="20.100000000000001" customHeight="1" x14ac:dyDescent="0.3">
      <c r="A224" s="17" t="s">
        <v>176</v>
      </c>
    </row>
    <row r="225" spans="1:1" ht="20.100000000000001" customHeight="1" x14ac:dyDescent="0.3">
      <c r="A225" s="17" t="s">
        <v>113</v>
      </c>
    </row>
    <row r="226" spans="1:1" ht="20.100000000000001" customHeight="1" x14ac:dyDescent="0.3">
      <c r="A226" s="17" t="s">
        <v>114</v>
      </c>
    </row>
    <row r="227" spans="1:1" ht="20.100000000000001" customHeight="1" x14ac:dyDescent="0.3">
      <c r="A227" s="17" t="s">
        <v>115</v>
      </c>
    </row>
    <row r="228" spans="1:1" ht="20.100000000000001" customHeight="1" x14ac:dyDescent="0.3">
      <c r="A228" s="17" t="s">
        <v>116</v>
      </c>
    </row>
    <row r="229" spans="1:1" ht="20.100000000000001" customHeight="1" x14ac:dyDescent="0.3">
      <c r="A229" s="17" t="s">
        <v>117</v>
      </c>
    </row>
    <row r="230" spans="1:1" ht="20.100000000000001" customHeight="1" x14ac:dyDescent="0.3">
      <c r="A230" s="17" t="s">
        <v>118</v>
      </c>
    </row>
    <row r="231" spans="1:1" ht="20.100000000000001" customHeight="1" x14ac:dyDescent="0.3">
      <c r="A231" s="17" t="s">
        <v>119</v>
      </c>
    </row>
    <row r="232" spans="1:1" ht="20.100000000000001" customHeight="1" x14ac:dyDescent="0.3">
      <c r="A232" s="17" t="s">
        <v>120</v>
      </c>
    </row>
    <row r="233" spans="1:1" ht="20.100000000000001" customHeight="1" x14ac:dyDescent="0.3">
      <c r="A233" s="17" t="s">
        <v>121</v>
      </c>
    </row>
    <row r="234" spans="1:1" ht="20.100000000000001" customHeight="1" x14ac:dyDescent="0.3">
      <c r="A234" s="17" t="s">
        <v>122</v>
      </c>
    </row>
    <row r="235" spans="1:1" ht="20.100000000000001" customHeight="1" x14ac:dyDescent="0.3">
      <c r="A235" s="17" t="s">
        <v>123</v>
      </c>
    </row>
    <row r="236" spans="1:1" ht="20.100000000000001" customHeight="1" x14ac:dyDescent="0.3">
      <c r="A236" s="19" t="s">
        <v>124</v>
      </c>
    </row>
    <row r="237" spans="1:1" ht="20.100000000000001" customHeight="1" x14ac:dyDescent="0.3">
      <c r="A237" s="17" t="s">
        <v>125</v>
      </c>
    </row>
    <row r="238" spans="1:1" ht="20.100000000000001" customHeight="1" x14ac:dyDescent="0.3">
      <c r="A238" s="17" t="s">
        <v>126</v>
      </c>
    </row>
    <row r="239" spans="1:1" ht="20.100000000000001" customHeight="1" x14ac:dyDescent="0.3">
      <c r="A239" s="17" t="s">
        <v>127</v>
      </c>
    </row>
    <row r="240" spans="1:1" ht="20.100000000000001" customHeight="1" x14ac:dyDescent="0.3">
      <c r="A240" s="17" t="s">
        <v>128</v>
      </c>
    </row>
    <row r="241" spans="1:1" ht="20.100000000000001" customHeight="1" x14ac:dyDescent="0.3">
      <c r="A241" s="17" t="s">
        <v>129</v>
      </c>
    </row>
    <row r="242" spans="1:1" ht="20.100000000000001" customHeight="1" x14ac:dyDescent="0.3">
      <c r="A242" s="17" t="s">
        <v>130</v>
      </c>
    </row>
    <row r="243" spans="1:1" ht="20.100000000000001" customHeight="1" x14ac:dyDescent="0.3">
      <c r="A243" s="17" t="s">
        <v>131</v>
      </c>
    </row>
    <row r="244" spans="1:1" ht="20.100000000000001" customHeight="1" x14ac:dyDescent="0.3">
      <c r="A244" s="17" t="s">
        <v>132</v>
      </c>
    </row>
    <row r="245" spans="1:1" ht="20.100000000000001" customHeight="1" x14ac:dyDescent="0.3">
      <c r="A245" s="17" t="s">
        <v>133</v>
      </c>
    </row>
    <row r="246" spans="1:1" ht="20.100000000000001" customHeight="1" x14ac:dyDescent="0.3">
      <c r="A246" s="17" t="s">
        <v>134</v>
      </c>
    </row>
    <row r="247" spans="1:1" ht="20.100000000000001" customHeight="1" x14ac:dyDescent="0.3">
      <c r="A247" s="17" t="s">
        <v>135</v>
      </c>
    </row>
    <row r="248" spans="1:1" ht="20.100000000000001" customHeight="1" x14ac:dyDescent="0.3">
      <c r="A248" s="17" t="s">
        <v>126</v>
      </c>
    </row>
    <row r="249" spans="1:1" ht="20.100000000000001" customHeight="1" x14ac:dyDescent="0.3">
      <c r="A249" s="17" t="s">
        <v>136</v>
      </c>
    </row>
    <row r="250" spans="1:1" ht="20.100000000000001" customHeight="1" x14ac:dyDescent="0.3">
      <c r="A250" s="17" t="s">
        <v>137</v>
      </c>
    </row>
    <row r="251" spans="1:1" ht="20.100000000000001" customHeight="1" x14ac:dyDescent="0.3">
      <c r="A251" s="19" t="s">
        <v>138</v>
      </c>
    </row>
    <row r="252" spans="1:1" ht="20.100000000000001" customHeight="1" x14ac:dyDescent="0.3">
      <c r="A252" s="20" t="s">
        <v>139</v>
      </c>
    </row>
    <row r="253" spans="1:1" ht="20.100000000000001" customHeight="1" x14ac:dyDescent="0.3">
      <c r="A253" s="17" t="s">
        <v>140</v>
      </c>
    </row>
    <row r="254" spans="1:1" ht="20.100000000000001" customHeight="1" x14ac:dyDescent="0.3">
      <c r="A254" s="17" t="s">
        <v>141</v>
      </c>
    </row>
    <row r="255" spans="1:1" ht="20.100000000000001" customHeight="1" x14ac:dyDescent="0.3">
      <c r="A255" s="21" t="s">
        <v>142</v>
      </c>
    </row>
    <row r="256" spans="1:1" ht="20.100000000000001" customHeight="1" x14ac:dyDescent="0.3">
      <c r="A256" s="21" t="s">
        <v>143</v>
      </c>
    </row>
    <row r="257" spans="1:1" ht="20.100000000000001" customHeight="1" x14ac:dyDescent="0.3">
      <c r="A257" s="22" t="s">
        <v>144</v>
      </c>
    </row>
    <row r="258" spans="1:1" ht="20.100000000000001" customHeight="1" x14ac:dyDescent="0.3">
      <c r="A258" s="17" t="s">
        <v>145</v>
      </c>
    </row>
    <row r="259" spans="1:1" ht="20.100000000000001" customHeight="1" x14ac:dyDescent="0.3">
      <c r="A259" s="22" t="s">
        <v>146</v>
      </c>
    </row>
    <row r="260" spans="1:1" ht="20.100000000000001" customHeight="1" x14ac:dyDescent="0.3">
      <c r="A260" s="17" t="s">
        <v>147</v>
      </c>
    </row>
    <row r="261" spans="1:1" ht="20.100000000000001" customHeight="1" x14ac:dyDescent="0.3">
      <c r="A261" s="22" t="s">
        <v>148</v>
      </c>
    </row>
    <row r="262" spans="1:1" ht="20.100000000000001" customHeight="1" x14ac:dyDescent="0.3">
      <c r="A262" s="17" t="s">
        <v>149</v>
      </c>
    </row>
    <row r="263" spans="1:1" ht="20.100000000000001" customHeight="1" x14ac:dyDescent="0.3">
      <c r="A263" s="17" t="s">
        <v>150</v>
      </c>
    </row>
    <row r="264" spans="1:1" ht="20.100000000000001" customHeight="1" x14ac:dyDescent="0.3">
      <c r="A264" s="22" t="s">
        <v>151</v>
      </c>
    </row>
    <row r="265" spans="1:1" ht="20.100000000000001" customHeight="1" x14ac:dyDescent="0.3">
      <c r="A265" s="22" t="s">
        <v>152</v>
      </c>
    </row>
    <row r="266" spans="1:1" ht="20.100000000000001" customHeight="1" x14ac:dyDescent="0.3">
      <c r="A266" s="22" t="s">
        <v>153</v>
      </c>
    </row>
    <row r="267" spans="1:1" ht="20.100000000000001" customHeight="1" x14ac:dyDescent="0.3">
      <c r="A267" s="17" t="s">
        <v>154</v>
      </c>
    </row>
    <row r="268" spans="1:1" ht="20.100000000000001" customHeight="1" x14ac:dyDescent="0.3">
      <c r="A268" s="17" t="s">
        <v>155</v>
      </c>
    </row>
    <row r="269" spans="1:1" ht="20.100000000000001" customHeight="1" x14ac:dyDescent="0.3">
      <c r="A269" s="17" t="s">
        <v>156</v>
      </c>
    </row>
    <row r="270" spans="1:1" ht="20.100000000000001" customHeight="1" x14ac:dyDescent="0.3">
      <c r="A270" s="17" t="s">
        <v>157</v>
      </c>
    </row>
    <row r="271" spans="1:1" ht="20.100000000000001" customHeight="1" x14ac:dyDescent="0.3">
      <c r="A271" s="22" t="s">
        <v>158</v>
      </c>
    </row>
    <row r="272" spans="1:1" ht="20.100000000000001" customHeight="1" x14ac:dyDescent="0.3">
      <c r="A272" s="22" t="s">
        <v>159</v>
      </c>
    </row>
    <row r="273" spans="1:1" ht="20.100000000000001" customHeight="1" x14ac:dyDescent="0.3">
      <c r="A273" s="17" t="s">
        <v>160</v>
      </c>
    </row>
    <row r="274" spans="1:1" ht="20.100000000000001" customHeight="1" x14ac:dyDescent="0.3">
      <c r="A274" s="22" t="s">
        <v>161</v>
      </c>
    </row>
    <row r="275" spans="1:1" ht="20.100000000000001" customHeight="1" x14ac:dyDescent="0.3">
      <c r="A275" s="22" t="s">
        <v>162</v>
      </c>
    </row>
    <row r="276" spans="1:1" ht="20.100000000000001" customHeight="1" x14ac:dyDescent="0.3">
      <c r="A276" s="17" t="s">
        <v>163</v>
      </c>
    </row>
    <row r="277" spans="1:1" ht="20.100000000000001" customHeight="1" x14ac:dyDescent="0.3">
      <c r="A277" s="17" t="s">
        <v>164</v>
      </c>
    </row>
    <row r="278" spans="1:1" ht="20.100000000000001" customHeight="1" x14ac:dyDescent="0.3">
      <c r="A278" s="22" t="s">
        <v>165</v>
      </c>
    </row>
    <row r="279" spans="1:1" ht="20.100000000000001" customHeight="1" x14ac:dyDescent="0.3">
      <c r="A279" s="17" t="s">
        <v>166</v>
      </c>
    </row>
    <row r="280" spans="1:1" ht="20.100000000000001" customHeight="1" x14ac:dyDescent="0.3">
      <c r="A280" s="17" t="s">
        <v>167</v>
      </c>
    </row>
    <row r="281" spans="1:1" ht="20.100000000000001" customHeight="1" x14ac:dyDescent="0.3">
      <c r="A281" s="17" t="s">
        <v>168</v>
      </c>
    </row>
    <row r="282" spans="1:1" ht="20.100000000000001" customHeight="1" x14ac:dyDescent="0.3">
      <c r="A282" s="17" t="s">
        <v>169</v>
      </c>
    </row>
    <row r="283" spans="1:1" ht="20.100000000000001" customHeight="1" x14ac:dyDescent="0.3">
      <c r="A283" s="22" t="s">
        <v>170</v>
      </c>
    </row>
    <row r="284" spans="1:1" ht="20.100000000000001" customHeight="1" x14ac:dyDescent="0.3">
      <c r="A284" s="22" t="s">
        <v>171</v>
      </c>
    </row>
    <row r="285" spans="1:1" ht="20.100000000000001" customHeight="1" x14ac:dyDescent="0.3">
      <c r="A285" s="22" t="s">
        <v>172</v>
      </c>
    </row>
    <row r="286" spans="1:1" ht="20.100000000000001" customHeight="1" thickBot="1" x14ac:dyDescent="0.35">
      <c r="A286" s="17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2025-10-23T15:04:04Z</dcterms:modified>
</cp:coreProperties>
</file>