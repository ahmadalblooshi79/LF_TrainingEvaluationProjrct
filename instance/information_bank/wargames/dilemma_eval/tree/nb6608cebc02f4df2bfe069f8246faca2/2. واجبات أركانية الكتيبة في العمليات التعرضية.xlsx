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 filterPrivacy="1" codeName="ThisWorkbook"/>
  <xr:revisionPtr revIDLastSave="0" documentId="13_ncr:1_{0CC4F206-6CF6-4341-A1F1-5FDB90E9AE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G11" i="2"/>
  <c r="G12" i="2"/>
  <c r="H12" i="2"/>
  <c r="G13" i="2"/>
  <c r="G14" i="2"/>
  <c r="G15" i="2"/>
  <c r="G16" i="2"/>
  <c r="G17" i="2"/>
  <c r="H17" i="2"/>
  <c r="G18" i="2"/>
  <c r="G20" i="2"/>
  <c r="G21" i="2"/>
  <c r="G23" i="2"/>
  <c r="G24" i="2"/>
  <c r="H24" i="2"/>
  <c r="G25" i="2"/>
  <c r="H25" i="2"/>
  <c r="G26" i="2"/>
  <c r="G27" i="2"/>
  <c r="G28" i="2"/>
  <c r="H28" i="2"/>
  <c r="G29" i="2"/>
  <c r="G30" i="2"/>
  <c r="G31" i="2"/>
  <c r="G32" i="2"/>
  <c r="H32" i="2"/>
  <c r="G33" i="2"/>
  <c r="H33" i="2"/>
  <c r="G34" i="2"/>
  <c r="G35" i="2"/>
  <c r="G36" i="2"/>
  <c r="H36" i="2"/>
  <c r="G38" i="2"/>
  <c r="H38" i="2"/>
  <c r="G39" i="2"/>
  <c r="G40" i="2"/>
  <c r="H40" i="2"/>
  <c r="G41" i="2"/>
  <c r="H41" i="2"/>
  <c r="G42" i="2"/>
  <c r="G43" i="2"/>
  <c r="H10" i="2"/>
  <c r="H14" i="2"/>
  <c r="H16" i="2"/>
  <c r="H18" i="2"/>
  <c r="H20" i="2"/>
  <c r="H26" i="2"/>
  <c r="H30" i="2"/>
  <c r="H34" i="2"/>
  <c r="H42" i="2"/>
  <c r="H11" i="2"/>
  <c r="H13" i="2"/>
  <c r="H15" i="2"/>
  <c r="H21" i="2"/>
  <c r="H23" i="2"/>
  <c r="H27" i="2"/>
  <c r="H29" i="2"/>
  <c r="H31" i="2"/>
  <c r="H35" i="2"/>
  <c r="H39" i="2"/>
  <c r="H43" i="2"/>
  <c r="F44" i="2"/>
  <c r="E44" i="2"/>
  <c r="E45" i="2"/>
  <c r="E46" i="2"/>
</calcChain>
</file>

<file path=xl/sharedStrings.xml><?xml version="1.0" encoding="utf-8"?>
<sst xmlns="http://schemas.openxmlformats.org/spreadsheetml/2006/main" count="274" uniqueCount="217">
  <si>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</si>
  <si>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</si>
  <si>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</si>
  <si>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</si>
  <si>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</si>
  <si>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</si>
  <si>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</si>
  <si>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</si>
  <si>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</si>
  <si>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</si>
  <si>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</si>
  <si>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</si>
  <si>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</si>
  <si>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</si>
  <si>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</si>
  <si>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</si>
  <si>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</si>
  <si>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</si>
  <si>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</si>
  <si>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</si>
  <si>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</si>
  <si>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</si>
  <si>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</si>
  <si>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</si>
  <si>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</si>
  <si>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</si>
  <si>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</si>
  <si>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</si>
  <si>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</si>
  <si>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</si>
  <si>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</si>
  <si>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</si>
  <si>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</si>
  <si>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</si>
  <si>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</si>
  <si>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</si>
  <si>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</si>
  <si>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</si>
  <si>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</si>
  <si>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</si>
  <si>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</si>
  <si>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</si>
  <si>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</si>
  <si>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</si>
  <si>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</si>
  <si>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</si>
  <si>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</si>
  <si>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</si>
  <si>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</si>
  <si>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</si>
  <si>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</si>
  <si>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</si>
  <si>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</si>
  <si>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</si>
  <si>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</si>
  <si>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</si>
  <si>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</si>
  <si>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</si>
  <si>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</si>
  <si>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</si>
  <si>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</si>
  <si>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</si>
  <si>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</si>
  <si>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</si>
  <si>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</si>
  <si>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</si>
  <si>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</si>
  <si>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</si>
  <si>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</si>
  <si>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</si>
  <si>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</si>
  <si>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</si>
  <si>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</si>
  <si>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</si>
  <si>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</si>
  <si>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</si>
  <si>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</si>
  <si>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</si>
  <si>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</si>
  <si>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</si>
  <si>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</si>
  <si>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</si>
  <si>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</si>
  <si>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</si>
  <si>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</si>
  <si>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</si>
  <si>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</si>
  <si>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</si>
  <si>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</si>
  <si>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</si>
  <si>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</si>
  <si>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</si>
  <si>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</si>
  <si>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</si>
  <si>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</si>
  <si>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</si>
  <si>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</si>
  <si>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</si>
  <si>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</si>
  <si>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</si>
  <si>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</si>
  <si>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</si>
  <si>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</si>
  <si>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</si>
  <si>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</si>
  <si>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</si>
  <si>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</si>
  <si>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</si>
  <si>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</si>
  <si>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</si>
  <si>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</si>
  <si>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</si>
  <si>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</si>
  <si>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</si>
  <si>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</si>
  <si>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</si>
  <si>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</si>
  <si>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</si>
  <si>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</si>
  <si>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</si>
  <si>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</si>
  <si>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</si>
  <si>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</si>
  <si>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</si>
  <si>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</si>
  <si>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</si>
  <si>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</si>
  <si>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</si>
  <si>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</si>
  <si>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</si>
  <si>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</si>
  <si>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</si>
  <si>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</si>
  <si>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</si>
  <si>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</si>
  <si>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</si>
  <si>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</si>
  <si>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</si>
  <si>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</si>
  <si>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</si>
  <si>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</si>
  <si>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</si>
  <si>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</si>
  <si>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</si>
  <si>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</si>
  <si>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</si>
  <si>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</si>
  <si>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</si>
  <si>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</si>
  <si>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</si>
  <si>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</si>
  <si>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</si>
  <si>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</si>
  <si>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</si>
  <si>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</si>
  <si>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</si>
  <si>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</si>
  <si>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</si>
  <si>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</si>
  <si>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</si>
  <si>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</si>
  <si>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</si>
  <si>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</si>
  <si>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</si>
  <si>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</si>
  <si>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</si>
  <si>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</si>
  <si>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</si>
  <si>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</si>
  <si>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</si>
  <si>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</si>
  <si>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</si>
  <si>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</si>
  <si>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</si>
  <si>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</si>
  <si>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</si>
  <si>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</si>
  <si>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</si>
  <si>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</si>
  <si>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</si>
  <si>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واجبات قائد كتيبة الإسناد الإداري في العمليات التعرضية</t>
    </r>
    <r>
      <rPr>
        <b/>
        <sz val="12"/>
        <color rgb="FF000000"/>
        <rFont val="Arial"/>
        <family val="2"/>
      </rPr>
      <t>.</t>
    </r>
  </si>
  <si>
    <r>
      <t xml:space="preserve">أ. </t>
    </r>
    <r>
      <rPr>
        <sz val="12"/>
        <color rgb="FF000000"/>
        <rFont val="Arial"/>
        <family val="2"/>
      </rPr>
      <t>قيادة الكتيبة لإتمام الواجبات المخصصة</t>
    </r>
    <r>
      <rPr>
        <sz val="12"/>
        <color theme="1"/>
        <rFont val="Arial"/>
        <family val="2"/>
      </rPr>
      <t xml:space="preserve">. </t>
    </r>
  </si>
  <si>
    <r>
      <t xml:space="preserve">ب. </t>
    </r>
    <r>
      <rPr>
        <sz val="12"/>
        <color rgb="FF000000"/>
        <rFont val="Arial"/>
        <family val="2"/>
      </rPr>
      <t>التأكد من أن مجموعة اللواء مُسندة إدارياً.</t>
    </r>
  </si>
  <si>
    <t>جـ. تقديم التوصيات لقائد مجموعة اللواء.</t>
  </si>
  <si>
    <t>د. التأكد من أن موقف الوحدة قد تم رفعه لمجموعة اللواء بشكل دقيق.</t>
  </si>
  <si>
    <t>هـ. قيادة كافة الوحدات العضوية والملحقة والوحدات تحت السيطرة العملياتية.</t>
  </si>
  <si>
    <t>و. قيادة المنطقة الإدارية والمنطقة الخلفية لمجموعة اللواء.</t>
  </si>
  <si>
    <t>ز. تخطيط وتنسيق وتوجيه كافة إمدادات الإسناد المباشر لمجموعة اللواء.</t>
  </si>
  <si>
    <t>ح. مراقبة أداء المهام الأخرى وكما تم التوجيه بذلك من قبل القيادة الأعلى.</t>
  </si>
  <si>
    <t>ط. توضيع جميع الوحدات في المنطقة الإدارية بشكل يوفر الإسناد المتبادل بينها، سواء تم توضيعها في منطقة دفاعية واحدة/ متعددة.</t>
  </si>
  <si>
    <t>ي. تأمين وتنسيق السيطرة على الأضرار في المنطقة.</t>
  </si>
  <si>
    <t>2. واجبات ركن الإمداد في كتيبة الإسناد الإداري في العمليات التعرضية.</t>
  </si>
  <si>
    <t xml:space="preserve">أ. تنسيق الحركات الإدارية للتشكيل. </t>
  </si>
  <si>
    <t>ب. توفير الخدمات الميدانية وغيرها من الخدمات.</t>
  </si>
  <si>
    <t xml:space="preserve">جـ. وضع السياسات والخطط والإجراءات والبرامج الخاصة بـما يلي: </t>
  </si>
  <si>
    <t>(1)  إدارة واستخدام التزويد والصيانة.</t>
  </si>
  <si>
    <t>(2)  تأسيس وصيانة مستويات التموين وقوائم المخزون بما يتماشى مع السياسات الموضوعة من القيادة الأعلى.</t>
  </si>
  <si>
    <t>د. تحديد متطلبات الصيانة والتموين.</t>
  </si>
  <si>
    <t>هـ. وضع السياسات والإجراءات الخاصة للمواد الحرجة (تحت المراقبة).</t>
  </si>
  <si>
    <t>و. الإشراف على عمليات التزويد والصيانة في كتيبة الإسناد.</t>
  </si>
  <si>
    <t>ز. إعادة توزيع موارد التزويد والصيانة ضمن كتيبة الإسناد.</t>
  </si>
  <si>
    <t>ح. التأكد من أن برامج الصيانة المطبقة تدعم احتياجات المهمة.</t>
  </si>
  <si>
    <t>ط. تقييم فعالية وكفاءة إدارة عمليات التزويد والصيانة.</t>
  </si>
  <si>
    <t>ي. تأسيس معايير التفتيش على التزويد والصيانة.</t>
  </si>
  <si>
    <t>ك. وضع وتطوير سياسات وخطط وبرامج التزويد والصيانة (باستثناء المعدات الطبية).</t>
  </si>
  <si>
    <t>ل. تقديم المشورة لقائد كتيبة الإسناد وهيئة ركنه ومساعدة قادة الوحدات المُسندة والمرؤوسة في أمور التزويد والصيانة.</t>
  </si>
  <si>
    <t>3. واجبات ركن الإدارة في كتيبة الإسناد الإداري في العمليات التعرضية.</t>
  </si>
  <si>
    <t xml:space="preserve">أ. تقديم المشورة لقائد المنطقة الإدارية حول الأمور الإدارية والأفراد. </t>
  </si>
  <si>
    <t xml:space="preserve">ب. تنسيق الأعمال بخصوص إسناد خدمات الأفراد من حيث حصر القوة والإبلاغ عن الإصابات والقيام بعمليات التعويض لمجموعة اللواء. </t>
  </si>
  <si>
    <t xml:space="preserve">جـ. إعداد وتطوير الإجراءات الإدارية للوحدة. </t>
  </si>
  <si>
    <t xml:space="preserve">د. التنسيق مع ركن الإمداد. </t>
  </si>
  <si>
    <t>هـ. إعداد معلومات ملحق شؤون الأفراد المتعلقة بأوامر الوحدة.</t>
  </si>
  <si>
    <t>و. متابعة معلومات الإسناد الطبي والوفيات والنقل وأسرى الحرب بعناية.</t>
  </si>
  <si>
    <r>
      <rPr>
        <b/>
        <sz val="14"/>
        <color rgb="FF000000"/>
        <rFont val="Arial"/>
        <family val="2"/>
      </rPr>
      <t>تقييم واجبات أركانية كتيبة الإسناد الإداري في العمليات التعرضية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</si>
  <si>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أ أ.  المحافظة على اتصال دائم بالوحدات المسانِدة والمُسندة.</t>
  </si>
  <si>
    <t>ب ب.  وضع تقديرات الإمداد ودراسة الاحتياجات.</t>
  </si>
  <si>
    <t>جـ جـ.  القيام بدور الضابط المسؤول عن جاهزية المواد في كتيبة الإسناد، ومراقبة معدلات الجاهزية العملياتية للمعدات ضمن القيادة.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</si>
</sst>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4" fillId="0" borderId="23" xfId="0" applyFont="1" applyBorder="1" applyAlignment="1">
      <alignment horizontal="right" vertical="center" wrapText="1" indent="3" readingOrder="2"/>
    </xf>
    <xf numFmtId="0" fontId="14" fillId="0" borderId="3" xfId="0" applyFont="1" applyBorder="1" applyAlignment="1">
      <alignment horizontal="right" vertical="center" wrapText="1" indent="3" readingOrder="2"/>
    </xf>
    <xf numFmtId="0" fontId="14" fillId="0" borderId="11" xfId="0" applyFont="1" applyBorder="1" applyAlignment="1">
      <alignment horizontal="right" vertical="center" wrapText="1" indent="3" readingOrder="2"/>
    </xf>
    <xf numFmtId="0" fontId="14" fillId="0" borderId="12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47</xdr:row>
      <xdr:rowOff>30240</xdr:rowOff>
    </xdr:from>
    <xdr:to>
      <xdr:col>8</xdr:col>
      <xdr:colOff>161042</xdr:colOff>
      <xdr:row>47</xdr:row>
      <xdr:rowOff>372540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C6666A8-79F1-4F53-9E05-30917060A2B8}"/>
                </a:ext>
              </a:extLst>
            </xdr14:cNvPr>
            <xdr14:cNvContentPartPr/>
          </xdr14:nvContentPartPr>
          <xdr14:nvPr macro=""/>
          <xdr14:xfrm>
            <a:off x="10087099708" y="22413990"/>
            <a:ext cx="1443742" cy="3423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FF1E90-891A-4B81-3182-3D2C91C2A6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66073421" y="11063880"/>
              <a:ext cx="1523880" cy="50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404327</xdr:colOff>
      <xdr:row>47</xdr:row>
      <xdr:rowOff>125280</xdr:rowOff>
    </xdr:from>
    <xdr:to>
      <xdr:col>9</xdr:col>
      <xdr:colOff>467932</xdr:colOff>
      <xdr:row>47</xdr:row>
      <xdr:rowOff>474841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6B4AB4C-1B45-46FF-BCB0-A4895D0BBCF7}"/>
                </a:ext>
              </a:extLst>
            </xdr14:cNvPr>
            <xdr14:cNvContentPartPr/>
          </xdr14:nvContentPartPr>
          <xdr14:nvPr macro=""/>
          <xdr14:xfrm>
            <a:off x="10086151468" y="22509030"/>
            <a:ext cx="1987655" cy="349561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A15F93-76FD-0F98-F9F8-BF3C7BB33A6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65125181" y="11158560"/>
              <a:ext cx="204696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200207</xdr:colOff>
      <xdr:row>47</xdr:row>
      <xdr:rowOff>0</xdr:rowOff>
    </xdr:from>
    <xdr:to>
      <xdr:col>9</xdr:col>
      <xdr:colOff>421132</xdr:colOff>
      <xdr:row>49</xdr:row>
      <xdr:rowOff>93127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B8E222F-277A-44A6-8179-76F166ACAE88}"/>
                </a:ext>
              </a:extLst>
            </xdr14:cNvPr>
            <xdr14:cNvContentPartPr/>
          </xdr14:nvContentPartPr>
          <xdr14:nvPr macro=""/>
          <xdr14:xfrm>
            <a:off x="10086198268" y="22383750"/>
            <a:ext cx="2144975" cy="924977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8874EA8-913C-204F-4CB6-47B5B411E50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65171981" y="11033640"/>
              <a:ext cx="2204280" cy="77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11:01.5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3416 428,'0'0,"0"0,0 0,0 0,0 0,0 0,0 0,0 0,0 0,0 0,0 0,0 0,0 0,0-9,0 5,0 0,0-12,-5 7,0 2,5-17,0 15,0 2,-11-18,4 9,2 1,-6-10,11 8,0 2,-9-9,1 11,4 2,-7-13,11 15,0 1,-12-8,8 4,-1 0,5-12,-7 20,2 0,5-12,0 12,0 0,0-4,5 3,2 2,0-3,-5 4,21-6,-11 8,-3 0,14-8,-7 8,0 0,17 0,-8 0,-7 0,28 8,-15-8,-8 0,21 8,-15-8,-4 0,19 8,-20-4,-3 0,22 4,-27-4,2 0,26 4,-34-4,1 0,21 4,-20-3,-1-2,2 6,-10-5,5-1,-8 6,0-1,0-1,-11 2,-2-1,2 0,-33 8,10 1,3-2,-67 17,26-10,12-3,-94 28,47-25,15-3,-127 37,94-30,20-3,-149 25,114-21,17-5,-163 26,121-17,24-5,-189 22,146-18,28-4,-185 38,150-33,32-5,-205 38,364-64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11:01.5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5522 0,'0'0,"0"0,0 0,0 0,0 0,0 0,0 0,0 0,0 0,-12 0,9 0,-27 8,-60 0,62-6,-78 4,-52 19,111-18,-129 10,-117 23,202-27,-176 16,-138 35,282-44,-190 34,-81 19,276-51,-190 38,-1837 379,1731-355,828-168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11:01.5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2537 707,'0'0,"0"0,0 0,0 0,0 0,0 0,0 0,0 0,0 0,0 0,0 0,0 0,-12 0,10 0,-28 0,-51 0,58 0,-76 15,-59-15,111 0,-86 0,-70-15,142 12,-113-21,-96-4,186 19,-113-38,-50-24,169 48,-57-37,-44-25,123 58,-34-30,0 0,62 40,-1-8,6-32,16 40,94-21,48 9,-93 20,107 5,86-11,-159 11,117 23,77-19,-186 0,136 13,139 30,-246-30,112 43,88 30,-214-60,119 45,74 56,-203-87,124 75,91 96,-210-144,69 62,1489 1164,-1319-1033,-666-520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48"/>
  <sheetViews>
    <sheetView rightToLeft="1" tabSelected="1" view="pageBreakPreview" zoomScale="120" zoomScaleNormal="100" zoomScaleSheetLayoutView="120" workbookViewId="0">
      <selection activeCell="G48" sqref="G48:J4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33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33203125" style="1" customWidth="1"/>
    <col min="11" max="16384" width="9" style="1"/>
  </cols>
  <sheetData>
    <row r="1" spans="1:10" ht="45" customHeight="1" x14ac:dyDescent="0.3">
      <c r="B1" s="57" t="s">
        <v>213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2" t="s">
        <v>8</v>
      </c>
      <c r="C2" s="63" t="s">
        <v>30</v>
      </c>
      <c r="D2" s="63"/>
      <c r="E2" s="12" t="s">
        <v>7</v>
      </c>
      <c r="F2" s="58" t="s">
        <v>56</v>
      </c>
      <c r="G2" s="58"/>
      <c r="H2" s="58"/>
      <c r="I2" s="58"/>
      <c r="J2" s="58"/>
    </row>
    <row r="3" spans="1:10" ht="30" customHeight="1" x14ac:dyDescent="0.3">
      <c r="B3" s="12" t="s">
        <v>9</v>
      </c>
      <c r="C3" s="63" t="s">
        <v>66</v>
      </c>
      <c r="D3" s="63"/>
      <c r="E3" s="12" t="s">
        <v>6</v>
      </c>
      <c r="F3" s="63" t="s">
        <v>91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9" t="s">
        <v>0</v>
      </c>
      <c r="C5" s="60"/>
      <c r="D5" s="60"/>
      <c r="E5" s="64" t="s">
        <v>1</v>
      </c>
      <c r="F5" s="64"/>
      <c r="G5" s="64"/>
      <c r="H5" s="64"/>
      <c r="I5" s="64" t="s">
        <v>2</v>
      </c>
      <c r="J5" s="65"/>
    </row>
    <row r="6" spans="1:10" ht="24.9" customHeight="1" thickBot="1" x14ac:dyDescent="0.35">
      <c r="A6" s="10"/>
      <c r="B6" s="61"/>
      <c r="C6" s="62"/>
      <c r="D6" s="62"/>
      <c r="E6" s="11" t="s">
        <v>3</v>
      </c>
      <c r="F6" s="11" t="s">
        <v>4</v>
      </c>
      <c r="G6" s="11" t="s">
        <v>23</v>
      </c>
      <c r="H6" s="11" t="s">
        <v>24</v>
      </c>
      <c r="I6" s="66"/>
      <c r="J6" s="67"/>
    </row>
    <row r="7" spans="1:10" ht="24.9" customHeight="1" thickBot="1" x14ac:dyDescent="0.35">
      <c r="A7" s="10"/>
      <c r="B7" s="68" t="s">
        <v>21</v>
      </c>
      <c r="C7" s="69"/>
      <c r="D7" s="69"/>
      <c r="E7" s="31" t="s">
        <v>18</v>
      </c>
      <c r="F7" s="31" t="s">
        <v>19</v>
      </c>
      <c r="G7" s="31" t="s">
        <v>22</v>
      </c>
      <c r="H7" s="31" t="s">
        <v>20</v>
      </c>
      <c r="I7" s="72" t="s">
        <v>25</v>
      </c>
      <c r="J7" s="73"/>
    </row>
    <row r="8" spans="1:10" ht="39.9" customHeight="1" x14ac:dyDescent="0.3">
      <c r="A8" s="10"/>
      <c r="B8" s="77" t="s">
        <v>180</v>
      </c>
      <c r="C8" s="78"/>
      <c r="D8" s="78"/>
      <c r="E8" s="27"/>
      <c r="F8" s="30"/>
      <c r="G8" s="28"/>
      <c r="H8" s="29"/>
      <c r="I8" s="70"/>
      <c r="J8" s="71"/>
    </row>
    <row r="9" spans="1:10" ht="39.9" customHeight="1" x14ac:dyDescent="0.3">
      <c r="A9" s="10"/>
      <c r="B9" s="79" t="s">
        <v>181</v>
      </c>
      <c r="C9" s="80"/>
      <c r="D9" s="80"/>
      <c r="E9" s="9">
        <v>5</v>
      </c>
      <c r="F9" s="26">
        <v>3.75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79" t="s">
        <v>182</v>
      </c>
      <c r="C10" s="80"/>
      <c r="D10" s="80"/>
      <c r="E10" s="9">
        <v>5</v>
      </c>
      <c r="F10" s="26">
        <v>3.5</v>
      </c>
      <c r="G10" s="33">
        <f t="shared" ref="G10:G43" si="0">IFERROR(F10/E10,"")</f>
        <v>0.7</v>
      </c>
      <c r="H10" s="34" t="str">
        <f t="shared" ref="H10:H4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81" t="s">
        <v>183</v>
      </c>
      <c r="C11" s="82"/>
      <c r="D11" s="82"/>
      <c r="E11" s="9">
        <v>5</v>
      </c>
      <c r="F11" s="26">
        <v>3.75</v>
      </c>
      <c r="G11" s="33">
        <f t="shared" si="0"/>
        <v>0.75</v>
      </c>
      <c r="H11" s="34" t="str">
        <f t="shared" si="1"/>
        <v>جيد</v>
      </c>
      <c r="I11" s="45"/>
      <c r="J11" s="46"/>
    </row>
    <row r="12" spans="1:10" ht="39.9" customHeight="1" x14ac:dyDescent="0.3">
      <c r="A12" s="10"/>
      <c r="B12" s="81" t="s">
        <v>184</v>
      </c>
      <c r="C12" s="82"/>
      <c r="D12" s="82"/>
      <c r="E12" s="9">
        <v>5</v>
      </c>
      <c r="F12" s="26">
        <v>4.25</v>
      </c>
      <c r="G12" s="33">
        <f t="shared" si="0"/>
        <v>0.85</v>
      </c>
      <c r="H12" s="34" t="str">
        <f t="shared" si="1"/>
        <v>جيد جداً</v>
      </c>
      <c r="I12" s="45"/>
      <c r="J12" s="46"/>
    </row>
    <row r="13" spans="1:10" ht="39.9" customHeight="1" x14ac:dyDescent="0.3">
      <c r="A13" s="10"/>
      <c r="B13" s="81" t="s">
        <v>185</v>
      </c>
      <c r="C13" s="82"/>
      <c r="D13" s="82"/>
      <c r="E13" s="9">
        <v>5</v>
      </c>
      <c r="F13" s="26">
        <v>3.75</v>
      </c>
      <c r="G13" s="33">
        <f t="shared" si="0"/>
        <v>0.75</v>
      </c>
      <c r="H13" s="34" t="str">
        <f t="shared" si="1"/>
        <v>جيد</v>
      </c>
      <c r="I13" s="45"/>
      <c r="J13" s="46"/>
    </row>
    <row r="14" spans="1:10" ht="39.9" customHeight="1" x14ac:dyDescent="0.3">
      <c r="A14" s="10"/>
      <c r="B14" s="81" t="s">
        <v>186</v>
      </c>
      <c r="C14" s="82"/>
      <c r="D14" s="82"/>
      <c r="E14" s="9">
        <v>5</v>
      </c>
      <c r="F14" s="26">
        <v>3.5</v>
      </c>
      <c r="G14" s="33">
        <f t="shared" si="0"/>
        <v>0.7</v>
      </c>
      <c r="H14" s="34" t="str">
        <f t="shared" si="1"/>
        <v>جيد</v>
      </c>
      <c r="I14" s="45"/>
      <c r="J14" s="46"/>
    </row>
    <row r="15" spans="1:10" ht="39.9" customHeight="1" x14ac:dyDescent="0.3">
      <c r="A15" s="10"/>
      <c r="B15" s="81" t="s">
        <v>187</v>
      </c>
      <c r="C15" s="82"/>
      <c r="D15" s="82"/>
      <c r="E15" s="9">
        <v>5</v>
      </c>
      <c r="F15" s="26">
        <v>3.75</v>
      </c>
      <c r="G15" s="33">
        <f t="shared" si="0"/>
        <v>0.75</v>
      </c>
      <c r="H15" s="34" t="str">
        <f t="shared" si="1"/>
        <v>جيد</v>
      </c>
      <c r="I15" s="45"/>
      <c r="J15" s="46"/>
    </row>
    <row r="16" spans="1:10" ht="39.9" customHeight="1" x14ac:dyDescent="0.3">
      <c r="A16" s="10"/>
      <c r="B16" s="81" t="s">
        <v>188</v>
      </c>
      <c r="C16" s="82"/>
      <c r="D16" s="82"/>
      <c r="E16" s="9">
        <v>5</v>
      </c>
      <c r="F16" s="26">
        <v>3.75</v>
      </c>
      <c r="G16" s="33">
        <f t="shared" si="0"/>
        <v>0.75</v>
      </c>
      <c r="H16" s="34" t="str">
        <f t="shared" si="1"/>
        <v>جيد</v>
      </c>
      <c r="I16" s="45"/>
      <c r="J16" s="46"/>
    </row>
    <row r="17" spans="1:10" ht="39.9" customHeight="1" x14ac:dyDescent="0.3">
      <c r="A17" s="10"/>
      <c r="B17" s="81" t="s">
        <v>189</v>
      </c>
      <c r="C17" s="82"/>
      <c r="D17" s="82"/>
      <c r="E17" s="9">
        <v>5</v>
      </c>
      <c r="F17" s="26">
        <v>3.75</v>
      </c>
      <c r="G17" s="33">
        <f t="shared" si="0"/>
        <v>0.75</v>
      </c>
      <c r="H17" s="34" t="str">
        <f t="shared" si="1"/>
        <v>جيد</v>
      </c>
      <c r="I17" s="45"/>
      <c r="J17" s="46"/>
    </row>
    <row r="18" spans="1:10" ht="39.9" customHeight="1" thickBot="1" x14ac:dyDescent="0.35">
      <c r="A18" s="10"/>
      <c r="B18" s="83" t="s">
        <v>190</v>
      </c>
      <c r="C18" s="84"/>
      <c r="D18" s="84"/>
      <c r="E18" s="35">
        <v>5</v>
      </c>
      <c r="F18" s="36">
        <v>3.5</v>
      </c>
      <c r="G18" s="37">
        <f t="shared" si="0"/>
        <v>0.7</v>
      </c>
      <c r="H18" s="38" t="str">
        <f t="shared" si="1"/>
        <v>جيد</v>
      </c>
      <c r="I18" s="47"/>
      <c r="J18" s="48"/>
    </row>
    <row r="19" spans="1:10" ht="39.9" customHeight="1" x14ac:dyDescent="0.3">
      <c r="A19" s="10"/>
      <c r="B19" s="85" t="s">
        <v>191</v>
      </c>
      <c r="C19" s="86"/>
      <c r="D19" s="86"/>
      <c r="E19" s="27"/>
      <c r="F19" s="30"/>
      <c r="G19" s="28"/>
      <c r="H19" s="29"/>
      <c r="I19" s="70"/>
      <c r="J19" s="71"/>
    </row>
    <row r="20" spans="1:10" ht="39.9" customHeight="1" x14ac:dyDescent="0.3">
      <c r="A20" s="10"/>
      <c r="B20" s="81" t="s">
        <v>192</v>
      </c>
      <c r="C20" s="82"/>
      <c r="D20" s="82"/>
      <c r="E20" s="9">
        <v>5</v>
      </c>
      <c r="F20" s="26">
        <v>3.5</v>
      </c>
      <c r="G20" s="33">
        <f t="shared" si="0"/>
        <v>0.7</v>
      </c>
      <c r="H20" s="34" t="str">
        <f t="shared" si="1"/>
        <v>جيد</v>
      </c>
      <c r="I20" s="45"/>
      <c r="J20" s="46"/>
    </row>
    <row r="21" spans="1:10" ht="39.9" customHeight="1" x14ac:dyDescent="0.3">
      <c r="A21" s="10"/>
      <c r="B21" s="81" t="s">
        <v>193</v>
      </c>
      <c r="C21" s="82"/>
      <c r="D21" s="82"/>
      <c r="E21" s="9">
        <v>5</v>
      </c>
      <c r="F21" s="26">
        <v>3.5</v>
      </c>
      <c r="G21" s="33">
        <f t="shared" si="0"/>
        <v>0.7</v>
      </c>
      <c r="H21" s="34" t="str">
        <f t="shared" si="1"/>
        <v>جيد</v>
      </c>
      <c r="I21" s="45"/>
      <c r="J21" s="46"/>
    </row>
    <row r="22" spans="1:10" ht="39.9" customHeight="1" x14ac:dyDescent="0.3">
      <c r="A22" s="10"/>
      <c r="B22" s="81" t="s">
        <v>194</v>
      </c>
      <c r="C22" s="82"/>
      <c r="D22" s="82"/>
      <c r="E22" s="9"/>
      <c r="F22" s="26"/>
      <c r="G22" s="33"/>
      <c r="H22" s="34"/>
      <c r="I22" s="45"/>
      <c r="J22" s="46"/>
    </row>
    <row r="23" spans="1:10" ht="39.9" customHeight="1" x14ac:dyDescent="0.3">
      <c r="A23" s="10"/>
      <c r="B23" s="87" t="s">
        <v>195</v>
      </c>
      <c r="C23" s="88"/>
      <c r="D23" s="88"/>
      <c r="E23" s="9">
        <v>5</v>
      </c>
      <c r="F23" s="26">
        <v>3.75</v>
      </c>
      <c r="G23" s="33">
        <f t="shared" si="0"/>
        <v>0.75</v>
      </c>
      <c r="H23" s="34" t="str">
        <f t="shared" si="1"/>
        <v>جيد</v>
      </c>
      <c r="I23" s="45"/>
      <c r="J23" s="46"/>
    </row>
    <row r="24" spans="1:10" ht="39.9" customHeight="1" x14ac:dyDescent="0.3">
      <c r="A24" s="10"/>
      <c r="B24" s="87" t="s">
        <v>196</v>
      </c>
      <c r="C24" s="88"/>
      <c r="D24" s="88"/>
      <c r="E24" s="9">
        <v>5</v>
      </c>
      <c r="F24" s="26">
        <v>3.5</v>
      </c>
      <c r="G24" s="33">
        <f t="shared" si="0"/>
        <v>0.7</v>
      </c>
      <c r="H24" s="34" t="str">
        <f t="shared" si="1"/>
        <v>جيد</v>
      </c>
      <c r="I24" s="45"/>
      <c r="J24" s="46"/>
    </row>
    <row r="25" spans="1:10" ht="39.9" customHeight="1" x14ac:dyDescent="0.3">
      <c r="A25" s="10"/>
      <c r="B25" s="81" t="s">
        <v>197</v>
      </c>
      <c r="C25" s="82"/>
      <c r="D25" s="82"/>
      <c r="E25" s="9">
        <v>5</v>
      </c>
      <c r="F25" s="26">
        <v>3.75</v>
      </c>
      <c r="G25" s="33">
        <f t="shared" si="0"/>
        <v>0.75</v>
      </c>
      <c r="H25" s="34" t="str">
        <f t="shared" si="1"/>
        <v>جيد</v>
      </c>
      <c r="I25" s="45"/>
      <c r="J25" s="46"/>
    </row>
    <row r="26" spans="1:10" ht="39.9" customHeight="1" x14ac:dyDescent="0.3">
      <c r="A26" s="10"/>
      <c r="B26" s="81" t="s">
        <v>198</v>
      </c>
      <c r="C26" s="82"/>
      <c r="D26" s="82"/>
      <c r="E26" s="9">
        <v>5</v>
      </c>
      <c r="F26" s="26">
        <v>3.75</v>
      </c>
      <c r="G26" s="33">
        <f t="shared" si="0"/>
        <v>0.75</v>
      </c>
      <c r="H26" s="34" t="str">
        <f t="shared" si="1"/>
        <v>جيد</v>
      </c>
      <c r="I26" s="45"/>
      <c r="J26" s="46"/>
    </row>
    <row r="27" spans="1:10" ht="39.9" customHeight="1" x14ac:dyDescent="0.3">
      <c r="A27" s="10"/>
      <c r="B27" s="81" t="s">
        <v>199</v>
      </c>
      <c r="C27" s="82"/>
      <c r="D27" s="82"/>
      <c r="E27" s="9">
        <v>5</v>
      </c>
      <c r="F27" s="26">
        <v>3.5</v>
      </c>
      <c r="G27" s="33">
        <f t="shared" si="0"/>
        <v>0.7</v>
      </c>
      <c r="H27" s="34" t="str">
        <f t="shared" si="1"/>
        <v>جيد</v>
      </c>
      <c r="I27" s="45"/>
      <c r="J27" s="46"/>
    </row>
    <row r="28" spans="1:10" ht="39.9" customHeight="1" x14ac:dyDescent="0.3">
      <c r="A28" s="10"/>
      <c r="B28" s="81" t="s">
        <v>200</v>
      </c>
      <c r="C28" s="82"/>
      <c r="D28" s="82"/>
      <c r="E28" s="9">
        <v>5</v>
      </c>
      <c r="F28" s="26">
        <v>3.5</v>
      </c>
      <c r="G28" s="33">
        <f t="shared" si="0"/>
        <v>0.7</v>
      </c>
      <c r="H28" s="34" t="str">
        <f t="shared" si="1"/>
        <v>جيد</v>
      </c>
      <c r="I28" s="45"/>
      <c r="J28" s="46"/>
    </row>
    <row r="29" spans="1:10" ht="39.9" customHeight="1" x14ac:dyDescent="0.3">
      <c r="A29" s="10"/>
      <c r="B29" s="81" t="s">
        <v>201</v>
      </c>
      <c r="C29" s="82"/>
      <c r="D29" s="82"/>
      <c r="E29" s="9">
        <v>5</v>
      </c>
      <c r="F29" s="26">
        <v>3.75</v>
      </c>
      <c r="G29" s="33">
        <f t="shared" si="0"/>
        <v>0.75</v>
      </c>
      <c r="H29" s="34" t="str">
        <f t="shared" si="1"/>
        <v>جيد</v>
      </c>
      <c r="I29" s="45"/>
      <c r="J29" s="46"/>
    </row>
    <row r="30" spans="1:10" ht="39.9" customHeight="1" x14ac:dyDescent="0.3">
      <c r="A30" s="10"/>
      <c r="B30" s="81" t="s">
        <v>202</v>
      </c>
      <c r="C30" s="82"/>
      <c r="D30" s="82"/>
      <c r="E30" s="9">
        <v>5</v>
      </c>
      <c r="F30" s="26">
        <v>3.5</v>
      </c>
      <c r="G30" s="33">
        <f t="shared" si="0"/>
        <v>0.7</v>
      </c>
      <c r="H30" s="34" t="str">
        <f t="shared" si="1"/>
        <v>جيد</v>
      </c>
      <c r="I30" s="45"/>
      <c r="J30" s="46"/>
    </row>
    <row r="31" spans="1:10" ht="39.9" customHeight="1" x14ac:dyDescent="0.3">
      <c r="A31" s="10"/>
      <c r="B31" s="81" t="s">
        <v>203</v>
      </c>
      <c r="C31" s="82"/>
      <c r="D31" s="82"/>
      <c r="E31" s="9">
        <v>5</v>
      </c>
      <c r="F31" s="26">
        <v>3.5</v>
      </c>
      <c r="G31" s="33">
        <f t="shared" si="0"/>
        <v>0.7</v>
      </c>
      <c r="H31" s="34" t="str">
        <f t="shared" si="1"/>
        <v>جيد</v>
      </c>
      <c r="I31" s="45"/>
      <c r="J31" s="46"/>
    </row>
    <row r="32" spans="1:10" ht="39.9" customHeight="1" x14ac:dyDescent="0.3">
      <c r="A32" s="10"/>
      <c r="B32" s="81" t="s">
        <v>204</v>
      </c>
      <c r="C32" s="82"/>
      <c r="D32" s="82"/>
      <c r="E32" s="9">
        <v>5</v>
      </c>
      <c r="F32" s="26">
        <v>3.5</v>
      </c>
      <c r="G32" s="33">
        <f t="shared" si="0"/>
        <v>0.7</v>
      </c>
      <c r="H32" s="34" t="str">
        <f t="shared" si="1"/>
        <v>جيد</v>
      </c>
      <c r="I32" s="45"/>
      <c r="J32" s="46"/>
    </row>
    <row r="33" spans="1:10" ht="39.9" customHeight="1" x14ac:dyDescent="0.3">
      <c r="A33" s="10"/>
      <c r="B33" s="81" t="s">
        <v>205</v>
      </c>
      <c r="C33" s="82"/>
      <c r="D33" s="82"/>
      <c r="E33" s="9">
        <v>5</v>
      </c>
      <c r="F33" s="26">
        <v>3.75</v>
      </c>
      <c r="G33" s="33">
        <f t="shared" si="0"/>
        <v>0.75</v>
      </c>
      <c r="H33" s="34" t="str">
        <f t="shared" si="1"/>
        <v>جيد</v>
      </c>
      <c r="I33" s="45"/>
      <c r="J33" s="46"/>
    </row>
    <row r="34" spans="1:10" ht="39.9" customHeight="1" x14ac:dyDescent="0.3">
      <c r="A34" s="10"/>
      <c r="B34" s="81" t="s">
        <v>214</v>
      </c>
      <c r="C34" s="82"/>
      <c r="D34" s="82"/>
      <c r="E34" s="9">
        <v>5</v>
      </c>
      <c r="F34" s="26">
        <v>4</v>
      </c>
      <c r="G34" s="33">
        <f t="shared" si="0"/>
        <v>0.8</v>
      </c>
      <c r="H34" s="34" t="str">
        <f t="shared" si="1"/>
        <v>جيد جداً</v>
      </c>
      <c r="I34" s="45"/>
      <c r="J34" s="46"/>
    </row>
    <row r="35" spans="1:10" ht="39.9" customHeight="1" x14ac:dyDescent="0.3">
      <c r="A35" s="10"/>
      <c r="B35" s="81" t="s">
        <v>215</v>
      </c>
      <c r="C35" s="82"/>
      <c r="D35" s="82"/>
      <c r="E35" s="9">
        <v>5</v>
      </c>
      <c r="F35" s="26">
        <v>3.75</v>
      </c>
      <c r="G35" s="33">
        <f t="shared" si="0"/>
        <v>0.75</v>
      </c>
      <c r="H35" s="34" t="str">
        <f t="shared" si="1"/>
        <v>جيد</v>
      </c>
      <c r="I35" s="45"/>
      <c r="J35" s="46"/>
    </row>
    <row r="36" spans="1:10" ht="39.9" customHeight="1" thickBot="1" x14ac:dyDescent="0.35">
      <c r="A36" s="10"/>
      <c r="B36" s="83" t="s">
        <v>216</v>
      </c>
      <c r="C36" s="84"/>
      <c r="D36" s="84"/>
      <c r="E36" s="35">
        <v>5</v>
      </c>
      <c r="F36" s="36">
        <v>3.75</v>
      </c>
      <c r="G36" s="37">
        <f t="shared" si="0"/>
        <v>0.75</v>
      </c>
      <c r="H36" s="38" t="str">
        <f t="shared" si="1"/>
        <v>جيد</v>
      </c>
      <c r="I36" s="47"/>
      <c r="J36" s="48"/>
    </row>
    <row r="37" spans="1:10" ht="39.9" customHeight="1" x14ac:dyDescent="0.3">
      <c r="A37" s="10"/>
      <c r="B37" s="85" t="s">
        <v>206</v>
      </c>
      <c r="C37" s="86"/>
      <c r="D37" s="86"/>
      <c r="E37" s="27"/>
      <c r="F37" s="30"/>
      <c r="G37" s="28"/>
      <c r="H37" s="29"/>
      <c r="I37" s="70"/>
      <c r="J37" s="71"/>
    </row>
    <row r="38" spans="1:10" ht="39.9" customHeight="1" x14ac:dyDescent="0.3">
      <c r="A38" s="10"/>
      <c r="B38" s="89" t="s">
        <v>207</v>
      </c>
      <c r="C38" s="90"/>
      <c r="D38" s="90"/>
      <c r="E38" s="9">
        <v>5</v>
      </c>
      <c r="F38" s="26">
        <v>3.75</v>
      </c>
      <c r="G38" s="33">
        <f t="shared" si="0"/>
        <v>0.75</v>
      </c>
      <c r="H38" s="34" t="str">
        <f t="shared" si="1"/>
        <v>جيد</v>
      </c>
      <c r="I38" s="45"/>
      <c r="J38" s="46"/>
    </row>
    <row r="39" spans="1:10" ht="39.9" customHeight="1" x14ac:dyDescent="0.3">
      <c r="A39" s="10"/>
      <c r="B39" s="89" t="s">
        <v>208</v>
      </c>
      <c r="C39" s="90"/>
      <c r="D39" s="90"/>
      <c r="E39" s="9">
        <v>5</v>
      </c>
      <c r="F39" s="26">
        <v>3.5</v>
      </c>
      <c r="G39" s="33">
        <f t="shared" si="0"/>
        <v>0.7</v>
      </c>
      <c r="H39" s="34" t="str">
        <f t="shared" si="1"/>
        <v>جيد</v>
      </c>
      <c r="I39" s="45"/>
      <c r="J39" s="46"/>
    </row>
    <row r="40" spans="1:10" ht="39.9" customHeight="1" x14ac:dyDescent="0.3">
      <c r="A40" s="10"/>
      <c r="B40" s="91" t="s">
        <v>209</v>
      </c>
      <c r="C40" s="92"/>
      <c r="D40" s="92"/>
      <c r="E40" s="9">
        <v>5</v>
      </c>
      <c r="F40" s="26">
        <v>3.5</v>
      </c>
      <c r="G40" s="33">
        <f t="shared" si="0"/>
        <v>0.7</v>
      </c>
      <c r="H40" s="34" t="str">
        <f t="shared" si="1"/>
        <v>جيد</v>
      </c>
      <c r="I40" s="45"/>
      <c r="J40" s="46"/>
    </row>
    <row r="41" spans="1:10" ht="39.9" customHeight="1" x14ac:dyDescent="0.3">
      <c r="A41" s="10"/>
      <c r="B41" s="91" t="s">
        <v>210</v>
      </c>
      <c r="C41" s="92"/>
      <c r="D41" s="92"/>
      <c r="E41" s="9">
        <v>5</v>
      </c>
      <c r="F41" s="26">
        <v>3.5</v>
      </c>
      <c r="G41" s="33">
        <f t="shared" si="0"/>
        <v>0.7</v>
      </c>
      <c r="H41" s="34" t="str">
        <f t="shared" si="1"/>
        <v>جيد</v>
      </c>
      <c r="I41" s="45"/>
      <c r="J41" s="46"/>
    </row>
    <row r="42" spans="1:10" ht="39.9" customHeight="1" x14ac:dyDescent="0.3">
      <c r="A42" s="10"/>
      <c r="B42" s="91" t="s">
        <v>211</v>
      </c>
      <c r="C42" s="92"/>
      <c r="D42" s="92"/>
      <c r="E42" s="9">
        <v>5</v>
      </c>
      <c r="F42" s="26">
        <v>3.5</v>
      </c>
      <c r="G42" s="33">
        <f t="shared" si="0"/>
        <v>0.7</v>
      </c>
      <c r="H42" s="34" t="str">
        <f t="shared" si="1"/>
        <v>جيد</v>
      </c>
      <c r="I42" s="45"/>
      <c r="J42" s="46"/>
    </row>
    <row r="43" spans="1:10" ht="39.9" customHeight="1" thickBot="1" x14ac:dyDescent="0.35">
      <c r="A43" s="10"/>
      <c r="B43" s="93" t="s">
        <v>212</v>
      </c>
      <c r="C43" s="94"/>
      <c r="D43" s="94"/>
      <c r="E43" s="35">
        <v>5</v>
      </c>
      <c r="F43" s="36">
        <v>3.75</v>
      </c>
      <c r="G43" s="37">
        <f t="shared" si="0"/>
        <v>0.75</v>
      </c>
      <c r="H43" s="38" t="str">
        <f t="shared" si="1"/>
        <v>جيد</v>
      </c>
      <c r="I43" s="47"/>
      <c r="J43" s="48"/>
    </row>
    <row r="44" spans="1:10" ht="30" customHeight="1" thickBot="1" x14ac:dyDescent="0.35">
      <c r="A44" s="4"/>
      <c r="B44" s="49" t="s">
        <v>5</v>
      </c>
      <c r="C44" s="50"/>
      <c r="D44" s="50"/>
      <c r="E44" s="32">
        <f>SUM(E8:E43)</f>
        <v>160</v>
      </c>
      <c r="F44" s="32">
        <f>SUM(F8:F43)</f>
        <v>117</v>
      </c>
      <c r="G44" s="74"/>
      <c r="H44" s="75"/>
      <c r="I44" s="75"/>
      <c r="J44" s="76"/>
    </row>
    <row r="45" spans="1:10" ht="30" customHeight="1" thickBot="1" x14ac:dyDescent="0.35">
      <c r="A45" s="4"/>
      <c r="B45" s="51" t="s">
        <v>54</v>
      </c>
      <c r="C45" s="52"/>
      <c r="D45" s="52"/>
      <c r="E45" s="53">
        <f>F44/E44/100*100</f>
        <v>0.73124999999999996</v>
      </c>
      <c r="F45" s="53"/>
      <c r="G45" s="53"/>
      <c r="H45" s="53"/>
      <c r="I45" s="53"/>
      <c r="J45" s="54"/>
    </row>
    <row r="46" spans="1:10" ht="30" customHeight="1" thickBot="1" x14ac:dyDescent="0.35">
      <c r="A46" s="4"/>
      <c r="B46" s="51" t="s">
        <v>55</v>
      </c>
      <c r="C46" s="52"/>
      <c r="D46" s="52"/>
      <c r="E46" s="43" t="str">
        <f>_xlfn.IFS(E45&gt;=90%,"ممتاز",E45&gt;=80%,"جيد جداً",E45&gt;=70%,"جيد",E45&gt;=60%,"مقبول",E45&lt;60%,"راسب")</f>
        <v>جيد</v>
      </c>
      <c r="F46" s="43"/>
      <c r="G46" s="43"/>
      <c r="H46" s="43"/>
      <c r="I46" s="43"/>
      <c r="J46" s="44"/>
    </row>
    <row r="47" spans="1:10" ht="42" customHeight="1" x14ac:dyDescent="0.3">
      <c r="B47" s="39" t="s">
        <v>174</v>
      </c>
      <c r="C47" s="39"/>
      <c r="D47" s="39"/>
      <c r="E47" s="55" t="s">
        <v>52</v>
      </c>
      <c r="F47" s="55"/>
      <c r="G47" s="41" t="s">
        <v>91</v>
      </c>
      <c r="H47" s="41"/>
      <c r="I47" s="41"/>
      <c r="J47" s="41"/>
    </row>
    <row r="48" spans="1:10" ht="51" customHeight="1" x14ac:dyDescent="0.3">
      <c r="A48" s="5"/>
      <c r="B48" s="40"/>
      <c r="C48" s="40"/>
      <c r="D48" s="40"/>
      <c r="E48" s="56" t="s">
        <v>53</v>
      </c>
      <c r="F48" s="56"/>
      <c r="G48" s="42"/>
      <c r="H48" s="42"/>
      <c r="I48" s="42"/>
      <c r="J48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3">
    <mergeCell ref="B42:D42"/>
    <mergeCell ref="B43:D43"/>
    <mergeCell ref="B35:D35"/>
    <mergeCell ref="B36:D36"/>
    <mergeCell ref="B37:D37"/>
    <mergeCell ref="B38:D38"/>
    <mergeCell ref="B39:D39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8:D18"/>
    <mergeCell ref="I12:J12"/>
    <mergeCell ref="I13:J13"/>
    <mergeCell ref="I14:J14"/>
    <mergeCell ref="B19:D19"/>
    <mergeCell ref="B13:D13"/>
    <mergeCell ref="B14:D14"/>
    <mergeCell ref="B15:D15"/>
    <mergeCell ref="B16:D16"/>
    <mergeCell ref="B17:D17"/>
    <mergeCell ref="B8:D8"/>
    <mergeCell ref="B9:D9"/>
    <mergeCell ref="B10:D10"/>
    <mergeCell ref="B11:D11"/>
    <mergeCell ref="B12:D12"/>
    <mergeCell ref="I15:J15"/>
    <mergeCell ref="I16:J16"/>
    <mergeCell ref="G44:J4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17:J17"/>
    <mergeCell ref="I18:J18"/>
    <mergeCell ref="B7:D7"/>
    <mergeCell ref="I38:J38"/>
    <mergeCell ref="I39:J39"/>
    <mergeCell ref="I30:J30"/>
    <mergeCell ref="I31:J31"/>
    <mergeCell ref="I37:J37"/>
    <mergeCell ref="I7:J7"/>
    <mergeCell ref="I10:J10"/>
    <mergeCell ref="I32:J32"/>
    <mergeCell ref="I33:J33"/>
    <mergeCell ref="I34:J34"/>
    <mergeCell ref="I35:J35"/>
    <mergeCell ref="I36:J36"/>
    <mergeCell ref="I8:J8"/>
    <mergeCell ref="I11:J11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47:D48"/>
    <mergeCell ref="G47:J47"/>
    <mergeCell ref="G48:J48"/>
    <mergeCell ref="E46:J46"/>
    <mergeCell ref="I40:J40"/>
    <mergeCell ref="I41:J41"/>
    <mergeCell ref="I42:J42"/>
    <mergeCell ref="I43:J43"/>
    <mergeCell ref="B44:D44"/>
    <mergeCell ref="B45:D45"/>
    <mergeCell ref="B46:D46"/>
    <mergeCell ref="E45:J45"/>
    <mergeCell ref="E47:F47"/>
    <mergeCell ref="E48:F48"/>
    <mergeCell ref="B40:D40"/>
    <mergeCell ref="B41:D4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6">
    <cfRule type="expression" dxfId="14" priority="57">
      <formula>$E46="راسب"</formula>
    </cfRule>
  </conditionalFormatting>
  <conditionalFormatting sqref="E46:J46">
    <cfRule type="expression" dxfId="13" priority="60">
      <formula>$E46="جيد جداً"</formula>
    </cfRule>
    <cfRule type="expression" dxfId="12" priority="59">
      <formula>$E46="جيد"</formula>
    </cfRule>
    <cfRule type="expression" dxfId="11" priority="58">
      <formula>$E46="مقبول"</formula>
    </cfRule>
    <cfRule type="expression" dxfId="10" priority="61">
      <formula>$E46="ممتاز"</formula>
    </cfRule>
  </conditionalFormatting>
  <conditionalFormatting sqref="F8:F4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6" priority="15" operator="containsText" text="أدخل اسم المحكم">
      <formula>NOT(ISERROR(SEARCH("أدخل اسم المحكم",G47)))</formula>
    </cfRule>
  </conditionalFormatting>
  <conditionalFormatting sqref="H8:H4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00000000-0002-0000-0000-000001000000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00000000-0002-0000-0000-000002000000}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 xr:uid="{00000000-0002-0000-0000-000003000000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00000000-0002-0000-0000-000004000000}">
          <x14:formula1>
            <xm:f>'بيانات التقييم'!$A$111:$A$133</xm:f>
          </x14:formula1>
          <xm:sqref>F38:F43 F23:F36 F20:F21 F9:F18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332031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2025-10-27T21:11:06Z</dcterms:modified>
</cp:coreProperties>
</file>