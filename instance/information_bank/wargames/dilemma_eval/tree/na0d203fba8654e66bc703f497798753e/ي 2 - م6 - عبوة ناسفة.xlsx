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B98BEE1-3AB8-4092-AB7B-DD2B106BC4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 s="1"/>
  <c r="G13" i="2"/>
  <c r="H13" i="2"/>
  <c r="G14" i="2"/>
  <c r="H14" i="2"/>
  <c r="G8" i="2"/>
  <c r="H8" i="2" s="1"/>
  <c r="F15" i="2"/>
  <c r="E16" i="2" s="1"/>
  <c r="E17" i="2" s="1"/>
  <c r="E15" i="2"/>
</calcChain>
</file>

<file path=xl/sharedStrings.xml><?xml version="1.0" encoding="utf-8"?>
<sst xmlns="http://schemas.openxmlformats.org/spreadsheetml/2006/main" count="243" uniqueCount="187">
  <si>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</si>
  <si>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</si>
  <si>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</si>
  <si>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</si>
  <si>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</si>
  <si>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</si>
  <si>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</si>
  <si>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</si>
  <si>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</si>
  <si>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</si>
  <si>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</si>
  <si>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</si>
  <si>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</si>
  <si>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</si>
  <si>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</si>
  <si>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</si>
  <si>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</si>
  <si>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</si>
  <si>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</si>
  <si>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</si>
  <si>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</si>
  <si>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</si>
  <si>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</si>
  <si>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</si>
  <si>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</si>
  <si>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</si>
  <si>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</si>
  <si>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</si>
  <si>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</si>
  <si>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</si>
  <si>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</si>
  <si>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</si>
  <si>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</si>
  <si>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</si>
  <si>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</si>
  <si>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</si>
  <si>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</si>
  <si>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</si>
  <si>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</si>
  <si>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</si>
  <si>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</si>
  <si>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</si>
  <si>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</si>
  <si>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</si>
  <si>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</si>
  <si>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</si>
  <si>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</si>
  <si>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</si>
  <si>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</si>
  <si>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</si>
  <si>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</si>
  <si>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</si>
  <si>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</si>
  <si>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</si>
  <si>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</si>
  <si>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</si>
  <si>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</si>
  <si>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</si>
  <si>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</si>
  <si>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</si>
  <si>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</si>
  <si>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</si>
  <si>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</si>
  <si>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</si>
  <si>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</si>
  <si>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</si>
  <si>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</si>
  <si>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</si>
  <si>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</si>
  <si>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</si>
  <si>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</si>
  <si>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</si>
  <si>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</si>
  <si>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</si>
  <si>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</si>
  <si>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</si>
  <si>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</si>
  <si>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</si>
  <si>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</si>
  <si>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</si>
  <si>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</si>
  <si>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</si>
  <si>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</si>
  <si>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</si>
  <si>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</si>
  <si>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</si>
  <si>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</si>
  <si>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</si>
  <si>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</si>
  <si>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</si>
  <si>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</si>
  <si>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</si>
  <si>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</si>
  <si>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</si>
  <si>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</si>
  <si>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</si>
  <si>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</si>
  <si>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</si>
  <si>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</si>
  <si>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</si>
  <si>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</si>
  <si>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</si>
  <si>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</si>
  <si>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</si>
  <si>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</si>
  <si>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</si>
  <si>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</si>
  <si>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</si>
  <si>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</si>
  <si>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</si>
  <si>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</si>
  <si>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</si>
  <si>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</si>
  <si>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</si>
  <si>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</si>
  <si>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</si>
  <si>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</si>
  <si>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</si>
  <si>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</si>
  <si>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</si>
  <si>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</si>
  <si>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</si>
  <si>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</si>
  <si>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</si>
  <si>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</si>
  <si>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</si>
  <si>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</si>
  <si>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</si>
  <si>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</si>
  <si>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</si>
  <si>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</si>
  <si>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</si>
  <si>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</si>
  <si>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</si>
  <si>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</si>
  <si>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</si>
  <si>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</si>
  <si>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</si>
  <si>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</si>
  <si>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</si>
  <si>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</si>
  <si>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</si>
  <si>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</si>
  <si>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</si>
  <si>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</si>
  <si>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</si>
  <si>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</si>
  <si>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</si>
  <si>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</si>
  <si>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</si>
  <si>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</si>
  <si>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</si>
  <si>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</si>
  <si>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</si>
  <si>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</si>
  <si>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</si>
  <si>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</si>
  <si>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</si>
  <si>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</si>
  <si>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</si>
  <si>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</si>
  <si>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</si>
  <si>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</si>
  <si>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</si>
  <si>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</si>
  <si>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</si>
  <si>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</si>
  <si>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</si>
  <si>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</si>
  <si>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</si>
  <si>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</si>
  <si>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</si>
  <si>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</si>
  <si>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</si>
  <si>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</si>
  <si>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</si>
  <si>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</si>
  <si>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</si>
  <si>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</si>
  <si>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الخروج من منطقة الخطر للعبوة الناسفة.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</si>
  <si>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التبليغ للمستوى الأعلى عن الحادث والتبليغ عن عدد الإصابات وحجم الخسائر.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</si>
  <si>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الدعم اللوجستي.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</si>
  <si>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رفع البلاغ من قائد السرية لقيادة الكتيبة بعد استلامه التبليغ من قائد الآلية المتضررة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</si>
  <si>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تعيين أحد أفراد الطاقم لتأمين العربة إلى أن تصل الوحدة المكلفة بالتأمين.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</si>
  <si>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فرق الصيانة لإخلاء الآلية المتضررة.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</si>
  <si>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إرسال آلية بديلة وأفراد لتأمين الحماية للآلية المتضررة.</t>
    </r>
  </si>
  <si>
    <t>اليوم/2 - تقييم معضلة/6 - انفجار عبوة ناسفة
تقييم السرايا الراجلة / الآلية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</si>
</sst>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right" vertical="center" wrapText="1" readingOrder="2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261614</xdr:colOff>
      <xdr:row>18</xdr:row>
      <xdr:rowOff>28143</xdr:rowOff>
    </xdr:from>
    <xdr:to>
      <xdr:col>8</xdr:col>
      <xdr:colOff>420071</xdr:colOff>
      <xdr:row>18</xdr:row>
      <xdr:rowOff>391023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FFC4FB3-3CC6-D77F-47DB-9B6FA5CABC94}"/>
                </a:ext>
              </a:extLst>
            </xdr14:cNvPr>
            <xdr14:cNvContentPartPr/>
          </xdr14:nvContentPartPr>
          <xdr14:nvPr macro=""/>
          <xdr14:xfrm>
            <a:off x="10423282729" y="7908120"/>
            <a:ext cx="812880" cy="362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FFC4FB3-3CC6-D77F-47DB-9B6FA5CABC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74089" y="7899120"/>
              <a:ext cx="830520" cy="38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146111</xdr:colOff>
      <xdr:row>18</xdr:row>
      <xdr:rowOff>115263</xdr:rowOff>
    </xdr:from>
    <xdr:to>
      <xdr:col>9</xdr:col>
      <xdr:colOff>156967</xdr:colOff>
      <xdr:row>18</xdr:row>
      <xdr:rowOff>551943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FBA9FAF-7109-03FD-FE20-F1D82BF0A61D}"/>
                </a:ext>
              </a:extLst>
            </xdr14:cNvPr>
            <xdr14:cNvContentPartPr/>
          </xdr14:nvContentPartPr>
          <xdr14:nvPr macro=""/>
          <xdr14:xfrm>
            <a:off x="10422891409" y="7995240"/>
            <a:ext cx="665280" cy="436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FBA9FAF-7109-03FD-FE20-F1D82BF0A61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882769" y="7986240"/>
              <a:ext cx="682920" cy="454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8:36:10.4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1625 867 3272,'0'0'0,"0"-3"1120,0 0-31,0-2-361,0 5-728,0-10 504,0 9-256,0-2-24,1-1-152,0 0 16,3 0-104,-4 4 16,3-10-16,2 6-32,5-6-40,-7 6 24,8-6 56,-1 7-40,-10 3 48,9-5-40,1-6 32,0 8-8,1-2-24,1-6-16,0 6 0,-12 5 56,14-10-96,0 5 16,0-6 32,2 6 24,-1-6-24,2 8 0,-17 3 48,16-11-56,1 10 0,-2-9 8,2 9 32,0-3-64,1 0-32,-18 4 112,18-4-96,-2-1-8,1 2 56,0-1-24,-1 2 0,2 0 0,-18 2 72,16-2-72,1 1 16,0 0 24,-2 1-48,1 0 16,-1 0-16,-15 0 80,16 0-80,-1 0 0,-2 2-16,0 0-8,-1 1-8,-1-1 0,-11-2 112,9 4-121,1-1-55,-5 1-8,5 0-16,-6 6-32,1-7 8,-5-3 224,3 11-240,1-9 56,-3 9 32,0-8 16,-1 11 8,0-2-8,0-12 136,-3 10-112,-1 0 40,-8 2 32,9-1 24,-12-1 0,5 1 8,10-11 8,-13 11-16,1 0 16,1-2-16,-4 2 0,1 0 16,-2 0-16,16-11 16,-17 9 8,1-5-8,-2 9-8,-2-9 8,1 8 0,0-9 8,19-3-8,-20 11 16,0-8 24,-1-1 8,-2 2 24,-1-1 24,-1-1 40,25-2-136,-26 3 192,1-3 48,-1 0 40,0 0 40,0 0 24,-2-1 8,28 1-352,-28-3 385,1 0-17,-1-1-16,0 1-40,-2-2-24,-2 0-16,32 5-272,-31-5 256,0 0-16,1-4-16,0 6-24,0-1-24,-1-6-24,31 10-152,-31-4 144,1-5-32,-2 5-8,5-1-8,-3-4-8,3 6-16,27 3-72,-28-3 88,0-1-8,0 1-8,-1-1-24,1 0 0,1 1-8,27 3-40,-28-4 32,3 2-8,-2-1 0,2 1-8,-2-2 8,1 2 0,26 2-24,-27-4 8,-1 2 16,0-2 0,-2 2-24,4-2 24,-1 1 0,27 3-24,-26-4 32,3 0 16,0-6-8,1 6 8,-3-5 8,-1 4-8,26 5-48,-25-12 56,-1 7 0,2-8 8,1 3 9,2 0-9,-1-2 8,22 12-72,-22-11 64,1-1-8,2-3 0,-1 2-40,1-2-24,2-1-96,17 16 104,-16-15-136,-1-2-81,1 0-71,5 0-24,1-1-72,6 0-16,4 18 400,-11-19-392,9 0 0,-7 1 40,9 0 32,0-1 40,-3 0 24,3 19 256,0-20-256,1 0 0,3 3 0,5-1 48,-4 0-8,10 2-17,-15 16 233,13-18-224,0 2 16,4-1 48,0 3 32,1-1 56,2 1-24,-20 14 96,20-16-48,4 3-32,1 0 0,0 1 16,3 1-40,1-1 56,-29 12 48,31-14-48,1 2 32,2 1 8,-1 0 8,1 7-8,2-10-16,-36 14 24,35-10 8,1 6-16,1-6 16,-1 8-16,1 1-32,-1-3 24,-36 4 16,36-2 0,-3 0-8,2-2 8,-3 2 0,1 0-8,-2 0 16,-31 2-8,30-1 16,0 0-32,-1-1 24,-2 2 8,0 0-16,-2 0 40,-25 0-40,26 0 24,-1 0-8,-1 3 8,1 0 8,-2 0-32,0-1 32,-23-2-32,22 3 40,-3 0-32,1 1 32,-1 8-32,-1-10-8,0 9 32,-18-11-32,16 3 8,0 9 8,-1-2-8,-2-6-8,-1 6 40,-1 0-8,-11-10-32,5 11 64,6 1 0,-9 1 24,2 0 40,-1-3 8,-2 3 64,-1-13-200,2 14 232,-2-1 24,-3 4 129,0-2 7,-8-3 32,7 3-32,4-15-392,-17 15 328,4 1 16,-4 2-8,-1 2-16,-1-3 0,-1 1 0,20-18-320,-23 22 232,-2-4 56,-1 4 0,-1-2-72,-2-1 105,0 1-49,29-20-272,-33 20 256,0-1 48,-1 1-128,-2-2 112,0 1-32,-1 2 32,37-21-288,-38 20 304,-2 3-72,-1-4-24,2 4 16,-2-3-56,0 1-40,41-21-128,-43 21 144,-1-3-64,-1 3-80,1-4 64,3 0-32,2 1-24,39-18-8,-40 16 80,1 1-80,-1-1 184,3-1-160,-1-1 16,2-1 40,36-13-80,-35 13-104,1-1 240,2-1-216,0 0 88,3-1-8,1-7-104,28-3 104,-25 11 24,1-7-168,3-2-160,0 2-336,1-2-368,2-2-368,18 0 1376,-17 0-1753,1 0-215,0 0 327,0-1 481,3-3 472,1-5 448,12 9 240,-11-5-96,8-10-1840,3 15 1936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8:36:11.4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1847 0 4000,'0'0'0,"0"0"937,0 0-937,0 0 608,0 0-296,0 0-120,0 0-16,0 0-24,-2 3 32,2-3-184,-2 2 248,2 1 56,-4 0 40,-6 9 8,7-8-24,-10 13-72,13-17-256,-15 12 192,1 1-40,-4 2-24,1 1-8,-2 2 16,-2 1-16,-2 1-16,23-20-104,-25 20 89,1-1-9,-3 0-8,1 0-24,1 0 24,25-19-72,-28 21 56,3-2 0,-1 2 0,-2 0-32,0-1 0,2 1 24,26-21-48,-25 17 32,1 1 16,3 0-32,-1-2-8,2 0-64,3-2-120,17-14 176,-17 12-408,1 0-249,3-1-351,1-8-224,1 8-144,2-8 119,9-3 1257,-4 3-880,-7 1 344,8-2 320,-1-2 160,-5 0 24,9 0 0,0 0 32,-3-2-40,1-2 16,-1-7-16,3 8 16,0-7 0,0 5 16,0 5 8,0-9 24,0 4 8,2-6 0,-1 8 24,0-2 0,0 1 160,-1 4-216,2-3 456,-1-1 240,0 0 248,-1 2 81,0 1-73,0 0-56,0 1-896,0-2 800,0 1-24,-2 0-47,-1 1-97,1 0-56,-1 0-112,3 0-464,-3 0 272,-7 0-104,6 0-96,-7 0-72,1 2 0,-1 1-56,11-3 56,-13 2 40,0 2-72,-2 5 0,0-5 48,-3 7-64,1-8 88,17-3-40,-18 12 16,-1-8-16,0 9-24,-2-3-16,2-7-8,0 9 72,19-12-24,-19 4-16,1 5 8,-1-6 32,1 6-104,0-6 0,1 0-16,17-3 96,-17 10-96,0-8 24,1 2 0,-2 6-136,-1-10-120,-1 2-96,20-2 424,-18 2-392,-2 1-88,1-1 31,-2 1 9,1-1 8,-2-2 80,22 0 352,-21 2-320,-1 1 24,1-1 24,-2 1 80,0-1 0,0-2 80,23 0 112,-23 0-192,-2 0 8,3 0 56,-1-1-184,4 0 64,0-3-32,19 4 280,-17-4-337,1 0 33,2-1-64,2-6 24,0 1-40,1 1 48,11 9 336,-10-11-264,1 1 64,-1 1 120,7 4 48,-9-9 8,9 2 8,3 12 16,-9-13-40,6-2 24,0 1 16,0-2 8,1 1-8,2-1-8,0 16 8,0-17-16,0 3-16,0 0 16,2-2 24,2 2 8,1 0 0,-5 14-16,5-13 16,-1 4 16,0-1-16,1 0 8,0 7 0,-2-9-16,-3 12-8,5-4 48,-2-7 88,1 9 96,1-2 128,-2 1 112,0-1 8,-3 4-480,2-3 472,-1 1-39,1 1-121,-1 0-136,0 1-40,0 0-80,-1 0-56,0 0 56,0 4 72,0-1 8,0 1 16,0 7 48,0-9 48,0-2-248,0 12 224,-2-1 72,-1 2-72,-6 3-88,5 0-8,-7 4-80,11-20-48,-3 20 56,-9 3 32,2-1-64,-1 4 32,0-1 8,1 1-8,10-26-56,-12 28 96,1 0-64,0 2 8,-2 0-16,1 2 0,0 0 24,12-32-48,-9 32 48,-2 1 32,1-2-8,7-1-8,-9 0 24,8-2-16,4-28-72,-4 30 104,2-1-32,0-2 32,2-2 16,0-2 16,2-2 89,-2-21-225,4 19 224,5 0 16,2-1 8,-1 0 8,4-1 8,2-1-16,-16-16-248,18 15 248,3-1 0,2-1-24,5-3-8,0 0-48,2-6-32,-30-4-136,33 12 120,-1-10-40,4 2-64,3-1-80,3 0-104,2-1-120,-44-2 288,41 0-456,1 0-288,2 0-432,1 0-369,3 0-375,1-1 183,-49 1 1737,50-4-1184,3 1 456,2-9-1416,-55 12 2144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A9" zoomScale="130" zoomScaleNormal="100" zoomScaleSheetLayoutView="130" workbookViewId="0">
      <selection activeCell="F8" sqref="F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6" t="s">
        <v>186</v>
      </c>
      <c r="C1" s="46"/>
      <c r="D1" s="46"/>
      <c r="E1" s="46"/>
      <c r="F1" s="46"/>
      <c r="G1" s="46"/>
      <c r="H1" s="46"/>
      <c r="I1" s="46"/>
      <c r="J1" s="46"/>
    </row>
    <row r="2" spans="1:10" ht="30" customHeight="1" x14ac:dyDescent="0.3">
      <c r="B2" s="11" t="s">
        <v>8</v>
      </c>
      <c r="C2" s="52" t="s">
        <v>41</v>
      </c>
      <c r="D2" s="52"/>
      <c r="E2" s="11" t="s">
        <v>7</v>
      </c>
      <c r="F2" s="47">
        <v>45944</v>
      </c>
      <c r="G2" s="47"/>
      <c r="H2" s="47"/>
      <c r="I2" s="47"/>
      <c r="J2" s="47"/>
    </row>
    <row r="3" spans="1:10" ht="30" customHeight="1" x14ac:dyDescent="0.3">
      <c r="B3" s="11" t="s">
        <v>9</v>
      </c>
      <c r="C3" s="52" t="s">
        <v>82</v>
      </c>
      <c r="D3" s="52"/>
      <c r="E3" s="11" t="s">
        <v>6</v>
      </c>
      <c r="F3" s="52" t="s">
        <v>92</v>
      </c>
      <c r="G3" s="52"/>
      <c r="H3" s="52"/>
      <c r="I3" s="52"/>
      <c r="J3" s="52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48" t="s">
        <v>0</v>
      </c>
      <c r="C5" s="49"/>
      <c r="D5" s="49"/>
      <c r="E5" s="53" t="s">
        <v>1</v>
      </c>
      <c r="F5" s="53"/>
      <c r="G5" s="53"/>
      <c r="H5" s="53"/>
      <c r="I5" s="53" t="s">
        <v>2</v>
      </c>
      <c r="J5" s="54"/>
    </row>
    <row r="6" spans="1:10" ht="24.9" customHeight="1" thickBot="1" x14ac:dyDescent="0.35">
      <c r="A6" s="9"/>
      <c r="B6" s="50"/>
      <c r="C6" s="51"/>
      <c r="D6" s="51"/>
      <c r="E6" s="10" t="s">
        <v>3</v>
      </c>
      <c r="F6" s="10" t="s">
        <v>4</v>
      </c>
      <c r="G6" s="10" t="s">
        <v>23</v>
      </c>
      <c r="H6" s="10" t="s">
        <v>24</v>
      </c>
      <c r="I6" s="55"/>
      <c r="J6" s="56"/>
    </row>
    <row r="7" spans="1:10" ht="24.9" customHeight="1" x14ac:dyDescent="0.3">
      <c r="A7" s="9"/>
      <c r="B7" s="63" t="s">
        <v>21</v>
      </c>
      <c r="C7" s="64"/>
      <c r="D7" s="64"/>
      <c r="E7" s="28" t="s">
        <v>18</v>
      </c>
      <c r="F7" s="28" t="s">
        <v>19</v>
      </c>
      <c r="G7" s="28" t="s">
        <v>22</v>
      </c>
      <c r="H7" s="28" t="s">
        <v>20</v>
      </c>
      <c r="I7" s="66" t="s">
        <v>25</v>
      </c>
      <c r="J7" s="67"/>
    </row>
    <row r="8" spans="1:10" ht="39.9" customHeight="1" x14ac:dyDescent="0.3">
      <c r="A8" s="9"/>
      <c r="B8" s="33" t="s">
        <v>179</v>
      </c>
      <c r="C8" s="33"/>
      <c r="D8" s="33"/>
      <c r="E8" s="30">
        <v>3</v>
      </c>
      <c r="F8" s="27">
        <v>2</v>
      </c>
      <c r="G8" s="31">
        <f>IFERROR(F8/E8,"")</f>
        <v>0.66666666666666663</v>
      </c>
      <c r="H8" s="32" t="str">
        <f>_xlfn.IFS(F8="أدخل العلامة","",F8="لا ينطبق","تم الإلغاء",G8&gt;=90%,"ممتاز",G8&gt;=80%,"جيد جداً",G8&gt;=70%,"جيد",G8&gt;=60%,"مقبول",G8&lt;60%,"راسب")</f>
        <v>مقبول</v>
      </c>
      <c r="I8" s="65"/>
      <c r="J8" s="65"/>
    </row>
    <row r="9" spans="1:10" ht="39.9" customHeight="1" x14ac:dyDescent="0.3">
      <c r="A9" s="9"/>
      <c r="B9" s="33" t="s">
        <v>180</v>
      </c>
      <c r="C9" s="33"/>
      <c r="D9" s="33"/>
      <c r="E9" s="30">
        <v>3</v>
      </c>
      <c r="F9" s="27">
        <v>2.25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5"/>
      <c r="J9" s="65"/>
    </row>
    <row r="10" spans="1:10" ht="39.9" customHeight="1" x14ac:dyDescent="0.3">
      <c r="A10" s="9"/>
      <c r="B10" s="33" t="s">
        <v>181</v>
      </c>
      <c r="C10" s="33"/>
      <c r="D10" s="33"/>
      <c r="E10" s="30">
        <v>3</v>
      </c>
      <c r="F10" s="27">
        <v>2.25</v>
      </c>
      <c r="G10" s="31">
        <f t="shared" ref="G10:G14" si="0">IFERROR(F10/E10,"")</f>
        <v>0.75</v>
      </c>
      <c r="H10" s="32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65"/>
      <c r="J10" s="65"/>
    </row>
    <row r="11" spans="1:10" ht="39.9" customHeight="1" x14ac:dyDescent="0.3">
      <c r="A11" s="9"/>
      <c r="B11" s="33" t="s">
        <v>182</v>
      </c>
      <c r="C11" s="33"/>
      <c r="D11" s="33"/>
      <c r="E11" s="30">
        <v>3</v>
      </c>
      <c r="F11" s="27">
        <v>2.25</v>
      </c>
      <c r="G11" s="31">
        <f t="shared" si="0"/>
        <v>0.75</v>
      </c>
      <c r="H11" s="32" t="str">
        <f t="shared" si="1"/>
        <v>جيد</v>
      </c>
      <c r="I11" s="65"/>
      <c r="J11" s="65"/>
    </row>
    <row r="12" spans="1:10" ht="39.9" customHeight="1" x14ac:dyDescent="0.3">
      <c r="A12" s="9"/>
      <c r="B12" s="33" t="s">
        <v>183</v>
      </c>
      <c r="C12" s="33"/>
      <c r="D12" s="33"/>
      <c r="E12" s="30">
        <v>3</v>
      </c>
      <c r="F12" s="27">
        <v>2</v>
      </c>
      <c r="G12" s="31">
        <f t="shared" si="0"/>
        <v>0.66666666666666663</v>
      </c>
      <c r="H12" s="32" t="str">
        <f t="shared" si="1"/>
        <v>مقبول</v>
      </c>
      <c r="I12" s="65"/>
      <c r="J12" s="65"/>
    </row>
    <row r="13" spans="1:10" ht="39.9" customHeight="1" x14ac:dyDescent="0.3">
      <c r="A13" s="9"/>
      <c r="B13" s="33" t="s">
        <v>184</v>
      </c>
      <c r="C13" s="33"/>
      <c r="D13" s="33"/>
      <c r="E13" s="30">
        <v>3</v>
      </c>
      <c r="F13" s="27">
        <v>2.25</v>
      </c>
      <c r="G13" s="31">
        <f t="shared" si="0"/>
        <v>0.75</v>
      </c>
      <c r="H13" s="32" t="str">
        <f t="shared" si="1"/>
        <v>جيد</v>
      </c>
      <c r="I13" s="65"/>
      <c r="J13" s="65"/>
    </row>
    <row r="14" spans="1:10" ht="39.9" customHeight="1" x14ac:dyDescent="0.3">
      <c r="A14" s="9"/>
      <c r="B14" s="33" t="s">
        <v>185</v>
      </c>
      <c r="C14" s="33"/>
      <c r="D14" s="33"/>
      <c r="E14" s="30">
        <v>3</v>
      </c>
      <c r="F14" s="27">
        <v>2</v>
      </c>
      <c r="G14" s="31">
        <f t="shared" si="0"/>
        <v>0.66666666666666663</v>
      </c>
      <c r="H14" s="32" t="str">
        <f t="shared" si="1"/>
        <v>مقبول</v>
      </c>
      <c r="I14" s="65"/>
      <c r="J14" s="65"/>
    </row>
    <row r="15" spans="1:10" ht="30" customHeight="1" thickBot="1" x14ac:dyDescent="0.35">
      <c r="A15" s="4"/>
      <c r="B15" s="40" t="s">
        <v>5</v>
      </c>
      <c r="C15" s="41"/>
      <c r="D15" s="41"/>
      <c r="E15" s="29">
        <f>SUM(E8:E14)</f>
        <v>21</v>
      </c>
      <c r="F15" s="29">
        <f>SUM(F8:F14)</f>
        <v>15</v>
      </c>
      <c r="G15" s="58"/>
      <c r="H15" s="59"/>
      <c r="I15" s="59"/>
      <c r="J15" s="60"/>
    </row>
    <row r="16" spans="1:10" ht="30" customHeight="1" thickBot="1" x14ac:dyDescent="0.35">
      <c r="A16" s="4"/>
      <c r="B16" s="42" t="s">
        <v>54</v>
      </c>
      <c r="C16" s="43"/>
      <c r="D16" s="43"/>
      <c r="E16" s="61">
        <f>F15/E15/100*100</f>
        <v>0.7142857142857143</v>
      </c>
      <c r="F16" s="61"/>
      <c r="G16" s="61"/>
      <c r="H16" s="61"/>
      <c r="I16" s="61"/>
      <c r="J16" s="62"/>
    </row>
    <row r="17" spans="1:10" ht="30" customHeight="1" thickBot="1" x14ac:dyDescent="0.35">
      <c r="A17" s="4"/>
      <c r="B17" s="42" t="s">
        <v>55</v>
      </c>
      <c r="C17" s="43"/>
      <c r="D17" s="43"/>
      <c r="E17" s="71" t="str">
        <f>_xlfn.IFS(E16&gt;=90%,"ممتاز",E16&gt;=80%,"جيد جداً",E16&gt;=70%,"جيد",E16&gt;=60%,"مقبول",E16&lt;60%,"راسب")</f>
        <v>جيد</v>
      </c>
      <c r="F17" s="71"/>
      <c r="G17" s="71"/>
      <c r="H17" s="71"/>
      <c r="I17" s="71"/>
      <c r="J17" s="72"/>
    </row>
    <row r="18" spans="1:10" ht="42" customHeight="1" x14ac:dyDescent="0.3">
      <c r="B18" s="44" t="s">
        <v>178</v>
      </c>
      <c r="C18" s="44"/>
      <c r="D18" s="44"/>
      <c r="E18" s="68" t="s">
        <v>52</v>
      </c>
      <c r="F18" s="68"/>
      <c r="G18" s="69" t="s">
        <v>92</v>
      </c>
      <c r="H18" s="69"/>
      <c r="I18" s="69"/>
      <c r="J18" s="69"/>
    </row>
    <row r="19" spans="1:10" ht="51" customHeight="1" x14ac:dyDescent="0.3">
      <c r="A19" s="5"/>
      <c r="B19" s="45"/>
      <c r="C19" s="45"/>
      <c r="D19" s="45"/>
      <c r="E19" s="57" t="s">
        <v>53</v>
      </c>
      <c r="F19" s="57"/>
      <c r="G19" s="70"/>
      <c r="H19" s="70"/>
      <c r="I19" s="70"/>
      <c r="J19" s="70"/>
    </row>
    <row r="20" spans="1:10" ht="15.6" x14ac:dyDescent="0.3">
      <c r="A20" s="24">
        <v>3</v>
      </c>
      <c r="B20" s="34" t="s">
        <v>175</v>
      </c>
      <c r="C20" s="35"/>
    </row>
    <row r="21" spans="1:10" ht="15.6" x14ac:dyDescent="0.3">
      <c r="A21" s="25">
        <v>2</v>
      </c>
      <c r="B21" s="36" t="s">
        <v>176</v>
      </c>
      <c r="C21" s="37"/>
    </row>
    <row r="22" spans="1:10" ht="15.6" x14ac:dyDescent="0.3">
      <c r="A22" s="26">
        <v>1</v>
      </c>
      <c r="B22" s="38" t="s">
        <v>177</v>
      </c>
      <c r="C22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8">
    <mergeCell ref="E19:F19"/>
    <mergeCell ref="G15:J15"/>
    <mergeCell ref="E16:J16"/>
    <mergeCell ref="B7:D7"/>
    <mergeCell ref="I9:J9"/>
    <mergeCell ref="I7:J7"/>
    <mergeCell ref="I10:J10"/>
    <mergeCell ref="E18:F18"/>
    <mergeCell ref="G18:J18"/>
    <mergeCell ref="G19:J19"/>
    <mergeCell ref="E17:J17"/>
    <mergeCell ref="I8:J8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E5:H5"/>
    <mergeCell ref="I5:J6"/>
    <mergeCell ref="B13:D13"/>
    <mergeCell ref="B14:D14"/>
    <mergeCell ref="B20:C20"/>
    <mergeCell ref="B21:C21"/>
    <mergeCell ref="B22:C22"/>
    <mergeCell ref="B15:D15"/>
    <mergeCell ref="B16:D16"/>
    <mergeCell ref="B17:D17"/>
    <mergeCell ref="B18:D19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G18:J18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2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2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2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2" t="s">
        <v>152</v>
      </c>
    </row>
    <row r="264" spans="1:1" ht="20.100000000000001" customHeight="1" x14ac:dyDescent="0.3">
      <c r="A264" s="22" t="s">
        <v>153</v>
      </c>
    </row>
    <row r="265" spans="1:1" ht="20.100000000000001" customHeight="1" x14ac:dyDescent="0.3">
      <c r="A265" s="22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2" t="s">
        <v>159</v>
      </c>
    </row>
    <row r="271" spans="1:1" ht="20.100000000000001" customHeight="1" x14ac:dyDescent="0.3">
      <c r="A271" s="22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2" t="s">
        <v>162</v>
      </c>
    </row>
    <row r="274" spans="1:1" ht="20.100000000000001" customHeight="1" x14ac:dyDescent="0.3">
      <c r="A274" s="22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2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2" t="s">
        <v>171</v>
      </c>
    </row>
    <row r="283" spans="1:1" ht="20.100000000000001" customHeight="1" x14ac:dyDescent="0.3">
      <c r="A283" s="22" t="s">
        <v>172</v>
      </c>
    </row>
    <row r="284" spans="1:1" ht="20.100000000000001" customHeight="1" x14ac:dyDescent="0.3">
      <c r="A284" s="22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2025-10-15T17:37:24Z</dcterms:modified>
</cp:coreProperties>
</file>