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B2CE8EA-A4B1-6747-9EA6-2340CA5344B1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F31" i="2"/>
  <c r="E31" i="2"/>
  <c r="E32" i="2"/>
  <c r="E33" i="2"/>
</calcChain>
</file>

<file path=xl/sharedStrings.xml><?xml version="1.0" encoding="utf-8"?>
<sst xmlns="http://schemas.openxmlformats.org/spreadsheetml/2006/main" count="260" uniqueCount="204">
  <si>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</si>
  <si>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</si>
  <si>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</si>
  <si>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</si>
  <si>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</si>
  <si>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</si>
  <si>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</si>
  <si>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</si>
  <si>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</si>
  <si>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</si>
  <si>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</si>
  <si>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</si>
  <si>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</si>
  <si>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</si>
  <si>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</si>
  <si>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</si>
  <si>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</si>
  <si>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</si>
  <si>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</si>
  <si>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</si>
  <si>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</si>
  <si>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</si>
  <si>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</si>
  <si>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</si>
  <si>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</si>
  <si>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</si>
  <si>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</si>
  <si>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</si>
  <si>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</si>
  <si>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</si>
  <si>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</si>
  <si>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</si>
  <si>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</si>
  <si>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</si>
  <si>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</si>
  <si>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</si>
  <si>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</si>
  <si>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</si>
  <si>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</si>
  <si>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</si>
  <si>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</si>
  <si>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</si>
  <si>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</si>
  <si>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</si>
  <si>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</si>
  <si>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</si>
  <si>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</si>
  <si>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</si>
  <si>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</si>
  <si>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</si>
  <si>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</si>
  <si>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</si>
  <si>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</si>
  <si>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</si>
  <si>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</si>
  <si>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</si>
  <si>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</si>
  <si>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</si>
  <si>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</si>
  <si>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</si>
  <si>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</si>
  <si>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</si>
  <si>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</si>
  <si>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</si>
  <si>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</si>
  <si>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</si>
  <si>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</si>
  <si>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</si>
  <si>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</si>
  <si>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</si>
  <si>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</si>
  <si>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</si>
  <si>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</si>
  <si>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</si>
  <si>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</si>
  <si>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</si>
  <si>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</si>
  <si>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</si>
  <si>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</si>
  <si>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</si>
  <si>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</si>
  <si>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</si>
  <si>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</si>
  <si>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</si>
  <si>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</si>
  <si>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</si>
  <si>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</si>
  <si>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</si>
  <si>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</si>
  <si>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</si>
  <si>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</si>
  <si>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</si>
  <si>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</si>
  <si>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</si>
  <si>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</si>
  <si>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</si>
  <si>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</si>
  <si>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</si>
  <si>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</si>
  <si>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</si>
  <si>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</si>
  <si>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</si>
  <si>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</si>
  <si>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</si>
  <si>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</si>
  <si>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</si>
  <si>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</si>
  <si>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</si>
  <si>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</si>
  <si>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</si>
  <si>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</si>
  <si>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</si>
  <si>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</si>
  <si>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</si>
  <si>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</si>
  <si>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</si>
  <si>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</si>
  <si>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</si>
  <si>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</si>
  <si>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</si>
  <si>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</si>
  <si>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</si>
  <si>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</si>
  <si>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</si>
  <si>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</si>
  <si>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</si>
  <si>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</si>
  <si>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</si>
  <si>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</si>
  <si>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</si>
  <si>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</si>
  <si>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</si>
  <si>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</si>
  <si>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</si>
  <si>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</si>
  <si>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</si>
  <si>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</si>
  <si>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</si>
  <si>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</si>
  <si>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</si>
  <si>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</si>
  <si>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</si>
  <si>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</si>
  <si>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</si>
  <si>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</si>
  <si>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</si>
  <si>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</si>
  <si>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</si>
  <si>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</si>
  <si>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</si>
  <si>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</si>
  <si>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</si>
  <si>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</si>
  <si>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</si>
  <si>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</si>
  <si>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</si>
  <si>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</si>
  <si>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</si>
  <si>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</si>
  <si>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</si>
  <si>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</si>
  <si>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</si>
  <si>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</si>
  <si>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</si>
  <si>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</si>
  <si>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</si>
  <si>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</si>
  <si>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</si>
  <si>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</si>
  <si>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</si>
  <si>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</si>
  <si>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</si>
  <si>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</si>
  <si>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</si>
  <si>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</si>
  <si>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</si>
  <si>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</si>
  <si>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</si>
  <si>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</si>
  <si>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</si>
  <si>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التحرك واحتلال مناطق الانتشار لسرية الــ م / د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</si>
  <si>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إجراءات القائد قبل بدء التحرك إلى مناطق الانتشار</t>
    </r>
    <r>
      <rPr>
        <b/>
        <sz val="12"/>
        <color rgb="FF000000"/>
        <rFont val="Arial"/>
        <family val="2"/>
      </rPr>
      <t>.</t>
    </r>
  </si>
  <si>
    <t>أ. إبلاغ المرؤوسين بالبدء بتنفيذ خطة التحرك لمناطق الانتشار.</t>
  </si>
  <si>
    <t>ب. إرسال مجموعات الحماية والاستطلاع والأدلاء إلى مناطق الانتشار.</t>
  </si>
  <si>
    <t>جـ. تحميل وثائق العمليات.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</si>
  <si>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إجراءات القادة والقوات أثناء التحرك لمناطق الانتشار</t>
    </r>
    <r>
      <rPr>
        <b/>
        <sz val="12"/>
        <color rgb="FF000000"/>
        <rFont val="Arial"/>
        <family val="2"/>
      </rPr>
      <t>.</t>
    </r>
  </si>
  <si>
    <t>أ. التقيد بتنفيذ إجراءات التحرك حسب أمر / جدول التنقل.</t>
  </si>
  <si>
    <t>ب. سيطرة القادة على قواتهم أثناء التحرك.</t>
  </si>
  <si>
    <t>جـ. توفر الحماية الجوية للقوات أثناء التحرك.</t>
  </si>
  <si>
    <t>د. تحقيـق الاتصال بالمستـوى الأعلى والادنى.</t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</si>
  <si>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تجهيز وإعداد مناطق الانتشار والإجراءات المتخذة فيها</t>
    </r>
    <r>
      <rPr>
        <b/>
        <sz val="12"/>
        <color rgb="FF000000"/>
        <rFont val="Arial"/>
        <family val="2"/>
      </rPr>
      <t>.</t>
    </r>
  </si>
  <si>
    <t>أ. التأكد من توزيع المعدات بالطريقة الصحيحة مع تقسيم منطقة الانتشار إلى قطاعات.</t>
  </si>
  <si>
    <t>ب. مدى جاهزية القوة للقيام بالدفاع عن منطقة الانتشار حسب خطة الدفاع والحراسة.</t>
  </si>
  <si>
    <t>جـ. وجود خطة النيـــران.</t>
  </si>
  <si>
    <t>د. التأكد من الإخفاء والتمويه.</t>
  </si>
  <si>
    <t>هـ. التأكد من فتح وإدامة مراكز القيادة والاتصالات والسيطرة.</t>
  </si>
  <si>
    <t>و. وجود خطة التأمين الكيميائي.</t>
  </si>
  <si>
    <t>ز. التأكد من تأمين مناطق الانتشار بالاتصالات.</t>
  </si>
  <si>
    <t>ح. وجود تعليمات الإنـــذار.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</si>
  <si>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إجراءات الإسناد الإداري</t>
    </r>
    <r>
      <rPr>
        <b/>
        <sz val="12"/>
        <color rgb="FF000000"/>
        <rFont val="Arial"/>
        <family val="2"/>
      </rPr>
      <t>.</t>
    </r>
  </si>
  <si>
    <t>أ. التزويد ( الوقود / الأرزاق / المياه، الخ..).</t>
  </si>
  <si>
    <t>ب. الإخـلاء.</t>
  </si>
  <si>
    <t>جـ. الإنقـاذ.</t>
  </si>
  <si>
    <t>د. الطرق الرئيسة والتبادلية المؤديـة إلى ومن مناطق الانتشــار.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</si>
</sst>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</cellXfs>
  <cellStyles count="1">
    <cellStyle name="عادي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432395</xdr:colOff>
      <xdr:row>33</xdr:row>
      <xdr:rowOff>482560</xdr:rowOff>
    </xdr:from>
    <xdr:to>
      <xdr:col>9</xdr:col>
      <xdr:colOff>329701</xdr:colOff>
      <xdr:row>37</xdr:row>
      <xdr:rowOff>40360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517BEDB1-E385-6BA0-F135-E06EF17EC337}"/>
                </a:ext>
              </a:extLst>
            </xdr14:cNvPr>
            <xdr14:cNvContentPartPr/>
          </xdr14:nvContentPartPr>
          <xdr14:nvPr macro=""/>
          <xdr14:xfrm>
            <a:off x="11438110025" y="13309560"/>
            <a:ext cx="2062080" cy="1081800"/>
          </xdr14:xfrm>
        </xdr:contentPart>
      </mc:Choice>
      <mc:Fallback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517BEDB1-E385-6BA0-F135-E06EF17EC3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101025" y="13300920"/>
              <a:ext cx="2079720" cy="1099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19:29:55.9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532 1094,'0'0,"0"0,0 0,0 0,0 0,0 0,0 0,0 0,0 0,0 0,0 0,0 0,0 0,0 16,0-13,-17 10,0 3,17-14,-14 28,-20 34,29-54,-38 44,12 26,26-67,-38 55,11 12,25-68,-19 40,-6 12,28-54,8 28,13-22,-14-13,42-6,83-45,-109 41,106-50,68-23,-165 68,167-89,63-27,-222 110,199-108,54-34,-248 137,192-99,-9 10,-190 95,124-78,18-2,-150 83,61-36,-8 2,-67 41,41-18,-5 9,-40 14,1 4,-2-2,-31 16,8 0,16-15,-15 14,-33 17,38-27,-14 22,-38 21,52-40,-45 33,-10 7,55-41,-28 34,-10 7,41-40,-18 16,-6 8,26-27,-7 6,5-3,46-32,-23 24,1-16,-14 13,26-10,2-3,-24 13,3 6,21-3,-24 0,3 0,-10 16,0-14,0 28,0-27,0 10,-17 3,17-13,0 26,0-13,0-13,0 10,0-11,17-4,0 2,-15 0,10 0,5 0,-15 0,27-16,-12 16,-15 0,13 0,-1 0,-11 0,11 16,-7-8,3 0,-10 8,0-13,0 10,0-11,0 12,0-6,0 0,0 8,0-14,0 13,0-14,-17 14,15-14,4 14,-2 1,0-14,-17 12,17 2,0-14,17 12,0-14,-15 0,27-16,36-16,-55 27,76-38,25-38,-92 69,92-40,0-28,-92 67,91-38,49-45,-132 80,76-49,-24 17,-67 41,56-18,-20-7,-38 27,28-6,10-21,-38 27,-3 10,41-37,-41 27,51-22,-10-5,-41 27,34-6,7-21,-40 27,16-6,7-5,-26 13,24-10,19-19,-41 26,48-20,-21 10,-29 13,4 6,25-20,-29 15,4 4,-6-2,-20 0,-17 17,30-15,-54 28,-72 34,111-54,-121 76,-69 26,175-93,-189 90,-49 52,226-134,-197 106,-14 28,216-136,-159 94,-55 25,212-121,-140 99,-24-10,171-93,-120 58,-22 3,154-68,-111 40,5-4,109-39,-102 30,-21 10,120-42,-63 34,-57 23,122-54,-101 44,-21 10,122-54,-69 28,12 10,67-40,-73 32,37 9,39-42,-30 18,5 7,30-27,-23 22,-21 5,41-27,-3 6,-4 5,11-14,-11 12,-3 2,17-14,-14-4,11 2,20 0,0-16,31-16,-41 27,65-54,58-54,-108 95,132-92,38-50,-160 134,160-109,49-57,-201 161,129-114,55 0,-188 122,120-114,36 9,-158 107,125-103,-29 28,-111 80,89-64,5-16,-96 80,77-64,-12 15,-70 55,38-44,15-10,-55 54,45-44,-7 6,-41 40,17-16,-7-24,-14 40,9-16,5-8,-15 26,-4-4,-15-23,17 28,-15-6,-33-5,39 14,-16-12,-23-2,41 14,-17 4,-24-2,41 0,-51 16,10 0,43-13,-69 26,-23 36,81-55,-81 28,-13 26,90-54,-42 28,-17 10,64-40,-35 32,18-8,28-27,-9 6,-1 5,12-13,4 26,12-13,-11-13,28 10,32 3,-51-13,72-6,77 3,-134 0,122 0,12-16,-137 14,113 20,7-18,-120 0,63 17,-22-1,-56-14,47 28,-8-14,-43-14,52 28,-23 2,-31-27,42 22,3 21,-40-41,32 18,-8 7,-27-27,21 38,-9-11,-15-27,13 22,-1 21,-12-40,-18 33,-1 7,14-41,-42 50,-35 39,68-81,-72 66,-12 15,79-80,-48 49,-31-1,81-54,-33 44,-17-22,56-27,-13 22,-26-11,38-13,-14 26,-24-13,41-13,0 10,-10 3,15-13,21-6,-17 3,44-16,50-32,-81 41,129-66,48-23,-158 80,173-97,82-31,-244 122,232-132,11-23,-244 151,201-108,10-10,-214 121,144-99,22 10,-171 94,41-28,19-2,-79 40,31-16,-17 8,-26 13,7 6,-29 13,15-14,21-4,-52 18,30-14,-42 28,-100 50,124-67,-165 86,-71 30,216-109,-223 120,-73 68,286-175,-283 143,-51 48,323-186,-244 149,-79 21,323-174,-229 157,-77 1,315-164,-214 137,-39-21,261-122,-182 100,1-9,190-94,-103 26,26 3,93-40,-40 16,12-8,41-13,-17-6,7 3,17 0,-7 0,45-32,-38 32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5"/>
  <sheetViews>
    <sheetView rightToLeft="1" tabSelected="1" view="pageBreakPreview" topLeftCell="D18" zoomScale="130" zoomScaleNormal="100" zoomScaleSheetLayoutView="130" workbookViewId="0">
      <selection activeCell="G35" sqref="G35:J35"/>
    </sheetView>
  </sheetViews>
  <sheetFormatPr defaultColWidth="8.94921875" defaultRowHeight="13.5"/>
  <cols>
    <col min="1" max="1" width="5.1484375" style="1" customWidth="1"/>
    <col min="2" max="2" width="12.13671875" style="1" customWidth="1"/>
    <col min="3" max="3" width="8.94921875" style="1"/>
    <col min="4" max="4" width="28.07421875" style="1" customWidth="1"/>
    <col min="5" max="7" width="9.31640625" style="1" customWidth="1"/>
    <col min="8" max="8" width="9.31640625" style="3" customWidth="1"/>
    <col min="9" max="9" width="9.31640625" style="1" customWidth="1"/>
    <col min="10" max="10" width="15.4453125" style="1" customWidth="1"/>
    <col min="11" max="16384" width="8.94921875" style="1"/>
  </cols>
  <sheetData>
    <row r="1" spans="1:10" ht="45" customHeight="1">
      <c r="B1" s="58" t="s">
        <v>180</v>
      </c>
      <c r="C1" s="58"/>
      <c r="D1" s="58"/>
      <c r="E1" s="58"/>
      <c r="F1" s="58"/>
      <c r="G1" s="58"/>
      <c r="H1" s="58"/>
      <c r="I1" s="58"/>
      <c r="J1" s="58"/>
    </row>
    <row r="2" spans="1:10" ht="30" customHeight="1">
      <c r="B2" s="12" t="s">
        <v>8</v>
      </c>
      <c r="C2" s="64" t="s">
        <v>27</v>
      </c>
      <c r="D2" s="64"/>
      <c r="E2" s="12" t="s">
        <v>7</v>
      </c>
      <c r="F2" s="59">
        <v>45929</v>
      </c>
      <c r="G2" s="59"/>
      <c r="H2" s="59"/>
      <c r="I2" s="59"/>
      <c r="J2" s="59"/>
    </row>
    <row r="3" spans="1:10" ht="30" customHeight="1">
      <c r="B3" s="12" t="s">
        <v>9</v>
      </c>
      <c r="C3" s="64" t="s">
        <v>70</v>
      </c>
      <c r="D3" s="64"/>
      <c r="E3" s="12" t="s">
        <v>6</v>
      </c>
      <c r="F3" s="64" t="s">
        <v>115</v>
      </c>
      <c r="G3" s="64"/>
      <c r="H3" s="64"/>
      <c r="I3" s="64"/>
      <c r="J3" s="64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60" t="s">
        <v>0</v>
      </c>
      <c r="C5" s="61"/>
      <c r="D5" s="61"/>
      <c r="E5" s="69" t="s">
        <v>1</v>
      </c>
      <c r="F5" s="69"/>
      <c r="G5" s="69"/>
      <c r="H5" s="69"/>
      <c r="I5" s="69" t="s">
        <v>2</v>
      </c>
      <c r="J5" s="70"/>
    </row>
    <row r="6" spans="1:10" ht="24.95" customHeight="1" thickBot="1">
      <c r="A6" s="10"/>
      <c r="B6" s="62"/>
      <c r="C6" s="63"/>
      <c r="D6" s="63"/>
      <c r="E6" s="11" t="s">
        <v>3</v>
      </c>
      <c r="F6" s="11" t="s">
        <v>4</v>
      </c>
      <c r="G6" s="11" t="s">
        <v>23</v>
      </c>
      <c r="H6" s="11" t="s">
        <v>24</v>
      </c>
      <c r="I6" s="71"/>
      <c r="J6" s="72"/>
    </row>
    <row r="7" spans="1:10" ht="24.95" customHeight="1" thickBot="1">
      <c r="A7" s="10"/>
      <c r="B7" s="67" t="s">
        <v>21</v>
      </c>
      <c r="C7" s="68"/>
      <c r="D7" s="68"/>
      <c r="E7" s="28" t="s">
        <v>18</v>
      </c>
      <c r="F7" s="28" t="s">
        <v>19</v>
      </c>
      <c r="G7" s="28" t="s">
        <v>22</v>
      </c>
      <c r="H7" s="28" t="s">
        <v>20</v>
      </c>
      <c r="I7" s="73" t="s">
        <v>25</v>
      </c>
      <c r="J7" s="74"/>
    </row>
    <row r="8" spans="1:10" ht="30" customHeight="1">
      <c r="A8" s="10"/>
      <c r="B8" s="83" t="s">
        <v>181</v>
      </c>
      <c r="C8" s="84"/>
      <c r="D8" s="84"/>
      <c r="E8" s="33"/>
      <c r="F8" s="34"/>
      <c r="G8" s="35"/>
      <c r="H8" s="36"/>
      <c r="I8" s="45"/>
      <c r="J8" s="46"/>
    </row>
    <row r="9" spans="1:10" ht="30" customHeight="1">
      <c r="A9" s="10"/>
      <c r="B9" s="79" t="s">
        <v>182</v>
      </c>
      <c r="C9" s="80"/>
      <c r="D9" s="80"/>
      <c r="E9" s="32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0" customHeight="1">
      <c r="A10" s="10"/>
      <c r="B10" s="79" t="s">
        <v>183</v>
      </c>
      <c r="C10" s="80"/>
      <c r="D10" s="80"/>
      <c r="E10" s="32">
        <v>5</v>
      </c>
      <c r="F10" s="26">
        <v>3.75</v>
      </c>
      <c r="G10" s="30">
        <f t="shared" ref="G10:G30" si="0">IFERROR(F10/E10,"")</f>
        <v>0.75</v>
      </c>
      <c r="H10" s="31" t="str">
        <f t="shared" ref="H10:H30" si="1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2"/>
    </row>
    <row r="11" spans="1:10" ht="30" customHeight="1" thickBot="1">
      <c r="A11" s="10"/>
      <c r="B11" s="81" t="s">
        <v>184</v>
      </c>
      <c r="C11" s="82"/>
      <c r="D11" s="82"/>
      <c r="E11" s="37">
        <v>5</v>
      </c>
      <c r="F11" s="27">
        <v>3.75</v>
      </c>
      <c r="G11" s="38">
        <f t="shared" si="0"/>
        <v>0.75</v>
      </c>
      <c r="H11" s="39" t="str">
        <f t="shared" si="1"/>
        <v>جيد</v>
      </c>
      <c r="I11" s="43"/>
      <c r="J11" s="44"/>
    </row>
    <row r="12" spans="1:10" ht="30" customHeight="1">
      <c r="A12" s="10"/>
      <c r="B12" s="83" t="s">
        <v>185</v>
      </c>
      <c r="C12" s="84"/>
      <c r="D12" s="84"/>
      <c r="E12" s="33"/>
      <c r="F12" s="34"/>
      <c r="G12" s="35"/>
      <c r="H12" s="36"/>
      <c r="I12" s="45"/>
      <c r="J12" s="46"/>
    </row>
    <row r="13" spans="1:10" ht="30" customHeight="1">
      <c r="A13" s="10"/>
      <c r="B13" s="79" t="s">
        <v>186</v>
      </c>
      <c r="C13" s="80"/>
      <c r="D13" s="80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1"/>
      <c r="J13" s="42"/>
    </row>
    <row r="14" spans="1:10" ht="30" customHeight="1">
      <c r="A14" s="10"/>
      <c r="B14" s="79" t="s">
        <v>187</v>
      </c>
      <c r="C14" s="80"/>
      <c r="D14" s="80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1"/>
      <c r="J14" s="42"/>
    </row>
    <row r="15" spans="1:10" ht="30" customHeight="1">
      <c r="A15" s="10"/>
      <c r="B15" s="79" t="s">
        <v>188</v>
      </c>
      <c r="C15" s="80"/>
      <c r="D15" s="80"/>
      <c r="E15" s="9">
        <v>8</v>
      </c>
      <c r="F15" s="26">
        <v>6</v>
      </c>
      <c r="G15" s="30">
        <f t="shared" si="0"/>
        <v>0.75</v>
      </c>
      <c r="H15" s="31" t="str">
        <f t="shared" si="1"/>
        <v>جيد</v>
      </c>
      <c r="I15" s="41"/>
      <c r="J15" s="42"/>
    </row>
    <row r="16" spans="1:10" ht="30" customHeight="1" thickBot="1">
      <c r="A16" s="10"/>
      <c r="B16" s="81" t="s">
        <v>189</v>
      </c>
      <c r="C16" s="82"/>
      <c r="D16" s="82"/>
      <c r="E16" s="40">
        <v>7</v>
      </c>
      <c r="F16" s="27">
        <v>5</v>
      </c>
      <c r="G16" s="38">
        <f t="shared" si="0"/>
        <v>0.7142857142857143</v>
      </c>
      <c r="H16" s="39" t="str">
        <f t="shared" si="1"/>
        <v>جيد</v>
      </c>
      <c r="I16" s="43"/>
      <c r="J16" s="44"/>
    </row>
    <row r="17" spans="1:10" ht="30" customHeight="1">
      <c r="A17" s="10"/>
      <c r="B17" s="83" t="s">
        <v>190</v>
      </c>
      <c r="C17" s="84"/>
      <c r="D17" s="84"/>
      <c r="E17" s="33"/>
      <c r="F17" s="34"/>
      <c r="G17" s="35"/>
      <c r="H17" s="36"/>
      <c r="I17" s="45"/>
      <c r="J17" s="46"/>
    </row>
    <row r="18" spans="1:10" ht="39.950000000000003" customHeight="1">
      <c r="A18" s="10"/>
      <c r="B18" s="79" t="s">
        <v>191</v>
      </c>
      <c r="C18" s="80"/>
      <c r="D18" s="80"/>
      <c r="E18" s="32">
        <v>5</v>
      </c>
      <c r="F18" s="26">
        <v>4</v>
      </c>
      <c r="G18" s="30">
        <f t="shared" si="0"/>
        <v>0.8</v>
      </c>
      <c r="H18" s="31" t="str">
        <f t="shared" si="1"/>
        <v>جيد جداً</v>
      </c>
      <c r="I18" s="41"/>
      <c r="J18" s="42"/>
    </row>
    <row r="19" spans="1:10" ht="39.950000000000003" customHeight="1">
      <c r="A19" s="10"/>
      <c r="B19" s="79" t="s">
        <v>192</v>
      </c>
      <c r="C19" s="80"/>
      <c r="D19" s="80"/>
      <c r="E19" s="32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1"/>
      <c r="J19" s="42"/>
    </row>
    <row r="20" spans="1:10" ht="30" customHeight="1">
      <c r="A20" s="10"/>
      <c r="B20" s="79" t="s">
        <v>193</v>
      </c>
      <c r="C20" s="80"/>
      <c r="D20" s="80"/>
      <c r="E20" s="32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1"/>
      <c r="J20" s="42"/>
    </row>
    <row r="21" spans="1:10" ht="30" customHeight="1">
      <c r="A21" s="10"/>
      <c r="B21" s="79" t="s">
        <v>194</v>
      </c>
      <c r="C21" s="80"/>
      <c r="D21" s="80"/>
      <c r="E21" s="32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1"/>
      <c r="J21" s="42"/>
    </row>
    <row r="22" spans="1:10" ht="30" customHeight="1">
      <c r="A22" s="10"/>
      <c r="B22" s="79" t="s">
        <v>195</v>
      </c>
      <c r="C22" s="80"/>
      <c r="D22" s="80"/>
      <c r="E22" s="32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1"/>
      <c r="J22" s="42"/>
    </row>
    <row r="23" spans="1:10" ht="30" customHeight="1">
      <c r="A23" s="10"/>
      <c r="B23" s="79" t="s">
        <v>196</v>
      </c>
      <c r="C23" s="80"/>
      <c r="D23" s="80"/>
      <c r="E23" s="32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41"/>
      <c r="J23" s="42"/>
    </row>
    <row r="24" spans="1:10" ht="30" customHeight="1">
      <c r="A24" s="10"/>
      <c r="B24" s="79" t="s">
        <v>197</v>
      </c>
      <c r="C24" s="80"/>
      <c r="D24" s="80"/>
      <c r="E24" s="32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1"/>
      <c r="J24" s="42"/>
    </row>
    <row r="25" spans="1:10" ht="30" customHeight="1" thickBot="1">
      <c r="A25" s="10"/>
      <c r="B25" s="81" t="s">
        <v>198</v>
      </c>
      <c r="C25" s="82"/>
      <c r="D25" s="82"/>
      <c r="E25" s="37">
        <v>5</v>
      </c>
      <c r="F25" s="27">
        <v>3.75</v>
      </c>
      <c r="G25" s="38">
        <f t="shared" si="0"/>
        <v>0.75</v>
      </c>
      <c r="H25" s="39" t="str">
        <f t="shared" si="1"/>
        <v>جيد</v>
      </c>
      <c r="I25" s="43"/>
      <c r="J25" s="44"/>
    </row>
    <row r="26" spans="1:10" ht="30" customHeight="1">
      <c r="A26" s="10"/>
      <c r="B26" s="83" t="s">
        <v>199</v>
      </c>
      <c r="C26" s="84"/>
      <c r="D26" s="84"/>
      <c r="E26" s="33"/>
      <c r="F26" s="34"/>
      <c r="G26" s="35"/>
      <c r="H26" s="36"/>
      <c r="I26" s="45"/>
      <c r="J26" s="46"/>
    </row>
    <row r="27" spans="1:10" ht="30" customHeight="1">
      <c r="A27" s="10"/>
      <c r="B27" s="79" t="s">
        <v>200</v>
      </c>
      <c r="C27" s="80"/>
      <c r="D27" s="80"/>
      <c r="E27" s="32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1"/>
      <c r="J27" s="42"/>
    </row>
    <row r="28" spans="1:10" ht="30" customHeight="1">
      <c r="A28" s="10"/>
      <c r="B28" s="79" t="s">
        <v>201</v>
      </c>
      <c r="C28" s="80"/>
      <c r="D28" s="80"/>
      <c r="E28" s="32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41"/>
      <c r="J28" s="42"/>
    </row>
    <row r="29" spans="1:10" ht="30" customHeight="1">
      <c r="A29" s="10"/>
      <c r="B29" s="79" t="s">
        <v>202</v>
      </c>
      <c r="C29" s="80"/>
      <c r="D29" s="80"/>
      <c r="E29" s="32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1"/>
      <c r="J29" s="42"/>
    </row>
    <row r="30" spans="1:10" ht="30" customHeight="1" thickBot="1">
      <c r="A30" s="10"/>
      <c r="B30" s="81" t="s">
        <v>203</v>
      </c>
      <c r="C30" s="82"/>
      <c r="D30" s="82"/>
      <c r="E30" s="37">
        <v>5</v>
      </c>
      <c r="F30" s="27">
        <v>3.75</v>
      </c>
      <c r="G30" s="38">
        <f t="shared" si="0"/>
        <v>0.75</v>
      </c>
      <c r="H30" s="39" t="str">
        <f t="shared" si="1"/>
        <v>جيد</v>
      </c>
      <c r="I30" s="43"/>
      <c r="J30" s="44"/>
    </row>
    <row r="31" spans="1:10" ht="30" customHeight="1" thickBot="1">
      <c r="A31" s="4"/>
      <c r="B31" s="75" t="s">
        <v>5</v>
      </c>
      <c r="C31" s="76"/>
      <c r="D31" s="76"/>
      <c r="E31" s="29">
        <f>SUM(E8:E30)</f>
        <v>100</v>
      </c>
      <c r="F31" s="29">
        <f>SUM(F8:F30)</f>
        <v>73.5</v>
      </c>
      <c r="G31" s="49"/>
      <c r="H31" s="50"/>
      <c r="I31" s="50"/>
      <c r="J31" s="51"/>
    </row>
    <row r="32" spans="1:10" ht="30" customHeight="1" thickBot="1">
      <c r="A32" s="4"/>
      <c r="B32" s="77" t="s">
        <v>54</v>
      </c>
      <c r="C32" s="78"/>
      <c r="D32" s="78"/>
      <c r="E32" s="65">
        <f>F31/E31/100*100</f>
        <v>0.73499999999999999</v>
      </c>
      <c r="F32" s="65"/>
      <c r="G32" s="65"/>
      <c r="H32" s="65"/>
      <c r="I32" s="65"/>
      <c r="J32" s="66"/>
    </row>
    <row r="33" spans="1:10" ht="30" customHeight="1" thickBot="1">
      <c r="A33" s="4"/>
      <c r="B33" s="77" t="s">
        <v>55</v>
      </c>
      <c r="C33" s="78"/>
      <c r="D33" s="78"/>
      <c r="E33" s="56" t="str">
        <f>_xlfn.IFS(E32&gt;=90%,"ممتاز",E32&gt;=80%,"جيد جداً",E32&gt;=70%,"جيد",E32&gt;=60%,"مقبول",E32&lt;60%,"راسب")</f>
        <v>جيد</v>
      </c>
      <c r="F33" s="56"/>
      <c r="G33" s="56"/>
      <c r="H33" s="56"/>
      <c r="I33" s="56"/>
      <c r="J33" s="57"/>
    </row>
    <row r="34" spans="1:10" ht="42" customHeight="1">
      <c r="B34" s="52" t="s">
        <v>174</v>
      </c>
      <c r="C34" s="52"/>
      <c r="D34" s="52"/>
      <c r="E34" s="47" t="s">
        <v>52</v>
      </c>
      <c r="F34" s="47"/>
      <c r="G34" s="54" t="s">
        <v>115</v>
      </c>
      <c r="H34" s="54"/>
      <c r="I34" s="54"/>
      <c r="J34" s="54"/>
    </row>
    <row r="35" spans="1:10" ht="51" customHeight="1">
      <c r="A35" s="5"/>
      <c r="B35" s="53"/>
      <c r="C35" s="53"/>
      <c r="D35" s="53"/>
      <c r="E35" s="48" t="s">
        <v>53</v>
      </c>
      <c r="F35" s="48"/>
      <c r="G35" s="55"/>
      <c r="H35" s="55"/>
      <c r="I35" s="55"/>
      <c r="J35" s="5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7">
    <mergeCell ref="B29:D29"/>
    <mergeCell ref="B30:D30"/>
    <mergeCell ref="B20:D20"/>
    <mergeCell ref="B21:D21"/>
    <mergeCell ref="B26:D26"/>
    <mergeCell ref="B27:D27"/>
    <mergeCell ref="B28:D28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I8:J8"/>
    <mergeCell ref="B31:D31"/>
    <mergeCell ref="B32:D32"/>
    <mergeCell ref="B33:D3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0:J10"/>
    <mergeCell ref="I19:J19"/>
    <mergeCell ref="B34:D35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32:J32"/>
    <mergeCell ref="B7:D7"/>
    <mergeCell ref="I30:J30"/>
    <mergeCell ref="E5:H5"/>
    <mergeCell ref="I5:J6"/>
    <mergeCell ref="I7:J7"/>
    <mergeCell ref="E35:F35"/>
    <mergeCell ref="G31:J31"/>
    <mergeCell ref="I20:J20"/>
    <mergeCell ref="I21:J21"/>
    <mergeCell ref="I22:J22"/>
    <mergeCell ref="I23:J23"/>
    <mergeCell ref="I24:J24"/>
    <mergeCell ref="I9:J9"/>
    <mergeCell ref="I25:J25"/>
    <mergeCell ref="I26:J26"/>
    <mergeCell ref="I27:J27"/>
    <mergeCell ref="E34:F3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14" priority="57">
      <formula>$E33="راسب"</formula>
    </cfRule>
  </conditionalFormatting>
  <conditionalFormatting sqref="E33:J33">
    <cfRule type="expression" dxfId="13" priority="58">
      <formula>$E33="مقبول"</formula>
    </cfRule>
    <cfRule type="expression" dxfId="12" priority="59">
      <formula>$E33="جيد"</formula>
    </cfRule>
    <cfRule type="expression" dxfId="11" priority="60">
      <formula>$E33="جيد جداً"</formula>
    </cfRule>
    <cfRule type="expression" dxfId="10" priority="61">
      <formula>$E33="ممتاز"</formula>
    </cfRule>
  </conditionalFormatting>
  <conditionalFormatting sqref="F8:F3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4:J34">
    <cfRule type="containsText" dxfId="6" priority="15" operator="containsText" text="أدخل اسم المحكم">
      <formula>NOT(ISERROR(SEARCH("أدخل اسم المحكم",G34)))</formula>
    </cfRule>
  </conditionalFormatting>
  <conditionalFormatting sqref="H8:H3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F27:F30 F18:F25 F9:F11 F13:F14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G34:J34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539D945-9A6B-4D5A-B85F-FC69C5A4F058}">
          <x14:formula1>
            <xm:f>'بيانات التقييم'!$A$111:$A$145</xm:f>
          </x14:formula1>
          <xm:sqref>F15</xm:sqref>
        </x14:dataValidation>
        <x14:dataValidation type="list" allowBlank="1" showInputMessage="1" showErrorMessage="1" xr:uid="{DD017DE7-280D-4890-9349-922017BD3AEE}">
          <x14:formula1>
            <xm:f>'بيانات التقييم'!$A$111:$A$141</xm:f>
          </x14:formula1>
          <xm:sqref>F16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workbookViewId="0">
      <selection activeCell="C33" sqref="C33"/>
    </sheetView>
  </sheetViews>
  <sheetFormatPr defaultRowHeight="20.100000000000001" customHeight="1"/>
  <cols>
    <col min="1" max="1" width="42.5390625" style="1" customWidth="1"/>
    <col min="2" max="2" width="24.88671875" style="1" customWidth="1"/>
    <col min="3" max="3" width="59.82421875" style="1" customWidth="1"/>
    <col min="4" max="9" width="8.9492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45901</v>
      </c>
    </row>
    <row r="40" spans="1:9" ht="20.100000000000001" customHeight="1" thickBot="1">
      <c r="A40" s="13">
        <v>45902</v>
      </c>
    </row>
    <row r="41" spans="1:9" ht="20.100000000000001" customHeight="1" thickBot="1">
      <c r="A41" s="13">
        <v>45903</v>
      </c>
    </row>
    <row r="42" spans="1:9" ht="20.100000000000001" customHeight="1" thickBot="1">
      <c r="A42" s="13">
        <v>45904</v>
      </c>
    </row>
    <row r="43" spans="1:9" ht="20.100000000000001" customHeight="1" thickBot="1">
      <c r="A43" s="13">
        <v>45905</v>
      </c>
    </row>
    <row r="44" spans="1:9" ht="20.100000000000001" customHeight="1" thickBot="1">
      <c r="A44" s="13">
        <v>45906</v>
      </c>
    </row>
    <row r="45" spans="1:9" ht="20.100000000000001" customHeight="1" thickBot="1">
      <c r="A45" s="13">
        <v>45907</v>
      </c>
    </row>
    <row r="46" spans="1:9" ht="20.100000000000001" customHeight="1" thickBot="1">
      <c r="A46" s="13">
        <v>45908</v>
      </c>
    </row>
    <row r="47" spans="1:9" ht="20.100000000000001" customHeight="1" thickBot="1">
      <c r="A47" s="13">
        <v>45909</v>
      </c>
    </row>
    <row r="48" spans="1:9" ht="20.100000000000001" customHeight="1" thickBot="1">
      <c r="A48" s="13">
        <v>45910</v>
      </c>
    </row>
    <row r="49" spans="1:1" ht="20.100000000000001" customHeight="1" thickBot="1">
      <c r="A49" s="13">
        <v>45911</v>
      </c>
    </row>
    <row r="50" spans="1:1" ht="20.100000000000001" customHeight="1" thickBot="1">
      <c r="A50" s="13">
        <v>45912</v>
      </c>
    </row>
    <row r="51" spans="1:1" ht="20.100000000000001" customHeight="1" thickBot="1">
      <c r="A51" s="13">
        <v>45913</v>
      </c>
    </row>
    <row r="52" spans="1:1" ht="20.100000000000001" customHeight="1" thickBot="1">
      <c r="A52" s="13">
        <v>45914</v>
      </c>
    </row>
    <row r="53" spans="1:1" ht="20.100000000000001" customHeight="1" thickBot="1">
      <c r="A53" s="13">
        <v>45915</v>
      </c>
    </row>
    <row r="54" spans="1:1" ht="20.100000000000001" customHeight="1" thickBot="1">
      <c r="A54" s="13">
        <v>45916</v>
      </c>
    </row>
    <row r="55" spans="1:1" ht="20.100000000000001" customHeight="1" thickBot="1">
      <c r="A55" s="13">
        <v>45917</v>
      </c>
    </row>
    <row r="56" spans="1:1" ht="20.100000000000001" customHeight="1" thickBot="1">
      <c r="A56" s="13">
        <v>45918</v>
      </c>
    </row>
    <row r="57" spans="1:1" ht="20.100000000000001" customHeight="1" thickBot="1">
      <c r="A57" s="13">
        <v>45919</v>
      </c>
    </row>
    <row r="58" spans="1:1" ht="20.100000000000001" customHeight="1" thickBot="1">
      <c r="A58" s="13">
        <v>45920</v>
      </c>
    </row>
    <row r="59" spans="1:1" ht="20.100000000000001" customHeight="1" thickBot="1">
      <c r="A59" s="13">
        <v>45921</v>
      </c>
    </row>
    <row r="60" spans="1:1" ht="20.100000000000001" customHeight="1" thickBot="1">
      <c r="A60" s="13">
        <v>45922</v>
      </c>
    </row>
    <row r="61" spans="1:1" ht="20.100000000000001" customHeight="1" thickBot="1">
      <c r="A61" s="13">
        <v>45923</v>
      </c>
    </row>
    <row r="62" spans="1:1" ht="20.100000000000001" customHeight="1" thickBot="1">
      <c r="A62" s="13">
        <v>45924</v>
      </c>
    </row>
    <row r="63" spans="1:1" ht="20.100000000000001" customHeight="1" thickBot="1">
      <c r="A63" s="13">
        <v>45925</v>
      </c>
    </row>
    <row r="64" spans="1:1" ht="20.100000000000001" customHeight="1" thickBot="1">
      <c r="A64" s="13">
        <v>45926</v>
      </c>
    </row>
    <row r="65" spans="1:1" ht="20.100000000000001" customHeight="1" thickBot="1">
      <c r="A65" s="13">
        <v>45927</v>
      </c>
    </row>
    <row r="66" spans="1:1" ht="20.100000000000001" customHeight="1" thickBot="1">
      <c r="A66" s="13">
        <v>45928</v>
      </c>
    </row>
    <row r="67" spans="1:1" ht="20.100000000000001" customHeight="1" thickBot="1">
      <c r="A67" s="13">
        <v>45929</v>
      </c>
    </row>
    <row r="68" spans="1:1" ht="20.100000000000001" customHeight="1" thickBot="1">
      <c r="A68" s="13">
        <v>45930</v>
      </c>
    </row>
    <row r="69" spans="1:1" ht="20.100000000000001" customHeight="1" thickBot="1">
      <c r="A69" s="13">
        <v>45931</v>
      </c>
    </row>
    <row r="70" spans="1:1" ht="20.100000000000001" customHeight="1" thickBot="1">
      <c r="A70" s="13">
        <v>45932</v>
      </c>
    </row>
    <row r="71" spans="1:1" ht="20.100000000000001" customHeight="1" thickBot="1">
      <c r="A71" s="13">
        <v>45933</v>
      </c>
    </row>
    <row r="72" spans="1:1" ht="20.100000000000001" customHeight="1" thickBot="1">
      <c r="A72" s="13">
        <v>45934</v>
      </c>
    </row>
    <row r="73" spans="1:1" ht="20.100000000000001" customHeight="1" thickBot="1">
      <c r="A73" s="13">
        <v>45935</v>
      </c>
    </row>
    <row r="74" spans="1:1" ht="20.100000000000001" customHeight="1" thickBot="1">
      <c r="A74" s="13">
        <v>45936</v>
      </c>
    </row>
    <row r="75" spans="1:1" ht="20.100000000000001" customHeight="1" thickBot="1">
      <c r="A75" s="13">
        <v>45937</v>
      </c>
    </row>
    <row r="76" spans="1:1" ht="20.100000000000001" customHeight="1" thickBot="1">
      <c r="A76" s="13">
        <v>45938</v>
      </c>
    </row>
    <row r="77" spans="1:1" ht="20.100000000000001" customHeight="1" thickBot="1">
      <c r="A77" s="13">
        <v>45939</v>
      </c>
    </row>
    <row r="78" spans="1:1" ht="20.100000000000001" customHeight="1" thickBot="1">
      <c r="A78" s="13">
        <v>45940</v>
      </c>
    </row>
    <row r="79" spans="1:1" ht="20.100000000000001" customHeight="1" thickBot="1">
      <c r="A79" s="13">
        <v>45941</v>
      </c>
    </row>
    <row r="80" spans="1:1" ht="20.100000000000001" customHeight="1" thickBot="1">
      <c r="A80" s="13">
        <v>45942</v>
      </c>
    </row>
    <row r="81" spans="1:1" ht="20.100000000000001" customHeight="1" thickBot="1">
      <c r="A81" s="13">
        <v>45943</v>
      </c>
    </row>
    <row r="82" spans="1:1" ht="20.100000000000001" customHeight="1" thickBot="1">
      <c r="A82" s="13">
        <v>45944</v>
      </c>
    </row>
    <row r="83" spans="1:1" ht="20.100000000000001" customHeight="1" thickBot="1">
      <c r="A83" s="13">
        <v>45945</v>
      </c>
    </row>
    <row r="84" spans="1:1" ht="20.100000000000001" customHeight="1" thickBot="1">
      <c r="A84" s="13">
        <v>45946</v>
      </c>
    </row>
    <row r="85" spans="1:1" ht="20.100000000000001" customHeight="1" thickBot="1">
      <c r="A85" s="13">
        <v>45947</v>
      </c>
    </row>
    <row r="86" spans="1:1" ht="20.100000000000001" customHeight="1" thickBot="1">
      <c r="A86" s="13">
        <v>45948</v>
      </c>
    </row>
    <row r="87" spans="1:1" ht="20.100000000000001" customHeight="1" thickBot="1">
      <c r="A87" s="13">
        <v>45949</v>
      </c>
    </row>
    <row r="88" spans="1:1" ht="20.100000000000001" customHeight="1" thickBot="1">
      <c r="A88" s="13">
        <v>45950</v>
      </c>
    </row>
    <row r="89" spans="1:1" ht="20.100000000000001" customHeight="1" thickBot="1">
      <c r="A89" s="13">
        <v>45951</v>
      </c>
    </row>
    <row r="90" spans="1:1" ht="20.100000000000001" customHeight="1" thickBot="1">
      <c r="A90" s="13">
        <v>45952</v>
      </c>
    </row>
    <row r="91" spans="1:1" ht="20.100000000000001" customHeight="1" thickBot="1">
      <c r="A91" s="13">
        <v>45953</v>
      </c>
    </row>
    <row r="92" spans="1:1" ht="20.100000000000001" customHeight="1" thickBot="1">
      <c r="A92" s="13">
        <v>45954</v>
      </c>
    </row>
    <row r="93" spans="1:1" ht="20.100000000000001" customHeight="1" thickBot="1">
      <c r="A93" s="13">
        <v>45955</v>
      </c>
    </row>
    <row r="94" spans="1:1" ht="20.100000000000001" customHeight="1" thickBot="1">
      <c r="A94" s="13">
        <v>45956</v>
      </c>
    </row>
    <row r="95" spans="1:1" ht="20.100000000000001" customHeight="1" thickBot="1">
      <c r="A95" s="13">
        <v>45957</v>
      </c>
    </row>
    <row r="96" spans="1:1" ht="20.100000000000001" customHeight="1" thickBot="1">
      <c r="A96" s="13">
        <v>45958</v>
      </c>
    </row>
    <row r="97" spans="1:9" ht="20.100000000000001" customHeight="1" thickBot="1">
      <c r="A97" s="13">
        <v>45959</v>
      </c>
    </row>
    <row r="98" spans="1:9" ht="20.100000000000001" customHeight="1" thickBot="1">
      <c r="A98" s="13">
        <v>45960</v>
      </c>
    </row>
    <row r="99" spans="1:9" ht="20.100000000000001" customHeight="1" thickBot="1">
      <c r="A99" s="13">
        <v>45961</v>
      </c>
    </row>
    <row r="100" spans="1:9" ht="20.100000000000001" customHeight="1" thickBot="1">
      <c r="A100" s="13">
        <v>45962</v>
      </c>
    </row>
    <row r="101" spans="1:9" ht="20.100000000000001" customHeight="1" thickBot="1">
      <c r="A101" s="13">
        <v>45963</v>
      </c>
    </row>
    <row r="102" spans="1:9" ht="20.100000000000001" customHeight="1" thickBot="1">
      <c r="A102" s="13">
        <v>45964</v>
      </c>
    </row>
    <row r="103" spans="1:9" ht="20.100000000000001" customHeight="1" thickBot="1">
      <c r="A103" s="13">
        <v>45965</v>
      </c>
    </row>
    <row r="104" spans="1:9" ht="20.100000000000001" customHeight="1" thickBot="1">
      <c r="A104" s="13">
        <v>45966</v>
      </c>
    </row>
    <row r="105" spans="1:9" ht="20.100000000000001" customHeight="1" thickBot="1">
      <c r="A105" s="13">
        <v>45967</v>
      </c>
    </row>
    <row r="106" spans="1:9" ht="20.100000000000001" customHeight="1" thickBot="1">
      <c r="A106" s="13">
        <v>45968</v>
      </c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2025-09-23T07:13:33Z</dcterms:modified>
</cp:coreProperties>
</file>