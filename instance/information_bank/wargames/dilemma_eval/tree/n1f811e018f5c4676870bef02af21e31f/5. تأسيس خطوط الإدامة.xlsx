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925A84E-F6C6-43F3-82DB-65C0973AA0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F21" i="2"/>
  <c r="E21" i="2"/>
  <c r="E22" i="2"/>
  <c r="E23" i="2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<sst xmlns="http://schemas.openxmlformats.org/spreadsheetml/2006/main" count="251" uniqueCount="194">
  <si>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</si>
  <si>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</si>
  <si>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</si>
  <si>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</si>
  <si>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</si>
  <si>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</si>
  <si>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</si>
  <si>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</si>
  <si>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</si>
  <si>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</si>
  <si>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</si>
  <si>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</si>
  <si>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</si>
  <si>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</si>
  <si>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</si>
  <si>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</si>
  <si>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</si>
  <si>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</si>
  <si>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</si>
  <si>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</si>
  <si>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</si>
  <si>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</si>
  <si>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</si>
  <si>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</si>
  <si>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</si>
  <si>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</si>
  <si>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</si>
  <si>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</si>
  <si>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</si>
  <si>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</si>
  <si>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</si>
  <si>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</si>
  <si>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</si>
  <si>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</si>
  <si>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</si>
  <si>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</si>
  <si>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</si>
  <si>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</si>
  <si>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</si>
  <si>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</si>
  <si>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</si>
  <si>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</si>
  <si>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</si>
  <si>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</si>
  <si>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</si>
  <si>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</si>
  <si>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</si>
  <si>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</si>
  <si>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</si>
  <si>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</si>
  <si>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</si>
  <si>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</si>
  <si>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</si>
  <si>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</si>
  <si>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</si>
  <si>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</si>
  <si>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</si>
  <si>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</si>
  <si>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</si>
  <si>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</si>
  <si>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</si>
  <si>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</si>
  <si>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</si>
  <si>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</si>
  <si>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</si>
  <si>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</si>
  <si>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</si>
  <si>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</si>
  <si>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</si>
  <si>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</si>
  <si>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</si>
  <si>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</si>
  <si>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</si>
  <si>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</si>
  <si>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</si>
  <si>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</si>
  <si>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</si>
  <si>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</si>
  <si>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</si>
  <si>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</si>
  <si>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</si>
  <si>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</si>
  <si>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</si>
  <si>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</si>
  <si>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</si>
  <si>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</si>
  <si>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</si>
  <si>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</si>
  <si>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</si>
  <si>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</si>
  <si>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</si>
  <si>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</si>
  <si>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</si>
  <si>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</si>
  <si>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</si>
  <si>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</si>
  <si>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</si>
  <si>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</si>
  <si>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</si>
  <si>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</si>
  <si>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</si>
  <si>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</si>
  <si>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</si>
  <si>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</si>
  <si>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</si>
  <si>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</si>
  <si>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</si>
  <si>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</si>
  <si>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</si>
  <si>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</si>
  <si>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</si>
  <si>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</si>
  <si>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</si>
  <si>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</si>
  <si>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</si>
  <si>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</si>
  <si>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</si>
  <si>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</si>
  <si>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</si>
  <si>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</si>
  <si>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</si>
  <si>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</si>
  <si>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</si>
  <si>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</si>
  <si>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</si>
  <si>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</si>
  <si>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</si>
  <si>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</si>
  <si>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</si>
  <si>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</si>
  <si>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</si>
  <si>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</si>
  <si>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</si>
  <si>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</si>
  <si>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</si>
  <si>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</si>
  <si>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</si>
  <si>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</si>
  <si>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</si>
  <si>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</si>
  <si>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</si>
  <si>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</si>
  <si>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</si>
  <si>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</si>
  <si>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</si>
  <si>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</si>
  <si>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</si>
  <si>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</si>
  <si>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</si>
  <si>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</si>
  <si>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</si>
  <si>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</si>
  <si>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</si>
  <si>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</si>
  <si>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</si>
  <si>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</si>
  <si>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</si>
  <si>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</si>
  <si>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</si>
  <si>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</si>
  <si>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</si>
  <si>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</si>
  <si>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</si>
  <si>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</si>
  <si>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</si>
  <si>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</si>
  <si>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</si>
  <si>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</si>
  <si>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</si>
  <si>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</si>
  <si>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</si>
  <si>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</si>
  <si>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</si>
  <si>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</si>
  <si>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</si>
  <si>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</si>
  <si>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</si>
  <si>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</si>
  <si>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</si>
  <si>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</si>
  <si>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كتيبة الإسناد الإداري في تأسيس خطوط الإدامة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</si>
  <si>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خط الادامة الأول (المستوى التعبوي).</t>
    </r>
  </si>
  <si>
    <t>أ.   تأسيس خط الإسناد الفني/1 (اسناد الوحدة) من قبل فصائل/أطقم الصيانة.</t>
  </si>
  <si>
    <t>ب. تأسيس خط الاسناد الطبي/1 (الاستجابة التعبوية الأولى) المستجيب الأول (المسعف المقاتل).</t>
  </si>
  <si>
    <t>جـ. أشتملت نقليات الخط الأول على (نقليات أ - نقليات أ 1 - نقليات أ 2 - نقليات ب).</t>
  </si>
  <si>
    <t>د.  وفر خط الإدامة الأول الإسناد الفوري المطلوب لإدامة الفاعلية القتالية لفترات محدودة.</t>
  </si>
  <si>
    <t>هـ. تضمن خط الإدامة الأول جميع مواد الإمداد التي تُحفظ للإسناد الفوري في الوحدة.</t>
  </si>
  <si>
    <t>و.  تحرك نقليات وحدات المناورة إلى نقاط التزويد بالخط الأول للحصول على الإمدادات بأسلوب السحب.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</si>
  <si>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خط الادامة الثاني (إسناد مجموعة اللواء).</t>
    </r>
  </si>
  <si>
    <t>أ.   تعويض المستهلك من خط الادامة الأول.</t>
  </si>
  <si>
    <t>ب. تأسيس خط الإسناد الفني/2 (سرية الصيانة).</t>
  </si>
  <si>
    <t>جـ. تأسيس خط الاسناد الطبي/2 (الرعاية الطبية الإنعاشية الامامية) السرية الطبية.</t>
  </si>
  <si>
    <t>د.  تأسيس نقليات الخط الثاني في مجموعة اللواء وهي سرية التزويد والنقل.</t>
  </si>
  <si>
    <t>هـ. دفع الإمدادات من قبل كتيبة الإسناد إلى نقاط تزويد وحدات المناورة بواسطة سرية التزويد والنقل وبأسلوب الدفع.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</si>
</sst>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5" fillId="0" borderId="24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489784</xdr:colOff>
      <xdr:row>24</xdr:row>
      <xdr:rowOff>157943</xdr:rowOff>
    </xdr:from>
    <xdr:to>
      <xdr:col>9</xdr:col>
      <xdr:colOff>16803</xdr:colOff>
      <xdr:row>24</xdr:row>
      <xdr:rowOff>645023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14:cNvPr>
            <xdr14:cNvContentPartPr/>
          </xdr14:nvContentPartPr>
          <xdr14:nvPr macro=""/>
          <xdr14:xfrm>
            <a:off x="10466082061" y="11072520"/>
            <a:ext cx="1506240" cy="487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6073421" y="11063880"/>
              <a:ext cx="152388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255203</xdr:colOff>
      <xdr:row>24</xdr:row>
      <xdr:rowOff>252983</xdr:rowOff>
    </xdr:from>
    <xdr:to>
      <xdr:col>9</xdr:col>
      <xdr:colOff>965043</xdr:colOff>
      <xdr:row>25</xdr:row>
      <xdr:rowOff>98452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14:cNvPr>
            <xdr14:cNvContentPartPr/>
          </xdr14:nvContentPartPr>
          <xdr14:nvPr macro=""/>
          <xdr14:xfrm>
            <a:off x="10465133821" y="11167560"/>
            <a:ext cx="2029320" cy="492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5125181" y="11158560"/>
              <a:ext cx="20469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51083</xdr:colOff>
      <xdr:row>24</xdr:row>
      <xdr:rowOff>127703</xdr:rowOff>
    </xdr:from>
    <xdr:to>
      <xdr:col>9</xdr:col>
      <xdr:colOff>918243</xdr:colOff>
      <xdr:row>26</xdr:row>
      <xdr:rowOff>44496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14:cNvPr>
            <xdr14:cNvContentPartPr/>
          </xdr14:nvContentPartPr>
          <xdr14:nvPr macro=""/>
          <xdr14:xfrm>
            <a:off x="10465180621" y="11042280"/>
            <a:ext cx="2186640" cy="753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65171981" y="11033640"/>
              <a:ext cx="220428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9:05:09.2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608,'0'0,"0"0,0 0,0 0,0 0,0 0,0 0,0 0,0 0,0 0,0 0,0 0,0 0,0-12,0 6,0 1,0-18,-5 10,0 3,5-24,0 21,0 3,-11-25,4 11,2 3,-6-14,11 10,0 4,-9-13,1 16,4 2,-7-19,11 23,0 1,-12-12,8 5,-1 2,5-18,-7 28,2 0,5-17,0 17,0 1,0-7,5 6,2 1,0-4,-5 7,21-10,-11 12,-3 0,14-11,-7 11,0 0,17 0,-8 0,-7 0,28 11,-15-11,-8 0,21 12,-15-12,-4 0,19 11,-20-5,-3-1,22 7,-27-6,2-1,26 7,-34-6,1-1,21 7,-20-6,-1-1,2 7,-10-6,5-1,-8 7,0 0,0-2,-11 2,-2 0,2-1,-33 12,10 1,3-2,-67 23,26-14,12-4,-94 41,47-37,15-4,-127 53,94-43,20-5,-149 37,114-31,17-7,-163 38,121-26,24-6,-189 32,146-26,28-6,-185 54,150-47,32-7,-205 54,364-91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9:05:09.8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5522 0,'0'0,"0"0,0 0,0 0,0 0,0 0,0 0,0 0,0 0,-12 0,9 0,-27 12,-60-1,62-8,-78 5,-52 28,111-26,-129 14,-117 33,202-39,-176 23,-138 50,282-63,-190 48,-81 28,276-73,-190 54,-1837 538,1731-503,828-240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9:05:22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2537 573,'0'0,"0"0,0 0,0 0,0 0,0 0,0 0,0 0,0 0,0 0,0 0,0 0,-12 0,10 0,-28 0,-51 0,58 0,-76 12,-59-12,111 0,-86 0,-70-12,142 9,-113-16,-96-4,186 16,-113-31,-50-20,169 40,-57-31,-44-20,123 47,-34-24,0 0,62 32,-1-6,6-26,16 32,94-17,48 8,-93 16,107 3,86-8,-159 9,117 18,77-15,-186 0,136 11,139 24,-246-25,112 36,88 23,-214-48,119 37,74 45,-203-71,124 61,91 78,-210-117,69 51,1489 942,-1319-837,-666-420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9" t="s">
        <v>8</v>
      </c>
      <c r="C2" s="66" t="s">
        <v>30</v>
      </c>
      <c r="D2" s="66"/>
      <c r="E2" s="9" t="s">
        <v>7</v>
      </c>
      <c r="F2" s="61" t="s">
        <v>56</v>
      </c>
      <c r="G2" s="61"/>
      <c r="H2" s="61"/>
      <c r="I2" s="61"/>
      <c r="J2" s="61"/>
    </row>
    <row r="3" spans="1:10" ht="30" customHeight="1" x14ac:dyDescent="0.3">
      <c r="B3" s="9" t="s">
        <v>9</v>
      </c>
      <c r="C3" s="66" t="s">
        <v>66</v>
      </c>
      <c r="D3" s="66"/>
      <c r="E3" s="9" t="s">
        <v>6</v>
      </c>
      <c r="F3" s="66" t="s">
        <v>91</v>
      </c>
      <c r="G3" s="66"/>
      <c r="H3" s="66"/>
      <c r="I3" s="66"/>
      <c r="J3" s="66"/>
    </row>
    <row r="4" spans="1:10" ht="30" customHeight="1" thickBot="1" x14ac:dyDescent="0.35">
      <c r="B4" s="6"/>
      <c r="C4" s="38"/>
      <c r="D4" s="38"/>
      <c r="E4" s="6"/>
      <c r="F4" s="38"/>
      <c r="G4" s="38"/>
      <c r="H4" s="38"/>
      <c r="I4" s="38"/>
      <c r="J4" s="38"/>
    </row>
    <row r="5" spans="1:10" ht="24.9" customHeight="1" x14ac:dyDescent="0.3">
      <c r="A5" s="7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7"/>
      <c r="B6" s="64"/>
      <c r="C6" s="65"/>
      <c r="D6" s="65"/>
      <c r="E6" s="8" t="s">
        <v>3</v>
      </c>
      <c r="F6" s="8" t="s">
        <v>4</v>
      </c>
      <c r="G6" s="8" t="s">
        <v>23</v>
      </c>
      <c r="H6" s="8" t="s">
        <v>24</v>
      </c>
      <c r="I6" s="73"/>
      <c r="J6" s="74"/>
    </row>
    <row r="7" spans="1:10" ht="24.9" customHeight="1" thickBot="1" x14ac:dyDescent="0.35">
      <c r="A7" s="7"/>
      <c r="B7" s="69" t="s">
        <v>21</v>
      </c>
      <c r="C7" s="70"/>
      <c r="D7" s="70"/>
      <c r="E7" s="29" t="s">
        <v>18</v>
      </c>
      <c r="F7" s="29" t="s">
        <v>19</v>
      </c>
      <c r="G7" s="29" t="s">
        <v>22</v>
      </c>
      <c r="H7" s="29" t="s">
        <v>20</v>
      </c>
      <c r="I7" s="75" t="s">
        <v>25</v>
      </c>
      <c r="J7" s="76"/>
    </row>
    <row r="8" spans="1:10" ht="39.9" customHeight="1" x14ac:dyDescent="0.3">
      <c r="A8" s="7"/>
      <c r="B8" s="81" t="s">
        <v>181</v>
      </c>
      <c r="C8" s="82"/>
      <c r="D8" s="82"/>
      <c r="E8" s="25"/>
      <c r="F8" s="33"/>
      <c r="G8" s="34"/>
      <c r="H8" s="35"/>
      <c r="I8" s="39"/>
      <c r="J8" s="40"/>
    </row>
    <row r="9" spans="1:10" ht="39.9" customHeight="1" x14ac:dyDescent="0.3">
      <c r="A9" s="7"/>
      <c r="B9" s="77" t="s">
        <v>182</v>
      </c>
      <c r="C9" s="78"/>
      <c r="D9" s="78"/>
      <c r="E9" s="26">
        <v>10</v>
      </c>
      <c r="F9" s="23">
        <v>8</v>
      </c>
      <c r="G9" s="31">
        <f>IFERROR(F9/E9,"")</f>
        <v>0.8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3"/>
      <c r="J9" s="44"/>
    </row>
    <row r="10" spans="1:10" ht="39.9" customHeight="1" x14ac:dyDescent="0.3">
      <c r="A10" s="7"/>
      <c r="B10" s="77" t="s">
        <v>183</v>
      </c>
      <c r="C10" s="78"/>
      <c r="D10" s="78"/>
      <c r="E10" s="26">
        <v>10</v>
      </c>
      <c r="F10" s="23">
        <v>7.75</v>
      </c>
      <c r="G10" s="31">
        <f t="shared" ref="G10:G20" si="0">IFERROR(F10/E10,"")</f>
        <v>0.77500000000000002</v>
      </c>
      <c r="H10" s="32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7"/>
      <c r="B11" s="77" t="s">
        <v>184</v>
      </c>
      <c r="C11" s="78"/>
      <c r="D11" s="78"/>
      <c r="E11" s="26">
        <v>10</v>
      </c>
      <c r="F11" s="23">
        <v>7.75</v>
      </c>
      <c r="G11" s="31">
        <f t="shared" si="0"/>
        <v>0.77500000000000002</v>
      </c>
      <c r="H11" s="32" t="str">
        <f t="shared" si="1"/>
        <v>جيد</v>
      </c>
      <c r="I11" s="43"/>
      <c r="J11" s="44"/>
    </row>
    <row r="12" spans="1:10" ht="39.9" customHeight="1" x14ac:dyDescent="0.3">
      <c r="A12" s="7"/>
      <c r="B12" s="77" t="s">
        <v>185</v>
      </c>
      <c r="C12" s="78"/>
      <c r="D12" s="78"/>
      <c r="E12" s="26">
        <v>10</v>
      </c>
      <c r="F12" s="23">
        <v>7.5</v>
      </c>
      <c r="G12" s="31">
        <f t="shared" si="0"/>
        <v>0.75</v>
      </c>
      <c r="H12" s="32" t="str">
        <f t="shared" si="1"/>
        <v>جيد</v>
      </c>
      <c r="I12" s="43"/>
      <c r="J12" s="44"/>
    </row>
    <row r="13" spans="1:10" ht="39.9" customHeight="1" x14ac:dyDescent="0.3">
      <c r="A13" s="7"/>
      <c r="B13" s="77" t="s">
        <v>186</v>
      </c>
      <c r="C13" s="78"/>
      <c r="D13" s="78"/>
      <c r="E13" s="26">
        <v>10</v>
      </c>
      <c r="F13" s="23">
        <v>7.5</v>
      </c>
      <c r="G13" s="31">
        <f t="shared" si="0"/>
        <v>0.75</v>
      </c>
      <c r="H13" s="32" t="str">
        <f t="shared" si="1"/>
        <v>جيد</v>
      </c>
      <c r="I13" s="43"/>
      <c r="J13" s="44"/>
    </row>
    <row r="14" spans="1:10" ht="39.9" customHeight="1" thickBot="1" x14ac:dyDescent="0.35">
      <c r="A14" s="7"/>
      <c r="B14" s="79" t="s">
        <v>187</v>
      </c>
      <c r="C14" s="80"/>
      <c r="D14" s="80"/>
      <c r="E14" s="27">
        <v>10</v>
      </c>
      <c r="F14" s="24">
        <v>7.5</v>
      </c>
      <c r="G14" s="36">
        <f t="shared" si="0"/>
        <v>0.75</v>
      </c>
      <c r="H14" s="37" t="str">
        <f t="shared" si="1"/>
        <v>جيد</v>
      </c>
      <c r="I14" s="45"/>
      <c r="J14" s="46"/>
    </row>
    <row r="15" spans="1:10" ht="39.9" customHeight="1" x14ac:dyDescent="0.3">
      <c r="A15" s="7"/>
      <c r="B15" s="81" t="s">
        <v>188</v>
      </c>
      <c r="C15" s="82"/>
      <c r="D15" s="82"/>
      <c r="E15" s="28"/>
      <c r="F15" s="33"/>
      <c r="G15" s="34"/>
      <c r="H15" s="35"/>
      <c r="I15" s="39"/>
      <c r="J15" s="40"/>
    </row>
    <row r="16" spans="1:10" ht="39.9" customHeight="1" x14ac:dyDescent="0.3">
      <c r="A16" s="7"/>
      <c r="B16" s="77" t="s">
        <v>189</v>
      </c>
      <c r="C16" s="78"/>
      <c r="D16" s="78"/>
      <c r="E16" s="26">
        <v>10</v>
      </c>
      <c r="F16" s="23">
        <v>7.5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7"/>
      <c r="B17" s="77" t="s">
        <v>190</v>
      </c>
      <c r="C17" s="78"/>
      <c r="D17" s="78"/>
      <c r="E17" s="26">
        <v>10</v>
      </c>
      <c r="F17" s="23">
        <v>7.5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7"/>
      <c r="B18" s="77" t="s">
        <v>191</v>
      </c>
      <c r="C18" s="78"/>
      <c r="D18" s="78"/>
      <c r="E18" s="26">
        <v>10</v>
      </c>
      <c r="F18" s="23">
        <v>7.5</v>
      </c>
      <c r="G18" s="31">
        <f t="shared" si="0"/>
        <v>0.75</v>
      </c>
      <c r="H18" s="32" t="str">
        <f t="shared" si="1"/>
        <v>جيد</v>
      </c>
      <c r="I18" s="43"/>
      <c r="J18" s="44"/>
    </row>
    <row r="19" spans="1:10" ht="39.9" customHeight="1" x14ac:dyDescent="0.3">
      <c r="A19" s="7"/>
      <c r="B19" s="77" t="s">
        <v>192</v>
      </c>
      <c r="C19" s="78"/>
      <c r="D19" s="78"/>
      <c r="E19" s="26">
        <v>10</v>
      </c>
      <c r="F19" s="23">
        <v>7.75</v>
      </c>
      <c r="G19" s="31">
        <f t="shared" si="0"/>
        <v>0.77500000000000002</v>
      </c>
      <c r="H19" s="32" t="str">
        <f t="shared" si="1"/>
        <v>جيد</v>
      </c>
      <c r="I19" s="43"/>
      <c r="J19" s="44"/>
    </row>
    <row r="20" spans="1:10" ht="39.9" customHeight="1" thickBot="1" x14ac:dyDescent="0.35">
      <c r="A20" s="7"/>
      <c r="B20" s="79" t="s">
        <v>193</v>
      </c>
      <c r="C20" s="80"/>
      <c r="D20" s="80"/>
      <c r="E20" s="27">
        <v>10</v>
      </c>
      <c r="F20" s="24">
        <v>7.75</v>
      </c>
      <c r="G20" s="36">
        <f t="shared" si="0"/>
        <v>0.77500000000000002</v>
      </c>
      <c r="H20" s="37" t="str">
        <f t="shared" si="1"/>
        <v>جيد</v>
      </c>
      <c r="I20" s="45"/>
      <c r="J20" s="46"/>
    </row>
    <row r="21" spans="1:10" ht="30" customHeight="1" thickBot="1" x14ac:dyDescent="0.35">
      <c r="A21" s="4"/>
      <c r="B21" s="41" t="s">
        <v>5</v>
      </c>
      <c r="C21" s="42"/>
      <c r="D21" s="42"/>
      <c r="E21" s="30">
        <f>SUM(E8:E20)</f>
        <v>110</v>
      </c>
      <c r="F21" s="30">
        <f>SUM(F8:F20)</f>
        <v>84</v>
      </c>
      <c r="G21" s="57"/>
      <c r="H21" s="58"/>
      <c r="I21" s="58"/>
      <c r="J21" s="59"/>
    </row>
    <row r="22" spans="1:10" ht="30" customHeight="1" thickBot="1" x14ac:dyDescent="0.35">
      <c r="A22" s="4"/>
      <c r="B22" s="53" t="s">
        <v>54</v>
      </c>
      <c r="C22" s="54"/>
      <c r="D22" s="54"/>
      <c r="E22" s="67">
        <f>F21/E21/100*100</f>
        <v>0.76363636363636367</v>
      </c>
      <c r="F22" s="67"/>
      <c r="G22" s="67"/>
      <c r="H22" s="67"/>
      <c r="I22" s="67"/>
      <c r="J22" s="68"/>
    </row>
    <row r="23" spans="1:10" ht="30" customHeight="1" thickBot="1" x14ac:dyDescent="0.35">
      <c r="A23" s="4"/>
      <c r="B23" s="53" t="s">
        <v>55</v>
      </c>
      <c r="C23" s="54"/>
      <c r="D23" s="54"/>
      <c r="E23" s="51" t="str">
        <f>_xlfn.IFS(E22&gt;=90%,"ممتاز",E22&gt;=80%,"جيد جداً",E22&gt;=70%,"جيد",E22&gt;=60%,"مقبول",E22&lt;60%,"راسب")</f>
        <v>جيد</v>
      </c>
      <c r="F23" s="51"/>
      <c r="G23" s="51"/>
      <c r="H23" s="51"/>
      <c r="I23" s="51"/>
      <c r="J23" s="52"/>
    </row>
    <row r="24" spans="1:10" ht="42" customHeight="1" x14ac:dyDescent="0.3">
      <c r="B24" s="47" t="s">
        <v>174</v>
      </c>
      <c r="C24" s="47"/>
      <c r="D24" s="47"/>
      <c r="E24" s="55" t="s">
        <v>52</v>
      </c>
      <c r="F24" s="55"/>
      <c r="G24" s="49" t="s">
        <v>91</v>
      </c>
      <c r="H24" s="49"/>
      <c r="I24" s="49"/>
      <c r="J24" s="49"/>
    </row>
    <row r="25" spans="1:10" ht="51" customHeight="1" x14ac:dyDescent="0.3">
      <c r="A25" s="5"/>
      <c r="B25" s="48"/>
      <c r="C25" s="48"/>
      <c r="D25" s="48"/>
      <c r="E25" s="56" t="s">
        <v>53</v>
      </c>
      <c r="F25" s="56"/>
      <c r="G25" s="50"/>
      <c r="H25" s="50"/>
      <c r="I25" s="50"/>
      <c r="J25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9">
    <mergeCell ref="B17:D17"/>
    <mergeCell ref="B18:D18"/>
    <mergeCell ref="B19:D19"/>
    <mergeCell ref="B20:D20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B24:D25"/>
    <mergeCell ref="G24:J24"/>
    <mergeCell ref="G25:J25"/>
    <mergeCell ref="E23:J23"/>
    <mergeCell ref="B22:D22"/>
    <mergeCell ref="B23:D23"/>
    <mergeCell ref="E24:F24"/>
    <mergeCell ref="E25:F25"/>
    <mergeCell ref="E22:J22"/>
    <mergeCell ref="F4:J4"/>
    <mergeCell ref="C4:D4"/>
    <mergeCell ref="I8:J8"/>
    <mergeCell ref="B21:D21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I9:J9"/>
    <mergeCell ref="G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60">
      <formula>$E23="جيد جداً"</formula>
    </cfRule>
    <cfRule type="expression" dxfId="12" priority="59">
      <formula>$E23="جيد"</formula>
    </cfRule>
    <cfRule type="expression" dxfId="11" priority="58">
      <formula>$E23="مقبول"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F16:F20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3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2025-10-27T21:09:12Z</dcterms:modified>
</cp:coreProperties>
</file>