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B842CF0-B7D8-4E9E-A9EA-C91BB300E1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20" i="2"/>
  <c r="H20" i="2" s="1"/>
  <c r="G21" i="2"/>
  <c r="H21" i="2" s="1"/>
  <c r="G22" i="2"/>
  <c r="H22" i="2"/>
  <c r="G23" i="2"/>
  <c r="H23" i="2" s="1"/>
  <c r="G24" i="2"/>
  <c r="H24" i="2"/>
  <c r="F25" i="2"/>
  <c r="E25" i="2"/>
  <c r="E26" i="2" s="1"/>
  <c r="E27" i="2" s="1"/>
</calcChain>
</file>

<file path=xl/sharedStrings.xml><?xml version="1.0" encoding="utf-8"?>
<sst xmlns="http://schemas.openxmlformats.org/spreadsheetml/2006/main" count="260" uniqueCount="200">
  <si>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</si>
  <si>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</si>
  <si>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</si>
  <si>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</si>
  <si>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</si>
  <si>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</si>
  <si>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</si>
  <si>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</si>
  <si>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</si>
  <si>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</si>
  <si>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</si>
  <si>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</si>
  <si>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</si>
  <si>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</si>
  <si>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</si>
  <si>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</si>
  <si>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</si>
  <si>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</si>
  <si>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</si>
  <si>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</si>
  <si>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</si>
  <si>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</si>
  <si>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</si>
  <si>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</si>
  <si>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</si>
  <si>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</si>
  <si>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</si>
  <si>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</si>
  <si>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</si>
  <si>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</si>
  <si>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</si>
  <si>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</si>
  <si>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</si>
  <si>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</si>
  <si>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</si>
  <si>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</si>
  <si>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</si>
  <si>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</si>
  <si>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</si>
  <si>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</si>
  <si>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</si>
  <si>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</si>
  <si>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</si>
  <si>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</si>
  <si>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</si>
  <si>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</si>
  <si>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</si>
  <si>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</si>
  <si>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</si>
  <si>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</si>
  <si>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</si>
  <si>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</si>
  <si>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</si>
  <si>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</si>
  <si>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</si>
  <si>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</si>
  <si>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</si>
  <si>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</si>
  <si>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</si>
  <si>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</si>
  <si>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</si>
  <si>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</si>
  <si>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</si>
  <si>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</si>
  <si>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</si>
  <si>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</si>
  <si>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</si>
  <si>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</si>
  <si>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</si>
  <si>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</si>
  <si>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</si>
  <si>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</si>
  <si>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</si>
  <si>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</si>
  <si>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</si>
  <si>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</si>
  <si>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</si>
  <si>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</si>
  <si>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</si>
  <si>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</si>
  <si>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</si>
  <si>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</si>
  <si>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</si>
  <si>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</si>
  <si>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</si>
  <si>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</si>
  <si>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</si>
  <si>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</si>
  <si>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</si>
  <si>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</si>
  <si>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</si>
  <si>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</si>
  <si>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</si>
  <si>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</si>
  <si>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</si>
  <si>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</si>
  <si>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</si>
  <si>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</si>
  <si>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</si>
  <si>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</si>
  <si>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</si>
  <si>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</si>
  <si>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</si>
  <si>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</si>
  <si>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</si>
  <si>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</si>
  <si>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</si>
  <si>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</si>
  <si>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</si>
  <si>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</si>
  <si>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</si>
  <si>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</si>
  <si>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</si>
  <si>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</si>
  <si>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</si>
  <si>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</si>
  <si>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</si>
  <si>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</si>
  <si>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</si>
  <si>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</si>
  <si>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</si>
  <si>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</si>
  <si>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</si>
  <si>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</si>
  <si>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</si>
  <si>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</si>
  <si>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</si>
  <si>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</si>
  <si>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</si>
  <si>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</si>
  <si>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</si>
  <si>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</si>
  <si>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</si>
  <si>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</si>
  <si>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</si>
  <si>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</si>
  <si>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</si>
  <si>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</si>
  <si>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</si>
  <si>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</si>
  <si>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</si>
  <si>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</si>
  <si>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</si>
  <si>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</si>
  <si>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</si>
  <si>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</si>
  <si>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</si>
  <si>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</si>
  <si>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</si>
  <si>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</si>
  <si>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</si>
  <si>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</si>
  <si>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</si>
  <si>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</si>
  <si>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</si>
  <si>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</si>
  <si>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</si>
  <si>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</si>
  <si>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</si>
  <si>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</si>
  <si>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</si>
  <si>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</si>
  <si>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</si>
  <si>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</si>
  <si>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</si>
  <si>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</si>
  <si>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</si>
  <si>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</si>
  <si>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</si>
  <si>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</si>
  <si>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</si>
  <si>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</si>
  <si>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</si>
  <si>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</si>
  <si>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</si>
  <si>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</si>
  <si>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</si>
  <si>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</si>
  <si>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</si>
  <si>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</si>
  <si>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   أ. الفواصل بين الاليات وتأمين الحماية عند دخول المنطقة.</t>
  </si>
  <si>
    <t xml:space="preserve">   جـ. توضيع الآليات في موقع يسمح بسرعة الدخول والخروج.</t>
  </si>
  <si>
    <t xml:space="preserve">   د. تنسيق الدفاع  المحلي مع الوحدات المجاورة.</t>
  </si>
  <si>
    <t xml:space="preserve">   هـ. المحافظة على القدرة العملياتية في جميع الأوقات.</t>
  </si>
  <si>
    <t>أ.  تركيب شباك التستر ومهمات التمويه .</t>
  </si>
  <si>
    <t>ب. انتخاب وتحضير المواقع البديلة.</t>
  </si>
  <si>
    <t>د.  انتخاب، وتحضير وتأشير منطقة هبوط  الطائرات العمودية والتأكد من:</t>
  </si>
  <si>
    <t>(1)  أن منطقة الهبوط مستوية نسبياً.</t>
  </si>
  <si>
    <t>(2)  أن منطقة الهبوط دائرية وقطرها من 25 الى 80 متر.</t>
  </si>
  <si>
    <t>(3) أن اتجاه الهبوط  والاقلاع خالي من الموانع.</t>
  </si>
  <si>
    <t>(4) أن منطقة الهبوط مؤشرة للعمليات النهارية والليلية.</t>
  </si>
  <si>
    <t>جـ. انتخاب منطقة مخبأ الاليات لاصطفاف ودخول وخروج الاليات وذلك لتسهيل العمليات.</t>
  </si>
  <si>
    <r>
      <rPr>
        <b/>
        <sz val="14"/>
        <color rgb="FF000000"/>
        <rFont val="Arial"/>
        <family val="2"/>
      </rPr>
      <t>تقييم فصيل الهاون في احتلال مواقع الرماية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</si>
  <si>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      يتأكد قائد الفصيل مما يلي:</t>
  </si>
  <si>
    <t>2.      تقوم الفصيل بعمل تحسينات على الموقع وكما يلي:</t>
  </si>
  <si>
    <t>3.      تراقب الفصيل أمن العملية لتفادي كشف العدو للموقع ومعرفتة لقصد الوحدة.</t>
  </si>
  <si>
    <t xml:space="preserve">   ب. قيام الآليات باحتلال مواقع الرماية حسب الخطة.</t>
  </si>
  <si>
    <t xml:space="preserve">   و.  تأسيس الاتصالات وادامتها.</t>
  </si>
  <si>
    <t>ملازم/1 خليفة سعيد المسافري</t>
  </si>
  <si>
    <t>النقيب/ عبدالله علي الصريدي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</si>
</sst>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23" xfId="0" applyFont="1" applyFill="1" applyBorder="1" applyAlignment="1">
      <alignment horizontal="right" vertical="center" wrapText="1" indent="4" readingOrder="2"/>
    </xf>
    <xf numFmtId="0" fontId="13" fillId="5" borderId="3" xfId="0" applyFont="1" applyFill="1" applyBorder="1" applyAlignment="1">
      <alignment horizontal="right" vertical="center" wrapText="1" indent="4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25" xfId="0" applyFont="1" applyFill="1" applyBorder="1" applyAlignment="1">
      <alignment horizontal="right" vertical="center" wrapText="1" readingOrder="2"/>
    </xf>
    <xf numFmtId="0" fontId="13" fillId="5" borderId="26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indent="2" readingOrder="2"/>
    </xf>
    <xf numFmtId="0" fontId="13" fillId="5" borderId="12" xfId="0" applyFont="1" applyFill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indent="4" readingOrder="2"/>
    </xf>
    <xf numFmtId="0" fontId="13" fillId="5" borderId="12" xfId="0" applyFont="1" applyFill="1" applyBorder="1" applyAlignment="1">
      <alignment horizontal="right" vertical="center" wrapText="1" indent="4" readingOrder="2"/>
    </xf>
    <xf numFmtId="0" fontId="13" fillId="5" borderId="8" xfId="0" applyFont="1" applyFill="1" applyBorder="1" applyAlignment="1">
      <alignment horizontal="right" vertical="center" wrapText="1" readingOrder="2"/>
    </xf>
    <xf numFmtId="0" fontId="13" fillId="5" borderId="9" xfId="0" applyFont="1" applyFill="1" applyBorder="1" applyAlignment="1">
      <alignment horizontal="right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464318</xdr:colOff>
      <xdr:row>26</xdr:row>
      <xdr:rowOff>286496</xdr:rowOff>
    </xdr:from>
    <xdr:to>
      <xdr:col>9</xdr:col>
      <xdr:colOff>28311</xdr:colOff>
      <xdr:row>28</xdr:row>
      <xdr:rowOff>585525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2A361A-B9E9-373C-6F9D-D4077196713D}"/>
                </a:ext>
              </a:extLst>
            </xdr14:cNvPr>
            <xdr14:cNvContentPartPr/>
          </xdr14:nvContentPartPr>
          <xdr14:nvPr macro=""/>
          <xdr14:xfrm>
            <a:off x="10375505613" y="10542240"/>
            <a:ext cx="1540800" cy="1211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A2A361A-B9E9-373C-6F9D-D407719671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75499493" y="10536120"/>
              <a:ext cx="1553040" cy="12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582892</xdr:colOff>
      <xdr:row>28</xdr:row>
      <xdr:rowOff>600645</xdr:rowOff>
    </xdr:from>
    <xdr:to>
      <xdr:col>5</xdr:col>
      <xdr:colOff>583252</xdr:colOff>
      <xdr:row>28</xdr:row>
      <xdr:rowOff>601005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4F839C6-EFED-17E3-16EF-FF63CAEC5D62}"/>
                </a:ext>
              </a:extLst>
            </xdr14:cNvPr>
            <xdr14:cNvContentPartPr/>
          </xdr14:nvContentPartPr>
          <xdr14:nvPr macro=""/>
          <xdr14:xfrm>
            <a:off x="10377586413" y="117687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F839C6-EFED-17E3-16EF-FF63CAEC5D6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77580293" y="11762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2:00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3099 3108,'0'0,"0"0,0 0,0 0,0 0,0 0,0 0,0 0,0 0,-23 0,18 0,-13 0,-5 0,18 0,-11-25,-7 25,18 0,-13 0,-27 0,37 0,-7-23,-8 23,18 0,-13 0,-3 0,17 0,4 0,0 0,0 0,-19 0,19 0,0 0,-23 0,23 0,0 0,-23 0,14 0,-2 0,-1 0,0 0,12-23,-24 23,23 0,-21 0,20 0,-16 0,13 0,-13 0,15 0,-17-24,-3 24,20 0,-15 0,-5 0,20 0,-40 0,21 0,16 0,-34 0,-4 0,37 0,-32 24,-4-24,35 0,-54 0,18 23,37-20,-32 17,-28-20,55 0,-22 25,-34-2,62-19,-32-8,-31 28,62-21,-30 17,-9 4,41-21,-34 17,-8 4,41-20,-31 15,14-19,20 0,-38 24,18-1,21-19,-19 16,-2-20,20 0,-16 0,19 23,0-19,-23-8,21 4,4-23,21 23,-20 0,16-24,4-23,-14 40,28-33,7-7,-35 39,72-79,9-30,-64 98,105-79,6-43,-117 119,96-73,18-24,-111 100,90-79,-1 4,-92 79,49-40,22-16,-75 60,14-1,14-12,-34 21,26-17,-13-4,-20 21,15-17,29 20,-38 0,-18-23,32 23,-21 0,-27 0,25 23,-2-19,-19 15,-24 28,34-39,-47 31,-9 8,55-39,-43 55,-35 7,76-58,-62 46,8-11,57-39,-47 55,-9-15,55-40,-43 31,32 8,14-44,-26 17,12 4,20-20,-40 15,20 4,20-19,-15 16,-5 3,20-19,-17 16,-3 3,46-23,0-23,0-1,-21 21,63-17,25-50,-76 58,108-94,36-59,-130 136,148-130,48-52,-190 180,135-174,11-29,-152 197,148-162,-20-12,-130 178,106-145,-18-11,-96 159,33-57,-7-7,-35 78,5-62,-14 7,-10 64,-26-33,-8 16,29 13,-61-48,-37-12,97 60,-148-48,-63 35,188 20,-193 8,-15 20,211-21,-198 41,-60 26,246-58,-288 141,-24 35,299-158,-239 151,-17 32,266-180,-122 121,-53 34,193-159,-92 84,12-19,89-72,-86 96,64 0,39-100,14 58,39 42,-39-99,53 79,120 67,-152-140,102 43,-40 26,-77-78,267 204,151 15,-365-198,182 20,22-11,-224-37,202 7,22 7,-235-23,134 0,78-23,-207 19,147-17,-30-2,-131 19,61-39,48-4,-112 43,90-15,-47-28,-54 38,44-6,13-32,-57 40,20-33,14 17,-39 19,7-16,-14 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2:01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19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192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2" t="s">
        <v>8</v>
      </c>
      <c r="C2" s="71" t="s">
        <v>11</v>
      </c>
      <c r="D2" s="71"/>
      <c r="E2" s="12" t="s">
        <v>7</v>
      </c>
      <c r="F2" s="66">
        <v>45937</v>
      </c>
      <c r="G2" s="66"/>
      <c r="H2" s="66"/>
      <c r="I2" s="66"/>
      <c r="J2" s="66"/>
    </row>
    <row r="3" spans="1:10" ht="30" customHeight="1" x14ac:dyDescent="0.3">
      <c r="B3" s="12" t="s">
        <v>9</v>
      </c>
      <c r="C3" s="71" t="s">
        <v>60</v>
      </c>
      <c r="D3" s="71"/>
      <c r="E3" s="12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 t="s">
        <v>198</v>
      </c>
      <c r="E4" s="6"/>
      <c r="F4" s="7"/>
      <c r="G4" s="89" t="s">
        <v>199</v>
      </c>
      <c r="H4" s="89"/>
      <c r="I4" s="89"/>
      <c r="J4" s="89"/>
    </row>
    <row r="5" spans="1:10" ht="24.9" customHeight="1" x14ac:dyDescent="0.3">
      <c r="A5" s="10"/>
      <c r="B5" s="67" t="s">
        <v>0</v>
      </c>
      <c r="C5" s="68"/>
      <c r="D5" s="68"/>
      <c r="E5" s="59" t="s">
        <v>1</v>
      </c>
      <c r="F5" s="59"/>
      <c r="G5" s="59"/>
      <c r="H5" s="59"/>
      <c r="I5" s="59" t="s">
        <v>2</v>
      </c>
      <c r="J5" s="60"/>
    </row>
    <row r="6" spans="1:10" ht="24.9" customHeight="1" thickBot="1" x14ac:dyDescent="0.3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" customHeight="1" thickBot="1" x14ac:dyDescent="0.35">
      <c r="A7" s="10"/>
      <c r="B7" s="57" t="s">
        <v>21</v>
      </c>
      <c r="C7" s="58"/>
      <c r="D7" s="58"/>
      <c r="E7" s="29" t="s">
        <v>18</v>
      </c>
      <c r="F7" s="29" t="s">
        <v>19</v>
      </c>
      <c r="G7" s="29" t="s">
        <v>22</v>
      </c>
      <c r="H7" s="29" t="s">
        <v>20</v>
      </c>
      <c r="I7" s="63" t="s">
        <v>25</v>
      </c>
      <c r="J7" s="64"/>
    </row>
    <row r="8" spans="1:10" ht="30" customHeight="1" x14ac:dyDescent="0.3">
      <c r="A8" s="10"/>
      <c r="B8" s="42" t="s">
        <v>193</v>
      </c>
      <c r="C8" s="43"/>
      <c r="D8" s="43"/>
      <c r="E8" s="43"/>
      <c r="F8" s="43"/>
      <c r="G8" s="43"/>
      <c r="H8" s="43"/>
      <c r="I8" s="43"/>
      <c r="J8" s="44"/>
    </row>
    <row r="9" spans="1:10" ht="30" customHeight="1" x14ac:dyDescent="0.3">
      <c r="A9" s="10"/>
      <c r="B9" s="38" t="s">
        <v>180</v>
      </c>
      <c r="C9" s="39"/>
      <c r="D9" s="39"/>
      <c r="E9" s="8">
        <v>5</v>
      </c>
      <c r="F9" s="26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0" customHeight="1" x14ac:dyDescent="0.3">
      <c r="A10" s="10"/>
      <c r="B10" s="38" t="s">
        <v>196</v>
      </c>
      <c r="C10" s="39"/>
      <c r="D10" s="39"/>
      <c r="E10" s="8">
        <v>5</v>
      </c>
      <c r="F10" s="26">
        <v>3.75</v>
      </c>
      <c r="G10" s="31">
        <f t="shared" ref="G10:G24" si="0">IFERROR(F10/E10,"")</f>
        <v>0.75</v>
      </c>
      <c r="H10" s="32" t="str">
        <f t="shared" ref="H10:H24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0" customHeight="1" x14ac:dyDescent="0.3">
      <c r="A11" s="10"/>
      <c r="B11" s="38" t="s">
        <v>181</v>
      </c>
      <c r="C11" s="39"/>
      <c r="D11" s="39"/>
      <c r="E11" s="8">
        <v>5</v>
      </c>
      <c r="F11" s="26">
        <v>3.5</v>
      </c>
      <c r="G11" s="31">
        <f t="shared" si="0"/>
        <v>0.7</v>
      </c>
      <c r="H11" s="32" t="str">
        <f t="shared" si="1"/>
        <v>جيد</v>
      </c>
      <c r="I11" s="47"/>
      <c r="J11" s="48"/>
    </row>
    <row r="12" spans="1:10" ht="30" customHeight="1" x14ac:dyDescent="0.3">
      <c r="A12" s="10"/>
      <c r="B12" s="38" t="s">
        <v>182</v>
      </c>
      <c r="C12" s="39"/>
      <c r="D12" s="39"/>
      <c r="E12" s="8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0" customHeight="1" x14ac:dyDescent="0.3">
      <c r="A13" s="10"/>
      <c r="B13" s="38" t="s">
        <v>183</v>
      </c>
      <c r="C13" s="39"/>
      <c r="D13" s="39"/>
      <c r="E13" s="8">
        <v>5</v>
      </c>
      <c r="F13" s="26">
        <v>3.5</v>
      </c>
      <c r="G13" s="31">
        <f t="shared" si="0"/>
        <v>0.7</v>
      </c>
      <c r="H13" s="32" t="str">
        <f t="shared" si="1"/>
        <v>جيد</v>
      </c>
      <c r="I13" s="47"/>
      <c r="J13" s="48"/>
    </row>
    <row r="14" spans="1:10" ht="30" customHeight="1" thickBot="1" x14ac:dyDescent="0.35">
      <c r="A14" s="10"/>
      <c r="B14" s="45" t="s">
        <v>197</v>
      </c>
      <c r="C14" s="46"/>
      <c r="D14" s="46"/>
      <c r="E14" s="33">
        <v>5</v>
      </c>
      <c r="F14" s="28">
        <v>3.75</v>
      </c>
      <c r="G14" s="34">
        <f t="shared" si="0"/>
        <v>0.75</v>
      </c>
      <c r="H14" s="35" t="str">
        <f t="shared" si="1"/>
        <v>جيد</v>
      </c>
      <c r="I14" s="49"/>
      <c r="J14" s="50"/>
    </row>
    <row r="15" spans="1:10" ht="30" customHeight="1" x14ac:dyDescent="0.3">
      <c r="A15" s="10"/>
      <c r="B15" s="42" t="s">
        <v>194</v>
      </c>
      <c r="C15" s="43"/>
      <c r="D15" s="43"/>
      <c r="E15" s="43"/>
      <c r="F15" s="43"/>
      <c r="G15" s="43"/>
      <c r="H15" s="43"/>
      <c r="I15" s="43"/>
      <c r="J15" s="44"/>
    </row>
    <row r="16" spans="1:10" ht="30" customHeight="1" x14ac:dyDescent="0.3">
      <c r="A16" s="10"/>
      <c r="B16" s="38" t="s">
        <v>184</v>
      </c>
      <c r="C16" s="39"/>
      <c r="D16" s="39"/>
      <c r="E16" s="8">
        <v>5</v>
      </c>
      <c r="F16" s="26">
        <v>3.5</v>
      </c>
      <c r="G16" s="31">
        <f t="shared" si="0"/>
        <v>0.7</v>
      </c>
      <c r="H16" s="32" t="str">
        <f t="shared" si="1"/>
        <v>جيد</v>
      </c>
      <c r="I16" s="47"/>
      <c r="J16" s="48"/>
    </row>
    <row r="17" spans="1:10" ht="30" customHeight="1" x14ac:dyDescent="0.3">
      <c r="A17" s="10"/>
      <c r="B17" s="38" t="s">
        <v>185</v>
      </c>
      <c r="C17" s="39"/>
      <c r="D17" s="39"/>
      <c r="E17" s="8">
        <v>5</v>
      </c>
      <c r="F17" s="26">
        <v>3.5</v>
      </c>
      <c r="G17" s="31">
        <f t="shared" si="0"/>
        <v>0.7</v>
      </c>
      <c r="H17" s="32" t="str">
        <f t="shared" si="1"/>
        <v>جيد</v>
      </c>
      <c r="I17" s="47"/>
      <c r="J17" s="48"/>
    </row>
    <row r="18" spans="1:10" ht="39.9" customHeight="1" x14ac:dyDescent="0.3">
      <c r="A18" s="10"/>
      <c r="B18" s="38" t="s">
        <v>191</v>
      </c>
      <c r="C18" s="39"/>
      <c r="D18" s="39"/>
      <c r="E18" s="8">
        <v>5</v>
      </c>
      <c r="F18" s="26">
        <v>3.75</v>
      </c>
      <c r="G18" s="31">
        <f t="shared" si="0"/>
        <v>0.75</v>
      </c>
      <c r="H18" s="32" t="str">
        <f t="shared" si="1"/>
        <v>جيد</v>
      </c>
      <c r="I18" s="47"/>
      <c r="J18" s="48"/>
    </row>
    <row r="19" spans="1:10" ht="39.9" customHeight="1" x14ac:dyDescent="0.3">
      <c r="A19" s="10"/>
      <c r="B19" s="38" t="s">
        <v>186</v>
      </c>
      <c r="C19" s="39"/>
      <c r="D19" s="39"/>
      <c r="E19" s="8"/>
      <c r="F19" s="26"/>
      <c r="G19" s="31"/>
      <c r="H19" s="32"/>
      <c r="I19" s="47"/>
      <c r="J19" s="48"/>
    </row>
    <row r="20" spans="1:10" ht="30" customHeight="1" x14ac:dyDescent="0.3">
      <c r="A20" s="10"/>
      <c r="B20" s="40" t="s">
        <v>187</v>
      </c>
      <c r="C20" s="41"/>
      <c r="D20" s="41"/>
      <c r="E20" s="8">
        <v>0</v>
      </c>
      <c r="F20" s="26" t="s">
        <v>17</v>
      </c>
      <c r="G20" s="31" t="str">
        <f t="shared" si="0"/>
        <v/>
      </c>
      <c r="H20" s="32" t="str">
        <f t="shared" si="1"/>
        <v>تم الإلغاء</v>
      </c>
      <c r="I20" s="47"/>
      <c r="J20" s="48"/>
    </row>
    <row r="21" spans="1:10" ht="30" customHeight="1" x14ac:dyDescent="0.3">
      <c r="A21" s="10"/>
      <c r="B21" s="40" t="s">
        <v>188</v>
      </c>
      <c r="C21" s="41"/>
      <c r="D21" s="41"/>
      <c r="E21" s="8">
        <v>0</v>
      </c>
      <c r="F21" s="26" t="s">
        <v>17</v>
      </c>
      <c r="G21" s="31" t="str">
        <f t="shared" si="0"/>
        <v/>
      </c>
      <c r="H21" s="32" t="str">
        <f t="shared" si="1"/>
        <v>تم الإلغاء</v>
      </c>
      <c r="I21" s="47"/>
      <c r="J21" s="48"/>
    </row>
    <row r="22" spans="1:10" ht="30" customHeight="1" x14ac:dyDescent="0.3">
      <c r="A22" s="10"/>
      <c r="B22" s="40" t="s">
        <v>189</v>
      </c>
      <c r="C22" s="41"/>
      <c r="D22" s="41"/>
      <c r="E22" s="8">
        <v>0</v>
      </c>
      <c r="F22" s="26" t="s">
        <v>17</v>
      </c>
      <c r="G22" s="31" t="str">
        <f t="shared" si="0"/>
        <v/>
      </c>
      <c r="H22" s="32" t="str">
        <f t="shared" si="1"/>
        <v>تم الإلغاء</v>
      </c>
      <c r="I22" s="47"/>
      <c r="J22" s="48"/>
    </row>
    <row r="23" spans="1:10" ht="30" customHeight="1" thickBot="1" x14ac:dyDescent="0.35">
      <c r="A23" s="10"/>
      <c r="B23" s="53" t="s">
        <v>190</v>
      </c>
      <c r="C23" s="54"/>
      <c r="D23" s="54"/>
      <c r="E23" s="33">
        <v>0</v>
      </c>
      <c r="F23" s="28" t="s">
        <v>17</v>
      </c>
      <c r="G23" s="34" t="str">
        <f t="shared" si="0"/>
        <v/>
      </c>
      <c r="H23" s="35" t="str">
        <f t="shared" si="1"/>
        <v>تم الإلغاء</v>
      </c>
      <c r="I23" s="49"/>
      <c r="J23" s="50"/>
    </row>
    <row r="24" spans="1:10" ht="39.9" customHeight="1" thickBot="1" x14ac:dyDescent="0.35">
      <c r="A24" s="10"/>
      <c r="B24" s="55" t="s">
        <v>195</v>
      </c>
      <c r="C24" s="56"/>
      <c r="D24" s="56"/>
      <c r="E24" s="9">
        <v>5</v>
      </c>
      <c r="F24" s="36">
        <v>4</v>
      </c>
      <c r="G24" s="37">
        <f t="shared" si="0"/>
        <v>0.8</v>
      </c>
      <c r="H24" s="27" t="str">
        <f t="shared" si="1"/>
        <v>جيد جداً</v>
      </c>
      <c r="I24" s="51"/>
      <c r="J24" s="52"/>
    </row>
    <row r="25" spans="1:10" ht="30" customHeight="1" thickBot="1" x14ac:dyDescent="0.35">
      <c r="A25" s="4"/>
      <c r="B25" s="85" t="s">
        <v>5</v>
      </c>
      <c r="C25" s="86"/>
      <c r="D25" s="86"/>
      <c r="E25" s="30">
        <f>SUM(E8:E24)</f>
        <v>50</v>
      </c>
      <c r="F25" s="30">
        <f>SUM(F8:F24)</f>
        <v>36.75</v>
      </c>
      <c r="G25" s="74"/>
      <c r="H25" s="75"/>
      <c r="I25" s="75"/>
      <c r="J25" s="76"/>
    </row>
    <row r="26" spans="1:10" ht="30" customHeight="1" thickBot="1" x14ac:dyDescent="0.35">
      <c r="A26" s="4"/>
      <c r="B26" s="87" t="s">
        <v>54</v>
      </c>
      <c r="C26" s="88"/>
      <c r="D26" s="88"/>
      <c r="E26" s="83">
        <f>F25/E25/100*100</f>
        <v>0.73499999999999999</v>
      </c>
      <c r="F26" s="83"/>
      <c r="G26" s="83"/>
      <c r="H26" s="83"/>
      <c r="I26" s="83"/>
      <c r="J26" s="84"/>
    </row>
    <row r="27" spans="1:10" ht="30" customHeight="1" thickBot="1" x14ac:dyDescent="0.35">
      <c r="A27" s="4"/>
      <c r="B27" s="87" t="s">
        <v>55</v>
      </c>
      <c r="C27" s="88"/>
      <c r="D27" s="88"/>
      <c r="E27" s="81" t="str">
        <f>_xlfn.IFS(E26&gt;=90%,"ممتاز",E26&gt;=80%,"جيد جداً",E26&gt;=70%,"جيد",E26&gt;=60%,"مقبول",E26&lt;60%,"راسب")</f>
        <v>جيد</v>
      </c>
      <c r="F27" s="81"/>
      <c r="G27" s="81"/>
      <c r="H27" s="81"/>
      <c r="I27" s="81"/>
      <c r="J27" s="82"/>
    </row>
    <row r="28" spans="1:10" ht="42" customHeight="1" x14ac:dyDescent="0.3">
      <c r="B28" s="77" t="s">
        <v>174</v>
      </c>
      <c r="C28" s="77"/>
      <c r="D28" s="77"/>
      <c r="E28" s="72" t="s">
        <v>52</v>
      </c>
      <c r="F28" s="72"/>
      <c r="G28" s="79" t="s">
        <v>134</v>
      </c>
      <c r="H28" s="79"/>
      <c r="I28" s="79"/>
      <c r="J28" s="79"/>
    </row>
    <row r="29" spans="1:10" ht="51" customHeight="1" x14ac:dyDescent="0.3">
      <c r="A29" s="5"/>
      <c r="B29" s="78"/>
      <c r="C29" s="78"/>
      <c r="D29" s="78"/>
      <c r="E29" s="73" t="s">
        <v>53</v>
      </c>
      <c r="F29" s="73"/>
      <c r="G29" s="80"/>
      <c r="H29" s="80"/>
      <c r="I29" s="80"/>
      <c r="J29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E28:F28"/>
    <mergeCell ref="E29:F29"/>
    <mergeCell ref="G25:J25"/>
    <mergeCell ref="I9:J9"/>
    <mergeCell ref="B28:D29"/>
    <mergeCell ref="G28:J28"/>
    <mergeCell ref="G29:J29"/>
    <mergeCell ref="E27:J27"/>
    <mergeCell ref="E26:J26"/>
    <mergeCell ref="B25:D25"/>
    <mergeCell ref="B26:D26"/>
    <mergeCell ref="B27:D27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G4:J4"/>
    <mergeCell ref="B7:D7"/>
    <mergeCell ref="E5:H5"/>
    <mergeCell ref="I5:J6"/>
    <mergeCell ref="I7:J7"/>
    <mergeCell ref="I10:J10"/>
    <mergeCell ref="B8:J8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B22:D22"/>
    <mergeCell ref="B23:D23"/>
    <mergeCell ref="B24:D24"/>
    <mergeCell ref="B21:D21"/>
    <mergeCell ref="B15:J15"/>
    <mergeCell ref="B9:D9"/>
    <mergeCell ref="B10:D10"/>
    <mergeCell ref="B11:D11"/>
    <mergeCell ref="B12:D12"/>
    <mergeCell ref="B13:D13"/>
    <mergeCell ref="B14:D14"/>
    <mergeCell ref="B16:D16"/>
    <mergeCell ref="B17:D17"/>
    <mergeCell ref="B18:D18"/>
    <mergeCell ref="B19:D19"/>
    <mergeCell ref="B20:D2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21" priority="57">
      <formula>$E27="راسب"</formula>
    </cfRule>
  </conditionalFormatting>
  <conditionalFormatting sqref="E27:J27">
    <cfRule type="expression" dxfId="20" priority="60">
      <formula>$E27="جيد جداً"</formula>
    </cfRule>
    <cfRule type="expression" dxfId="19" priority="59">
      <formula>$E27="جيد"</formula>
    </cfRule>
    <cfRule type="expression" dxfId="18" priority="58">
      <formula>$E27="مقبول"</formula>
    </cfRule>
    <cfRule type="expression" dxfId="17" priority="61">
      <formula>$E27="ممتاز"</formula>
    </cfRule>
  </conditionalFormatting>
  <conditionalFormatting sqref="F9:F14">
    <cfRule type="containsText" dxfId="16" priority="4" operator="containsText" text="أدخل العلامة">
      <formula>NOT(ISERROR(SEARCH("أدخل العلامة",F9)))</formula>
    </cfRule>
  </conditionalFormatting>
  <conditionalFormatting sqref="F16:F24">
    <cfRule type="containsText" dxfId="15" priority="14" operator="containsText" text="أدخل العلامة">
      <formula>NOT(ISERROR(SEARCH("أدخل العلامة",F16)))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12" priority="15" operator="containsText" text="أدخل اسم المحكم">
      <formula>NOT(ISERROR(SEARCH("أدخل اسم المحكم",G28)))</formula>
    </cfRule>
  </conditionalFormatting>
  <conditionalFormatting sqref="H9:H14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6:H24">
    <cfRule type="containsText" dxfId="5" priority="38" operator="containsText" text="أدخل العلامة">
      <formula>NOT(ISERROR(SEARCH("أدخل العلامة",H16)))</formula>
    </cfRule>
    <cfRule type="containsText" dxfId="4" priority="39" operator="containsText" text="ممتاز">
      <formula>NOT(ISERROR(SEARCH("ممتاز",H16)))</formula>
    </cfRule>
    <cfRule type="containsText" dxfId="3" priority="40" operator="containsText" text="جيد جداً">
      <formula>NOT(ISERROR(SEARCH("جيد جداً",H16)))</formula>
    </cfRule>
    <cfRule type="containsText" dxfId="2" priority="41" operator="containsText" text="جيد">
      <formula>NOT(ISERROR(SEARCH("جيد",H16)))</formula>
    </cfRule>
    <cfRule type="containsText" dxfId="1" priority="42" operator="containsText" text="مقبول">
      <formula>NOT(ISERROR(SEARCH("مقبول",H16)))</formula>
    </cfRule>
    <cfRule type="containsText" dxfId="0" priority="43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F20:F24 F16:F18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G28:J28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2025-10-13T19:33:48Z</dcterms:modified>
</cp:coreProperties>
</file>