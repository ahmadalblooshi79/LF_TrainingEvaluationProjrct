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3FA5C6F1-C2A7-4EB2-95BA-C5971E1BC24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<sst xmlns="http://schemas.openxmlformats.org/spreadsheetml/2006/main" count="259" uniqueCount="203">
  <si>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</si>
  <si>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</si>
  <si>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</si>
  <si>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</si>
  <si>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</si>
  <si>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</si>
  <si>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</si>
  <si>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</si>
  <si>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</si>
  <si>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</si>
  <si>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</si>
  <si>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</si>
  <si>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</si>
  <si>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</si>
  <si>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</si>
  <si>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</si>
  <si>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</si>
  <si>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</si>
  <si>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</si>
  <si>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</si>
  <si>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</si>
  <si>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</si>
  <si>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</si>
  <si>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</si>
  <si>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</si>
  <si>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</si>
  <si>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</si>
  <si>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</si>
  <si>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</si>
  <si>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</si>
  <si>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</si>
  <si>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</si>
  <si>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</si>
  <si>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</si>
  <si>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</si>
  <si>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</si>
  <si>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</si>
  <si>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</si>
  <si>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</si>
  <si>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</si>
  <si>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</si>
  <si>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</si>
  <si>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</si>
  <si>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</si>
  <si>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</si>
  <si>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</si>
  <si>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</si>
  <si>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</si>
  <si>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</si>
  <si>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</si>
  <si>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</si>
  <si>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</si>
  <si>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</si>
  <si>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</si>
  <si>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</si>
  <si>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</si>
  <si>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</si>
  <si>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</si>
  <si>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</si>
  <si>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</si>
  <si>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</si>
  <si>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</si>
  <si>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</si>
  <si>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</si>
  <si>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</si>
  <si>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</si>
  <si>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</si>
  <si>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</si>
  <si>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</si>
  <si>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</si>
  <si>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</si>
  <si>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</si>
  <si>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</si>
  <si>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</si>
  <si>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</si>
  <si>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</si>
  <si>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</si>
  <si>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</si>
  <si>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</si>
  <si>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</si>
  <si>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</si>
  <si>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</si>
  <si>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</si>
  <si>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</si>
  <si>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</si>
  <si>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</si>
  <si>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</si>
  <si>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</si>
  <si>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</si>
  <si>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</si>
  <si>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</si>
  <si>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</si>
  <si>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</si>
  <si>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</si>
  <si>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</si>
  <si>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</si>
  <si>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</si>
  <si>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</si>
  <si>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</si>
  <si>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</si>
  <si>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</si>
  <si>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</si>
  <si>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</si>
  <si>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</si>
  <si>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</si>
  <si>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</si>
  <si>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</si>
  <si>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</si>
  <si>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</si>
  <si>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</si>
  <si>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</si>
  <si>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</si>
  <si>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</si>
  <si>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</si>
  <si>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</si>
  <si>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</si>
  <si>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</si>
  <si>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</si>
  <si>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</si>
  <si>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</si>
  <si>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</si>
  <si>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</si>
  <si>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</si>
  <si>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</si>
  <si>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</si>
  <si>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</si>
  <si>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</si>
  <si>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</si>
  <si>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</si>
  <si>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</si>
  <si>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</si>
  <si>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</si>
  <si>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</si>
  <si>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</si>
  <si>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</si>
  <si>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</si>
  <si>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</si>
  <si>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</si>
  <si>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</si>
  <si>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</si>
  <si>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</si>
  <si>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</si>
  <si>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</si>
  <si>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</si>
  <si>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</si>
  <si>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</si>
  <si>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</si>
  <si>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</si>
  <si>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</si>
  <si>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</si>
  <si>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</si>
  <si>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</si>
  <si>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</si>
  <si>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</si>
  <si>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</si>
  <si>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</si>
  <si>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</si>
  <si>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</si>
  <si>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</si>
  <si>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</si>
  <si>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</si>
  <si>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</si>
  <si>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</si>
  <si>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</si>
  <si>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</si>
  <si>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</si>
  <si>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</si>
  <si>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</si>
  <si>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</si>
  <si>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</si>
  <si>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</si>
  <si>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</si>
  <si>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</si>
  <si>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</si>
  <si>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</si>
  <si>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</si>
  <si>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</si>
  <si>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</si>
  <si>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</si>
  <si>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</si>
  <si>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</si>
  <si>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</si>
  <si>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</si>
  <si>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</si>
  <si>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</si>
  <si>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</si>
  <si>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</si>
  <si>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</si>
  <si>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</si>
  <si>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</si>
  <si>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</si>
  <si>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</si>
  <si>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</si>
  <si>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</si>
  <si>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</si>
  <si>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</si>
  <si>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</si>
  <si>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</si>
  <si>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</si>
  <si>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</si>
  <si>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</si>
  <si>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</si>
  <si>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نقيب / حميد سعيد مسير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</si>
</sst>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320159</xdr:colOff>
      <xdr:row>36</xdr:row>
      <xdr:rowOff>53615</xdr:rowOff>
    </xdr:from>
    <xdr:to>
      <xdr:col>8</xdr:col>
      <xdr:colOff>21698</xdr:colOff>
      <xdr:row>36</xdr:row>
      <xdr:rowOff>577415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676FA89-BC98-24AE-4C39-D45268CC2671}"/>
                </a:ext>
              </a:extLst>
            </xdr14:cNvPr>
            <xdr14:cNvContentPartPr/>
          </xdr14:nvContentPartPr>
          <xdr14:nvPr macro=""/>
          <xdr14:xfrm>
            <a:off x="10399223211" y="18353160"/>
            <a:ext cx="1017720" cy="523800"/>
          </xdr14:xfrm>
        </xdr:contentPart>
      </mc:Choice>
      <mc:Fallback xmlns="">
        <xdr:pic>
          <xdr:nvPicPr>
            <xdr:cNvPr id="2" name="Ink 1">
              <a:extLst>
                <a:ext uri="{FF2B5EF4-FFF2-40B4-BE49-F238E27FC236}">
                  <a16:creationId xmlns:a16="http://schemas.microsoft.com/office/drawing/2014/main" id="{A676FA89-BC98-24AE-4C39-D45268CC2671}"/>
                </a:ext>
              </a:extLst>
            </xdr:cNvPr>
            <xdr:cNvPicPr/>
          </xdr:nvPicPr>
          <xdr:blipFill>
            <a:blip xmlns:r="http://schemas.openxmlformats.org/officeDocument/2006/relationships" r:embed="rId2"/>
            <a:stretch>
              <a:fillRect/>
            </a:stretch>
          </xdr:blipFill>
          <xdr:spPr>
            <a:xfrm>
              <a:off x="10399214211" y="18344520"/>
              <a:ext cx="1035360" cy="541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5T07:32:58.199"/>
    </inkml:context>
    <inkml:brush xml:id="br0">
      <inkml:brushProperty name="width" value="0.05" units="cm"/>
      <inkml:brushProperty name="height" value="0.05" units="cm"/>
    </inkml:brush>
  </inkml:definitions>
  <inkml:trace contextRef="#ctx0" brushRef="#br0">2720 652 14947,'0'0'0,"0"0"0,-30-2 2392,0 0-2200,-2 0-208,7 2-232,25 0 248,-5 3-176,0 8-32,0-6 48,1 13-32,4-18 192,-3 11-104,-3 2 40,-4 1-72,5-2 64,5-12 72,-2 13-72,-2-9-32,-8 10 112,7-10-24,5-4 16,-2 16 16,-11-3 120,1 0-88,3 1 48,9-14-96,-17 15 40,1 4-24,-1-1 32,-3 1 24,20-19-72,-23 18 64,0 1-32,0 1 32,2 1 0,21-21-64,-23 21 96,-3 2-32,3 0 72,-7 2-16,30-25-120,-28 26 112,-2-2 56,0-1-16,4 0 0,26-23-152,-28 18 224,8-1-48,-1-3 0,3-9 40,18-5-216,-17 12 40,6-12 112,6 0-39,0 0-33,5 0-80,-7 0 40,5-4-160,-2-11-113,2 2-7,2 13 240,-3-16-216,1-1 64,2-3-24,0-3 8,0 23 168,7-25-88,2-1-88,-5 1 72,11 1 32,-15 24 72,1-19-48,16 3 64,-12 5-80,-3 8-40,-2 3 104,4-3-176,-4 3 48,0 0 80,0 0 0,0 0 48,-2 12-16,-2-9 0,-6 12 64,-2-1 40,12-14-88,-13 17 128,1 6-24,-6-1-56,2 2 16,16-24-64,-23 22 56,0 0 40,-1-1 56,0-2-16,24-19-136,-18 14 200,0-1-80,1-9-88,4-1 80,13-3-112,-3 3 8,-1-3 48,1-5-184,3 0-272,0 5 400,0-16-496,7 2-120,5-2 144,-1-2 120,-11 18 352,12-19-320,4-1 136,-1 0 0,-2 6-8,-13 14 192,10-11-192,-6 6-104,0 4-25,-1 1 129,-3 0 192,0 0 24,0 4 192,-3 9 193,-8-9-57,11-4-352,-4 20 288,-12-6-88,1 2-48,2 1-40,13-17-112,-15 16 104,2-1 56,-4 0-64,1-3 80,16-12-176,-13 13 192,-2-8 0,4 9 32,-1-11-8,12-3-216,-12 11 200,6-8-16,-6 1-16,7 7 24,5-11-192,-11 0 128,6 3 8,3 0-24,0 0 16,2-3-128,-3 0 240,3 0-24,0-1 8,0-4 41,0 5-265,5-13 104,-5 2-96,12-7-88,-8-8-128,-4 26 208,19-33-145,-3-6-39,2-6 56,5-3-16,-23 48 144,28-51-136,5-6 48,-3-5-56,3-2-24,-33 64 168,28-64-200,-1 3 64,0 5 32,-3 6 72,-24 50 32,21-47 32,0 8-8,-3 2 24,-4 8-48,-14 29 0,11-21-16,-8 7 8,2 9 32,-3 3 56,-2 2-80,0 0 232,0 0 72,0 4-104,-2 7-56,2-11-144,-12 4-48,8 11-32,-1-3 64,-9 7-40,14-19 56,-14 24-40,-4 3-64,-1 4 8,0 2 48,19-33 48,-20 37-32,-3 3-16,0 5 0,-5 5 0,28-50 48,-31 54-16,4-1-24,-4-1 32,-1-1 8,32-51 0,-30 50-16,-2 3 64,-1-3 32,-2-1 64,35-49-144,-34 49 232,4-4 8,-1-2-24,-1-5-24,32-38-192,-23 36 185,-5-5 47,10-7 48,-1-7-24,19-17-256,-14 13 216,11-10-80,0 1-16,-2-1-32,5-3-88,-3 0-24,3 0-104,-2-4-240,2-8-184,0 12 552,2-12-585,1-6-23,5-4 80,0-7 104,-8 29 424,14-34-376,-3-1 8,4-1 56,-2 1 16,-13 35 296,16-33-296,-4 2 88,1 2 16,-3 6 8,-10 23 184,5-18-136,6 5-72,-6 9-89,-3 0-55,-2 4 352,0-2-336,0 2 152,0 4 224,0 9 208,0-13-248,-7 12 288,5 2-48,-7 3-63,1 1-81,8-18-96,-8 20 72,1 2-16,-5-2 8,7 1-48,5-21-16,-11 20 24,6-5 8,0 1-40,-6-5 40,11-11-32,-5 5 0,1-1 0,1 7 64,-2-11 0,5 0-64,-4 3 64,2 0 32,-3 0-56,0-3-16,5 0-24,-4 3 16,-1 0-24,-6-3 8,8 2-8,3-2 8,0 0-16,-2 3 0,0-3 16,-3 0 32,5 0-32,-3 3 0,1 0 8,0-3 16,-2 3-24,4-3 0,-3 0-24,3 3 0,-4-1 8,-1 3 16,5-5 0,-11 11 40,8-8-16,-4 8-24,-5-6-24,12-5 24,-4 12-8,-13-7 8,9 12 32,-7-6 24,15-11-56,-11 4 96,-1 13 8,0-12 48,6 7 80,6-12-232,-12 3 248,10 0 40,-3 0 120,1-3-32,4 0-376,0 0 424,0-1 0,0-11-152,0 1-80,0 11-192,0-19 24,0-5-112,0-10-40,2-10 48,-2 44 80,19-53-112,-4-6 32,9-7 24,3-6 8,-27 72 48,28-80-16,3-9 40,1-7 24,-2-3-48,-30 99 0,35-101 32,0 4 8,-1 5 32,-2 8-24,-32 84-48,33-75 48,-3 11-16,-4 12-80,-3 10 72,-23 42-24,18-33 0,-6 8-32,-6 8 88,-1 5 0,-5 12-56,0-1 184,0 1 56,0 3-112,-2 8-104,2-11-24,-6 11-56,-9 8-88,2 8 0,-8 13 56,21-40 88,-24 52-144,-5 12 40,-6 9-24,-5 5-48,40-78 176,-39 82-104,-2 2 16,-7 0 88,2-6 120,46-78-120,-46 76 176,0-8 80,-2-6 144,1-5 137,47-57-537,-44 53 504,-2-3 8,11-8-64,1-6-80,34-36-368,-31 28 344,8-7-24,5-8-72,6-8-120,12-5-128,-7 4 104,4-1-24,3-3-40,-2 0-120,2 0 80,0-5-296,0-7-128,2 6-128,1-14 48,-3 20 504,2-17-424,3-7-32,7-6 0,-11-3 111,-1 33 345,20-35-432,-5-1 120,0 3 0,3 2 56,-18 31 256,16-28-184,1 1-32,-1 3 96,-5 5-72,-11 19 192,4-16-248,11 11 24,-15-1-72,2 5-48,-2 1 344,0 0-128,0 0 40,0 11 208,-2-8 152,2-3-272,-7 14 232,4-3 32,-10 1-152,1 3 48,12-15-160,-14 18 144,-2-1 32,-5 1 96,3-1 8,18-17-280,-19 17 288,-5-3-32,4-1 0,-3-1-120,23-12-136,-21 11 200,-4-7-16,-1 15-104,1-7 80,25-12-160,-33 13 97,3-1 7,-4-8 32,-4 13 48,38-17-184,-36 11 208,-4 1 64,1-1 56,-1 2 8,40-13-336,-44 13 304,1-1-48,-6 4-40,2 0-32,47-16-184,-46 18 168,0 1-24,2-1 8,2 1-152,42-19 0,-37 17 56,2-2 8,7 0-80,8-3 112,20-12-96,-14 5 48,7 6-112,2-11-96,5 3-72,0-3 232,0 3-288,0 1 8,18 0 80,2 9 104,-20-13 96,29 3 0,8-3 120,10 0 80,11-13 48,-58 13-248,69-20 208,7-10 72,10-7 8,6-8-104,-92 45-184,100-51 216,9-6-152,2 1 16,9-2 24,-120 58-104,125-57 96,0-2 40,-4-3-88,-1 0-32,-120 62-16,114-61-16,-1 1-8,1 2 24,-7 2 0,-107 56 0,104-55-16,-12 2-72,-4 5-192,-11 4-120,-77 44 400,67-41-392,-9 5-104,-12 5 104,-7 5 136,-39 26 256,30-22-232,-14 3 200,-11 5 104,-3 1-8,-2 13-64,-2-11 136,-19 6-40,-7-6-152,-11 7-96,39 4 152,-48-5-264,-13 1 40,-10 4 96,-15 4 104,86-4 24,-95 22 72,-12 3 40,-7 10 144,-3 9 112,117-44-368,-118 51 432,2 7 96,3 7-40,-1 2-24,114-67-464,-106 70 424,6-5-192,16-4-15,15-8-161,69-53-56,-58 44-16,12-4 32,9-7-152,9-6-217,28-27 353,-16 19-680,9-4-536,3-4-416,1-7-449,3-4 2081,0 15-3104,3-13-1449,10-2-1345,-13 0 5898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B7" sqref="B7:D7"/>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38</v>
      </c>
      <c r="D2" s="66"/>
      <c r="E2" s="13" t="s">
        <v>7</v>
      </c>
      <c r="F2" s="61">
        <v>45955</v>
      </c>
      <c r="G2" s="61"/>
      <c r="H2" s="61"/>
      <c r="I2" s="61"/>
      <c r="J2" s="61"/>
    </row>
    <row r="3" spans="1:10" ht="30" customHeight="1" x14ac:dyDescent="0.3">
      <c r="B3" s="13" t="s">
        <v>9</v>
      </c>
      <c r="C3" s="66" t="s">
        <v>60</v>
      </c>
      <c r="D3" s="66"/>
      <c r="E3" s="13" t="s">
        <v>6</v>
      </c>
      <c r="F3" s="66" t="s">
        <v>142</v>
      </c>
      <c r="G3" s="66"/>
      <c r="H3" s="66"/>
      <c r="I3" s="66"/>
      <c r="J3" s="66"/>
    </row>
    <row r="4" spans="1:10" ht="30" customHeight="1" thickBot="1" x14ac:dyDescent="0.35">
      <c r="B4" s="6"/>
      <c r="C4" s="95" t="s">
        <v>202</v>
      </c>
      <c r="D4" s="95"/>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3.75</v>
      </c>
      <c r="G12" s="32">
        <f t="shared" si="0"/>
        <v>0.75</v>
      </c>
      <c r="H12" s="33" t="str">
        <f t="shared" si="1"/>
        <v>جيد</v>
      </c>
      <c r="I12" s="52"/>
      <c r="J12" s="53"/>
    </row>
    <row r="13" spans="1:10" ht="54.9" customHeight="1" x14ac:dyDescent="0.3">
      <c r="A13" s="11"/>
      <c r="B13" s="83" t="s">
        <v>177</v>
      </c>
      <c r="C13" s="84"/>
      <c r="D13" s="84"/>
      <c r="E13" s="9">
        <v>5</v>
      </c>
      <c r="F13" s="27">
        <v>3.5</v>
      </c>
      <c r="G13" s="32">
        <f t="shared" si="0"/>
        <v>0.7</v>
      </c>
      <c r="H13" s="33" t="str">
        <f t="shared" si="1"/>
        <v>جيد</v>
      </c>
      <c r="I13" s="52"/>
      <c r="J13" s="53"/>
    </row>
    <row r="14" spans="1:10" ht="71.25" customHeight="1" x14ac:dyDescent="0.3">
      <c r="A14" s="11"/>
      <c r="B14" s="83" t="s">
        <v>178</v>
      </c>
      <c r="C14" s="84"/>
      <c r="D14" s="84"/>
      <c r="E14" s="9">
        <v>5</v>
      </c>
      <c r="F14" s="27">
        <v>3.75</v>
      </c>
      <c r="G14" s="32">
        <f t="shared" si="0"/>
        <v>0.75</v>
      </c>
      <c r="H14" s="33" t="str">
        <f t="shared" si="1"/>
        <v>جيد</v>
      </c>
      <c r="I14" s="52"/>
      <c r="J14" s="53"/>
    </row>
    <row r="15" spans="1:10" ht="39.9" customHeight="1" x14ac:dyDescent="0.3">
      <c r="A15" s="11"/>
      <c r="B15" s="83" t="s">
        <v>179</v>
      </c>
      <c r="C15" s="84"/>
      <c r="D15" s="84"/>
      <c r="E15" s="9">
        <v>5</v>
      </c>
      <c r="F15" s="27">
        <v>3.5</v>
      </c>
      <c r="G15" s="32">
        <f t="shared" si="0"/>
        <v>0.7</v>
      </c>
      <c r="H15" s="33" t="str">
        <f t="shared" si="1"/>
        <v>جيد</v>
      </c>
      <c r="I15" s="52"/>
      <c r="J15" s="53"/>
    </row>
    <row r="16" spans="1:10" ht="68.25" customHeight="1" x14ac:dyDescent="0.3">
      <c r="A16" s="11"/>
      <c r="B16" s="83" t="s">
        <v>180</v>
      </c>
      <c r="C16" s="84"/>
      <c r="D16" s="84"/>
      <c r="E16" s="9">
        <v>5</v>
      </c>
      <c r="F16" s="27">
        <v>3.5</v>
      </c>
      <c r="G16" s="32">
        <f t="shared" si="0"/>
        <v>0.7</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3.5</v>
      </c>
      <c r="G19" s="32">
        <f t="shared" si="0"/>
        <v>0.7</v>
      </c>
      <c r="H19" s="33" t="str">
        <f t="shared" si="1"/>
        <v>جيد</v>
      </c>
      <c r="I19" s="52"/>
      <c r="J19" s="53"/>
    </row>
    <row r="20" spans="1:10" ht="39.9" customHeight="1" x14ac:dyDescent="0.3">
      <c r="A20" s="11"/>
      <c r="B20" s="83" t="s">
        <v>183</v>
      </c>
      <c r="C20" s="84"/>
      <c r="D20" s="84"/>
      <c r="E20" s="9">
        <v>5</v>
      </c>
      <c r="F20" s="27">
        <v>3.5</v>
      </c>
      <c r="G20" s="32">
        <f t="shared" si="0"/>
        <v>0.7</v>
      </c>
      <c r="H20" s="33" t="str">
        <f t="shared" si="1"/>
        <v>جيد</v>
      </c>
      <c r="I20" s="52"/>
      <c r="J20" s="53"/>
    </row>
    <row r="21" spans="1:10" ht="39.9" customHeight="1" x14ac:dyDescent="0.3">
      <c r="A21" s="11"/>
      <c r="B21" s="83" t="s">
        <v>184</v>
      </c>
      <c r="C21" s="84"/>
      <c r="D21" s="84"/>
      <c r="E21" s="9">
        <v>5</v>
      </c>
      <c r="F21" s="27">
        <v>3.75</v>
      </c>
      <c r="G21" s="32">
        <f t="shared" si="0"/>
        <v>0.75</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3.75</v>
      </c>
      <c r="G23" s="32">
        <f t="shared" si="0"/>
        <v>0.75</v>
      </c>
      <c r="H23" s="33" t="str">
        <f t="shared" si="1"/>
        <v>جيد</v>
      </c>
      <c r="I23" s="52"/>
      <c r="J23" s="53"/>
    </row>
    <row r="24" spans="1:10" ht="39.9" customHeight="1" x14ac:dyDescent="0.3">
      <c r="A24" s="11"/>
      <c r="B24" s="83" t="s">
        <v>187</v>
      </c>
      <c r="C24" s="84"/>
      <c r="D24" s="84"/>
      <c r="E24" s="9">
        <v>5</v>
      </c>
      <c r="F24" s="27">
        <v>3.75</v>
      </c>
      <c r="G24" s="32">
        <f t="shared" si="0"/>
        <v>0.75</v>
      </c>
      <c r="H24" s="33" t="str">
        <f t="shared" si="1"/>
        <v>جيد</v>
      </c>
      <c r="I24" s="52"/>
      <c r="J24" s="53"/>
    </row>
    <row r="25" spans="1:10" ht="39.9" customHeight="1" x14ac:dyDescent="0.3">
      <c r="A25" s="11"/>
      <c r="B25" s="83" t="s">
        <v>188</v>
      </c>
      <c r="C25" s="84"/>
      <c r="D25" s="84"/>
      <c r="E25" s="9">
        <v>5</v>
      </c>
      <c r="F25" s="27">
        <v>3.5</v>
      </c>
      <c r="G25" s="32">
        <f t="shared" si="0"/>
        <v>0.7</v>
      </c>
      <c r="H25" s="33" t="str">
        <f t="shared" si="1"/>
        <v>جيد</v>
      </c>
      <c r="I25" s="52"/>
      <c r="J25" s="53"/>
    </row>
    <row r="26" spans="1:10" ht="39.9" customHeight="1" thickBot="1" x14ac:dyDescent="0.35">
      <c r="A26" s="11"/>
      <c r="B26" s="85" t="s">
        <v>189</v>
      </c>
      <c r="C26" s="86"/>
      <c r="D26" s="86"/>
      <c r="E26" s="37">
        <v>5</v>
      </c>
      <c r="F26" s="29">
        <v>3.5</v>
      </c>
      <c r="G26" s="38">
        <f t="shared" si="0"/>
        <v>0.7</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3.75</v>
      </c>
      <c r="G28" s="32">
        <f t="shared" si="0"/>
        <v>0.75</v>
      </c>
      <c r="H28" s="33" t="str">
        <f t="shared" si="1"/>
        <v>جيد</v>
      </c>
      <c r="I28" s="52"/>
      <c r="J28" s="53"/>
    </row>
    <row r="29" spans="1:10" ht="39.9" customHeight="1" x14ac:dyDescent="0.3">
      <c r="A29" s="11"/>
      <c r="B29" s="83" t="s">
        <v>191</v>
      </c>
      <c r="C29" s="84"/>
      <c r="D29" s="84"/>
      <c r="E29" s="9">
        <v>5</v>
      </c>
      <c r="F29" s="27">
        <v>3.5</v>
      </c>
      <c r="G29" s="32">
        <f t="shared" si="0"/>
        <v>0.7</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3.75</v>
      </c>
      <c r="G31" s="32">
        <f t="shared" si="0"/>
        <v>0.75</v>
      </c>
      <c r="H31" s="33" t="str">
        <f t="shared" si="1"/>
        <v>جيد</v>
      </c>
      <c r="I31" s="52"/>
      <c r="J31" s="53"/>
    </row>
    <row r="32" spans="1:10" ht="39.9" customHeight="1" thickBot="1" x14ac:dyDescent="0.35">
      <c r="A32" s="11"/>
      <c r="B32" s="85" t="s">
        <v>194</v>
      </c>
      <c r="C32" s="86"/>
      <c r="D32" s="86"/>
      <c r="E32" s="37">
        <v>5</v>
      </c>
      <c r="F32" s="29">
        <v>3.75</v>
      </c>
      <c r="G32" s="38">
        <f t="shared" si="0"/>
        <v>0.75</v>
      </c>
      <c r="H32" s="39" t="str">
        <f t="shared" si="1"/>
        <v>جيد</v>
      </c>
      <c r="I32" s="81"/>
      <c r="J32" s="82"/>
    </row>
    <row r="33" spans="1:10" ht="30" customHeight="1" thickBot="1" x14ac:dyDescent="0.35">
      <c r="A33" s="4"/>
      <c r="B33" s="75" t="s">
        <v>5</v>
      </c>
      <c r="C33" s="76"/>
      <c r="D33" s="76"/>
      <c r="E33" s="31">
        <f>SUM(E8:E32)</f>
        <v>110</v>
      </c>
      <c r="F33" s="31">
        <f>SUM(F8:F32)</f>
        <v>79.75</v>
      </c>
      <c r="G33" s="45"/>
      <c r="H33" s="46"/>
      <c r="I33" s="46"/>
      <c r="J33" s="47"/>
    </row>
    <row r="34" spans="1:10" ht="30" customHeight="1" thickBot="1" x14ac:dyDescent="0.35">
      <c r="A34" s="4"/>
      <c r="B34" s="77" t="s">
        <v>54</v>
      </c>
      <c r="C34" s="78"/>
      <c r="D34" s="78"/>
      <c r="E34" s="67">
        <f>F33/E33/100*100</f>
        <v>0.72499999999999998</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142</v>
      </c>
      <c r="H36" s="56"/>
      <c r="I36" s="56"/>
      <c r="J36" s="56"/>
    </row>
    <row r="37" spans="1:10" ht="51" customHeight="1" x14ac:dyDescent="0.3">
      <c r="A37" s="5"/>
      <c r="B37" s="55"/>
      <c r="C37" s="55"/>
      <c r="D37" s="55"/>
      <c r="E37" s="44" t="s">
        <v>53</v>
      </c>
      <c r="F37" s="44"/>
      <c r="G37" s="57"/>
      <c r="H37" s="57"/>
      <c r="I37" s="57"/>
      <c r="J37" s="57"/>
    </row>
  </sheetData>
  <sheetProtection formatCells="0" formatColumns="0" formatRows="0" insertColumns="0" insertRows="0" insertHyperlinks="0" deleteColumns="0" deleteRows="0" selectLockedCells="1" sort="0" autoFilter="0" pivotTables="0"/>
  <mergeCells count="72">
    <mergeCell ref="C4:D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2025-10-27T22:27:55Z</dcterms:modified>
</cp:coreProperties>
</file>