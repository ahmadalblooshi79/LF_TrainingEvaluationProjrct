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8897B908-1C51-4B6E-83F7-C8C01582CF15}"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s="1"/>
  <c r="G10" i="2"/>
  <c r="H10" i="2"/>
  <c r="G12" i="2"/>
  <c r="H12" i="2"/>
  <c r="G13" i="2"/>
  <c r="H13" i="2"/>
  <c r="G14" i="2"/>
  <c r="H14" i="2" s="1"/>
  <c r="G15" i="2"/>
  <c r="H15" i="2"/>
  <c r="G16" i="2"/>
  <c r="H16" i="2"/>
  <c r="G17" i="2"/>
  <c r="H17" i="2"/>
  <c r="G19" i="2"/>
  <c r="H19" i="2"/>
  <c r="G20" i="2"/>
  <c r="H20" i="2"/>
  <c r="G21" i="2"/>
  <c r="H21" i="2"/>
  <c r="G22" i="2"/>
  <c r="H22" i="2"/>
  <c r="G23" i="2"/>
  <c r="H23" i="2"/>
  <c r="G24" i="2"/>
  <c r="H24" i="2"/>
  <c r="G25" i="2"/>
  <c r="H25" i="2"/>
  <c r="G26" i="2"/>
  <c r="H26" i="2" s="1"/>
  <c r="G28" i="2"/>
  <c r="H28" i="2" s="1"/>
  <c r="G29" i="2"/>
  <c r="H29" i="2"/>
  <c r="G30" i="2"/>
  <c r="H30" i="2"/>
  <c r="G31" i="2"/>
  <c r="H31" i="2"/>
  <c r="G32" i="2"/>
  <c r="H32" i="2"/>
  <c r="G8" i="2"/>
  <c r="H8" i="2" s="1"/>
  <c r="F33" i="2"/>
  <c r="E34" i="2" s="1"/>
  <c r="E35" i="2" s="1"/>
  <c r="E33"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<sst xmlns="http://schemas.openxmlformats.org/spreadsheetml/2006/main" count="258" uniqueCount="202">
  <si>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</si>
  <si>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</si>
  <si>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</si>
  <si>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</si>
  <si>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</si>
  <si>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</si>
  <si>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</si>
  <si>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</si>
  <si>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</si>
  <si>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</si>
  <si>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</si>
  <si>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</si>
  <si>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</si>
  <si>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</si>
  <si>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</si>
  <si>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</si>
  <si>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</si>
  <si>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</si>
  <si>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</si>
  <si>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</si>
  <si>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</si>
  <si>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</si>
  <si>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</si>
  <si>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</si>
  <si>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</si>
  <si>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</si>
  <si>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</si>
  <si>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</si>
  <si>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</si>
  <si>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</si>
  <si>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</si>
  <si>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</si>
  <si>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</si>
  <si>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</si>
  <si>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</si>
  <si>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</si>
  <si>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</si>
  <si>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</si>
  <si>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</si>
  <si>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</si>
  <si>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</si>
  <si>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</si>
  <si>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</si>
  <si>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</si>
  <si>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</si>
  <si>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</si>
  <si>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</si>
  <si>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</si>
  <si>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</si>
  <si>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</si>
  <si>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</si>
  <si>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</si>
  <si>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</si>
  <si>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</si>
  <si>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</si>
  <si>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</si>
  <si>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</si>
  <si>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</si>
  <si>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</si>
  <si>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</si>
  <si>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</si>
  <si>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</si>
  <si>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</si>
  <si>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</si>
  <si>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</si>
  <si>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</si>
  <si>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</si>
  <si>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</si>
  <si>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</si>
  <si>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</si>
  <si>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</si>
  <si>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</si>
  <si>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</si>
  <si>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</si>
  <si>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</si>
  <si>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</si>
  <si>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</si>
  <si>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</si>
  <si>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</si>
  <si>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</si>
  <si>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</si>
  <si>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</si>
  <si>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</si>
  <si>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</si>
  <si>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</si>
  <si>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</si>
  <si>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</si>
  <si>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</si>
  <si>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</si>
  <si>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</si>
  <si>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</si>
  <si>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</si>
  <si>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</si>
  <si>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</si>
  <si>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</si>
  <si>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</si>
  <si>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</si>
  <si>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</si>
  <si>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</si>
  <si>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</si>
  <si>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</si>
  <si>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</si>
  <si>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</si>
  <si>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</si>
  <si>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</si>
  <si>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</si>
  <si>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</si>
  <si>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</si>
  <si>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</si>
  <si>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</si>
  <si>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</si>
  <si>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</si>
  <si>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</si>
  <si>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</si>
  <si>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</si>
  <si>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</si>
  <si>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</si>
  <si>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</si>
  <si>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</si>
  <si>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</si>
  <si>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</si>
  <si>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</si>
  <si>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</si>
  <si>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</si>
  <si>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</si>
  <si>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</si>
  <si>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</si>
  <si>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</si>
  <si>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</si>
  <si>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</si>
  <si>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</si>
  <si>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</si>
  <si>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</si>
  <si>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</si>
  <si>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</si>
  <si>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</si>
  <si>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</si>
  <si>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</si>
  <si>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</si>
  <si>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</si>
  <si>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</si>
  <si>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</si>
  <si>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</si>
  <si>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</si>
  <si>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</si>
  <si>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</si>
  <si>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</si>
  <si>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</si>
  <si>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</si>
  <si>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</si>
  <si>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</si>
  <si>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</si>
  <si>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</si>
  <si>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</si>
  <si>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</si>
  <si>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</si>
  <si>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</si>
  <si>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</si>
  <si>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</si>
  <si>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</si>
  <si>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</si>
  <si>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</si>
  <si>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</si>
  <si>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</si>
  <si>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</si>
  <si>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</si>
  <si>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</si>
  <si>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</si>
  <si>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</si>
  <si>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</si>
  <si>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</si>
  <si>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</si>
  <si>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</si>
  <si>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</si>
  <si>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</si>
  <si>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</si>
  <si>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</si>
  <si>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</si>
  <si>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</si>
  <si>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</si>
  <si>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</si>
  <si>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</si>
  <si>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</si>
  <si>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</si>
  <si>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</si>
  <si>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</si>
  <si>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</si>
  <si>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</si>
  <si>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</si>
  <si>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</si>
  <si>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</si>
  <si>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</si>
  <si>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</si>
  <si>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</si>
  <si>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</si>
  <si>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</si>
  <si>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</si>
  <si>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</si>
  <si>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</si>
  <si>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</si>
  <si>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</si>
  <si>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مشاة راجلة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</si>
</sst>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5">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27974</xdr:colOff>
      <xdr:row>36</xdr:row>
      <xdr:rowOff>51177</xdr:rowOff>
    </xdr:from>
    <xdr:to>
      <xdr:col>8</xdr:col>
      <xdr:colOff>245831</xdr:colOff>
      <xdr:row>36</xdr:row>
      <xdr:rowOff>328017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E8BD252-D722-7225-8136-CDFA6303CCF9}"/>
                </a:ext>
              </a:extLst>
            </xdr14:cNvPr>
            <xdr14:cNvContentPartPr/>
          </xdr14:nvContentPartPr>
          <xdr14:nvPr macro=""/>
          <xdr14:xfrm>
            <a:off x="10423456969" y="18307800"/>
            <a:ext cx="872280" cy="276840"/>
          </xdr14:xfrm>
        </xdr:contentPart>
      </mc:Choice>
      <mc:Fallback xmlns="">
        <xdr:pic>
          <xdr:nvPicPr>
            <xdr:cNvPr id="2" name="Ink 1">
              <a:extLst>
                <a:ext uri="{FF2B5EF4-FFF2-40B4-BE49-F238E27FC236}">
                  <a16:creationId xmlns:a16="http://schemas.microsoft.com/office/drawing/2014/main" id="{8E8BD252-D722-7225-8136-CDFA6303CCF9}"/>
                </a:ext>
              </a:extLst>
            </xdr:cNvPr>
            <xdr:cNvPicPr/>
          </xdr:nvPicPr>
          <xdr:blipFill>
            <a:blip xmlns:r="http://schemas.openxmlformats.org/officeDocument/2006/relationships" r:embed="rId2"/>
            <a:stretch>
              <a:fillRect/>
            </a:stretch>
          </xdr:blipFill>
          <xdr:spPr>
            <a:xfrm>
              <a:off x="10423448329" y="18298800"/>
              <a:ext cx="889920" cy="294480"/>
            </a:xfrm>
            <a:prstGeom prst="rect">
              <a:avLst/>
            </a:prstGeom>
          </xdr:spPr>
        </xdr:pic>
      </mc:Fallback>
    </mc:AlternateContent>
    <xdr:clientData/>
  </xdr:twoCellAnchor>
  <xdr:twoCellAnchor editAs="oneCell">
    <xdr:from>
      <xdr:col>7</xdr:col>
      <xdr:colOff>506054</xdr:colOff>
      <xdr:row>36</xdr:row>
      <xdr:rowOff>167097</xdr:rowOff>
    </xdr:from>
    <xdr:to>
      <xdr:col>8</xdr:col>
      <xdr:colOff>417191</xdr:colOff>
      <xdr:row>36</xdr:row>
      <xdr:rowOff>472017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1259888A-DA49-BF95-7803-86EB9C0A12FD}"/>
                </a:ext>
              </a:extLst>
            </xdr14:cNvPr>
            <xdr14:cNvContentPartPr/>
          </xdr14:nvContentPartPr>
          <xdr14:nvPr macro=""/>
          <xdr14:xfrm>
            <a:off x="10423285609" y="18423720"/>
            <a:ext cx="565560" cy="304920"/>
          </xdr14:xfrm>
        </xdr:contentPart>
      </mc:Choice>
      <mc:Fallback xmlns="">
        <xdr:pic>
          <xdr:nvPicPr>
            <xdr:cNvPr id="3" name="Ink 2">
              <a:extLst>
                <a:ext uri="{FF2B5EF4-FFF2-40B4-BE49-F238E27FC236}">
                  <a16:creationId xmlns:a16="http://schemas.microsoft.com/office/drawing/2014/main" id="{1259888A-DA49-BF95-7803-86EB9C0A12FD}"/>
                </a:ext>
              </a:extLst>
            </xdr:cNvPr>
            <xdr:cNvPicPr/>
          </xdr:nvPicPr>
          <xdr:blipFill>
            <a:blip xmlns:r="http://schemas.openxmlformats.org/officeDocument/2006/relationships" r:embed="rId4"/>
            <a:stretch>
              <a:fillRect/>
            </a:stretch>
          </xdr:blipFill>
          <xdr:spPr>
            <a:xfrm>
              <a:off x="10423276609" y="18415080"/>
              <a:ext cx="583200" cy="322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3T17:50:21.236"/>
    </inkml:context>
    <inkml:brush xml:id="br0">
      <inkml:brushProperty name="width" value="0.05" units="cm"/>
      <inkml:brushProperty name="height" value="0.05" units="cm"/>
    </inkml:brush>
  </inkml:definitions>
  <inkml:trace contextRef="#ctx0" brushRef="#br0">1690 670 2600,'0'0'0,"-3"-3"728,-1-1 64,1-6-304,3 10-488,-10-1 225,10-2-169,-3-1-80,0 2-32,1 1-16,2-2-1,0 3 73,-3-1-40,3 0 0,0 0 16,0-1 24,0 1-16,0-1 48,0 2-32,0-1 32,0-1 65,0 1 15,0-1 8,0-1 0,0 1-56,0 2-64,2-1 48,-1 0-64,0-1-16,2 0-8,-1 0-24,0 0 24,-2 2 40,4-2-56,-1-2 0,1 1 8,1-1-8,6-1 32,-8 1 0,-3 4 24,12-10-16,-7 6 0,9 1-33,-3-7 33,2 8-16,2-2 8,-15 4 24,14-9 16,2 5-32,-1-7 16,1 8 24,1-8 0,2 8-8,-19 3-16,19-4 40,0-6-23,0 6-42,-2 0 25,1 0 0,0-5 65,-18 9-65,18-2 40,1-1 8,0-1-8,1 2-48,-1-1 56,1 1-8,-20 2-40,19-1 24,2 0 16,-1-1-40,-1 2 0,0-1 32,1 1-16,-20 0-16,19 0-16,-1 0-8,-1 10-24,-1-8-8,-1 8 64,0-8-48,-15-2 40,15 10-24,-1-8 0,-1 2-16,-1 5 24,-1-5-40,-1 8 15,-10-12 41,9 3-56,-5 9 8,7-9 24,-8 10-64,1-9 40,-1 8 0,-3-12 48,3 9-32,-2-6 56,-1 9-32,0-9-32,0 10-120,-4-9-88,4-4 248,-10 14-264,7-10 16,-9 9 72,9-9 120,-11 8 8,5-9-8,9-3 56,-11 10-48,-1-7-96,-1 9 8,0-8-56,-2 7-16,1-8 40,14-3 168,-14 10-144,-2-8 40,-1 9 64,0-8 32,-2-1 0,0 0 16,19-2-8,-19 0 0,-1 0-32,-1 0 24,1 0 8,-2-1-8,2-2 8,20 3 0,-19-10 0,-1 6-16,1 0 0,2-7 16,-1 7 0,2-8 8,16 12-8,-17-5 16,0-5 0,0 6-8,1-6 8,-1 7-8,0-7 0,17 10-8,-14-3 8,-1-7 16,2 7-16,1-1-8,0-1 8,0 2-24,12 3 16,-12-4 0,1 3 8,1 0 8,0-1 24,-1 2 24,0-1 32,11 1-96,-12 0 112,-1 0 8,0 0-8,-1 0-16,-1 4-8,-1-2-16,16-2-72,-16 4 56,-1-1-8,-1 7-32,0-10-16,0 4 0,0-1-16,18-3 16,-18 4 0,-1-1 8,0 1 8,-4-1-8,2 0 0,-1 0 8,22-3-16,-23 3 0,2-1 8,-1 1 0,-1-3 0,1 0 0,-1 0 24,23 0-32,-22 0 32,0 0-16,-3-2 0,2 0 0,0-2 8,-2 0 0,25 4-24,-24-11 24,-1 7 0,0-6 0,3 5-8,0-8 8,-1 3 0,23 10-24,-20-10 32,-2 1 24,2-1 56,1 1 72,0-2 112,1 1 64,18 10-360,-18-9 416,0-2 1,1 0-33,0 0-56,2 2-32,0-2-32,15 11-264,-11-12 200,2 2-8,5-2-56,-7 3 8,9-2-40,0 0-40,2 11-64,0-11 32,-3 1-120,1-2-48,2 0-72,0 0-24,0-2 24,0 14 208,1-13-208,3-1-8,-1 1-24,7-4-24,-6 1 8,6 1 24,-10 15 232,10-17-200,-6 3 39,10-1 17,-2 1 24,0 1 16,2 0 8,-14 13 96,15-14-72,0 4 8,3-2 16,0 1 0,1 0 8,0 0 0,-19 11 40,20-12-24,1 3-16,1-2 0,0 1 0,3 7-24,1-11 16,-26 14 48,27-3-32,1-8 0,0 8-16,-1-1 8,-1-1-16,2 2-24,-28 3 80,26-4-88,1 0-48,0 2-24,0 1 16,0 0-8,0-1 24,-27 2 128,27 0-112,0 0 0,-1 3 16,-1-1 8,-2 1 24,0 0 0,-23-3 64,24 4-24,-3-1-8,1 7 0,1-8 24,-3 9-16,-1-7 24,-19-4 0,19 10 16,-1-7-16,-1 9 0,1-10 0,-2 10-8,0-9 32,-16-3-24,15 12 8,-1-9 0,-1 8-8,-1-7-16,-1 5 40,-1-5-16,-10-4-8,5 11 0,5-8 24,-6 8-16,-1-9 8,1 2 32,0 7 32,-4-11-80,1 2 128,-1 10 112,0-8 72,-4 11 24,-5-11 24,5 10-64,4-14-296,-13 12 184,2-1-40,0 2-56,-1-2-40,-2 1 32,-1 1-48,15-13-32,-17 12 56,-1-1-16,0-1 0,-3-1 40,1-5-48,-2 12 16,22-16-48,-24 11 40,0 0-16,-2 2 24,1-9 65,-1 11-25,-1-5 40,27-10-128,-29 10 176,-1 2-56,-1-9 56,-1 14 0,-1-4-40,-1 0 16,34-13-152,-35 13 104,0-1-24,-1 0 32,-1-1-8,-2 1 48,-3 1-48,42-13-104,-42 12 104,0 3-24,1-2 8,0 0 32,1 2-40,-4-3 48,44-12-128,-42 10 72,1 2 40,-1-8 32,0 13-32,1-7 24,0 0-32,41-10-104,-41 11 120,3-9 8,0 9 40,2-9-96,0 8 24,0-6-8,36-4-88,-36 3 32,2 8 160,2-11-136,2 4-24,2-1 48,2 0-96,26-3 16,-24 0 80,2 0 72,2 0-120,0 0 16,3 0-16,1 0-80,16 0 48,-15-2-24,3 1-80,-1-2-216,2-1-232,7 0-312,-6 1-168,10 3 1032,-3-4-1048,1-1 63,-1-4 97,1 5 128,2-1 240,0-5 168,0 10 352,0-5-168,1-8 104,3 2-1400,-4 11 1464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3T17:50:22.273"/>
    </inkml:context>
    <inkml:brush xml:id="br0">
      <inkml:brushProperty name="width" value="0.05" units="cm"/>
      <inkml:brushProperty name="height" value="0.05" units="cm"/>
    </inkml:brush>
  </inkml:definitions>
  <inkml:trace contextRef="#ctx0" brushRef="#br0">1570 2 5169,'0'0'0,"0"0"0,-3 0 2216,1-1-944,-2 1-567,-5 0-377,6 2-256,-7 2-144,10-4 72,-10 11-128,-1-8 16,0 13 48,-3-3 40,0 0 15,-4 0 1,18-13 8,-17 15 17,-1-1-17,0 2 8,-2-1 8,-2 2-24,-1 0 16,0-1-16,23-16 8,-23 17-16,-1-1 7,1-1 1,-1 1-8,2 0 16,1-3 0,21-13 0,-21 14 0,1-2-8,0 0-64,4-1-128,-1-8-224,3 9-272,14-12 696,-12 3-880,-1-1-88,2 1 56,7-1 55,-9 0 121,13-2 736,-3 0-616,-1 0 136,-5 0 144,9-1 120,-4-2 96,0-2 56,4 5 64,-3-10-32,-1 5 8,1-6 0,0 1 16,1 5 8,-1-7 8,3 12-8,-2-3 16,-1-8 88,0 8 184,-1 0 144,1-2 160,-7 0 32,10 5-624,-2-3 568,-2-1-15,-6 0-49,7 1-48,-7 0-88,8 1-72,2 2-296,-11-1 272,9 1-64,-9 0-32,7 0-56,-9 2-56,4 2-16,9-4-48,-11 3 24,0 8 8,0-8-16,-2 9-8,-1-9 0,1 8-16,13-11 8,-16 4 8,3 10-24,0-10-24,1 10-8,-1-5-96,2-5-136,11-4 280,-10 10-560,-2-8-224,3 8-137,-1-8-23,0 2 144,7-1 232,3-3 568,-13 4-344,3-2 152,0-2 128,1 0 16,-2 0 8,0-1 32,11 1 8,-12-2-24,0-2-8,0 0-8,-1 0-16,1-6 16,0 6-472,12 4 512,-13-3-192,1-1 208,1 1 24,0 0 464,2 0-104,-1 0-168,10 3-232,-11-2 408,8-2 112,-12 2 16,6 0 16,5-2-96,-11 0-23,15 4-433,-10-1 384,0 0-72,7 0-56,-10 1-48,9 0 8,-9 0-72,13 0-144,-4 0 96,-10 0-72,10 0-56,-10 2 48,10 1 32,-10-3-8,14 0-40,-4 2 0,-10 0-16,4 1-32,1 6 32,-1-9 56,1 3-24,9-3-16,-10 2 8,0-2-8,1 2-16,-1-2 56,1 0 24,-1 0-24,10 0-40,-9 0 40,-1 0-40,-1 3 16,0-3 64,1 0-32,-1-1 8,11 1-56,-11-4 64,0 2-24,2-1 32,-1 0 24,0-1-24,7-5-48,3 9-24,-15-4 16,12-1-40,-10-4-24,9 5 104,-8-8-40,10 8-24,2 4 8,-4-13 8,-5 10-136,6-8 88,1 1-16,-1 5 8,3-8 32,0 13 16,-2-9-56,2 5 32,0-6 8,0 6 24,0-7 0,1 6-16,-1 5 8,1-11 8,1 8 8,1-1 0,0 1-40,0-2-40,1 1-64,-4 4 128,3-2-144,1-1 16,5 2-56,-5 0 24,1 0 0,6-2 8,-11 3 152,3-1-112,7 1 16,-7 0 16,8 0-24,-6 3 8,5-1-16,-10-2 112,3 4-120,8 5 32,-7-6 24,5 7 8,-4-6 16,0 9 8,-5-13 32,10 10 0,-6 4-16,1-1 8,4 2 24,-7 1 8,1 0 0,-3-16-24,5 20 56,0 0 48,-1 1 8,0 2 48,0 0 8,0 2-24,-4-25-144,4 25 168,6 1 8,-7 1 0,7-1-16,-5 2 8,8-3 0,-13-25-168,11 26 192,1 1 56,2-2-16,2-1 0,3 0-16,0-2-48,-19-22-168,22 22 184,3-2-16,-1 0-8,7-4-8,1-1 0,1-2 0,-33-13-152,36 12 128,2-9-40,1 9-40,5-9-32,-1 0-16,6 0-16,-49-3 16,50 0-56,2 0-120,2-1-264,-5-3-368,2-7-304,2 8-184,-53 3 1296,54-12-1345,2 2 369,1-1 344,0-2 280,1-1 256,-3-2-1608,-55 16 1704</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A30" zoomScale="130" zoomScaleNormal="100" zoomScaleSheetLayoutView="130" workbookViewId="0">
      <selection activeCell="F31" sqref="F31"/>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0" t="s">
        <v>201</v>
      </c>
      <c r="C1" s="60"/>
      <c r="D1" s="60"/>
      <c r="E1" s="60"/>
      <c r="F1" s="60"/>
      <c r="G1" s="60"/>
      <c r="H1" s="60"/>
      <c r="I1" s="60"/>
      <c r="J1" s="60"/>
    </row>
    <row r="2" spans="1:10" ht="30" customHeight="1" x14ac:dyDescent="0.3">
      <c r="B2" s="13" t="s">
        <v>8</v>
      </c>
      <c r="C2" s="66" t="s">
        <v>41</v>
      </c>
      <c r="D2" s="66"/>
      <c r="E2" s="13" t="s">
        <v>7</v>
      </c>
      <c r="F2" s="61">
        <v>45943</v>
      </c>
      <c r="G2" s="61"/>
      <c r="H2" s="61"/>
      <c r="I2" s="61"/>
      <c r="J2" s="61"/>
    </row>
    <row r="3" spans="1:10" ht="30" customHeight="1" x14ac:dyDescent="0.3">
      <c r="B3" s="13" t="s">
        <v>9</v>
      </c>
      <c r="C3" s="66" t="s">
        <v>82</v>
      </c>
      <c r="D3" s="66"/>
      <c r="E3" s="13" t="s">
        <v>6</v>
      </c>
      <c r="F3" s="66" t="s">
        <v>92</v>
      </c>
      <c r="G3" s="66"/>
      <c r="H3" s="66"/>
      <c r="I3" s="66"/>
      <c r="J3" s="66"/>
    </row>
    <row r="4" spans="1:10" ht="30" customHeight="1" thickBot="1" x14ac:dyDescent="0.35">
      <c r="B4" s="6"/>
      <c r="C4" s="7"/>
      <c r="D4" s="7"/>
      <c r="E4" s="6"/>
      <c r="F4" s="7"/>
      <c r="G4" s="7"/>
      <c r="H4" s="8"/>
      <c r="I4" s="7"/>
      <c r="J4" s="7"/>
    </row>
    <row r="5" spans="1:10" ht="24.9" customHeight="1" x14ac:dyDescent="0.3">
      <c r="A5" s="11"/>
      <c r="B5" s="62" t="s">
        <v>0</v>
      </c>
      <c r="C5" s="63"/>
      <c r="D5" s="63"/>
      <c r="E5" s="71" t="s">
        <v>1</v>
      </c>
      <c r="F5" s="71"/>
      <c r="G5" s="71"/>
      <c r="H5" s="71"/>
      <c r="I5" s="71" t="s">
        <v>2</v>
      </c>
      <c r="J5" s="72"/>
    </row>
    <row r="6" spans="1:10" ht="24.9" customHeight="1" thickBot="1" x14ac:dyDescent="0.35">
      <c r="A6" s="11"/>
      <c r="B6" s="64"/>
      <c r="C6" s="65"/>
      <c r="D6" s="65"/>
      <c r="E6" s="12" t="s">
        <v>3</v>
      </c>
      <c r="F6" s="12" t="s">
        <v>4</v>
      </c>
      <c r="G6" s="12" t="s">
        <v>23</v>
      </c>
      <c r="H6" s="12" t="s">
        <v>24</v>
      </c>
      <c r="I6" s="73"/>
      <c r="J6" s="74"/>
    </row>
    <row r="7" spans="1:10" ht="24.9" customHeight="1" thickBot="1" x14ac:dyDescent="0.35">
      <c r="A7" s="11"/>
      <c r="B7" s="69" t="s">
        <v>21</v>
      </c>
      <c r="C7" s="70"/>
      <c r="D7" s="70"/>
      <c r="E7" s="30" t="s">
        <v>18</v>
      </c>
      <c r="F7" s="30" t="s">
        <v>19</v>
      </c>
      <c r="G7" s="30" t="s">
        <v>22</v>
      </c>
      <c r="H7" s="30" t="s">
        <v>20</v>
      </c>
      <c r="I7" s="50" t="s">
        <v>25</v>
      </c>
      <c r="J7" s="51"/>
    </row>
    <row r="8" spans="1:10" ht="39.9" customHeight="1" thickBot="1" x14ac:dyDescent="0.35">
      <c r="A8" s="11"/>
      <c r="B8" s="89" t="s">
        <v>195</v>
      </c>
      <c r="C8" s="90"/>
      <c r="D8" s="90"/>
      <c r="E8" s="10">
        <v>5</v>
      </c>
      <c r="F8" s="41">
        <v>3.75</v>
      </c>
      <c r="G8" s="42">
        <f>IFERROR(F8/E8,"")</f>
        <v>0.75</v>
      </c>
      <c r="H8" s="28" t="str">
        <f>_xlfn.IFS(F8="أدخل العلامة","",F8="لا ينطبق","تم الإلغاء",G8&gt;=90%,"ممتاز",G8&gt;=80%,"جيد جداً",G8&gt;=70%,"جيد",G8&gt;=60%,"مقبول",G8&lt;60%,"راسب")</f>
        <v>جيد</v>
      </c>
      <c r="I8" s="48"/>
      <c r="J8" s="49"/>
    </row>
    <row r="9" spans="1:10" ht="39.9" customHeight="1" thickBot="1" x14ac:dyDescent="0.35">
      <c r="A9" s="11"/>
      <c r="B9" s="91" t="s">
        <v>196</v>
      </c>
      <c r="C9" s="92"/>
      <c r="D9" s="92"/>
      <c r="E9" s="10">
        <v>5</v>
      </c>
      <c r="F9" s="41">
        <v>3.5</v>
      </c>
      <c r="G9" s="42">
        <f>IFERROR(F9/E9,"")</f>
        <v>0.7</v>
      </c>
      <c r="H9" s="28" t="str">
        <f>_xlfn.IFS(F9="أدخل العلامة","",F9="لا ينطبق","تم الإلغاء",G9&gt;=90%,"ممتاز",G9&gt;=80%,"جيد جداً",G9&gt;=70%,"جيد",G9&gt;=60%,"مقبول",G9&lt;60%,"راسب")</f>
        <v>جيد</v>
      </c>
      <c r="I9" s="48"/>
      <c r="J9" s="49"/>
    </row>
    <row r="10" spans="1:10" ht="39.9" customHeight="1" thickBot="1" x14ac:dyDescent="0.35">
      <c r="A10" s="11"/>
      <c r="B10" s="91" t="s">
        <v>197</v>
      </c>
      <c r="C10" s="92"/>
      <c r="D10" s="92"/>
      <c r="E10" s="10">
        <v>5</v>
      </c>
      <c r="F10" s="41">
        <v>3.75</v>
      </c>
      <c r="G10" s="42">
        <f t="shared" ref="G10:G32" si="0">IFERROR(F10/E10,"")</f>
        <v>0.75</v>
      </c>
      <c r="H10" s="28" t="str">
        <f t="shared" ref="H10:H32" si="1">_xlfn.IFS(F10="أدخل العلامة","",F10="لا ينطبق","تم الإلغاء",G10&gt;=90%,"ممتاز",G10&gt;=80%,"جيد جداً",G10&gt;=70%,"جيد",G10&gt;=60%,"مقبول",G10&lt;60%,"راسب")</f>
        <v>جيد</v>
      </c>
      <c r="I10" s="48"/>
      <c r="J10" s="49"/>
    </row>
    <row r="11" spans="1:10" ht="39.9" customHeight="1" x14ac:dyDescent="0.3">
      <c r="A11" s="11"/>
      <c r="B11" s="93" t="s">
        <v>198</v>
      </c>
      <c r="C11" s="94"/>
      <c r="D11" s="94"/>
      <c r="E11" s="40"/>
      <c r="F11" s="34"/>
      <c r="G11" s="35"/>
      <c r="H11" s="36"/>
      <c r="I11" s="79"/>
      <c r="J11" s="80"/>
    </row>
    <row r="12" spans="1:10" ht="39.9" customHeight="1" x14ac:dyDescent="0.3">
      <c r="A12" s="11"/>
      <c r="B12" s="83" t="s">
        <v>176</v>
      </c>
      <c r="C12" s="84"/>
      <c r="D12" s="84"/>
      <c r="E12" s="9">
        <v>5</v>
      </c>
      <c r="F12" s="27">
        <v>3.75</v>
      </c>
      <c r="G12" s="32">
        <f t="shared" si="0"/>
        <v>0.75</v>
      </c>
      <c r="H12" s="33" t="str">
        <f t="shared" si="1"/>
        <v>جيد</v>
      </c>
      <c r="I12" s="52"/>
      <c r="J12" s="53"/>
    </row>
    <row r="13" spans="1:10" ht="54.9" customHeight="1" x14ac:dyDescent="0.3">
      <c r="A13" s="11"/>
      <c r="B13" s="83" t="s">
        <v>177</v>
      </c>
      <c r="C13" s="84"/>
      <c r="D13" s="84"/>
      <c r="E13" s="9">
        <v>5</v>
      </c>
      <c r="F13" s="27">
        <v>3.75</v>
      </c>
      <c r="G13" s="32">
        <f t="shared" si="0"/>
        <v>0.75</v>
      </c>
      <c r="H13" s="33" t="str">
        <f t="shared" si="1"/>
        <v>جيد</v>
      </c>
      <c r="I13" s="52"/>
      <c r="J13" s="53"/>
    </row>
    <row r="14" spans="1:10" ht="71.25" customHeight="1" x14ac:dyDescent="0.3">
      <c r="A14" s="11"/>
      <c r="B14" s="83" t="s">
        <v>178</v>
      </c>
      <c r="C14" s="84"/>
      <c r="D14" s="84"/>
      <c r="E14" s="9">
        <v>5</v>
      </c>
      <c r="F14" s="27">
        <v>3.5</v>
      </c>
      <c r="G14" s="32">
        <f t="shared" si="0"/>
        <v>0.7</v>
      </c>
      <c r="H14" s="33" t="str">
        <f t="shared" si="1"/>
        <v>جيد</v>
      </c>
      <c r="I14" s="52"/>
      <c r="J14" s="53"/>
    </row>
    <row r="15" spans="1:10" ht="39.9" customHeight="1" x14ac:dyDescent="0.3">
      <c r="A15" s="11"/>
      <c r="B15" s="83" t="s">
        <v>179</v>
      </c>
      <c r="C15" s="84"/>
      <c r="D15" s="84"/>
      <c r="E15" s="9">
        <v>5</v>
      </c>
      <c r="F15" s="27">
        <v>3.75</v>
      </c>
      <c r="G15" s="32">
        <f t="shared" si="0"/>
        <v>0.75</v>
      </c>
      <c r="H15" s="33" t="str">
        <f t="shared" si="1"/>
        <v>جيد</v>
      </c>
      <c r="I15" s="52"/>
      <c r="J15" s="53"/>
    </row>
    <row r="16" spans="1:10" ht="68.25" customHeight="1" x14ac:dyDescent="0.3">
      <c r="A16" s="11"/>
      <c r="B16" s="83" t="s">
        <v>180</v>
      </c>
      <c r="C16" s="84"/>
      <c r="D16" s="84"/>
      <c r="E16" s="9">
        <v>5</v>
      </c>
      <c r="F16" s="27">
        <v>3.75</v>
      </c>
      <c r="G16" s="32">
        <f t="shared" si="0"/>
        <v>0.75</v>
      </c>
      <c r="H16" s="33" t="str">
        <f t="shared" si="1"/>
        <v>جيد</v>
      </c>
      <c r="I16" s="52"/>
      <c r="J16" s="53"/>
    </row>
    <row r="17" spans="1:10" ht="65.099999999999994" customHeight="1" thickBot="1" x14ac:dyDescent="0.35">
      <c r="A17" s="11"/>
      <c r="B17" s="85" t="s">
        <v>181</v>
      </c>
      <c r="C17" s="86"/>
      <c r="D17" s="86"/>
      <c r="E17" s="37">
        <v>5</v>
      </c>
      <c r="F17" s="29">
        <v>3.75</v>
      </c>
      <c r="G17" s="38">
        <f t="shared" si="0"/>
        <v>0.75</v>
      </c>
      <c r="H17" s="39" t="str">
        <f t="shared" si="1"/>
        <v>جيد</v>
      </c>
      <c r="I17" s="81"/>
      <c r="J17" s="82"/>
    </row>
    <row r="18" spans="1:10" ht="39.9" customHeight="1" x14ac:dyDescent="0.3">
      <c r="A18" s="11"/>
      <c r="B18" s="87" t="s">
        <v>199</v>
      </c>
      <c r="C18" s="88"/>
      <c r="D18" s="88"/>
      <c r="E18" s="40"/>
      <c r="F18" s="34"/>
      <c r="G18" s="35"/>
      <c r="H18" s="36"/>
      <c r="I18" s="79"/>
      <c r="J18" s="80"/>
    </row>
    <row r="19" spans="1:10" ht="39.9" customHeight="1" x14ac:dyDescent="0.3">
      <c r="A19" s="11"/>
      <c r="B19" s="83" t="s">
        <v>182</v>
      </c>
      <c r="C19" s="84"/>
      <c r="D19" s="84"/>
      <c r="E19" s="9">
        <v>5</v>
      </c>
      <c r="F19" s="27">
        <v>3.75</v>
      </c>
      <c r="G19" s="32">
        <f t="shared" si="0"/>
        <v>0.75</v>
      </c>
      <c r="H19" s="33" t="str">
        <f t="shared" si="1"/>
        <v>جيد</v>
      </c>
      <c r="I19" s="52"/>
      <c r="J19" s="53"/>
    </row>
    <row r="20" spans="1:10" ht="39.9" customHeight="1" x14ac:dyDescent="0.3">
      <c r="A20" s="11"/>
      <c r="B20" s="83" t="s">
        <v>183</v>
      </c>
      <c r="C20" s="84"/>
      <c r="D20" s="84"/>
      <c r="E20" s="9">
        <v>5</v>
      </c>
      <c r="F20" s="27">
        <v>3.75</v>
      </c>
      <c r="G20" s="32">
        <f t="shared" si="0"/>
        <v>0.75</v>
      </c>
      <c r="H20" s="33" t="str">
        <f t="shared" si="1"/>
        <v>جيد</v>
      </c>
      <c r="I20" s="52"/>
      <c r="J20" s="53"/>
    </row>
    <row r="21" spans="1:10" ht="39.9" customHeight="1" x14ac:dyDescent="0.3">
      <c r="A21" s="11"/>
      <c r="B21" s="83" t="s">
        <v>184</v>
      </c>
      <c r="C21" s="84"/>
      <c r="D21" s="84"/>
      <c r="E21" s="9">
        <v>5</v>
      </c>
      <c r="F21" s="27">
        <v>3.75</v>
      </c>
      <c r="G21" s="32">
        <f t="shared" si="0"/>
        <v>0.75</v>
      </c>
      <c r="H21" s="33" t="str">
        <f t="shared" si="1"/>
        <v>جيد</v>
      </c>
      <c r="I21" s="52"/>
      <c r="J21" s="53"/>
    </row>
    <row r="22" spans="1:10" ht="39.9" customHeight="1" x14ac:dyDescent="0.3">
      <c r="A22" s="11"/>
      <c r="B22" s="83" t="s">
        <v>185</v>
      </c>
      <c r="C22" s="84"/>
      <c r="D22" s="84"/>
      <c r="E22" s="9">
        <v>5</v>
      </c>
      <c r="F22" s="27">
        <v>3.5</v>
      </c>
      <c r="G22" s="32">
        <f t="shared" si="0"/>
        <v>0.7</v>
      </c>
      <c r="H22" s="33" t="str">
        <f t="shared" si="1"/>
        <v>جيد</v>
      </c>
      <c r="I22" s="52"/>
      <c r="J22" s="53"/>
    </row>
    <row r="23" spans="1:10" ht="39.9" customHeight="1" x14ac:dyDescent="0.3">
      <c r="A23" s="11"/>
      <c r="B23" s="83" t="s">
        <v>186</v>
      </c>
      <c r="C23" s="84"/>
      <c r="D23" s="84"/>
      <c r="E23" s="9">
        <v>5</v>
      </c>
      <c r="F23" s="27">
        <v>3.5</v>
      </c>
      <c r="G23" s="32">
        <f t="shared" si="0"/>
        <v>0.7</v>
      </c>
      <c r="H23" s="33" t="str">
        <f t="shared" si="1"/>
        <v>جيد</v>
      </c>
      <c r="I23" s="52"/>
      <c r="J23" s="53"/>
    </row>
    <row r="24" spans="1:10" ht="39.9" customHeight="1" x14ac:dyDescent="0.3">
      <c r="A24" s="11"/>
      <c r="B24" s="83" t="s">
        <v>187</v>
      </c>
      <c r="C24" s="84"/>
      <c r="D24" s="84"/>
      <c r="E24" s="9">
        <v>5</v>
      </c>
      <c r="F24" s="27">
        <v>3.75</v>
      </c>
      <c r="G24" s="32">
        <f t="shared" si="0"/>
        <v>0.75</v>
      </c>
      <c r="H24" s="33" t="str">
        <f t="shared" si="1"/>
        <v>جيد</v>
      </c>
      <c r="I24" s="52"/>
      <c r="J24" s="53"/>
    </row>
    <row r="25" spans="1:10" ht="39.9" customHeight="1" x14ac:dyDescent="0.3">
      <c r="A25" s="11"/>
      <c r="B25" s="83" t="s">
        <v>188</v>
      </c>
      <c r="C25" s="84"/>
      <c r="D25" s="84"/>
      <c r="E25" s="9">
        <v>5</v>
      </c>
      <c r="F25" s="27">
        <v>3.75</v>
      </c>
      <c r="G25" s="32">
        <f t="shared" si="0"/>
        <v>0.75</v>
      </c>
      <c r="H25" s="33" t="str">
        <f t="shared" si="1"/>
        <v>جيد</v>
      </c>
      <c r="I25" s="52"/>
      <c r="J25" s="53"/>
    </row>
    <row r="26" spans="1:10" ht="39.9" customHeight="1" thickBot="1" x14ac:dyDescent="0.35">
      <c r="A26" s="11"/>
      <c r="B26" s="85" t="s">
        <v>189</v>
      </c>
      <c r="C26" s="86"/>
      <c r="D26" s="86"/>
      <c r="E26" s="37">
        <v>5</v>
      </c>
      <c r="F26" s="29">
        <v>3.5</v>
      </c>
      <c r="G26" s="38">
        <f t="shared" si="0"/>
        <v>0.7</v>
      </c>
      <c r="H26" s="39" t="str">
        <f t="shared" si="1"/>
        <v>جيد</v>
      </c>
      <c r="I26" s="81"/>
      <c r="J26" s="82"/>
    </row>
    <row r="27" spans="1:10" ht="39.9" customHeight="1" x14ac:dyDescent="0.3">
      <c r="A27" s="11"/>
      <c r="B27" s="93" t="s">
        <v>200</v>
      </c>
      <c r="C27" s="94"/>
      <c r="D27" s="94"/>
      <c r="E27" s="40"/>
      <c r="F27" s="34"/>
      <c r="G27" s="35"/>
      <c r="H27" s="36"/>
      <c r="I27" s="79"/>
      <c r="J27" s="80"/>
    </row>
    <row r="28" spans="1:10" ht="39.9" customHeight="1" x14ac:dyDescent="0.3">
      <c r="A28" s="11"/>
      <c r="B28" s="83" t="s">
        <v>190</v>
      </c>
      <c r="C28" s="84"/>
      <c r="D28" s="84"/>
      <c r="E28" s="9">
        <v>5</v>
      </c>
      <c r="F28" s="27">
        <v>3.5</v>
      </c>
      <c r="G28" s="32">
        <f t="shared" si="0"/>
        <v>0.7</v>
      </c>
      <c r="H28" s="33" t="str">
        <f t="shared" si="1"/>
        <v>جيد</v>
      </c>
      <c r="I28" s="52"/>
      <c r="J28" s="53"/>
    </row>
    <row r="29" spans="1:10" ht="39.9" customHeight="1" x14ac:dyDescent="0.3">
      <c r="A29" s="11"/>
      <c r="B29" s="83" t="s">
        <v>191</v>
      </c>
      <c r="C29" s="84"/>
      <c r="D29" s="84"/>
      <c r="E29" s="9">
        <v>5</v>
      </c>
      <c r="F29" s="27">
        <v>3.75</v>
      </c>
      <c r="G29" s="32">
        <f t="shared" si="0"/>
        <v>0.75</v>
      </c>
      <c r="H29" s="33" t="str">
        <f t="shared" si="1"/>
        <v>جيد</v>
      </c>
      <c r="I29" s="52"/>
      <c r="J29" s="53"/>
    </row>
    <row r="30" spans="1:10" ht="39.9" customHeight="1" x14ac:dyDescent="0.3">
      <c r="A30" s="11"/>
      <c r="B30" s="83" t="s">
        <v>192</v>
      </c>
      <c r="C30" s="84"/>
      <c r="D30" s="84"/>
      <c r="E30" s="9">
        <v>5</v>
      </c>
      <c r="F30" s="27">
        <v>3.5</v>
      </c>
      <c r="G30" s="32">
        <f t="shared" si="0"/>
        <v>0.7</v>
      </c>
      <c r="H30" s="33" t="str">
        <f t="shared" si="1"/>
        <v>جيد</v>
      </c>
      <c r="I30" s="52"/>
      <c r="J30" s="53"/>
    </row>
    <row r="31" spans="1:10" ht="39.9" customHeight="1" x14ac:dyDescent="0.3">
      <c r="A31" s="11"/>
      <c r="B31" s="83" t="s">
        <v>193</v>
      </c>
      <c r="C31" s="84"/>
      <c r="D31" s="84"/>
      <c r="E31" s="9">
        <v>5</v>
      </c>
      <c r="F31" s="27">
        <v>3.25</v>
      </c>
      <c r="G31" s="32">
        <f t="shared" si="0"/>
        <v>0.65</v>
      </c>
      <c r="H31" s="33" t="str">
        <f t="shared" si="1"/>
        <v>مقبول</v>
      </c>
      <c r="I31" s="52"/>
      <c r="J31" s="53"/>
    </row>
    <row r="32" spans="1:10" ht="39.9" customHeight="1" thickBot="1" x14ac:dyDescent="0.35">
      <c r="A32" s="11"/>
      <c r="B32" s="85" t="s">
        <v>194</v>
      </c>
      <c r="C32" s="86"/>
      <c r="D32" s="86"/>
      <c r="E32" s="37">
        <v>5</v>
      </c>
      <c r="F32" s="29">
        <v>3.5</v>
      </c>
      <c r="G32" s="38">
        <f t="shared" si="0"/>
        <v>0.7</v>
      </c>
      <c r="H32" s="39" t="str">
        <f t="shared" si="1"/>
        <v>جيد</v>
      </c>
      <c r="I32" s="81"/>
      <c r="J32" s="82"/>
    </row>
    <row r="33" spans="1:10" ht="30" customHeight="1" thickBot="1" x14ac:dyDescent="0.35">
      <c r="A33" s="4"/>
      <c r="B33" s="75" t="s">
        <v>5</v>
      </c>
      <c r="C33" s="76"/>
      <c r="D33" s="76"/>
      <c r="E33" s="31">
        <f>SUM(E8:E32)</f>
        <v>110</v>
      </c>
      <c r="F33" s="31">
        <f>SUM(F8:F32)</f>
        <v>80</v>
      </c>
      <c r="G33" s="45"/>
      <c r="H33" s="46"/>
      <c r="I33" s="46"/>
      <c r="J33" s="47"/>
    </row>
    <row r="34" spans="1:10" ht="30" customHeight="1" thickBot="1" x14ac:dyDescent="0.35">
      <c r="A34" s="4"/>
      <c r="B34" s="77" t="s">
        <v>54</v>
      </c>
      <c r="C34" s="78"/>
      <c r="D34" s="78"/>
      <c r="E34" s="67">
        <f>F33/E33/100*100</f>
        <v>0.72727272727272729</v>
      </c>
      <c r="F34" s="67"/>
      <c r="G34" s="67"/>
      <c r="H34" s="67"/>
      <c r="I34" s="67"/>
      <c r="J34" s="68"/>
    </row>
    <row r="35" spans="1:10" ht="30" customHeight="1" thickBot="1" x14ac:dyDescent="0.35">
      <c r="A35" s="4"/>
      <c r="B35" s="77" t="s">
        <v>55</v>
      </c>
      <c r="C35" s="78"/>
      <c r="D35" s="78"/>
      <c r="E35" s="58" t="str">
        <f>_xlfn.IFS(E34&gt;=90%,"ممتاز",E34&gt;=80%,"جيد جداً",E34&gt;=70%,"جيد",E34&gt;=60%,"مقبول",E34&lt;60%,"راسب")</f>
        <v>جيد</v>
      </c>
      <c r="F35" s="58"/>
      <c r="G35" s="58"/>
      <c r="H35" s="58"/>
      <c r="I35" s="58"/>
      <c r="J35" s="59"/>
    </row>
    <row r="36" spans="1:10" ht="42" customHeight="1" x14ac:dyDescent="0.3">
      <c r="B36" s="54" t="s">
        <v>175</v>
      </c>
      <c r="C36" s="54"/>
      <c r="D36" s="54"/>
      <c r="E36" s="43" t="s">
        <v>52</v>
      </c>
      <c r="F36" s="43"/>
      <c r="G36" s="56" t="s">
        <v>92</v>
      </c>
      <c r="H36" s="56"/>
      <c r="I36" s="56"/>
      <c r="J36" s="56"/>
    </row>
    <row r="37" spans="1:10" ht="51" customHeight="1" x14ac:dyDescent="0.3">
      <c r="A37" s="5"/>
      <c r="B37" s="55"/>
      <c r="C37" s="55"/>
      <c r="D37" s="55"/>
      <c r="E37" s="44" t="s">
        <v>53</v>
      </c>
      <c r="F37" s="44"/>
      <c r="G37" s="57"/>
      <c r="H37" s="57"/>
      <c r="I37" s="57"/>
      <c r="J37" s="57"/>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2025-10-15T16:59:19Z</dcterms:modified>
</cp:coreProperties>
</file>