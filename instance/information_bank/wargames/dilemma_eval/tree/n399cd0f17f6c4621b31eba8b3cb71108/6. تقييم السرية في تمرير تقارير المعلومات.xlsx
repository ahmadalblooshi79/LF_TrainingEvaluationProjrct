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69AC2EAA-0ADE-4D25-9F57-3950E2993755}"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c r="H10" i="2" s="1"/>
  <c r="G12" i="2"/>
  <c r="H12" i="2"/>
  <c r="G13" i="2"/>
  <c r="H13" i="2"/>
  <c r="G14" i="2"/>
  <c r="H14" i="2"/>
  <c r="G15" i="2"/>
  <c r="H15" i="2"/>
  <c r="G16" i="2"/>
  <c r="H16" i="2"/>
  <c r="G17" i="2"/>
  <c r="H17" i="2"/>
  <c r="G19" i="2"/>
  <c r="H19" i="2" s="1"/>
  <c r="G20" i="2"/>
  <c r="H20" i="2"/>
  <c r="G21" i="2"/>
  <c r="H21" i="2"/>
  <c r="G22" i="2"/>
  <c r="H22" i="2"/>
  <c r="G23" i="2"/>
  <c r="H23" i="2" s="1"/>
  <c r="G24" i="2"/>
  <c r="H24" i="2" s="1"/>
  <c r="G25" i="2"/>
  <c r="H25" i="2" s="1"/>
  <c r="G26" i="2"/>
  <c r="H26" i="2"/>
  <c r="G28" i="2"/>
  <c r="H28" i="2" s="1"/>
  <c r="G29" i="2"/>
  <c r="H29" i="2"/>
  <c r="G30" i="2"/>
  <c r="H30" i="2"/>
  <c r="G31" i="2"/>
  <c r="H31" i="2"/>
  <c r="G32" i="2"/>
  <c r="H32" i="2"/>
  <c r="G8" i="2"/>
  <c r="H8" i="2"/>
  <c r="F33" i="2"/>
  <c r="E34" i="2" s="1"/>
  <c r="E35" i="2" s="1"/>
  <c r="E33"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<sst xmlns="http://schemas.openxmlformats.org/spreadsheetml/2006/main" count="258" uniqueCount="202">
  <si>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</si>
  <si>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</si>
  <si>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</si>
  <si>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</si>
  <si>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</si>
  <si>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</si>
  <si>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</si>
  <si>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</si>
  <si>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</si>
  <si>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</si>
  <si>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</si>
  <si>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</si>
  <si>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</si>
  <si>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</si>
  <si>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</si>
  <si>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</si>
  <si>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</si>
  <si>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</si>
  <si>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</si>
  <si>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</si>
  <si>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</si>
  <si>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</si>
  <si>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</si>
  <si>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</si>
  <si>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</si>
  <si>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</si>
  <si>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</si>
  <si>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</si>
  <si>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</si>
  <si>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</si>
  <si>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</si>
  <si>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</si>
  <si>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</si>
  <si>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</si>
  <si>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</si>
  <si>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</si>
  <si>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</si>
  <si>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</si>
  <si>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</si>
  <si>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</si>
  <si>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</si>
  <si>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</si>
  <si>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</si>
  <si>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</si>
  <si>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</si>
  <si>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</si>
  <si>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</si>
  <si>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</si>
  <si>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</si>
  <si>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</si>
  <si>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</si>
  <si>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</si>
  <si>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</si>
  <si>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</si>
  <si>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</si>
  <si>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</si>
  <si>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</si>
  <si>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</si>
  <si>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</si>
  <si>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</si>
  <si>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</si>
  <si>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</si>
  <si>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</si>
  <si>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</si>
  <si>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</si>
  <si>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</si>
  <si>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</si>
  <si>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</si>
  <si>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</si>
  <si>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</si>
  <si>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</si>
  <si>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</si>
  <si>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</si>
  <si>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</si>
  <si>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</si>
  <si>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</si>
  <si>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</si>
  <si>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</si>
  <si>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</si>
  <si>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</si>
  <si>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</si>
  <si>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</si>
  <si>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</si>
  <si>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</si>
  <si>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</si>
  <si>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</si>
  <si>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</si>
  <si>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</si>
  <si>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</si>
  <si>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</si>
  <si>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</si>
  <si>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</si>
  <si>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</si>
  <si>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</si>
  <si>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</si>
  <si>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</si>
  <si>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</si>
  <si>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</si>
  <si>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</si>
  <si>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</si>
  <si>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</si>
  <si>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</si>
  <si>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</si>
  <si>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</si>
  <si>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</si>
  <si>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</si>
  <si>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</si>
  <si>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</si>
  <si>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</si>
  <si>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</si>
  <si>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</si>
  <si>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</si>
  <si>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</si>
  <si>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</si>
  <si>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</si>
  <si>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</si>
  <si>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</si>
  <si>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</si>
  <si>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</si>
  <si>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</si>
  <si>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</si>
  <si>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</si>
  <si>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</si>
  <si>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</si>
  <si>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</si>
  <si>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</si>
  <si>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</si>
  <si>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</si>
  <si>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</si>
  <si>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</si>
  <si>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</si>
  <si>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</si>
  <si>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</si>
  <si>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</si>
  <si>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</si>
  <si>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</si>
  <si>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</si>
  <si>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</si>
  <si>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</si>
  <si>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</si>
  <si>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</si>
  <si>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</si>
  <si>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</si>
  <si>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</si>
  <si>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</si>
  <si>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</si>
  <si>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</si>
  <si>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</si>
  <si>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</si>
  <si>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</si>
  <si>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</si>
  <si>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</si>
  <si>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</si>
  <si>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</si>
  <si>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</si>
  <si>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</si>
  <si>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</si>
  <si>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</si>
  <si>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</si>
  <si>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</si>
  <si>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</si>
  <si>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</si>
  <si>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</si>
  <si>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</si>
  <si>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</si>
  <si>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</si>
  <si>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</si>
  <si>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</si>
  <si>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</si>
  <si>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</si>
  <si>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</si>
  <si>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</si>
  <si>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</si>
  <si>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</si>
  <si>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</si>
  <si>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</si>
  <si>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</si>
  <si>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</si>
  <si>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</si>
  <si>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</si>
  <si>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</si>
  <si>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</si>
  <si>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</si>
  <si>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</si>
  <si>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</si>
  <si>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</si>
  <si>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</si>
  <si>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</si>
  <si>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</si>
  <si>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</si>
  <si>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</si>
  <si>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</si>
  <si>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</si>
  <si>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</si>
  <si>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</si>
  <si>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</si>
  <si>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</si>
  <si>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</si>
  <si>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</si>
  <si>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</si>
  <si>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</si>
  <si>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t>تقييم السرية/فريق القتال في تمرير تقارير المعلومات -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</si>
</sst>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176110</xdr:colOff>
      <xdr:row>36</xdr:row>
      <xdr:rowOff>68097</xdr:rowOff>
    </xdr:from>
    <xdr:to>
      <xdr:col>8</xdr:col>
      <xdr:colOff>420607</xdr:colOff>
      <xdr:row>36</xdr:row>
      <xdr:rowOff>438177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C2012F7-60C1-ABC9-BC90-E67529BA2F3B}"/>
                </a:ext>
              </a:extLst>
            </xdr14:cNvPr>
            <xdr14:cNvContentPartPr/>
          </xdr14:nvContentPartPr>
          <xdr14:nvPr macro=""/>
          <xdr14:xfrm>
            <a:off x="10423282193" y="18324720"/>
            <a:ext cx="898920" cy="370080"/>
          </xdr14:xfrm>
        </xdr:contentPart>
      </mc:Choice>
      <mc:Fallback xmlns="">
        <xdr:pic>
          <xdr:nvPicPr>
            <xdr:cNvPr id="2" name="Ink 1">
              <a:extLst>
                <a:ext uri="{FF2B5EF4-FFF2-40B4-BE49-F238E27FC236}">
                  <a16:creationId xmlns:a16="http://schemas.microsoft.com/office/drawing/2014/main" id="{7C2012F7-60C1-ABC9-BC90-E67529BA2F3B}"/>
                </a:ext>
              </a:extLst>
            </xdr:cNvPr>
            <xdr:cNvPicPr/>
          </xdr:nvPicPr>
          <xdr:blipFill>
            <a:blip xmlns:r="http://schemas.openxmlformats.org/officeDocument/2006/relationships" r:embed="rId2"/>
            <a:stretch>
              <a:fillRect/>
            </a:stretch>
          </xdr:blipFill>
          <xdr:spPr>
            <a:xfrm>
              <a:off x="10423273193" y="18316080"/>
              <a:ext cx="916560" cy="387720"/>
            </a:xfrm>
            <a:prstGeom prst="rect">
              <a:avLst/>
            </a:prstGeom>
          </xdr:spPr>
        </xdr:pic>
      </mc:Fallback>
    </mc:AlternateContent>
    <xdr:clientData/>
  </xdr:twoCellAnchor>
  <xdr:twoCellAnchor editAs="oneCell">
    <xdr:from>
      <xdr:col>7</xdr:col>
      <xdr:colOff>520990</xdr:colOff>
      <xdr:row>36</xdr:row>
      <xdr:rowOff>189417</xdr:rowOff>
    </xdr:from>
    <xdr:to>
      <xdr:col>9</xdr:col>
      <xdr:colOff>83343</xdr:colOff>
      <xdr:row>37</xdr:row>
      <xdr:rowOff>60755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114FDC44-DC14-56CD-CA93-C1F0EC509865}"/>
                </a:ext>
              </a:extLst>
            </xdr14:cNvPr>
            <xdr14:cNvContentPartPr/>
          </xdr14:nvContentPartPr>
          <xdr14:nvPr macro=""/>
          <xdr14:xfrm>
            <a:off x="10422965033" y="18446040"/>
            <a:ext cx="871200" cy="521280"/>
          </xdr14:xfrm>
        </xdr:contentPart>
      </mc:Choice>
      <mc:Fallback xmlns="">
        <xdr:pic>
          <xdr:nvPicPr>
            <xdr:cNvPr id="3" name="Ink 2">
              <a:extLst>
                <a:ext uri="{FF2B5EF4-FFF2-40B4-BE49-F238E27FC236}">
                  <a16:creationId xmlns:a16="http://schemas.microsoft.com/office/drawing/2014/main" id="{114FDC44-DC14-56CD-CA93-C1F0EC509865}"/>
                </a:ext>
              </a:extLst>
            </xdr:cNvPr>
            <xdr:cNvPicPr/>
          </xdr:nvPicPr>
          <xdr:blipFill>
            <a:blip xmlns:r="http://schemas.openxmlformats.org/officeDocument/2006/relationships" r:embed="rId4"/>
            <a:stretch>
              <a:fillRect/>
            </a:stretch>
          </xdr:blipFill>
          <xdr:spPr>
            <a:xfrm>
              <a:off x="10422956033" y="18437400"/>
              <a:ext cx="888840" cy="5389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16:48:09.769"/>
    </inkml:context>
    <inkml:brush xml:id="br0">
      <inkml:brushProperty name="width" value="0.05" units="cm"/>
      <inkml:brushProperty name="height" value="0.05" units="cm"/>
    </inkml:brush>
  </inkml:definitions>
  <inkml:trace contextRef="#ctx0" brushRef="#br0">1938 598 2856,'0'0'0,"0"0"0,0-4 1088,0-1 41,0-5-313,0 6-304,0 0-168,0 4-344,0-3 280,0-2-8,-1 0 64,1 2 80,0-1 56,0 0 8,2 1-31,-2 3-449,0-4 408,3 1-136,-3-1-8,0 0-80,2 1-48,-2-1 32,0 4-168,2-2 96,-2-1-16,3 0 88,-1 0-40,-2 0-8,3 0 64,-3 3-184,2-3 88,-2 0 96,2 1-72,1-2-24,-1 1-48,2-1-72,-4 4 32,2-3 8,8-1 64,-8 0-16,2 0-40,8 0-8,-10 0-72,-2 4 64,11-4-24,-7 0 72,11-1-56,-3 0-16,1-4 24,3 8-48,-16 1 48,14-4 8,1 1-8,0 1-8,1 0 0,1 1-16,-1 1 16,-16 0 8,17 0-16,-1 0 24,2 0-24,0 2 0,0 1 8,0 0-32,-18-3 40,18 10-8,0-8-8,-2 2 16,1 6-32,0-6-8,-2 6 16,-15-10 24,16 3-40,0 9 32,-3-8-8,1 9-8,-3-9-32,0 10-8,-11-14 64,11 4-80,-8 9-72,10-10-48,-9 11-64,6-5-104,-10-5-56,0-4 424,3 14-552,0-10-209,-3 9-111,0-4-32,-2 1 64,-2 0 192,4-10 648,-11 9-448,0 2 144,0-1 128,-3-1 55,-2 1 49,-2-1 24,18-9 48,-20 10-32,-1-6 16,0 6-8,-2-7 8,2 6 0,-2-6 16,23-3 0,-24 3 0,-1 1-8,1-2 24,0 1-8,0-3 16,-1 2 8,25-2-32,-24 0 32,-3 0 0,2 0 0,-1 0 0,-2 2 0,-1 1 16,29-3-48,-28 2 57,-1 2-9,-1-1 0,-1 1 0,-2 6-16,0-8 16,33-2-48,-34 4 24,2 8 8,1-10 8,0 8 8,-2-8 8,33-2-56,-33 4 72,-1-1 0,1 1-8,-1-2-8,2 1 16,0-3 0,32 0-72,-31 0 80,1-4 0,2-1-32,-1-8 0,2 3-16,2-3 8,25 13-40,-25-13 24,1-3-16,1 0 8,1-3-48,1-2-24,0 0-32,21 21 88,-21-22-152,1-2 0,0 0 8,0 0 48,1-1 40,4 0 64,15 25-8,-16-27 48,2 2 0,0-1 64,0 1 80,2 1 128,1 0 136,11 24-456,-9-22 512,4 3 32,-6 1-48,8 0-112,-1 2-88,0 2-96,4 14-200,-3-15 144,0 1-72,2 0-64,1 0-56,3 0-120,0 2-16,-3 12 184,11-13-296,-7 1-224,10 0-80,-2-1-96,3 1-8,2-1 184,-17 13 520,19-12-408,2 0 71,3 1 97,1 2 8,2 4 8,2-7 64,-29 12 160,28-5-144,2-7-8,1 8 32,0-5 0,3 5 8,0 1 48,-34 3 64,38-3-56,-1 2 8,0 0-24,1 1 8,1 0 0,0 3 32,-39-3 32,39 4-56,0 7 16,-2-8 0,0 9-40,-1-8 8,2 9 16,-38-13 56,34 4-56,1 11 8,-3-1 32,-3-1-8,1 0 24,-6 1-8,-24-14 8,23 15 0,-1-1 0,-2 0-8,1 1 32,-3-2-32,-1 1 8,-17-14 0,16 15 8,-6-1-8,-6 2 24,6-2-24,-8 0 16,-2 1-16,0-15 0,0 15 0,0 1 16,-4 0-16,-6-1 48,-4 2 0,-4 0 8,18-17-56,-21 18 96,-8 1 0,0 0 24,-5-1 96,-2 0 16,-6 0 32,42-18-264,-45 18 320,0 0-32,-6 1 24,4-1 40,-6 1-79,-2 2 7,55-21-280,-55 20 296,-5 0-48,-1 2 80,1 0-72,0-1-72,-2 1-16,62-22-168,-62 21 136,-1 0-24,-2-1-8,3-1 72,-1 0-64,4-1 32,59-18-144,-60 18 136,0 0-112,1-1 88,1 0-72,2 0 0,2-4 16,54-13-56,-51 14 16,1-2 40,4-1-24,1-1-40,3-7-40,6 7-64,36-10 112,-32 2-136,3 1-64,4-1-104,0-2-208,2 0-368,2 0-393,21 0 1273,-19-2-1144,5-3 288,2-8 352,2 2 352,6-5 80,0-1-80,4 17 152,-1-21-1520,1 21 1520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16:48:10.755"/>
    </inkml:context>
    <inkml:brush xml:id="br0">
      <inkml:brushProperty name="width" value="0.05" units="cm"/>
      <inkml:brushProperty name="height" value="0.05" units="cm"/>
    </inkml:brush>
  </inkml:definitions>
  <inkml:trace contextRef="#ctx0" brushRef="#br0">2333 1 6353,'0'0'0,"-3"0"2056,-1 0-1424,-9 2-408,1 2-119,12-4-105,-14 13 40,-4-2 64,-2 1-24,-2 3 40,-6 3 24,-2 1-16,30-19-128,-34 22 168,-1-2 32,-4 2-16,0-1 8,-4 0-16,-2 0-8,45-21-168,-48 22 168,-1-1-40,-2 2 0,-1-1-48,1 0 8,-2 1-8,53-23-80,-52 22 56,1-1-24,2 0 0,-1-3-8,3 0-24,3-3 0,44-15 0,-44 15-32,4-2-16,4-1-8,2-3-32,4 1-48,1-8-24,29-2 160,-26 4-192,3 0-48,7-2-120,2 0-192,4-2-249,5 0-175,5 0 976,-10 0-1048,8-2 40,2 0 64,-1-2 95,1 2 65,0-2 136,0 4 648,2-5-440,8 0 168,-8 1 160,9-6 88,-8 6 48,6 1 64,-9 3-88,4-4 144,-1 1 80,1-1 56,-1 3 80,-3 0 48,0-1 16,0 2-424,-2 0 416,-1 0-63,-8 0-105,1 3-64,-2-1-48,-1 2 16,13-4-152,-17 9 208,0-6 0,-3 8 40,-1-8 48,-2 10 8,0-9 96,23-4-400,-25 12 448,-1-9-16,0 9-24,-1-8-56,1 9-80,-1-10-23,27-3-249,-25 10 168,1-7-8,0 0-24,2 0-24,1-1 16,3 1-32,18-3-96,-21 0 136,4 2-24,0-2-32,0 0 0,3 0-24,0-2 8,14 2-64,-13-4 72,0 0 0,1 0-32,-1-7 0,2 7-8,6-1 24,5 5-56,-15-10 40,5 7-16,-1-2 16,-2 1-32,2-1-24,-1-5 24,12 10-8,-11-2 8,-1-3 8,0-4 40,-1 6-16,0-2-32,-2-4 0,15 9-8,-15-3 56,0-1-40,0-1 0,1 0 24,-3-5-96,2 7 112,15 3-56,-18-10 24,4 7 8,-1-8 40,0 7-24,0-7 80,2 7-80,13 4-48,-14-12 48,3 2 8,-3 0-40,6 1 152,-3-1-176,6 0 40,5 10-32,-11-12-96,6-2-152,-4 1 176,4-1-248,-4-1 128,8 1 72,1 14 120,-3-14-192,2-1 136,-1 2-40,2 0 104,0 1 32,0 1-64,0 11 24,0-9 24,4-1-112,5 1 120,-7 4-24,7-6-40,-5 7-56,-4 4 88,10-4-208,-1-6 48,-5 6-24,12 1 0,-4-1 8,0 1 40,-12 3 136,14-2-153,1 1-7,-2 1 16,1 3-40,-2 0-88,1 12-24,-13-15 296,9 12-456,3 2-152,-8 3-56,7 4-64,-9 2 120,1 6 144,-3-29 464,2 30-313,-2 2 105,0 2 40,-2 1 32,-2 1 24,1 3 32,3-39 80,-9 41-40,5-2 32,-5 4 48,0 3-40,4 1 16,-9-1 0,14-46-16,-9 48 24,6 0 24,-8 0-16,7-1 48,1-3 16,-1-2 56,4-42-152,0 39 256,0 0 153,4-2 151,8-2 160,-1-2 96,2-1-40,-13-32-776,16 30 712,4-2-88,3-3-55,3-1-1,4-2-24,2-3-8,-32-19-536,39 17 520,4-2-56,4-2-88,5-1-48,3-8-80,5 7-56,-60-11-192,64 0 144,6 2-48,4-2-64,4 0-80,4 0-136,6-1-296,-88 1 480,90-4-1040,4-6-1200,4 6-713,2-10 576,4 3 769,2-2 880,-106 13 728,110-15-160,1-2-1560,-111 17 1720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28" sqref="F28"/>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41</v>
      </c>
      <c r="D2" s="66"/>
      <c r="E2" s="13" t="s">
        <v>7</v>
      </c>
      <c r="F2" s="61">
        <v>45944</v>
      </c>
      <c r="G2" s="61"/>
      <c r="H2" s="61"/>
      <c r="I2" s="61"/>
      <c r="J2" s="61"/>
    </row>
    <row r="3" spans="1:10" ht="30" customHeight="1" x14ac:dyDescent="0.3">
      <c r="B3" s="13" t="s">
        <v>9</v>
      </c>
      <c r="C3" s="66" t="s">
        <v>82</v>
      </c>
      <c r="D3" s="66"/>
      <c r="E3" s="13" t="s">
        <v>6</v>
      </c>
      <c r="F3" s="66" t="s">
        <v>92</v>
      </c>
      <c r="G3" s="66"/>
      <c r="H3" s="66"/>
      <c r="I3" s="66"/>
      <c r="J3" s="66"/>
    </row>
    <row r="4" spans="1:10" ht="30" customHeight="1" thickBot="1" x14ac:dyDescent="0.35">
      <c r="B4" s="6"/>
      <c r="C4" s="7"/>
      <c r="D4" s="7"/>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3.5</v>
      </c>
      <c r="G8" s="42">
        <f>IFERROR(F8/E8,"")</f>
        <v>0.7</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3.75</v>
      </c>
      <c r="G12" s="32">
        <f t="shared" si="0"/>
        <v>0.75</v>
      </c>
      <c r="H12" s="33" t="str">
        <f t="shared" si="1"/>
        <v>جيد</v>
      </c>
      <c r="I12" s="52"/>
      <c r="J12" s="53"/>
    </row>
    <row r="13" spans="1:10" ht="54.9" customHeight="1" x14ac:dyDescent="0.3">
      <c r="A13" s="11"/>
      <c r="B13" s="83" t="s">
        <v>177</v>
      </c>
      <c r="C13" s="84"/>
      <c r="D13" s="84"/>
      <c r="E13" s="9">
        <v>5</v>
      </c>
      <c r="F13" s="27">
        <v>3.5</v>
      </c>
      <c r="G13" s="32">
        <f t="shared" si="0"/>
        <v>0.7</v>
      </c>
      <c r="H13" s="33" t="str">
        <f t="shared" si="1"/>
        <v>جيد</v>
      </c>
      <c r="I13" s="52"/>
      <c r="J13" s="53"/>
    </row>
    <row r="14" spans="1:10" ht="71.25" customHeight="1" x14ac:dyDescent="0.3">
      <c r="A14" s="11"/>
      <c r="B14" s="83" t="s">
        <v>178</v>
      </c>
      <c r="C14" s="84"/>
      <c r="D14" s="84"/>
      <c r="E14" s="9">
        <v>5</v>
      </c>
      <c r="F14" s="27">
        <v>3.5</v>
      </c>
      <c r="G14" s="32">
        <f t="shared" si="0"/>
        <v>0.7</v>
      </c>
      <c r="H14" s="33" t="str">
        <f t="shared" si="1"/>
        <v>جيد</v>
      </c>
      <c r="I14" s="52"/>
      <c r="J14" s="53"/>
    </row>
    <row r="15" spans="1:10" ht="39.9" customHeight="1" x14ac:dyDescent="0.3">
      <c r="A15" s="11"/>
      <c r="B15" s="83" t="s">
        <v>179</v>
      </c>
      <c r="C15" s="84"/>
      <c r="D15" s="84"/>
      <c r="E15" s="9">
        <v>5</v>
      </c>
      <c r="F15" s="27">
        <v>3.5</v>
      </c>
      <c r="G15" s="32">
        <f t="shared" si="0"/>
        <v>0.7</v>
      </c>
      <c r="H15" s="33" t="str">
        <f t="shared" si="1"/>
        <v>جيد</v>
      </c>
      <c r="I15" s="52"/>
      <c r="J15" s="53"/>
    </row>
    <row r="16" spans="1:10" ht="68.25" customHeight="1" x14ac:dyDescent="0.3">
      <c r="A16" s="11"/>
      <c r="B16" s="83" t="s">
        <v>180</v>
      </c>
      <c r="C16" s="84"/>
      <c r="D16" s="84"/>
      <c r="E16" s="9">
        <v>5</v>
      </c>
      <c r="F16" s="27">
        <v>3.5</v>
      </c>
      <c r="G16" s="32">
        <f t="shared" si="0"/>
        <v>0.7</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3.5</v>
      </c>
      <c r="G19" s="32">
        <f t="shared" si="0"/>
        <v>0.7</v>
      </c>
      <c r="H19" s="33" t="str">
        <f t="shared" si="1"/>
        <v>جيد</v>
      </c>
      <c r="I19" s="52"/>
      <c r="J19" s="53"/>
    </row>
    <row r="20" spans="1:10" ht="39.9" customHeight="1" x14ac:dyDescent="0.3">
      <c r="A20" s="11"/>
      <c r="B20" s="83" t="s">
        <v>183</v>
      </c>
      <c r="C20" s="84"/>
      <c r="D20" s="84"/>
      <c r="E20" s="9">
        <v>5</v>
      </c>
      <c r="F20" s="27">
        <v>3.75</v>
      </c>
      <c r="G20" s="32">
        <f t="shared" si="0"/>
        <v>0.75</v>
      </c>
      <c r="H20" s="33" t="str">
        <f t="shared" si="1"/>
        <v>جيد</v>
      </c>
      <c r="I20" s="52"/>
      <c r="J20" s="53"/>
    </row>
    <row r="21" spans="1:10" ht="39.9" customHeight="1" x14ac:dyDescent="0.3">
      <c r="A21" s="11"/>
      <c r="B21" s="83" t="s">
        <v>184</v>
      </c>
      <c r="C21" s="84"/>
      <c r="D21" s="84"/>
      <c r="E21" s="9">
        <v>5</v>
      </c>
      <c r="F21" s="27">
        <v>3.75</v>
      </c>
      <c r="G21" s="32">
        <f t="shared" si="0"/>
        <v>0.75</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3.5</v>
      </c>
      <c r="G23" s="32">
        <f t="shared" si="0"/>
        <v>0.7</v>
      </c>
      <c r="H23" s="33" t="str">
        <f t="shared" si="1"/>
        <v>جيد</v>
      </c>
      <c r="I23" s="52"/>
      <c r="J23" s="53"/>
    </row>
    <row r="24" spans="1:10" ht="39.9" customHeight="1" x14ac:dyDescent="0.3">
      <c r="A24" s="11"/>
      <c r="B24" s="83" t="s">
        <v>187</v>
      </c>
      <c r="C24" s="84"/>
      <c r="D24" s="84"/>
      <c r="E24" s="9">
        <v>5</v>
      </c>
      <c r="F24" s="27">
        <v>3.5</v>
      </c>
      <c r="G24" s="32">
        <f t="shared" si="0"/>
        <v>0.7</v>
      </c>
      <c r="H24" s="33" t="str">
        <f t="shared" si="1"/>
        <v>جيد</v>
      </c>
      <c r="I24" s="52"/>
      <c r="J24" s="53"/>
    </row>
    <row r="25" spans="1:10" ht="39.9" customHeight="1" x14ac:dyDescent="0.3">
      <c r="A25" s="11"/>
      <c r="B25" s="83" t="s">
        <v>188</v>
      </c>
      <c r="C25" s="84"/>
      <c r="D25" s="84"/>
      <c r="E25" s="9">
        <v>5</v>
      </c>
      <c r="F25" s="27">
        <v>3.5</v>
      </c>
      <c r="G25" s="32">
        <f t="shared" si="0"/>
        <v>0.7</v>
      </c>
      <c r="H25" s="33" t="str">
        <f t="shared" si="1"/>
        <v>جيد</v>
      </c>
      <c r="I25" s="52"/>
      <c r="J25" s="53"/>
    </row>
    <row r="26" spans="1:10" ht="39.9" customHeight="1" thickBot="1" x14ac:dyDescent="0.35">
      <c r="A26" s="11"/>
      <c r="B26" s="85" t="s">
        <v>189</v>
      </c>
      <c r="C26" s="86"/>
      <c r="D26" s="86"/>
      <c r="E26" s="37">
        <v>5</v>
      </c>
      <c r="F26" s="29">
        <v>3.5</v>
      </c>
      <c r="G26" s="38">
        <f t="shared" si="0"/>
        <v>0.7</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3.5</v>
      </c>
      <c r="G28" s="32">
        <f t="shared" si="0"/>
        <v>0.7</v>
      </c>
      <c r="H28" s="33" t="str">
        <f t="shared" si="1"/>
        <v>جيد</v>
      </c>
      <c r="I28" s="52"/>
      <c r="J28" s="53"/>
    </row>
    <row r="29" spans="1:10" ht="39.9" customHeight="1" x14ac:dyDescent="0.3">
      <c r="A29" s="11"/>
      <c r="B29" s="83" t="s">
        <v>191</v>
      </c>
      <c r="C29" s="84"/>
      <c r="D29" s="84"/>
      <c r="E29" s="9">
        <v>5</v>
      </c>
      <c r="F29" s="27">
        <v>3.5</v>
      </c>
      <c r="G29" s="32">
        <f t="shared" si="0"/>
        <v>0.7</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3.5</v>
      </c>
      <c r="G31" s="32">
        <f t="shared" si="0"/>
        <v>0.7</v>
      </c>
      <c r="H31" s="33" t="str">
        <f t="shared" si="1"/>
        <v>جيد</v>
      </c>
      <c r="I31" s="52"/>
      <c r="J31" s="53"/>
    </row>
    <row r="32" spans="1:10" ht="39.9" customHeight="1" thickBot="1" x14ac:dyDescent="0.35">
      <c r="A32" s="11"/>
      <c r="B32" s="85" t="s">
        <v>194</v>
      </c>
      <c r="C32" s="86"/>
      <c r="D32" s="86"/>
      <c r="E32" s="37">
        <v>5</v>
      </c>
      <c r="F32" s="29">
        <v>3.75</v>
      </c>
      <c r="G32" s="38">
        <f t="shared" si="0"/>
        <v>0.75</v>
      </c>
      <c r="H32" s="39" t="str">
        <f t="shared" si="1"/>
        <v>جيد</v>
      </c>
      <c r="I32" s="81"/>
      <c r="J32" s="82"/>
    </row>
    <row r="33" spans="1:10" ht="30" customHeight="1" thickBot="1" x14ac:dyDescent="0.35">
      <c r="A33" s="4"/>
      <c r="B33" s="75" t="s">
        <v>5</v>
      </c>
      <c r="C33" s="76"/>
      <c r="D33" s="76"/>
      <c r="E33" s="31">
        <f>SUM(E8:E32)</f>
        <v>110</v>
      </c>
      <c r="F33" s="31">
        <f>SUM(F8:F32)</f>
        <v>78.25</v>
      </c>
      <c r="G33" s="45"/>
      <c r="H33" s="46"/>
      <c r="I33" s="46"/>
      <c r="J33" s="47"/>
    </row>
    <row r="34" spans="1:10" ht="30" customHeight="1" thickBot="1" x14ac:dyDescent="0.35">
      <c r="A34" s="4"/>
      <c r="B34" s="77" t="s">
        <v>54</v>
      </c>
      <c r="C34" s="78"/>
      <c r="D34" s="78"/>
      <c r="E34" s="67">
        <f>F33/E33/100*100</f>
        <v>0.71136363636363631</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92</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2025-10-15T17:29:12Z</dcterms:modified>
</cp:coreProperties>
</file>