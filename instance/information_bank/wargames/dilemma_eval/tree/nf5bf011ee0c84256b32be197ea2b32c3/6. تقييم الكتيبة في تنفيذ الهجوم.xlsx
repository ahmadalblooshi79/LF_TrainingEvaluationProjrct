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20966B8-D1A2-5542-A3C3-706E06CFA81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F72" i="2"/>
  <c r="E72" i="2"/>
  <c r="E73" i="2"/>
  <c r="E74" i="2"/>
</calcChain>
</file>

<file path=xl/sharedStrings.xml><?xml version="1.0" encoding="utf-8"?>
<sst xmlns="http://schemas.openxmlformats.org/spreadsheetml/2006/main" count="297" uniqueCount="241">
  <si>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</si>
  <si>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</si>
  <si>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</si>
  <si>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</si>
  <si>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</si>
  <si>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</si>
  <si>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</si>
  <si>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</si>
  <si>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</si>
  <si>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</si>
  <si>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</si>
  <si>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</si>
  <si>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</si>
  <si>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</si>
  <si>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</si>
  <si>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</si>
  <si>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</si>
  <si>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</si>
  <si>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</si>
  <si>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</si>
  <si>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</si>
  <si>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</si>
  <si>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</si>
  <si>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</si>
  <si>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</si>
  <si>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</si>
  <si>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</si>
  <si>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</si>
  <si>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</si>
  <si>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</si>
  <si>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</si>
  <si>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</si>
  <si>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</si>
  <si>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</si>
  <si>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</si>
  <si>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</si>
  <si>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</si>
  <si>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</si>
  <si>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</si>
  <si>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</si>
  <si>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</si>
  <si>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</si>
  <si>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</si>
  <si>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</si>
  <si>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</si>
  <si>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</si>
  <si>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</si>
  <si>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</si>
  <si>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</si>
  <si>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</si>
  <si>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</si>
  <si>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</si>
  <si>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</si>
  <si>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</si>
  <si>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</si>
  <si>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</si>
  <si>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</si>
  <si>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</si>
  <si>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</si>
  <si>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</si>
  <si>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</si>
  <si>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</si>
  <si>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</si>
  <si>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</si>
  <si>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</si>
  <si>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</si>
  <si>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</si>
  <si>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</si>
  <si>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</si>
  <si>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</si>
  <si>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</si>
  <si>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</si>
  <si>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</si>
  <si>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</si>
  <si>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</si>
  <si>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</si>
  <si>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</si>
  <si>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</si>
  <si>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</si>
  <si>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</si>
  <si>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</si>
  <si>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</si>
  <si>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</si>
  <si>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</si>
  <si>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</si>
  <si>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</si>
  <si>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</si>
  <si>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</si>
  <si>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</si>
  <si>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</si>
  <si>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</si>
  <si>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</si>
  <si>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</si>
  <si>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</si>
  <si>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</si>
  <si>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</si>
  <si>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</si>
  <si>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</si>
  <si>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</si>
  <si>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</si>
  <si>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</si>
  <si>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</si>
  <si>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</si>
  <si>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</si>
  <si>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</si>
  <si>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</si>
  <si>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</si>
  <si>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</si>
  <si>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</si>
  <si>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</si>
  <si>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</si>
  <si>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</si>
  <si>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</si>
  <si>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</si>
  <si>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</si>
  <si>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</si>
  <si>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</si>
  <si>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</si>
  <si>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</si>
  <si>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</si>
  <si>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</si>
  <si>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</si>
  <si>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</si>
  <si>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</si>
  <si>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</si>
  <si>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</si>
  <si>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</si>
  <si>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</si>
  <si>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</si>
  <si>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</si>
  <si>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</si>
  <si>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</si>
  <si>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</si>
  <si>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</si>
  <si>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</si>
  <si>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</si>
  <si>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</si>
  <si>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</si>
  <si>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</si>
  <si>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</si>
  <si>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</si>
  <si>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</si>
  <si>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</si>
  <si>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</si>
  <si>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</si>
  <si>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</si>
  <si>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</si>
  <si>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</si>
  <si>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</si>
  <si>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</si>
  <si>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</si>
  <si>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</si>
  <si>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</si>
  <si>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</si>
  <si>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</si>
  <si>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</si>
  <si>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</si>
  <si>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</si>
  <si>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</si>
  <si>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</si>
  <si>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</si>
  <si>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</si>
  <si>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</si>
  <si>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</si>
  <si>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</si>
  <si>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</si>
  <si>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</si>
  <si>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</si>
  <si>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</si>
  <si>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</si>
  <si>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</si>
  <si>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</si>
  <si>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</si>
  <si>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</si>
  <si>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</si>
  <si>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</si>
  <si>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</si>
  <si>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(3)   مناطق العمليات للوحدات المرؤوسة.</t>
  </si>
  <si>
    <t>(4)   المقتربات وممرات الحركة من منطقة التجمع وحتى الأهداف.</t>
  </si>
  <si>
    <t>(5)   خط البدء وخطوط الفتح التعبوي.</t>
  </si>
  <si>
    <t>جـ.   تنفيذ التحضير الاستخباري لميدان المعركة.</t>
  </si>
  <si>
    <t>(1)   تحديد قوات الجهد الرئيسي (العملية الحاسمة).</t>
  </si>
  <si>
    <t>(2)   تحديد قوات الجهود المساندة وعمليات التمهيد/ التهيئة.</t>
  </si>
  <si>
    <t>(3)   تحديد قوات الاحتياط (القائد، التأليف والموقع).</t>
  </si>
  <si>
    <t xml:space="preserve">(4)   تخصيص وحدات الإسناد القتالي.  </t>
  </si>
  <si>
    <t>هـ.   توحيد وتنسيق الوظائف القتالية كما يلي:</t>
  </si>
  <si>
    <t>(ب)  تخطيط النيران على جميع مواقع العدو المعروفة والمحتملة ولعزل الهدف.</t>
  </si>
  <si>
    <t>(جـ)   تخطيط نيران الخداع لتضليل العدو وحسب الضرورة.</t>
  </si>
  <si>
    <t>(د)   تخطيط نيران الإعماء/ الحجب عند الضرورة.</t>
  </si>
  <si>
    <t>(هـ)   تخطيط نيران إسناد قوات فتح الثغرة في الموانع.</t>
  </si>
  <si>
    <t>(و)   تخطيط النيران لحماية القوات المقتحمة بواسطة إسكات وتحييد وتدمير أسلحة نيران العدو المباشرة.</t>
  </si>
  <si>
    <t>(ز)   التخطيط للنيران لما بعد الأهداف لإسناد الهجوم السريع أو الدفاع السريع (العمليات اللاحقة).</t>
  </si>
  <si>
    <t>(ح)   تخطيط وتنسيق النيران غير المباشرة والإسناد الجوي القريب لتأخير أو تحييد إعادة تموضع قوات العدو واحتياطه.</t>
  </si>
  <si>
    <t>(ط)   تخطيط النيران ضد تعزيزات العدو أثناء الهجوم ولإسناد التثبت وإعادة التنظيم للقوات الصديقة فور احتلال الهدف والاستيلاء عليه.</t>
  </si>
  <si>
    <t>(ي)   تخطيط النيران لقوات الاحتياط والوحدات اللاحقة.</t>
  </si>
  <si>
    <t>(2)   الإسناد الهندسي:</t>
  </si>
  <si>
    <t>(ب)   دمج وتوحيد متطلبات استخبارات الموانع ضمن متطلبات أولويات الاستخبارات وخطة الاستطلاع.</t>
  </si>
  <si>
    <t>(جـ)   تحديد مكان مواقع فتح الثغرات وعددها بناءً على خطة المناورة والعمل على الهدف وحجم قوة الاقتحام.</t>
  </si>
  <si>
    <t>(د)   التخطيط الملائم للتحول السريع لأولويات الجهد والإسناد الهندسي من أجل تعزيز النجاح أو الاستجابة للمواقف المتغيرة.</t>
  </si>
  <si>
    <t>إجراءات التحضير.</t>
  </si>
  <si>
    <t>أ.    تنقيح الخطة بناءً على الاستخبارات المحدثة باستمرار.</t>
  </si>
  <si>
    <t>ب.  تنفيذ الاستطلاع الواسع من أجل تحديد ما يلي:</t>
  </si>
  <si>
    <t>(1)   حجم وتأليف وتوزيعات قوة العدو في منطقة الأهداف والاحتياط.</t>
  </si>
  <si>
    <t>(2)   موقع ونوع وعمق وتأليف الموانع والممرات حول الموانع.</t>
  </si>
  <si>
    <t>(4)   نوع التحصينات المعادية وجهد القدرة على البقاء.</t>
  </si>
  <si>
    <t>(5)   مناطق اشتباك العدو.</t>
  </si>
  <si>
    <t>(6)   نقاط ضعف العدو.</t>
  </si>
  <si>
    <t>(7)   الفجوات في دفاع العدو.</t>
  </si>
  <si>
    <t>(8)   الأجنحة المكشوفة أو الضعيفة للعدو.</t>
  </si>
  <si>
    <t>(9)   المقتربات غير المراقبة أو المدافع عنها والتي تؤدي إلى أجنحة أو عمق ومؤخرة العدو.</t>
  </si>
  <si>
    <t>(10)   الطرق التي تتوفر فيها التخفية والتستر التي تسمح للقوات الصديقة بالاقتراب من دفاعات العدو.</t>
  </si>
  <si>
    <t>إجراءات التنفيذ.</t>
  </si>
  <si>
    <t>أ.   الحركة من منطقة التجمع إلى منطقة التشكيل وخط البدء، بأسلوب الحركة والتشكيلة المناسبين.</t>
  </si>
  <si>
    <t>ب.  تأسيس قاعدة/ قواعد الاسناد بالنيران.</t>
  </si>
  <si>
    <t>جـ.   تنفيذ خطة الإسناد الناري غير المباشر لإسناد القوات المهاجمة.</t>
  </si>
  <si>
    <t xml:space="preserve">د.   القيام بإجراءات فتح الثغرة في موانع العدو عند الضرورة.  </t>
  </si>
  <si>
    <t xml:space="preserve">هـ.   المناورة من خط البدء إلى الأهداف.   </t>
  </si>
  <si>
    <t>ز.   نقل النيران والدخان لإسكات قوات العدو وحجب قواتنا الصديقة.</t>
  </si>
  <si>
    <t>ح.   اقتحام الأهداف.</t>
  </si>
  <si>
    <t xml:space="preserve">ط.   إشراك الاحتياط عند الحاجة لتعزيز زخم الهجوم ومنع الهجمات المعاكسة للعدو واستغلال النجاح عند الحاجة. </t>
  </si>
  <si>
    <t>ي.   استدعاء مصادر الإدامة للأمام عند الحاجة.</t>
  </si>
  <si>
    <t>ك.   التثبت وإعادة التنظيم على الهدف.</t>
  </si>
  <si>
    <t xml:space="preserve">ل.   تنفيذ التحول حسب الخطة.   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</si>
  <si>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يعمل القادة في الكتيبة/ مجموعة القتال على فهم الموقف باستخدام كافة الوسائل المتوفرة.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</si>
  <si>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قيادة الكتيبة/ مجموعة القتال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</si>
  <si>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</si>
  <si>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</si>
  <si>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التعبوية للسرايا/ فرق القتال والوحدات المساندة.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</si>
  <si>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</si>
  <si>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Arial"/>
        <family val="2"/>
      </rPr>
      <t xml:space="preserve">  </t>
    </r>
  </si>
  <si>
    <r>
      <t>(1)</t>
    </r>
    <r>
      <rPr>
        <sz val="7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</si>
  <si>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r>
      <t>3.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القائد ومفهوم عملياته.</t>
    </r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</si>
  <si>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تقوم الكتيبة/ مجموعة القتال بالتحضير والاستعداد للمهمة من خلال:</t>
    </r>
  </si>
  <si>
    <r>
      <t>(3)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الطرق المحتملة للهجوم المعاكس أو التعزيزات المعادية.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</si>
  <si>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للوحدات المرؤوسة لضمان أن التخطيط والتحضير يجري بطريقة صحيحة وتتفق مع قصد القائد.</t>
    </r>
  </si>
  <si>
    <r>
      <t>3.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أثناء النهار وفي فترات الرؤية المحدودة إذا أمكن.</t>
    </r>
  </si>
  <si>
    <r>
      <t>4.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توضيع القوات للحركة.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</si>
  <si>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الكتيبة/ مجموعة القتال الهجوم وتقوم بالإجراءات التالية:</t>
    </r>
  </si>
  <si>
    <t>( أ )    تخطيط النيران لإسناد جهد الاستطلاع.</t>
  </si>
  <si>
    <t>( أ )   تحديد واجبات قابلية الحركة الضرورية في منطقة عمليات الكتيبة/ مجموعة القتال وعلى طول ممرات الحركة وحتى الأهداف.</t>
  </si>
  <si>
    <r>
      <rPr>
        <b/>
        <sz val="14"/>
        <color rgb="FF000000"/>
        <rFont val="Arial"/>
        <family val="2"/>
      </rPr>
      <t>تقييم الكتيبة/ مجموعة القتال في تنفيذ الهجوم (المدبر)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</si>
</sst>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13" fillId="0" borderId="23" xfId="0" applyFont="1" applyBorder="1" applyAlignment="1">
      <alignment horizontal="right" vertical="center" wrapText="1" indent="3" readingOrder="2"/>
    </xf>
    <xf numFmtId="0" fontId="13" fillId="0" borderId="3" xfId="0" applyFont="1" applyBorder="1" applyAlignment="1">
      <alignment horizontal="right" vertical="center" wrapText="1" indent="3" readingOrder="2"/>
    </xf>
    <xf numFmtId="0" fontId="13" fillId="0" borderId="23" xfId="0" applyFont="1" applyBorder="1" applyAlignment="1">
      <alignment horizontal="right" vertical="center" wrapText="1" indent="5" readingOrder="2"/>
    </xf>
    <xf numFmtId="0" fontId="13" fillId="0" borderId="3" xfId="0" applyFont="1" applyBorder="1" applyAlignment="1">
      <alignment horizontal="right" vertical="center" wrapText="1" indent="5" readingOrder="2"/>
    </xf>
    <xf numFmtId="0" fontId="13" fillId="0" borderId="23" xfId="0" applyFont="1" applyBorder="1" applyAlignment="1">
      <alignment horizontal="right" vertical="center" wrapText="1" indent="7" readingOrder="2"/>
    </xf>
    <xf numFmtId="0" fontId="13" fillId="0" borderId="3" xfId="0" applyFont="1" applyBorder="1" applyAlignment="1">
      <alignment horizontal="right" vertical="center" wrapText="1" indent="7" readingOrder="2"/>
    </xf>
    <xf numFmtId="0" fontId="13" fillId="0" borderId="23" xfId="0" applyFont="1" applyBorder="1" applyAlignment="1">
      <alignment horizontal="right" vertical="center" wrapText="1" indent="1" readingOrder="2"/>
    </xf>
    <xf numFmtId="0" fontId="13" fillId="0" borderId="3" xfId="0" applyFont="1" applyBorder="1" applyAlignment="1">
      <alignment horizontal="right" vertical="center" wrapText="1" indent="1" readingOrder="2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  <xf numFmtId="0" fontId="13" fillId="0" borderId="11" xfId="0" applyFont="1" applyBorder="1" applyAlignment="1">
      <alignment horizontal="right" vertical="center" wrapText="1" indent="1" readingOrder="2"/>
    </xf>
    <xf numFmtId="0" fontId="13" fillId="0" borderId="12" xfId="0" applyFont="1" applyBorder="1" applyAlignment="1">
      <alignment horizontal="right" vertical="center" wrapText="1" indent="1" readingOrder="2"/>
    </xf>
    <xf numFmtId="0" fontId="1" fillId="5" borderId="24" xfId="0" applyFont="1" applyFill="1" applyBorder="1" applyAlignment="1">
      <alignment horizontal="right" vertical="center" wrapText="1" indent="1" readingOrder="2"/>
    </xf>
    <xf numFmtId="0" fontId="1" fillId="5" borderId="25" xfId="0" applyFont="1" applyFill="1" applyBorder="1" applyAlignment="1">
      <alignment horizontal="right" vertical="center" wrapText="1" indent="1" readingOrder="2"/>
    </xf>
    <xf numFmtId="0" fontId="1" fillId="5" borderId="26" xfId="0" applyFont="1" applyFill="1" applyBorder="1" applyAlignment="1">
      <alignment horizontal="right" vertical="center" wrapText="1" inden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998220</xdr:colOff>
      <xdr:row>87</xdr:row>
      <xdr:rowOff>184743</xdr:rowOff>
    </xdr:from>
    <xdr:to>
      <xdr:col>3</xdr:col>
      <xdr:colOff>1081740</xdr:colOff>
      <xdr:row>88</xdr:row>
      <xdr:rowOff>35643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DA4FA3D-3873-4B50-133B-135F90A950CC}"/>
                </a:ext>
              </a:extLst>
            </xdr14:cNvPr>
            <xdr14:cNvContentPartPr/>
          </xdr14:nvContentPartPr>
          <xdr14:nvPr macro=""/>
          <xdr14:xfrm>
            <a:off x="10402787124" y="40160880"/>
            <a:ext cx="83520" cy="414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DA4FA3D-3873-4B50-133B-135F90A950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2781004" y="40154760"/>
              <a:ext cx="9576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633446</xdr:colOff>
      <xdr:row>75</xdr:row>
      <xdr:rowOff>122388</xdr:rowOff>
    </xdr:from>
    <xdr:to>
      <xdr:col>8</xdr:col>
      <xdr:colOff>15665</xdr:colOff>
      <xdr:row>75</xdr:row>
      <xdr:rowOff>401028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910B36F-E7CE-C18B-BE64-CCA365856E8E}"/>
                </a:ext>
              </a:extLst>
            </xdr14:cNvPr>
            <xdr14:cNvContentPartPr/>
          </xdr14:nvContentPartPr>
          <xdr14:nvPr macro=""/>
          <xdr14:xfrm>
            <a:off x="10399229244" y="37356480"/>
            <a:ext cx="698400" cy="2786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910B36F-E7CE-C18B-BE64-CCA365856E8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23124" y="37350360"/>
              <a:ext cx="71064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45545</xdr:colOff>
      <xdr:row>75</xdr:row>
      <xdr:rowOff>103308</xdr:rowOff>
    </xdr:from>
    <xdr:to>
      <xdr:col>9</xdr:col>
      <xdr:colOff>385375</xdr:colOff>
      <xdr:row>75</xdr:row>
      <xdr:rowOff>510108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8965597-4072-0268-EFBF-3EAD25BC0623}"/>
                </a:ext>
              </a:extLst>
            </xdr14:cNvPr>
            <xdr14:cNvContentPartPr/>
          </xdr14:nvContentPartPr>
          <xdr14:nvPr macro=""/>
          <xdr14:xfrm>
            <a:off x="10398201444" y="37337400"/>
            <a:ext cx="997920" cy="4068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8965597-4072-0268-EFBF-3EAD25BC062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195324" y="37331280"/>
              <a:ext cx="1010160" cy="419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19:12:35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232 115,'0'0,"0"0,0-16,-17 16,17 0,-15-16,-18 0,30 15,-26-14,-2-1,29 15,-44-14,-2-1,41 14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9:12:37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1198 774 7457,'0'0'0,"0"0"2937,0 0-913,5-3-247,-5 3-1777,5-4 1704,-3 4-264,-2 0-304,3 0-151,-3 0-985,0 0 792,2 0 40,-2 0-112,0 0-48,0 0-672,0-3 424,0 0 8,0 0 17,0 0-105,0 3-344,0-3 456,0 1-136,0-1-168,0 0 200,0 3-352,0 0 336,0-4-80,0 1-168,0-1 0,0 4-88,0-5 128,-2 1 72,2-7 336,0 8-320,0 3-216,0-12 120,-3 10-80,-2-13 24,5 4 24,0 11-88,-4-13 40,4-1 152,-3 0-104,1-2-56,2 16-32,0-17-16,-3 0 32,1-2-192,-3 1 280,5 18-104,-2-18 128,-3-1-40,0 1 121,3-1-209,2 19 0,-8-20 0,6 3-104,-10-1-89,12 1 209,0 17-16,-2-16 105,-3-1-73,2 1 184,1 2-240,2 14 24,0-13-104,-2 0 224,2 2-80,0 7-72,0 4 32,0-13 64,0 10-32,0-1-16,2 0 56,-2 4-72,0-5 88,0 1-104,0 1 216,2-1-128,-2 4-72,3-4 32,2 0-64,-3-1-192,0 1 144,-2 4 80,5-4-24,10-1 64,-13 3-8,10-1 16,-12 3-48,12 0 24,0 0-48,0 0 168,0 0-112,-12 0-32,10 1-32,4 1 8,1 0-80,6 1 160,-21-3-56,17 2 168,2-1-48,5-1 40,1 0-160,-25 0 0,24-3-56,0-1 56,2 0 72,-2-9-40,-24 13-32,27-4-16,-6-11 32,1 11-208,2-13 144,-24 17 48,24-11 72,0-1-96,0 1 24,0 0 8,-24 11-8,24-5 48,0-10-64,0 11 32,-7-9 16,-17 13-32,19-5-16,3-6 16,-8 8 120,8-1-192,-22 4 72,15-13-96,-3 10 112,4-1 80,-1-9-88,-15 13-8,14-3 0,-11-8 32,11 8-224,-14-1 208,0 4-16,7-3 72,-4 0-72,-1 3-48,1-3-40,-3 3 88,2 0-192,-2 0 112,-5 0-40,3 2 80,2-2 40,-5 4 120,-12 2-120,15 5 72,-13-7-72,15-4 0,-12 12-104,0-8 40,-2 7 24,2-6 72,12-5-32,-12 13-48,-3-2 16,-2 0 48,3 1-32,14-12 16,-22 14-56,6 0 56,-4 0 16,-4 3-80,24-17 64,-21 17 88,-6 0-88,3 3 48,-2-1-80,26-19 32,-29 20 0,5-2 32,0-1-152,-5 0 168,29-17-48,-24 17-64,-5-1-8,2-2 40,8 0 16,19-14 16,-19 12 0,5 1 32,-1-1 16,-2-6-24,17-6-24,-14 16 48,-1-5-112,1-5 112,0 8 128,14-14-176,-15 6-128,5 6 112,6-7 0,-11 6-88,15-11 104,-5 4 32,-9 1-24,2-1 128,7 0-272,5-4 136,-12 4 0,7-1 0,0 0 16,-9-1 16,14-2-32,-2 0 120,-13 0-104,3 0-152,0-5 184,12 5-48,-9-11 56,-6 8 16,3-8 40,-2 8-112,14 3 0,-17-13 8,2 9 8,-6-10 48,4 9 40,17 5-104,-17-15-32,-2 3 32,0 1-32,-1 0 8,20 11 24,-17-12-32,-2-1 48,0 1 88,-3-4-88,22 16-16,-21-14 152,-6 0-112,1-2 8,-3 2-96,29 14 48,-27-17 104,3-2-24,3 1 56,-3-4 16,24 22-152,-22-18-96,3 1 128,0 1-184,2 3 200,17 13-48,-17-11 104,0 7-56,3-10-168,2 11 192,12 3-72,-5-12-104,-12 9 152,12-1 88,-9 0-152,14 4 16,-3-4 72,-9-1-88,10 1 128,-1 0-56,3 4-56,-4-4 232,-1 1-128,2 0-56,3 0-80,0 3 32,0 0-152,0 0 80,0 0-144,0 0 152,0 0 568,0 0-1144,0 2 608,8 2-104,6 7 96,-14-11 40,12 12 88,0 0-56,3 4-32,4 1 48,-19-17-48,19 17-48,5-1-104,0 1 392,-2 1-192,-22-18-48,24 19-32,0-2 168,0 0-240,0-2 0,-24-15 104,22 15-112,-3-3 88,3 1 24,-1-1 224,-21-12-224,22 11 88,-5-5-72,-3 8-56,-2-11-160,-12-3 200,12 5 104,-5 0 160,3-1-176,-8 0-136,-2-4 48,15 5-72,-13-4-8,3 2-72,-3-2 168,-2-1-16,0 3-72,0 0-184,0 1 256,-2 0 8,2-4-8,-17 6-192,5 0 160,-5 5-8,3-8 24,14-3 16,-22 6 16,1 5-96,-3-7 8,0 2 192,24-6-120,-27 11 56,1-6 160,-3 0-160,5 7-296,24-12 240,-27 4 32,1 2-16,2-1-120,-3 7 40,27-12 64,-26 4-56,2 2-128,0-1 152,0 7-72,24-12 104,-22 3-144,0 1-201,6 0 97,1-1 168,15-3 80,-5 1-176,3-1 104,2 0-32,0 0-112,0 0 216,0 0-128,2-11 168,3 8-184,10-11 104,-15 14 40,12-11 0,2 6-88,-2-12 144,0 13-72,-12 4 16,5-13 16,9 9-32,-9 0 48,-2-1-32,-3 5 0,2-4 144,-2 0-88,0 1 104,-2 0-144,2 3-16,-5 0 56,-12-3 32,7 3-88,-7-3 64,17 3-64,-16 0-16,-6 0 0,0 2 32,-9 2 128,31-4-144,-26 4 72,-1 1-24,-4 6 8,2-7-40,29-4-16,-26 12-48,-3-8-216,0 0-400,2-1-720,27-3 1384,-24 3-2201,0-2-1103,-5-1-3026,5 0-3128,24 0 9458,0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9:12:38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1499 557 14195,'0'0'0,"0"0"0,0 1 784,2 2-456,1 1 96,1 0 152,-4-4-576,17 12 624,-5-8-88,3 9 24,9-7 8,-24-6-568,24 15 553,9-9 79,1 8 80,5-3 112,-39-11-824,40 6 952,6 8-8,0-9-15,4 0-17,-50-5-912,46 5 848,5-3-104,-6 0-136,1-2-136,-46 0-472,48 0 312,-5-4-111,3-1 55,-3-7 120,-43 12-376,44-5 304,1-8 144,-1 9-168,-3-13-112,-41 17-168,40-13 152,1-1-64,-7-3 56,4-1-72,-38 18-72,32-22 112,-3 1-48,-1 0 56,-3 1-8,-25 20-112,24-20 104,-3-3-8,-9 0-16,-7 1-32,-5 22-48,10-23 152,-8-1-8,-2-2-32,0-2 40,0 28-152,-14-30 80,-1-1 0,-4-2 32,-5 2-80,24 31-32,-22-30 32,-7 0-160,3 3 16,0 4 32,26 23 80,-32-21-64,6 7 48,-5 1 80,-6 10-264,37 3 200,-38-4-160,-3 1-40,-5 3-96,-2 6 248,48-6 48,-53 15 96,-2 1 8,0 4 56,-3 1 72,58-21-232,-58 24-32,-2 2 144,-5-2 32,-5 3-104,70-27-40,-72 28-16,-2 2 16,2 3 0,-1 0-88,73-33 88,-67 32-112,-3 0-96,3-1-120,0 0 304,67-31 24,-70 31 120,2 4-8,-1 0-112,-3 2-32,72-37 32,-73 41-200,-4 0 8,-2 4 208,2-1-512,77-44 496,-38 22-320,-15 8 104,2-1-120,-11 5 384,62-34-48,-63 35-344,-9 8-408,0-2-1337,-12 9-1712,84-50 3801,-92 52-7713,3 3-2834,89-55 10547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6"/>
  <sheetViews>
    <sheetView rightToLeft="1" tabSelected="1" view="pageBreakPreview" topLeftCell="C64" zoomScale="130" zoomScaleNormal="100" zoomScaleSheetLayoutView="130" workbookViewId="0">
      <selection activeCell="G76" sqref="G76:J76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8" t="s">
        <v>240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2">
      <c r="B2" s="12" t="s">
        <v>8</v>
      </c>
      <c r="C2" s="54" t="s">
        <v>44</v>
      </c>
      <c r="D2" s="54"/>
      <c r="E2" s="12" t="s">
        <v>7</v>
      </c>
      <c r="F2" s="49">
        <v>45957</v>
      </c>
      <c r="G2" s="49"/>
      <c r="H2" s="49"/>
      <c r="I2" s="49"/>
      <c r="J2" s="49"/>
    </row>
    <row r="3" spans="1:10" ht="30" customHeight="1" x14ac:dyDescent="0.2">
      <c r="B3" s="12" t="s">
        <v>9</v>
      </c>
      <c r="C3" s="54" t="s">
        <v>85</v>
      </c>
      <c r="D3" s="54"/>
      <c r="E3" s="12" t="s">
        <v>6</v>
      </c>
      <c r="F3" s="54" t="s">
        <v>104</v>
      </c>
      <c r="G3" s="54"/>
      <c r="H3" s="54"/>
      <c r="I3" s="54"/>
      <c r="J3" s="5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0" t="s">
        <v>0</v>
      </c>
      <c r="C5" s="51"/>
      <c r="D5" s="51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25">
      <c r="A6" s="10"/>
      <c r="B6" s="52"/>
      <c r="C6" s="53"/>
      <c r="D6" s="53"/>
      <c r="E6" s="11" t="s">
        <v>3</v>
      </c>
      <c r="F6" s="11" t="s">
        <v>4</v>
      </c>
      <c r="G6" s="11" t="s">
        <v>23</v>
      </c>
      <c r="H6" s="11" t="s">
        <v>24</v>
      </c>
      <c r="I6" s="61"/>
      <c r="J6" s="62"/>
    </row>
    <row r="7" spans="1:10" ht="24.95" customHeight="1" thickBot="1" x14ac:dyDescent="0.25">
      <c r="A7" s="10"/>
      <c r="B7" s="57" t="s">
        <v>21</v>
      </c>
      <c r="C7" s="58"/>
      <c r="D7" s="58"/>
      <c r="E7" s="28" t="s">
        <v>18</v>
      </c>
      <c r="F7" s="28" t="s">
        <v>19</v>
      </c>
      <c r="G7" s="28" t="s">
        <v>22</v>
      </c>
      <c r="H7" s="28" t="s">
        <v>20</v>
      </c>
      <c r="I7" s="63" t="s">
        <v>25</v>
      </c>
      <c r="J7" s="64"/>
    </row>
    <row r="8" spans="1:10" ht="39.950000000000003" customHeight="1" x14ac:dyDescent="0.2">
      <c r="A8" s="10"/>
      <c r="B8" s="89" t="s">
        <v>176</v>
      </c>
      <c r="C8" s="90"/>
      <c r="D8" s="90"/>
      <c r="E8" s="90"/>
      <c r="F8" s="90"/>
      <c r="G8" s="90"/>
      <c r="H8" s="90"/>
      <c r="I8" s="90"/>
      <c r="J8" s="91"/>
    </row>
    <row r="9" spans="1:10" ht="39.950000000000003" customHeight="1" x14ac:dyDescent="0.2">
      <c r="A9" s="10"/>
      <c r="B9" s="75" t="s">
        <v>223</v>
      </c>
      <c r="C9" s="76"/>
      <c r="D9" s="76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9"/>
      <c r="J9" s="40"/>
    </row>
    <row r="10" spans="1:10" ht="39.950000000000003" customHeight="1" x14ac:dyDescent="0.2">
      <c r="A10" s="10"/>
      <c r="B10" s="75" t="s">
        <v>224</v>
      </c>
      <c r="C10" s="76"/>
      <c r="D10" s="76"/>
      <c r="E10" s="37"/>
      <c r="F10" s="26"/>
      <c r="G10" s="30"/>
      <c r="H10" s="31"/>
      <c r="I10" s="39"/>
      <c r="J10" s="40"/>
    </row>
    <row r="11" spans="1:10" ht="39.950000000000003" customHeight="1" x14ac:dyDescent="0.2">
      <c r="A11" s="10"/>
      <c r="B11" s="77" t="s">
        <v>225</v>
      </c>
      <c r="C11" s="78"/>
      <c r="D11" s="78"/>
      <c r="E11" s="9">
        <v>5</v>
      </c>
      <c r="F11" s="26">
        <v>3.5</v>
      </c>
      <c r="G11" s="30">
        <f t="shared" ref="G11:G71" si="0">IFERROR(F11/E11,"")</f>
        <v>0.7</v>
      </c>
      <c r="H11" s="31" t="str">
        <f t="shared" ref="H11:H71" si="1">_xlfn.IFS(F11="أدخل العلامة","",F11="لا ينطبق","تم الإلغاء",G11&gt;=90%,"ممتاز",G11&gt;=80%,"جيد جداً",G11&gt;=70%,"جيد",G11&gt;=60%,"مقبول",G11&lt;60%,"راسب")</f>
        <v>جيد</v>
      </c>
      <c r="I11" s="39"/>
      <c r="J11" s="40"/>
    </row>
    <row r="12" spans="1:10" ht="39.950000000000003" customHeight="1" x14ac:dyDescent="0.2">
      <c r="A12" s="10"/>
      <c r="B12" s="77" t="s">
        <v>226</v>
      </c>
      <c r="C12" s="78"/>
      <c r="D12" s="78"/>
      <c r="E12" s="37"/>
      <c r="F12" s="26"/>
      <c r="G12" s="30"/>
      <c r="H12" s="31"/>
      <c r="I12" s="39"/>
      <c r="J12" s="40"/>
    </row>
    <row r="13" spans="1:10" ht="39.950000000000003" customHeight="1" x14ac:dyDescent="0.2">
      <c r="A13" s="10"/>
      <c r="B13" s="79" t="s">
        <v>227</v>
      </c>
      <c r="C13" s="80"/>
      <c r="D13" s="80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39"/>
      <c r="J13" s="40"/>
    </row>
    <row r="14" spans="1:10" ht="39.950000000000003" customHeight="1" x14ac:dyDescent="0.2">
      <c r="A14" s="10"/>
      <c r="B14" s="79" t="s">
        <v>228</v>
      </c>
      <c r="C14" s="80"/>
      <c r="D14" s="80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39"/>
      <c r="J14" s="40"/>
    </row>
    <row r="15" spans="1:10" ht="39.950000000000003" customHeight="1" x14ac:dyDescent="0.2">
      <c r="A15" s="10"/>
      <c r="B15" s="79" t="s">
        <v>177</v>
      </c>
      <c r="C15" s="80"/>
      <c r="D15" s="8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39"/>
      <c r="J15" s="40"/>
    </row>
    <row r="16" spans="1:10" ht="39.950000000000003" customHeight="1" x14ac:dyDescent="0.2">
      <c r="A16" s="10"/>
      <c r="B16" s="79" t="s">
        <v>178</v>
      </c>
      <c r="C16" s="80"/>
      <c r="D16" s="8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39"/>
      <c r="J16" s="40"/>
    </row>
    <row r="17" spans="1:10" ht="39.950000000000003" customHeight="1" x14ac:dyDescent="0.2">
      <c r="A17" s="10"/>
      <c r="B17" s="79" t="s">
        <v>179</v>
      </c>
      <c r="C17" s="80"/>
      <c r="D17" s="80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39"/>
      <c r="J17" s="40"/>
    </row>
    <row r="18" spans="1:10" ht="39.950000000000003" customHeight="1" x14ac:dyDescent="0.2">
      <c r="A18" s="10"/>
      <c r="B18" s="77" t="s">
        <v>180</v>
      </c>
      <c r="C18" s="78"/>
      <c r="D18" s="78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39"/>
      <c r="J18" s="40"/>
    </row>
    <row r="19" spans="1:10" ht="39.950000000000003" customHeight="1" x14ac:dyDescent="0.2">
      <c r="A19" s="10"/>
      <c r="B19" s="77" t="s">
        <v>229</v>
      </c>
      <c r="C19" s="78"/>
      <c r="D19" s="78"/>
      <c r="E19" s="37"/>
      <c r="F19" s="26"/>
      <c r="G19" s="30"/>
      <c r="H19" s="31"/>
      <c r="I19" s="39"/>
      <c r="J19" s="40"/>
    </row>
    <row r="20" spans="1:10" ht="39.950000000000003" customHeight="1" x14ac:dyDescent="0.2">
      <c r="A20" s="10"/>
      <c r="B20" s="79" t="s">
        <v>181</v>
      </c>
      <c r="C20" s="80"/>
      <c r="D20" s="80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39"/>
      <c r="J20" s="40"/>
    </row>
    <row r="21" spans="1:10" ht="39.950000000000003" customHeight="1" x14ac:dyDescent="0.2">
      <c r="A21" s="10"/>
      <c r="B21" s="79" t="s">
        <v>182</v>
      </c>
      <c r="C21" s="80"/>
      <c r="D21" s="80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39"/>
      <c r="J21" s="40"/>
    </row>
    <row r="22" spans="1:10" ht="39.950000000000003" customHeight="1" x14ac:dyDescent="0.2">
      <c r="A22" s="10"/>
      <c r="B22" s="79" t="s">
        <v>183</v>
      </c>
      <c r="C22" s="80"/>
      <c r="D22" s="80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39"/>
      <c r="J22" s="40"/>
    </row>
    <row r="23" spans="1:10" ht="39.950000000000003" customHeight="1" x14ac:dyDescent="0.2">
      <c r="A23" s="10"/>
      <c r="B23" s="79" t="s">
        <v>184</v>
      </c>
      <c r="C23" s="80"/>
      <c r="D23" s="80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39"/>
      <c r="J23" s="40"/>
    </row>
    <row r="24" spans="1:10" ht="39.950000000000003" customHeight="1" x14ac:dyDescent="0.2">
      <c r="A24" s="10"/>
      <c r="B24" s="77" t="s">
        <v>185</v>
      </c>
      <c r="C24" s="78"/>
      <c r="D24" s="78"/>
      <c r="E24" s="9"/>
      <c r="F24" s="26"/>
      <c r="G24" s="30"/>
      <c r="H24" s="31"/>
      <c r="I24" s="39"/>
      <c r="J24" s="40"/>
    </row>
    <row r="25" spans="1:10" ht="39.950000000000003" customHeight="1" x14ac:dyDescent="0.2">
      <c r="A25" s="10"/>
      <c r="B25" s="79" t="s">
        <v>230</v>
      </c>
      <c r="C25" s="80"/>
      <c r="D25" s="80"/>
      <c r="E25" s="37"/>
      <c r="F25" s="26"/>
      <c r="G25" s="30"/>
      <c r="H25" s="31"/>
      <c r="I25" s="39"/>
      <c r="J25" s="40"/>
    </row>
    <row r="26" spans="1:10" ht="39.950000000000003" customHeight="1" x14ac:dyDescent="0.2">
      <c r="A26" s="10"/>
      <c r="B26" s="81" t="s">
        <v>238</v>
      </c>
      <c r="C26" s="82"/>
      <c r="D26" s="82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39"/>
      <c r="J26" s="40"/>
    </row>
    <row r="27" spans="1:10" ht="39.950000000000003" customHeight="1" x14ac:dyDescent="0.2">
      <c r="A27" s="10"/>
      <c r="B27" s="81" t="s">
        <v>186</v>
      </c>
      <c r="C27" s="82"/>
      <c r="D27" s="82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39"/>
      <c r="J27" s="40"/>
    </row>
    <row r="28" spans="1:10" ht="39.950000000000003" customHeight="1" x14ac:dyDescent="0.2">
      <c r="A28" s="10"/>
      <c r="B28" s="81" t="s">
        <v>187</v>
      </c>
      <c r="C28" s="82"/>
      <c r="D28" s="82"/>
      <c r="E28" s="32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39"/>
      <c r="J28" s="40"/>
    </row>
    <row r="29" spans="1:10" ht="39.950000000000003" customHeight="1" x14ac:dyDescent="0.2">
      <c r="A29" s="10"/>
      <c r="B29" s="81" t="s">
        <v>188</v>
      </c>
      <c r="C29" s="82"/>
      <c r="D29" s="82"/>
      <c r="E29" s="32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39"/>
      <c r="J29" s="40"/>
    </row>
    <row r="30" spans="1:10" ht="39.950000000000003" customHeight="1" x14ac:dyDescent="0.2">
      <c r="A30" s="10"/>
      <c r="B30" s="81" t="s">
        <v>189</v>
      </c>
      <c r="C30" s="82"/>
      <c r="D30" s="82"/>
      <c r="E30" s="32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39"/>
      <c r="J30" s="40"/>
    </row>
    <row r="31" spans="1:10" ht="39.950000000000003" customHeight="1" x14ac:dyDescent="0.2">
      <c r="A31" s="10"/>
      <c r="B31" s="81" t="s">
        <v>190</v>
      </c>
      <c r="C31" s="82"/>
      <c r="D31" s="82"/>
      <c r="E31" s="32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39"/>
      <c r="J31" s="40"/>
    </row>
    <row r="32" spans="1:10" ht="39.950000000000003" customHeight="1" x14ac:dyDescent="0.2">
      <c r="A32" s="10"/>
      <c r="B32" s="81" t="s">
        <v>191</v>
      </c>
      <c r="C32" s="82"/>
      <c r="D32" s="82"/>
      <c r="E32" s="32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39"/>
      <c r="J32" s="40"/>
    </row>
    <row r="33" spans="1:10" ht="39.950000000000003" customHeight="1" x14ac:dyDescent="0.2">
      <c r="A33" s="10"/>
      <c r="B33" s="81" t="s">
        <v>192</v>
      </c>
      <c r="C33" s="82"/>
      <c r="D33" s="82"/>
      <c r="E33" s="32">
        <v>5</v>
      </c>
      <c r="F33" s="26">
        <v>3.5</v>
      </c>
      <c r="G33" s="30">
        <f t="shared" si="0"/>
        <v>0.7</v>
      </c>
      <c r="H33" s="31" t="str">
        <f t="shared" si="1"/>
        <v>جيد</v>
      </c>
      <c r="I33" s="39"/>
      <c r="J33" s="40"/>
    </row>
    <row r="34" spans="1:10" ht="54.95" customHeight="1" x14ac:dyDescent="0.2">
      <c r="A34" s="10"/>
      <c r="B34" s="81" t="s">
        <v>193</v>
      </c>
      <c r="C34" s="82"/>
      <c r="D34" s="82"/>
      <c r="E34" s="32">
        <v>5</v>
      </c>
      <c r="F34" s="26">
        <v>3.75</v>
      </c>
      <c r="G34" s="30">
        <f t="shared" si="0"/>
        <v>0.75</v>
      </c>
      <c r="H34" s="31" t="str">
        <f t="shared" si="1"/>
        <v>جيد</v>
      </c>
      <c r="I34" s="39"/>
      <c r="J34" s="40"/>
    </row>
    <row r="35" spans="1:10" ht="39.950000000000003" customHeight="1" x14ac:dyDescent="0.2">
      <c r="A35" s="10"/>
      <c r="B35" s="81" t="s">
        <v>194</v>
      </c>
      <c r="C35" s="82"/>
      <c r="D35" s="82"/>
      <c r="E35" s="32">
        <v>5</v>
      </c>
      <c r="F35" s="26">
        <v>3.75</v>
      </c>
      <c r="G35" s="30">
        <f t="shared" si="0"/>
        <v>0.75</v>
      </c>
      <c r="H35" s="31" t="str">
        <f t="shared" si="1"/>
        <v>جيد</v>
      </c>
      <c r="I35" s="39"/>
      <c r="J35" s="40"/>
    </row>
    <row r="36" spans="1:10" ht="39.950000000000003" customHeight="1" x14ac:dyDescent="0.2">
      <c r="A36" s="10"/>
      <c r="B36" s="79" t="s">
        <v>195</v>
      </c>
      <c r="C36" s="80"/>
      <c r="D36" s="80"/>
      <c r="E36" s="38"/>
      <c r="F36" s="26"/>
      <c r="G36" s="30"/>
      <c r="H36" s="31"/>
      <c r="I36" s="39"/>
      <c r="J36" s="40"/>
    </row>
    <row r="37" spans="1:10" ht="54.95" customHeight="1" x14ac:dyDescent="0.2">
      <c r="A37" s="10"/>
      <c r="B37" s="79" t="s">
        <v>239</v>
      </c>
      <c r="C37" s="80"/>
      <c r="D37" s="80"/>
      <c r="E37" s="32">
        <v>5</v>
      </c>
      <c r="F37" s="26">
        <v>3.75</v>
      </c>
      <c r="G37" s="30">
        <f t="shared" si="0"/>
        <v>0.75</v>
      </c>
      <c r="H37" s="31" t="str">
        <f t="shared" si="1"/>
        <v>جيد</v>
      </c>
      <c r="I37" s="39"/>
      <c r="J37" s="40"/>
    </row>
    <row r="38" spans="1:10" ht="39.950000000000003" customHeight="1" x14ac:dyDescent="0.2">
      <c r="A38" s="10"/>
      <c r="B38" s="79" t="s">
        <v>196</v>
      </c>
      <c r="C38" s="80"/>
      <c r="D38" s="80"/>
      <c r="E38" s="32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39"/>
      <c r="J38" s="40"/>
    </row>
    <row r="39" spans="1:10" ht="39.950000000000003" customHeight="1" x14ac:dyDescent="0.2">
      <c r="A39" s="10"/>
      <c r="B39" s="79" t="s">
        <v>197</v>
      </c>
      <c r="C39" s="80"/>
      <c r="D39" s="80"/>
      <c r="E39" s="32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39"/>
      <c r="J39" s="40"/>
    </row>
    <row r="40" spans="1:10" ht="39.950000000000003" customHeight="1" x14ac:dyDescent="0.2">
      <c r="A40" s="10"/>
      <c r="B40" s="79" t="s">
        <v>198</v>
      </c>
      <c r="C40" s="80"/>
      <c r="D40" s="80"/>
      <c r="E40" s="32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39"/>
      <c r="J40" s="40"/>
    </row>
    <row r="41" spans="1:10" ht="39.950000000000003" customHeight="1" thickBot="1" x14ac:dyDescent="0.25">
      <c r="A41" s="10"/>
      <c r="B41" s="85" t="s">
        <v>231</v>
      </c>
      <c r="C41" s="86"/>
      <c r="D41" s="86"/>
      <c r="E41" s="36">
        <v>5</v>
      </c>
      <c r="F41" s="27">
        <v>3.75</v>
      </c>
      <c r="G41" s="34">
        <f t="shared" si="0"/>
        <v>0.75</v>
      </c>
      <c r="H41" s="35" t="str">
        <f t="shared" si="1"/>
        <v>جيد</v>
      </c>
      <c r="I41" s="41"/>
      <c r="J41" s="42"/>
    </row>
    <row r="42" spans="1:10" ht="39.950000000000003" customHeight="1" x14ac:dyDescent="0.2">
      <c r="A42" s="10"/>
      <c r="B42" s="89" t="s">
        <v>199</v>
      </c>
      <c r="C42" s="90"/>
      <c r="D42" s="90"/>
      <c r="E42" s="90"/>
      <c r="F42" s="90"/>
      <c r="G42" s="90"/>
      <c r="H42" s="90"/>
      <c r="I42" s="90"/>
      <c r="J42" s="91"/>
    </row>
    <row r="43" spans="1:10" ht="39.950000000000003" customHeight="1" x14ac:dyDescent="0.2">
      <c r="A43" s="10"/>
      <c r="B43" s="75" t="s">
        <v>232</v>
      </c>
      <c r="C43" s="76"/>
      <c r="D43" s="76"/>
      <c r="E43" s="9"/>
      <c r="F43" s="26">
        <v>2.75</v>
      </c>
      <c r="G43" s="30" t="str">
        <f t="shared" si="0"/>
        <v/>
      </c>
      <c r="H43" s="31" t="str">
        <f t="shared" si="1"/>
        <v>ممتاز</v>
      </c>
      <c r="I43" s="39"/>
      <c r="J43" s="40"/>
    </row>
    <row r="44" spans="1:10" ht="39.950000000000003" customHeight="1" x14ac:dyDescent="0.2">
      <c r="A44" s="10"/>
      <c r="B44" s="83" t="s">
        <v>200</v>
      </c>
      <c r="C44" s="84"/>
      <c r="D44" s="84"/>
      <c r="E44" s="9">
        <v>5</v>
      </c>
      <c r="F44" s="26">
        <v>3.5</v>
      </c>
      <c r="G44" s="30">
        <f t="shared" si="0"/>
        <v>0.7</v>
      </c>
      <c r="H44" s="31" t="str">
        <f t="shared" si="1"/>
        <v>جيد</v>
      </c>
      <c r="I44" s="39"/>
      <c r="J44" s="40"/>
    </row>
    <row r="45" spans="1:10" ht="39.950000000000003" customHeight="1" x14ac:dyDescent="0.2">
      <c r="A45" s="10"/>
      <c r="B45" s="83" t="s">
        <v>201</v>
      </c>
      <c r="C45" s="84"/>
      <c r="D45" s="84"/>
      <c r="E45" s="37"/>
      <c r="F45" s="26"/>
      <c r="G45" s="30"/>
      <c r="H45" s="31"/>
      <c r="I45" s="39"/>
      <c r="J45" s="40"/>
    </row>
    <row r="46" spans="1:10" ht="39.950000000000003" customHeight="1" x14ac:dyDescent="0.2">
      <c r="A46" s="10"/>
      <c r="B46" s="83" t="s">
        <v>202</v>
      </c>
      <c r="C46" s="84"/>
      <c r="D46" s="84"/>
      <c r="E46" s="9">
        <v>5</v>
      </c>
      <c r="F46" s="26">
        <v>3.5</v>
      </c>
      <c r="G46" s="30">
        <f t="shared" si="0"/>
        <v>0.7</v>
      </c>
      <c r="H46" s="31" t="str">
        <f t="shared" si="1"/>
        <v>جيد</v>
      </c>
      <c r="I46" s="39"/>
      <c r="J46" s="40"/>
    </row>
    <row r="47" spans="1:10" ht="39.950000000000003" customHeight="1" x14ac:dyDescent="0.2">
      <c r="A47" s="10"/>
      <c r="B47" s="83" t="s">
        <v>203</v>
      </c>
      <c r="C47" s="84"/>
      <c r="D47" s="84"/>
      <c r="E47" s="9">
        <v>5</v>
      </c>
      <c r="F47" s="26">
        <v>3.5</v>
      </c>
      <c r="G47" s="30">
        <f t="shared" si="0"/>
        <v>0.7</v>
      </c>
      <c r="H47" s="31" t="str">
        <f t="shared" si="1"/>
        <v>جيد</v>
      </c>
      <c r="I47" s="39"/>
      <c r="J47" s="40"/>
    </row>
    <row r="48" spans="1:10" ht="39.950000000000003" customHeight="1" x14ac:dyDescent="0.2">
      <c r="A48" s="10"/>
      <c r="B48" s="83" t="s">
        <v>233</v>
      </c>
      <c r="C48" s="84"/>
      <c r="D48" s="84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39"/>
      <c r="J48" s="40"/>
    </row>
    <row r="49" spans="1:10" ht="39.950000000000003" customHeight="1" x14ac:dyDescent="0.2">
      <c r="A49" s="10"/>
      <c r="B49" s="83" t="s">
        <v>204</v>
      </c>
      <c r="C49" s="84"/>
      <c r="D49" s="84"/>
      <c r="E49" s="9">
        <v>5</v>
      </c>
      <c r="F49" s="26">
        <v>3.5</v>
      </c>
      <c r="G49" s="30">
        <f t="shared" si="0"/>
        <v>0.7</v>
      </c>
      <c r="H49" s="31" t="str">
        <f t="shared" si="1"/>
        <v>جيد</v>
      </c>
      <c r="I49" s="39"/>
      <c r="J49" s="40"/>
    </row>
    <row r="50" spans="1:10" ht="39.950000000000003" customHeight="1" x14ac:dyDescent="0.2">
      <c r="A50" s="10"/>
      <c r="B50" s="83" t="s">
        <v>205</v>
      </c>
      <c r="C50" s="84"/>
      <c r="D50" s="84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39"/>
      <c r="J50" s="40"/>
    </row>
    <row r="51" spans="1:10" ht="39.950000000000003" customHeight="1" x14ac:dyDescent="0.2">
      <c r="A51" s="10"/>
      <c r="B51" s="83" t="s">
        <v>206</v>
      </c>
      <c r="C51" s="84"/>
      <c r="D51" s="84"/>
      <c r="E51" s="9">
        <v>5</v>
      </c>
      <c r="F51" s="26">
        <v>3.75</v>
      </c>
      <c r="G51" s="30">
        <f t="shared" si="0"/>
        <v>0.75</v>
      </c>
      <c r="H51" s="31" t="str">
        <f t="shared" si="1"/>
        <v>جيد</v>
      </c>
      <c r="I51" s="39"/>
      <c r="J51" s="40"/>
    </row>
    <row r="52" spans="1:10" ht="39.950000000000003" customHeight="1" x14ac:dyDescent="0.2">
      <c r="A52" s="10"/>
      <c r="B52" s="83" t="s">
        <v>207</v>
      </c>
      <c r="C52" s="84"/>
      <c r="D52" s="84"/>
      <c r="E52" s="9">
        <v>5</v>
      </c>
      <c r="F52" s="26">
        <v>3.75</v>
      </c>
      <c r="G52" s="30">
        <f t="shared" si="0"/>
        <v>0.75</v>
      </c>
      <c r="H52" s="31" t="str">
        <f t="shared" si="1"/>
        <v>جيد</v>
      </c>
      <c r="I52" s="39"/>
      <c r="J52" s="40"/>
    </row>
    <row r="53" spans="1:10" ht="39.950000000000003" customHeight="1" x14ac:dyDescent="0.2">
      <c r="A53" s="10"/>
      <c r="B53" s="83" t="s">
        <v>208</v>
      </c>
      <c r="C53" s="84"/>
      <c r="D53" s="84"/>
      <c r="E53" s="9">
        <v>5</v>
      </c>
      <c r="F53" s="26">
        <v>3.5</v>
      </c>
      <c r="G53" s="30">
        <f t="shared" si="0"/>
        <v>0.7</v>
      </c>
      <c r="H53" s="31" t="str">
        <f t="shared" si="1"/>
        <v>جيد</v>
      </c>
      <c r="I53" s="39"/>
      <c r="J53" s="40"/>
    </row>
    <row r="54" spans="1:10" ht="39.950000000000003" customHeight="1" x14ac:dyDescent="0.2">
      <c r="A54" s="10"/>
      <c r="B54" s="83" t="s">
        <v>209</v>
      </c>
      <c r="C54" s="84"/>
      <c r="D54" s="84"/>
      <c r="E54" s="9">
        <v>5</v>
      </c>
      <c r="F54" s="26">
        <v>3.5</v>
      </c>
      <c r="G54" s="30">
        <f t="shared" si="0"/>
        <v>0.7</v>
      </c>
      <c r="H54" s="31" t="str">
        <f t="shared" si="1"/>
        <v>جيد</v>
      </c>
      <c r="I54" s="39"/>
      <c r="J54" s="40"/>
    </row>
    <row r="55" spans="1:10" ht="39.950000000000003" customHeight="1" x14ac:dyDescent="0.2">
      <c r="A55" s="10"/>
      <c r="B55" s="83" t="s">
        <v>210</v>
      </c>
      <c r="C55" s="84"/>
      <c r="D55" s="84"/>
      <c r="E55" s="9">
        <v>5</v>
      </c>
      <c r="F55" s="26">
        <v>3.75</v>
      </c>
      <c r="G55" s="30">
        <f t="shared" si="0"/>
        <v>0.75</v>
      </c>
      <c r="H55" s="31" t="str">
        <f t="shared" si="1"/>
        <v>جيد</v>
      </c>
      <c r="I55" s="39"/>
      <c r="J55" s="40"/>
    </row>
    <row r="56" spans="1:10" ht="39.950000000000003" customHeight="1" x14ac:dyDescent="0.2">
      <c r="A56" s="10"/>
      <c r="B56" s="83" t="s">
        <v>234</v>
      </c>
      <c r="C56" s="84"/>
      <c r="D56" s="84"/>
      <c r="E56" s="9">
        <v>5</v>
      </c>
      <c r="F56" s="26">
        <v>3.75</v>
      </c>
      <c r="G56" s="30">
        <f t="shared" si="0"/>
        <v>0.75</v>
      </c>
      <c r="H56" s="31" t="str">
        <f t="shared" si="1"/>
        <v>جيد</v>
      </c>
      <c r="I56" s="39"/>
      <c r="J56" s="40"/>
    </row>
    <row r="57" spans="1:10" ht="39.950000000000003" customHeight="1" x14ac:dyDescent="0.2">
      <c r="A57" s="10"/>
      <c r="B57" s="83" t="s">
        <v>235</v>
      </c>
      <c r="C57" s="84"/>
      <c r="D57" s="84"/>
      <c r="E57" s="9">
        <v>5</v>
      </c>
      <c r="F57" s="26">
        <v>3.75</v>
      </c>
      <c r="G57" s="30">
        <f t="shared" si="0"/>
        <v>0.75</v>
      </c>
      <c r="H57" s="31" t="str">
        <f t="shared" si="1"/>
        <v>جيد</v>
      </c>
      <c r="I57" s="39"/>
      <c r="J57" s="40"/>
    </row>
    <row r="58" spans="1:10" ht="39.950000000000003" customHeight="1" thickBot="1" x14ac:dyDescent="0.25">
      <c r="A58" s="10"/>
      <c r="B58" s="87" t="s">
        <v>236</v>
      </c>
      <c r="C58" s="88"/>
      <c r="D58" s="88"/>
      <c r="E58" s="33">
        <v>5</v>
      </c>
      <c r="F58" s="27">
        <v>3.5</v>
      </c>
      <c r="G58" s="34">
        <f t="shared" si="0"/>
        <v>0.7</v>
      </c>
      <c r="H58" s="35" t="str">
        <f t="shared" si="1"/>
        <v>جيد</v>
      </c>
      <c r="I58" s="41"/>
      <c r="J58" s="42"/>
    </row>
    <row r="59" spans="1:10" ht="39.950000000000003" customHeight="1" x14ac:dyDescent="0.2">
      <c r="A59" s="10"/>
      <c r="B59" s="89" t="s">
        <v>211</v>
      </c>
      <c r="C59" s="90"/>
      <c r="D59" s="90"/>
      <c r="E59" s="90"/>
      <c r="F59" s="90"/>
      <c r="G59" s="90"/>
      <c r="H59" s="90"/>
      <c r="I59" s="90"/>
      <c r="J59" s="91"/>
    </row>
    <row r="60" spans="1:10" ht="39.950000000000003" customHeight="1" x14ac:dyDescent="0.2">
      <c r="A60" s="10"/>
      <c r="B60" s="75" t="s">
        <v>237</v>
      </c>
      <c r="C60" s="76"/>
      <c r="D60" s="76"/>
      <c r="E60" s="9"/>
      <c r="F60" s="26"/>
      <c r="G60" s="30"/>
      <c r="H60" s="31"/>
      <c r="I60" s="39"/>
      <c r="J60" s="40"/>
    </row>
    <row r="61" spans="1:10" ht="39.950000000000003" customHeight="1" x14ac:dyDescent="0.2">
      <c r="A61" s="10"/>
      <c r="B61" s="83" t="s">
        <v>212</v>
      </c>
      <c r="C61" s="84"/>
      <c r="D61" s="84"/>
      <c r="E61" s="9">
        <v>5</v>
      </c>
      <c r="F61" s="26">
        <v>3.5</v>
      </c>
      <c r="G61" s="30">
        <f t="shared" si="0"/>
        <v>0.7</v>
      </c>
      <c r="H61" s="31" t="str">
        <f t="shared" si="1"/>
        <v>جيد</v>
      </c>
      <c r="I61" s="39"/>
      <c r="J61" s="40"/>
    </row>
    <row r="62" spans="1:10" ht="39.950000000000003" customHeight="1" x14ac:dyDescent="0.2">
      <c r="A62" s="10"/>
      <c r="B62" s="83" t="s">
        <v>213</v>
      </c>
      <c r="C62" s="84"/>
      <c r="D62" s="84"/>
      <c r="E62" s="9">
        <v>5</v>
      </c>
      <c r="F62" s="26">
        <v>3.5</v>
      </c>
      <c r="G62" s="30">
        <f t="shared" si="0"/>
        <v>0.7</v>
      </c>
      <c r="H62" s="31" t="str">
        <f t="shared" si="1"/>
        <v>جيد</v>
      </c>
      <c r="I62" s="39"/>
      <c r="J62" s="40"/>
    </row>
    <row r="63" spans="1:10" ht="39.950000000000003" customHeight="1" x14ac:dyDescent="0.2">
      <c r="A63" s="10"/>
      <c r="B63" s="83" t="s">
        <v>214</v>
      </c>
      <c r="C63" s="84"/>
      <c r="D63" s="84"/>
      <c r="E63" s="9">
        <v>5</v>
      </c>
      <c r="F63" s="26">
        <v>3.75</v>
      </c>
      <c r="G63" s="30">
        <f t="shared" si="0"/>
        <v>0.75</v>
      </c>
      <c r="H63" s="31" t="str">
        <f t="shared" si="1"/>
        <v>جيد</v>
      </c>
      <c r="I63" s="39"/>
      <c r="J63" s="40"/>
    </row>
    <row r="64" spans="1:10" ht="39.950000000000003" customHeight="1" x14ac:dyDescent="0.2">
      <c r="A64" s="10"/>
      <c r="B64" s="83" t="s">
        <v>215</v>
      </c>
      <c r="C64" s="84"/>
      <c r="D64" s="84"/>
      <c r="E64" s="9">
        <v>5</v>
      </c>
      <c r="F64" s="26">
        <v>3.75</v>
      </c>
      <c r="G64" s="30">
        <f t="shared" si="0"/>
        <v>0.75</v>
      </c>
      <c r="H64" s="31" t="str">
        <f t="shared" si="1"/>
        <v>جيد</v>
      </c>
      <c r="I64" s="39"/>
      <c r="J64" s="40"/>
    </row>
    <row r="65" spans="1:10" ht="39.950000000000003" customHeight="1" x14ac:dyDescent="0.2">
      <c r="A65" s="10"/>
      <c r="B65" s="83" t="s">
        <v>216</v>
      </c>
      <c r="C65" s="84"/>
      <c r="D65" s="84"/>
      <c r="E65" s="9">
        <v>5</v>
      </c>
      <c r="F65" s="26">
        <v>3.5</v>
      </c>
      <c r="G65" s="30">
        <f t="shared" si="0"/>
        <v>0.7</v>
      </c>
      <c r="H65" s="31" t="str">
        <f t="shared" si="1"/>
        <v>جيد</v>
      </c>
      <c r="I65" s="39"/>
      <c r="J65" s="40"/>
    </row>
    <row r="66" spans="1:10" ht="39.950000000000003" customHeight="1" x14ac:dyDescent="0.2">
      <c r="A66" s="10"/>
      <c r="B66" s="83" t="s">
        <v>217</v>
      </c>
      <c r="C66" s="84"/>
      <c r="D66" s="84"/>
      <c r="E66" s="9">
        <v>5</v>
      </c>
      <c r="F66" s="26">
        <v>3.5</v>
      </c>
      <c r="G66" s="30">
        <f t="shared" si="0"/>
        <v>0.7</v>
      </c>
      <c r="H66" s="31" t="str">
        <f t="shared" si="1"/>
        <v>جيد</v>
      </c>
      <c r="I66" s="39"/>
      <c r="J66" s="40"/>
    </row>
    <row r="67" spans="1:10" ht="39.950000000000003" customHeight="1" x14ac:dyDescent="0.2">
      <c r="A67" s="10"/>
      <c r="B67" s="83" t="s">
        <v>218</v>
      </c>
      <c r="C67" s="84"/>
      <c r="D67" s="84"/>
      <c r="E67" s="9">
        <v>5</v>
      </c>
      <c r="F67" s="26">
        <v>3.5</v>
      </c>
      <c r="G67" s="30">
        <f t="shared" si="0"/>
        <v>0.7</v>
      </c>
      <c r="H67" s="31" t="str">
        <f t="shared" si="1"/>
        <v>جيد</v>
      </c>
      <c r="I67" s="39"/>
      <c r="J67" s="40"/>
    </row>
    <row r="68" spans="1:10" ht="39.950000000000003" customHeight="1" x14ac:dyDescent="0.2">
      <c r="A68" s="10"/>
      <c r="B68" s="83" t="s">
        <v>219</v>
      </c>
      <c r="C68" s="84"/>
      <c r="D68" s="84"/>
      <c r="E68" s="9">
        <v>5</v>
      </c>
      <c r="F68" s="26">
        <v>3.75</v>
      </c>
      <c r="G68" s="30">
        <f t="shared" si="0"/>
        <v>0.75</v>
      </c>
      <c r="H68" s="31" t="str">
        <f t="shared" si="1"/>
        <v>جيد</v>
      </c>
      <c r="I68" s="39"/>
      <c r="J68" s="40"/>
    </row>
    <row r="69" spans="1:10" ht="39.950000000000003" customHeight="1" x14ac:dyDescent="0.2">
      <c r="A69" s="10"/>
      <c r="B69" s="83" t="s">
        <v>220</v>
      </c>
      <c r="C69" s="84"/>
      <c r="D69" s="84"/>
      <c r="E69" s="9">
        <v>5</v>
      </c>
      <c r="F69" s="26">
        <v>3.5</v>
      </c>
      <c r="G69" s="30">
        <f t="shared" si="0"/>
        <v>0.7</v>
      </c>
      <c r="H69" s="31" t="str">
        <f t="shared" si="1"/>
        <v>جيد</v>
      </c>
      <c r="I69" s="39"/>
      <c r="J69" s="40"/>
    </row>
    <row r="70" spans="1:10" ht="39.950000000000003" customHeight="1" x14ac:dyDescent="0.2">
      <c r="A70" s="10"/>
      <c r="B70" s="83" t="s">
        <v>221</v>
      </c>
      <c r="C70" s="84"/>
      <c r="D70" s="84"/>
      <c r="E70" s="9">
        <v>5</v>
      </c>
      <c r="F70" s="26">
        <v>3.5</v>
      </c>
      <c r="G70" s="30">
        <f t="shared" si="0"/>
        <v>0.7</v>
      </c>
      <c r="H70" s="31" t="str">
        <f t="shared" si="1"/>
        <v>جيد</v>
      </c>
      <c r="I70" s="39"/>
      <c r="J70" s="40"/>
    </row>
    <row r="71" spans="1:10" ht="39.950000000000003" customHeight="1" thickBot="1" x14ac:dyDescent="0.25">
      <c r="A71" s="10"/>
      <c r="B71" s="87" t="s">
        <v>222</v>
      </c>
      <c r="C71" s="88"/>
      <c r="D71" s="88"/>
      <c r="E71" s="33">
        <v>5</v>
      </c>
      <c r="F71" s="27">
        <v>3.75</v>
      </c>
      <c r="G71" s="34">
        <f t="shared" si="0"/>
        <v>0.75</v>
      </c>
      <c r="H71" s="35" t="str">
        <f t="shared" si="1"/>
        <v>جيد</v>
      </c>
      <c r="I71" s="41"/>
      <c r="J71" s="42"/>
    </row>
    <row r="72" spans="1:10" ht="30" customHeight="1" thickBot="1" x14ac:dyDescent="0.25">
      <c r="A72" s="4"/>
      <c r="B72" s="71" t="s">
        <v>5</v>
      </c>
      <c r="C72" s="72"/>
      <c r="D72" s="72"/>
      <c r="E72" s="29">
        <f>SUM(E8:E71)</f>
        <v>260</v>
      </c>
      <c r="F72" s="29">
        <f>SUM(F8:F71)</f>
        <v>192</v>
      </c>
      <c r="G72" s="45"/>
      <c r="H72" s="46"/>
      <c r="I72" s="46"/>
      <c r="J72" s="47"/>
    </row>
    <row r="73" spans="1:10" ht="30" customHeight="1" thickBot="1" x14ac:dyDescent="0.25">
      <c r="A73" s="4"/>
      <c r="B73" s="73" t="s">
        <v>54</v>
      </c>
      <c r="C73" s="74"/>
      <c r="D73" s="74"/>
      <c r="E73" s="55">
        <f>F72/E72/100*100</f>
        <v>0.7384615384615385</v>
      </c>
      <c r="F73" s="55"/>
      <c r="G73" s="55"/>
      <c r="H73" s="55"/>
      <c r="I73" s="55"/>
      <c r="J73" s="56"/>
    </row>
    <row r="74" spans="1:10" ht="30" customHeight="1" thickBot="1" x14ac:dyDescent="0.25">
      <c r="A74" s="4"/>
      <c r="B74" s="73" t="s">
        <v>55</v>
      </c>
      <c r="C74" s="74"/>
      <c r="D74" s="74"/>
      <c r="E74" s="69" t="str">
        <f>_xlfn.IFS(E73&gt;=90%,"ممتاز",E73&gt;=80%,"جيد جداً",E73&gt;=70%,"جيد",E73&gt;=60%,"مقبول",E73&lt;60%,"راسب")</f>
        <v>جيد</v>
      </c>
      <c r="F74" s="69"/>
      <c r="G74" s="69"/>
      <c r="H74" s="69"/>
      <c r="I74" s="69"/>
      <c r="J74" s="70"/>
    </row>
    <row r="75" spans="1:10" ht="42" customHeight="1" x14ac:dyDescent="0.2">
      <c r="B75" s="65" t="s">
        <v>175</v>
      </c>
      <c r="C75" s="65"/>
      <c r="D75" s="65"/>
      <c r="E75" s="43" t="s">
        <v>52</v>
      </c>
      <c r="F75" s="43"/>
      <c r="G75" s="67" t="s">
        <v>104</v>
      </c>
      <c r="H75" s="67"/>
      <c r="I75" s="67"/>
      <c r="J75" s="67"/>
    </row>
    <row r="76" spans="1:10" ht="51" customHeight="1" x14ac:dyDescent="0.2">
      <c r="A76" s="5"/>
      <c r="B76" s="66"/>
      <c r="C76" s="66"/>
      <c r="D76" s="66"/>
      <c r="E76" s="44" t="s">
        <v>53</v>
      </c>
      <c r="F76" s="44"/>
      <c r="G76" s="68"/>
      <c r="H76" s="68"/>
      <c r="I76" s="68"/>
      <c r="J76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6">
    <mergeCell ref="B71:D71"/>
    <mergeCell ref="B59:J59"/>
    <mergeCell ref="B42:J42"/>
    <mergeCell ref="B8:J8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60:D60"/>
    <mergeCell ref="B61:D61"/>
    <mergeCell ref="B44:D44"/>
    <mergeCell ref="B45:D45"/>
    <mergeCell ref="B46:D46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3:D43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72:D72"/>
    <mergeCell ref="B73:D73"/>
    <mergeCell ref="B74:D74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60:J60"/>
    <mergeCell ref="I61:J61"/>
    <mergeCell ref="I26:J26"/>
    <mergeCell ref="I27:J27"/>
    <mergeCell ref="I64:J64"/>
    <mergeCell ref="I65:J65"/>
    <mergeCell ref="I66:J66"/>
    <mergeCell ref="B32:D32"/>
    <mergeCell ref="B33:D33"/>
    <mergeCell ref="B34:D34"/>
    <mergeCell ref="B47:D47"/>
    <mergeCell ref="B75:D76"/>
    <mergeCell ref="G75:J75"/>
    <mergeCell ref="G76:J76"/>
    <mergeCell ref="E74:J74"/>
    <mergeCell ref="I40:J40"/>
    <mergeCell ref="I41:J41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63:J63"/>
    <mergeCell ref="B1:J1"/>
    <mergeCell ref="F2:J2"/>
    <mergeCell ref="B5:D6"/>
    <mergeCell ref="C2:D2"/>
    <mergeCell ref="C3:D3"/>
    <mergeCell ref="F3:J3"/>
    <mergeCell ref="E73:J7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67:J67"/>
    <mergeCell ref="I68:J68"/>
    <mergeCell ref="I69:J69"/>
    <mergeCell ref="I70:J70"/>
    <mergeCell ref="I71:J71"/>
    <mergeCell ref="E75:F75"/>
    <mergeCell ref="E76:F76"/>
    <mergeCell ref="G72:J72"/>
    <mergeCell ref="I9:J9"/>
    <mergeCell ref="I33:J33"/>
    <mergeCell ref="I34:J34"/>
    <mergeCell ref="I35:J35"/>
    <mergeCell ref="I36:J3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4">
    <cfRule type="expression" dxfId="21" priority="57">
      <formula>$E74="راسب"</formula>
    </cfRule>
  </conditionalFormatting>
  <conditionalFormatting sqref="E74:J74">
    <cfRule type="expression" dxfId="20" priority="60">
      <formula>$E74="جيد جداً"</formula>
    </cfRule>
    <cfRule type="expression" dxfId="19" priority="59">
      <formula>$E74="جيد"</formula>
    </cfRule>
    <cfRule type="expression" dxfId="18" priority="58">
      <formula>$E74="مقبول"</formula>
    </cfRule>
    <cfRule type="expression" dxfId="17" priority="61">
      <formula>$E74="ممتاز"</formula>
    </cfRule>
  </conditionalFormatting>
  <conditionalFormatting sqref="F9:F41">
    <cfRule type="containsText" dxfId="16" priority="4" operator="containsText" text="أدخل العلامة">
      <formula>NOT(ISERROR(SEARCH("أدخل العلامة",F9)))</formula>
    </cfRule>
  </conditionalFormatting>
  <conditionalFormatting sqref="F43:F58 F60:F71">
    <cfRule type="containsText" dxfId="15" priority="14" operator="containsText" text="أدخل العلامة">
      <formula>NOT(ISERROR(SEARCH("أدخل العلامة",F43)))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75:J75">
    <cfRule type="containsText" dxfId="12" priority="15" operator="containsText" text="أدخل اسم المحكم">
      <formula>NOT(ISERROR(SEARCH("أدخل اسم المحكم",G75)))</formula>
    </cfRule>
  </conditionalFormatting>
  <conditionalFormatting sqref="H9:H41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43:H58 H60:H71">
    <cfRule type="containsText" dxfId="5" priority="38" operator="containsText" text="أدخل العلامة">
      <formula>NOT(ISERROR(SEARCH("أدخل العلامة",H43)))</formula>
    </cfRule>
    <cfRule type="containsText" dxfId="4" priority="39" operator="containsText" text="ممتاز">
      <formula>NOT(ISERROR(SEARCH("ممتاز",H43)))</formula>
    </cfRule>
    <cfRule type="containsText" dxfId="3" priority="40" operator="containsText" text="جيد جداً">
      <formula>NOT(ISERROR(SEARCH("جيد جداً",H43)))</formula>
    </cfRule>
    <cfRule type="containsText" dxfId="2" priority="41" operator="containsText" text="جيد">
      <formula>NOT(ISERROR(SEARCH("جيد",H43)))</formula>
    </cfRule>
    <cfRule type="containsText" dxfId="1" priority="42" operator="containsText" text="مقبول">
      <formula>NOT(ISERROR(SEARCH("مقبول",H43)))</formula>
    </cfRule>
    <cfRule type="containsText" dxfId="0" priority="43" operator="containsText" text="راسب">
      <formula>NOT(ISERROR(SEARCH("راسب",H43)))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F61:F71 F46:F58 F43:F44 F37:F41 F26:F35 F20:F23 F13:F18 F11 F9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G75:J75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2025-10-22T04:56:50Z</dcterms:modified>
</cp:coreProperties>
</file>