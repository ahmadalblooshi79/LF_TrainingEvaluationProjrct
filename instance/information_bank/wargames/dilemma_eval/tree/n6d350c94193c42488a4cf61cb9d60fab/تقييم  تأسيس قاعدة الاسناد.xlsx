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72EA499-6A14-4D38-AA7F-66F0639685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H11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3" i="2"/>
  <c r="H33" i="2"/>
  <c r="G34" i="2"/>
  <c r="H34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F49" i="2"/>
  <c r="E49" i="2"/>
  <c r="E50" i="2"/>
  <c r="E51" i="2"/>
</calcChain>
</file>

<file path=xl/sharedStrings.xml><?xml version="1.0" encoding="utf-8"?>
<sst xmlns="http://schemas.openxmlformats.org/spreadsheetml/2006/main" count="274" uniqueCount="218">
  <si>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</si>
  <si>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</si>
  <si>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</si>
  <si>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</si>
  <si>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</si>
  <si>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</si>
  <si>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</si>
  <si>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</si>
  <si>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</si>
  <si>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</si>
  <si>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</si>
  <si>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</si>
  <si>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</si>
  <si>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</si>
  <si>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</si>
  <si>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</si>
  <si>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</si>
  <si>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</si>
  <si>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</si>
  <si>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</si>
  <si>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</si>
  <si>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</si>
  <si>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</si>
  <si>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</si>
  <si>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</si>
  <si>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</si>
  <si>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</si>
  <si>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</si>
  <si>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</si>
  <si>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</si>
  <si>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</si>
  <si>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</si>
  <si>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</si>
  <si>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</si>
  <si>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</si>
  <si>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</si>
  <si>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</si>
  <si>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</si>
  <si>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</si>
  <si>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</si>
  <si>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</si>
  <si>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</si>
  <si>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</si>
  <si>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</si>
  <si>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</si>
  <si>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</si>
  <si>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</si>
  <si>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</si>
  <si>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</si>
  <si>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</si>
  <si>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</si>
  <si>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</si>
  <si>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</si>
  <si>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</si>
  <si>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</si>
  <si>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</si>
  <si>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</si>
  <si>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</si>
  <si>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</si>
  <si>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</si>
  <si>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</si>
  <si>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</si>
  <si>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</si>
  <si>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</si>
  <si>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</si>
  <si>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</si>
  <si>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</si>
  <si>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</si>
  <si>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</si>
  <si>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</si>
  <si>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</si>
  <si>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</si>
  <si>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</si>
  <si>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</si>
  <si>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</si>
  <si>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</si>
  <si>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</si>
  <si>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</si>
  <si>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</si>
  <si>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</si>
  <si>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</si>
  <si>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</si>
  <si>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</si>
  <si>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</si>
  <si>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</si>
  <si>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</si>
  <si>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</si>
  <si>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</si>
  <si>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</si>
  <si>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</si>
  <si>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</si>
  <si>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</si>
  <si>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</si>
  <si>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</si>
  <si>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</si>
  <si>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</si>
  <si>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</si>
  <si>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</si>
  <si>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</si>
  <si>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</si>
  <si>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</si>
  <si>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</si>
  <si>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</si>
  <si>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</si>
  <si>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</si>
  <si>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</si>
  <si>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</si>
  <si>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</si>
  <si>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</si>
  <si>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</si>
  <si>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</si>
  <si>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</si>
  <si>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</si>
  <si>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</si>
  <si>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</si>
  <si>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</si>
  <si>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</si>
  <si>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</si>
  <si>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</si>
  <si>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</si>
  <si>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</si>
  <si>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</si>
  <si>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</si>
  <si>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</si>
  <si>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</si>
  <si>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</si>
  <si>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</si>
  <si>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</si>
  <si>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</si>
  <si>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</si>
  <si>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</si>
  <si>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</si>
  <si>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</si>
  <si>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</si>
  <si>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</si>
  <si>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</si>
  <si>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</si>
  <si>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</si>
  <si>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</si>
  <si>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</si>
  <si>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</si>
  <si>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</si>
  <si>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</si>
  <si>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</si>
  <si>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</si>
  <si>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</si>
  <si>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</si>
  <si>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</si>
  <si>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</si>
  <si>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</si>
  <si>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</si>
  <si>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</si>
  <si>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</si>
  <si>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</si>
  <si>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</si>
  <si>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</si>
  <si>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</si>
  <si>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</si>
  <si>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</si>
  <si>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</si>
  <si>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</si>
  <si>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</si>
  <si>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</si>
  <si>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</si>
  <si>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</si>
  <si>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</si>
  <si>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</si>
  <si>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</si>
  <si>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</si>
  <si>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</si>
  <si>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</si>
  <si>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</si>
  <si>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</si>
  <si>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</si>
  <si>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</si>
  <si>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</si>
  <si>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</si>
  <si>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التخطيط لواجب تأسيس قاعدة إسناد بالنيران بنفس الأسلوب وبنفس الإجراءات للهجوم المدبر.</t>
  </si>
  <si>
    <t>(3)   ممرات الحركة من منطقة التجمع وحتى الأهداف.</t>
  </si>
  <si>
    <t>(4)   تأشير خط البدء وخط الانفتاح المحتمل.</t>
  </si>
  <si>
    <t>(5)   تحديد المكان الأولي لتأسيس قاعدة الإسناد بالنيران (حسب أمر عمليات الكتيبة/ مجموعة القتال)</t>
  </si>
  <si>
    <t>(6)   تأشير الأماكن المحتملة لكمائن العدو على طول طرق الحركة.</t>
  </si>
  <si>
    <t>جـ.   الحصول على المعلومات الاستخبارية من المستوى الأعلى.</t>
  </si>
  <si>
    <t>إجراءات التحضير.</t>
  </si>
  <si>
    <t>ملاحظة:    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</si>
  <si>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t>أ.    أسلوب الحركة والتشكيلة حتى منطقة التشكيل.</t>
  </si>
  <si>
    <t>ب.  الحركة من منطقة التشكيل وحتى موقع تأسيس قاعدة الإسناد بالنيران.</t>
  </si>
  <si>
    <t>جـ.  العمل عند التماس مع العدو أثناء الحركة.</t>
  </si>
  <si>
    <t>د.   أسلوب تأسيس قاعدة الإسناد (موقع الفصائل والأسلحة الملحقة وأقواس المسؤولية) .</t>
  </si>
  <si>
    <t>هـ.   إجراءات السيطرة لتقديم نيران الإسناد وتحويل أو رفع النيران.</t>
  </si>
  <si>
    <t>و.   العمل عند التعرض لهجوم من قبل قوات العدو.</t>
  </si>
  <si>
    <t>إجراءات التنفيذ.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</si>
  <si>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السرية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</si>
  <si>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</si>
  <si>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</si>
  <si>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</si>
  <si>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</si>
  <si>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</si>
  <si>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</si>
  <si>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</si>
  <si>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</si>
  <si>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على تأسيس قاعدة الاسناد بالنيران مع التركيز على ما يلي:  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</si>
  <si>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</si>
  <si>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</si>
  <si>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مناسبين.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</si>
  <si>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</si>
  <si>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</si>
  <si>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على مسافة (6 – 8) كم من الحد الأمامي لمنطقة معركة العدو، تبدأ السرية بالتحول من تشكيل المسير إلى تشكيل ما قبل المعركة (خط الفتح التعبوي) (التحول من تشكيل ارتال كتائب الى ارتال سرايا).</t>
    </r>
  </si>
  <si>
    <r>
      <t>5.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قبل الوصول إلى منطقة التشكيل تنفصل السرية وتتحرك باتجاه موقع قاعدة الإسناد بالنيران، ويراعى الاستفادة من طبيعة الأرض واستخدام الدخان لحجب حركة السرية وحسب الضرورة.</t>
    </r>
  </si>
  <si>
    <r>
      <t>6.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تحتل الفصائل مواقعها حسب أوامر قائد السرية (يتم الدخول للموقع من الخلف ومراعاة عدم ظهور الآليات على الأفق). </t>
    </r>
  </si>
  <si>
    <r>
      <t>7.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التأكد من احتلال الفصائل لمواقعها بشكل صحيح وتخصيص أقواس المسؤولية وتأكيد إجراءات السيطرة على النيران.</t>
    </r>
  </si>
  <si>
    <r>
      <t>8.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الحصول على تقرير من قادة الفصائل باحتلال المواقع المخصصة لهم ضمن قاعدة الإسناد وجاهزيتهم لتقديم النيران بالأمر.</t>
    </r>
  </si>
  <si>
    <r>
      <t>9.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بالأمر، تبدأ السرية بتقديم نيران الإسناد المباشرة لباقي وحدات السرية وتعمل على إسكات قوات العدو.</t>
    </r>
  </si>
  <si>
    <r>
      <t>10.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مراقبة حركة القوات الصديقة من خط البدء وتحويل أو قطع النيران في الوقت المناسب لمنع الإصابة بالنيران الصديقة.</t>
    </r>
  </si>
  <si>
    <r>
      <t>11.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الاستمرار بتقديم الإسناد حتى تنهي القوات المقتحمة احتلال الأهداف. </t>
    </r>
  </si>
  <si>
    <r>
      <t>12.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الاستعداد للالتحاق بالكتيبة/ مجموعة القتال حسب الأوامر.</t>
    </r>
  </si>
  <si>
    <r>
      <t>13.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التثبت وإعادة التنظيم والاستعداد للعمليات المستقبلية.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</si>
  <si>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تنفيذ الهجوم السريع (تأسيس قاعدة الاسناد)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</si>
</sst>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6" fillId="0" borderId="4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641265</xdr:colOff>
      <xdr:row>52</xdr:row>
      <xdr:rowOff>169067</xdr:rowOff>
    </xdr:from>
    <xdr:to>
      <xdr:col>7</xdr:col>
      <xdr:colOff>615695</xdr:colOff>
      <xdr:row>52</xdr:row>
      <xdr:rowOff>437987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98406B0-5DB2-9D5F-1828-5DAF33E4BEE1}"/>
                </a:ext>
              </a:extLst>
            </xdr14:cNvPr>
            <xdr14:cNvContentPartPr/>
          </xdr14:nvContentPartPr>
          <xdr14:nvPr macro=""/>
          <xdr14:xfrm>
            <a:off x="10399287305" y="26844840"/>
            <a:ext cx="632520" cy="268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8406B0-5DB2-9D5F-1828-5DAF33E4BE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81185" y="26838720"/>
              <a:ext cx="64476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570695</xdr:colOff>
      <xdr:row>52</xdr:row>
      <xdr:rowOff>93467</xdr:rowOff>
    </xdr:from>
    <xdr:to>
      <xdr:col>9</xdr:col>
      <xdr:colOff>435314</xdr:colOff>
      <xdr:row>52</xdr:row>
      <xdr:rowOff>378227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B0100A8-C894-1F02-C888-01F38D0570B7}"/>
                </a:ext>
              </a:extLst>
            </xdr14:cNvPr>
            <xdr14:cNvContentPartPr/>
          </xdr14:nvContentPartPr>
          <xdr14:nvPr macro=""/>
          <xdr14:xfrm>
            <a:off x="10398151505" y="26769240"/>
            <a:ext cx="1180800" cy="284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B0100A8-C894-1F02-C888-01F38D0570B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45385" y="26763120"/>
              <a:ext cx="1193040" cy="297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09:42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1191 736 7009,'0'0'0,"7"0"2256,-5 0-759,1 0 63,-3 0-1560,0 0 1600,2 0-199,-2 0-57,0 0-216,0 0-1128,0 0 929,0 0-121,0 1-24,0-1-72,0 0-712,0 1 664,0-1-80,0 2-240,0-1 272,0-1-616,0 2 393,0-2 47,2 1-120,0-1-88,-2 0-232,0 0 264,0 1 16,0-1 128,0 0-240,0 0-168,0 2 328,0-2-808,0 0 848,0 0-168,0 0-200,0 0 56,-4 0 928,4 0-752,0 0 224,0 0-456,0 0 152,0 0 113,0-3-265,0 0 160,0 3-160,0-4 408,0 0-456,0-1 168,0-6-256,0 11 136,-2-3-8,2-8 80,-5 7-40,0-9 112,5 13-144,-2-5 0,-1-7-88,-4 7 88,5-7-40,2 12 40,0-5 72,0-10-16,-7 3 96,3 8-88,4 4-64,-10-17 152,10 13-48,-2-12-136,-3 5 232,5 11-200,-5-4 80,3-14 160,-2 6-24,-8-1-128,12 13-88,0-14 144,-5-1-128,3 0 168,-3-2 16,5 17-200,-14-19 168,12 1 72,-10-2-136,9 3-40,3 17-64,-2-20 32,-3 3-64,1 0-48,4 1 64,0 16 16,-4-14-56,1 3 88,-2 6 200,5-9-232,0 14 0,0-3 48,-2-1 16,-3-7 40,3 11-176,2 0 72,0-5 120,0 1-120,0 0-16,0 0 128,0 4-112,0-3-80,0 0 48,0 0-264,0 3 328,0 0-32,0-3 192,0 0-224,0 3 96,0-3-224,0 3 160,0 0-144,0-2 48,0 2-40,5 0 200,-5 0-64,2 0-208,3-3 208,8 3 16,-6 0 32,-7 0-48,17-3 0,-3 3 48,5-3-80,-1 0-32,-18 3 64,15-3-16,5 1-16,-3-1 80,9-2-112,-26 5 64,27-4 112,-4 0 0,1 0-24,-3-8 24,-21 12-112,21-3-80,-2-1 48,4-9 32,-5 11-8,-18 2 8,22-5-96,-4-9 80,5 11-184,-3-8 152,-20 11 48,15-4 168,5-12-216,-7 5 16,1 6-24,-14 5 56,19-12-32,-5 9 0,0-9 200,0 9-168,-14 3 0,13-4-168,2 0 184,1-7-16,-11 11 0,-5 0 0,12-5 48,-10 1-24,3 0-8,0 1-104,-5 3 88,11-3-112,-9 0 8,0 0-104,1 3 88,-3 0 120,0-2 64,0 2-176,0 0-72,0 0 168,0 0 16,0 0-168,0 0 48,-3 0 120,3 0-104,0 0 104,-2 1-128,-3 0 96,3 1-40,-1-1-32,3-1 104,-11 3-48,7 1-136,-11 1 160,13-1-8,2-4 32,-19 4 0,6 8 16,-1-8-96,-5 9 48,19-13 32,-16 11-40,0 2 160,-4 0-152,-3-1 0,23-12 32,-21 13-88,-2 0 40,2 0 96,0 1-136,21-14 88,-21 13-16,-2 1-72,0 0 40,1 2 64,22-16-16,-23 15 32,5 0-80,-4-1 64,4-1-32,18-13 16,-22 11-72,9 2-24,-6 0 8,3-1-72,16-12 160,-12 12-16,-4-1-32,1 1 80,2-1 56,13-11-88,-14 11 32,0-5-48,0 8 80,-1-8-80,15-6 16,-8 11-32,0-6 32,-4-1-88,8 1 88,4-5 0,-4 5 72,-8-1-40,9 0-16,-2-1 0,5-3-16,-11 3-96,9-2 96,0 1 32,-10-1 72,12-1-104,-3 2 72,-2-2 48,-8 0-24,8 0-24,5 0-72,-14-3 16,9 0 16,-11 0-8,14-1 8,2 4-32,-16-4 136,11-8-152,-14 9 168,14-9-48,5 12-104,-11-5 136,-1-9-24,-2 3-144,2-1 104,12 12-72,-12-12 16,-3-1 112,0-1-72,-1 1 8,16 13-64,-21-14-16,2 1 88,-1-1 40,1-2-64,19 16-48,-21-14 120,4-1-104,1 1 72,-1-1 56,17 15-144,-13-16 88,-1 2-8,0 0-112,0-1 112,14 15-80,-14-12-48,12-3 168,-13 0-8,3-1 0,12 16-112,-3-16 104,-9 2-72,9 3 176,-2 7-288,5 4 80,-4-5 136,-1-6-120,1 11 16,-1-3 48,5 3-80,0-3 0,0 3 0,-5 0-64,5 0 144,0 0-80,0 0-48,0 0 64,0 0-144,0 0 56,0 0 304,0 0-496,0 0 200,3 0 112,-1 0-224,-2 0 176,2 3-48,5 1 80,2 9-32,-4-2 64,-5-11-64,12 13 48,-6 3-144,6 0 96,0 1 80,-12-17-80,5 17-16,6-2 112,-6 0-192,10-1 96,-15-14 0,4 14-32,10 0-56,-2 2 144,-6-1-256,-6-15 200,14 16-32,-9 0 64,9-2-32,-10-1-136,-4-13 136,15 14-64,-10-3 64,0 2 0,6-2-184,-11-11 184,4 6 24,8 10-24,-5-11-72,2 8 456,-9-13-384,3 3 0,4 1-104,-2 1 104,-1-1-16,-4-4 16,5 3-48,-3 1 32,-2-1-16,0-2-32,0-1 64,0 2-40,0-1 8,0 1-64,0-1-72,0-1 168,0 0-32,0 1 0,0-1 96,0 0-96,0 0 32,-4 2-48,-11-1-24,11 2-96,-8 1 216,12-4-48,-14 5-144,0 0 240,-2 1-112,1-2 16,15-4 0,-15 5 104,-2-1-8,3-1 24,-5-1-88,19-2-32,-16 3 104,-3 0-72,3-1-104,-2-1 312,18-1-240,-19 1 48,0 2-152,3 0 88,-5 0 320,21-3-304,-17 3-152,1 1 136,-1 0 112,4-2-440,13-2 344,-5 3-56,-9-2 56,14-1-32,-3 0-184,3 0 216,-3 0 72,-2 0 40,5 0-24,0-3-56,0 3-32,2-4 96,1 0-144,0-9-104,9 10 352,-12 3-200,3-11-64,9 6-40,-7-6 144,6 7-144,-11 4 104,5-5 0,7-7 48,-12 9 24,2-1-8,-2 4-64,0-5 120,0 1-120,2 1-8,-2 0-104,0 3 112,0 0-64,0-3-40,0 3-16,-2-2 176,2 2-56,-12 0 0,7-3 48,-13 0 32,6 0-112,12 3 32,-12 0-16,-4-3 32,-1 3-64,1 0-16,16 0 64,-20-3-32,0 3 112,2 0 40,-3-2-160,21 2 40,-19 0 72,1-3-128,1 3 8,-1-3 112,18 3-64,-12-3-48,0-1 80,-2 0-32,2-1 16,12 5-16,-11-4-16,9 0-32,-12-1 120,11 1-112,3 4 40,-2-4 72,-3 0-72,0-1 32,5 3 0,0 2-32,0-3-16,-4 0 16,4 3-64,0-3 64,0 3 0,0-3-40,-2 0 8,0 3-120,2-2-248,0 2 400,-3-3-776,1 0-513,-3 0-519,-7 0-520,12 3 2328,-11-3-2817,6 0-760,-14 3-2000,3 0-2497,16 0 8074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09:43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2053 593 18675,'0'0'0,"0"5"513,0-1-369,2 0 8,-2-4-152,5 6 224,0-3-24,0-2-16,10 2 64,-15-3-248,5 1 248,14 2 96,0 0 80,-1 0 80,-18-3-504,24 4 536,1 0 40,6 1 41,-1-1-65,-30-4-552,36 4 560,2 1 0,-1-3-88,3 1-80,-40-3-392,39 2 488,-1-1-80,-1-1-16,-2 0-96,-35 0-296,37 0 176,3-3-72,-5-1 17,2-10 7,-37 14-128,37-3 104,3-11 80,-3 1-152,1 0 96,-38 13-128,38-16 64,-3-1 128,1-1-8,-6 1-80,-30 17-104,30-17 200,-4-2-200,-3 1 224,-2-1-8,-21 19-216,19-17 104,-4 0 32,0 0-304,-1 1 248,-14 16-80,2-18-80,2-1 344,1 2 88,-5-1-192,0 18-160,3-16 304,-3 0-160,0-1 16,-3 2-152,3 15-8,-13-17 192,8 0-160,-17-2-16,9 2-80,13 17 64,-17-18-144,1 0-40,-2-1 184,-6-1 128,24 20-128,-28-19-128,0 2 80,0 1-184,-7 4-32,35 12 264,-32-13 0,-7 9-136,-4-11 40,6 13 32,37 2 64,-44-5-88,-3 1 104,1 1 24,-5 3-224,51 0 184,-54 0-288,-2 3-32,-2 3 200,0 5 256,58-11-136,-61 4 256,1 11 128,4-10-232,-7 11 176,63-16-328,-61 11-16,3 2 16,-2 1-128,-1-1 24,61-13 104,-58 14 104,0-1-88,0 0-56,-5 3 160,63-16-120,-63 15-64,2 4 224,1 1 120,-3 1-472,63-21 192,-61 23 208,0 1-120,-7 3 72,-2 1 56,70-28-216,-74 30-64,1-3-168,-1 0 120,6 2 240,68-29-128,-37 13-360,-9 4 208,1 0-32,-6 3-176,51-20 360,-52 20 280,-4 4-328,1-1-104,-8 1 32,63-24 120,-63 25-368,5-1-152,0 2-272,-1-2-449,59-24 1241,-60 23-1536,-5 3-1473,31-14-3680,-9 3-4057,43-15 10746,0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3"/>
  <sheetViews>
    <sheetView rightToLeft="1" tabSelected="1" view="pageBreakPreview" topLeftCell="C1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1" t="s">
        <v>217</v>
      </c>
      <c r="C1" s="41"/>
      <c r="D1" s="41"/>
      <c r="E1" s="41"/>
      <c r="F1" s="41"/>
      <c r="G1" s="41"/>
      <c r="H1" s="41"/>
      <c r="I1" s="41"/>
      <c r="J1" s="41"/>
    </row>
    <row r="2" spans="1:10" ht="30" customHeight="1" x14ac:dyDescent="0.3">
      <c r="B2" s="12" t="s">
        <v>8</v>
      </c>
      <c r="C2" s="47" t="s">
        <v>46</v>
      </c>
      <c r="D2" s="47"/>
      <c r="E2" s="12" t="s">
        <v>7</v>
      </c>
      <c r="F2" s="42">
        <v>45955</v>
      </c>
      <c r="G2" s="42"/>
      <c r="H2" s="42"/>
      <c r="I2" s="42"/>
      <c r="J2" s="42"/>
    </row>
    <row r="3" spans="1:10" ht="30" customHeight="1" x14ac:dyDescent="0.3">
      <c r="B3" s="12" t="s">
        <v>9</v>
      </c>
      <c r="C3" s="47" t="s">
        <v>87</v>
      </c>
      <c r="D3" s="47"/>
      <c r="E3" s="12" t="s">
        <v>6</v>
      </c>
      <c r="F3" s="47" t="s">
        <v>104</v>
      </c>
      <c r="G3" s="47"/>
      <c r="H3" s="47"/>
      <c r="I3" s="47"/>
      <c r="J3" s="4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3" t="s">
        <v>0</v>
      </c>
      <c r="C5" s="44"/>
      <c r="D5" s="44"/>
      <c r="E5" s="54" t="s">
        <v>1</v>
      </c>
      <c r="F5" s="54"/>
      <c r="G5" s="54"/>
      <c r="H5" s="54"/>
      <c r="I5" s="54" t="s">
        <v>2</v>
      </c>
      <c r="J5" s="55"/>
    </row>
    <row r="6" spans="1:10" ht="24.9" customHeight="1" thickBot="1" x14ac:dyDescent="0.35">
      <c r="A6" s="10"/>
      <c r="B6" s="45"/>
      <c r="C6" s="46"/>
      <c r="D6" s="46"/>
      <c r="E6" s="11" t="s">
        <v>3</v>
      </c>
      <c r="F6" s="11" t="s">
        <v>4</v>
      </c>
      <c r="G6" s="11" t="s">
        <v>23</v>
      </c>
      <c r="H6" s="11" t="s">
        <v>24</v>
      </c>
      <c r="I6" s="56"/>
      <c r="J6" s="57"/>
    </row>
    <row r="7" spans="1:10" ht="24.9" customHeight="1" thickBot="1" x14ac:dyDescent="0.35">
      <c r="A7" s="10"/>
      <c r="B7" s="50" t="s">
        <v>21</v>
      </c>
      <c r="C7" s="51"/>
      <c r="D7" s="51"/>
      <c r="E7" s="28" t="s">
        <v>18</v>
      </c>
      <c r="F7" s="28" t="s">
        <v>19</v>
      </c>
      <c r="G7" s="28" t="s">
        <v>22</v>
      </c>
      <c r="H7" s="28" t="s">
        <v>20</v>
      </c>
      <c r="I7" s="58" t="s">
        <v>25</v>
      </c>
      <c r="J7" s="59"/>
    </row>
    <row r="8" spans="1:10" ht="39.9" customHeight="1" x14ac:dyDescent="0.3">
      <c r="A8" s="10"/>
      <c r="B8" s="83" t="s">
        <v>176</v>
      </c>
      <c r="C8" s="84"/>
      <c r="D8" s="84"/>
      <c r="E8" s="38"/>
      <c r="F8" s="32"/>
      <c r="G8" s="33"/>
      <c r="H8" s="34"/>
      <c r="I8" s="62"/>
      <c r="J8" s="63"/>
    </row>
    <row r="9" spans="1:10" ht="39.9" customHeight="1" x14ac:dyDescent="0.3">
      <c r="A9" s="10"/>
      <c r="B9" s="75" t="s">
        <v>177</v>
      </c>
      <c r="C9" s="76"/>
      <c r="D9" s="76"/>
      <c r="E9" s="9"/>
      <c r="F9" s="26"/>
      <c r="G9" s="30"/>
      <c r="H9" s="31"/>
      <c r="I9" s="52"/>
      <c r="J9" s="53"/>
    </row>
    <row r="10" spans="1:10" ht="39.9" customHeight="1" x14ac:dyDescent="0.3">
      <c r="A10" s="10"/>
      <c r="B10" s="85" t="s">
        <v>192</v>
      </c>
      <c r="C10" s="86"/>
      <c r="D10" s="86"/>
      <c r="E10" s="39"/>
      <c r="F10" s="26"/>
      <c r="G10" s="30"/>
      <c r="H10" s="31"/>
      <c r="I10" s="52"/>
      <c r="J10" s="53"/>
    </row>
    <row r="11" spans="1:10" ht="58.5" customHeight="1" x14ac:dyDescent="0.3">
      <c r="A11" s="10"/>
      <c r="B11" s="87" t="s">
        <v>193</v>
      </c>
      <c r="C11" s="88"/>
      <c r="D11" s="88"/>
      <c r="E11" s="9">
        <v>5</v>
      </c>
      <c r="F11" s="26">
        <v>3.75</v>
      </c>
      <c r="G11" s="30">
        <f t="shared" ref="G11:G48" si="0">IFERROR(F11/E11,"")</f>
        <v>0.75</v>
      </c>
      <c r="H11" s="31" t="str">
        <f t="shared" ref="H11:H48" si="1">_xlfn.IFS(F11="أدخل العلامة","",F11="لا ينطبق","تم الإلغاء",G11&gt;=90%,"ممتاز",G11&gt;=80%,"جيد جداً",G11&gt;=70%,"جيد",G11&gt;=60%,"مقبول",G11&lt;60%,"راسب")</f>
        <v>جيد</v>
      </c>
      <c r="I11" s="52"/>
      <c r="J11" s="53"/>
    </row>
    <row r="12" spans="1:10" ht="39.9" customHeight="1" x14ac:dyDescent="0.3">
      <c r="A12" s="10"/>
      <c r="B12" s="87" t="s">
        <v>194</v>
      </c>
      <c r="C12" s="88"/>
      <c r="D12" s="88"/>
      <c r="E12" s="39"/>
      <c r="F12" s="26"/>
      <c r="G12" s="30"/>
      <c r="H12" s="31"/>
      <c r="I12" s="52"/>
      <c r="J12" s="53"/>
    </row>
    <row r="13" spans="1:10" ht="39.9" customHeight="1" x14ac:dyDescent="0.3">
      <c r="A13" s="10"/>
      <c r="B13" s="89" t="s">
        <v>195</v>
      </c>
      <c r="C13" s="90"/>
      <c r="D13" s="90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52"/>
      <c r="J13" s="53"/>
    </row>
    <row r="14" spans="1:10" ht="39.9" customHeight="1" x14ac:dyDescent="0.3">
      <c r="A14" s="10"/>
      <c r="B14" s="89" t="s">
        <v>196</v>
      </c>
      <c r="C14" s="90"/>
      <c r="D14" s="90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52"/>
      <c r="J14" s="53"/>
    </row>
    <row r="15" spans="1:10" ht="39.9" customHeight="1" x14ac:dyDescent="0.3">
      <c r="A15" s="10"/>
      <c r="B15" s="89" t="s">
        <v>178</v>
      </c>
      <c r="C15" s="90"/>
      <c r="D15" s="90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52"/>
      <c r="J15" s="53"/>
    </row>
    <row r="16" spans="1:10" ht="39.9" customHeight="1" x14ac:dyDescent="0.3">
      <c r="A16" s="10"/>
      <c r="B16" s="89" t="s">
        <v>179</v>
      </c>
      <c r="C16" s="90"/>
      <c r="D16" s="90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52"/>
      <c r="J16" s="53"/>
    </row>
    <row r="17" spans="1:10" ht="39.9" customHeight="1" x14ac:dyDescent="0.3">
      <c r="A17" s="10"/>
      <c r="B17" s="89" t="s">
        <v>180</v>
      </c>
      <c r="C17" s="90"/>
      <c r="D17" s="90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52"/>
      <c r="J17" s="53"/>
    </row>
    <row r="18" spans="1:10" ht="39.9" customHeight="1" x14ac:dyDescent="0.3">
      <c r="A18" s="10"/>
      <c r="B18" s="89" t="s">
        <v>181</v>
      </c>
      <c r="C18" s="90"/>
      <c r="D18" s="90"/>
      <c r="E18" s="9"/>
      <c r="F18" s="26"/>
      <c r="G18" s="30"/>
      <c r="H18" s="31"/>
      <c r="I18" s="52"/>
      <c r="J18" s="53"/>
    </row>
    <row r="19" spans="1:10" ht="39.9" customHeight="1" x14ac:dyDescent="0.3">
      <c r="A19" s="10"/>
      <c r="B19" s="87" t="s">
        <v>182</v>
      </c>
      <c r="C19" s="88"/>
      <c r="D19" s="88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52"/>
      <c r="J19" s="53"/>
    </row>
    <row r="20" spans="1:10" ht="60" customHeight="1" thickBot="1" x14ac:dyDescent="0.35">
      <c r="A20" s="10"/>
      <c r="B20" s="91" t="s">
        <v>197</v>
      </c>
      <c r="C20" s="92"/>
      <c r="D20" s="92"/>
      <c r="E20" s="40">
        <v>5</v>
      </c>
      <c r="F20" s="27">
        <v>3.75</v>
      </c>
      <c r="G20" s="36">
        <f t="shared" si="0"/>
        <v>0.75</v>
      </c>
      <c r="H20" s="37" t="str">
        <f t="shared" si="1"/>
        <v>جيد</v>
      </c>
      <c r="I20" s="60"/>
      <c r="J20" s="61"/>
    </row>
    <row r="21" spans="1:10" ht="39.9" customHeight="1" x14ac:dyDescent="0.3">
      <c r="A21" s="10"/>
      <c r="B21" s="83" t="s">
        <v>183</v>
      </c>
      <c r="C21" s="84"/>
      <c r="D21" s="84"/>
      <c r="E21" s="38"/>
      <c r="F21" s="32"/>
      <c r="G21" s="33"/>
      <c r="H21" s="34"/>
      <c r="I21" s="62"/>
      <c r="J21" s="63"/>
    </row>
    <row r="22" spans="1:10" ht="60" customHeight="1" x14ac:dyDescent="0.3">
      <c r="A22" s="10"/>
      <c r="B22" s="75" t="s">
        <v>184</v>
      </c>
      <c r="C22" s="76"/>
      <c r="D22" s="76"/>
      <c r="E22" s="9"/>
      <c r="F22" s="26"/>
      <c r="G22" s="30"/>
      <c r="H22" s="31"/>
      <c r="I22" s="52"/>
      <c r="J22" s="53"/>
    </row>
    <row r="23" spans="1:10" ht="39.9" customHeight="1" x14ac:dyDescent="0.3">
      <c r="A23" s="10"/>
      <c r="B23" s="75" t="s">
        <v>198</v>
      </c>
      <c r="C23" s="76"/>
      <c r="D23" s="76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52"/>
      <c r="J23" s="53"/>
    </row>
    <row r="24" spans="1:10" ht="39.9" customHeight="1" x14ac:dyDescent="0.3">
      <c r="A24" s="10"/>
      <c r="B24" s="75" t="s">
        <v>199</v>
      </c>
      <c r="C24" s="76"/>
      <c r="D24" s="76"/>
      <c r="E24" s="9">
        <v>5</v>
      </c>
      <c r="F24" s="26">
        <v>3.5</v>
      </c>
      <c r="G24" s="30">
        <f t="shared" si="0"/>
        <v>0.7</v>
      </c>
      <c r="H24" s="31" t="str">
        <f t="shared" si="1"/>
        <v>جيد</v>
      </c>
      <c r="I24" s="52"/>
      <c r="J24" s="53"/>
    </row>
    <row r="25" spans="1:10" ht="39.9" customHeight="1" x14ac:dyDescent="0.3">
      <c r="A25" s="10"/>
      <c r="B25" s="75" t="s">
        <v>200</v>
      </c>
      <c r="C25" s="76"/>
      <c r="D25" s="76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52"/>
      <c r="J25" s="53"/>
    </row>
    <row r="26" spans="1:10" ht="39.9" customHeight="1" x14ac:dyDescent="0.3">
      <c r="A26" s="10"/>
      <c r="B26" s="85" t="s">
        <v>201</v>
      </c>
      <c r="C26" s="86"/>
      <c r="D26" s="86"/>
      <c r="E26" s="39"/>
      <c r="F26" s="26"/>
      <c r="G26" s="30"/>
      <c r="H26" s="31"/>
      <c r="I26" s="52"/>
      <c r="J26" s="53"/>
    </row>
    <row r="27" spans="1:10" ht="39.9" customHeight="1" x14ac:dyDescent="0.3">
      <c r="A27" s="10"/>
      <c r="B27" s="87" t="s">
        <v>185</v>
      </c>
      <c r="C27" s="88"/>
      <c r="D27" s="88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52"/>
      <c r="J27" s="53"/>
    </row>
    <row r="28" spans="1:10" ht="39.9" customHeight="1" x14ac:dyDescent="0.3">
      <c r="A28" s="10"/>
      <c r="B28" s="87" t="s">
        <v>186</v>
      </c>
      <c r="C28" s="88"/>
      <c r="D28" s="88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52"/>
      <c r="J28" s="53"/>
    </row>
    <row r="29" spans="1:10" ht="39.9" customHeight="1" x14ac:dyDescent="0.3">
      <c r="A29" s="10"/>
      <c r="B29" s="87" t="s">
        <v>187</v>
      </c>
      <c r="C29" s="88"/>
      <c r="D29" s="88"/>
      <c r="E29" s="9">
        <v>5</v>
      </c>
      <c r="F29" s="26">
        <v>3.5</v>
      </c>
      <c r="G29" s="30">
        <f t="shared" si="0"/>
        <v>0.7</v>
      </c>
      <c r="H29" s="31" t="str">
        <f t="shared" si="1"/>
        <v>جيد</v>
      </c>
      <c r="I29" s="52"/>
      <c r="J29" s="53"/>
    </row>
    <row r="30" spans="1:10" ht="39.9" customHeight="1" x14ac:dyDescent="0.3">
      <c r="A30" s="10"/>
      <c r="B30" s="87" t="s">
        <v>188</v>
      </c>
      <c r="C30" s="88"/>
      <c r="D30" s="88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52"/>
      <c r="J30" s="53"/>
    </row>
    <row r="31" spans="1:10" ht="39.9" customHeight="1" x14ac:dyDescent="0.3">
      <c r="A31" s="10"/>
      <c r="B31" s="87" t="s">
        <v>189</v>
      </c>
      <c r="C31" s="88"/>
      <c r="D31" s="88"/>
      <c r="E31" s="9"/>
      <c r="F31" s="26"/>
      <c r="G31" s="30"/>
      <c r="H31" s="31"/>
      <c r="I31" s="52"/>
      <c r="J31" s="53"/>
    </row>
    <row r="32" spans="1:10" ht="39.9" customHeight="1" x14ac:dyDescent="0.3">
      <c r="A32" s="10"/>
      <c r="B32" s="87" t="s">
        <v>190</v>
      </c>
      <c r="C32" s="88"/>
      <c r="D32" s="88"/>
      <c r="E32" s="9"/>
      <c r="F32" s="26"/>
      <c r="G32" s="30"/>
      <c r="H32" s="31"/>
      <c r="I32" s="52"/>
      <c r="J32" s="53"/>
    </row>
    <row r="33" spans="1:10" ht="39.9" customHeight="1" x14ac:dyDescent="0.3">
      <c r="A33" s="10"/>
      <c r="B33" s="85" t="s">
        <v>202</v>
      </c>
      <c r="C33" s="86"/>
      <c r="D33" s="86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52"/>
      <c r="J33" s="53"/>
    </row>
    <row r="34" spans="1:10" ht="39.9" customHeight="1" thickBot="1" x14ac:dyDescent="0.35">
      <c r="A34" s="10"/>
      <c r="B34" s="91" t="s">
        <v>203</v>
      </c>
      <c r="C34" s="92"/>
      <c r="D34" s="92"/>
      <c r="E34" s="35">
        <v>5</v>
      </c>
      <c r="F34" s="27">
        <v>3.5</v>
      </c>
      <c r="G34" s="36">
        <f t="shared" si="0"/>
        <v>0.7</v>
      </c>
      <c r="H34" s="37" t="str">
        <f t="shared" si="1"/>
        <v>جيد</v>
      </c>
      <c r="I34" s="60"/>
      <c r="J34" s="61"/>
    </row>
    <row r="35" spans="1:10" ht="39.9" customHeight="1" x14ac:dyDescent="0.3">
      <c r="A35" s="10"/>
      <c r="B35" s="83" t="s">
        <v>191</v>
      </c>
      <c r="C35" s="84"/>
      <c r="D35" s="84"/>
      <c r="E35" s="38"/>
      <c r="F35" s="32"/>
      <c r="G35" s="33"/>
      <c r="H35" s="34"/>
      <c r="I35" s="62"/>
      <c r="J35" s="63"/>
    </row>
    <row r="36" spans="1:10" ht="39.9" customHeight="1" x14ac:dyDescent="0.3">
      <c r="A36" s="10"/>
      <c r="B36" s="75" t="s">
        <v>204</v>
      </c>
      <c r="C36" s="76"/>
      <c r="D36" s="76"/>
      <c r="E36" s="9">
        <v>5</v>
      </c>
      <c r="F36" s="26">
        <v>3.5</v>
      </c>
      <c r="G36" s="30">
        <f t="shared" si="0"/>
        <v>0.7</v>
      </c>
      <c r="H36" s="31" t="str">
        <f t="shared" si="1"/>
        <v>جيد</v>
      </c>
      <c r="I36" s="52"/>
      <c r="J36" s="53"/>
    </row>
    <row r="37" spans="1:10" ht="60" customHeight="1" x14ac:dyDescent="0.3">
      <c r="A37" s="10"/>
      <c r="B37" s="75" t="s">
        <v>205</v>
      </c>
      <c r="C37" s="76"/>
      <c r="D37" s="76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52"/>
      <c r="J37" s="53"/>
    </row>
    <row r="38" spans="1:10" ht="39.9" customHeight="1" x14ac:dyDescent="0.3">
      <c r="A38" s="10"/>
      <c r="B38" s="75" t="s">
        <v>206</v>
      </c>
      <c r="C38" s="76"/>
      <c r="D38" s="76"/>
      <c r="E38" s="9">
        <v>5</v>
      </c>
      <c r="F38" s="26">
        <v>3.5</v>
      </c>
      <c r="G38" s="30">
        <f t="shared" si="0"/>
        <v>0.7</v>
      </c>
      <c r="H38" s="31" t="str">
        <f t="shared" si="1"/>
        <v>جيد</v>
      </c>
      <c r="I38" s="52"/>
      <c r="J38" s="53"/>
    </row>
    <row r="39" spans="1:10" ht="60" customHeight="1" x14ac:dyDescent="0.3">
      <c r="A39" s="10"/>
      <c r="B39" s="75" t="s">
        <v>207</v>
      </c>
      <c r="C39" s="76"/>
      <c r="D39" s="76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52"/>
      <c r="J39" s="53"/>
    </row>
    <row r="40" spans="1:10" ht="60" customHeight="1" x14ac:dyDescent="0.3">
      <c r="A40" s="10"/>
      <c r="B40" s="75" t="s">
        <v>208</v>
      </c>
      <c r="C40" s="76"/>
      <c r="D40" s="76"/>
      <c r="E40" s="9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52"/>
      <c r="J40" s="53"/>
    </row>
    <row r="41" spans="1:10" ht="39.9" customHeight="1" x14ac:dyDescent="0.3">
      <c r="A41" s="10"/>
      <c r="B41" s="75" t="s">
        <v>209</v>
      </c>
      <c r="C41" s="76"/>
      <c r="D41" s="76"/>
      <c r="E41" s="9">
        <v>5</v>
      </c>
      <c r="F41" s="26">
        <v>3.5</v>
      </c>
      <c r="G41" s="30">
        <f t="shared" si="0"/>
        <v>0.7</v>
      </c>
      <c r="H41" s="31" t="str">
        <f t="shared" si="1"/>
        <v>جيد</v>
      </c>
      <c r="I41" s="52"/>
      <c r="J41" s="53"/>
    </row>
    <row r="42" spans="1:10" ht="39.9" customHeight="1" x14ac:dyDescent="0.3">
      <c r="A42" s="10"/>
      <c r="B42" s="75" t="s">
        <v>210</v>
      </c>
      <c r="C42" s="76"/>
      <c r="D42" s="76"/>
      <c r="E42" s="9">
        <v>5</v>
      </c>
      <c r="F42" s="26">
        <v>3.5</v>
      </c>
      <c r="G42" s="30">
        <f t="shared" si="0"/>
        <v>0.7</v>
      </c>
      <c r="H42" s="31" t="str">
        <f t="shared" si="1"/>
        <v>جيد</v>
      </c>
      <c r="I42" s="52"/>
      <c r="J42" s="53"/>
    </row>
    <row r="43" spans="1:10" ht="39.9" customHeight="1" x14ac:dyDescent="0.3">
      <c r="A43" s="10"/>
      <c r="B43" s="75" t="s">
        <v>211</v>
      </c>
      <c r="C43" s="76"/>
      <c r="D43" s="76"/>
      <c r="E43" s="9">
        <v>5</v>
      </c>
      <c r="F43" s="26">
        <v>3.75</v>
      </c>
      <c r="G43" s="30">
        <f t="shared" si="0"/>
        <v>0.75</v>
      </c>
      <c r="H43" s="31" t="str">
        <f t="shared" si="1"/>
        <v>جيد</v>
      </c>
      <c r="I43" s="52"/>
      <c r="J43" s="53"/>
    </row>
    <row r="44" spans="1:10" ht="39.9" customHeight="1" x14ac:dyDescent="0.3">
      <c r="A44" s="10"/>
      <c r="B44" s="75" t="s">
        <v>212</v>
      </c>
      <c r="C44" s="76"/>
      <c r="D44" s="76"/>
      <c r="E44" s="9">
        <v>5</v>
      </c>
      <c r="F44" s="26">
        <v>3.5</v>
      </c>
      <c r="G44" s="30">
        <f t="shared" si="0"/>
        <v>0.7</v>
      </c>
      <c r="H44" s="31" t="str">
        <f t="shared" si="1"/>
        <v>جيد</v>
      </c>
      <c r="I44" s="52"/>
      <c r="J44" s="53"/>
    </row>
    <row r="45" spans="1:10" ht="39.9" customHeight="1" x14ac:dyDescent="0.3">
      <c r="A45" s="10"/>
      <c r="B45" s="75" t="s">
        <v>213</v>
      </c>
      <c r="C45" s="76"/>
      <c r="D45" s="76"/>
      <c r="E45" s="9">
        <v>5</v>
      </c>
      <c r="F45" s="26">
        <v>3.75</v>
      </c>
      <c r="G45" s="30">
        <f t="shared" si="0"/>
        <v>0.75</v>
      </c>
      <c r="H45" s="31" t="str">
        <f t="shared" si="1"/>
        <v>جيد</v>
      </c>
      <c r="I45" s="52"/>
      <c r="J45" s="53"/>
    </row>
    <row r="46" spans="1:10" ht="39.9" customHeight="1" x14ac:dyDescent="0.3">
      <c r="A46" s="10"/>
      <c r="B46" s="75" t="s">
        <v>214</v>
      </c>
      <c r="C46" s="76"/>
      <c r="D46" s="76"/>
      <c r="E46" s="9">
        <v>5</v>
      </c>
      <c r="F46" s="26">
        <v>3.75</v>
      </c>
      <c r="G46" s="30">
        <f t="shared" si="0"/>
        <v>0.75</v>
      </c>
      <c r="H46" s="31" t="str">
        <f t="shared" si="1"/>
        <v>جيد</v>
      </c>
      <c r="I46" s="52"/>
      <c r="J46" s="53"/>
    </row>
    <row r="47" spans="1:10" ht="39.9" customHeight="1" x14ac:dyDescent="0.3">
      <c r="A47" s="10"/>
      <c r="B47" s="75" t="s">
        <v>215</v>
      </c>
      <c r="C47" s="76"/>
      <c r="D47" s="76"/>
      <c r="E47" s="9">
        <v>5</v>
      </c>
      <c r="F47" s="26">
        <v>3.75</v>
      </c>
      <c r="G47" s="30">
        <f t="shared" si="0"/>
        <v>0.75</v>
      </c>
      <c r="H47" s="31" t="str">
        <f t="shared" si="1"/>
        <v>جيد</v>
      </c>
      <c r="I47" s="52"/>
      <c r="J47" s="53"/>
    </row>
    <row r="48" spans="1:10" ht="39.9" customHeight="1" thickBot="1" x14ac:dyDescent="0.35">
      <c r="A48" s="10"/>
      <c r="B48" s="77" t="s">
        <v>216</v>
      </c>
      <c r="C48" s="78"/>
      <c r="D48" s="78"/>
      <c r="E48" s="35">
        <v>5</v>
      </c>
      <c r="F48" s="27">
        <v>3.75</v>
      </c>
      <c r="G48" s="36">
        <f t="shared" si="0"/>
        <v>0.75</v>
      </c>
      <c r="H48" s="37" t="str">
        <f t="shared" si="1"/>
        <v>جيد</v>
      </c>
      <c r="I48" s="60"/>
      <c r="J48" s="61"/>
    </row>
    <row r="49" spans="1:10" ht="30" customHeight="1" thickBot="1" x14ac:dyDescent="0.35">
      <c r="A49" s="4"/>
      <c r="B49" s="79" t="s">
        <v>5</v>
      </c>
      <c r="C49" s="80"/>
      <c r="D49" s="80"/>
      <c r="E49" s="29">
        <f>SUM(E8:E48)</f>
        <v>150</v>
      </c>
      <c r="F49" s="29">
        <f>SUM(F8:F48)</f>
        <v>108.75</v>
      </c>
      <c r="G49" s="72"/>
      <c r="H49" s="73"/>
      <c r="I49" s="73"/>
      <c r="J49" s="74"/>
    </row>
    <row r="50" spans="1:10" ht="30" customHeight="1" thickBot="1" x14ac:dyDescent="0.35">
      <c r="A50" s="4"/>
      <c r="B50" s="81" t="s">
        <v>54</v>
      </c>
      <c r="C50" s="82"/>
      <c r="D50" s="82"/>
      <c r="E50" s="48">
        <f>F49/E49/100*100</f>
        <v>0.72499999999999998</v>
      </c>
      <c r="F50" s="48"/>
      <c r="G50" s="48"/>
      <c r="H50" s="48"/>
      <c r="I50" s="48"/>
      <c r="J50" s="49"/>
    </row>
    <row r="51" spans="1:10" ht="30" customHeight="1" thickBot="1" x14ac:dyDescent="0.35">
      <c r="A51" s="4"/>
      <c r="B51" s="81" t="s">
        <v>55</v>
      </c>
      <c r="C51" s="82"/>
      <c r="D51" s="82"/>
      <c r="E51" s="68" t="str">
        <f>_xlfn.IFS(E50&gt;=90%,"ممتاز",E50&gt;=80%,"جيد جداً",E50&gt;=70%,"جيد",E50&gt;=60%,"مقبول",E50&lt;60%,"راسب")</f>
        <v>جيد</v>
      </c>
      <c r="F51" s="68"/>
      <c r="G51" s="68"/>
      <c r="H51" s="68"/>
      <c r="I51" s="68"/>
      <c r="J51" s="69"/>
    </row>
    <row r="52" spans="1:10" ht="42" customHeight="1" x14ac:dyDescent="0.3">
      <c r="B52" s="64" t="s">
        <v>175</v>
      </c>
      <c r="C52" s="64"/>
      <c r="D52" s="64"/>
      <c r="E52" s="70" t="s">
        <v>52</v>
      </c>
      <c r="F52" s="70"/>
      <c r="G52" s="66" t="s">
        <v>104</v>
      </c>
      <c r="H52" s="66"/>
      <c r="I52" s="66"/>
      <c r="J52" s="66"/>
    </row>
    <row r="53" spans="1:10" ht="51" customHeight="1" x14ac:dyDescent="0.3">
      <c r="A53" s="5"/>
      <c r="B53" s="65"/>
      <c r="C53" s="65"/>
      <c r="D53" s="65"/>
      <c r="E53" s="71" t="s">
        <v>53</v>
      </c>
      <c r="F53" s="71"/>
      <c r="G53" s="67"/>
      <c r="H53" s="67"/>
      <c r="I53" s="67"/>
      <c r="J53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3"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49:D49"/>
    <mergeCell ref="B50:D50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2:D53"/>
    <mergeCell ref="G52:J52"/>
    <mergeCell ref="G53:J53"/>
    <mergeCell ref="E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E52:F52"/>
    <mergeCell ref="E53:F53"/>
    <mergeCell ref="G49:J49"/>
    <mergeCell ref="B46:D46"/>
    <mergeCell ref="B47:D47"/>
    <mergeCell ref="B48:D48"/>
    <mergeCell ref="B1:J1"/>
    <mergeCell ref="F2:J2"/>
    <mergeCell ref="B5:D6"/>
    <mergeCell ref="C2:D2"/>
    <mergeCell ref="C3:D3"/>
    <mergeCell ref="F3:J3"/>
    <mergeCell ref="E50:J5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1">
    <cfRule type="expression" dxfId="14" priority="57">
      <formula>$E51="راسب"</formula>
    </cfRule>
  </conditionalFormatting>
  <conditionalFormatting sqref="E51:J51">
    <cfRule type="expression" dxfId="13" priority="58">
      <formula>$E51="مقبول"</formula>
    </cfRule>
    <cfRule type="expression" dxfId="12" priority="59">
      <formula>$E51="جيد"</formula>
    </cfRule>
    <cfRule type="expression" dxfId="11" priority="60">
      <formula>$E51="جيد جداً"</formula>
    </cfRule>
    <cfRule type="expression" dxfId="10" priority="61">
      <formula>$E51="ممتاز"</formula>
    </cfRule>
  </conditionalFormatting>
  <conditionalFormatting sqref="F8:F4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6" priority="15" operator="containsText" text="أدخل اسم المحكم">
      <formula>NOT(ISERROR(SEARCH("أدخل اسم المحكم",G52)))</formula>
    </cfRule>
  </conditionalFormatting>
  <conditionalFormatting sqref="H8:H4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F36:F48 F33:F34 F27:F30 F23:F25 F19:F20 F13:F17 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G52:J52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2025-10-27T16:34:13Z</dcterms:modified>
</cp:coreProperties>
</file>