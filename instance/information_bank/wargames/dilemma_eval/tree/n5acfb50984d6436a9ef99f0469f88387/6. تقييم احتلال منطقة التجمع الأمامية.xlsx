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7CE93D0-3611-A74C-9D5B-E6BFBF001B4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<sst xmlns="http://schemas.openxmlformats.org/spreadsheetml/2006/main" count="284" uniqueCount="227">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</sst>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79411</xdr:colOff>
      <xdr:row>57</xdr:row>
      <xdr:rowOff>114487</xdr:rowOff>
    </xdr:from>
    <xdr:to>
      <xdr:col>8</xdr:col>
      <xdr:colOff>117200</xdr:colOff>
      <xdr:row>57</xdr:row>
      <xdr:rowOff>442447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060A9BE-A097-E71E-F23C-856B60BE26E7}"/>
                </a:ext>
              </a:extLst>
            </xdr14:cNvPr>
            <xdr14:cNvContentPartPr/>
          </xdr14:nvContentPartPr>
          <xdr14:nvPr macro=""/>
          <xdr14:xfrm>
            <a:off x="10399127709" y="24440760"/>
            <a:ext cx="695880" cy="3279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060A9BE-A097-E71E-F23C-856B60BE26E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21589" y="24434640"/>
              <a:ext cx="708120" cy="34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26840</xdr:colOff>
      <xdr:row>57</xdr:row>
      <xdr:rowOff>195487</xdr:rowOff>
    </xdr:from>
    <xdr:to>
      <xdr:col>9</xdr:col>
      <xdr:colOff>615070</xdr:colOff>
      <xdr:row>57</xdr:row>
      <xdr:rowOff>451087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AB6F27F6-F4FC-CC8F-2D78-FF16CBDC64FF}"/>
                </a:ext>
              </a:extLst>
            </xdr14:cNvPr>
            <xdr14:cNvContentPartPr/>
          </xdr14:nvContentPartPr>
          <xdr14:nvPr macro=""/>
          <xdr14:xfrm>
            <a:off x="10397971749" y="24521760"/>
            <a:ext cx="1246320" cy="25560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AB6F27F6-F4FC-CC8F-2D78-FF16CBDC64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7965629" y="24515640"/>
              <a:ext cx="1258560" cy="267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20:51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1374 911 7577,'0'0'0,"0"0"0,0 0 2217,0 0-545,0 0-96,0 0-71,0 0-8475,0-2 15204,0 1-6906,0-1-232,0 1-79,0-1-73,0 2-944,0-1 896,0 1-24,0-1-120,0 1-63,0 0-689,0 0 568,0-2-88,0 2-128,0 0-352,0 0 264,0 0-112,-3 0-8,3 0 8,0-1-80,0 1-72,-2-2 96,2-2 16,-5 0-48,3-8 48,2 12-112,-3-4 72,1-2-48,-1-6 32,-4 7-24,7 5-32,-2-12 24,-3 0-32,0 1-8,5 11 16,-2-6-32,-10-9-24,9-3 88,-11 3-48,14 15 16,-3-16 16,-9-1 40,10-3-32,-10 0 48,12 20-72,-5-21 72,-9 0-56,9 2-16,-10-2-16,11 0 16,4 21 0,-17-20 0,5 1-24,9 1 8,-16 2 16,19 16 0,-2-16-40,-13 2 48,3 3 8,7-2-72,5 13 56,-14-11 16,12 6 40,-3-10-24,-7 11-8,12 4-24,-5-13 56,3 10-64,-3-1 8,2-8 8,3 12-8,0-4 32,0-2-104,0 1 40,0-7 80,0 12-48,0-1-56,0-3 40,0-1-32,0 1 8,0 4 40,5-4-16,0 0 64,5-1-80,-6 4-112,-4 1 144,8-3-24,4 0-8,-10 0 8,12 2 64,-14 1-40,12-3-56,-2 3 8,5 0 24,-3 0 48,-12 0-24,14 0 0,3 0-96,2-1 96,-2-4-32,-17 5 32,24-2 0,-2-4 64,2 0-56,0 0-80,-24 6 72,24-11 0,2 5 32,1-8-64,2 3 64,-29 11-32,26-12-32,-2 1 80,0-5-64,3 2 56,-27 14-40,24-15 16,-3-1-56,1 3 64,-5 0 8,-17 13-32,21-11 0,-1 5 40,-1-8-40,0 3-80,-19 11 80,22-6-48,-1-10 64,1 5-56,-3 7 80,-19 4-40,17-14 0,0 9-72,-3-8 112,1 9-136,-15 4 96,12-11 0,-7 8 88,9-1-88,-9-1 96,-5 5-96,2-4 32,3 3-80,-2 1 48,-3 0 128,0 0-128,0 0 32,0 0-88,0 0 112,0 3-96,0-3 40,-3 2 24,-2-2 16,-7 3-48,12-3 16,0 0-8,-14 3 32,7 1 0,-8 9-24,3-10-16,12-3 8,-12 13 0,-2-9-32,-3 16-8,0-7-16,17-13 56,-24 15-64,2-2 64,1 1 16,-1 1 0,22-15-16,-24 15-16,0 0 48,0-1-16,-3 3-16,27-17 0,-24 14 40,0 2-40,5-4 0,2 0 72,17-12-72,-17 11 0,3 1-56,-3 0 8,3 0-88,14-12 136,-15 11-48,3 0 80,0-6-48,0 9 144,12-14-128,-7 11 0,-7-6 0,2 7 40,0-7-112,12-5 72,-10 12 0,-5-7-40,6 12 40,4-13-16,5-4 16,-14 14 0,6-2 32,-6-8-72,12 10 64,2-14-24,-15 3-16,10 10 8,-7-10 8,10 1-16,2-4 16,-12 11-16,9-11 48,-1 3-24,-8 1 8,12-4-16,-5 5 32,2-1-48,-9 7 16,10-11-32,2 0 32,-12 4 16,10 9-32,-13-8-8,13 6 40,2-11-16,-15 3-16,10 1 0,-11 7 0,13-8 0,3-3 16,-14 3-56,9 1 72,-7-1-16,7 0-16,5-3 16,-9 0 0,4 3 0,0 0 16,-7-3 24,12 0-40,-3 3 32,-1-3 8,-8 0 8,9 0 8,3 0-56,-12 0 40,7 0 0,-7 0 8,8-2-32,4 2-16,-15-1 56,3-2-48,0-1 8,0-1 0,12 5-16,-12-3 16,0-1 24,0 0 8,0-7 24,12 11-72,-17-5 56,3-6 16,-3 8 24,-2-3-32,19 6-64,-17-15 40,0 9-8,-2-8 40,2 3 0,17 11-72,-17-12 96,-2 1-24,0-2-56,2-1 48,17 14-64,-22-14 0,3 1 40,0-3 48,2 3-16,17 13-72,-20-11 104,4-2-64,-4 2 24,4-2-48,16 13-16,-17-11 72,2 6 32,-2-7 24,3 7 48,14 5-176,-12-11 209,7 8-1,-9-1-88,11-2 104,3 6-224,-4-4 152,-1 0 64,0-1-96,2 3 32,3 2-152,-2-2 88,0-1-40,2 2 88,0-1-168,0 2 32,0 0-48,0 0 8,2 0-40,-2 0 80,0 3-64,5 2-24,9 9 56,-9-10-8,-5-4 40,15 13-16,-3-9 16,2 12-80,5-5 128,-19-11-48,15 11 88,4-6-56,0 10-16,-2-10-16,-17-5 0,17 14 32,2-10-64,-4 7-408,4-6 416,-19-5 24,17 13-80,-5-9 8,2 10 520,1-10-464,-15-4 16,12 13-72,-5-10 56,7 1 16,-7 9 16,-7-13-16,15 3 48,-10 8-64,7-8 0,-8 1-32,-4-4 48,13 13 32,-11-10-16,3 1-80,2 8 24,-7-12 40,2 2-80,3 1 40,-2 0 24,-1 1-48,-2-4 64,0 3 0,0 0-32,0 0-8,-5 1 80,5-4-40,-12 4 80,10 1-64,-10 6-112,7-11 72,5 0 24,-12 4 16,0 1-48,-3-1 208,1-1-144,14-3-32,-17 4-56,0 0-24,-4 0-520,1 8 488,20-12 112,-21 3-32,-1 0 176,-2 1 488,-2 9-464,26-13-168,-27 2-32,1 11-48,2-10-40,4 8 80,20-11 40,-19 0 136,2 3-112,5 0-64,0-3-8,12 0 48,-5 0-16,3 0 48,-3-3 40,3 0 8,2 3-80,-5-4 0,5 0 32,-2 1-32,2 0 0,0 3 0,0-1-96,-5-1 72,2 1 32,1 1-32,2 0 24,-2 0 104,-3 0-120,2 0 32,1 0 16,2 0-32,-2 0-80,-13 0 80,10 0 16,-9 3-48,14-3 32,-12 0 16,-3 3 0,-1-1 16,-1 3-16,17-5-16,-15 3 0,-4-1-32,5 1 0,-6-3 0,20 0 32,-19 3-24,-2-3-232,1 0-417,-1-1-567,21 1 1240,-22-5-2096,0 1-889,-2-7-720,0-1-792,24 12 4497,-21-2-6033,-6-4 1064,27 6 4969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07:20:52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2088 297 5457,'0'0'0,"-17"15"2096,3-11-1200,-1 16-192,15-20-704,-12 4 625,7 10 7,-7-2-56,12-8 56,0-4-632,-2 17 688,2-6 120,0-6 161,0 12 63,0-17-1032,5 13 1032,7 2 32,0-1-40,5-1 17,-17-13-1041,14 12 1160,8-1-24,-3 0 32,7 1-31,-26-12-1137,27 4 1024,2 9-56,4-10-88,1 1-64,-34-4-816,41 3 673,0-1-209,2-2-104,5 0-192,-48 0-168,51-1 216,2-3-8,-3-2-88,1-7-528,-51 13 408,50-4 120,-2-9-40,0 2 40,3 0 568,-51 11-688,48-13 96,-5-3-912,1 2 728,-4-2 40,-40 16 48,39-17-88,-5-1 832,-1 4-512,1-4 136,-34 18-368,31-15 376,1-1 48,-1-4-176,0 5-320,-31 15 72,29-19 24,-3 4 72,3 0-112,-5 0 32,-24 15-16,22-13-16,-5 9 16,-3-8 48,-9 9 64,-5 3-112,12-4 32,-10 0-160,1 0 192,-1 1 48,-2 3-112,0-2 144,0-2 0,-5 1-16,3 0-16,2 3-112,-2-4 80,-13-2-15,8-5-65,-10 7 0,17 4 0,-12-14 0,-5 8 0,0-10 0,3 11 0,14 5 0,-22-17 0,3 5 0,-5 1-65,0 5 1,24 6 64,-24-14-32,-5 10-80,-7-8 128,2 8-352,34 4 336,-38-6-272,-1 2 88,1 1-88,-3 2 256,41 1 16,-38-2 176,-3-2-32,0 1 184,2 2 120,39 1-448,-36 0 128,0 0-15,7-2-113,0 2 0,29 0 0,-26 0 0,2 5 0,-3-1 0,1 0 0,26-4 0,-29 13 0,3-10 0,-3 10 0,0-2 0,29-11 0,-27 11 0,1 1 0,0-1 0,-1-7 0,27-4 0,-24 17 0,0-5 0,2-1-65,1-7 81,21-4-16,-24 17-48,2-4-80,-2 2 128,0 0 0,24-15 0,-24 16-224,-5-1-80,2 4 64,-1-1-24,28-18 264,-32 19-80,1 1 440,-5 1-72,0-1-96,36-20-192,-36 20 384,-5 1-352,5-1 0,-3-1-32,39-19 0,-36 19-32,3-1 48,-1-1 0,0 0 33,34-17-49,-33 14-209,-6-1-127,3 1 0,-2-10-104,38-4 440,-37 16-216,-1-12 152,-3 10-16,0-9 8,41-5 72,-43 4-280,-3 0 72,-4 0 120,2 8 72,48-12 16,-53 0 592,-5 4-160,-2 0 88,-10 0 56,70-4-576,-67 13 64,-10-8-48,-12 6-496,-5-7-248,94-4 728,-106 13-1176,-9-10-1321,-6 11-2512,-4 2-4745,125-16 9754,-132 17-9130,132-17 9130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3" zoomScale="130" zoomScaleNormal="100" zoomScaleSheetLayoutView="130" workbookViewId="0">
      <selection activeCell="G58" sqref="G58:J5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5" t="s">
        <v>226</v>
      </c>
      <c r="C1" s="75"/>
      <c r="D1" s="75"/>
      <c r="E1" s="75"/>
      <c r="F1" s="75"/>
      <c r="G1" s="75"/>
      <c r="H1" s="75"/>
      <c r="I1" s="75"/>
      <c r="J1" s="75"/>
    </row>
    <row r="2" spans="1:10" ht="30" customHeight="1" x14ac:dyDescent="0.2">
      <c r="B2" s="12" t="s">
        <v>8</v>
      </c>
      <c r="C2" s="81" t="s">
        <v>44</v>
      </c>
      <c r="D2" s="81"/>
      <c r="E2" s="12" t="s">
        <v>7</v>
      </c>
      <c r="F2" s="76">
        <v>45953</v>
      </c>
      <c r="G2" s="76"/>
      <c r="H2" s="76"/>
      <c r="I2" s="76"/>
      <c r="J2" s="76"/>
    </row>
    <row r="3" spans="1:10" ht="30" customHeight="1" x14ac:dyDescent="0.2">
      <c r="B3" s="12" t="s">
        <v>9</v>
      </c>
      <c r="C3" s="81" t="s">
        <v>85</v>
      </c>
      <c r="D3" s="81"/>
      <c r="E3" s="12" t="s">
        <v>6</v>
      </c>
      <c r="F3" s="81" t="s">
        <v>104</v>
      </c>
      <c r="G3" s="81"/>
      <c r="H3" s="81"/>
      <c r="I3" s="81"/>
      <c r="J3" s="8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7" t="s">
        <v>0</v>
      </c>
      <c r="C5" s="78"/>
      <c r="D5" s="78"/>
      <c r="E5" s="86" t="s">
        <v>1</v>
      </c>
      <c r="F5" s="86"/>
      <c r="G5" s="86"/>
      <c r="H5" s="86"/>
      <c r="I5" s="86" t="s">
        <v>2</v>
      </c>
      <c r="J5" s="87"/>
    </row>
    <row r="6" spans="1:10" ht="24.95" customHeight="1" thickBot="1" x14ac:dyDescent="0.25">
      <c r="A6" s="10"/>
      <c r="B6" s="79"/>
      <c r="C6" s="80"/>
      <c r="D6" s="80"/>
      <c r="E6" s="11" t="s">
        <v>3</v>
      </c>
      <c r="F6" s="11" t="s">
        <v>4</v>
      </c>
      <c r="G6" s="11" t="s">
        <v>23</v>
      </c>
      <c r="H6" s="11" t="s">
        <v>24</v>
      </c>
      <c r="I6" s="88"/>
      <c r="J6" s="89"/>
    </row>
    <row r="7" spans="1:10" ht="24.95" customHeight="1" thickBot="1" x14ac:dyDescent="0.25">
      <c r="A7" s="10"/>
      <c r="B7" s="84" t="s">
        <v>21</v>
      </c>
      <c r="C7" s="85"/>
      <c r="D7" s="85"/>
      <c r="E7" s="28" t="s">
        <v>18</v>
      </c>
      <c r="F7" s="28" t="s">
        <v>19</v>
      </c>
      <c r="G7" s="28" t="s">
        <v>22</v>
      </c>
      <c r="H7" s="28" t="s">
        <v>20</v>
      </c>
      <c r="I7" s="90" t="s">
        <v>25</v>
      </c>
      <c r="J7" s="91"/>
    </row>
    <row r="8" spans="1:10" ht="30" customHeight="1" x14ac:dyDescent="0.2">
      <c r="A8" s="10"/>
      <c r="B8" s="47" t="s">
        <v>180</v>
      </c>
      <c r="C8" s="48"/>
      <c r="D8" s="48"/>
      <c r="E8" s="32"/>
      <c r="F8" s="33"/>
      <c r="G8" s="34"/>
      <c r="H8" s="35"/>
      <c r="I8" s="58"/>
      <c r="J8" s="59"/>
    </row>
    <row r="9" spans="1:10" ht="66.75" customHeight="1" x14ac:dyDescent="0.2">
      <c r="A9" s="10"/>
      <c r="B9" s="41" t="s">
        <v>181</v>
      </c>
      <c r="C9" s="42"/>
      <c r="D9" s="42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9.950000000000003" customHeight="1" x14ac:dyDescent="0.2">
      <c r="A10" s="10"/>
      <c r="B10" s="41" t="s">
        <v>182</v>
      </c>
      <c r="C10" s="42"/>
      <c r="D10" s="42"/>
      <c r="E10" s="9">
        <v>5</v>
      </c>
      <c r="F10" s="26">
        <v>3.5</v>
      </c>
      <c r="G10" s="29">
        <f t="shared" ref="G10:G53" si="0">IFERROR(F10/E10,"")</f>
        <v>0.7</v>
      </c>
      <c r="H10" s="30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2">
      <c r="A11" s="10"/>
      <c r="B11" s="41" t="s">
        <v>183</v>
      </c>
      <c r="C11" s="42"/>
      <c r="D11" s="42"/>
      <c r="E11" s="9"/>
      <c r="F11" s="26"/>
      <c r="G11" s="29"/>
      <c r="H11" s="30"/>
      <c r="I11" s="54"/>
      <c r="J11" s="55"/>
    </row>
    <row r="12" spans="1:10" ht="30" customHeight="1" x14ac:dyDescent="0.2">
      <c r="A12" s="10"/>
      <c r="B12" s="52" t="s">
        <v>184</v>
      </c>
      <c r="C12" s="53"/>
      <c r="D12" s="53"/>
      <c r="E12" s="9">
        <v>5</v>
      </c>
      <c r="F12" s="26">
        <v>4.25</v>
      </c>
      <c r="G12" s="29">
        <f t="shared" si="0"/>
        <v>0.85</v>
      </c>
      <c r="H12" s="30" t="str">
        <f t="shared" si="1"/>
        <v>جيد جداً</v>
      </c>
      <c r="I12" s="54"/>
      <c r="J12" s="55"/>
    </row>
    <row r="13" spans="1:10" ht="30" customHeight="1" x14ac:dyDescent="0.2">
      <c r="A13" s="10"/>
      <c r="B13" s="52" t="s">
        <v>185</v>
      </c>
      <c r="C13" s="53"/>
      <c r="D13" s="53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4"/>
      <c r="J13" s="55"/>
    </row>
    <row r="14" spans="1:10" ht="66.75" customHeight="1" x14ac:dyDescent="0.2">
      <c r="A14" s="10"/>
      <c r="B14" s="52" t="s">
        <v>186</v>
      </c>
      <c r="C14" s="53"/>
      <c r="D14" s="53"/>
      <c r="E14" s="9"/>
      <c r="F14" s="26"/>
      <c r="G14" s="29"/>
      <c r="H14" s="30"/>
      <c r="I14" s="54"/>
      <c r="J14" s="55"/>
    </row>
    <row r="15" spans="1:10" ht="30" customHeight="1" x14ac:dyDescent="0.2">
      <c r="A15" s="10"/>
      <c r="B15" s="50" t="s">
        <v>187</v>
      </c>
      <c r="C15" s="51"/>
      <c r="D15" s="51"/>
      <c r="E15" s="9">
        <v>5</v>
      </c>
      <c r="F15" s="26">
        <v>3.75</v>
      </c>
      <c r="G15" s="29">
        <f t="shared" si="0"/>
        <v>0.75</v>
      </c>
      <c r="H15" s="30" t="str">
        <f t="shared" si="1"/>
        <v>جيد</v>
      </c>
      <c r="I15" s="54"/>
      <c r="J15" s="55"/>
    </row>
    <row r="16" spans="1:10" ht="30" customHeight="1" x14ac:dyDescent="0.2">
      <c r="A16" s="10"/>
      <c r="B16" s="50" t="s">
        <v>188</v>
      </c>
      <c r="C16" s="51"/>
      <c r="D16" s="51"/>
      <c r="E16" s="9">
        <v>5</v>
      </c>
      <c r="F16" s="26">
        <v>3.75</v>
      </c>
      <c r="G16" s="29">
        <f t="shared" si="0"/>
        <v>0.75</v>
      </c>
      <c r="H16" s="30" t="str">
        <f t="shared" si="1"/>
        <v>جيد</v>
      </c>
      <c r="I16" s="54"/>
      <c r="J16" s="55"/>
    </row>
    <row r="17" spans="1:10" ht="30" customHeight="1" x14ac:dyDescent="0.2">
      <c r="A17" s="10"/>
      <c r="B17" s="50" t="s">
        <v>189</v>
      </c>
      <c r="C17" s="51"/>
      <c r="D17" s="51"/>
      <c r="E17" s="9">
        <v>5</v>
      </c>
      <c r="F17" s="26">
        <v>3.75</v>
      </c>
      <c r="G17" s="29">
        <f t="shared" si="0"/>
        <v>0.75</v>
      </c>
      <c r="H17" s="30" t="str">
        <f t="shared" si="1"/>
        <v>جيد</v>
      </c>
      <c r="I17" s="54"/>
      <c r="J17" s="55"/>
    </row>
    <row r="18" spans="1:10" ht="30" customHeight="1" x14ac:dyDescent="0.2">
      <c r="A18" s="10"/>
      <c r="B18" s="50" t="s">
        <v>190</v>
      </c>
      <c r="C18" s="51"/>
      <c r="D18" s="51"/>
      <c r="E18" s="9">
        <v>5</v>
      </c>
      <c r="F18" s="26">
        <v>3.75</v>
      </c>
      <c r="G18" s="29">
        <f t="shared" si="0"/>
        <v>0.75</v>
      </c>
      <c r="H18" s="30" t="str">
        <f t="shared" si="1"/>
        <v>جيد</v>
      </c>
      <c r="I18" s="54"/>
      <c r="J18" s="55"/>
    </row>
    <row r="19" spans="1:10" ht="30" customHeight="1" x14ac:dyDescent="0.2">
      <c r="A19" s="10"/>
      <c r="B19" s="39" t="s">
        <v>191</v>
      </c>
      <c r="C19" s="40"/>
      <c r="D19" s="40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4"/>
      <c r="J19" s="55"/>
    </row>
    <row r="20" spans="1:10" ht="30" customHeight="1" x14ac:dyDescent="0.2">
      <c r="A20" s="10"/>
      <c r="B20" s="39" t="s">
        <v>192</v>
      </c>
      <c r="C20" s="40"/>
      <c r="D20" s="40"/>
      <c r="E20" s="9">
        <v>5</v>
      </c>
      <c r="F20" s="26">
        <v>3.75</v>
      </c>
      <c r="G20" s="29">
        <f t="shared" si="0"/>
        <v>0.75</v>
      </c>
      <c r="H20" s="30" t="str">
        <f t="shared" si="1"/>
        <v>جيد</v>
      </c>
      <c r="I20" s="54"/>
      <c r="J20" s="55"/>
    </row>
    <row r="21" spans="1:10" ht="39.950000000000003" customHeight="1" x14ac:dyDescent="0.2">
      <c r="A21" s="10"/>
      <c r="B21" s="41" t="s">
        <v>193</v>
      </c>
      <c r="C21" s="42"/>
      <c r="D21" s="42"/>
      <c r="E21" s="9">
        <v>5</v>
      </c>
      <c r="F21" s="26">
        <v>4</v>
      </c>
      <c r="G21" s="29">
        <f t="shared" si="0"/>
        <v>0.8</v>
      </c>
      <c r="H21" s="30" t="str">
        <f t="shared" si="1"/>
        <v>جيد جداً</v>
      </c>
      <c r="I21" s="54"/>
      <c r="J21" s="55"/>
    </row>
    <row r="22" spans="1:10" ht="30" customHeight="1" x14ac:dyDescent="0.2">
      <c r="A22" s="10"/>
      <c r="B22" s="41" t="s">
        <v>221</v>
      </c>
      <c r="C22" s="42"/>
      <c r="D22" s="42"/>
      <c r="E22" s="9"/>
      <c r="F22" s="26"/>
      <c r="G22" s="29"/>
      <c r="H22" s="30"/>
      <c r="I22" s="54"/>
      <c r="J22" s="55"/>
    </row>
    <row r="23" spans="1:10" ht="30" customHeight="1" x14ac:dyDescent="0.2">
      <c r="A23" s="10"/>
      <c r="B23" s="39" t="s">
        <v>194</v>
      </c>
      <c r="C23" s="40"/>
      <c r="D23" s="40"/>
      <c r="E23" s="9">
        <v>5</v>
      </c>
      <c r="F23" s="26">
        <v>3.75</v>
      </c>
      <c r="G23" s="29">
        <f t="shared" si="0"/>
        <v>0.75</v>
      </c>
      <c r="H23" s="30" t="str">
        <f t="shared" si="1"/>
        <v>جيد</v>
      </c>
      <c r="I23" s="54"/>
      <c r="J23" s="55"/>
    </row>
    <row r="24" spans="1:10" ht="30" customHeight="1" x14ac:dyDescent="0.2">
      <c r="A24" s="10"/>
      <c r="B24" s="39" t="s">
        <v>195</v>
      </c>
      <c r="C24" s="40"/>
      <c r="D24" s="40"/>
      <c r="E24" s="9">
        <v>5</v>
      </c>
      <c r="F24" s="26">
        <v>3.75</v>
      </c>
      <c r="G24" s="29">
        <f t="shared" si="0"/>
        <v>0.75</v>
      </c>
      <c r="H24" s="30" t="str">
        <f t="shared" si="1"/>
        <v>جيد</v>
      </c>
      <c r="I24" s="54"/>
      <c r="J24" s="55"/>
    </row>
    <row r="25" spans="1:10" ht="39.950000000000003" customHeight="1" x14ac:dyDescent="0.2">
      <c r="A25" s="10"/>
      <c r="B25" s="39" t="s">
        <v>196</v>
      </c>
      <c r="C25" s="40"/>
      <c r="D25" s="40"/>
      <c r="E25" s="9">
        <v>5</v>
      </c>
      <c r="F25" s="26">
        <v>3.75</v>
      </c>
      <c r="G25" s="29">
        <f t="shared" si="0"/>
        <v>0.75</v>
      </c>
      <c r="H25" s="30" t="str">
        <f t="shared" si="1"/>
        <v>جيد</v>
      </c>
      <c r="I25" s="54"/>
      <c r="J25" s="55"/>
    </row>
    <row r="26" spans="1:10" ht="30" customHeight="1" x14ac:dyDescent="0.2">
      <c r="A26" s="10"/>
      <c r="B26" s="41" t="s">
        <v>197</v>
      </c>
      <c r="C26" s="42"/>
      <c r="D26" s="42"/>
      <c r="E26" s="9">
        <v>5</v>
      </c>
      <c r="F26" s="26">
        <v>4.25</v>
      </c>
      <c r="G26" s="29">
        <f t="shared" si="0"/>
        <v>0.85</v>
      </c>
      <c r="H26" s="30" t="str">
        <f t="shared" si="1"/>
        <v>جيد جداً</v>
      </c>
      <c r="I26" s="54"/>
      <c r="J26" s="55"/>
    </row>
    <row r="27" spans="1:10" ht="30" customHeight="1" x14ac:dyDescent="0.2">
      <c r="A27" s="10"/>
      <c r="B27" s="41" t="s">
        <v>198</v>
      </c>
      <c r="C27" s="42"/>
      <c r="D27" s="42"/>
      <c r="E27" s="9">
        <v>5</v>
      </c>
      <c r="F27" s="26">
        <v>3.5</v>
      </c>
      <c r="G27" s="29">
        <f t="shared" si="0"/>
        <v>0.7</v>
      </c>
      <c r="H27" s="30" t="str">
        <f t="shared" si="1"/>
        <v>جيد</v>
      </c>
      <c r="I27" s="54"/>
      <c r="J27" s="55"/>
    </row>
    <row r="28" spans="1:10" ht="30" customHeight="1" x14ac:dyDescent="0.2">
      <c r="A28" s="10"/>
      <c r="B28" s="41" t="s">
        <v>199</v>
      </c>
      <c r="C28" s="42"/>
      <c r="D28" s="42"/>
      <c r="E28" s="9">
        <v>5</v>
      </c>
      <c r="F28" s="26">
        <v>3.75</v>
      </c>
      <c r="G28" s="29">
        <f t="shared" si="0"/>
        <v>0.75</v>
      </c>
      <c r="H28" s="30" t="str">
        <f t="shared" si="1"/>
        <v>جيد</v>
      </c>
      <c r="I28" s="54"/>
      <c r="J28" s="55"/>
    </row>
    <row r="29" spans="1:10" ht="39.950000000000003" customHeight="1" x14ac:dyDescent="0.2">
      <c r="A29" s="10"/>
      <c r="B29" s="41" t="s">
        <v>200</v>
      </c>
      <c r="C29" s="42"/>
      <c r="D29" s="42"/>
      <c r="E29" s="9">
        <v>5</v>
      </c>
      <c r="F29" s="26">
        <v>3.75</v>
      </c>
      <c r="G29" s="29">
        <f t="shared" si="0"/>
        <v>0.75</v>
      </c>
      <c r="H29" s="30" t="str">
        <f t="shared" si="1"/>
        <v>جيد</v>
      </c>
      <c r="I29" s="54"/>
      <c r="J29" s="55"/>
    </row>
    <row r="30" spans="1:10" ht="30" customHeight="1" x14ac:dyDescent="0.2">
      <c r="A30" s="10"/>
      <c r="B30" s="41" t="s">
        <v>201</v>
      </c>
      <c r="C30" s="42"/>
      <c r="D30" s="42"/>
      <c r="E30" s="9">
        <v>5</v>
      </c>
      <c r="F30" s="26">
        <v>4</v>
      </c>
      <c r="G30" s="29">
        <f t="shared" si="0"/>
        <v>0.8</v>
      </c>
      <c r="H30" s="30" t="str">
        <f t="shared" si="1"/>
        <v>جيد جداً</v>
      </c>
      <c r="I30" s="54"/>
      <c r="J30" s="55"/>
    </row>
    <row r="31" spans="1:10" ht="30" customHeight="1" x14ac:dyDescent="0.2">
      <c r="A31" s="10"/>
      <c r="B31" s="41" t="s">
        <v>202</v>
      </c>
      <c r="C31" s="42"/>
      <c r="D31" s="42"/>
      <c r="E31" s="9">
        <v>5</v>
      </c>
      <c r="F31" s="26">
        <v>3.75</v>
      </c>
      <c r="G31" s="29">
        <f t="shared" si="0"/>
        <v>0.75</v>
      </c>
      <c r="H31" s="30" t="str">
        <f t="shared" si="1"/>
        <v>جيد</v>
      </c>
      <c r="I31" s="54"/>
      <c r="J31" s="55"/>
    </row>
    <row r="32" spans="1:10" ht="30" customHeight="1" x14ac:dyDescent="0.2">
      <c r="A32" s="10"/>
      <c r="B32" s="41" t="s">
        <v>203</v>
      </c>
      <c r="C32" s="42"/>
      <c r="D32" s="42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54"/>
      <c r="J32" s="55"/>
    </row>
    <row r="33" spans="1:10" ht="39.950000000000003" customHeight="1" thickBot="1" x14ac:dyDescent="0.25">
      <c r="A33" s="10"/>
      <c r="B33" s="43" t="s">
        <v>204</v>
      </c>
      <c r="C33" s="44"/>
      <c r="D33" s="44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6"/>
      <c r="J33" s="57"/>
    </row>
    <row r="34" spans="1:10" ht="30" customHeight="1" x14ac:dyDescent="0.2">
      <c r="A34" s="10"/>
      <c r="B34" s="47" t="s">
        <v>220</v>
      </c>
      <c r="C34" s="48"/>
      <c r="D34" s="48"/>
      <c r="E34" s="48"/>
      <c r="F34" s="48"/>
      <c r="G34" s="48"/>
      <c r="H34" s="48"/>
      <c r="I34" s="48"/>
      <c r="J34" s="49"/>
    </row>
    <row r="35" spans="1:10" ht="30" customHeight="1" x14ac:dyDescent="0.2">
      <c r="A35" s="10"/>
      <c r="B35" s="41" t="s">
        <v>222</v>
      </c>
      <c r="C35" s="42"/>
      <c r="D35" s="42"/>
      <c r="E35" s="9">
        <v>5</v>
      </c>
      <c r="F35" s="26">
        <v>3.75</v>
      </c>
      <c r="G35" s="29">
        <f t="shared" si="0"/>
        <v>0.75</v>
      </c>
      <c r="H35" s="30" t="str">
        <f t="shared" si="1"/>
        <v>جيد</v>
      </c>
      <c r="I35" s="54"/>
      <c r="J35" s="55"/>
    </row>
    <row r="36" spans="1:10" ht="30" customHeight="1" x14ac:dyDescent="0.2">
      <c r="A36" s="10"/>
      <c r="B36" s="41" t="s">
        <v>223</v>
      </c>
      <c r="C36" s="42"/>
      <c r="D36" s="42"/>
      <c r="E36" s="9">
        <v>5</v>
      </c>
      <c r="F36" s="26">
        <v>3.75</v>
      </c>
      <c r="G36" s="29">
        <f t="shared" si="0"/>
        <v>0.75</v>
      </c>
      <c r="H36" s="30" t="str">
        <f t="shared" si="1"/>
        <v>جيد</v>
      </c>
      <c r="I36" s="54"/>
      <c r="J36" s="55"/>
    </row>
    <row r="37" spans="1:10" ht="39.950000000000003" customHeight="1" x14ac:dyDescent="0.2">
      <c r="A37" s="10"/>
      <c r="B37" s="41" t="s">
        <v>224</v>
      </c>
      <c r="C37" s="42"/>
      <c r="D37" s="42"/>
      <c r="E37" s="9">
        <v>5</v>
      </c>
      <c r="F37" s="26">
        <v>3.75</v>
      </c>
      <c r="G37" s="29">
        <f t="shared" si="0"/>
        <v>0.75</v>
      </c>
      <c r="H37" s="30" t="str">
        <f t="shared" si="1"/>
        <v>جيد</v>
      </c>
      <c r="I37" s="54"/>
      <c r="J37" s="55"/>
    </row>
    <row r="38" spans="1:10" ht="39.950000000000003" customHeight="1" thickBot="1" x14ac:dyDescent="0.25">
      <c r="A38" s="10"/>
      <c r="B38" s="43" t="s">
        <v>225</v>
      </c>
      <c r="C38" s="44"/>
      <c r="D38" s="44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6"/>
      <c r="J38" s="57"/>
    </row>
    <row r="39" spans="1:10" ht="30" customHeight="1" x14ac:dyDescent="0.2">
      <c r="A39" s="10"/>
      <c r="B39" s="47" t="s">
        <v>205</v>
      </c>
      <c r="C39" s="48"/>
      <c r="D39" s="48"/>
      <c r="E39" s="48">
        <v>5</v>
      </c>
      <c r="F39" s="48" t="s">
        <v>61</v>
      </c>
      <c r="G39" s="48" t="str">
        <f t="shared" si="0"/>
        <v/>
      </c>
      <c r="H39" s="48" t="str">
        <f t="shared" si="1"/>
        <v/>
      </c>
      <c r="I39" s="48"/>
      <c r="J39" s="49"/>
    </row>
    <row r="40" spans="1:10" ht="30" customHeight="1" x14ac:dyDescent="0.2">
      <c r="A40" s="10"/>
      <c r="B40" s="41" t="s">
        <v>206</v>
      </c>
      <c r="C40" s="42"/>
      <c r="D40" s="42"/>
      <c r="E40" s="9">
        <v>5</v>
      </c>
      <c r="F40" s="26">
        <v>4.25</v>
      </c>
      <c r="G40" s="29">
        <f t="shared" si="0"/>
        <v>0.85</v>
      </c>
      <c r="H40" s="30" t="str">
        <f t="shared" si="1"/>
        <v>جيد جداً</v>
      </c>
      <c r="I40" s="54"/>
      <c r="J40" s="55"/>
    </row>
    <row r="41" spans="1:10" ht="30" customHeight="1" x14ac:dyDescent="0.2">
      <c r="A41" s="10"/>
      <c r="B41" s="41" t="s">
        <v>207</v>
      </c>
      <c r="C41" s="42"/>
      <c r="D41" s="42"/>
      <c r="E41" s="9">
        <v>5</v>
      </c>
      <c r="F41" s="26">
        <v>3.75</v>
      </c>
      <c r="G41" s="29">
        <f t="shared" si="0"/>
        <v>0.75</v>
      </c>
      <c r="H41" s="30" t="str">
        <f t="shared" si="1"/>
        <v>جيد</v>
      </c>
      <c r="I41" s="54"/>
      <c r="J41" s="55"/>
    </row>
    <row r="42" spans="1:10" ht="30" customHeight="1" x14ac:dyDescent="0.2">
      <c r="A42" s="10"/>
      <c r="B42" s="45" t="s">
        <v>208</v>
      </c>
      <c r="C42" s="46"/>
      <c r="D42" s="46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54"/>
      <c r="J42" s="55"/>
    </row>
    <row r="43" spans="1:10" ht="39.950000000000003" customHeight="1" x14ac:dyDescent="0.2">
      <c r="A43" s="10"/>
      <c r="B43" s="45" t="s">
        <v>209</v>
      </c>
      <c r="C43" s="46"/>
      <c r="D43" s="46"/>
      <c r="E43" s="9">
        <v>5</v>
      </c>
      <c r="F43" s="26">
        <v>4</v>
      </c>
      <c r="G43" s="29">
        <f t="shared" si="0"/>
        <v>0.8</v>
      </c>
      <c r="H43" s="30" t="str">
        <f t="shared" si="1"/>
        <v>جيد جداً</v>
      </c>
      <c r="I43" s="54"/>
      <c r="J43" s="55"/>
    </row>
    <row r="44" spans="1:10" ht="30" customHeight="1" x14ac:dyDescent="0.2">
      <c r="A44" s="10"/>
      <c r="B44" s="41" t="s">
        <v>210</v>
      </c>
      <c r="C44" s="42"/>
      <c r="D44" s="42"/>
      <c r="E44" s="9">
        <v>5</v>
      </c>
      <c r="F44" s="26">
        <v>3.75</v>
      </c>
      <c r="G44" s="29">
        <f t="shared" si="0"/>
        <v>0.75</v>
      </c>
      <c r="H44" s="30" t="str">
        <f t="shared" si="1"/>
        <v>جيد</v>
      </c>
      <c r="I44" s="54"/>
      <c r="J44" s="55"/>
    </row>
    <row r="45" spans="1:10" ht="39.950000000000003" customHeight="1" x14ac:dyDescent="0.2">
      <c r="A45" s="10"/>
      <c r="B45" s="41" t="s">
        <v>211</v>
      </c>
      <c r="C45" s="42"/>
      <c r="D45" s="42"/>
      <c r="E45" s="9">
        <v>5</v>
      </c>
      <c r="F45" s="26">
        <v>3.5</v>
      </c>
      <c r="G45" s="29">
        <f t="shared" si="0"/>
        <v>0.7</v>
      </c>
      <c r="H45" s="30" t="str">
        <f t="shared" si="1"/>
        <v>جيد</v>
      </c>
      <c r="I45" s="54"/>
      <c r="J45" s="55"/>
    </row>
    <row r="46" spans="1:10" ht="30" customHeight="1" x14ac:dyDescent="0.2">
      <c r="A46" s="10"/>
      <c r="B46" s="41" t="s">
        <v>212</v>
      </c>
      <c r="C46" s="42"/>
      <c r="D46" s="42"/>
      <c r="E46" s="9">
        <v>5</v>
      </c>
      <c r="F46" s="26">
        <v>3.75</v>
      </c>
      <c r="G46" s="29">
        <f t="shared" si="0"/>
        <v>0.75</v>
      </c>
      <c r="H46" s="30" t="str">
        <f t="shared" si="1"/>
        <v>جيد</v>
      </c>
      <c r="I46" s="54"/>
      <c r="J46" s="55"/>
    </row>
    <row r="47" spans="1:10" ht="30" customHeight="1" x14ac:dyDescent="0.2">
      <c r="A47" s="10"/>
      <c r="B47" s="41" t="s">
        <v>213</v>
      </c>
      <c r="C47" s="42"/>
      <c r="D47" s="42"/>
      <c r="E47" s="9">
        <v>5</v>
      </c>
      <c r="F47" s="26">
        <v>3.75</v>
      </c>
      <c r="G47" s="29">
        <f t="shared" si="0"/>
        <v>0.75</v>
      </c>
      <c r="H47" s="30" t="str">
        <f t="shared" si="1"/>
        <v>جيد</v>
      </c>
      <c r="I47" s="54"/>
      <c r="J47" s="55"/>
    </row>
    <row r="48" spans="1:10" ht="39.950000000000003" customHeight="1" x14ac:dyDescent="0.2">
      <c r="A48" s="10"/>
      <c r="B48" s="41" t="s">
        <v>214</v>
      </c>
      <c r="C48" s="42"/>
      <c r="D48" s="42"/>
      <c r="E48" s="9"/>
      <c r="F48" s="26"/>
      <c r="G48" s="29"/>
      <c r="H48" s="30"/>
      <c r="I48" s="54"/>
      <c r="J48" s="55"/>
    </row>
    <row r="49" spans="1:10" ht="30" customHeight="1" x14ac:dyDescent="0.2">
      <c r="A49" s="10"/>
      <c r="B49" s="39" t="s">
        <v>215</v>
      </c>
      <c r="C49" s="40"/>
      <c r="D49" s="40"/>
      <c r="E49" s="9">
        <v>5</v>
      </c>
      <c r="F49" s="26">
        <v>3.5</v>
      </c>
      <c r="G49" s="29">
        <f t="shared" si="0"/>
        <v>0.7</v>
      </c>
      <c r="H49" s="30" t="str">
        <f t="shared" si="1"/>
        <v>جيد</v>
      </c>
      <c r="I49" s="54"/>
      <c r="J49" s="55"/>
    </row>
    <row r="50" spans="1:10" ht="30" customHeight="1" x14ac:dyDescent="0.2">
      <c r="A50" s="10"/>
      <c r="B50" s="39" t="s">
        <v>216</v>
      </c>
      <c r="C50" s="40"/>
      <c r="D50" s="40"/>
      <c r="E50" s="9">
        <v>5</v>
      </c>
      <c r="F50" s="26">
        <v>3.75</v>
      </c>
      <c r="G50" s="29">
        <f t="shared" si="0"/>
        <v>0.75</v>
      </c>
      <c r="H50" s="30" t="str">
        <f t="shared" si="1"/>
        <v>جيد</v>
      </c>
      <c r="I50" s="54"/>
      <c r="J50" s="55"/>
    </row>
    <row r="51" spans="1:10" ht="39.950000000000003" customHeight="1" x14ac:dyDescent="0.2">
      <c r="A51" s="10"/>
      <c r="B51" s="39" t="s">
        <v>217</v>
      </c>
      <c r="C51" s="40"/>
      <c r="D51" s="40"/>
      <c r="E51" s="9">
        <v>5</v>
      </c>
      <c r="F51" s="26">
        <v>3.75</v>
      </c>
      <c r="G51" s="29">
        <f t="shared" si="0"/>
        <v>0.75</v>
      </c>
      <c r="H51" s="30" t="str">
        <f t="shared" si="1"/>
        <v>جيد</v>
      </c>
      <c r="I51" s="54"/>
      <c r="J51" s="55"/>
    </row>
    <row r="52" spans="1:10" ht="30" customHeight="1" x14ac:dyDescent="0.2">
      <c r="A52" s="10"/>
      <c r="B52" s="39" t="s">
        <v>218</v>
      </c>
      <c r="C52" s="40"/>
      <c r="D52" s="40"/>
      <c r="E52" s="9">
        <v>5</v>
      </c>
      <c r="F52" s="26">
        <v>3.75</v>
      </c>
      <c r="G52" s="29">
        <f t="shared" si="0"/>
        <v>0.75</v>
      </c>
      <c r="H52" s="30" t="str">
        <f t="shared" si="1"/>
        <v>جيد</v>
      </c>
      <c r="I52" s="54"/>
      <c r="J52" s="55"/>
    </row>
    <row r="53" spans="1:10" ht="39.950000000000003" customHeight="1" thickBot="1" x14ac:dyDescent="0.25">
      <c r="A53" s="10"/>
      <c r="B53" s="43" t="s">
        <v>219</v>
      </c>
      <c r="C53" s="44"/>
      <c r="D53" s="44"/>
      <c r="E53" s="36">
        <v>5</v>
      </c>
      <c r="F53" s="27">
        <v>3.75</v>
      </c>
      <c r="G53" s="37">
        <f t="shared" si="0"/>
        <v>0.75</v>
      </c>
      <c r="H53" s="38" t="str">
        <f t="shared" si="1"/>
        <v>جيد</v>
      </c>
      <c r="I53" s="56"/>
      <c r="J53" s="57"/>
    </row>
    <row r="54" spans="1:10" ht="30" customHeight="1" thickBot="1" x14ac:dyDescent="0.25">
      <c r="A54" s="4"/>
      <c r="B54" s="60" t="s">
        <v>5</v>
      </c>
      <c r="C54" s="61"/>
      <c r="D54" s="61"/>
      <c r="E54" s="31">
        <f>SUM(E8:E53)</f>
        <v>200</v>
      </c>
      <c r="F54" s="31">
        <f>SUM(F8:F53)</f>
        <v>147.25</v>
      </c>
      <c r="G54" s="72"/>
      <c r="H54" s="73"/>
      <c r="I54" s="73"/>
      <c r="J54" s="74"/>
    </row>
    <row r="55" spans="1:10" ht="30" customHeight="1" thickBot="1" x14ac:dyDescent="0.25">
      <c r="A55" s="4"/>
      <c r="B55" s="62" t="s">
        <v>54</v>
      </c>
      <c r="C55" s="63"/>
      <c r="D55" s="63"/>
      <c r="E55" s="82">
        <f>F54/E54/100*100</f>
        <v>0.73624999999999996</v>
      </c>
      <c r="F55" s="82"/>
      <c r="G55" s="82"/>
      <c r="H55" s="82"/>
      <c r="I55" s="82"/>
      <c r="J55" s="83"/>
    </row>
    <row r="56" spans="1:10" ht="30" customHeight="1" thickBot="1" x14ac:dyDescent="0.25">
      <c r="A56" s="4"/>
      <c r="B56" s="62" t="s">
        <v>55</v>
      </c>
      <c r="C56" s="63"/>
      <c r="D56" s="63"/>
      <c r="E56" s="68" t="str">
        <f>_xlfn.IFS(E55&gt;=90%,"ممتاز",E55&gt;=80%,"جيد جداً",E55&gt;=70%,"جيد",E55&gt;=60%,"مقبول",E55&lt;60%,"راسب")</f>
        <v>جيد</v>
      </c>
      <c r="F56" s="68"/>
      <c r="G56" s="68"/>
      <c r="H56" s="68"/>
      <c r="I56" s="68"/>
      <c r="J56" s="69"/>
    </row>
    <row r="57" spans="1:10" ht="42" customHeight="1" x14ac:dyDescent="0.2">
      <c r="B57" s="64" t="s">
        <v>174</v>
      </c>
      <c r="C57" s="64"/>
      <c r="D57" s="64"/>
      <c r="E57" s="70" t="s">
        <v>52</v>
      </c>
      <c r="F57" s="70"/>
      <c r="G57" s="66" t="s">
        <v>104</v>
      </c>
      <c r="H57" s="66"/>
      <c r="I57" s="66"/>
      <c r="J57" s="66"/>
    </row>
    <row r="58" spans="1:10" ht="51" customHeight="1" x14ac:dyDescent="0.2">
      <c r="A58" s="5"/>
      <c r="B58" s="65"/>
      <c r="C58" s="65"/>
      <c r="D58" s="65"/>
      <c r="E58" s="71" t="s">
        <v>53</v>
      </c>
      <c r="F58" s="71"/>
      <c r="G58" s="67"/>
      <c r="H58" s="67"/>
      <c r="I58" s="67"/>
      <c r="J58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1"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B52:D52"/>
    <mergeCell ref="B53:D53"/>
    <mergeCell ref="B50:D50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1:D51"/>
    <mergeCell ref="B35:D35"/>
    <mergeCell ref="B36:D36"/>
    <mergeCell ref="B37:D37"/>
    <mergeCell ref="B38:D38"/>
    <mergeCell ref="B40:D40"/>
    <mergeCell ref="B41:D41"/>
    <mergeCell ref="B42:D42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58">
      <formula>$E56="مقبول"</formula>
    </cfRule>
    <cfRule type="expression" dxfId="18" priority="59">
      <formula>$E56="جيد"</formula>
    </cfRule>
    <cfRule type="expression" dxfId="17" priority="60">
      <formula>$E56="جيد جداً"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5" operator="containsText" text="أدخل العلامة">
      <formula>NOT(ISERROR(SEARCH("أدخل العلامة",H8)))</formula>
    </cfRule>
    <cfRule type="containsText" dxfId="9" priority="6" operator="containsText" text="ممتاز">
      <formula>NOT(ISERROR(SEARCH("ممتاز",H8)))</formula>
    </cfRule>
    <cfRule type="containsText" dxfId="8" priority="7" operator="containsText" text="جيد جداً">
      <formula>NOT(ISERROR(SEARCH("جيد جداً",H8)))</formula>
    </cfRule>
    <cfRule type="containsText" dxfId="7" priority="8" operator="containsText" text="جيد">
      <formula>NOT(ISERROR(SEARCH("جيد",H8)))</formula>
    </cfRule>
    <cfRule type="containsText" dxfId="6" priority="9" operator="containsText" text="مقبول">
      <formula>NOT(ISERROR(SEARCH("مقبول",H8)))</formula>
    </cfRule>
    <cfRule type="containsText" dxfId="5" priority="10" operator="containsText" text="راسب">
      <formula>NOT(ISERROR(SEARCH("راسب",H8)))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2025-10-20T16:27:55Z</dcterms:modified>
</cp:coreProperties>
</file>