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5FCE728-EDAF-4DF1-BA47-D468EB47E0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<sst xmlns="http://schemas.openxmlformats.org/spreadsheetml/2006/main" count="245" uniqueCount="189">
  <si>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</si>
  <si>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</si>
  <si>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</si>
  <si>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</si>
  <si>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</si>
  <si>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</si>
  <si>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</si>
  <si>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</si>
  <si>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</si>
  <si>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</si>
  <si>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</si>
  <si>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</si>
  <si>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</si>
  <si>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</si>
  <si>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</si>
  <si>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</si>
  <si>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</si>
  <si>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</si>
  <si>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</si>
  <si>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</si>
  <si>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</si>
  <si>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</si>
  <si>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</si>
  <si>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</si>
  <si>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</si>
  <si>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</si>
  <si>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</si>
  <si>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</si>
  <si>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</si>
  <si>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</si>
  <si>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</si>
  <si>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</si>
  <si>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</si>
  <si>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</si>
  <si>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</si>
  <si>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</si>
  <si>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</si>
  <si>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</si>
  <si>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</si>
  <si>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</si>
  <si>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</si>
  <si>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</si>
  <si>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</si>
  <si>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</si>
  <si>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</si>
  <si>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</si>
  <si>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</si>
  <si>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</si>
  <si>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</si>
  <si>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</si>
  <si>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</si>
  <si>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</si>
  <si>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</si>
  <si>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</si>
  <si>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</si>
  <si>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</si>
  <si>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</si>
  <si>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</si>
  <si>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</si>
  <si>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</si>
  <si>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</si>
  <si>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</si>
  <si>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</si>
  <si>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</si>
  <si>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</si>
  <si>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</si>
  <si>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</si>
  <si>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</si>
  <si>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</si>
  <si>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</si>
  <si>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</si>
  <si>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</si>
  <si>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</si>
  <si>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</si>
  <si>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</si>
  <si>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</si>
  <si>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</si>
  <si>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</si>
  <si>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</si>
  <si>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</si>
  <si>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</si>
  <si>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</si>
  <si>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</si>
  <si>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</si>
  <si>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</si>
  <si>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</si>
  <si>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</si>
  <si>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</si>
  <si>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</si>
  <si>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</si>
  <si>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</si>
  <si>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</si>
  <si>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</si>
  <si>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</si>
  <si>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</si>
  <si>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</si>
  <si>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</si>
  <si>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</si>
  <si>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</si>
  <si>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</si>
  <si>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</si>
  <si>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</si>
  <si>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</si>
  <si>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</si>
  <si>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</si>
  <si>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</si>
  <si>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</si>
  <si>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</si>
  <si>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</si>
  <si>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</si>
  <si>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</si>
  <si>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</si>
  <si>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</si>
  <si>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</si>
  <si>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</si>
  <si>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</si>
  <si>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</si>
  <si>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</si>
  <si>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</si>
  <si>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</si>
  <si>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</si>
  <si>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</si>
  <si>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</si>
  <si>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</si>
  <si>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</si>
  <si>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</si>
  <si>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</si>
  <si>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</si>
  <si>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</si>
  <si>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</si>
  <si>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</si>
  <si>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</si>
  <si>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</si>
  <si>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</si>
  <si>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</si>
  <si>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</si>
  <si>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</si>
  <si>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</si>
  <si>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</si>
  <si>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</si>
  <si>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</si>
  <si>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</si>
  <si>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</si>
  <si>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</si>
  <si>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</si>
  <si>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</si>
  <si>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</si>
  <si>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</si>
  <si>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</si>
  <si>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</si>
  <si>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</si>
  <si>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</si>
  <si>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</si>
  <si>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</si>
  <si>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</si>
  <si>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</si>
  <si>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</si>
  <si>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</si>
  <si>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</si>
  <si>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</si>
  <si>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</si>
  <si>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</si>
  <si>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</si>
  <si>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</si>
  <si>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</si>
  <si>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</si>
  <si>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</si>
  <si>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</si>
  <si>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</si>
  <si>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</si>
  <si>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</si>
  <si>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</si>
  <si>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</si>
  <si>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</si>
  <si>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</si>
  <si>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</si>
  <si>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</si>
  <si>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</si>
  <si>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</si>
  <si>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</si>
  <si>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</si>
  <si>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</si>
  <si>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</si>
  <si>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</si>
  <si>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</si>
  <si>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سرية المدفعية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</si>
  <si>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السرية (في الوسط).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</si>
  <si>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السرية على شكل دائري.</t>
    </r>
  </si>
  <si>
    <t>نقيب/ مسعود الاحبابي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</si>
</sst>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22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323025</xdr:colOff>
      <xdr:row>18</xdr:row>
      <xdr:rowOff>213868</xdr:rowOff>
    </xdr:from>
    <xdr:to>
      <xdr:col>9</xdr:col>
      <xdr:colOff>364034</xdr:colOff>
      <xdr:row>18</xdr:row>
      <xdr:rowOff>543988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E6B2D65-C3EA-DF88-784B-EF492D357937}"/>
                </a:ext>
              </a:extLst>
            </xdr14:cNvPr>
            <xdr14:cNvContentPartPr/>
          </xdr14:nvContentPartPr>
          <xdr14:nvPr macro=""/>
          <xdr14:xfrm>
            <a:off x="10398222785" y="7221960"/>
            <a:ext cx="2015280" cy="330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E6B2D65-C3EA-DF88-784B-EF492D3579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14145" y="7213320"/>
              <a:ext cx="2032920" cy="34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149855</xdr:colOff>
      <xdr:row>18</xdr:row>
      <xdr:rowOff>312868</xdr:rowOff>
    </xdr:from>
    <xdr:to>
      <xdr:col>9</xdr:col>
      <xdr:colOff>335954</xdr:colOff>
      <xdr:row>18</xdr:row>
      <xdr:rowOff>342028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199C15C-4993-06C9-2E19-312FE9F3B4E7}"/>
                </a:ext>
              </a:extLst>
            </xdr14:cNvPr>
            <xdr14:cNvContentPartPr/>
          </xdr14:nvContentPartPr>
          <xdr14:nvPr macro=""/>
          <xdr14:xfrm>
            <a:off x="10398250865" y="7320960"/>
            <a:ext cx="1502280" cy="29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199C15C-4993-06C9-2E19-312FE9F3B4E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242225" y="7311960"/>
              <a:ext cx="1519920" cy="4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196295</xdr:colOff>
      <xdr:row>18</xdr:row>
      <xdr:rowOff>294508</xdr:rowOff>
    </xdr:from>
    <xdr:to>
      <xdr:col>9</xdr:col>
      <xdr:colOff>364034</xdr:colOff>
      <xdr:row>18</xdr:row>
      <xdr:rowOff>330508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65E33FB-1931-CBF1-E279-1F956AA2E156}"/>
                </a:ext>
              </a:extLst>
            </xdr14:cNvPr>
            <xdr14:cNvContentPartPr/>
          </xdr14:nvContentPartPr>
          <xdr14:nvPr macro=""/>
          <xdr14:xfrm>
            <a:off x="10398222785" y="7302600"/>
            <a:ext cx="1483920" cy="360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65E33FB-1931-CBF1-E279-1F956AA2E15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214145" y="7293600"/>
              <a:ext cx="150156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270815</xdr:colOff>
      <xdr:row>18</xdr:row>
      <xdr:rowOff>191548</xdr:rowOff>
    </xdr:from>
    <xdr:to>
      <xdr:col>9</xdr:col>
      <xdr:colOff>317594</xdr:colOff>
      <xdr:row>18</xdr:row>
      <xdr:rowOff>214948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99F7B9F-C088-C682-3C25-87DE11D65A79}"/>
                </a:ext>
              </a:extLst>
            </xdr14:cNvPr>
            <xdr14:cNvContentPartPr/>
          </xdr14:nvContentPartPr>
          <xdr14:nvPr macro=""/>
          <xdr14:xfrm>
            <a:off x="10398269225" y="7199640"/>
            <a:ext cx="1362960" cy="234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99F7B9F-C088-C682-3C25-87DE11D65A7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260225" y="7190640"/>
              <a:ext cx="1380600" cy="4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392145</xdr:colOff>
      <xdr:row>18</xdr:row>
      <xdr:rowOff>151228</xdr:rowOff>
    </xdr:from>
    <xdr:to>
      <xdr:col>6</xdr:col>
      <xdr:colOff>392505</xdr:colOff>
      <xdr:row>18</xdr:row>
      <xdr:rowOff>151588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DB909FD-CBC4-7F76-3BB3-0F2647406224}"/>
                </a:ext>
              </a:extLst>
            </xdr14:cNvPr>
            <xdr14:cNvContentPartPr/>
          </xdr14:nvContentPartPr>
          <xdr14:nvPr macro=""/>
          <xdr14:xfrm>
            <a:off x="10400168585" y="715932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DB909FD-CBC4-7F76-3BB3-0F264740622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0159585" y="71503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4:44:41.6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4208 917,'0'0,"0"0,0 0,0 0,0 0,0 0,0 0,0 0,0 0,0 0,0 0,16-16,-16 0,0 15,16-14,-1-1,-14 15,-2-30,17-1,-15 30,14-28,0-18,-14 44,14-40,0 12,-14 29,14-42,0-3,-14 44,14-41,0-4,-14 46,14-42,0 13,-14 30,14-44,-15-2,0 46,16-28,-16-2,0 31,15-30,-15-1,0 31,16-30,-16-1,0 30,15-12,-15-2,0 14,16-13,-16-1,0 15,15 2,1-1,-14 0,11 0,19 0,-29 0,25 16,4 1,-28-15,38 12,5 18,-41-28,50 24,-9 4,-41-28,50 24,6 4,-54-28,46 24,10 4,-57-28,48 24,-9 4,-40-28,35 24,6 4,-42-28,21 24,5-12,-27-14,23 29,-12-14,-13-15,12 28,-14-14,0-14,0 28,-16-14,15-14,-29-4,-32 18,54-14,-93 12,-23-14,106 0,-136 0,-33-16,163 14,-155-12,-54-2,201 13,-186-26,-46 13,226 13,-189-26,-39-4,230 29,-192-9,-53-3,240 14,-182-12,-42-2,228 14,-192-12,12-2,185 14,-171-28,-14 14,185 14,-124-12,-15-2,146 14,-90-12,5-2,95 14,-94-28,0 30,94 0,-63-16,-1 0,69 14,-42 4,5-18,41 14,-34 4,-7-2,40 0,-1 0,0 0,0-16,8 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4:44:42.2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4067 80,'0'0,"0"0,0 0,0 0,0 0,0 0,0 0,0 0,0 0,0 0,0 0,0 0,0 0,0 0,0 0,0 0,0 0,0 0,0 0,0 0,0 0,0 0,-17-16,16 14,-29 4,-63-18,78 14,-79-12,-95-2,161 14,-146-12,-61 14,201 0,-197 0,-51 16,241-14,-214-4,-11 2,226 0,-249 0,-39 16,281-14,-202-4,-2 18,214-13,-160-6,9 3,161 0,-55-16,-12 32,81-13,-83-6,49 19,41-14,-3-4,-39 2,42 0,12-16,-6 15,-15 2,-1-1,14 0,4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4:44:42.7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4016 99,'0'0,"0"0,0 0,0 0,0 0,0 0,0 0,0 0,0 0,0 0,0 0,0 0,0 0,0 0,0 0,0 0,0 0,0 0,-16-16,-30 16,39 0,-80-16,40 16,40 0,-189-16,-100 0,247 13,-184-10,-111 13,290 0,-220-16,-85 32,303-14,-216-20,-72 34,290-14,-189-4,9-14,197 13,-114 6,-5-3,132 0,-77 16,39-16,52 0,-42 0,5 16,39-14,-47-4,23 2,27 0,-21 0,11 0,13 0,-12 0,30-16,-13 13,-6 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4:44:43.3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3679 64,'0'0,"0"0,0 0,0 0,0 0,0 0,0 0,0 0,-16 0,-15 0,15 0,0 0,-93-16,45 16,4 0,-96-16,52 16,5 0,-134-16,98 16,5 0,-167-16,139 16,5 0,-128 0,146 0,5 0,-119 0,122 0,4 0,-79 0,114 0,4 0,-40 0,76 0,2 0,-16 0,30 0,2 0,-2 0,16 0,2 0,-3 0,9 0,1 0,-8 0,-1 0,0 0,16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14:44:47.2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0,'0'0,"0"0,0 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A6" zoomScale="130" zoomScaleNormal="100" zoomScaleSheetLayoutView="130" workbookViewId="0">
      <selection activeCell="B10" sqref="B10:D1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8" t="s">
        <v>185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3">
      <c r="B2" s="12" t="s">
        <v>8</v>
      </c>
      <c r="C2" s="54" t="s">
        <v>51</v>
      </c>
      <c r="D2" s="54"/>
      <c r="E2" s="12" t="s">
        <v>7</v>
      </c>
      <c r="F2" s="49">
        <v>45944</v>
      </c>
      <c r="G2" s="49"/>
      <c r="H2" s="49"/>
      <c r="I2" s="49"/>
      <c r="J2" s="49"/>
    </row>
    <row r="3" spans="1:10" ht="30" customHeight="1" x14ac:dyDescent="0.3">
      <c r="B3" s="12" t="s">
        <v>9</v>
      </c>
      <c r="C3" s="54" t="s">
        <v>60</v>
      </c>
      <c r="D3" s="54"/>
      <c r="E3" s="12" t="s">
        <v>6</v>
      </c>
      <c r="F3" s="54" t="s">
        <v>114</v>
      </c>
      <c r="G3" s="54"/>
      <c r="H3" s="54"/>
      <c r="I3" s="54"/>
      <c r="J3" s="54"/>
    </row>
    <row r="4" spans="1:10" ht="30" customHeight="1" thickBot="1" x14ac:dyDescent="0.35">
      <c r="B4" s="6"/>
      <c r="C4" s="65" t="s">
        <v>188</v>
      </c>
      <c r="D4" s="65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0" t="s">
        <v>0</v>
      </c>
      <c r="C5" s="51"/>
      <c r="D5" s="51"/>
      <c r="E5" s="57" t="s">
        <v>1</v>
      </c>
      <c r="F5" s="57"/>
      <c r="G5" s="57"/>
      <c r="H5" s="57"/>
      <c r="I5" s="57" t="s">
        <v>2</v>
      </c>
      <c r="J5" s="58"/>
    </row>
    <row r="6" spans="1:10" ht="24.9" customHeight="1" thickBot="1" x14ac:dyDescent="0.35">
      <c r="A6" s="10"/>
      <c r="B6" s="52"/>
      <c r="C6" s="53"/>
      <c r="D6" s="53"/>
      <c r="E6" s="11" t="s">
        <v>3</v>
      </c>
      <c r="F6" s="11" t="s">
        <v>4</v>
      </c>
      <c r="G6" s="11" t="s">
        <v>23</v>
      </c>
      <c r="H6" s="11" t="s">
        <v>24</v>
      </c>
      <c r="I6" s="59"/>
      <c r="J6" s="60"/>
    </row>
    <row r="7" spans="1:10" ht="24.9" customHeight="1" x14ac:dyDescent="0.3">
      <c r="A7" s="10"/>
      <c r="B7" s="55" t="s">
        <v>21</v>
      </c>
      <c r="C7" s="56"/>
      <c r="D7" s="56"/>
      <c r="E7" s="27" t="s">
        <v>18</v>
      </c>
      <c r="F7" s="27" t="s">
        <v>19</v>
      </c>
      <c r="G7" s="27" t="s">
        <v>22</v>
      </c>
      <c r="H7" s="27" t="s">
        <v>20</v>
      </c>
      <c r="I7" s="61" t="s">
        <v>25</v>
      </c>
      <c r="J7" s="62"/>
    </row>
    <row r="8" spans="1:10" ht="30" customHeight="1" x14ac:dyDescent="0.3">
      <c r="A8" s="10"/>
      <c r="B8" s="47" t="s">
        <v>184</v>
      </c>
      <c r="C8" s="47"/>
      <c r="D8" s="47"/>
      <c r="E8" s="9">
        <v>5</v>
      </c>
      <c r="F8" s="26">
        <v>4.25</v>
      </c>
      <c r="G8" s="29">
        <f>IFERROR(F8/E8,"")</f>
        <v>0.85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36"/>
      <c r="J8" s="36"/>
    </row>
    <row r="9" spans="1:10" ht="30" customHeight="1" x14ac:dyDescent="0.3">
      <c r="A9" s="10"/>
      <c r="B9" s="47" t="s">
        <v>183</v>
      </c>
      <c r="C9" s="47"/>
      <c r="D9" s="47"/>
      <c r="E9" s="9">
        <v>5</v>
      </c>
      <c r="F9" s="26">
        <v>3.25</v>
      </c>
      <c r="G9" s="29">
        <f>IFERROR(F9/E9,"")</f>
        <v>0.65</v>
      </c>
      <c r="H9" s="30" t="str">
        <f>_xlfn.IFS(F9="أدخل العلامة","",F9="لا ينطبق","تم الإلغاء",G9&gt;=90%,"ممتاز",G9&gt;=80%,"جيد جداً",G9&gt;=70%,"جيد",G9&gt;=60%,"مقبول",G9&lt;60%,"راسب")</f>
        <v>مقبول</v>
      </c>
      <c r="I9" s="36"/>
      <c r="J9" s="36"/>
    </row>
    <row r="10" spans="1:10" ht="30" customHeight="1" x14ac:dyDescent="0.3">
      <c r="A10" s="10"/>
      <c r="B10" s="47" t="s">
        <v>182</v>
      </c>
      <c r="C10" s="47"/>
      <c r="D10" s="47"/>
      <c r="E10" s="9">
        <v>5</v>
      </c>
      <c r="F10" s="26">
        <v>3.75</v>
      </c>
      <c r="G10" s="29">
        <f t="shared" ref="G10:G14" si="0">IFERROR(F10/E10,"")</f>
        <v>0.75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36"/>
      <c r="J10" s="36"/>
    </row>
    <row r="11" spans="1:10" ht="30" customHeight="1" x14ac:dyDescent="0.3">
      <c r="A11" s="10"/>
      <c r="B11" s="47" t="s">
        <v>187</v>
      </c>
      <c r="C11" s="47"/>
      <c r="D11" s="47"/>
      <c r="E11" s="9">
        <v>5</v>
      </c>
      <c r="F11" s="26">
        <v>3.25</v>
      </c>
      <c r="G11" s="29">
        <f t="shared" si="0"/>
        <v>0.65</v>
      </c>
      <c r="H11" s="30" t="str">
        <f t="shared" si="1"/>
        <v>مقبول</v>
      </c>
      <c r="I11" s="36"/>
      <c r="J11" s="36"/>
    </row>
    <row r="12" spans="1:10" ht="30" customHeight="1" x14ac:dyDescent="0.3">
      <c r="A12" s="10"/>
      <c r="B12" s="47" t="s">
        <v>181</v>
      </c>
      <c r="C12" s="47"/>
      <c r="D12" s="47"/>
      <c r="E12" s="9">
        <v>5</v>
      </c>
      <c r="F12" s="26">
        <v>3.5</v>
      </c>
      <c r="G12" s="29">
        <f t="shared" si="0"/>
        <v>0.7</v>
      </c>
      <c r="H12" s="30" t="str">
        <f t="shared" si="1"/>
        <v>جيد</v>
      </c>
      <c r="I12" s="36"/>
      <c r="J12" s="36"/>
    </row>
    <row r="13" spans="1:10" ht="30" customHeight="1" x14ac:dyDescent="0.3">
      <c r="A13" s="10"/>
      <c r="B13" s="47" t="s">
        <v>186</v>
      </c>
      <c r="C13" s="47"/>
      <c r="D13" s="47"/>
      <c r="E13" s="9">
        <v>5</v>
      </c>
      <c r="F13" s="26">
        <v>4</v>
      </c>
      <c r="G13" s="29">
        <f t="shared" si="0"/>
        <v>0.8</v>
      </c>
      <c r="H13" s="30" t="str">
        <f t="shared" si="1"/>
        <v>جيد جداً</v>
      </c>
      <c r="I13" s="36"/>
      <c r="J13" s="36"/>
    </row>
    <row r="14" spans="1:10" ht="30" customHeight="1" x14ac:dyDescent="0.3">
      <c r="A14" s="10"/>
      <c r="B14" s="47" t="s">
        <v>180</v>
      </c>
      <c r="C14" s="47"/>
      <c r="D14" s="47"/>
      <c r="E14" s="9">
        <v>5</v>
      </c>
      <c r="F14" s="26">
        <v>4.25</v>
      </c>
      <c r="G14" s="29">
        <f t="shared" si="0"/>
        <v>0.85</v>
      </c>
      <c r="H14" s="30" t="str">
        <f t="shared" si="1"/>
        <v>جيد جداً</v>
      </c>
      <c r="I14" s="36"/>
      <c r="J14" s="36"/>
    </row>
    <row r="15" spans="1:10" ht="30" customHeight="1" thickBot="1" x14ac:dyDescent="0.35">
      <c r="A15" s="4"/>
      <c r="B15" s="63" t="s">
        <v>5</v>
      </c>
      <c r="C15" s="64"/>
      <c r="D15" s="64"/>
      <c r="E15" s="28">
        <f>SUM(E8:E14)</f>
        <v>35</v>
      </c>
      <c r="F15" s="28">
        <f>SUM(F8:F14)</f>
        <v>26.25</v>
      </c>
      <c r="G15" s="33"/>
      <c r="H15" s="34"/>
      <c r="I15" s="34"/>
      <c r="J15" s="35"/>
    </row>
    <row r="16" spans="1:10" ht="30" customHeight="1" thickBot="1" x14ac:dyDescent="0.35">
      <c r="A16" s="4"/>
      <c r="B16" s="45" t="s">
        <v>54</v>
      </c>
      <c r="C16" s="46"/>
      <c r="D16" s="46"/>
      <c r="E16" s="43">
        <f>F15/E15/100*100</f>
        <v>0.75</v>
      </c>
      <c r="F16" s="43"/>
      <c r="G16" s="43"/>
      <c r="H16" s="43"/>
      <c r="I16" s="43"/>
      <c r="J16" s="44"/>
    </row>
    <row r="17" spans="1:10" ht="30" customHeight="1" thickBot="1" x14ac:dyDescent="0.35">
      <c r="A17" s="4"/>
      <c r="B17" s="45" t="s">
        <v>55</v>
      </c>
      <c r="C17" s="46"/>
      <c r="D17" s="46"/>
      <c r="E17" s="41" t="str">
        <f>_xlfn.IFS(E16&gt;=90%,"ممتاز",E16&gt;=80%,"جيد جداً",E16&gt;=70%,"جيد",E16&gt;=60%,"مقبول",E16&lt;60%,"راسب")</f>
        <v>جيد</v>
      </c>
      <c r="F17" s="41"/>
      <c r="G17" s="41"/>
      <c r="H17" s="41"/>
      <c r="I17" s="41"/>
      <c r="J17" s="42"/>
    </row>
    <row r="18" spans="1:10" ht="42" customHeight="1" x14ac:dyDescent="0.3">
      <c r="B18" s="37" t="s">
        <v>174</v>
      </c>
      <c r="C18" s="37"/>
      <c r="D18" s="37"/>
      <c r="E18" s="31" t="s">
        <v>52</v>
      </c>
      <c r="F18" s="31"/>
      <c r="G18" s="39" t="s">
        <v>114</v>
      </c>
      <c r="H18" s="39"/>
      <c r="I18" s="39"/>
      <c r="J18" s="39"/>
    </row>
    <row r="19" spans="1:10" ht="51" customHeight="1" x14ac:dyDescent="0.3">
      <c r="A19" s="5"/>
      <c r="B19" s="38"/>
      <c r="C19" s="38"/>
      <c r="D19" s="38"/>
      <c r="E19" s="32" t="s">
        <v>53</v>
      </c>
      <c r="F19" s="32"/>
      <c r="G19" s="40"/>
      <c r="H19" s="40"/>
      <c r="I19" s="40"/>
      <c r="J19" s="40"/>
    </row>
  </sheetData>
  <sheetProtection formatCells="0" formatColumns="0" formatRows="0" insertColumns="0" insertRows="0" insertHyperlinks="0" deleteColumns="0" deleteRows="0" selectLockedCells="1" sort="0" autoFilter="0" pivotTables="0"/>
  <mergeCells count="36">
    <mergeCell ref="B15:D15"/>
    <mergeCell ref="B16:D16"/>
    <mergeCell ref="B8:D8"/>
    <mergeCell ref="B9:D9"/>
    <mergeCell ref="B10:D10"/>
    <mergeCell ref="B11:D11"/>
    <mergeCell ref="B12:D12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C4:D4"/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2025-10-15T15:52:50Z</dcterms:modified>
</cp:coreProperties>
</file>