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90C265A1-F10A-BF41-9327-44700C825AA0}"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<sst xmlns="http://schemas.openxmlformats.org/spreadsheetml/2006/main" count="258" uniqueCount="202">
  <si>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</si>
  <si>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</si>
  <si>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</si>
  <si>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</si>
  <si>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</si>
  <si>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</si>
  <si>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</si>
  <si>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</si>
  <si>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</si>
  <si>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</si>
  <si>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</si>
  <si>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</si>
  <si>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</si>
  <si>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</si>
  <si>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</si>
  <si>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</si>
  <si>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</si>
  <si>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</si>
  <si>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</si>
  <si>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</si>
  <si>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</si>
  <si>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</si>
  <si>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</si>
  <si>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</si>
  <si>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</si>
  <si>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</si>
  <si>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</si>
  <si>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</si>
  <si>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</si>
  <si>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</si>
  <si>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</si>
  <si>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</si>
  <si>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</si>
  <si>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</si>
  <si>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</si>
  <si>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</si>
  <si>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</si>
  <si>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</si>
  <si>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</si>
  <si>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</si>
  <si>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</si>
  <si>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</si>
  <si>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</si>
  <si>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</si>
  <si>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</si>
  <si>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</si>
  <si>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</si>
  <si>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</si>
  <si>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</si>
  <si>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</si>
  <si>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</si>
  <si>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</si>
  <si>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</si>
  <si>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</si>
  <si>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</si>
  <si>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</si>
  <si>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</si>
  <si>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</si>
  <si>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</si>
  <si>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</si>
  <si>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</si>
  <si>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</si>
  <si>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</si>
  <si>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</si>
  <si>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</si>
  <si>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</si>
  <si>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</si>
  <si>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</si>
  <si>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</si>
  <si>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</si>
  <si>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</si>
  <si>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</si>
  <si>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</si>
  <si>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</si>
  <si>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</si>
  <si>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</si>
  <si>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</si>
  <si>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</si>
  <si>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</si>
  <si>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</si>
  <si>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</si>
  <si>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</si>
  <si>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</si>
  <si>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</si>
  <si>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</si>
  <si>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</si>
  <si>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</si>
  <si>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</si>
  <si>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</si>
  <si>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</si>
  <si>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</si>
  <si>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</si>
  <si>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</si>
  <si>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</si>
  <si>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</si>
  <si>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</si>
  <si>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</si>
  <si>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</si>
  <si>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</si>
  <si>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</si>
  <si>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</si>
  <si>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</si>
  <si>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</si>
  <si>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</si>
  <si>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</si>
  <si>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</si>
  <si>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</si>
  <si>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</si>
  <si>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</si>
  <si>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</si>
  <si>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</si>
  <si>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</si>
  <si>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</si>
  <si>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</si>
  <si>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</si>
  <si>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</si>
  <si>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</si>
  <si>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</si>
  <si>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</si>
  <si>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</si>
  <si>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</si>
  <si>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</si>
  <si>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</si>
  <si>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</si>
  <si>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</si>
  <si>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</si>
  <si>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</si>
  <si>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</si>
  <si>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</si>
  <si>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</si>
  <si>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</si>
  <si>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</si>
  <si>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</si>
  <si>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</si>
  <si>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</si>
  <si>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</si>
  <si>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</si>
  <si>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</si>
  <si>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</si>
  <si>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</si>
  <si>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</si>
  <si>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</si>
  <si>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</si>
  <si>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</si>
  <si>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</si>
  <si>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</si>
  <si>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</si>
  <si>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</si>
  <si>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</si>
  <si>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</si>
  <si>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</si>
  <si>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</si>
  <si>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</si>
  <si>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</si>
  <si>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</si>
  <si>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</si>
  <si>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</si>
  <si>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</si>
  <si>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</si>
  <si>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</si>
  <si>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</si>
  <si>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</si>
  <si>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</si>
  <si>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</si>
  <si>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</si>
  <si>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</si>
  <si>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</si>
  <si>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</si>
  <si>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</si>
  <si>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</si>
  <si>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</si>
  <si>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</si>
  <si>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</si>
  <si>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</si>
  <si>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</si>
  <si>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</si>
  <si>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</si>
  <si>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</si>
  <si>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</si>
  <si>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</si>
  <si>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</si>
  <si>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</si>
  <si>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</si>
  <si>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</si>
  <si>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</si>
  <si>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</si>
  <si>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</si>
  <si>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</si>
  <si>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</si>
  <si>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</si>
  <si>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</si>
  <si>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</si>
  <si>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</si>
  <si>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</si>
  <si>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</si>
  <si>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</si>
  <si>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</si>
  <si>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</si>
  <si>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</si>
  <si>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</si>
  <si>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t>1.</t>
    </r>
    <r>
      <rPr>
        <sz val="7"/>
        <color theme="1"/>
        <rFont val="Arial"/>
        <family val="2"/>
      </rPr>
      <t xml:space="preserve">      </t>
    </r>
    <r>
      <rPr>
        <sz val="12"/>
        <color rgb="FF000000"/>
        <rFont val="Arial"/>
        <family val="2"/>
      </rPr>
      <t xml:space="preserve"> يقوم قائد الكتيبة بإرسال التقارير باستخدام وسائل الاتصال المتوفرة.</t>
    </r>
  </si>
  <si>
    <r>
      <rPr>
        <b/>
        <sz val="14"/>
        <color rgb="FF000000"/>
        <rFont val="Arial"/>
        <family val="2"/>
      </rPr>
      <t>تقييم الكتيبة/مجموعة القتال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</si>
</sst>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8" Type="http://schemas.openxmlformats.org/officeDocument/2006/relationships/image" Target="../media/image4.png" /><Relationship Id="rId13" Type="http://schemas.openxmlformats.org/officeDocument/2006/relationships/customXml" Target="../ink/ink7.xml" /><Relationship Id="rId3" Type="http://schemas.openxmlformats.org/officeDocument/2006/relationships/customXml" Target="../ink/ink2.xml" /><Relationship Id="rId7" Type="http://schemas.openxmlformats.org/officeDocument/2006/relationships/customXml" Target="../ink/ink4.xml" /><Relationship Id="rId12" Type="http://schemas.openxmlformats.org/officeDocument/2006/relationships/image" Target="../media/image6.png" /><Relationship Id="rId2" Type="http://schemas.openxmlformats.org/officeDocument/2006/relationships/image" Target="../media/image1.png" /><Relationship Id="rId16" Type="http://schemas.openxmlformats.org/officeDocument/2006/relationships/image" Target="../media/image8.png" /><Relationship Id="rId1" Type="http://schemas.openxmlformats.org/officeDocument/2006/relationships/customXml" Target="../ink/ink1.xml" /><Relationship Id="rId6" Type="http://schemas.openxmlformats.org/officeDocument/2006/relationships/image" Target="../media/image3.png" /><Relationship Id="rId11" Type="http://schemas.openxmlformats.org/officeDocument/2006/relationships/customXml" Target="../ink/ink6.xml" /><Relationship Id="rId5" Type="http://schemas.openxmlformats.org/officeDocument/2006/relationships/customXml" Target="../ink/ink3.xml" /><Relationship Id="rId15" Type="http://schemas.openxmlformats.org/officeDocument/2006/relationships/customXml" Target="../ink/ink8.xml" /><Relationship Id="rId10" Type="http://schemas.openxmlformats.org/officeDocument/2006/relationships/image" Target="../media/image5.png" /><Relationship Id="rId4" Type="http://schemas.openxmlformats.org/officeDocument/2006/relationships/image" Target="../media/image2.png" /><Relationship Id="rId9" Type="http://schemas.openxmlformats.org/officeDocument/2006/relationships/customXml" Target="../ink/ink5.xml" /><Relationship Id="rId14" Type="http://schemas.openxmlformats.org/officeDocument/2006/relationships/image" Target="../media/image7.png" /></Relationships>
</file>

<file path=xl/drawings/drawing1.xml><?xml version="1.0" encoding="utf-8"?>
<xdr:wsDr xmlns:xdr="http://schemas.openxmlformats.org/drawingml/2006/spreadsheetDrawing" xmlns:a="http://schemas.openxmlformats.org/drawingml/2006/main">
  <xdr:twoCellAnchor editAs="oneCell">
    <xdr:from>
      <xdr:col>7</xdr:col>
      <xdr:colOff>217334</xdr:colOff>
      <xdr:row>36</xdr:row>
      <xdr:rowOff>44337</xdr:rowOff>
    </xdr:from>
    <xdr:to>
      <xdr:col>8</xdr:col>
      <xdr:colOff>385511</xdr:colOff>
      <xdr:row>36</xdr:row>
      <xdr:rowOff>587577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23DDBB0-0C54-9486-6CCF-AAFA672AAC0A}"/>
                </a:ext>
              </a:extLst>
            </xdr14:cNvPr>
            <xdr14:cNvContentPartPr/>
          </xdr14:nvContentPartPr>
          <xdr14:nvPr macro=""/>
          <xdr14:xfrm>
            <a:off x="10423317289" y="18300960"/>
            <a:ext cx="822600" cy="543240"/>
          </xdr14:xfrm>
        </xdr:contentPart>
      </mc:Choice>
      <mc:Fallback xmlns="">
        <xdr:pic>
          <xdr:nvPicPr>
            <xdr:cNvPr id="2" name="Ink 1">
              <a:extLst>
                <a:ext uri="{FF2B5EF4-FFF2-40B4-BE49-F238E27FC236}">
                  <a16:creationId xmlns:a16="http://schemas.microsoft.com/office/drawing/2014/main" id="{423DDBB0-0C54-9486-6CCF-AAFA672AAC0A}"/>
                </a:ext>
              </a:extLst>
            </xdr:cNvPr>
            <xdr:cNvPicPr/>
          </xdr:nvPicPr>
          <xdr:blipFill>
            <a:blip xmlns:r="http://schemas.openxmlformats.org/officeDocument/2006/relationships" r:embed="rId2"/>
            <a:stretch>
              <a:fillRect/>
            </a:stretch>
          </xdr:blipFill>
          <xdr:spPr>
            <a:xfrm>
              <a:off x="10423308649" y="18291960"/>
              <a:ext cx="840240" cy="560880"/>
            </a:xfrm>
            <a:prstGeom prst="rect">
              <a:avLst/>
            </a:prstGeom>
          </xdr:spPr>
        </xdr:pic>
      </mc:Fallback>
    </mc:AlternateContent>
    <xdr:clientData/>
  </xdr:twoCellAnchor>
  <xdr:twoCellAnchor editAs="oneCell">
    <xdr:from>
      <xdr:col>7</xdr:col>
      <xdr:colOff>524774</xdr:colOff>
      <xdr:row>36</xdr:row>
      <xdr:rowOff>212097</xdr:rowOff>
    </xdr:from>
    <xdr:to>
      <xdr:col>8</xdr:col>
      <xdr:colOff>515111</xdr:colOff>
      <xdr:row>37</xdr:row>
      <xdr:rowOff>99995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BBC52655-918A-51F6-1ED0-F81CCBCE0A68}"/>
                </a:ext>
              </a:extLst>
            </xdr14:cNvPr>
            <xdr14:cNvContentPartPr/>
          </xdr14:nvContentPartPr>
          <xdr14:nvPr macro=""/>
          <xdr14:xfrm>
            <a:off x="10423187689" y="18468720"/>
            <a:ext cx="644760" cy="537840"/>
          </xdr14:xfrm>
        </xdr:contentPart>
      </mc:Choice>
      <mc:Fallback xmlns="">
        <xdr:pic>
          <xdr:nvPicPr>
            <xdr:cNvPr id="3" name="Ink 2">
              <a:extLst>
                <a:ext uri="{FF2B5EF4-FFF2-40B4-BE49-F238E27FC236}">
                  <a16:creationId xmlns:a16="http://schemas.microsoft.com/office/drawing/2014/main" id="{BBC52655-918A-51F6-1ED0-F81CCBCE0A68}"/>
                </a:ext>
              </a:extLst>
            </xdr:cNvPr>
            <xdr:cNvPicPr/>
          </xdr:nvPicPr>
          <xdr:blipFill>
            <a:blip xmlns:r="http://schemas.openxmlformats.org/officeDocument/2006/relationships" r:embed="rId4"/>
            <a:stretch>
              <a:fillRect/>
            </a:stretch>
          </xdr:blipFill>
          <xdr:spPr>
            <a:xfrm>
              <a:off x="10423179049" y="18459720"/>
              <a:ext cx="662400" cy="555480"/>
            </a:xfrm>
            <a:prstGeom prst="rect">
              <a:avLst/>
            </a:prstGeom>
          </xdr:spPr>
        </xdr:pic>
      </mc:Fallback>
    </mc:AlternateContent>
    <xdr:clientData/>
  </xdr:twoCellAnchor>
  <xdr:twoCellAnchor editAs="oneCell">
    <xdr:from>
      <xdr:col>2</xdr:col>
      <xdr:colOff>408424</xdr:colOff>
      <xdr:row>1</xdr:row>
      <xdr:rowOff>217178</xdr:rowOff>
    </xdr:from>
    <xdr:to>
      <xdr:col>2</xdr:col>
      <xdr:colOff>412024</xdr:colOff>
      <xdr:row>1</xdr:row>
      <xdr:rowOff>220418</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6BBEBD0B-AEF4-A1E8-CD76-0B80F8C5CBB2}"/>
                </a:ext>
              </a:extLst>
            </xdr14:cNvPr>
            <xdr14:cNvContentPartPr/>
          </xdr14:nvContentPartPr>
          <xdr14:nvPr macro=""/>
          <xdr14:xfrm>
            <a:off x="10428535129" y="790920"/>
            <a:ext cx="3600" cy="3240"/>
          </xdr14:xfrm>
        </xdr:contentPart>
      </mc:Choice>
      <mc:Fallback xmlns="">
        <xdr:pic>
          <xdr:nvPicPr>
            <xdr:cNvPr id="4" name="Ink 3">
              <a:extLst>
                <a:ext uri="{FF2B5EF4-FFF2-40B4-BE49-F238E27FC236}">
                  <a16:creationId xmlns:a16="http://schemas.microsoft.com/office/drawing/2014/main" id="{6BBEBD0B-AEF4-A1E8-CD76-0B80F8C5CBB2}"/>
                </a:ext>
              </a:extLst>
            </xdr:cNvPr>
            <xdr:cNvPicPr/>
          </xdr:nvPicPr>
          <xdr:blipFill>
            <a:blip xmlns:r="http://schemas.openxmlformats.org/officeDocument/2006/relationships" r:embed="rId6"/>
            <a:stretch>
              <a:fillRect/>
            </a:stretch>
          </xdr:blipFill>
          <xdr:spPr>
            <a:xfrm>
              <a:off x="10428526129" y="781920"/>
              <a:ext cx="21240" cy="20880"/>
            </a:xfrm>
            <a:prstGeom prst="rect">
              <a:avLst/>
            </a:prstGeom>
          </xdr:spPr>
        </xdr:pic>
      </mc:Fallback>
    </mc:AlternateContent>
    <xdr:clientData/>
  </xdr:twoCellAnchor>
  <xdr:twoCellAnchor editAs="oneCell">
    <xdr:from>
      <xdr:col>3</xdr:col>
      <xdr:colOff>1343331</xdr:colOff>
      <xdr:row>1</xdr:row>
      <xdr:rowOff>141578</xdr:rowOff>
    </xdr:from>
    <xdr:to>
      <xdr:col>3</xdr:col>
      <xdr:colOff>1368531</xdr:colOff>
      <xdr:row>1</xdr:row>
      <xdr:rowOff>155618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0DD9C3B7-B501-91DD-7EFC-4313A7CBA6BB}"/>
                </a:ext>
              </a:extLst>
            </xdr14:cNvPr>
            <xdr14:cNvContentPartPr/>
          </xdr14:nvContentPartPr>
          <xdr14:nvPr macro=""/>
          <xdr14:xfrm>
            <a:off x="10426942129" y="715320"/>
            <a:ext cx="25200" cy="14040"/>
          </xdr14:xfrm>
        </xdr:contentPart>
      </mc:Choice>
      <mc:Fallback xmlns="">
        <xdr:pic>
          <xdr:nvPicPr>
            <xdr:cNvPr id="5" name="Ink 4">
              <a:extLst>
                <a:ext uri="{FF2B5EF4-FFF2-40B4-BE49-F238E27FC236}">
                  <a16:creationId xmlns:a16="http://schemas.microsoft.com/office/drawing/2014/main" id="{0DD9C3B7-B501-91DD-7EFC-4313A7CBA6BB}"/>
                </a:ext>
              </a:extLst>
            </xdr:cNvPr>
            <xdr:cNvPicPr/>
          </xdr:nvPicPr>
          <xdr:blipFill>
            <a:blip xmlns:r="http://schemas.openxmlformats.org/officeDocument/2006/relationships" r:embed="rId8"/>
            <a:stretch>
              <a:fillRect/>
            </a:stretch>
          </xdr:blipFill>
          <xdr:spPr>
            <a:xfrm>
              <a:off x="10426933489" y="706680"/>
              <a:ext cx="42840" cy="31680"/>
            </a:xfrm>
            <a:prstGeom prst="rect">
              <a:avLst/>
            </a:prstGeom>
          </xdr:spPr>
        </xdr:pic>
      </mc:Fallback>
    </mc:AlternateContent>
    <xdr:clientData/>
  </xdr:twoCellAnchor>
  <xdr:twoCellAnchor editAs="oneCell">
    <xdr:from>
      <xdr:col>2</xdr:col>
      <xdr:colOff>539824</xdr:colOff>
      <xdr:row>1</xdr:row>
      <xdr:rowOff>100538</xdr:rowOff>
    </xdr:from>
    <xdr:to>
      <xdr:col>2</xdr:col>
      <xdr:colOff>557824</xdr:colOff>
      <xdr:row>1</xdr:row>
      <xdr:rowOff>126458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1564AC6C-DD31-FD40-AC34-E31EA03E9E37}"/>
                </a:ext>
              </a:extLst>
            </xdr14:cNvPr>
            <xdr14:cNvContentPartPr/>
          </xdr14:nvContentPartPr>
          <xdr14:nvPr macro=""/>
          <xdr14:xfrm>
            <a:off x="10428389329" y="674280"/>
            <a:ext cx="18000" cy="25920"/>
          </xdr14:xfrm>
        </xdr:contentPart>
      </mc:Choice>
      <mc:Fallback xmlns="">
        <xdr:pic>
          <xdr:nvPicPr>
            <xdr:cNvPr id="6" name="Ink 5">
              <a:extLst>
                <a:ext uri="{FF2B5EF4-FFF2-40B4-BE49-F238E27FC236}">
                  <a16:creationId xmlns:a16="http://schemas.microsoft.com/office/drawing/2014/main" id="{1564AC6C-DD31-FD40-AC34-E31EA03E9E37}"/>
                </a:ext>
              </a:extLst>
            </xdr:cNvPr>
            <xdr:cNvPicPr/>
          </xdr:nvPicPr>
          <xdr:blipFill>
            <a:blip xmlns:r="http://schemas.openxmlformats.org/officeDocument/2006/relationships" r:embed="rId10"/>
            <a:stretch>
              <a:fillRect/>
            </a:stretch>
          </xdr:blipFill>
          <xdr:spPr>
            <a:xfrm>
              <a:off x="10428380329" y="665640"/>
              <a:ext cx="35640" cy="43560"/>
            </a:xfrm>
            <a:prstGeom prst="rect">
              <a:avLst/>
            </a:prstGeom>
          </xdr:spPr>
        </xdr:pic>
      </mc:Fallback>
    </mc:AlternateContent>
    <xdr:clientData/>
  </xdr:twoCellAnchor>
  <xdr:twoCellAnchor editAs="oneCell">
    <xdr:from>
      <xdr:col>2</xdr:col>
      <xdr:colOff>468904</xdr:colOff>
      <xdr:row>1</xdr:row>
      <xdr:rowOff>141218</xdr:rowOff>
    </xdr:from>
    <xdr:to>
      <xdr:col>2</xdr:col>
      <xdr:colOff>490864</xdr:colOff>
      <xdr:row>1</xdr:row>
      <xdr:rowOff>167498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 name="Ink 6">
              <a:extLst>
                <a:ext uri="{FF2B5EF4-FFF2-40B4-BE49-F238E27FC236}">
                  <a16:creationId xmlns:a16="http://schemas.microsoft.com/office/drawing/2014/main" id="{A4C0F14F-A3DC-3F79-4D76-8CA6DC9DD88E}"/>
                </a:ext>
              </a:extLst>
            </xdr14:cNvPr>
            <xdr14:cNvContentPartPr/>
          </xdr14:nvContentPartPr>
          <xdr14:nvPr macro=""/>
          <xdr14:xfrm>
            <a:off x="10428456289" y="714960"/>
            <a:ext cx="21960" cy="26280"/>
          </xdr14:xfrm>
        </xdr:contentPart>
      </mc:Choice>
      <mc:Fallback xmlns="">
        <xdr:pic>
          <xdr:nvPicPr>
            <xdr:cNvPr id="7" name="Ink 6">
              <a:extLst>
                <a:ext uri="{FF2B5EF4-FFF2-40B4-BE49-F238E27FC236}">
                  <a16:creationId xmlns:a16="http://schemas.microsoft.com/office/drawing/2014/main" id="{A4C0F14F-A3DC-3F79-4D76-8CA6DC9DD88E}"/>
                </a:ext>
              </a:extLst>
            </xdr:cNvPr>
            <xdr:cNvPicPr/>
          </xdr:nvPicPr>
          <xdr:blipFill>
            <a:blip xmlns:r="http://schemas.openxmlformats.org/officeDocument/2006/relationships" r:embed="rId12"/>
            <a:stretch>
              <a:fillRect/>
            </a:stretch>
          </xdr:blipFill>
          <xdr:spPr>
            <a:xfrm>
              <a:off x="10428447289" y="705960"/>
              <a:ext cx="39600" cy="43920"/>
            </a:xfrm>
            <a:prstGeom prst="rect">
              <a:avLst/>
            </a:prstGeom>
          </xdr:spPr>
        </xdr:pic>
      </mc:Fallback>
    </mc:AlternateContent>
    <xdr:clientData/>
  </xdr:twoCellAnchor>
  <xdr:twoCellAnchor editAs="oneCell">
    <xdr:from>
      <xdr:col>3</xdr:col>
      <xdr:colOff>1211931</xdr:colOff>
      <xdr:row>1</xdr:row>
      <xdr:rowOff>262538</xdr:rowOff>
    </xdr:from>
    <xdr:to>
      <xdr:col>3</xdr:col>
      <xdr:colOff>1224171</xdr:colOff>
      <xdr:row>1</xdr:row>
      <xdr:rowOff>278738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8" name="Ink 7">
              <a:extLst>
                <a:ext uri="{FF2B5EF4-FFF2-40B4-BE49-F238E27FC236}">
                  <a16:creationId xmlns:a16="http://schemas.microsoft.com/office/drawing/2014/main" id="{2C1F1AAD-2728-56A5-0681-9C113DB2E90B}"/>
                </a:ext>
              </a:extLst>
            </xdr14:cNvPr>
            <xdr14:cNvContentPartPr/>
          </xdr14:nvContentPartPr>
          <xdr14:nvPr macro=""/>
          <xdr14:xfrm>
            <a:off x="10427086489" y="836280"/>
            <a:ext cx="12240" cy="16200"/>
          </xdr14:xfrm>
        </xdr:contentPart>
      </mc:Choice>
      <mc:Fallback xmlns="">
        <xdr:pic>
          <xdr:nvPicPr>
            <xdr:cNvPr id="8" name="Ink 7">
              <a:extLst>
                <a:ext uri="{FF2B5EF4-FFF2-40B4-BE49-F238E27FC236}">
                  <a16:creationId xmlns:a16="http://schemas.microsoft.com/office/drawing/2014/main" id="{2C1F1AAD-2728-56A5-0681-9C113DB2E90B}"/>
                </a:ext>
              </a:extLst>
            </xdr:cNvPr>
            <xdr:cNvPicPr/>
          </xdr:nvPicPr>
          <xdr:blipFill>
            <a:blip xmlns:r="http://schemas.openxmlformats.org/officeDocument/2006/relationships" r:embed="rId14"/>
            <a:stretch>
              <a:fillRect/>
            </a:stretch>
          </xdr:blipFill>
          <xdr:spPr>
            <a:xfrm>
              <a:off x="10427077489" y="827280"/>
              <a:ext cx="29880" cy="33840"/>
            </a:xfrm>
            <a:prstGeom prst="rect">
              <a:avLst/>
            </a:prstGeom>
          </xdr:spPr>
        </xdr:pic>
      </mc:Fallback>
    </mc:AlternateContent>
    <xdr:clientData/>
  </xdr:twoCellAnchor>
  <xdr:twoCellAnchor editAs="oneCell">
    <xdr:from>
      <xdr:col>3</xdr:col>
      <xdr:colOff>753291</xdr:colOff>
      <xdr:row>1</xdr:row>
      <xdr:rowOff>162818</xdr:rowOff>
    </xdr:from>
    <xdr:to>
      <xdr:col>3</xdr:col>
      <xdr:colOff>775251</xdr:colOff>
      <xdr:row>1</xdr:row>
      <xdr:rowOff>176858</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 name="Ink 8">
              <a:extLst>
                <a:ext uri="{FF2B5EF4-FFF2-40B4-BE49-F238E27FC236}">
                  <a16:creationId xmlns:a16="http://schemas.microsoft.com/office/drawing/2014/main" id="{BED82A1D-7992-BBEA-24EA-037795B6F2B7}"/>
                </a:ext>
              </a:extLst>
            </xdr14:cNvPr>
            <xdr14:cNvContentPartPr/>
          </xdr14:nvContentPartPr>
          <xdr14:nvPr macro=""/>
          <xdr14:xfrm>
            <a:off x="10427535409" y="736560"/>
            <a:ext cx="21960" cy="14040"/>
          </xdr14:xfrm>
        </xdr:contentPart>
      </mc:Choice>
      <mc:Fallback xmlns="">
        <xdr:pic>
          <xdr:nvPicPr>
            <xdr:cNvPr id="9" name="Ink 8">
              <a:extLst>
                <a:ext uri="{FF2B5EF4-FFF2-40B4-BE49-F238E27FC236}">
                  <a16:creationId xmlns:a16="http://schemas.microsoft.com/office/drawing/2014/main" id="{BED82A1D-7992-BBEA-24EA-037795B6F2B7}"/>
                </a:ext>
              </a:extLst>
            </xdr:cNvPr>
            <xdr:cNvPicPr/>
          </xdr:nvPicPr>
          <xdr:blipFill>
            <a:blip xmlns:r="http://schemas.openxmlformats.org/officeDocument/2006/relationships" r:embed="rId16"/>
            <a:stretch>
              <a:fillRect/>
            </a:stretch>
          </xdr:blipFill>
          <xdr:spPr>
            <a:xfrm>
              <a:off x="10427526769" y="727560"/>
              <a:ext cx="39600" cy="316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4:37:09.228"/>
    </inkml:context>
    <inkml:brush xml:id="br0">
      <inkml:brushProperty name="width" value="0.05" units="cm"/>
      <inkml:brushProperty name="height" value="0.05" units="cm"/>
    </inkml:brush>
  </inkml:definitions>
  <inkml:trace contextRef="#ctx0" brushRef="#br0">2208 772 7249,'0'0'0,"-2"-2"776,2 2-776,-4-4 216,0 0-144,3 2-112,0 2-80,1 0-40,0 4 16,0-4 144,0 3-112,0 2 32,0 5 24,0-7 16,0 8 16,0-7 8,0-4 16,-1 10 0,-3-5 0,1 7-8,-7-1 0,6 1 16,-9-3-24,13-9 16,-9 11-8,-3-1 0,0-5-8,-1 5 0,-1-6-8,1 1-16,13-5 40,-15 5-64,-1-2-40,-1 0-64,-1-2-32,2 0-40,-2-1-32,18 0 272,-17 0-344,-1-2-40,1-2-40,-1-7 16,0 8 63,0-11 73,18 14 272,-17-9-200,2-4 88,-3 0 56,1-3 48,-2 0 16,-2 2 8,21 14-16,-20-13 64,0 0 24,-1-1 56,-1 4 40,-1-1 8,0 1 41,23 10-233,-25-2 272,1-9-72,-3 9-24,0-2-56,-1 0-80,-3 1 32,31 3-72,-30 0 48,-2 0-8,1 0-16,1 0 0,-1 0-16,0 1-56,31-1 48,-32 2 48,1 1-56,-1 0 0,1 0 40,-2-2-72,3 0 72,30-1-32,-28 3 8,-1-2-24,1-1-72,-1 0-104,3-3-64,1 1-96,25 2 352,-25-4-369,2-5 17,1 5 24,3-10 48,0 2 16,2 0 104,17 12 160,-15-13-152,0-2 64,2 1 64,1-3 8,1 2 16,2-2 56,9 17-56,-5-18 24,-4-1-8,6-2 40,1 1-80,0 0 32,2-2-24,0 22 16,4-23-32,7-1 8,-2-1-16,3 2 8,3 2-8,0-1 16,-15 22 24,20-23-24,0 2-8,3-1 0,2 3 32,4 0 8,1 0-48,-30 19 40,32-19-16,3 2-40,-1 0 16,5 1 40,-1 0-32,3-1 40,-41 17-8,42-16-16,0 2 16,1 3 56,0 2-64,1 5 40,1-9-24,-45 13-8,46-3-16,1 0 16,0-1 24,0 1 64,-2-1-88,1 2 32,-46 2-32,44-3-40,1 3-32,-2 0 96,-3 1-48,1 3 24,-3 0 16,-38-4-16,38 9 0,-2-5 80,-3 7-32,-3-7 16,-1 10-24,-3-4-40,-26-10 0,25 12 48,-2 1-32,-1 1 80,-3-2-24,-1 0 8,-5-2 16,-13-10-96,12 14 88,-8-1 72,7 0 72,-11 1 40,2 1 56,-2-1 57,0-14-385,-1 18 424,-10 0 16,-2 2-56,-4 2 0,-5 2-64,-3 1-72,25-25-248,-29 28 256,-3 3-40,-5-2-64,-4 2-24,-3 1-24,-5 2-48,49-34-56,-53 36 104,-3 2 72,-3-1-72,-4 0 32,0 0 0,-4-1-48,67-36-88,-70 39 176,0 0-56,-3 1-16,-2-1-32,2 0-8,-1-2 8,74-37-72,-76 37 88,2-1 25,0 1-33,-1-1 8,2-1-16,3-2-56,70-33-16,-70 33 40,4-2-16,4-2 0,4-2 8,2-3-16,6-1 40,50-23-56,-49 23 24,2-3-16,5-1-32,1-2-168,4-1-209,6-3-391,31-13 792,-30 12-1376,3-1-528,6-7 255,0 1-383,4-1 568,17-4 1464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4:37:10.076"/>
    </inkml:context>
    <inkml:brush xml:id="br0">
      <inkml:brushProperty name="width" value="0.05" units="cm"/>
      <inkml:brushProperty name="height" value="0.05" units="cm"/>
    </inkml:brush>
  </inkml:definitions>
  <inkml:trace contextRef="#ctx0" brushRef="#br0">1790 16 12130,'0'0'0,"-15"-4"792,-4-5-272,19 9-520,-27-3 368,1 3-208,-1 4-112,-4 9-48,-1 3 0,-4 2 8,36-18-8,-37 20-8,-1 2 16,-2 0-24,-1 4 24,-2-1-8,-1 1 8,44-26-8,-45 28 17,2 0-34,-1 1 17,1 0-8,0 1-8,0-2-40,43-28 56,-42 26-144,2-1-176,4-2-192,1-2-208,2 0-288,2-3-232,31-18 1240,-29 17-1361,1-4-199,4-1-56,3 0 143,0-3 297,3-4 456,18-5 720,-18 11-368,2-8 240,-1 0 96,1-2 8,1 0 8,0-1 24,15 0-8,-14 0 0,0 0 32,0 0 8,2-3 40,-1-1 144,0-6 104,13 10-328,-14 0 432,-1-2 40,-2 0-56,1 2-72,-1 0-16,-1 0 16,18 0-344,-18 0 353,-1 1 31,0 2-24,-2 0-8,2 0-40,-3 2-96,22-5-216,-21 10 208,-2-8-72,0 3-64,2 5 8,2-8-48,-1 3-32,20-5 0,-18 3 48,3 1 0,-1-2-16,2 1 24,0-2-80,0 0-64,14-1 88,-12 0-304,0 0-320,0 0-320,2-2-209,0-1 17,-1-7 344,11 10 792,-9-10-496,-1-2-1136,10 12 1632</inkml:trace>
  <inkml:trace contextRef="#ctx0" brushRef="#br0" timeOffset="1">65 271 1968,'0'0'0,"10"-14"216,0-1 16,2-4-40,0 4-72,-1 3-16,-11 12-104,11-11 104,-1 1-16,1 7-16,0-7 40,0 8-40,-2-1-48,-9 3-24,10-2 40,-1 0-88,-5 2 16,10 0 72,-10 2 0,6 3-32,-10-5-8,2 11 16,2-1-8,5 2 40,-9 5 120,0 2 8,0 3 32,0-22-208,0 26 208,-1 2-64,-3 5 0,-6 2 40,5 2-79,-8 2 55,13-39-160,-11 37 168,-2 5 24,-1 2 88,0 3-64,-1 3 16,-1-1-32,16-49-200,-18 52 184,1-1 88,0-2-24,2 1-24,0-2-24,2-2-8,13-46-192,-11 47 176,2-3 8,5-1 80,-5-3-24,8-4 16,-1-4 0,2-32-256,-1 30 200,1-1-8,4-3 9,9-2 15,-2-3 8,1-3 56,-12-18-280,15 17 264,3-3 16,1-1-16,4-1 24,1-1-24,3-6-24,-27-5-240,28 10 224,5-7-64,1 0-16,6-1-24,2-2-56,1-3-40,-43 3-24,44-3-40,3-9-96,2 2-192,4-1-304,1-2-632,3-2-713,-57 15 1977,60-17-2744,3-4-1881,-63 21 4625</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4:37:13.696"/>
    </inkml:context>
    <inkml:brush xml:id="br0">
      <inkml:brushProperty name="width" value="0.05" units="cm"/>
      <inkml:brushProperty name="height" value="0.05" units="cm"/>
    </inkml:brush>
  </inkml:definitions>
  <inkml:trace contextRef="#ctx0" brushRef="#br0">9 3 2896,'0'0'0,"0"0"144,-3 0-152,0-3-80,0 3-88,3 0-16,0 0 192,0 2-192,0 1 40,3 1-1840,-3-4 1992</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4:37:14.319"/>
    </inkml:context>
    <inkml:brush xml:id="br0">
      <inkml:brushProperty name="width" value="0.05" units="cm"/>
      <inkml:brushProperty name="height" value="0.05" units="cm"/>
    </inkml:brush>
  </inkml:definitions>
  <inkml:trace contextRef="#ctx0" brushRef="#br0">16 35 3952,'0'0'0,"-2"-3"560,-2-10-63,1 3-97,3 10-400,-3-2 248,2-2-96,0 2-96,0 2-112,1 0-32,0 0 88,0 0-128,0 0-16,0 0 8,3 0-24,1 0-16,7 1-40,-8 1-97,-3-2 313,13 4-496,-10-1-96,9 2 80,-9 5 136,10-7 176,-10 7-1808,-3-10 2008,0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4:37:15.151"/>
    </inkml:context>
    <inkml:brush xml:id="br0">
      <inkml:brushProperty name="width" value="0.05" units="cm"/>
      <inkml:brushProperty name="height" value="0.05" units="cm"/>
    </inkml:brush>
  </inkml:definitions>
  <inkml:trace contextRef="#ctx0" brushRef="#br0">49 71 7713,'0'0'0,"-10"-19"3193,-1 4-2913,0-4-280,11 19 0,-5-10 40,1 8-56,0-1-152,1 1-96,2 2-488,1 0-321,0 0 1073,0 0-1328,0 1-224,0 3-73,0 8 329,0-3 344,0 3-1128,0-12 2080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4:37:15.694"/>
    </inkml:context>
    <inkml:brush xml:id="br0">
      <inkml:brushProperty name="width" value="0.05" units="cm"/>
      <inkml:brushProperty name="height" value="0.05" units="cm"/>
    </inkml:brush>
  </inkml:definitions>
  <inkml:trace contextRef="#ctx0" brushRef="#br0">60 58 11186,'0'0'0,"0"0"0,-10-16 264,-2 3-160,0-2-64,8 11-56,-6-6-40,9 10-48,1 0 104,-4 0-152,3 0-72,0 0-104,0 0-168,-1 0-144,1 2-193,1-2 833,-1 3-920,1 8-64,0-7-32,0 6 24,0-6 39,0 6 81,0-10 872,2 3-704,-2 7 224,3-7 184,-1 9-1176,-2-12 1472</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4:37:16.243"/>
    </inkml:context>
    <inkml:brush xml:id="br0">
      <inkml:brushProperty name="width" value="0.05" units="cm"/>
      <inkml:brushProperty name="height" value="0.05" units="cm"/>
    </inkml:brush>
  </inkml:definitions>
  <inkml:trace contextRef="#ctx0" brushRef="#br0">22 34 9121,'0'0'0,"-4"-10"1489,1 1-1041,-7-1-216,9 8-168,1 2-64,-2-3-8,1 3-56,0 0-80,1 0-96,0 0-120,0 0-80,0 0 440,0 0-568,2 3-65,1 0-127,-1 1-136,2 5-216,0-5-208,-1 1-9,-3-5 1329,4 5-1032,-1-1 376,1 0 320,0 0-1072,-4-4 1408</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4:37:20.725"/>
    </inkml:context>
    <inkml:brush xml:id="br0">
      <inkml:brushProperty name="width" value="0.05" units="cm"/>
      <inkml:brushProperty name="height" value="0.05" units="cm"/>
    </inkml:brush>
  </inkml:definitions>
  <inkml:trace contextRef="#ctx0" brushRef="#br0">58 39 8153,'0'0'0,"-12"-11"240,-1 7-104,0-11-8,3 12-80,8 0-40,2 3-8,-4-3-56,3 3-96,0 0-136,0 0-176,1 0-104,0 0-72,0 0 640,0 0-632,2 3 48,2 0-32,5 1-97,-6 1-127,7 0 112,-10-5 728,10 3-528,0 1 200,2-1-1168,-12-3 1496</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A31" zoomScale="130" zoomScaleNormal="100" zoomScaleSheetLayoutView="130" workbookViewId="0">
      <selection activeCell="F3" sqref="F3:J3"/>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71" t="s">
        <v>201</v>
      </c>
      <c r="C1" s="71"/>
      <c r="D1" s="71"/>
      <c r="E1" s="71"/>
      <c r="F1" s="71"/>
      <c r="G1" s="71"/>
      <c r="H1" s="71"/>
      <c r="I1" s="71"/>
      <c r="J1" s="71"/>
    </row>
    <row r="2" spans="1:10" ht="30" customHeight="1" x14ac:dyDescent="0.2">
      <c r="B2" s="13" t="s">
        <v>8</v>
      </c>
      <c r="C2" s="77" t="s">
        <v>40</v>
      </c>
      <c r="D2" s="77"/>
      <c r="E2" s="13" t="s">
        <v>7</v>
      </c>
      <c r="F2" s="72">
        <v>45955</v>
      </c>
      <c r="G2" s="72"/>
      <c r="H2" s="72"/>
      <c r="I2" s="72"/>
      <c r="J2" s="72"/>
    </row>
    <row r="3" spans="1:10" ht="30" customHeight="1" x14ac:dyDescent="0.2">
      <c r="B3" s="13" t="s">
        <v>9</v>
      </c>
      <c r="C3" s="77" t="s">
        <v>81</v>
      </c>
      <c r="D3" s="77"/>
      <c r="E3" s="13" t="s">
        <v>6</v>
      </c>
      <c r="F3" s="77" t="s">
        <v>92</v>
      </c>
      <c r="G3" s="77"/>
      <c r="H3" s="77"/>
      <c r="I3" s="77"/>
      <c r="J3" s="77"/>
    </row>
    <row r="4" spans="1:10" ht="30" customHeight="1" thickBot="1" x14ac:dyDescent="0.25">
      <c r="B4" s="6"/>
      <c r="C4" s="7"/>
      <c r="D4" s="7"/>
      <c r="E4" s="6"/>
      <c r="F4" s="7"/>
      <c r="G4" s="7"/>
      <c r="H4" s="8"/>
      <c r="I4" s="7"/>
      <c r="J4" s="7"/>
    </row>
    <row r="5" spans="1:10" ht="24.95" customHeight="1" x14ac:dyDescent="0.2">
      <c r="A5" s="11"/>
      <c r="B5" s="73" t="s">
        <v>0</v>
      </c>
      <c r="C5" s="74"/>
      <c r="D5" s="74"/>
      <c r="E5" s="82" t="s">
        <v>1</v>
      </c>
      <c r="F5" s="82"/>
      <c r="G5" s="82"/>
      <c r="H5" s="82"/>
      <c r="I5" s="82" t="s">
        <v>2</v>
      </c>
      <c r="J5" s="83"/>
    </row>
    <row r="6" spans="1:10" ht="24.95" customHeight="1" thickBot="1" x14ac:dyDescent="0.25">
      <c r="A6" s="11"/>
      <c r="B6" s="75"/>
      <c r="C6" s="76"/>
      <c r="D6" s="76"/>
      <c r="E6" s="12" t="s">
        <v>3</v>
      </c>
      <c r="F6" s="12" t="s">
        <v>4</v>
      </c>
      <c r="G6" s="12" t="s">
        <v>23</v>
      </c>
      <c r="H6" s="12" t="s">
        <v>24</v>
      </c>
      <c r="I6" s="84"/>
      <c r="J6" s="85"/>
    </row>
    <row r="7" spans="1:10" ht="24.95" customHeight="1" thickBot="1" x14ac:dyDescent="0.25">
      <c r="A7" s="11"/>
      <c r="B7" s="80" t="s">
        <v>21</v>
      </c>
      <c r="C7" s="81"/>
      <c r="D7" s="81"/>
      <c r="E7" s="30" t="s">
        <v>18</v>
      </c>
      <c r="F7" s="30" t="s">
        <v>19</v>
      </c>
      <c r="G7" s="30" t="s">
        <v>22</v>
      </c>
      <c r="H7" s="30" t="s">
        <v>20</v>
      </c>
      <c r="I7" s="93" t="s">
        <v>25</v>
      </c>
      <c r="J7" s="94"/>
    </row>
    <row r="8" spans="1:10" ht="39.950000000000003" customHeight="1" thickBot="1" x14ac:dyDescent="0.25">
      <c r="A8" s="11"/>
      <c r="B8" s="49" t="s">
        <v>200</v>
      </c>
      <c r="C8" s="50"/>
      <c r="D8" s="50"/>
      <c r="E8" s="10">
        <v>5</v>
      </c>
      <c r="F8" s="41">
        <v>4</v>
      </c>
      <c r="G8" s="42">
        <f>IFERROR(F8/E8,"")</f>
        <v>0.8</v>
      </c>
      <c r="H8" s="28" t="str">
        <f>_xlfn.IFS(F8="أدخل العلامة","",F8="لا ينطبق","تم الإلغاء",G8&gt;=90%,"ممتاز",G8&gt;=80%,"جيد جداً",G8&gt;=70%,"جيد",G8&gt;=60%,"مقبول",G8&lt;60%,"راسب")</f>
        <v>جيد جداً</v>
      </c>
      <c r="I8" s="91"/>
      <c r="J8" s="92"/>
    </row>
    <row r="9" spans="1:10" ht="39.950000000000003" customHeight="1" thickBot="1" x14ac:dyDescent="0.25">
      <c r="A9" s="11"/>
      <c r="B9" s="51" t="s">
        <v>195</v>
      </c>
      <c r="C9" s="52"/>
      <c r="D9" s="52"/>
      <c r="E9" s="10">
        <v>5</v>
      </c>
      <c r="F9" s="41">
        <v>4</v>
      </c>
      <c r="G9" s="42">
        <f>IFERROR(F9/E9,"")</f>
        <v>0.8</v>
      </c>
      <c r="H9" s="28" t="str">
        <f>_xlfn.IFS(F9="أدخل العلامة","",F9="لا ينطبق","تم الإلغاء",G9&gt;=90%,"ممتاز",G9&gt;=80%,"جيد جداً",G9&gt;=70%,"جيد",G9&gt;=60%,"مقبول",G9&lt;60%,"راسب")</f>
        <v>جيد جداً</v>
      </c>
      <c r="I9" s="91"/>
      <c r="J9" s="92"/>
    </row>
    <row r="10" spans="1:10" ht="39.950000000000003" customHeight="1" thickBot="1" x14ac:dyDescent="0.25">
      <c r="A10" s="11"/>
      <c r="B10" s="51" t="s">
        <v>196</v>
      </c>
      <c r="C10" s="52"/>
      <c r="D10" s="52"/>
      <c r="E10" s="10">
        <v>5</v>
      </c>
      <c r="F10" s="41">
        <v>3.5</v>
      </c>
      <c r="G10" s="42">
        <f t="shared" ref="G10:G32" si="0">IFERROR(F10/E10,"")</f>
        <v>0.7</v>
      </c>
      <c r="H10" s="28" t="str">
        <f t="shared" ref="H10:H32" si="1">_xlfn.IFS(F10="أدخل العلامة","",F10="لا ينطبق","تم الإلغاء",G10&gt;=90%,"ممتاز",G10&gt;=80%,"جيد جداً",G10&gt;=70%,"جيد",G10&gt;=60%,"مقبول",G10&lt;60%,"راسب")</f>
        <v>جيد</v>
      </c>
      <c r="I10" s="91"/>
      <c r="J10" s="92"/>
    </row>
    <row r="11" spans="1:10" ht="39.950000000000003" customHeight="1" x14ac:dyDescent="0.2">
      <c r="A11" s="11"/>
      <c r="B11" s="47" t="s">
        <v>197</v>
      </c>
      <c r="C11" s="48"/>
      <c r="D11" s="48"/>
      <c r="E11" s="40"/>
      <c r="F11" s="34"/>
      <c r="G11" s="35"/>
      <c r="H11" s="36"/>
      <c r="I11" s="57"/>
      <c r="J11" s="58"/>
    </row>
    <row r="12" spans="1:10" ht="39.950000000000003" customHeight="1" x14ac:dyDescent="0.2">
      <c r="A12" s="11"/>
      <c r="B12" s="43" t="s">
        <v>176</v>
      </c>
      <c r="C12" s="44"/>
      <c r="D12" s="44"/>
      <c r="E12" s="9">
        <v>5</v>
      </c>
      <c r="F12" s="27">
        <v>3.75</v>
      </c>
      <c r="G12" s="32">
        <f t="shared" si="0"/>
        <v>0.75</v>
      </c>
      <c r="H12" s="33" t="str">
        <f t="shared" si="1"/>
        <v>جيد</v>
      </c>
      <c r="I12" s="55"/>
      <c r="J12" s="56"/>
    </row>
    <row r="13" spans="1:10" ht="54.95" customHeight="1" x14ac:dyDescent="0.2">
      <c r="A13" s="11"/>
      <c r="B13" s="43" t="s">
        <v>177</v>
      </c>
      <c r="C13" s="44"/>
      <c r="D13" s="44"/>
      <c r="E13" s="9">
        <v>5</v>
      </c>
      <c r="F13" s="27">
        <v>3.5</v>
      </c>
      <c r="G13" s="32">
        <f t="shared" si="0"/>
        <v>0.7</v>
      </c>
      <c r="H13" s="33" t="str">
        <f t="shared" si="1"/>
        <v>جيد</v>
      </c>
      <c r="I13" s="55"/>
      <c r="J13" s="56"/>
    </row>
    <row r="14" spans="1:10" ht="71.25" customHeight="1" x14ac:dyDescent="0.2">
      <c r="A14" s="11"/>
      <c r="B14" s="43" t="s">
        <v>178</v>
      </c>
      <c r="C14" s="44"/>
      <c r="D14" s="44"/>
      <c r="E14" s="9">
        <v>5</v>
      </c>
      <c r="F14" s="27">
        <v>3.75</v>
      </c>
      <c r="G14" s="32">
        <f t="shared" si="0"/>
        <v>0.75</v>
      </c>
      <c r="H14" s="33" t="str">
        <f t="shared" si="1"/>
        <v>جيد</v>
      </c>
      <c r="I14" s="55"/>
      <c r="J14" s="56"/>
    </row>
    <row r="15" spans="1:10" ht="39.950000000000003" customHeight="1" x14ac:dyDescent="0.2">
      <c r="A15" s="11"/>
      <c r="B15" s="43" t="s">
        <v>179</v>
      </c>
      <c r="C15" s="44"/>
      <c r="D15" s="44"/>
      <c r="E15" s="9">
        <v>5</v>
      </c>
      <c r="F15" s="27">
        <v>3.75</v>
      </c>
      <c r="G15" s="32">
        <f t="shared" si="0"/>
        <v>0.75</v>
      </c>
      <c r="H15" s="33" t="str">
        <f t="shared" si="1"/>
        <v>جيد</v>
      </c>
      <c r="I15" s="55"/>
      <c r="J15" s="56"/>
    </row>
    <row r="16" spans="1:10" ht="68.25" customHeight="1" x14ac:dyDescent="0.2">
      <c r="A16" s="11"/>
      <c r="B16" s="43" t="s">
        <v>180</v>
      </c>
      <c r="C16" s="44"/>
      <c r="D16" s="44"/>
      <c r="E16" s="9">
        <v>5</v>
      </c>
      <c r="F16" s="27">
        <v>3.5</v>
      </c>
      <c r="G16" s="32">
        <f t="shared" si="0"/>
        <v>0.7</v>
      </c>
      <c r="H16" s="33" t="str">
        <f t="shared" si="1"/>
        <v>جيد</v>
      </c>
      <c r="I16" s="55"/>
      <c r="J16" s="56"/>
    </row>
    <row r="17" spans="1:10" ht="65.099999999999994" customHeight="1" thickBot="1" x14ac:dyDescent="0.25">
      <c r="A17" s="11"/>
      <c r="B17" s="45" t="s">
        <v>181</v>
      </c>
      <c r="C17" s="46"/>
      <c r="D17" s="46"/>
      <c r="E17" s="37">
        <v>5</v>
      </c>
      <c r="F17" s="29">
        <v>3.75</v>
      </c>
      <c r="G17" s="38">
        <f t="shared" si="0"/>
        <v>0.75</v>
      </c>
      <c r="H17" s="39" t="str">
        <f t="shared" si="1"/>
        <v>جيد</v>
      </c>
      <c r="I17" s="53"/>
      <c r="J17" s="54"/>
    </row>
    <row r="18" spans="1:10" ht="39.950000000000003" customHeight="1" x14ac:dyDescent="0.2">
      <c r="A18" s="11"/>
      <c r="B18" s="59" t="s">
        <v>198</v>
      </c>
      <c r="C18" s="60"/>
      <c r="D18" s="60"/>
      <c r="E18" s="40"/>
      <c r="F18" s="34"/>
      <c r="G18" s="35"/>
      <c r="H18" s="36"/>
      <c r="I18" s="57"/>
      <c r="J18" s="58"/>
    </row>
    <row r="19" spans="1:10" ht="39.950000000000003" customHeight="1" x14ac:dyDescent="0.2">
      <c r="A19" s="11"/>
      <c r="B19" s="43" t="s">
        <v>182</v>
      </c>
      <c r="C19" s="44"/>
      <c r="D19" s="44"/>
      <c r="E19" s="9">
        <v>5</v>
      </c>
      <c r="F19" s="27">
        <v>3.75</v>
      </c>
      <c r="G19" s="32">
        <f t="shared" si="0"/>
        <v>0.75</v>
      </c>
      <c r="H19" s="33" t="str">
        <f t="shared" si="1"/>
        <v>جيد</v>
      </c>
      <c r="I19" s="55"/>
      <c r="J19" s="56"/>
    </row>
    <row r="20" spans="1:10" ht="39.950000000000003" customHeight="1" x14ac:dyDescent="0.2">
      <c r="A20" s="11"/>
      <c r="B20" s="43" t="s">
        <v>183</v>
      </c>
      <c r="C20" s="44"/>
      <c r="D20" s="44"/>
      <c r="E20" s="9">
        <v>5</v>
      </c>
      <c r="F20" s="27">
        <v>3.5</v>
      </c>
      <c r="G20" s="32">
        <f t="shared" si="0"/>
        <v>0.7</v>
      </c>
      <c r="H20" s="33" t="str">
        <f t="shared" si="1"/>
        <v>جيد</v>
      </c>
      <c r="I20" s="55"/>
      <c r="J20" s="56"/>
    </row>
    <row r="21" spans="1:10" ht="39.950000000000003" customHeight="1" x14ac:dyDescent="0.2">
      <c r="A21" s="11"/>
      <c r="B21" s="43" t="s">
        <v>184</v>
      </c>
      <c r="C21" s="44"/>
      <c r="D21" s="44"/>
      <c r="E21" s="9">
        <v>5</v>
      </c>
      <c r="F21" s="27">
        <v>3.5</v>
      </c>
      <c r="G21" s="32">
        <f t="shared" si="0"/>
        <v>0.7</v>
      </c>
      <c r="H21" s="33" t="str">
        <f t="shared" si="1"/>
        <v>جيد</v>
      </c>
      <c r="I21" s="55"/>
      <c r="J21" s="56"/>
    </row>
    <row r="22" spans="1:10" ht="39.950000000000003" customHeight="1" x14ac:dyDescent="0.2">
      <c r="A22" s="11"/>
      <c r="B22" s="43" t="s">
        <v>185</v>
      </c>
      <c r="C22" s="44"/>
      <c r="D22" s="44"/>
      <c r="E22" s="9">
        <v>5</v>
      </c>
      <c r="F22" s="27">
        <v>3.5</v>
      </c>
      <c r="G22" s="32">
        <f t="shared" si="0"/>
        <v>0.7</v>
      </c>
      <c r="H22" s="33" t="str">
        <f t="shared" si="1"/>
        <v>جيد</v>
      </c>
      <c r="I22" s="55"/>
      <c r="J22" s="56"/>
    </row>
    <row r="23" spans="1:10" ht="39.950000000000003" customHeight="1" x14ac:dyDescent="0.2">
      <c r="A23" s="11"/>
      <c r="B23" s="43" t="s">
        <v>186</v>
      </c>
      <c r="C23" s="44"/>
      <c r="D23" s="44"/>
      <c r="E23" s="9">
        <v>5</v>
      </c>
      <c r="F23" s="27">
        <v>3.75</v>
      </c>
      <c r="G23" s="32">
        <f t="shared" si="0"/>
        <v>0.75</v>
      </c>
      <c r="H23" s="33" t="str">
        <f t="shared" si="1"/>
        <v>جيد</v>
      </c>
      <c r="I23" s="55"/>
      <c r="J23" s="56"/>
    </row>
    <row r="24" spans="1:10" ht="39.950000000000003" customHeight="1" x14ac:dyDescent="0.2">
      <c r="A24" s="11"/>
      <c r="B24" s="43" t="s">
        <v>187</v>
      </c>
      <c r="C24" s="44"/>
      <c r="D24" s="44"/>
      <c r="E24" s="9">
        <v>5</v>
      </c>
      <c r="F24" s="27">
        <v>3.5</v>
      </c>
      <c r="G24" s="32">
        <f t="shared" si="0"/>
        <v>0.7</v>
      </c>
      <c r="H24" s="33" t="str">
        <f t="shared" si="1"/>
        <v>جيد</v>
      </c>
      <c r="I24" s="55"/>
      <c r="J24" s="56"/>
    </row>
    <row r="25" spans="1:10" ht="39.950000000000003" customHeight="1" x14ac:dyDescent="0.2">
      <c r="A25" s="11"/>
      <c r="B25" s="43" t="s">
        <v>188</v>
      </c>
      <c r="C25" s="44"/>
      <c r="D25" s="44"/>
      <c r="E25" s="9">
        <v>5</v>
      </c>
      <c r="F25" s="27">
        <v>3.75</v>
      </c>
      <c r="G25" s="32">
        <f t="shared" si="0"/>
        <v>0.75</v>
      </c>
      <c r="H25" s="33" t="str">
        <f t="shared" si="1"/>
        <v>جيد</v>
      </c>
      <c r="I25" s="55"/>
      <c r="J25" s="56"/>
    </row>
    <row r="26" spans="1:10" ht="39.950000000000003" customHeight="1" thickBot="1" x14ac:dyDescent="0.25">
      <c r="A26" s="11"/>
      <c r="B26" s="45" t="s">
        <v>189</v>
      </c>
      <c r="C26" s="46"/>
      <c r="D26" s="46"/>
      <c r="E26" s="37">
        <v>5</v>
      </c>
      <c r="F26" s="29">
        <v>3.75</v>
      </c>
      <c r="G26" s="38">
        <f t="shared" si="0"/>
        <v>0.75</v>
      </c>
      <c r="H26" s="39" t="str">
        <f t="shared" si="1"/>
        <v>جيد</v>
      </c>
      <c r="I26" s="53"/>
      <c r="J26" s="54"/>
    </row>
    <row r="27" spans="1:10" ht="39.950000000000003" customHeight="1" x14ac:dyDescent="0.2">
      <c r="A27" s="11"/>
      <c r="B27" s="47" t="s">
        <v>199</v>
      </c>
      <c r="C27" s="48"/>
      <c r="D27" s="48"/>
      <c r="E27" s="40"/>
      <c r="F27" s="34"/>
      <c r="G27" s="35"/>
      <c r="H27" s="36"/>
      <c r="I27" s="57"/>
      <c r="J27" s="58"/>
    </row>
    <row r="28" spans="1:10" ht="39.950000000000003" customHeight="1" x14ac:dyDescent="0.2">
      <c r="A28" s="11"/>
      <c r="B28" s="43" t="s">
        <v>190</v>
      </c>
      <c r="C28" s="44"/>
      <c r="D28" s="44"/>
      <c r="E28" s="9">
        <v>5</v>
      </c>
      <c r="F28" s="27">
        <v>4</v>
      </c>
      <c r="G28" s="32">
        <f t="shared" si="0"/>
        <v>0.8</v>
      </c>
      <c r="H28" s="33" t="str">
        <f t="shared" si="1"/>
        <v>جيد جداً</v>
      </c>
      <c r="I28" s="55"/>
      <c r="J28" s="56"/>
    </row>
    <row r="29" spans="1:10" ht="39.950000000000003" customHeight="1" x14ac:dyDescent="0.2">
      <c r="A29" s="11"/>
      <c r="B29" s="43" t="s">
        <v>191</v>
      </c>
      <c r="C29" s="44"/>
      <c r="D29" s="44"/>
      <c r="E29" s="9">
        <v>5</v>
      </c>
      <c r="F29" s="27">
        <v>3.5</v>
      </c>
      <c r="G29" s="32">
        <f t="shared" si="0"/>
        <v>0.7</v>
      </c>
      <c r="H29" s="33" t="str">
        <f t="shared" si="1"/>
        <v>جيد</v>
      </c>
      <c r="I29" s="55"/>
      <c r="J29" s="56"/>
    </row>
    <row r="30" spans="1:10" ht="39.950000000000003" customHeight="1" x14ac:dyDescent="0.2">
      <c r="A30" s="11"/>
      <c r="B30" s="43" t="s">
        <v>192</v>
      </c>
      <c r="C30" s="44"/>
      <c r="D30" s="44"/>
      <c r="E30" s="9">
        <v>5</v>
      </c>
      <c r="F30" s="27">
        <v>3.75</v>
      </c>
      <c r="G30" s="32">
        <f t="shared" si="0"/>
        <v>0.75</v>
      </c>
      <c r="H30" s="33" t="str">
        <f t="shared" si="1"/>
        <v>جيد</v>
      </c>
      <c r="I30" s="55"/>
      <c r="J30" s="56"/>
    </row>
    <row r="31" spans="1:10" ht="39.950000000000003" customHeight="1" x14ac:dyDescent="0.2">
      <c r="A31" s="11"/>
      <c r="B31" s="43" t="s">
        <v>193</v>
      </c>
      <c r="C31" s="44"/>
      <c r="D31" s="44"/>
      <c r="E31" s="9">
        <v>5</v>
      </c>
      <c r="F31" s="27">
        <v>3.5</v>
      </c>
      <c r="G31" s="32">
        <f t="shared" si="0"/>
        <v>0.7</v>
      </c>
      <c r="H31" s="33" t="str">
        <f t="shared" si="1"/>
        <v>جيد</v>
      </c>
      <c r="I31" s="55"/>
      <c r="J31" s="56"/>
    </row>
    <row r="32" spans="1:10" ht="39.950000000000003" customHeight="1" thickBot="1" x14ac:dyDescent="0.25">
      <c r="A32" s="11"/>
      <c r="B32" s="45" t="s">
        <v>194</v>
      </c>
      <c r="C32" s="46"/>
      <c r="D32" s="46"/>
      <c r="E32" s="37">
        <v>5</v>
      </c>
      <c r="F32" s="29">
        <v>3.75</v>
      </c>
      <c r="G32" s="38">
        <f t="shared" si="0"/>
        <v>0.75</v>
      </c>
      <c r="H32" s="39" t="str">
        <f t="shared" si="1"/>
        <v>جيد</v>
      </c>
      <c r="I32" s="53"/>
      <c r="J32" s="54"/>
    </row>
    <row r="33" spans="1:10" ht="30" customHeight="1" thickBot="1" x14ac:dyDescent="0.25">
      <c r="A33" s="4"/>
      <c r="B33" s="61" t="s">
        <v>5</v>
      </c>
      <c r="C33" s="62"/>
      <c r="D33" s="62"/>
      <c r="E33" s="31">
        <f>SUM(E8:E32)</f>
        <v>110</v>
      </c>
      <c r="F33" s="31">
        <f>SUM(F8:F32)</f>
        <v>81</v>
      </c>
      <c r="G33" s="88"/>
      <c r="H33" s="89"/>
      <c r="I33" s="89"/>
      <c r="J33" s="90"/>
    </row>
    <row r="34" spans="1:10" ht="30" customHeight="1" thickBot="1" x14ac:dyDescent="0.25">
      <c r="A34" s="4"/>
      <c r="B34" s="63" t="s">
        <v>54</v>
      </c>
      <c r="C34" s="64"/>
      <c r="D34" s="64"/>
      <c r="E34" s="78">
        <f>F33/E33/100*100</f>
        <v>0.73636363636363633</v>
      </c>
      <c r="F34" s="78"/>
      <c r="G34" s="78"/>
      <c r="H34" s="78"/>
      <c r="I34" s="78"/>
      <c r="J34" s="79"/>
    </row>
    <row r="35" spans="1:10" ht="30" customHeight="1" thickBot="1" x14ac:dyDescent="0.25">
      <c r="A35" s="4"/>
      <c r="B35" s="63" t="s">
        <v>55</v>
      </c>
      <c r="C35" s="64"/>
      <c r="D35" s="64"/>
      <c r="E35" s="69" t="str">
        <f>_xlfn.IFS(E34&gt;=90%,"ممتاز",E34&gt;=80%,"جيد جداً",E34&gt;=70%,"جيد",E34&gt;=60%,"مقبول",E34&lt;60%,"راسب")</f>
        <v>جيد</v>
      </c>
      <c r="F35" s="69"/>
      <c r="G35" s="69"/>
      <c r="H35" s="69"/>
      <c r="I35" s="69"/>
      <c r="J35" s="70"/>
    </row>
    <row r="36" spans="1:10" ht="42" customHeight="1" x14ac:dyDescent="0.2">
      <c r="B36" s="65" t="s">
        <v>175</v>
      </c>
      <c r="C36" s="65"/>
      <c r="D36" s="65"/>
      <c r="E36" s="86" t="s">
        <v>52</v>
      </c>
      <c r="F36" s="86"/>
      <c r="G36" s="67" t="s">
        <v>92</v>
      </c>
      <c r="H36" s="67"/>
      <c r="I36" s="67"/>
      <c r="J36" s="67"/>
    </row>
    <row r="37" spans="1:10" ht="51" customHeight="1" x14ac:dyDescent="0.2">
      <c r="A37" s="5"/>
      <c r="B37" s="66"/>
      <c r="C37" s="66"/>
      <c r="D37" s="66"/>
      <c r="E37" s="87" t="s">
        <v>53</v>
      </c>
      <c r="F37" s="87"/>
      <c r="G37" s="68"/>
      <c r="H37" s="68"/>
      <c r="I37" s="68"/>
      <c r="J37" s="68"/>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2025-10-22T04:13:12Z</dcterms:modified>
</cp:coreProperties>
</file>