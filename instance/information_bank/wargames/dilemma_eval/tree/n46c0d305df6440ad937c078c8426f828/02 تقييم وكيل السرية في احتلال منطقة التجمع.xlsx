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EC31FAC-2D76-478A-99B6-78F89DB7F51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<sst xmlns="http://schemas.openxmlformats.org/spreadsheetml/2006/main" count="266" uniqueCount="211">
  <si>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</si>
  <si>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</si>
  <si>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</si>
  <si>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</si>
  <si>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</si>
  <si>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</si>
  <si>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</si>
  <si>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</si>
  <si>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</si>
  <si>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</si>
  <si>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</si>
  <si>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</si>
  <si>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</si>
  <si>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</si>
  <si>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</si>
  <si>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</si>
  <si>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</si>
  <si>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</si>
  <si>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</si>
  <si>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</si>
  <si>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</si>
  <si>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</si>
  <si>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</si>
  <si>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</si>
  <si>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</si>
  <si>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</si>
  <si>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</si>
  <si>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</si>
  <si>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</si>
  <si>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</si>
  <si>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</si>
  <si>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</si>
  <si>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</si>
  <si>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</si>
  <si>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</si>
  <si>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</si>
  <si>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</si>
  <si>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</si>
  <si>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</si>
  <si>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</si>
  <si>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</si>
  <si>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</si>
  <si>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</si>
  <si>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</si>
  <si>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</si>
  <si>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</si>
  <si>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</si>
  <si>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</si>
  <si>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</si>
  <si>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</si>
  <si>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</si>
  <si>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</si>
  <si>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</si>
  <si>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</si>
  <si>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</si>
  <si>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</si>
  <si>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</si>
  <si>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</si>
  <si>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</si>
  <si>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</si>
  <si>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</si>
  <si>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</si>
  <si>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</si>
  <si>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</si>
  <si>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</si>
  <si>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</si>
  <si>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</si>
  <si>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</si>
  <si>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</si>
  <si>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</si>
  <si>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</si>
  <si>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</si>
  <si>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</si>
  <si>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</si>
  <si>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</si>
  <si>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</si>
  <si>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</si>
  <si>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</si>
  <si>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</si>
  <si>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</si>
  <si>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</si>
  <si>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</si>
  <si>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</si>
  <si>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</si>
  <si>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</si>
  <si>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</si>
  <si>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</si>
  <si>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</si>
  <si>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</si>
  <si>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</si>
  <si>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</si>
  <si>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</si>
  <si>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</si>
  <si>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</si>
  <si>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</si>
  <si>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</si>
  <si>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</si>
  <si>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</si>
  <si>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</si>
  <si>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</si>
  <si>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</si>
  <si>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</si>
  <si>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</si>
  <si>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</si>
  <si>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</si>
  <si>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</si>
  <si>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</si>
  <si>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</si>
  <si>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</si>
  <si>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</si>
  <si>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</si>
  <si>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</si>
  <si>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</si>
  <si>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</si>
  <si>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</si>
  <si>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</si>
  <si>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</si>
  <si>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</si>
  <si>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</si>
  <si>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</si>
  <si>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</si>
  <si>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</si>
  <si>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</si>
  <si>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</si>
  <si>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</si>
  <si>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</si>
  <si>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</si>
  <si>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</si>
  <si>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</si>
  <si>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</si>
  <si>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</si>
  <si>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</si>
  <si>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</si>
  <si>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</si>
  <si>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</si>
  <si>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</si>
  <si>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</si>
  <si>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</si>
  <si>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</si>
  <si>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</si>
  <si>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</si>
  <si>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</si>
  <si>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</si>
  <si>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</si>
  <si>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</si>
  <si>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</si>
  <si>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</si>
  <si>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</si>
  <si>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</si>
  <si>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</si>
  <si>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</si>
  <si>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</si>
  <si>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</si>
  <si>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</si>
  <si>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</si>
  <si>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</si>
  <si>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</si>
  <si>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</si>
  <si>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</si>
  <si>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</si>
  <si>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</si>
  <si>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</si>
  <si>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</si>
  <si>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</si>
  <si>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</si>
  <si>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</si>
  <si>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</si>
  <si>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</si>
  <si>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</si>
  <si>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</si>
  <si>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</si>
  <si>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</si>
  <si>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</si>
  <si>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</si>
  <si>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</si>
  <si>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</si>
  <si>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</si>
  <si>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</si>
  <si>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</si>
  <si>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</si>
  <si>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</si>
  <si>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</si>
  <si>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</si>
  <si>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</si>
  <si>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</si>
  <si>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</si>
  <si>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</si>
  <si>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</si>
  <si>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</si>
  <si>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</si>
  <si>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</si>
  <si>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</si>
  <si>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</si>
  <si>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</si>
  <si>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</si>
  <si>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</si>
  <si>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</si>
  <si>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</si>
  <si>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</si>
  <si>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</si>
  <si>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</si>
  <si>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</si>
  <si>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</si>
  <si>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</si>
  <si>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</si>
  <si>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</si>
  <si>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</si>
  <si>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</si>
  <si>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</si>
  <si>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وكيل/1 احمد خاطر السعدي</t>
  </si>
  <si>
    <t>وكيل/1 بسام بلال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</si>
</sst>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39</xdr:row>
      <xdr:rowOff>0</xdr:rowOff>
    </xdr:from>
    <xdr:to>
      <xdr:col>8</xdr:col>
      <xdr:colOff>16874</xdr:colOff>
      <xdr:row>39</xdr:row>
      <xdr:rowOff>505557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279C9BE-EE13-4AA3-8065-EF7653828B09}"/>
                </a:ext>
              </a:extLst>
            </xdr14:cNvPr>
            <xdr14:cNvContentPartPr/>
          </xdr14:nvContentPartPr>
          <xdr14:nvPr macro=""/>
          <xdr14:xfrm>
            <a:off x="9839256838" y="16807962"/>
            <a:ext cx="1262451" cy="505557"/>
          </xdr14:xfrm>
        </xdr:contentPart>
      </mc:Choice>
      <mc:Fallback xmlns="">
        <xdr:pic>
          <xdr:nvPicPr>
            <xdr:cNvPr id="2" name="Ink 1">
              <a:extLst>
                <a:ext uri="{FF2B5EF4-FFF2-40B4-BE49-F238E27FC236}">
                  <a16:creationId xmlns:a16="http://schemas.microsoft.com/office/drawing/2014/main" id="{7CAA62B2-9035-288A-3364-9203F4864421}"/>
                </a:ext>
              </a:extLst>
            </xdr:cNvPr>
            <xdr:cNvPicPr/>
          </xdr:nvPicPr>
          <xdr:blipFill>
            <a:blip xmlns:r="http://schemas.openxmlformats.org/officeDocument/2006/relationships" r:embed="rId2"/>
            <a:stretch>
              <a:fillRect/>
            </a:stretch>
          </xdr:blipFill>
          <xdr:spPr>
            <a:xfrm>
              <a:off x="10398569055" y="19821240"/>
              <a:ext cx="1380600" cy="4312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0T07:25:11.555"/>
    </inkml:context>
    <inkml:brush xml:id="br0">
      <inkml:brushProperty name="width" value="0.035" units="cm"/>
      <inkml:brushProperty name="height" value="0.035" units="cm"/>
    </inkml:brush>
  </inkml:definitions>
  <inkml:trace contextRef="#ctx0" brushRef="#br0">2958 883,'0'0,"0"0,0 0,0 0,0 0,0 0,0 0,0 0,0 0,0 0,0-19,0 19,0 0,0-20,-6 11,-3-1,9 10,0-10,0 1,-14-11,14 9,0 3,0 8,0 0,0 0,0 0,0 0,0 0,0 0,0 0,0 0,0 0,0 0,0 0,0 0,0 0,0 19,14-19,-14 11,0-2,0 10,9 1,-3-1,-6 0,0 1,0-2,16 2,-16 0,0-2,15 2,-15-9,0-3,0 13,0-12,0 1,0 9,0-9,0-1,0-4,-15-29,-1 24,16-11,0 3,0-2,-15 20,15 9,0-9,0-1,0 1,0 0,-14 9,14-9,0-1,0 11,0-11,0 1,0 0,0-1,-16 11,10-11,12 1,-12-10,-5 0,-1 0,2 0,4 0,-11-19,4 19,-2 0,-2 0,4-11,-4 2,-11-10,11 8,1 3,2-31,-1 28,-1 3,-14-31,15 19,0 2,-1-42,1 41,1 0,-2-39,-1 37,4 3,-2-40,7 38,-1 2,-4-42,13 28,0 6,-17-32,17 37,0 3,-15-41,15 40,0-1,0-38,0 38,0 2,0-21,0 19,0 2,0-2,0 0,0 2,0-2,0 10,0 1,0-10,0 8,0 2,0-5,0 9,0 20,0-11,11 11,-7-10,-4 14,0 2,0-3,17 20,-17-17,0-3,13 21,-4-19,-1-2,7 21,-8-8,-1-4,27 13,-27-21,2 0,23 39,-25-39,3 1,6 38,-8-36,1-4,7 40,-15-37,0-3,16 21,-16-19,0-2,0 21,-8-8,0-4,8-8,-6 2,-3-2,-6 19,0-28,0 0,-1 9,10-9,-3-1,-21 11,13-11,4 1,-2-10,7 10,-1-1,-21 11,24-11,-3 1,-4-10,4 10,1-1,-8 11,10-10,0-1,6 10,-11-8,5-3,-10 12,10-20,-2 0,8 19,-9-19,3 0,-10 0,9 11,-1-3,-7-27,0 19,0 0,0 0,-2-10,4 1,-19-11,18 0,-1 2,-15-1,13-12,2 4,-15-12,14 8,3 4,-19-12,26 19,-2 2,-23-22,23 21,2-1,-10 1,0 9,3 1,-3 9,16 11,0-3,-17 11,11-8,-2-2,8 10,-8-8,2-1,-11 28,17-17,0-3,-14 1,6-9,-1-1,9 11,0-11,-14-18,6 18,2 1,-6-10,7 0,-10 0,8 0,1 0,-27-19,19 8,-1 2,-15-29,12 27,4 2,-15-29,-3 6,2 5,-15-31,29 28,2 2,-31-49,29 45,1 6,-15-34,22 39,1 3,-38-59,29 25,0 6,3-12,13 28,0 2,-16-10,16 6,0 6,0-13,0 19,0 1,0-19,0 17,0 3,0-1,0-2,0 3,16-1,-16 8,0 3,0-2,13 20,3 9,-16 0,0 1,16-1,-3 1,3-2,0 40,-9-37,1-3,7 21,-15-19,0-2,15 21,-7-19,-1-2,-7 21,0-18,0-3,0 1,-7 3,-1-4,8 20,-17-28,4 0,-2 28,-1-17,0-3,-29 21,22-30,0 3,-52 27,37-19,2-2,-72 2,51-10,7-1,-86 10,72-8,8-2,-51-9,61 0,0 0,-45-20,60 20,4 0,-19-19,21 19,4 0,-10 0,17 0,-3 0,-12-19,20 19,2 0,23 0,-9 0,1 0,37 0,11 0,-5 0,114 0,-60 0,-11 0,133 0,-75 0,-14 0,164 0,-137 0,-12 0,150 19,-137-9,-13-1,151-9,-160 11,-14-2,111 10,-148-19,-4 0,34 0,-75 0,-6 0,34 0,-76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zoomScale="130" zoomScaleNormal="100" zoomScaleSheetLayoutView="130" workbookViewId="0">
      <selection activeCell="B5" sqref="B5:D6"/>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5" t="s">
        <v>180</v>
      </c>
      <c r="C1" s="65"/>
      <c r="D1" s="65"/>
      <c r="E1" s="65"/>
      <c r="F1" s="65"/>
      <c r="G1" s="65"/>
      <c r="H1" s="65"/>
      <c r="I1" s="65"/>
      <c r="J1" s="65"/>
    </row>
    <row r="2" spans="1:10" ht="30" customHeight="1" x14ac:dyDescent="0.3">
      <c r="B2" s="12" t="s">
        <v>178</v>
      </c>
      <c r="C2" s="71" t="s">
        <v>46</v>
      </c>
      <c r="D2" s="71"/>
      <c r="E2" s="12" t="s">
        <v>7</v>
      </c>
      <c r="F2" s="66">
        <v>45944</v>
      </c>
      <c r="G2" s="66"/>
      <c r="H2" s="66"/>
      <c r="I2" s="66"/>
      <c r="J2" s="66"/>
    </row>
    <row r="3" spans="1:10" ht="30" customHeight="1" x14ac:dyDescent="0.3">
      <c r="B3" s="12" t="s">
        <v>179</v>
      </c>
      <c r="C3" s="71" t="s">
        <v>210</v>
      </c>
      <c r="D3" s="71"/>
      <c r="E3" s="12" t="s">
        <v>6</v>
      </c>
      <c r="F3" s="71" t="s">
        <v>57</v>
      </c>
      <c r="G3" s="71"/>
      <c r="H3" s="71"/>
      <c r="I3" s="71"/>
      <c r="J3" s="71"/>
    </row>
    <row r="4" spans="1:10" ht="30" customHeight="1" thickBot="1" x14ac:dyDescent="0.35">
      <c r="B4" s="6"/>
      <c r="C4" s="7"/>
      <c r="D4" s="7"/>
      <c r="E4" s="6"/>
      <c r="F4" s="87" t="s">
        <v>209</v>
      </c>
      <c r="G4" s="87"/>
      <c r="H4" s="87"/>
      <c r="I4" s="87"/>
      <c r="J4" s="7"/>
    </row>
    <row r="5" spans="1:10" ht="24.9" customHeight="1" x14ac:dyDescent="0.3">
      <c r="A5" s="10"/>
      <c r="B5" s="67" t="s">
        <v>0</v>
      </c>
      <c r="C5" s="68"/>
      <c r="D5" s="68"/>
      <c r="E5" s="76" t="s">
        <v>1</v>
      </c>
      <c r="F5" s="76"/>
      <c r="G5" s="76"/>
      <c r="H5" s="76"/>
      <c r="I5" s="76" t="s">
        <v>2</v>
      </c>
      <c r="J5" s="77"/>
    </row>
    <row r="6" spans="1:10" ht="24.9" customHeight="1" thickBot="1" x14ac:dyDescent="0.35">
      <c r="A6" s="10"/>
      <c r="B6" s="69"/>
      <c r="C6" s="70"/>
      <c r="D6" s="70"/>
      <c r="E6" s="11" t="s">
        <v>3</v>
      </c>
      <c r="F6" s="11" t="s">
        <v>4</v>
      </c>
      <c r="G6" s="11" t="s">
        <v>21</v>
      </c>
      <c r="H6" s="11" t="s">
        <v>22</v>
      </c>
      <c r="I6" s="78"/>
      <c r="J6" s="79"/>
    </row>
    <row r="7" spans="1:10" ht="24.9" customHeight="1" thickBot="1" x14ac:dyDescent="0.35">
      <c r="A7" s="10"/>
      <c r="B7" s="74" t="s">
        <v>19</v>
      </c>
      <c r="C7" s="75"/>
      <c r="D7" s="75"/>
      <c r="E7" s="29" t="s">
        <v>16</v>
      </c>
      <c r="F7" s="29" t="s">
        <v>17</v>
      </c>
      <c r="G7" s="29" t="s">
        <v>20</v>
      </c>
      <c r="H7" s="29" t="s">
        <v>18</v>
      </c>
      <c r="I7" s="85" t="s">
        <v>23</v>
      </c>
      <c r="J7" s="86"/>
    </row>
    <row r="8" spans="1:10" ht="30" customHeight="1" x14ac:dyDescent="0.3">
      <c r="A8" s="10"/>
      <c r="B8" s="41" t="s">
        <v>181</v>
      </c>
      <c r="C8" s="42"/>
      <c r="D8" s="42"/>
      <c r="E8" s="32"/>
      <c r="F8" s="33"/>
      <c r="G8" s="34"/>
      <c r="H8" s="35"/>
      <c r="I8" s="57"/>
      <c r="J8" s="58"/>
    </row>
    <row r="9" spans="1:10" ht="30" customHeight="1" x14ac:dyDescent="0.3">
      <c r="A9" s="10"/>
      <c r="B9" s="43" t="s">
        <v>182</v>
      </c>
      <c r="C9" s="44"/>
      <c r="D9" s="44"/>
      <c r="E9" s="8">
        <v>5</v>
      </c>
      <c r="F9" s="26">
        <v>3.75</v>
      </c>
      <c r="G9" s="30">
        <f>IFERROR(F9/E9,"")</f>
        <v>0.75</v>
      </c>
      <c r="H9" s="31" t="str">
        <f>_xlfn.IFS(F9="أدخل العلامة","",F9="لا ينطبق","تم الإلغاء",G9&gt;=90%,"ممتاز",G9&gt;=80%,"جيد جداً",G9&gt;=70%,"جيد",G9&gt;=60%,"مقبول",G9&lt;60%,"راسب")</f>
        <v>جيد</v>
      </c>
      <c r="I9" s="49"/>
      <c r="J9" s="50"/>
    </row>
    <row r="10" spans="1:10" ht="39.9" customHeight="1" x14ac:dyDescent="0.3">
      <c r="A10" s="10"/>
      <c r="B10" s="43" t="s">
        <v>183</v>
      </c>
      <c r="C10" s="44"/>
      <c r="D10" s="44"/>
      <c r="E10" s="8">
        <v>5</v>
      </c>
      <c r="F10" s="26">
        <v>3.75</v>
      </c>
      <c r="G10" s="30">
        <f t="shared" ref="G10:G35" si="0">IFERROR(F10/E10,"")</f>
        <v>0.75</v>
      </c>
      <c r="H10" s="31" t="str">
        <f t="shared" ref="H10:H35" si="1">_xlfn.IFS(F10="أدخل العلامة","",F10="لا ينطبق","تم الإلغاء",G10&gt;=90%,"ممتاز",G10&gt;=80%,"جيد جداً",G10&gt;=70%,"جيد",G10&gt;=60%,"مقبول",G10&lt;60%,"راسب")</f>
        <v>جيد</v>
      </c>
      <c r="I10" s="49"/>
      <c r="J10" s="50"/>
    </row>
    <row r="11" spans="1:10" ht="65.25" customHeight="1" x14ac:dyDescent="0.3">
      <c r="A11" s="10"/>
      <c r="B11" s="43" t="s">
        <v>184</v>
      </c>
      <c r="C11" s="44"/>
      <c r="D11" s="44"/>
      <c r="E11" s="8">
        <v>5</v>
      </c>
      <c r="F11" s="26">
        <v>3.75</v>
      </c>
      <c r="G11" s="30">
        <f t="shared" si="0"/>
        <v>0.75</v>
      </c>
      <c r="H11" s="31" t="str">
        <f t="shared" si="1"/>
        <v>جيد</v>
      </c>
      <c r="I11" s="49"/>
      <c r="J11" s="50"/>
    </row>
    <row r="12" spans="1:10" ht="39.9" customHeight="1" x14ac:dyDescent="0.3">
      <c r="A12" s="10"/>
      <c r="B12" s="43" t="s">
        <v>185</v>
      </c>
      <c r="C12" s="44"/>
      <c r="D12" s="44"/>
      <c r="E12" s="8">
        <v>5</v>
      </c>
      <c r="F12" s="26">
        <v>3.75</v>
      </c>
      <c r="G12" s="30">
        <f t="shared" si="0"/>
        <v>0.75</v>
      </c>
      <c r="H12" s="31" t="str">
        <f t="shared" si="1"/>
        <v>جيد</v>
      </c>
      <c r="I12" s="49"/>
      <c r="J12" s="50"/>
    </row>
    <row r="13" spans="1:10" ht="58.5" customHeight="1" x14ac:dyDescent="0.3">
      <c r="A13" s="10"/>
      <c r="B13" s="43" t="s">
        <v>186</v>
      </c>
      <c r="C13" s="44"/>
      <c r="D13" s="44"/>
      <c r="E13" s="8">
        <v>5</v>
      </c>
      <c r="F13" s="26">
        <v>3.75</v>
      </c>
      <c r="G13" s="30">
        <f t="shared" si="0"/>
        <v>0.75</v>
      </c>
      <c r="H13" s="31" t="str">
        <f t="shared" si="1"/>
        <v>جيد</v>
      </c>
      <c r="I13" s="49"/>
      <c r="J13" s="50"/>
    </row>
    <row r="14" spans="1:10" ht="30" customHeight="1" x14ac:dyDescent="0.3">
      <c r="A14" s="10"/>
      <c r="B14" s="43" t="s">
        <v>187</v>
      </c>
      <c r="C14" s="44"/>
      <c r="D14" s="44"/>
      <c r="E14" s="8">
        <v>5</v>
      </c>
      <c r="F14" s="26">
        <v>3.75</v>
      </c>
      <c r="G14" s="30">
        <f t="shared" si="0"/>
        <v>0.75</v>
      </c>
      <c r="H14" s="31" t="str">
        <f t="shared" si="1"/>
        <v>جيد</v>
      </c>
      <c r="I14" s="49"/>
      <c r="J14" s="50"/>
    </row>
    <row r="15" spans="1:10" ht="30" customHeight="1" x14ac:dyDescent="0.3">
      <c r="A15" s="10"/>
      <c r="B15" s="43" t="s">
        <v>188</v>
      </c>
      <c r="C15" s="44"/>
      <c r="D15" s="44"/>
      <c r="E15" s="8">
        <v>5</v>
      </c>
      <c r="F15" s="26">
        <v>3.5</v>
      </c>
      <c r="G15" s="30">
        <f t="shared" si="0"/>
        <v>0.7</v>
      </c>
      <c r="H15" s="31" t="str">
        <f t="shared" si="1"/>
        <v>جيد</v>
      </c>
      <c r="I15" s="49"/>
      <c r="J15" s="50"/>
    </row>
    <row r="16" spans="1:10" ht="30" customHeight="1" thickBot="1" x14ac:dyDescent="0.35">
      <c r="A16" s="10"/>
      <c r="B16" s="45" t="s">
        <v>189</v>
      </c>
      <c r="C16" s="46"/>
      <c r="D16" s="46"/>
      <c r="E16" s="36">
        <v>5</v>
      </c>
      <c r="F16" s="28">
        <v>3.75</v>
      </c>
      <c r="G16" s="37">
        <f t="shared" si="0"/>
        <v>0.75</v>
      </c>
      <c r="H16" s="38" t="str">
        <f t="shared" si="1"/>
        <v>جيد</v>
      </c>
      <c r="I16" s="53"/>
      <c r="J16" s="54"/>
    </row>
    <row r="17" spans="1:10" ht="39.9" customHeight="1" thickBot="1" x14ac:dyDescent="0.35">
      <c r="A17" s="10"/>
      <c r="B17" s="47" t="s">
        <v>190</v>
      </c>
      <c r="C17" s="48"/>
      <c r="D17" s="48"/>
      <c r="E17" s="9">
        <v>5</v>
      </c>
      <c r="F17" s="39">
        <v>3.75</v>
      </c>
      <c r="G17" s="40">
        <f t="shared" si="0"/>
        <v>0.75</v>
      </c>
      <c r="H17" s="27" t="str">
        <f t="shared" si="1"/>
        <v>جيد</v>
      </c>
      <c r="I17" s="55"/>
      <c r="J17" s="56"/>
    </row>
    <row r="18" spans="1:10" ht="39.9" customHeight="1" x14ac:dyDescent="0.3">
      <c r="A18" s="10"/>
      <c r="B18" s="41" t="s">
        <v>191</v>
      </c>
      <c r="C18" s="42"/>
      <c r="D18" s="42"/>
      <c r="E18" s="32"/>
      <c r="F18" s="33"/>
      <c r="G18" s="34"/>
      <c r="H18" s="35"/>
      <c r="I18" s="57"/>
      <c r="J18" s="58"/>
    </row>
    <row r="19" spans="1:10" ht="30" customHeight="1" x14ac:dyDescent="0.3">
      <c r="A19" s="10"/>
      <c r="B19" s="43" t="s">
        <v>192</v>
      </c>
      <c r="C19" s="44"/>
      <c r="D19" s="44"/>
      <c r="E19" s="8">
        <v>5</v>
      </c>
      <c r="F19" s="26">
        <v>3.75</v>
      </c>
      <c r="G19" s="30">
        <f t="shared" si="0"/>
        <v>0.75</v>
      </c>
      <c r="H19" s="31" t="str">
        <f t="shared" si="1"/>
        <v>جيد</v>
      </c>
      <c r="I19" s="49"/>
      <c r="J19" s="50"/>
    </row>
    <row r="20" spans="1:10" ht="30" customHeight="1" x14ac:dyDescent="0.3">
      <c r="A20" s="10"/>
      <c r="B20" s="43" t="s">
        <v>193</v>
      </c>
      <c r="C20" s="44"/>
      <c r="D20" s="44"/>
      <c r="E20" s="8">
        <v>5</v>
      </c>
      <c r="F20" s="26">
        <v>3.75</v>
      </c>
      <c r="G20" s="30">
        <f t="shared" si="0"/>
        <v>0.75</v>
      </c>
      <c r="H20" s="31" t="str">
        <f t="shared" si="1"/>
        <v>جيد</v>
      </c>
      <c r="I20" s="49"/>
      <c r="J20" s="50"/>
    </row>
    <row r="21" spans="1:10" ht="30" customHeight="1" x14ac:dyDescent="0.3">
      <c r="A21" s="10"/>
      <c r="B21" s="43" t="s">
        <v>194</v>
      </c>
      <c r="C21" s="44"/>
      <c r="D21" s="44"/>
      <c r="E21" s="8">
        <v>5</v>
      </c>
      <c r="F21" s="26">
        <v>3.75</v>
      </c>
      <c r="G21" s="30">
        <f t="shared" si="0"/>
        <v>0.75</v>
      </c>
      <c r="H21" s="31" t="str">
        <f t="shared" si="1"/>
        <v>جيد</v>
      </c>
      <c r="I21" s="49"/>
      <c r="J21" s="50"/>
    </row>
    <row r="22" spans="1:10" ht="39.9" customHeight="1" thickBot="1" x14ac:dyDescent="0.35">
      <c r="A22" s="10"/>
      <c r="B22" s="45" t="s">
        <v>195</v>
      </c>
      <c r="C22" s="46"/>
      <c r="D22" s="46"/>
      <c r="E22" s="36">
        <v>5</v>
      </c>
      <c r="F22" s="28">
        <v>3.75</v>
      </c>
      <c r="G22" s="37">
        <f t="shared" si="0"/>
        <v>0.75</v>
      </c>
      <c r="H22" s="38" t="str">
        <f t="shared" si="1"/>
        <v>جيد</v>
      </c>
      <c r="I22" s="53"/>
      <c r="J22" s="54"/>
    </row>
    <row r="23" spans="1:10" ht="39.9" customHeight="1" thickBot="1" x14ac:dyDescent="0.35">
      <c r="A23" s="10"/>
      <c r="B23" s="47" t="s">
        <v>196</v>
      </c>
      <c r="C23" s="48"/>
      <c r="D23" s="48"/>
      <c r="E23" s="9">
        <v>5</v>
      </c>
      <c r="F23" s="39">
        <v>3.75</v>
      </c>
      <c r="G23" s="40">
        <f t="shared" si="0"/>
        <v>0.75</v>
      </c>
      <c r="H23" s="27" t="str">
        <f t="shared" si="1"/>
        <v>جيد</v>
      </c>
      <c r="I23" s="55"/>
      <c r="J23" s="56"/>
    </row>
    <row r="24" spans="1:10" ht="30" customHeight="1" x14ac:dyDescent="0.3">
      <c r="A24" s="10"/>
      <c r="B24" s="41" t="s">
        <v>197</v>
      </c>
      <c r="C24" s="42"/>
      <c r="D24" s="42"/>
      <c r="E24" s="32"/>
      <c r="F24" s="33"/>
      <c r="G24" s="34"/>
      <c r="H24" s="35"/>
      <c r="I24" s="57"/>
      <c r="J24" s="58"/>
    </row>
    <row r="25" spans="1:10" ht="30" customHeight="1" x14ac:dyDescent="0.3">
      <c r="A25" s="10"/>
      <c r="B25" s="43" t="s">
        <v>198</v>
      </c>
      <c r="C25" s="44"/>
      <c r="D25" s="44"/>
      <c r="E25" s="8">
        <v>5</v>
      </c>
      <c r="F25" s="26">
        <v>3.75</v>
      </c>
      <c r="G25" s="30">
        <f t="shared" si="0"/>
        <v>0.75</v>
      </c>
      <c r="H25" s="31" t="str">
        <f t="shared" si="1"/>
        <v>جيد</v>
      </c>
      <c r="I25" s="49"/>
      <c r="J25" s="50"/>
    </row>
    <row r="26" spans="1:10" ht="30" customHeight="1" x14ac:dyDescent="0.3">
      <c r="A26" s="10"/>
      <c r="B26" s="43" t="s">
        <v>199</v>
      </c>
      <c r="C26" s="44"/>
      <c r="D26" s="44"/>
      <c r="E26" s="8">
        <v>5</v>
      </c>
      <c r="F26" s="26">
        <v>3.75</v>
      </c>
      <c r="G26" s="30">
        <f t="shared" si="0"/>
        <v>0.75</v>
      </c>
      <c r="H26" s="31" t="str">
        <f t="shared" si="1"/>
        <v>جيد</v>
      </c>
      <c r="I26" s="49"/>
      <c r="J26" s="50"/>
    </row>
    <row r="27" spans="1:10" ht="39.9" customHeight="1" x14ac:dyDescent="0.3">
      <c r="A27" s="10"/>
      <c r="B27" s="43" t="s">
        <v>200</v>
      </c>
      <c r="C27" s="44"/>
      <c r="D27" s="44"/>
      <c r="E27" s="8">
        <v>5</v>
      </c>
      <c r="F27" s="26">
        <v>3.75</v>
      </c>
      <c r="G27" s="30">
        <f t="shared" si="0"/>
        <v>0.75</v>
      </c>
      <c r="H27" s="31" t="str">
        <f t="shared" si="1"/>
        <v>جيد</v>
      </c>
      <c r="I27" s="49"/>
      <c r="J27" s="50"/>
    </row>
    <row r="28" spans="1:10" ht="30" customHeight="1" x14ac:dyDescent="0.3">
      <c r="A28" s="10"/>
      <c r="B28" s="43" t="s">
        <v>201</v>
      </c>
      <c r="C28" s="44"/>
      <c r="D28" s="44"/>
      <c r="E28" s="8">
        <v>5</v>
      </c>
      <c r="F28" s="26">
        <v>3.75</v>
      </c>
      <c r="G28" s="30">
        <f t="shared" si="0"/>
        <v>0.75</v>
      </c>
      <c r="H28" s="31" t="str">
        <f t="shared" si="1"/>
        <v>جيد</v>
      </c>
      <c r="I28" s="49"/>
      <c r="J28" s="50"/>
    </row>
    <row r="29" spans="1:10" ht="30" customHeight="1" x14ac:dyDescent="0.3">
      <c r="A29" s="10"/>
      <c r="B29" s="43" t="s">
        <v>202</v>
      </c>
      <c r="C29" s="44"/>
      <c r="D29" s="44"/>
      <c r="E29" s="8">
        <v>5</v>
      </c>
      <c r="F29" s="26">
        <v>3.75</v>
      </c>
      <c r="G29" s="30">
        <f t="shared" si="0"/>
        <v>0.75</v>
      </c>
      <c r="H29" s="31" t="str">
        <f t="shared" si="1"/>
        <v>جيد</v>
      </c>
      <c r="I29" s="49"/>
      <c r="J29" s="50"/>
    </row>
    <row r="30" spans="1:10" ht="30" customHeight="1" x14ac:dyDescent="0.3">
      <c r="A30" s="10"/>
      <c r="B30" s="43" t="s">
        <v>203</v>
      </c>
      <c r="C30" s="44"/>
      <c r="D30" s="44"/>
      <c r="E30" s="8">
        <v>5</v>
      </c>
      <c r="F30" s="26">
        <v>3.75</v>
      </c>
      <c r="G30" s="30">
        <f t="shared" si="0"/>
        <v>0.75</v>
      </c>
      <c r="H30" s="31" t="str">
        <f t="shared" si="1"/>
        <v>جيد</v>
      </c>
      <c r="I30" s="49"/>
      <c r="J30" s="50"/>
    </row>
    <row r="31" spans="1:10" ht="30" customHeight="1" x14ac:dyDescent="0.3">
      <c r="A31" s="10"/>
      <c r="B31" s="43" t="s">
        <v>204</v>
      </c>
      <c r="C31" s="44"/>
      <c r="D31" s="44"/>
      <c r="E31" s="8">
        <v>5</v>
      </c>
      <c r="F31" s="26">
        <v>3.75</v>
      </c>
      <c r="G31" s="30">
        <f t="shared" si="0"/>
        <v>0.75</v>
      </c>
      <c r="H31" s="31" t="str">
        <f t="shared" si="1"/>
        <v>جيد</v>
      </c>
      <c r="I31" s="49"/>
      <c r="J31" s="50"/>
    </row>
    <row r="32" spans="1:10" ht="39.9" customHeight="1" x14ac:dyDescent="0.3">
      <c r="A32" s="10"/>
      <c r="B32" s="43" t="s">
        <v>205</v>
      </c>
      <c r="C32" s="44"/>
      <c r="D32" s="44"/>
      <c r="E32" s="8">
        <v>5</v>
      </c>
      <c r="F32" s="26">
        <v>3.75</v>
      </c>
      <c r="G32" s="30">
        <f t="shared" si="0"/>
        <v>0.75</v>
      </c>
      <c r="H32" s="31" t="str">
        <f t="shared" si="1"/>
        <v>جيد</v>
      </c>
      <c r="I32" s="49"/>
      <c r="J32" s="50"/>
    </row>
    <row r="33" spans="1:10" ht="30" customHeight="1" x14ac:dyDescent="0.3">
      <c r="A33" s="10"/>
      <c r="B33" s="43" t="s">
        <v>206</v>
      </c>
      <c r="C33" s="44"/>
      <c r="D33" s="44"/>
      <c r="E33" s="8">
        <v>5</v>
      </c>
      <c r="F33" s="26">
        <v>3.75</v>
      </c>
      <c r="G33" s="30">
        <f t="shared" si="0"/>
        <v>0.75</v>
      </c>
      <c r="H33" s="31" t="str">
        <f t="shared" si="1"/>
        <v>جيد</v>
      </c>
      <c r="I33" s="49"/>
      <c r="J33" s="50"/>
    </row>
    <row r="34" spans="1:10" ht="30" customHeight="1" x14ac:dyDescent="0.3">
      <c r="A34" s="10"/>
      <c r="B34" s="43" t="s">
        <v>207</v>
      </c>
      <c r="C34" s="44"/>
      <c r="D34" s="44"/>
      <c r="E34" s="8">
        <v>5</v>
      </c>
      <c r="F34" s="26">
        <v>3.75</v>
      </c>
      <c r="G34" s="30">
        <f t="shared" si="0"/>
        <v>0.75</v>
      </c>
      <c r="H34" s="31" t="str">
        <f t="shared" si="1"/>
        <v>جيد</v>
      </c>
      <c r="I34" s="49"/>
      <c r="J34" s="50"/>
    </row>
    <row r="35" spans="1:10" ht="30" customHeight="1" thickBot="1" x14ac:dyDescent="0.35">
      <c r="A35" s="10"/>
      <c r="B35" s="45" t="s">
        <v>208</v>
      </c>
      <c r="C35" s="46"/>
      <c r="D35" s="46"/>
      <c r="E35" s="36">
        <v>5</v>
      </c>
      <c r="F35" s="28">
        <v>3.75</v>
      </c>
      <c r="G35" s="37">
        <f t="shared" si="0"/>
        <v>0.75</v>
      </c>
      <c r="H35" s="38" t="str">
        <f t="shared" si="1"/>
        <v>جيد</v>
      </c>
      <c r="I35" s="53"/>
      <c r="J35" s="54"/>
    </row>
    <row r="36" spans="1:10" ht="30" customHeight="1" thickBot="1" x14ac:dyDescent="0.35">
      <c r="A36" s="4"/>
      <c r="B36" s="51" t="s">
        <v>5</v>
      </c>
      <c r="C36" s="52"/>
      <c r="D36" s="52"/>
      <c r="E36" s="9">
        <f>SUM(E8:E35)</f>
        <v>125</v>
      </c>
      <c r="F36" s="9">
        <f>SUM(F8:F35)</f>
        <v>93.5</v>
      </c>
      <c r="G36" s="82"/>
      <c r="H36" s="83"/>
      <c r="I36" s="83"/>
      <c r="J36" s="84"/>
    </row>
    <row r="37" spans="1:10" ht="30" customHeight="1" thickBot="1" x14ac:dyDescent="0.35">
      <c r="A37" s="4"/>
      <c r="B37" s="51" t="s">
        <v>52</v>
      </c>
      <c r="C37" s="52"/>
      <c r="D37" s="52"/>
      <c r="E37" s="72">
        <f>F36/E36/100*100</f>
        <v>0.748</v>
      </c>
      <c r="F37" s="72"/>
      <c r="G37" s="72"/>
      <c r="H37" s="72"/>
      <c r="I37" s="72"/>
      <c r="J37" s="73"/>
    </row>
    <row r="38" spans="1:10" ht="30" customHeight="1" thickBot="1" x14ac:dyDescent="0.35">
      <c r="A38" s="4"/>
      <c r="B38" s="51" t="s">
        <v>53</v>
      </c>
      <c r="C38" s="52"/>
      <c r="D38" s="52"/>
      <c r="E38" s="63" t="str">
        <f>_xlfn.IFS(E37&gt;=90%,"ممتاز",E37&gt;=80%,"جيد جداً",E37&gt;=70%,"جيد",E37&gt;=60%,"مقبول",E37&lt;60%,"راسب")</f>
        <v>جيد</v>
      </c>
      <c r="F38" s="63"/>
      <c r="G38" s="63"/>
      <c r="H38" s="63"/>
      <c r="I38" s="63"/>
      <c r="J38" s="64"/>
    </row>
    <row r="39" spans="1:10" ht="42" customHeight="1" x14ac:dyDescent="0.3">
      <c r="B39" s="59" t="s">
        <v>172</v>
      </c>
      <c r="C39" s="59"/>
      <c r="D39" s="59"/>
      <c r="E39" s="80" t="s">
        <v>50</v>
      </c>
      <c r="F39" s="80"/>
      <c r="G39" s="61" t="s">
        <v>57</v>
      </c>
      <c r="H39" s="61"/>
      <c r="I39" s="61"/>
      <c r="J39" s="61"/>
    </row>
    <row r="40" spans="1:10" ht="51" customHeight="1" x14ac:dyDescent="0.3">
      <c r="A40" s="5"/>
      <c r="B40" s="60"/>
      <c r="C40" s="60"/>
      <c r="D40" s="60"/>
      <c r="E40" s="81" t="s">
        <v>51</v>
      </c>
      <c r="F40" s="81"/>
      <c r="G40" s="62"/>
      <c r="H40" s="62"/>
      <c r="I40" s="62"/>
      <c r="J40" s="62"/>
    </row>
  </sheetData>
  <sheetProtection formatCells="0" formatColumns="0" formatRows="0" insertColumns="0" insertRows="0" insertHyperlinks="0" deleteColumns="0" deleteRows="0" selectLockedCells="1" sort="0" autoFilter="0" pivotTables="0"/>
  <mergeCells count="78">
    <mergeCell ref="F4:I4"/>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2025-10-20T15:28:12Z</dcterms:modified>
</cp:coreProperties>
</file>